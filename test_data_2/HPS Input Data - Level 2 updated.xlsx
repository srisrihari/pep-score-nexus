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u25\OneDrive\Desktop\Interventions\"/>
    </mc:Choice>
  </mc:AlternateContent>
  <xr:revisionPtr revIDLastSave="0" documentId="13_ncr:1_{8A194E65-475E-4362-93C3-CA5806972102}" xr6:coauthVersionLast="47" xr6:coauthVersionMax="47" xr10:uidLastSave="{00000000-0000-0000-0000-000000000000}"/>
  <bookViews>
    <workbookView xWindow="-108" yWindow="-108" windowWidth="23256" windowHeight="12456" tabRatio="942" firstSheet="3" activeTab="12" xr2:uid="{3AE869F6-4009-439F-A439-C9FF793C03A8}"/>
  </bookViews>
  <sheets>
    <sheet name="Interventions" sheetId="1" r:id="rId1"/>
    <sheet name="Working" sheetId="3" state="hidden" r:id="rId2"/>
    <sheet name="Sheet5" sheetId="13" state="hidden" r:id="rId3"/>
    <sheet name="Review 1" sheetId="14" r:id="rId4"/>
    <sheet name="Review 2" sheetId="5" r:id="rId5"/>
    <sheet name="Review 3" sheetId="4" r:id="rId6"/>
    <sheet name="Review 4" sheetId="6" r:id="rId7"/>
    <sheet name="Reflection -1 " sheetId="7" r:id="rId8"/>
    <sheet name="Reflection -2" sheetId="10" r:id="rId9"/>
    <sheet name="Reflection -3" sheetId="8" r:id="rId10"/>
    <sheet name="Reflection -4" sheetId="11" r:id="rId11"/>
    <sheet name="Capstone" sheetId="16" r:id="rId12"/>
    <sheet name="Term Rating Persona" sheetId="15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3" i="15" l="1"/>
  <c r="CJ4" i="15"/>
  <c r="CJ5" i="15"/>
  <c r="CJ6" i="15"/>
  <c r="CJ7" i="15"/>
  <c r="CJ8" i="15"/>
  <c r="CJ9" i="15"/>
  <c r="CJ10" i="15"/>
  <c r="CJ11" i="15"/>
  <c r="CJ12" i="15"/>
  <c r="CJ13" i="15"/>
  <c r="CJ14" i="15"/>
  <c r="CJ15" i="15"/>
  <c r="CJ16" i="15"/>
  <c r="CJ17" i="15"/>
  <c r="CJ18" i="15"/>
  <c r="CJ19" i="15"/>
  <c r="CJ20" i="15"/>
  <c r="CJ21" i="15"/>
  <c r="CJ22" i="15"/>
  <c r="CJ23" i="15"/>
  <c r="CJ24" i="15"/>
  <c r="CJ25" i="15"/>
  <c r="CJ26" i="15"/>
  <c r="CJ27" i="15"/>
  <c r="CJ28" i="15"/>
  <c r="CJ29" i="15"/>
  <c r="CJ30" i="15"/>
  <c r="CJ31" i="15"/>
  <c r="CJ32" i="15"/>
  <c r="CJ33" i="15"/>
  <c r="CJ34" i="15"/>
  <c r="CJ35" i="15"/>
  <c r="CJ36" i="15"/>
  <c r="CJ37" i="15"/>
  <c r="CJ38" i="15"/>
  <c r="CJ39" i="15"/>
  <c r="CJ40" i="15"/>
  <c r="CJ41" i="15"/>
  <c r="CJ42" i="15"/>
  <c r="CJ43" i="15"/>
  <c r="CJ44" i="15"/>
  <c r="CJ45" i="15"/>
  <c r="CJ46" i="15"/>
  <c r="CJ47" i="15"/>
  <c r="CJ48" i="15"/>
  <c r="CJ49" i="15"/>
  <c r="CJ50" i="15"/>
  <c r="CJ51" i="15"/>
  <c r="CJ52" i="15"/>
  <c r="CJ53" i="15"/>
  <c r="CJ54" i="15"/>
  <c r="CJ55" i="15"/>
  <c r="CJ56" i="15"/>
  <c r="CJ57" i="15"/>
  <c r="CJ58" i="15"/>
  <c r="CJ59" i="15"/>
  <c r="CJ60" i="15"/>
  <c r="CJ61" i="15"/>
  <c r="CJ62" i="15"/>
  <c r="CJ63" i="15"/>
  <c r="CJ64" i="15"/>
  <c r="CJ65" i="15"/>
  <c r="CJ66" i="15"/>
  <c r="CJ67" i="15"/>
  <c r="CJ68" i="15"/>
  <c r="CJ69" i="15"/>
  <c r="CJ70" i="15"/>
  <c r="CJ71" i="15"/>
  <c r="CJ72" i="15"/>
  <c r="CJ73" i="15"/>
  <c r="CJ74" i="15"/>
  <c r="CJ75" i="15"/>
  <c r="CJ76" i="15"/>
  <c r="CJ77" i="15"/>
  <c r="CJ78" i="15"/>
  <c r="CJ79" i="15"/>
  <c r="CJ80" i="15"/>
  <c r="CJ81" i="15"/>
  <c r="CJ82" i="15"/>
  <c r="CJ83" i="15"/>
  <c r="CJ84" i="15"/>
  <c r="CJ85" i="15"/>
  <c r="CJ86" i="15"/>
  <c r="CJ87" i="15"/>
  <c r="CJ88" i="15"/>
  <c r="CJ89" i="15"/>
  <c r="CJ90" i="15"/>
  <c r="CJ91" i="15"/>
  <c r="CJ92" i="15"/>
  <c r="CJ93" i="15"/>
  <c r="CJ94" i="15"/>
  <c r="CJ95" i="15"/>
  <c r="CJ96" i="15"/>
  <c r="CJ97" i="15"/>
  <c r="CJ98" i="15"/>
  <c r="CJ99" i="15"/>
  <c r="CJ100" i="15"/>
  <c r="CJ101" i="15"/>
  <c r="CJ102" i="15"/>
  <c r="CJ103" i="15"/>
  <c r="CJ104" i="15"/>
  <c r="CJ105" i="15"/>
  <c r="CJ106" i="15"/>
  <c r="CJ107" i="15"/>
  <c r="CJ108" i="15"/>
  <c r="CJ109" i="15"/>
  <c r="CJ110" i="15"/>
  <c r="CJ111" i="15"/>
  <c r="CJ112" i="15"/>
  <c r="CJ113" i="15"/>
  <c r="CJ114" i="15"/>
  <c r="CJ115" i="15"/>
  <c r="CJ116" i="15"/>
  <c r="CJ117" i="15"/>
  <c r="CJ118" i="15"/>
  <c r="CJ119" i="15"/>
  <c r="CJ120" i="15"/>
  <c r="CJ121" i="15"/>
  <c r="CJ122" i="15"/>
  <c r="CJ123" i="15"/>
  <c r="CJ124" i="15"/>
  <c r="CJ125" i="15"/>
  <c r="CJ126" i="15"/>
  <c r="CJ127" i="15"/>
  <c r="CJ128" i="15"/>
  <c r="CJ129" i="15"/>
  <c r="CJ130" i="15"/>
  <c r="CJ131" i="15"/>
  <c r="CJ132" i="15"/>
  <c r="CJ133" i="15"/>
  <c r="CJ134" i="15"/>
  <c r="CJ135" i="15"/>
  <c r="CJ136" i="15"/>
  <c r="CJ137" i="15"/>
  <c r="CJ138" i="15"/>
  <c r="CJ139" i="15"/>
  <c r="CJ140" i="15"/>
  <c r="CJ141" i="15"/>
  <c r="CJ142" i="15"/>
  <c r="CJ143" i="15"/>
  <c r="CJ144" i="15"/>
  <c r="CJ145" i="15"/>
  <c r="CJ146" i="15"/>
  <c r="CJ147" i="15"/>
  <c r="CJ148" i="15"/>
  <c r="CJ149" i="15"/>
  <c r="CJ150" i="15"/>
  <c r="CJ151" i="15"/>
  <c r="CJ152" i="15"/>
  <c r="CJ153" i="15"/>
  <c r="CJ154" i="15"/>
  <c r="CJ155" i="15"/>
  <c r="CJ156" i="15"/>
  <c r="CJ157" i="15"/>
  <c r="CJ158" i="15"/>
  <c r="CJ159" i="15"/>
  <c r="CJ160" i="15"/>
  <c r="CJ161" i="15"/>
  <c r="CJ162" i="15"/>
  <c r="CJ163" i="15"/>
  <c r="CJ164" i="15"/>
  <c r="CJ165" i="15"/>
  <c r="CJ166" i="15"/>
  <c r="CJ167" i="15"/>
  <c r="CJ168" i="15"/>
  <c r="CJ169" i="15"/>
  <c r="CJ170" i="15"/>
  <c r="CJ171" i="15"/>
  <c r="CJ172" i="15"/>
  <c r="CJ173" i="15"/>
  <c r="CJ174" i="15"/>
  <c r="CJ175" i="15"/>
  <c r="CJ176" i="15"/>
  <c r="CJ177" i="15"/>
  <c r="CJ178" i="15"/>
  <c r="CJ179" i="15"/>
  <c r="CJ180" i="15"/>
  <c r="CJ181" i="15"/>
  <c r="CJ182" i="15"/>
  <c r="CJ183" i="15"/>
  <c r="CJ184" i="15"/>
  <c r="CJ185" i="15"/>
  <c r="CJ186" i="15"/>
  <c r="CJ187" i="15"/>
  <c r="CJ188" i="15"/>
  <c r="CJ189" i="15"/>
  <c r="CJ190" i="15"/>
  <c r="CJ191" i="15"/>
  <c r="CJ192" i="15"/>
  <c r="CJ193" i="15"/>
  <c r="CJ194" i="15"/>
  <c r="CJ195" i="15"/>
  <c r="CJ196" i="15"/>
  <c r="CJ197" i="15"/>
  <c r="CJ198" i="15"/>
  <c r="CJ199" i="15"/>
  <c r="CJ200" i="15"/>
  <c r="CJ201" i="15"/>
  <c r="CJ202" i="15"/>
  <c r="CJ203" i="15"/>
  <c r="CJ204" i="15"/>
  <c r="CJ205" i="15"/>
  <c r="CJ206" i="15"/>
  <c r="CJ207" i="15"/>
  <c r="CJ208" i="15"/>
  <c r="CJ209" i="15"/>
  <c r="CJ210" i="15"/>
  <c r="CJ211" i="15"/>
  <c r="CJ212" i="15"/>
  <c r="CJ213" i="15"/>
  <c r="CJ214" i="15"/>
  <c r="CJ215" i="15"/>
  <c r="CJ216" i="15"/>
  <c r="CJ217" i="15"/>
  <c r="CJ218" i="15"/>
  <c r="CJ219" i="15"/>
  <c r="CJ220" i="15"/>
  <c r="CJ221" i="15"/>
  <c r="CJ222" i="15"/>
  <c r="CJ223" i="15"/>
  <c r="CJ224" i="15"/>
  <c r="CJ225" i="15"/>
  <c r="CJ226" i="15"/>
  <c r="CJ227" i="15"/>
  <c r="CJ228" i="15"/>
  <c r="CJ229" i="15"/>
  <c r="CJ230" i="15"/>
  <c r="CI3" i="15"/>
  <c r="CI4" i="15"/>
  <c r="CI5" i="15"/>
  <c r="CI6" i="15"/>
  <c r="CI7" i="15"/>
  <c r="CI8" i="15"/>
  <c r="CI9" i="15"/>
  <c r="CI10" i="15"/>
  <c r="CI11" i="15"/>
  <c r="CI12" i="15"/>
  <c r="CI13" i="15"/>
  <c r="CI14" i="15"/>
  <c r="CI15" i="15"/>
  <c r="CI16" i="15"/>
  <c r="CI17" i="15"/>
  <c r="CI18" i="15"/>
  <c r="CI19" i="15"/>
  <c r="CI20" i="15"/>
  <c r="CI21" i="15"/>
  <c r="CI22" i="15"/>
  <c r="CI23" i="15"/>
  <c r="CI24" i="15"/>
  <c r="CI25" i="15"/>
  <c r="CI26" i="15"/>
  <c r="CI27" i="15"/>
  <c r="CI28" i="15"/>
  <c r="CI29" i="15"/>
  <c r="CI30" i="15"/>
  <c r="CI31" i="15"/>
  <c r="CI32" i="15"/>
  <c r="CI33" i="15"/>
  <c r="CI34" i="15"/>
  <c r="CI35" i="15"/>
  <c r="CI36" i="15"/>
  <c r="CI37" i="15"/>
  <c r="CI38" i="15"/>
  <c r="CI39" i="15"/>
  <c r="CI40" i="15"/>
  <c r="CI41" i="15"/>
  <c r="CI42" i="15"/>
  <c r="CI43" i="15"/>
  <c r="CI44" i="15"/>
  <c r="CI45" i="15"/>
  <c r="CI46" i="15"/>
  <c r="CI47" i="15"/>
  <c r="CI48" i="15"/>
  <c r="CI49" i="15"/>
  <c r="CI50" i="15"/>
  <c r="CI51" i="15"/>
  <c r="CI52" i="15"/>
  <c r="CI53" i="15"/>
  <c r="CI54" i="15"/>
  <c r="CI55" i="15"/>
  <c r="CI56" i="15"/>
  <c r="CI57" i="15"/>
  <c r="CI58" i="15"/>
  <c r="CI59" i="15"/>
  <c r="CI60" i="15"/>
  <c r="CI61" i="15"/>
  <c r="CI62" i="15"/>
  <c r="CI63" i="15"/>
  <c r="CI64" i="15"/>
  <c r="CI65" i="15"/>
  <c r="CI66" i="15"/>
  <c r="CI67" i="15"/>
  <c r="CI68" i="15"/>
  <c r="CI69" i="15"/>
  <c r="CI70" i="15"/>
  <c r="CI71" i="15"/>
  <c r="CI72" i="15"/>
  <c r="CI73" i="15"/>
  <c r="CI74" i="15"/>
  <c r="CI75" i="15"/>
  <c r="CI76" i="15"/>
  <c r="CI77" i="15"/>
  <c r="CI78" i="15"/>
  <c r="CI79" i="15"/>
  <c r="CI80" i="15"/>
  <c r="CI81" i="15"/>
  <c r="CI82" i="15"/>
  <c r="CI83" i="15"/>
  <c r="CI84" i="15"/>
  <c r="CI85" i="15"/>
  <c r="CI86" i="15"/>
  <c r="CI87" i="15"/>
  <c r="CI88" i="15"/>
  <c r="CI89" i="15"/>
  <c r="CI90" i="15"/>
  <c r="CI91" i="15"/>
  <c r="CI92" i="15"/>
  <c r="CI93" i="15"/>
  <c r="CI94" i="15"/>
  <c r="CI95" i="15"/>
  <c r="CI96" i="15"/>
  <c r="CI97" i="15"/>
  <c r="CI98" i="15"/>
  <c r="CI99" i="15"/>
  <c r="CI100" i="15"/>
  <c r="CI101" i="15"/>
  <c r="CI102" i="15"/>
  <c r="CI103" i="15"/>
  <c r="CI104" i="15"/>
  <c r="CI105" i="15"/>
  <c r="CI106" i="15"/>
  <c r="CI107" i="15"/>
  <c r="CI108" i="15"/>
  <c r="CI109" i="15"/>
  <c r="CI110" i="15"/>
  <c r="CI111" i="15"/>
  <c r="CI112" i="15"/>
  <c r="CI113" i="15"/>
  <c r="CI114" i="15"/>
  <c r="CI115" i="15"/>
  <c r="CI116" i="15"/>
  <c r="CI117" i="15"/>
  <c r="CI118" i="15"/>
  <c r="CI119" i="15"/>
  <c r="CI120" i="15"/>
  <c r="CI121" i="15"/>
  <c r="CI122" i="15"/>
  <c r="CI123" i="15"/>
  <c r="CI124" i="15"/>
  <c r="CI125" i="15"/>
  <c r="CI126" i="15"/>
  <c r="CI127" i="15"/>
  <c r="CI128" i="15"/>
  <c r="CI129" i="15"/>
  <c r="CI130" i="15"/>
  <c r="CI131" i="15"/>
  <c r="CI132" i="15"/>
  <c r="CI133" i="15"/>
  <c r="CI134" i="15"/>
  <c r="CI135" i="15"/>
  <c r="CI136" i="15"/>
  <c r="CI137" i="15"/>
  <c r="CI138" i="15"/>
  <c r="CI139" i="15"/>
  <c r="CI140" i="15"/>
  <c r="CI141" i="15"/>
  <c r="CI142" i="15"/>
  <c r="CI143" i="15"/>
  <c r="CI144" i="15"/>
  <c r="CI145" i="15"/>
  <c r="CI146" i="15"/>
  <c r="CI147" i="15"/>
  <c r="CI148" i="15"/>
  <c r="CI149" i="15"/>
  <c r="CI150" i="15"/>
  <c r="CI151" i="15"/>
  <c r="CI152" i="15"/>
  <c r="CI153" i="15"/>
  <c r="CI154" i="15"/>
  <c r="CI155" i="15"/>
  <c r="CI156" i="15"/>
  <c r="CI157" i="15"/>
  <c r="CI158" i="15"/>
  <c r="CI159" i="15"/>
  <c r="CI160" i="15"/>
  <c r="CI161" i="15"/>
  <c r="CI162" i="15"/>
  <c r="CI163" i="15"/>
  <c r="CI164" i="15"/>
  <c r="CI165" i="15"/>
  <c r="CI166" i="15"/>
  <c r="CI167" i="15"/>
  <c r="CI168" i="15"/>
  <c r="CI169" i="15"/>
  <c r="CI170" i="15"/>
  <c r="CI171" i="15"/>
  <c r="CI172" i="15"/>
  <c r="CI173" i="15"/>
  <c r="CI174" i="15"/>
  <c r="CI175" i="15"/>
  <c r="CI176" i="15"/>
  <c r="CI177" i="15"/>
  <c r="CI178" i="15"/>
  <c r="CI179" i="15"/>
  <c r="CI180" i="15"/>
  <c r="CI181" i="15"/>
  <c r="CI182" i="15"/>
  <c r="CI183" i="15"/>
  <c r="CI184" i="15"/>
  <c r="CI185" i="15"/>
  <c r="CI186" i="15"/>
  <c r="CI187" i="15"/>
  <c r="CI188" i="15"/>
  <c r="CI189" i="15"/>
  <c r="CI190" i="15"/>
  <c r="CI191" i="15"/>
  <c r="CI192" i="15"/>
  <c r="CI193" i="15"/>
  <c r="CI194" i="15"/>
  <c r="CI195" i="15"/>
  <c r="CI196" i="15"/>
  <c r="CI197" i="15"/>
  <c r="CI198" i="15"/>
  <c r="CI199" i="15"/>
  <c r="CI200" i="15"/>
  <c r="CI201" i="15"/>
  <c r="CI202" i="15"/>
  <c r="CI203" i="15"/>
  <c r="CI204" i="15"/>
  <c r="CI205" i="15"/>
  <c r="CI206" i="15"/>
  <c r="CI207" i="15"/>
  <c r="CI208" i="15"/>
  <c r="CI209" i="15"/>
  <c r="CI210" i="15"/>
  <c r="CI211" i="15"/>
  <c r="CI212" i="15"/>
  <c r="CI213" i="15"/>
  <c r="CI214" i="15"/>
  <c r="CI215" i="15"/>
  <c r="CI216" i="15"/>
  <c r="CI217" i="15"/>
  <c r="CI218" i="15"/>
  <c r="CI219" i="15"/>
  <c r="CI220" i="15"/>
  <c r="CI221" i="15"/>
  <c r="CI222" i="15"/>
  <c r="CI223" i="15"/>
  <c r="CI224" i="15"/>
  <c r="CI225" i="15"/>
  <c r="CI226" i="15"/>
  <c r="CI227" i="15"/>
  <c r="CI228" i="15"/>
  <c r="CI229" i="15"/>
  <c r="CI230" i="15"/>
  <c r="CH3" i="15"/>
  <c r="CH4" i="15"/>
  <c r="CH5" i="15"/>
  <c r="CH6" i="15"/>
  <c r="CH7" i="15"/>
  <c r="CH8" i="15"/>
  <c r="CH9" i="15"/>
  <c r="CH10" i="15"/>
  <c r="CH11" i="15"/>
  <c r="CH12" i="15"/>
  <c r="CH13" i="15"/>
  <c r="CH14" i="15"/>
  <c r="CH15" i="15"/>
  <c r="CH16" i="15"/>
  <c r="CH17" i="15"/>
  <c r="CH18" i="15"/>
  <c r="CH19" i="15"/>
  <c r="CH20" i="15"/>
  <c r="CH21" i="15"/>
  <c r="CH22" i="15"/>
  <c r="CH23" i="15"/>
  <c r="CH24" i="15"/>
  <c r="CH25" i="15"/>
  <c r="CH26" i="15"/>
  <c r="CH27" i="15"/>
  <c r="CH28" i="15"/>
  <c r="CH29" i="15"/>
  <c r="CH30" i="15"/>
  <c r="CH31" i="15"/>
  <c r="CH32" i="15"/>
  <c r="CH33" i="15"/>
  <c r="CH34" i="15"/>
  <c r="CH35" i="15"/>
  <c r="CH36" i="15"/>
  <c r="CH37" i="15"/>
  <c r="CH38" i="15"/>
  <c r="CH39" i="15"/>
  <c r="CH40" i="15"/>
  <c r="CH41" i="15"/>
  <c r="CH42" i="15"/>
  <c r="CH43" i="15"/>
  <c r="CH44" i="15"/>
  <c r="CH45" i="15"/>
  <c r="CH46" i="15"/>
  <c r="CH47" i="15"/>
  <c r="CH48" i="15"/>
  <c r="CH49" i="15"/>
  <c r="CH50" i="15"/>
  <c r="CH51" i="15"/>
  <c r="CH52" i="15"/>
  <c r="CH53" i="15"/>
  <c r="CH54" i="15"/>
  <c r="CH55" i="15"/>
  <c r="CH56" i="15"/>
  <c r="CH57" i="15"/>
  <c r="CH58" i="15"/>
  <c r="CH59" i="15"/>
  <c r="CH60" i="15"/>
  <c r="CH61" i="15"/>
  <c r="CH62" i="15"/>
  <c r="CH63" i="15"/>
  <c r="CH64" i="15"/>
  <c r="CH65" i="15"/>
  <c r="CH66" i="15"/>
  <c r="CH67" i="15"/>
  <c r="CH68" i="15"/>
  <c r="CH69" i="15"/>
  <c r="CH70" i="15"/>
  <c r="CH71" i="15"/>
  <c r="CH72" i="15"/>
  <c r="CH73" i="15"/>
  <c r="CH74" i="15"/>
  <c r="CH75" i="15"/>
  <c r="CH76" i="15"/>
  <c r="CH77" i="15"/>
  <c r="CH78" i="15"/>
  <c r="CH79" i="15"/>
  <c r="CH80" i="15"/>
  <c r="CH81" i="15"/>
  <c r="CH82" i="15"/>
  <c r="CH83" i="15"/>
  <c r="CH84" i="15"/>
  <c r="CH85" i="15"/>
  <c r="CH86" i="15"/>
  <c r="CH87" i="15"/>
  <c r="CH88" i="15"/>
  <c r="CH89" i="15"/>
  <c r="CH90" i="15"/>
  <c r="CH91" i="15"/>
  <c r="CH92" i="15"/>
  <c r="CH93" i="15"/>
  <c r="CH94" i="15"/>
  <c r="CH95" i="15"/>
  <c r="CH96" i="15"/>
  <c r="CH97" i="15"/>
  <c r="CH98" i="15"/>
  <c r="CH99" i="15"/>
  <c r="CH100" i="15"/>
  <c r="CH101" i="15"/>
  <c r="CH102" i="15"/>
  <c r="CH103" i="15"/>
  <c r="CH104" i="15"/>
  <c r="CH105" i="15"/>
  <c r="CH106" i="15"/>
  <c r="CH107" i="15"/>
  <c r="CH108" i="15"/>
  <c r="CH109" i="15"/>
  <c r="CH110" i="15"/>
  <c r="CH111" i="15"/>
  <c r="CH112" i="15"/>
  <c r="CH113" i="15"/>
  <c r="CH114" i="15"/>
  <c r="CH115" i="15"/>
  <c r="CH116" i="15"/>
  <c r="CH117" i="15"/>
  <c r="CH118" i="15"/>
  <c r="CH119" i="15"/>
  <c r="CH120" i="15"/>
  <c r="CH121" i="15"/>
  <c r="CH122" i="15"/>
  <c r="CH123" i="15"/>
  <c r="CH124" i="15"/>
  <c r="CH125" i="15"/>
  <c r="CH126" i="15"/>
  <c r="CH127" i="15"/>
  <c r="CH128" i="15"/>
  <c r="CH129" i="15"/>
  <c r="CH130" i="15"/>
  <c r="CH131" i="15"/>
  <c r="CH132" i="15"/>
  <c r="CH133" i="15"/>
  <c r="CH134" i="15"/>
  <c r="CH135" i="15"/>
  <c r="CH136" i="15"/>
  <c r="CH137" i="15"/>
  <c r="CH138" i="15"/>
  <c r="CH139" i="15"/>
  <c r="CH140" i="15"/>
  <c r="CH141" i="15"/>
  <c r="CH142" i="15"/>
  <c r="CH143" i="15"/>
  <c r="CH144" i="15"/>
  <c r="CH145" i="15"/>
  <c r="CH146" i="15"/>
  <c r="CH147" i="15"/>
  <c r="CH148" i="15"/>
  <c r="CH149" i="15"/>
  <c r="CH150" i="15"/>
  <c r="CH151" i="15"/>
  <c r="CH152" i="15"/>
  <c r="CH153" i="15"/>
  <c r="CH154" i="15"/>
  <c r="CH155" i="15"/>
  <c r="CH156" i="15"/>
  <c r="CH157" i="15"/>
  <c r="CH158" i="15"/>
  <c r="CH159" i="15"/>
  <c r="CH160" i="15"/>
  <c r="CH161" i="15"/>
  <c r="CH162" i="15"/>
  <c r="CH163" i="15"/>
  <c r="CH164" i="15"/>
  <c r="CH165" i="15"/>
  <c r="CH166" i="15"/>
  <c r="CH167" i="15"/>
  <c r="CH168" i="15"/>
  <c r="CH169" i="15"/>
  <c r="CH170" i="15"/>
  <c r="CH171" i="15"/>
  <c r="CH172" i="15"/>
  <c r="CH173" i="15"/>
  <c r="CH174" i="15"/>
  <c r="CH175" i="15"/>
  <c r="CH176" i="15"/>
  <c r="CH177" i="15"/>
  <c r="CH178" i="15"/>
  <c r="CH179" i="15"/>
  <c r="CH180" i="15"/>
  <c r="CH181" i="15"/>
  <c r="CH182" i="15"/>
  <c r="CH183" i="15"/>
  <c r="CH184" i="15"/>
  <c r="CH185" i="15"/>
  <c r="CH186" i="15"/>
  <c r="CH187" i="15"/>
  <c r="CH188" i="15"/>
  <c r="CH189" i="15"/>
  <c r="CH190" i="15"/>
  <c r="CH191" i="15"/>
  <c r="CH192" i="15"/>
  <c r="CH193" i="15"/>
  <c r="CH194" i="15"/>
  <c r="CH195" i="15"/>
  <c r="CH196" i="15"/>
  <c r="CH197" i="15"/>
  <c r="CH198" i="15"/>
  <c r="CH199" i="15"/>
  <c r="CH200" i="15"/>
  <c r="CH201" i="15"/>
  <c r="CH202" i="15"/>
  <c r="CH203" i="15"/>
  <c r="CH204" i="15"/>
  <c r="CH205" i="15"/>
  <c r="CH206" i="15"/>
  <c r="CH207" i="15"/>
  <c r="CH208" i="15"/>
  <c r="CH209" i="15"/>
  <c r="CH210" i="15"/>
  <c r="CH211" i="15"/>
  <c r="CH212" i="15"/>
  <c r="CH213" i="15"/>
  <c r="CH214" i="15"/>
  <c r="CH215" i="15"/>
  <c r="CH216" i="15"/>
  <c r="CH217" i="15"/>
  <c r="CH218" i="15"/>
  <c r="CH219" i="15"/>
  <c r="CH220" i="15"/>
  <c r="CH221" i="15"/>
  <c r="CH222" i="15"/>
  <c r="CH223" i="15"/>
  <c r="CH224" i="15"/>
  <c r="CH225" i="15"/>
  <c r="CH226" i="15"/>
  <c r="CH227" i="15"/>
  <c r="CH228" i="15"/>
  <c r="CH229" i="15"/>
  <c r="CH230" i="15"/>
  <c r="AB3" i="15"/>
  <c r="CC24" i="15"/>
  <c r="BX3" i="15"/>
  <c r="BX4" i="15"/>
  <c r="BX5" i="15"/>
  <c r="BX6" i="15"/>
  <c r="BX7" i="15"/>
  <c r="BX8" i="15"/>
  <c r="BX9" i="15"/>
  <c r="BX10" i="15"/>
  <c r="BX11" i="15"/>
  <c r="BX12" i="15"/>
  <c r="BX13" i="15"/>
  <c r="BX14" i="15"/>
  <c r="BX15" i="15"/>
  <c r="BX16" i="15"/>
  <c r="BX17" i="15"/>
  <c r="BX18" i="15"/>
  <c r="BX19" i="15"/>
  <c r="BX20" i="15"/>
  <c r="BX21" i="15"/>
  <c r="BX22" i="15"/>
  <c r="BX23" i="15"/>
  <c r="BX24" i="15"/>
  <c r="BX25" i="15"/>
  <c r="BX26" i="15"/>
  <c r="BX27" i="15"/>
  <c r="BX28" i="15"/>
  <c r="BX29" i="15"/>
  <c r="BX30" i="15"/>
  <c r="BX31" i="15"/>
  <c r="BX32" i="15"/>
  <c r="BX33" i="15"/>
  <c r="BX34" i="15"/>
  <c r="BX35" i="15"/>
  <c r="BX36" i="15"/>
  <c r="BX37" i="15"/>
  <c r="BX38" i="15"/>
  <c r="BX39" i="15"/>
  <c r="BX40" i="15"/>
  <c r="BX41" i="15"/>
  <c r="BX42" i="15"/>
  <c r="BX43" i="15"/>
  <c r="BX44" i="15"/>
  <c r="BX45" i="15"/>
  <c r="BX46" i="15"/>
  <c r="BX47" i="15"/>
  <c r="BX48" i="15"/>
  <c r="BX49" i="15"/>
  <c r="BX50" i="15"/>
  <c r="BX51" i="15"/>
  <c r="BX52" i="15"/>
  <c r="BX53" i="15"/>
  <c r="BX54" i="15"/>
  <c r="BX55" i="15"/>
  <c r="BX56" i="15"/>
  <c r="BX57" i="15"/>
  <c r="BX58" i="15"/>
  <c r="BX59" i="15"/>
  <c r="BX60" i="15"/>
  <c r="BX61" i="15"/>
  <c r="BX62" i="15"/>
  <c r="BX63" i="15"/>
  <c r="BX64" i="15"/>
  <c r="BX65" i="15"/>
  <c r="BX66" i="15"/>
  <c r="BX67" i="15"/>
  <c r="BX68" i="15"/>
  <c r="BX69" i="15"/>
  <c r="BX70" i="15"/>
  <c r="BX71" i="15"/>
  <c r="BX72" i="15"/>
  <c r="BX73" i="15"/>
  <c r="BX74" i="15"/>
  <c r="BX75" i="15"/>
  <c r="BX76" i="15"/>
  <c r="BX77" i="15"/>
  <c r="BX78" i="15"/>
  <c r="BX79" i="15"/>
  <c r="BX80" i="15"/>
  <c r="BX81" i="15"/>
  <c r="BX82" i="15"/>
  <c r="BX83" i="15"/>
  <c r="BX84" i="15"/>
  <c r="BX85" i="15"/>
  <c r="BX86" i="15"/>
  <c r="BX87" i="15"/>
  <c r="BX88" i="15"/>
  <c r="BX89" i="15"/>
  <c r="BX90" i="15"/>
  <c r="BX91" i="15"/>
  <c r="BX92" i="15"/>
  <c r="BX93" i="15"/>
  <c r="BX94" i="15"/>
  <c r="BX95" i="15"/>
  <c r="BX96" i="15"/>
  <c r="BX97" i="15"/>
  <c r="BX98" i="15"/>
  <c r="BX99" i="15"/>
  <c r="BX100" i="15"/>
  <c r="BX101" i="15"/>
  <c r="BX102" i="15"/>
  <c r="BX103" i="15"/>
  <c r="BX104" i="15"/>
  <c r="BX105" i="15"/>
  <c r="BX106" i="15"/>
  <c r="BX107" i="15"/>
  <c r="BX108" i="15"/>
  <c r="BX109" i="15"/>
  <c r="BX110" i="15"/>
  <c r="BX111" i="15"/>
  <c r="BX112" i="15"/>
  <c r="BX113" i="15"/>
  <c r="BX114" i="15"/>
  <c r="BX115" i="15"/>
  <c r="BX116" i="15"/>
  <c r="BX117" i="15"/>
  <c r="BX118" i="15"/>
  <c r="BX119" i="15"/>
  <c r="BX120" i="15"/>
  <c r="BX121" i="15"/>
  <c r="BX122" i="15"/>
  <c r="BX123" i="15"/>
  <c r="BX124" i="15"/>
  <c r="BX125" i="15"/>
  <c r="BX126" i="15"/>
  <c r="BX127" i="15"/>
  <c r="BX128" i="15"/>
  <c r="BX129" i="15"/>
  <c r="BX130" i="15"/>
  <c r="BX131" i="15"/>
  <c r="BX132" i="15"/>
  <c r="BX133" i="15"/>
  <c r="BX134" i="15"/>
  <c r="BX135" i="15"/>
  <c r="BX136" i="15"/>
  <c r="BX137" i="15"/>
  <c r="BX138" i="15"/>
  <c r="BX139" i="15"/>
  <c r="BX140" i="15"/>
  <c r="BX141" i="15"/>
  <c r="BX142" i="15"/>
  <c r="BX143" i="15"/>
  <c r="BX144" i="15"/>
  <c r="BX145" i="15"/>
  <c r="BX146" i="15"/>
  <c r="BX147" i="15"/>
  <c r="BX148" i="15"/>
  <c r="BX149" i="15"/>
  <c r="BX150" i="15"/>
  <c r="BX151" i="15"/>
  <c r="BX152" i="15"/>
  <c r="BX153" i="15"/>
  <c r="BX154" i="15"/>
  <c r="BX155" i="15"/>
  <c r="BX156" i="15"/>
  <c r="BX157" i="15"/>
  <c r="BX158" i="15"/>
  <c r="BX159" i="15"/>
  <c r="BX160" i="15"/>
  <c r="BX161" i="15"/>
  <c r="BX162" i="15"/>
  <c r="BX163" i="15"/>
  <c r="BX164" i="15"/>
  <c r="BX165" i="15"/>
  <c r="BX166" i="15"/>
  <c r="BX167" i="15"/>
  <c r="BX168" i="15"/>
  <c r="BX169" i="15"/>
  <c r="BX170" i="15"/>
  <c r="BX171" i="15"/>
  <c r="BX172" i="15"/>
  <c r="BX173" i="15"/>
  <c r="BX174" i="15"/>
  <c r="BX175" i="15"/>
  <c r="BX176" i="15"/>
  <c r="BX177" i="15"/>
  <c r="BX178" i="15"/>
  <c r="BX179" i="15"/>
  <c r="BX180" i="15"/>
  <c r="BX181" i="15"/>
  <c r="BX182" i="15"/>
  <c r="BX183" i="15"/>
  <c r="BX184" i="15"/>
  <c r="BX185" i="15"/>
  <c r="BX186" i="15"/>
  <c r="BX187" i="15"/>
  <c r="BX188" i="15"/>
  <c r="BX189" i="15"/>
  <c r="BX190" i="15"/>
  <c r="BX191" i="15"/>
  <c r="BX192" i="15"/>
  <c r="BX193" i="15"/>
  <c r="BX194" i="15"/>
  <c r="BX195" i="15"/>
  <c r="BX196" i="15"/>
  <c r="BX197" i="15"/>
  <c r="BX198" i="15"/>
  <c r="BX199" i="15"/>
  <c r="BX200" i="15"/>
  <c r="BX201" i="15"/>
  <c r="BX202" i="15"/>
  <c r="BX203" i="15"/>
  <c r="BX204" i="15"/>
  <c r="BX205" i="15"/>
  <c r="BX206" i="15"/>
  <c r="BX207" i="15"/>
  <c r="BX208" i="15"/>
  <c r="BX209" i="15"/>
  <c r="BX210" i="15"/>
  <c r="BX211" i="15"/>
  <c r="BX212" i="15"/>
  <c r="BX213" i="15"/>
  <c r="BX214" i="15"/>
  <c r="BX215" i="15"/>
  <c r="BX216" i="15"/>
  <c r="BX217" i="15"/>
  <c r="BX218" i="15"/>
  <c r="BX219" i="15"/>
  <c r="BX220" i="15"/>
  <c r="BX221" i="15"/>
  <c r="BX222" i="15"/>
  <c r="BX223" i="15"/>
  <c r="BX224" i="15"/>
  <c r="BX225" i="15"/>
  <c r="BX226" i="15"/>
  <c r="BX227" i="15"/>
  <c r="BX228" i="15"/>
  <c r="BX229" i="15"/>
  <c r="BX230" i="15"/>
  <c r="BW3" i="15"/>
  <c r="BW4" i="15"/>
  <c r="BW5" i="15"/>
  <c r="BW6" i="15"/>
  <c r="BW7" i="15"/>
  <c r="BW8" i="15"/>
  <c r="BW9" i="15"/>
  <c r="BW10" i="15"/>
  <c r="BW11" i="15"/>
  <c r="BW12" i="15"/>
  <c r="BW13" i="15"/>
  <c r="BW14" i="15"/>
  <c r="BW15" i="15"/>
  <c r="BW16" i="15"/>
  <c r="BW17" i="15"/>
  <c r="BW18" i="15"/>
  <c r="BW19" i="15"/>
  <c r="BW20" i="15"/>
  <c r="BW21" i="15"/>
  <c r="BW22" i="15"/>
  <c r="BW23" i="15"/>
  <c r="BW24" i="15"/>
  <c r="BW25" i="15"/>
  <c r="BW26" i="15"/>
  <c r="BW27" i="15"/>
  <c r="BW28" i="15"/>
  <c r="BW29" i="15"/>
  <c r="BW30" i="15"/>
  <c r="BW31" i="15"/>
  <c r="BW32" i="15"/>
  <c r="BW33" i="15"/>
  <c r="BW34" i="15"/>
  <c r="BW35" i="15"/>
  <c r="BW36" i="15"/>
  <c r="BW37" i="15"/>
  <c r="BW38" i="15"/>
  <c r="BW39" i="15"/>
  <c r="BW40" i="15"/>
  <c r="BW41" i="15"/>
  <c r="BW42" i="15"/>
  <c r="BW43" i="15"/>
  <c r="BW44" i="15"/>
  <c r="BW45" i="15"/>
  <c r="BW46" i="15"/>
  <c r="BW47" i="15"/>
  <c r="BW48" i="15"/>
  <c r="BW49" i="15"/>
  <c r="BW50" i="15"/>
  <c r="BW51" i="15"/>
  <c r="BW52" i="15"/>
  <c r="BW53" i="15"/>
  <c r="BW54" i="15"/>
  <c r="BW55" i="15"/>
  <c r="BW56" i="15"/>
  <c r="BW57" i="15"/>
  <c r="BW58" i="15"/>
  <c r="BW59" i="15"/>
  <c r="BW60" i="15"/>
  <c r="BW61" i="15"/>
  <c r="BW62" i="15"/>
  <c r="BW63" i="15"/>
  <c r="BW64" i="15"/>
  <c r="BW65" i="15"/>
  <c r="BW66" i="15"/>
  <c r="BW67" i="15"/>
  <c r="BW68" i="15"/>
  <c r="BW69" i="15"/>
  <c r="BW70" i="15"/>
  <c r="BW71" i="15"/>
  <c r="BW72" i="15"/>
  <c r="BW73" i="15"/>
  <c r="BW74" i="15"/>
  <c r="BW75" i="15"/>
  <c r="BW76" i="15"/>
  <c r="BW77" i="15"/>
  <c r="BW78" i="15"/>
  <c r="BW79" i="15"/>
  <c r="BW80" i="15"/>
  <c r="BW81" i="15"/>
  <c r="BW82" i="15"/>
  <c r="BW83" i="15"/>
  <c r="BW84" i="15"/>
  <c r="BW85" i="15"/>
  <c r="BW86" i="15"/>
  <c r="BW87" i="15"/>
  <c r="BW88" i="15"/>
  <c r="BW89" i="15"/>
  <c r="BW90" i="15"/>
  <c r="BW91" i="15"/>
  <c r="BW92" i="15"/>
  <c r="BW93" i="15"/>
  <c r="BW94" i="15"/>
  <c r="BW95" i="15"/>
  <c r="BW96" i="15"/>
  <c r="BW97" i="15"/>
  <c r="BW98" i="15"/>
  <c r="BW99" i="15"/>
  <c r="BW100" i="15"/>
  <c r="BW101" i="15"/>
  <c r="BW102" i="15"/>
  <c r="BW103" i="15"/>
  <c r="BW104" i="15"/>
  <c r="BW105" i="15"/>
  <c r="BW106" i="15"/>
  <c r="BW107" i="15"/>
  <c r="BW108" i="15"/>
  <c r="BW109" i="15"/>
  <c r="BW110" i="15"/>
  <c r="BW111" i="15"/>
  <c r="BW112" i="15"/>
  <c r="BW113" i="15"/>
  <c r="BW114" i="15"/>
  <c r="BW115" i="15"/>
  <c r="BW116" i="15"/>
  <c r="BW117" i="15"/>
  <c r="BW118" i="15"/>
  <c r="BW119" i="15"/>
  <c r="BW120" i="15"/>
  <c r="BW121" i="15"/>
  <c r="BW122" i="15"/>
  <c r="BW123" i="15"/>
  <c r="BW124" i="15"/>
  <c r="BW125" i="15"/>
  <c r="BW126" i="15"/>
  <c r="BW127" i="15"/>
  <c r="BW128" i="15"/>
  <c r="BW129" i="15"/>
  <c r="BW130" i="15"/>
  <c r="BW131" i="15"/>
  <c r="BW132" i="15"/>
  <c r="BW133" i="15"/>
  <c r="BW134" i="15"/>
  <c r="BW135" i="15"/>
  <c r="BW136" i="15"/>
  <c r="BW137" i="15"/>
  <c r="BW138" i="15"/>
  <c r="BW139" i="15"/>
  <c r="BW140" i="15"/>
  <c r="BW141" i="15"/>
  <c r="BW142" i="15"/>
  <c r="BW143" i="15"/>
  <c r="BW144" i="15"/>
  <c r="BW145" i="15"/>
  <c r="BW146" i="15"/>
  <c r="BW147" i="15"/>
  <c r="BW148" i="15"/>
  <c r="BW149" i="15"/>
  <c r="BW150" i="15"/>
  <c r="BW151" i="15"/>
  <c r="BW152" i="15"/>
  <c r="BW153" i="15"/>
  <c r="BW154" i="15"/>
  <c r="BW155" i="15"/>
  <c r="BW156" i="15"/>
  <c r="BW157" i="15"/>
  <c r="BW158" i="15"/>
  <c r="BW159" i="15"/>
  <c r="BW160" i="15"/>
  <c r="BW161" i="15"/>
  <c r="BW162" i="15"/>
  <c r="BW163" i="15"/>
  <c r="BW164" i="15"/>
  <c r="BW165" i="15"/>
  <c r="BW166" i="15"/>
  <c r="BW167" i="15"/>
  <c r="BW168" i="15"/>
  <c r="BW169" i="15"/>
  <c r="BW170" i="15"/>
  <c r="BW171" i="15"/>
  <c r="BW172" i="15"/>
  <c r="BW173" i="15"/>
  <c r="BW174" i="15"/>
  <c r="BW175" i="15"/>
  <c r="BW176" i="15"/>
  <c r="BW177" i="15"/>
  <c r="BW178" i="15"/>
  <c r="BW179" i="15"/>
  <c r="BW180" i="15"/>
  <c r="BW181" i="15"/>
  <c r="BW182" i="15"/>
  <c r="BW183" i="15"/>
  <c r="BW184" i="15"/>
  <c r="BW185" i="15"/>
  <c r="BW186" i="15"/>
  <c r="BW187" i="15"/>
  <c r="BW188" i="15"/>
  <c r="BW189" i="15"/>
  <c r="BW190" i="15"/>
  <c r="BW191" i="15"/>
  <c r="BW192" i="15"/>
  <c r="BW193" i="15"/>
  <c r="BW194" i="15"/>
  <c r="BW195" i="15"/>
  <c r="BW196" i="15"/>
  <c r="BW197" i="15"/>
  <c r="BW198" i="15"/>
  <c r="BW199" i="15"/>
  <c r="BW200" i="15"/>
  <c r="BW201" i="15"/>
  <c r="BW202" i="15"/>
  <c r="BW203" i="15"/>
  <c r="BW204" i="15"/>
  <c r="BW205" i="15"/>
  <c r="BW206" i="15"/>
  <c r="BW207" i="15"/>
  <c r="BW208" i="15"/>
  <c r="BW209" i="15"/>
  <c r="BW210" i="15"/>
  <c r="BW211" i="15"/>
  <c r="BW212" i="15"/>
  <c r="BW213" i="15"/>
  <c r="BW214" i="15"/>
  <c r="BW215" i="15"/>
  <c r="BW216" i="15"/>
  <c r="BW217" i="15"/>
  <c r="BW218" i="15"/>
  <c r="BW219" i="15"/>
  <c r="BW220" i="15"/>
  <c r="BW221" i="15"/>
  <c r="BW222" i="15"/>
  <c r="BW223" i="15"/>
  <c r="BW224" i="15"/>
  <c r="BW225" i="15"/>
  <c r="BW226" i="15"/>
  <c r="BW227" i="15"/>
  <c r="BW228" i="15"/>
  <c r="BW229" i="15"/>
  <c r="BW230" i="15"/>
  <c r="BV3" i="15"/>
  <c r="BV4" i="15"/>
  <c r="BV5" i="15"/>
  <c r="BV6" i="15"/>
  <c r="BV7" i="15"/>
  <c r="BV8" i="15"/>
  <c r="BV9" i="15"/>
  <c r="BV10" i="15"/>
  <c r="BV11" i="15"/>
  <c r="BV12" i="15"/>
  <c r="BV13" i="15"/>
  <c r="BV14" i="15"/>
  <c r="BV15" i="15"/>
  <c r="BV16" i="15"/>
  <c r="BV17" i="15"/>
  <c r="BV18" i="15"/>
  <c r="BV19" i="15"/>
  <c r="BV20" i="15"/>
  <c r="BV21" i="15"/>
  <c r="BV22" i="15"/>
  <c r="BV23" i="15"/>
  <c r="BV24" i="15"/>
  <c r="BV25" i="15"/>
  <c r="BV26" i="15"/>
  <c r="BV27" i="15"/>
  <c r="BV28" i="15"/>
  <c r="BV29" i="15"/>
  <c r="BV30" i="15"/>
  <c r="BV31" i="15"/>
  <c r="BV32" i="15"/>
  <c r="BV33" i="15"/>
  <c r="BV34" i="15"/>
  <c r="BV35" i="15"/>
  <c r="BV36" i="15"/>
  <c r="BV37" i="15"/>
  <c r="BV38" i="15"/>
  <c r="BV39" i="15"/>
  <c r="BV40" i="15"/>
  <c r="BV41" i="15"/>
  <c r="BV42" i="15"/>
  <c r="BV43" i="15"/>
  <c r="BV44" i="15"/>
  <c r="BV45" i="15"/>
  <c r="BV46" i="15"/>
  <c r="BV47" i="15"/>
  <c r="BV48" i="15"/>
  <c r="BV49" i="15"/>
  <c r="BV50" i="15"/>
  <c r="BV51" i="15"/>
  <c r="BV52" i="15"/>
  <c r="BV53" i="15"/>
  <c r="BV54" i="15"/>
  <c r="BV55" i="15"/>
  <c r="BV56" i="15"/>
  <c r="BV57" i="15"/>
  <c r="BV58" i="15"/>
  <c r="BV59" i="15"/>
  <c r="BV60" i="15"/>
  <c r="BV61" i="15"/>
  <c r="BV62" i="15"/>
  <c r="BV63" i="15"/>
  <c r="BV64" i="15"/>
  <c r="BV65" i="15"/>
  <c r="BV66" i="15"/>
  <c r="BV67" i="15"/>
  <c r="BV68" i="15"/>
  <c r="BV69" i="15"/>
  <c r="BV70" i="15"/>
  <c r="BV71" i="15"/>
  <c r="BV72" i="15"/>
  <c r="BV73" i="15"/>
  <c r="BV74" i="15"/>
  <c r="BV75" i="15"/>
  <c r="BV76" i="15"/>
  <c r="BV77" i="15"/>
  <c r="BV78" i="15"/>
  <c r="BV79" i="15"/>
  <c r="BV80" i="15"/>
  <c r="BV81" i="15"/>
  <c r="BV82" i="15"/>
  <c r="BV83" i="15"/>
  <c r="BV84" i="15"/>
  <c r="BV85" i="15"/>
  <c r="BV86" i="15"/>
  <c r="BV87" i="15"/>
  <c r="BV88" i="15"/>
  <c r="BV89" i="15"/>
  <c r="BV90" i="15"/>
  <c r="BV91" i="15"/>
  <c r="BV92" i="15"/>
  <c r="BV93" i="15"/>
  <c r="BV94" i="15"/>
  <c r="BV95" i="15"/>
  <c r="BV96" i="15"/>
  <c r="BV97" i="15"/>
  <c r="BV98" i="15"/>
  <c r="BV99" i="15"/>
  <c r="BV100" i="15"/>
  <c r="BV101" i="15"/>
  <c r="BV102" i="15"/>
  <c r="BV103" i="15"/>
  <c r="BV104" i="15"/>
  <c r="BV105" i="15"/>
  <c r="BV106" i="15"/>
  <c r="BV107" i="15"/>
  <c r="BV108" i="15"/>
  <c r="BV109" i="15"/>
  <c r="BV110" i="15"/>
  <c r="BV111" i="15"/>
  <c r="BV112" i="15"/>
  <c r="BV113" i="15"/>
  <c r="BV114" i="15"/>
  <c r="BV115" i="15"/>
  <c r="BV116" i="15"/>
  <c r="BV117" i="15"/>
  <c r="BV118" i="15"/>
  <c r="BV119" i="15"/>
  <c r="BV120" i="15"/>
  <c r="BV121" i="15"/>
  <c r="BV122" i="15"/>
  <c r="BV123" i="15"/>
  <c r="BV124" i="15"/>
  <c r="BV125" i="15"/>
  <c r="BV126" i="15"/>
  <c r="BV127" i="15"/>
  <c r="BV128" i="15"/>
  <c r="BV129" i="15"/>
  <c r="BV130" i="15"/>
  <c r="BV131" i="15"/>
  <c r="BV132" i="15"/>
  <c r="BV133" i="15"/>
  <c r="BV134" i="15"/>
  <c r="BV135" i="15"/>
  <c r="BV136" i="15"/>
  <c r="BV137" i="15"/>
  <c r="BV138" i="15"/>
  <c r="BV139" i="15"/>
  <c r="BV140" i="15"/>
  <c r="BV141" i="15"/>
  <c r="BV142" i="15"/>
  <c r="BV143" i="15"/>
  <c r="BV144" i="15"/>
  <c r="BV145" i="15"/>
  <c r="BV146" i="15"/>
  <c r="BV147" i="15"/>
  <c r="BV148" i="15"/>
  <c r="BV149" i="15"/>
  <c r="BV150" i="15"/>
  <c r="BV151" i="15"/>
  <c r="BV152" i="15"/>
  <c r="BV153" i="15"/>
  <c r="BV154" i="15"/>
  <c r="BV155" i="15"/>
  <c r="BV156" i="15"/>
  <c r="BV157" i="15"/>
  <c r="BV158" i="15"/>
  <c r="BV159" i="15"/>
  <c r="BV160" i="15"/>
  <c r="BV161" i="15"/>
  <c r="BV162" i="15"/>
  <c r="BV163" i="15"/>
  <c r="BV164" i="15"/>
  <c r="BV165" i="15"/>
  <c r="BV166" i="15"/>
  <c r="BV167" i="15"/>
  <c r="BV168" i="15"/>
  <c r="BV169" i="15"/>
  <c r="BV170" i="15"/>
  <c r="BV171" i="15"/>
  <c r="BV172" i="15"/>
  <c r="BV173" i="15"/>
  <c r="BV174" i="15"/>
  <c r="BV175" i="15"/>
  <c r="BV176" i="15"/>
  <c r="BV177" i="15"/>
  <c r="BV178" i="15"/>
  <c r="BV179" i="15"/>
  <c r="BV180" i="15"/>
  <c r="BV181" i="15"/>
  <c r="BV182" i="15"/>
  <c r="BV183" i="15"/>
  <c r="BV184" i="15"/>
  <c r="BV185" i="15"/>
  <c r="BV186" i="15"/>
  <c r="BV187" i="15"/>
  <c r="BV188" i="15"/>
  <c r="BV189" i="15"/>
  <c r="BV190" i="15"/>
  <c r="BV191" i="15"/>
  <c r="BV192" i="15"/>
  <c r="BV193" i="15"/>
  <c r="BV194" i="15"/>
  <c r="BV195" i="15"/>
  <c r="BV196" i="15"/>
  <c r="BV197" i="15"/>
  <c r="BV198" i="15"/>
  <c r="BV199" i="15"/>
  <c r="BV200" i="15"/>
  <c r="BV201" i="15"/>
  <c r="BV202" i="15"/>
  <c r="BV203" i="15"/>
  <c r="BV204" i="15"/>
  <c r="BV205" i="15"/>
  <c r="BV206" i="15"/>
  <c r="BV207" i="15"/>
  <c r="BV208" i="15"/>
  <c r="BV209" i="15"/>
  <c r="BV210" i="15"/>
  <c r="BV211" i="15"/>
  <c r="BV212" i="15"/>
  <c r="BV213" i="15"/>
  <c r="BV214" i="15"/>
  <c r="BV215" i="15"/>
  <c r="BV216" i="15"/>
  <c r="BV217" i="15"/>
  <c r="BV218" i="15"/>
  <c r="BV219" i="15"/>
  <c r="BV220" i="15"/>
  <c r="BV221" i="15"/>
  <c r="BV222" i="15"/>
  <c r="BV223" i="15"/>
  <c r="BV224" i="15"/>
  <c r="BV225" i="15"/>
  <c r="BV226" i="15"/>
  <c r="BV227" i="15"/>
  <c r="BV228" i="15"/>
  <c r="BV229" i="15"/>
  <c r="BV230" i="15"/>
  <c r="BU3" i="15"/>
  <c r="BU4" i="15"/>
  <c r="BU5" i="15"/>
  <c r="BU6" i="15"/>
  <c r="BU7" i="15"/>
  <c r="BU8" i="15"/>
  <c r="BU9" i="15"/>
  <c r="BU10" i="15"/>
  <c r="BU11" i="15"/>
  <c r="BU12" i="15"/>
  <c r="BU13" i="15"/>
  <c r="BU14" i="15"/>
  <c r="BU15" i="15"/>
  <c r="BU16" i="15"/>
  <c r="BU17" i="15"/>
  <c r="BU18" i="15"/>
  <c r="BU19" i="15"/>
  <c r="BU20" i="15"/>
  <c r="BU21" i="15"/>
  <c r="BU22" i="15"/>
  <c r="BU23" i="15"/>
  <c r="BU24" i="15"/>
  <c r="BU25" i="15"/>
  <c r="BU26" i="15"/>
  <c r="BU27" i="15"/>
  <c r="BU28" i="15"/>
  <c r="BU29" i="15"/>
  <c r="BU30" i="15"/>
  <c r="BU31" i="15"/>
  <c r="BU32" i="15"/>
  <c r="BU33" i="15"/>
  <c r="BU34" i="15"/>
  <c r="BU35" i="15"/>
  <c r="BU36" i="15"/>
  <c r="BU37" i="15"/>
  <c r="BU38" i="15"/>
  <c r="BU39" i="15"/>
  <c r="BU40" i="15"/>
  <c r="BU41" i="15"/>
  <c r="BU42" i="15"/>
  <c r="BU43" i="15"/>
  <c r="BU44" i="15"/>
  <c r="BU45" i="15"/>
  <c r="BU46" i="15"/>
  <c r="BU47" i="15"/>
  <c r="BU48" i="15"/>
  <c r="BU49" i="15"/>
  <c r="BU50" i="15"/>
  <c r="BU51" i="15"/>
  <c r="BU52" i="15"/>
  <c r="BU53" i="15"/>
  <c r="BU54" i="15"/>
  <c r="BU55" i="15"/>
  <c r="BU56" i="15"/>
  <c r="BU57" i="15"/>
  <c r="BU58" i="15"/>
  <c r="BU59" i="15"/>
  <c r="BU60" i="15"/>
  <c r="BU61" i="15"/>
  <c r="BU62" i="15"/>
  <c r="BU63" i="15"/>
  <c r="BU64" i="15"/>
  <c r="BU65" i="15"/>
  <c r="BU66" i="15"/>
  <c r="BU67" i="15"/>
  <c r="BU68" i="15"/>
  <c r="BU69" i="15"/>
  <c r="BU70" i="15"/>
  <c r="BU71" i="15"/>
  <c r="BU72" i="15"/>
  <c r="BU73" i="15"/>
  <c r="BU74" i="15"/>
  <c r="BU75" i="15"/>
  <c r="BU76" i="15"/>
  <c r="BU77" i="15"/>
  <c r="BU78" i="15"/>
  <c r="BU79" i="15"/>
  <c r="BU80" i="15"/>
  <c r="BU81" i="15"/>
  <c r="BU82" i="15"/>
  <c r="BU83" i="15"/>
  <c r="BU84" i="15"/>
  <c r="BU85" i="15"/>
  <c r="BU86" i="15"/>
  <c r="BU87" i="15"/>
  <c r="BU88" i="15"/>
  <c r="BU89" i="15"/>
  <c r="BU90" i="15"/>
  <c r="BU91" i="15"/>
  <c r="BU92" i="15"/>
  <c r="BU93" i="15"/>
  <c r="BU94" i="15"/>
  <c r="BU95" i="15"/>
  <c r="BU96" i="15"/>
  <c r="BU97" i="15"/>
  <c r="BU98" i="15"/>
  <c r="BU99" i="15"/>
  <c r="BU100" i="15"/>
  <c r="BU101" i="15"/>
  <c r="BU102" i="15"/>
  <c r="BU103" i="15"/>
  <c r="BU104" i="15"/>
  <c r="BU105" i="15"/>
  <c r="BU106" i="15"/>
  <c r="BU107" i="15"/>
  <c r="BU108" i="15"/>
  <c r="BU109" i="15"/>
  <c r="BU110" i="15"/>
  <c r="BU111" i="15"/>
  <c r="BU112" i="15"/>
  <c r="BU113" i="15"/>
  <c r="BU114" i="15"/>
  <c r="BU115" i="15"/>
  <c r="BU116" i="15"/>
  <c r="BU117" i="15"/>
  <c r="BU118" i="15"/>
  <c r="BU119" i="15"/>
  <c r="BU120" i="15"/>
  <c r="BU121" i="15"/>
  <c r="BU122" i="15"/>
  <c r="BU123" i="15"/>
  <c r="BU124" i="15"/>
  <c r="BU125" i="15"/>
  <c r="BU126" i="15"/>
  <c r="BU127" i="15"/>
  <c r="BU128" i="15"/>
  <c r="BU129" i="15"/>
  <c r="BU130" i="15"/>
  <c r="BU131" i="15"/>
  <c r="BU132" i="15"/>
  <c r="BU133" i="15"/>
  <c r="BU134" i="15"/>
  <c r="BU135" i="15"/>
  <c r="BU136" i="15"/>
  <c r="BU137" i="15"/>
  <c r="BU138" i="15"/>
  <c r="BU139" i="15"/>
  <c r="BU140" i="15"/>
  <c r="BU141" i="15"/>
  <c r="BU142" i="15"/>
  <c r="BU143" i="15"/>
  <c r="BU144" i="15"/>
  <c r="BU145" i="15"/>
  <c r="BU146" i="15"/>
  <c r="BU147" i="15"/>
  <c r="BU148" i="15"/>
  <c r="BU149" i="15"/>
  <c r="BU150" i="15"/>
  <c r="BU151" i="15"/>
  <c r="BU152" i="15"/>
  <c r="BU153" i="15"/>
  <c r="BU154" i="15"/>
  <c r="BU155" i="15"/>
  <c r="BU156" i="15"/>
  <c r="BU157" i="15"/>
  <c r="BU158" i="15"/>
  <c r="BU159" i="15"/>
  <c r="BU160" i="15"/>
  <c r="BU161" i="15"/>
  <c r="BU162" i="15"/>
  <c r="BU163" i="15"/>
  <c r="BU164" i="15"/>
  <c r="BU165" i="15"/>
  <c r="BU166" i="15"/>
  <c r="BU167" i="15"/>
  <c r="BU168" i="15"/>
  <c r="BU169" i="15"/>
  <c r="BU170" i="15"/>
  <c r="BU171" i="15"/>
  <c r="BU172" i="15"/>
  <c r="BU173" i="15"/>
  <c r="BU174" i="15"/>
  <c r="BU175" i="15"/>
  <c r="BU176" i="15"/>
  <c r="BU177" i="15"/>
  <c r="BU178" i="15"/>
  <c r="BU179" i="15"/>
  <c r="BU180" i="15"/>
  <c r="BU181" i="15"/>
  <c r="BU182" i="15"/>
  <c r="BU183" i="15"/>
  <c r="BU184" i="15"/>
  <c r="BU185" i="15"/>
  <c r="BU186" i="15"/>
  <c r="BU187" i="15"/>
  <c r="BU188" i="15"/>
  <c r="BU189" i="15"/>
  <c r="BU190" i="15"/>
  <c r="BU191" i="15"/>
  <c r="BU192" i="15"/>
  <c r="BU193" i="15"/>
  <c r="BU194" i="15"/>
  <c r="BU195" i="15"/>
  <c r="BU196" i="15"/>
  <c r="BU197" i="15"/>
  <c r="BU198" i="15"/>
  <c r="BU199" i="15"/>
  <c r="BU200" i="15"/>
  <c r="BU201" i="15"/>
  <c r="BU202" i="15"/>
  <c r="BU203" i="15"/>
  <c r="BU204" i="15"/>
  <c r="BU205" i="15"/>
  <c r="BU206" i="15"/>
  <c r="BU207" i="15"/>
  <c r="BU208" i="15"/>
  <c r="BU209" i="15"/>
  <c r="BU210" i="15"/>
  <c r="BU211" i="15"/>
  <c r="BU212" i="15"/>
  <c r="BU213" i="15"/>
  <c r="BU214" i="15"/>
  <c r="BU215" i="15"/>
  <c r="BU216" i="15"/>
  <c r="BU217" i="15"/>
  <c r="BU218" i="15"/>
  <c r="BU219" i="15"/>
  <c r="BU220" i="15"/>
  <c r="BU221" i="15"/>
  <c r="BU222" i="15"/>
  <c r="BU223" i="15"/>
  <c r="BU224" i="15"/>
  <c r="BU225" i="15"/>
  <c r="BU226" i="15"/>
  <c r="BU227" i="15"/>
  <c r="BU228" i="15"/>
  <c r="BU229" i="15"/>
  <c r="BU230" i="15"/>
  <c r="BT3" i="15"/>
  <c r="BT4" i="15"/>
  <c r="BT5" i="15"/>
  <c r="BT6" i="15"/>
  <c r="BT7" i="15"/>
  <c r="BT8" i="15"/>
  <c r="BT9" i="15"/>
  <c r="BT10" i="15"/>
  <c r="BT11" i="15"/>
  <c r="BT12" i="15"/>
  <c r="BT13" i="15"/>
  <c r="BT14" i="15"/>
  <c r="BT15" i="15"/>
  <c r="BT16" i="15"/>
  <c r="BT17" i="15"/>
  <c r="BT18" i="15"/>
  <c r="BT19" i="15"/>
  <c r="BT20" i="15"/>
  <c r="BT21" i="15"/>
  <c r="BT22" i="15"/>
  <c r="BT23" i="15"/>
  <c r="BT24" i="15"/>
  <c r="BT25" i="15"/>
  <c r="BT26" i="15"/>
  <c r="BT27" i="15"/>
  <c r="BT28" i="15"/>
  <c r="BT29" i="15"/>
  <c r="BT30" i="15"/>
  <c r="BT31" i="15"/>
  <c r="BT32" i="15"/>
  <c r="BT33" i="15"/>
  <c r="BT34" i="15"/>
  <c r="BT35" i="15"/>
  <c r="BT36" i="15"/>
  <c r="BT37" i="15"/>
  <c r="BT38" i="15"/>
  <c r="BT39" i="15"/>
  <c r="BT40" i="15"/>
  <c r="BT41" i="15"/>
  <c r="BT42" i="15"/>
  <c r="BT43" i="15"/>
  <c r="BT44" i="15"/>
  <c r="BT45" i="15"/>
  <c r="BT46" i="15"/>
  <c r="BT47" i="15"/>
  <c r="BT48" i="15"/>
  <c r="BT49" i="15"/>
  <c r="BT50" i="15"/>
  <c r="BT51" i="15"/>
  <c r="BT52" i="15"/>
  <c r="BT53" i="15"/>
  <c r="BT54" i="15"/>
  <c r="BT55" i="15"/>
  <c r="BT56" i="15"/>
  <c r="BT57" i="15"/>
  <c r="BT58" i="15"/>
  <c r="BT59" i="15"/>
  <c r="BT60" i="15"/>
  <c r="BT61" i="15"/>
  <c r="BT62" i="15"/>
  <c r="BT63" i="15"/>
  <c r="BT64" i="15"/>
  <c r="BT65" i="15"/>
  <c r="BT66" i="15"/>
  <c r="BT67" i="15"/>
  <c r="BT68" i="15"/>
  <c r="BT69" i="15"/>
  <c r="BT70" i="15"/>
  <c r="BT71" i="15"/>
  <c r="BT72" i="15"/>
  <c r="BT73" i="15"/>
  <c r="BT74" i="15"/>
  <c r="BT75" i="15"/>
  <c r="BT76" i="15"/>
  <c r="BT77" i="15"/>
  <c r="BT78" i="15"/>
  <c r="BT79" i="15"/>
  <c r="BT80" i="15"/>
  <c r="BT81" i="15"/>
  <c r="BT82" i="15"/>
  <c r="BT83" i="15"/>
  <c r="BT84" i="15"/>
  <c r="BT85" i="15"/>
  <c r="BT86" i="15"/>
  <c r="BT87" i="15"/>
  <c r="BT88" i="15"/>
  <c r="BT89" i="15"/>
  <c r="BT90" i="15"/>
  <c r="BT91" i="15"/>
  <c r="BT92" i="15"/>
  <c r="BT93" i="15"/>
  <c r="BT94" i="15"/>
  <c r="BT95" i="15"/>
  <c r="BT96" i="15"/>
  <c r="BT97" i="15"/>
  <c r="BT98" i="15"/>
  <c r="BT99" i="15"/>
  <c r="BT100" i="15"/>
  <c r="BT101" i="15"/>
  <c r="BT102" i="15"/>
  <c r="BT103" i="15"/>
  <c r="BT104" i="15"/>
  <c r="BT105" i="15"/>
  <c r="BT106" i="15"/>
  <c r="BT107" i="15"/>
  <c r="BT108" i="15"/>
  <c r="BT109" i="15"/>
  <c r="BT110" i="15"/>
  <c r="BT111" i="15"/>
  <c r="BT112" i="15"/>
  <c r="BT113" i="15"/>
  <c r="BT114" i="15"/>
  <c r="BT115" i="15"/>
  <c r="BT116" i="15"/>
  <c r="BT117" i="15"/>
  <c r="BT118" i="15"/>
  <c r="BT119" i="15"/>
  <c r="BT120" i="15"/>
  <c r="BT121" i="15"/>
  <c r="BT122" i="15"/>
  <c r="BT123" i="15"/>
  <c r="BT124" i="15"/>
  <c r="BT125" i="15"/>
  <c r="BT126" i="15"/>
  <c r="BT127" i="15"/>
  <c r="BT128" i="15"/>
  <c r="BT129" i="15"/>
  <c r="BT130" i="15"/>
  <c r="BT131" i="15"/>
  <c r="BT132" i="15"/>
  <c r="BT133" i="15"/>
  <c r="BT134" i="15"/>
  <c r="BT135" i="15"/>
  <c r="BT136" i="15"/>
  <c r="BT137" i="15"/>
  <c r="BT138" i="15"/>
  <c r="BT139" i="15"/>
  <c r="BT140" i="15"/>
  <c r="BT141" i="15"/>
  <c r="BT142" i="15"/>
  <c r="BT143" i="15"/>
  <c r="BT144" i="15"/>
  <c r="BT145" i="15"/>
  <c r="BT146" i="15"/>
  <c r="BT147" i="15"/>
  <c r="BT148" i="15"/>
  <c r="BT149" i="15"/>
  <c r="BT150" i="15"/>
  <c r="BT151" i="15"/>
  <c r="BT152" i="15"/>
  <c r="BT153" i="15"/>
  <c r="BT154" i="15"/>
  <c r="BT155" i="15"/>
  <c r="BT156" i="15"/>
  <c r="BT157" i="15"/>
  <c r="BT158" i="15"/>
  <c r="BT159" i="15"/>
  <c r="BT160" i="15"/>
  <c r="BT161" i="15"/>
  <c r="BT162" i="15"/>
  <c r="BT163" i="15"/>
  <c r="BT164" i="15"/>
  <c r="BT165" i="15"/>
  <c r="BT166" i="15"/>
  <c r="BT167" i="15"/>
  <c r="BT168" i="15"/>
  <c r="BT169" i="15"/>
  <c r="BT170" i="15"/>
  <c r="BT171" i="15"/>
  <c r="BT172" i="15"/>
  <c r="BT173" i="15"/>
  <c r="BT174" i="15"/>
  <c r="BT175" i="15"/>
  <c r="BT176" i="15"/>
  <c r="BT177" i="15"/>
  <c r="BT178" i="15"/>
  <c r="BT179" i="15"/>
  <c r="BT180" i="15"/>
  <c r="BT181" i="15"/>
  <c r="BT182" i="15"/>
  <c r="BT183" i="15"/>
  <c r="BT184" i="15"/>
  <c r="BT185" i="15"/>
  <c r="BT186" i="15"/>
  <c r="BT187" i="15"/>
  <c r="BT188" i="15"/>
  <c r="BT189" i="15"/>
  <c r="BT190" i="15"/>
  <c r="BT191" i="15"/>
  <c r="BT192" i="15"/>
  <c r="BT193" i="15"/>
  <c r="BT194" i="15"/>
  <c r="BT195" i="15"/>
  <c r="BT196" i="15"/>
  <c r="BT197" i="15"/>
  <c r="BT198" i="15"/>
  <c r="BT199" i="15"/>
  <c r="BT200" i="15"/>
  <c r="BT201" i="15"/>
  <c r="BT202" i="15"/>
  <c r="BT203" i="15"/>
  <c r="BT204" i="15"/>
  <c r="BT205" i="15"/>
  <c r="BT206" i="15"/>
  <c r="BT207" i="15"/>
  <c r="BT208" i="15"/>
  <c r="BT209" i="15"/>
  <c r="BT210" i="15"/>
  <c r="BT211" i="15"/>
  <c r="BT212" i="15"/>
  <c r="BT213" i="15"/>
  <c r="BT214" i="15"/>
  <c r="BT215" i="15"/>
  <c r="BT216" i="15"/>
  <c r="BT217" i="15"/>
  <c r="BT218" i="15"/>
  <c r="BT219" i="15"/>
  <c r="BT220" i="15"/>
  <c r="BT221" i="15"/>
  <c r="BT222" i="15"/>
  <c r="BT223" i="15"/>
  <c r="BT224" i="15"/>
  <c r="BT225" i="15"/>
  <c r="BT226" i="15"/>
  <c r="BT227" i="15"/>
  <c r="BT228" i="15"/>
  <c r="BT229" i="15"/>
  <c r="BT230" i="15"/>
  <c r="BS3" i="15"/>
  <c r="BS4" i="15"/>
  <c r="BS5" i="15"/>
  <c r="BS6" i="15"/>
  <c r="BS7" i="15"/>
  <c r="BS8" i="15"/>
  <c r="BS9" i="15"/>
  <c r="BS10" i="15"/>
  <c r="BS11" i="15"/>
  <c r="BS12" i="15"/>
  <c r="BS13" i="15"/>
  <c r="BS14" i="15"/>
  <c r="BS15" i="15"/>
  <c r="BS16" i="15"/>
  <c r="BS17" i="15"/>
  <c r="BS18" i="15"/>
  <c r="BS19" i="15"/>
  <c r="BS20" i="15"/>
  <c r="BS21" i="15"/>
  <c r="BS22" i="15"/>
  <c r="BS23" i="15"/>
  <c r="BS24" i="15"/>
  <c r="BS25" i="15"/>
  <c r="BS26" i="15"/>
  <c r="BS27" i="15"/>
  <c r="BS28" i="15"/>
  <c r="BS29" i="15"/>
  <c r="BS30" i="15"/>
  <c r="BS31" i="15"/>
  <c r="BS32" i="15"/>
  <c r="BS33" i="15"/>
  <c r="BS34" i="15"/>
  <c r="BS35" i="15"/>
  <c r="BS36" i="15"/>
  <c r="BS37" i="15"/>
  <c r="BS38" i="15"/>
  <c r="BS39" i="15"/>
  <c r="BS40" i="15"/>
  <c r="BS41" i="15"/>
  <c r="BS42" i="15"/>
  <c r="BS43" i="15"/>
  <c r="BS44" i="15"/>
  <c r="BS45" i="15"/>
  <c r="BS46" i="15"/>
  <c r="BS47" i="15"/>
  <c r="BS48" i="15"/>
  <c r="BS49" i="15"/>
  <c r="BS50" i="15"/>
  <c r="BS51" i="15"/>
  <c r="BS52" i="15"/>
  <c r="BS53" i="15"/>
  <c r="BS54" i="15"/>
  <c r="BS55" i="15"/>
  <c r="BS56" i="15"/>
  <c r="BS57" i="15"/>
  <c r="BS58" i="15"/>
  <c r="BS59" i="15"/>
  <c r="BS60" i="15"/>
  <c r="BS61" i="15"/>
  <c r="BS62" i="15"/>
  <c r="BS63" i="15"/>
  <c r="BS64" i="15"/>
  <c r="BS65" i="15"/>
  <c r="BS66" i="15"/>
  <c r="BS67" i="15"/>
  <c r="BS68" i="15"/>
  <c r="BS69" i="15"/>
  <c r="BS70" i="15"/>
  <c r="BS71" i="15"/>
  <c r="BS72" i="15"/>
  <c r="BS73" i="15"/>
  <c r="BS74" i="15"/>
  <c r="BS75" i="15"/>
  <c r="BS76" i="15"/>
  <c r="BS77" i="15"/>
  <c r="BS78" i="15"/>
  <c r="BS79" i="15"/>
  <c r="BS80" i="15"/>
  <c r="BS81" i="15"/>
  <c r="BS82" i="15"/>
  <c r="BS83" i="15"/>
  <c r="BS84" i="15"/>
  <c r="BS85" i="15"/>
  <c r="BS86" i="15"/>
  <c r="BS87" i="15"/>
  <c r="BS88" i="15"/>
  <c r="BS89" i="15"/>
  <c r="BS90" i="15"/>
  <c r="BS91" i="15"/>
  <c r="BS92" i="15"/>
  <c r="BS93" i="15"/>
  <c r="BS94" i="15"/>
  <c r="BS95" i="15"/>
  <c r="BS96" i="15"/>
  <c r="BS97" i="15"/>
  <c r="BS98" i="15"/>
  <c r="BS99" i="15"/>
  <c r="BS100" i="15"/>
  <c r="BS101" i="15"/>
  <c r="BS102" i="15"/>
  <c r="BS103" i="15"/>
  <c r="BS104" i="15"/>
  <c r="BS105" i="15"/>
  <c r="BS106" i="15"/>
  <c r="BS107" i="15"/>
  <c r="BS108" i="15"/>
  <c r="BS109" i="15"/>
  <c r="BS110" i="15"/>
  <c r="BS111" i="15"/>
  <c r="BS112" i="15"/>
  <c r="BS113" i="15"/>
  <c r="BS114" i="15"/>
  <c r="BS115" i="15"/>
  <c r="BS116" i="15"/>
  <c r="BS117" i="15"/>
  <c r="BS118" i="15"/>
  <c r="BS119" i="15"/>
  <c r="BS120" i="15"/>
  <c r="BS121" i="15"/>
  <c r="BS122" i="15"/>
  <c r="BS123" i="15"/>
  <c r="BS124" i="15"/>
  <c r="BS125" i="15"/>
  <c r="BS126" i="15"/>
  <c r="BS127" i="15"/>
  <c r="BS128" i="15"/>
  <c r="BS129" i="15"/>
  <c r="BS130" i="15"/>
  <c r="BS131" i="15"/>
  <c r="BS132" i="15"/>
  <c r="BS133" i="15"/>
  <c r="BS134" i="15"/>
  <c r="BS135" i="15"/>
  <c r="BS136" i="15"/>
  <c r="BS137" i="15"/>
  <c r="BS138" i="15"/>
  <c r="BS139" i="15"/>
  <c r="BS140" i="15"/>
  <c r="BS141" i="15"/>
  <c r="BS142" i="15"/>
  <c r="BS143" i="15"/>
  <c r="BS144" i="15"/>
  <c r="BS145" i="15"/>
  <c r="BS146" i="15"/>
  <c r="BS147" i="15"/>
  <c r="BS148" i="15"/>
  <c r="BS149" i="15"/>
  <c r="BS150" i="15"/>
  <c r="BS151" i="15"/>
  <c r="BS152" i="15"/>
  <c r="BS153" i="15"/>
  <c r="BS154" i="15"/>
  <c r="BS155" i="15"/>
  <c r="BS156" i="15"/>
  <c r="BS157" i="15"/>
  <c r="BS158" i="15"/>
  <c r="BS159" i="15"/>
  <c r="BS160" i="15"/>
  <c r="BS161" i="15"/>
  <c r="BS162" i="15"/>
  <c r="BS163" i="15"/>
  <c r="BS164" i="15"/>
  <c r="BS165" i="15"/>
  <c r="BS166" i="15"/>
  <c r="BS167" i="15"/>
  <c r="BS168" i="15"/>
  <c r="BS169" i="15"/>
  <c r="BS170" i="15"/>
  <c r="BS171" i="15"/>
  <c r="BS172" i="15"/>
  <c r="BS173" i="15"/>
  <c r="BS174" i="15"/>
  <c r="BS175" i="15"/>
  <c r="BS176" i="15"/>
  <c r="BS177" i="15"/>
  <c r="BS178" i="15"/>
  <c r="BS179" i="15"/>
  <c r="BS180" i="15"/>
  <c r="BS181" i="15"/>
  <c r="BS182" i="15"/>
  <c r="BS183" i="15"/>
  <c r="BS184" i="15"/>
  <c r="BS185" i="15"/>
  <c r="BS186" i="15"/>
  <c r="BS187" i="15"/>
  <c r="BS188" i="15"/>
  <c r="BS189" i="15"/>
  <c r="BS190" i="15"/>
  <c r="BS191" i="15"/>
  <c r="BS192" i="15"/>
  <c r="BS193" i="15"/>
  <c r="BS194" i="15"/>
  <c r="BS195" i="15"/>
  <c r="BS196" i="15"/>
  <c r="BS197" i="15"/>
  <c r="BS198" i="15"/>
  <c r="BS199" i="15"/>
  <c r="BS200" i="15"/>
  <c r="BS201" i="15"/>
  <c r="BS202" i="15"/>
  <c r="BS203" i="15"/>
  <c r="BS204" i="15"/>
  <c r="BS205" i="15"/>
  <c r="BS206" i="15"/>
  <c r="BS207" i="15"/>
  <c r="BS208" i="15"/>
  <c r="BS209" i="15"/>
  <c r="BS210" i="15"/>
  <c r="BS211" i="15"/>
  <c r="BS212" i="15"/>
  <c r="BS213" i="15"/>
  <c r="BS214" i="15"/>
  <c r="BS215" i="15"/>
  <c r="BS216" i="15"/>
  <c r="BS217" i="15"/>
  <c r="BS218" i="15"/>
  <c r="BS219" i="15"/>
  <c r="BS220" i="15"/>
  <c r="BS221" i="15"/>
  <c r="BS222" i="15"/>
  <c r="BS223" i="15"/>
  <c r="BS224" i="15"/>
  <c r="BS225" i="15"/>
  <c r="BS226" i="15"/>
  <c r="BS227" i="15"/>
  <c r="BS228" i="15"/>
  <c r="BS229" i="15"/>
  <c r="BS230" i="15"/>
  <c r="BC3" i="15"/>
  <c r="BC4" i="15"/>
  <c r="BC5" i="15"/>
  <c r="BC6" i="15"/>
  <c r="BC7" i="15"/>
  <c r="BC8" i="15"/>
  <c r="BC9" i="15"/>
  <c r="BC10" i="15"/>
  <c r="BC11" i="15"/>
  <c r="BC12" i="15"/>
  <c r="BC13" i="15"/>
  <c r="BC14" i="15"/>
  <c r="BC15" i="15"/>
  <c r="BC16" i="15"/>
  <c r="BC17" i="15"/>
  <c r="BC18" i="15"/>
  <c r="BC19" i="15"/>
  <c r="BC20" i="15"/>
  <c r="BC21" i="15"/>
  <c r="BC22" i="15"/>
  <c r="BC23" i="15"/>
  <c r="BC24" i="15"/>
  <c r="BC25" i="15"/>
  <c r="BC26" i="15"/>
  <c r="BC27" i="15"/>
  <c r="BC28" i="15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2" i="15"/>
  <c r="BC73" i="15"/>
  <c r="BC74" i="15"/>
  <c r="BC75" i="15"/>
  <c r="BC76" i="15"/>
  <c r="BC77" i="15"/>
  <c r="BC78" i="15"/>
  <c r="BC79" i="15"/>
  <c r="BC80" i="15"/>
  <c r="BC81" i="15"/>
  <c r="BC82" i="15"/>
  <c r="BC83" i="15"/>
  <c r="BC84" i="15"/>
  <c r="BC85" i="15"/>
  <c r="BC86" i="15"/>
  <c r="BC87" i="15"/>
  <c r="BC88" i="15"/>
  <c r="BC89" i="15"/>
  <c r="BC90" i="15"/>
  <c r="BC91" i="15"/>
  <c r="BC92" i="15"/>
  <c r="BC93" i="15"/>
  <c r="BC94" i="15"/>
  <c r="BC95" i="15"/>
  <c r="BC96" i="15"/>
  <c r="BC97" i="15"/>
  <c r="BC98" i="15"/>
  <c r="BC99" i="15"/>
  <c r="BC100" i="15"/>
  <c r="BC101" i="15"/>
  <c r="BC102" i="15"/>
  <c r="BC103" i="15"/>
  <c r="BC104" i="15"/>
  <c r="BC105" i="15"/>
  <c r="BC106" i="15"/>
  <c r="BC107" i="15"/>
  <c r="BC108" i="15"/>
  <c r="BC109" i="15"/>
  <c r="BC110" i="15"/>
  <c r="BC111" i="15"/>
  <c r="BC112" i="15"/>
  <c r="BC113" i="15"/>
  <c r="BC114" i="15"/>
  <c r="BC115" i="15"/>
  <c r="BC116" i="15"/>
  <c r="BC117" i="15"/>
  <c r="BC118" i="15"/>
  <c r="BC119" i="15"/>
  <c r="BC120" i="15"/>
  <c r="BC121" i="15"/>
  <c r="BC122" i="15"/>
  <c r="BC123" i="15"/>
  <c r="BC124" i="15"/>
  <c r="BC125" i="15"/>
  <c r="BC126" i="15"/>
  <c r="BC127" i="15"/>
  <c r="BC128" i="15"/>
  <c r="BC129" i="15"/>
  <c r="BC130" i="15"/>
  <c r="BC131" i="15"/>
  <c r="BC132" i="15"/>
  <c r="BC133" i="15"/>
  <c r="BC134" i="15"/>
  <c r="BC135" i="15"/>
  <c r="BC136" i="15"/>
  <c r="BC137" i="15"/>
  <c r="BC138" i="15"/>
  <c r="BC139" i="15"/>
  <c r="BC140" i="15"/>
  <c r="BC141" i="15"/>
  <c r="BC142" i="15"/>
  <c r="BC143" i="15"/>
  <c r="BC144" i="15"/>
  <c r="BC145" i="15"/>
  <c r="BC146" i="15"/>
  <c r="BC147" i="15"/>
  <c r="BC148" i="15"/>
  <c r="BC149" i="15"/>
  <c r="BC150" i="15"/>
  <c r="BC151" i="15"/>
  <c r="BC152" i="15"/>
  <c r="BC153" i="15"/>
  <c r="BC154" i="15"/>
  <c r="BC155" i="15"/>
  <c r="BC156" i="15"/>
  <c r="BC157" i="15"/>
  <c r="BC158" i="15"/>
  <c r="BC159" i="15"/>
  <c r="BC160" i="15"/>
  <c r="BC161" i="15"/>
  <c r="BC162" i="15"/>
  <c r="BC163" i="15"/>
  <c r="BC164" i="15"/>
  <c r="BC165" i="15"/>
  <c r="BC166" i="15"/>
  <c r="BC167" i="15"/>
  <c r="BC168" i="15"/>
  <c r="BC169" i="15"/>
  <c r="BC170" i="15"/>
  <c r="BC171" i="15"/>
  <c r="BC172" i="15"/>
  <c r="BC173" i="15"/>
  <c r="BC174" i="15"/>
  <c r="BC175" i="15"/>
  <c r="BC176" i="15"/>
  <c r="BC177" i="15"/>
  <c r="BC178" i="15"/>
  <c r="BC179" i="15"/>
  <c r="BC180" i="15"/>
  <c r="BC181" i="15"/>
  <c r="BC182" i="15"/>
  <c r="BC183" i="15"/>
  <c r="BC184" i="15"/>
  <c r="BC185" i="15"/>
  <c r="BC186" i="15"/>
  <c r="BC187" i="15"/>
  <c r="BC188" i="15"/>
  <c r="BC189" i="15"/>
  <c r="BC190" i="15"/>
  <c r="BC191" i="15"/>
  <c r="BC192" i="15"/>
  <c r="BC193" i="15"/>
  <c r="BC194" i="15"/>
  <c r="BC195" i="15"/>
  <c r="BC196" i="15"/>
  <c r="BC197" i="15"/>
  <c r="BC198" i="15"/>
  <c r="BC199" i="15"/>
  <c r="BC200" i="15"/>
  <c r="BC201" i="15"/>
  <c r="BC202" i="15"/>
  <c r="BC203" i="15"/>
  <c r="BC204" i="15"/>
  <c r="BC205" i="15"/>
  <c r="BC206" i="15"/>
  <c r="BC207" i="15"/>
  <c r="BC208" i="15"/>
  <c r="BC209" i="15"/>
  <c r="BC210" i="15"/>
  <c r="BC211" i="15"/>
  <c r="BC212" i="15"/>
  <c r="BC213" i="15"/>
  <c r="BC214" i="15"/>
  <c r="BC215" i="15"/>
  <c r="BC216" i="15"/>
  <c r="BC217" i="15"/>
  <c r="BC218" i="15"/>
  <c r="BC219" i="15"/>
  <c r="BC220" i="15"/>
  <c r="BC221" i="15"/>
  <c r="BC222" i="15"/>
  <c r="BC223" i="15"/>
  <c r="BC224" i="15"/>
  <c r="BC225" i="15"/>
  <c r="BC226" i="15"/>
  <c r="BC227" i="15"/>
  <c r="BC228" i="15"/>
  <c r="BC229" i="15"/>
  <c r="BC230" i="15"/>
  <c r="AU3" i="15"/>
  <c r="AU4" i="15"/>
  <c r="AU5" i="15"/>
  <c r="AU6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38" i="15"/>
  <c r="AU39" i="15"/>
  <c r="AU40" i="15"/>
  <c r="AU41" i="15"/>
  <c r="AU42" i="15"/>
  <c r="AU43" i="15"/>
  <c r="AU44" i="15"/>
  <c r="AU45" i="15"/>
  <c r="AU46" i="15"/>
  <c r="AU47" i="15"/>
  <c r="AU48" i="15"/>
  <c r="AU49" i="15"/>
  <c r="AU50" i="15"/>
  <c r="AU51" i="15"/>
  <c r="AU52" i="15"/>
  <c r="AU53" i="15"/>
  <c r="AU54" i="15"/>
  <c r="AU55" i="15"/>
  <c r="AU56" i="15"/>
  <c r="AU57" i="15"/>
  <c r="AU58" i="15"/>
  <c r="AU59" i="15"/>
  <c r="AU60" i="15"/>
  <c r="AU61" i="15"/>
  <c r="AU62" i="15"/>
  <c r="AU63" i="15"/>
  <c r="AU64" i="15"/>
  <c r="AU65" i="15"/>
  <c r="AU66" i="15"/>
  <c r="AU67" i="15"/>
  <c r="AU68" i="15"/>
  <c r="AU69" i="15"/>
  <c r="AU70" i="15"/>
  <c r="AU71" i="15"/>
  <c r="AU72" i="15"/>
  <c r="AU73" i="15"/>
  <c r="AU74" i="15"/>
  <c r="AU75" i="15"/>
  <c r="AU76" i="15"/>
  <c r="AU77" i="15"/>
  <c r="AU78" i="15"/>
  <c r="AU79" i="15"/>
  <c r="AU80" i="15"/>
  <c r="AU81" i="15"/>
  <c r="AU82" i="15"/>
  <c r="AU83" i="15"/>
  <c r="AU84" i="15"/>
  <c r="AU85" i="15"/>
  <c r="AU86" i="15"/>
  <c r="AU87" i="15"/>
  <c r="AU88" i="15"/>
  <c r="AU89" i="15"/>
  <c r="AU90" i="15"/>
  <c r="AU91" i="15"/>
  <c r="AU92" i="15"/>
  <c r="AU93" i="15"/>
  <c r="AU94" i="15"/>
  <c r="AU95" i="15"/>
  <c r="AU96" i="15"/>
  <c r="AU97" i="15"/>
  <c r="AU98" i="15"/>
  <c r="AU99" i="15"/>
  <c r="AU100" i="15"/>
  <c r="AU101" i="15"/>
  <c r="AU102" i="15"/>
  <c r="AU103" i="15"/>
  <c r="AU104" i="15"/>
  <c r="AU105" i="15"/>
  <c r="AU106" i="15"/>
  <c r="AU107" i="15"/>
  <c r="AU108" i="15"/>
  <c r="AU109" i="15"/>
  <c r="AU110" i="15"/>
  <c r="AU111" i="15"/>
  <c r="AU112" i="15"/>
  <c r="AU113" i="15"/>
  <c r="AU114" i="15"/>
  <c r="AU115" i="15"/>
  <c r="AU116" i="15"/>
  <c r="AU117" i="15"/>
  <c r="AU118" i="15"/>
  <c r="AU119" i="15"/>
  <c r="AU120" i="15"/>
  <c r="AU121" i="15"/>
  <c r="AU122" i="15"/>
  <c r="AU123" i="15"/>
  <c r="AU124" i="15"/>
  <c r="AU125" i="15"/>
  <c r="AU126" i="15"/>
  <c r="AU127" i="15"/>
  <c r="AU128" i="15"/>
  <c r="AU129" i="15"/>
  <c r="AU130" i="15"/>
  <c r="AU131" i="15"/>
  <c r="AU132" i="15"/>
  <c r="AU133" i="15"/>
  <c r="AU134" i="15"/>
  <c r="AU135" i="15"/>
  <c r="AU136" i="15"/>
  <c r="AU137" i="15"/>
  <c r="AU138" i="15"/>
  <c r="AU139" i="15"/>
  <c r="AU140" i="15"/>
  <c r="AU141" i="15"/>
  <c r="AU142" i="15"/>
  <c r="AU143" i="15"/>
  <c r="AU144" i="15"/>
  <c r="AU145" i="15"/>
  <c r="AU146" i="15"/>
  <c r="AU147" i="15"/>
  <c r="AU148" i="15"/>
  <c r="AU149" i="15"/>
  <c r="AU150" i="15"/>
  <c r="AU151" i="15"/>
  <c r="AU152" i="15"/>
  <c r="AU153" i="15"/>
  <c r="AU154" i="15"/>
  <c r="AU155" i="15"/>
  <c r="AU156" i="15"/>
  <c r="AU157" i="15"/>
  <c r="AU158" i="15"/>
  <c r="AU159" i="15"/>
  <c r="AU160" i="15"/>
  <c r="AU161" i="15"/>
  <c r="AU162" i="15"/>
  <c r="AU163" i="15"/>
  <c r="AU164" i="15"/>
  <c r="AU165" i="15"/>
  <c r="AU166" i="15"/>
  <c r="AU167" i="15"/>
  <c r="AU168" i="15"/>
  <c r="AU169" i="15"/>
  <c r="AU170" i="15"/>
  <c r="AU171" i="15"/>
  <c r="AU172" i="15"/>
  <c r="AU173" i="15"/>
  <c r="AU174" i="15"/>
  <c r="AU175" i="15"/>
  <c r="AU176" i="15"/>
  <c r="AU177" i="15"/>
  <c r="AU178" i="15"/>
  <c r="AU179" i="15"/>
  <c r="AU180" i="15"/>
  <c r="AU181" i="15"/>
  <c r="AU182" i="15"/>
  <c r="AU183" i="15"/>
  <c r="AU184" i="15"/>
  <c r="AU185" i="15"/>
  <c r="AU186" i="15"/>
  <c r="AU187" i="15"/>
  <c r="AU188" i="15"/>
  <c r="AU189" i="15"/>
  <c r="AU190" i="15"/>
  <c r="AU191" i="15"/>
  <c r="AU192" i="15"/>
  <c r="AU193" i="15"/>
  <c r="AU194" i="15"/>
  <c r="AU195" i="15"/>
  <c r="AU196" i="15"/>
  <c r="AU197" i="15"/>
  <c r="AU198" i="15"/>
  <c r="AU199" i="15"/>
  <c r="AU200" i="15"/>
  <c r="AU201" i="15"/>
  <c r="AU202" i="15"/>
  <c r="AU203" i="15"/>
  <c r="AU204" i="15"/>
  <c r="AU205" i="15"/>
  <c r="AU206" i="15"/>
  <c r="AU207" i="15"/>
  <c r="AU208" i="15"/>
  <c r="AU209" i="15"/>
  <c r="AU210" i="15"/>
  <c r="AU211" i="15"/>
  <c r="AU212" i="15"/>
  <c r="AU213" i="15"/>
  <c r="AU214" i="15"/>
  <c r="AU215" i="15"/>
  <c r="AU216" i="15"/>
  <c r="AU217" i="15"/>
  <c r="AU218" i="15"/>
  <c r="AU219" i="15"/>
  <c r="AU220" i="15"/>
  <c r="AU221" i="15"/>
  <c r="AU222" i="15"/>
  <c r="AU223" i="15"/>
  <c r="AU224" i="15"/>
  <c r="AU225" i="15"/>
  <c r="AU226" i="15"/>
  <c r="AU227" i="15"/>
  <c r="AU228" i="15"/>
  <c r="AU229" i="15"/>
  <c r="AU230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215" i="15"/>
  <c r="AH216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59" i="15"/>
  <c r="AG60" i="15"/>
  <c r="AG61" i="15"/>
  <c r="AG62" i="15"/>
  <c r="AG63" i="15"/>
  <c r="AG64" i="15"/>
  <c r="AG65" i="15"/>
  <c r="AG66" i="15"/>
  <c r="AG67" i="15"/>
  <c r="AG68" i="15"/>
  <c r="AG69" i="15"/>
  <c r="AG70" i="15"/>
  <c r="AG71" i="15"/>
  <c r="AG72" i="15"/>
  <c r="AG73" i="15"/>
  <c r="AG74" i="15"/>
  <c r="AG75" i="15"/>
  <c r="AG76" i="15"/>
  <c r="AG77" i="15"/>
  <c r="AG78" i="15"/>
  <c r="AG79" i="15"/>
  <c r="AG80" i="15"/>
  <c r="AG81" i="15"/>
  <c r="AG82" i="15"/>
  <c r="AG83" i="15"/>
  <c r="AG84" i="15"/>
  <c r="AG85" i="15"/>
  <c r="AG86" i="15"/>
  <c r="AG87" i="15"/>
  <c r="AG88" i="15"/>
  <c r="AG89" i="15"/>
  <c r="AG90" i="15"/>
  <c r="AG91" i="15"/>
  <c r="AG92" i="15"/>
  <c r="AG93" i="15"/>
  <c r="AG94" i="15"/>
  <c r="AG95" i="15"/>
  <c r="AG96" i="15"/>
  <c r="AG97" i="15"/>
  <c r="AG98" i="15"/>
  <c r="AG99" i="15"/>
  <c r="AG100" i="15"/>
  <c r="AG101" i="15"/>
  <c r="AG102" i="15"/>
  <c r="AG103" i="15"/>
  <c r="AG104" i="15"/>
  <c r="AG105" i="15"/>
  <c r="AG106" i="15"/>
  <c r="AG107" i="15"/>
  <c r="AG108" i="15"/>
  <c r="AG109" i="15"/>
  <c r="AG110" i="15"/>
  <c r="AG111" i="15"/>
  <c r="AG112" i="15"/>
  <c r="AG113" i="15"/>
  <c r="AG114" i="15"/>
  <c r="AG115" i="15"/>
  <c r="AG116" i="15"/>
  <c r="AG117" i="15"/>
  <c r="AG118" i="15"/>
  <c r="AG119" i="15"/>
  <c r="AG120" i="15"/>
  <c r="AG121" i="15"/>
  <c r="AG122" i="15"/>
  <c r="AG123" i="15"/>
  <c r="AG124" i="15"/>
  <c r="AG125" i="15"/>
  <c r="AG126" i="15"/>
  <c r="AG127" i="15"/>
  <c r="AG128" i="15"/>
  <c r="AG129" i="15"/>
  <c r="AG130" i="15"/>
  <c r="AG131" i="15"/>
  <c r="AG132" i="15"/>
  <c r="AG133" i="15"/>
  <c r="AG134" i="15"/>
  <c r="AG135" i="15"/>
  <c r="AG136" i="15"/>
  <c r="AG137" i="15"/>
  <c r="AG138" i="15"/>
  <c r="AG139" i="15"/>
  <c r="AG140" i="15"/>
  <c r="AG141" i="15"/>
  <c r="AG142" i="15"/>
  <c r="AG143" i="15"/>
  <c r="AG144" i="15"/>
  <c r="AG145" i="15"/>
  <c r="AG146" i="15"/>
  <c r="AG147" i="15"/>
  <c r="AG148" i="15"/>
  <c r="AG149" i="15"/>
  <c r="AG150" i="15"/>
  <c r="AG151" i="15"/>
  <c r="AG152" i="15"/>
  <c r="AG153" i="15"/>
  <c r="AG154" i="15"/>
  <c r="AG155" i="15"/>
  <c r="AG156" i="15"/>
  <c r="AG157" i="15"/>
  <c r="AG158" i="15"/>
  <c r="AG159" i="15"/>
  <c r="AG160" i="15"/>
  <c r="AG161" i="15"/>
  <c r="AG162" i="15"/>
  <c r="AG163" i="15"/>
  <c r="AG164" i="15"/>
  <c r="AG165" i="15"/>
  <c r="AG166" i="15"/>
  <c r="AG167" i="15"/>
  <c r="AG168" i="15"/>
  <c r="AG169" i="15"/>
  <c r="AG170" i="15"/>
  <c r="AG171" i="15"/>
  <c r="AG172" i="15"/>
  <c r="AG173" i="15"/>
  <c r="AG174" i="15"/>
  <c r="AG175" i="15"/>
  <c r="AG176" i="15"/>
  <c r="AG177" i="15"/>
  <c r="AG178" i="15"/>
  <c r="AG179" i="15"/>
  <c r="AG180" i="15"/>
  <c r="AG181" i="15"/>
  <c r="AG182" i="15"/>
  <c r="AG183" i="15"/>
  <c r="AG184" i="15"/>
  <c r="AG185" i="15"/>
  <c r="AG186" i="15"/>
  <c r="AG187" i="15"/>
  <c r="AG188" i="15"/>
  <c r="AG189" i="15"/>
  <c r="AG190" i="15"/>
  <c r="AG191" i="15"/>
  <c r="AG192" i="15"/>
  <c r="AG193" i="15"/>
  <c r="AG194" i="15"/>
  <c r="AG195" i="15"/>
  <c r="AG196" i="15"/>
  <c r="AG197" i="15"/>
  <c r="AG198" i="15"/>
  <c r="AG199" i="15"/>
  <c r="AG200" i="15"/>
  <c r="AG201" i="15"/>
  <c r="AG202" i="15"/>
  <c r="AG203" i="15"/>
  <c r="AG204" i="15"/>
  <c r="AG205" i="15"/>
  <c r="AG206" i="15"/>
  <c r="AG207" i="15"/>
  <c r="AG208" i="15"/>
  <c r="AG209" i="15"/>
  <c r="AG210" i="15"/>
  <c r="AG211" i="15"/>
  <c r="AG212" i="15"/>
  <c r="AG213" i="15"/>
  <c r="AG214" i="15"/>
  <c r="AG215" i="15"/>
  <c r="AG216" i="15"/>
  <c r="AG217" i="15"/>
  <c r="AG218" i="15"/>
  <c r="AG219" i="15"/>
  <c r="AG220" i="15"/>
  <c r="AG221" i="15"/>
  <c r="AG222" i="15"/>
  <c r="AG223" i="15"/>
  <c r="AG224" i="15"/>
  <c r="AG225" i="15"/>
  <c r="AG226" i="15"/>
  <c r="AG227" i="15"/>
  <c r="AG228" i="15"/>
  <c r="AG229" i="15"/>
  <c r="AG230" i="15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7" i="15"/>
  <c r="AB48" i="15"/>
  <c r="AB49" i="15"/>
  <c r="AB50" i="15"/>
  <c r="AB51" i="15"/>
  <c r="AB52" i="15"/>
  <c r="AB53" i="15"/>
  <c r="AB54" i="15"/>
  <c r="AB55" i="15"/>
  <c r="AB56" i="15"/>
  <c r="AB57" i="15"/>
  <c r="AB58" i="15"/>
  <c r="AB59" i="15"/>
  <c r="AB60" i="15"/>
  <c r="AB61" i="15"/>
  <c r="AB62" i="15"/>
  <c r="AB63" i="15"/>
  <c r="AB64" i="15"/>
  <c r="AB65" i="15"/>
  <c r="AB66" i="15"/>
  <c r="AB67" i="15"/>
  <c r="AB68" i="15"/>
  <c r="AB69" i="15"/>
  <c r="AB70" i="15"/>
  <c r="AB71" i="15"/>
  <c r="AB72" i="15"/>
  <c r="AB73" i="15"/>
  <c r="AB74" i="15"/>
  <c r="AB75" i="15"/>
  <c r="AB76" i="15"/>
  <c r="AB77" i="15"/>
  <c r="AB78" i="15"/>
  <c r="AB79" i="15"/>
  <c r="AB80" i="15"/>
  <c r="AB81" i="15"/>
  <c r="AB82" i="15"/>
  <c r="AB83" i="15"/>
  <c r="AB84" i="15"/>
  <c r="AB85" i="15"/>
  <c r="AB86" i="15"/>
  <c r="AB87" i="15"/>
  <c r="AB88" i="15"/>
  <c r="AB89" i="15"/>
  <c r="AB90" i="15"/>
  <c r="AB91" i="15"/>
  <c r="AB92" i="15"/>
  <c r="AB93" i="15"/>
  <c r="AB94" i="15"/>
  <c r="AB95" i="15"/>
  <c r="AB96" i="15"/>
  <c r="AB97" i="15"/>
  <c r="AB98" i="15"/>
  <c r="AB99" i="15"/>
  <c r="AB100" i="15"/>
  <c r="AB101" i="15"/>
  <c r="AB102" i="15"/>
  <c r="AB103" i="15"/>
  <c r="AB104" i="15"/>
  <c r="AB105" i="15"/>
  <c r="AB106" i="15"/>
  <c r="AB107" i="15"/>
  <c r="AB108" i="15"/>
  <c r="AB109" i="15"/>
  <c r="AB110" i="15"/>
  <c r="AB111" i="15"/>
  <c r="AB112" i="15"/>
  <c r="AB113" i="15"/>
  <c r="AB114" i="15"/>
  <c r="AB115" i="15"/>
  <c r="AB116" i="15"/>
  <c r="AB117" i="15"/>
  <c r="AB118" i="15"/>
  <c r="AB119" i="15"/>
  <c r="AB120" i="15"/>
  <c r="AB121" i="15"/>
  <c r="AB122" i="15"/>
  <c r="AB123" i="15"/>
  <c r="AB124" i="15"/>
  <c r="AB125" i="15"/>
  <c r="AB126" i="15"/>
  <c r="AB127" i="15"/>
  <c r="AB128" i="15"/>
  <c r="AB129" i="15"/>
  <c r="AB130" i="15"/>
  <c r="AB131" i="15"/>
  <c r="AB132" i="15"/>
  <c r="AB133" i="15"/>
  <c r="AB134" i="15"/>
  <c r="AB135" i="15"/>
  <c r="AB136" i="15"/>
  <c r="AB137" i="15"/>
  <c r="AB138" i="15"/>
  <c r="AB139" i="15"/>
  <c r="AB140" i="15"/>
  <c r="AB141" i="15"/>
  <c r="AB142" i="15"/>
  <c r="AB143" i="15"/>
  <c r="AB144" i="15"/>
  <c r="AB145" i="15"/>
  <c r="AB146" i="15"/>
  <c r="AB147" i="15"/>
  <c r="AB148" i="15"/>
  <c r="AB149" i="15"/>
  <c r="AB150" i="15"/>
  <c r="AB151" i="15"/>
  <c r="AB152" i="15"/>
  <c r="AB153" i="15"/>
  <c r="AB154" i="15"/>
  <c r="AB155" i="15"/>
  <c r="AB156" i="15"/>
  <c r="AB157" i="15"/>
  <c r="AB158" i="15"/>
  <c r="AB159" i="15"/>
  <c r="AB160" i="15"/>
  <c r="AB161" i="15"/>
  <c r="AB162" i="15"/>
  <c r="AB163" i="15"/>
  <c r="AB164" i="15"/>
  <c r="AB165" i="15"/>
  <c r="AB166" i="15"/>
  <c r="AB167" i="15"/>
  <c r="AB168" i="15"/>
  <c r="AB169" i="15"/>
  <c r="AB170" i="15"/>
  <c r="AB171" i="15"/>
  <c r="AB172" i="15"/>
  <c r="AB173" i="15"/>
  <c r="AB174" i="15"/>
  <c r="AB175" i="15"/>
  <c r="AB176" i="15"/>
  <c r="AB177" i="15"/>
  <c r="AB178" i="15"/>
  <c r="AB179" i="15"/>
  <c r="AB180" i="15"/>
  <c r="AB181" i="15"/>
  <c r="AB182" i="15"/>
  <c r="AB183" i="15"/>
  <c r="AB184" i="15"/>
  <c r="AB185" i="15"/>
  <c r="AB186" i="15"/>
  <c r="AB187" i="15"/>
  <c r="AB188" i="15"/>
  <c r="AB189" i="15"/>
  <c r="AB190" i="15"/>
  <c r="AB191" i="15"/>
  <c r="AB192" i="15"/>
  <c r="AB193" i="15"/>
  <c r="AB194" i="15"/>
  <c r="AB195" i="15"/>
  <c r="AB196" i="15"/>
  <c r="AB197" i="15"/>
  <c r="AB198" i="15"/>
  <c r="AB199" i="15"/>
  <c r="AB200" i="15"/>
  <c r="AB201" i="15"/>
  <c r="AB202" i="15"/>
  <c r="AB203" i="15"/>
  <c r="AB204" i="15"/>
  <c r="AB205" i="15"/>
  <c r="AB206" i="15"/>
  <c r="AB207" i="15"/>
  <c r="AB208" i="15"/>
  <c r="AB209" i="15"/>
  <c r="AB210" i="15"/>
  <c r="AB211" i="15"/>
  <c r="AB212" i="15"/>
  <c r="AB213" i="15"/>
  <c r="AB214" i="15"/>
  <c r="AB215" i="15"/>
  <c r="AB216" i="15"/>
  <c r="AB217" i="15"/>
  <c r="AB218" i="15"/>
  <c r="AB219" i="15"/>
  <c r="AB220" i="15"/>
  <c r="AB221" i="15"/>
  <c r="AB222" i="15"/>
  <c r="AB223" i="15"/>
  <c r="AB224" i="15"/>
  <c r="AB225" i="15"/>
  <c r="AB226" i="15"/>
  <c r="AB227" i="15"/>
  <c r="AB228" i="15"/>
  <c r="AB229" i="15"/>
  <c r="AB230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202" i="15"/>
  <c r="Y203" i="15"/>
  <c r="Y204" i="15"/>
  <c r="Y205" i="15"/>
  <c r="Y206" i="15"/>
  <c r="Y207" i="15"/>
  <c r="Y208" i="15"/>
  <c r="Y209" i="15"/>
  <c r="Y210" i="15"/>
  <c r="Y211" i="15"/>
  <c r="Y212" i="15"/>
  <c r="Y213" i="15"/>
  <c r="Y214" i="15"/>
  <c r="Y215" i="15"/>
  <c r="Y216" i="15"/>
  <c r="Y217" i="15"/>
  <c r="Y218" i="15"/>
  <c r="Y219" i="15"/>
  <c r="Y220" i="15"/>
  <c r="Y221" i="15"/>
  <c r="Y222" i="15"/>
  <c r="Y223" i="15"/>
  <c r="Y224" i="15"/>
  <c r="Y225" i="15"/>
  <c r="Y226" i="15"/>
  <c r="Y227" i="15"/>
  <c r="Y228" i="15"/>
  <c r="Y229" i="15"/>
  <c r="Y230" i="15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X226" i="15"/>
  <c r="X227" i="15"/>
  <c r="X228" i="15"/>
  <c r="X229" i="15"/>
  <c r="X230" i="15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2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O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3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I3" i="15"/>
  <c r="CC3" i="15" s="1"/>
  <c r="I4" i="15"/>
  <c r="CC4" i="15" s="1"/>
  <c r="I5" i="15"/>
  <c r="CC5" i="15" s="1"/>
  <c r="I6" i="15"/>
  <c r="CC6" i="15" s="1"/>
  <c r="I7" i="15"/>
  <c r="CC7" i="15" s="1"/>
  <c r="I8" i="15"/>
  <c r="CC8" i="15" s="1"/>
  <c r="I9" i="15"/>
  <c r="CC9" i="15" s="1"/>
  <c r="I10" i="15"/>
  <c r="I11" i="15"/>
  <c r="CC11" i="15" s="1"/>
  <c r="I12" i="15"/>
  <c r="CC12" i="15" s="1"/>
  <c r="I13" i="15"/>
  <c r="CC13" i="15" s="1"/>
  <c r="I14" i="15"/>
  <c r="CC14" i="15" s="1"/>
  <c r="I15" i="15"/>
  <c r="CC15" i="15" s="1"/>
  <c r="I16" i="15"/>
  <c r="CC16" i="15" s="1"/>
  <c r="I17" i="15"/>
  <c r="CC17" i="15" s="1"/>
  <c r="I18" i="15"/>
  <c r="I19" i="15"/>
  <c r="CC19" i="15" s="1"/>
  <c r="I20" i="15"/>
  <c r="CC20" i="15" s="1"/>
  <c r="I21" i="15"/>
  <c r="CC21" i="15" s="1"/>
  <c r="I22" i="15"/>
  <c r="CC22" i="15" s="1"/>
  <c r="I23" i="15"/>
  <c r="CC23" i="15" s="1"/>
  <c r="I24" i="15"/>
  <c r="I25" i="15"/>
  <c r="CC25" i="15" s="1"/>
  <c r="I26" i="15"/>
  <c r="I27" i="15"/>
  <c r="CC27" i="15" s="1"/>
  <c r="I28" i="15"/>
  <c r="CC28" i="15" s="1"/>
  <c r="I29" i="15"/>
  <c r="CC29" i="15" s="1"/>
  <c r="I30" i="15"/>
  <c r="CC30" i="15" s="1"/>
  <c r="I31" i="15"/>
  <c r="CC31" i="15" s="1"/>
  <c r="I32" i="15"/>
  <c r="CC32" i="15" s="1"/>
  <c r="I33" i="15"/>
  <c r="CC33" i="15" s="1"/>
  <c r="I34" i="15"/>
  <c r="I35" i="15"/>
  <c r="CC35" i="15" s="1"/>
  <c r="I36" i="15"/>
  <c r="CC36" i="15" s="1"/>
  <c r="I37" i="15"/>
  <c r="CC37" i="15" s="1"/>
  <c r="I38" i="15"/>
  <c r="CC38" i="15" s="1"/>
  <c r="I39" i="15"/>
  <c r="CC39" i="15" s="1"/>
  <c r="I40" i="15"/>
  <c r="CC40" i="15" s="1"/>
  <c r="I41" i="15"/>
  <c r="CC41" i="15" s="1"/>
  <c r="I42" i="15"/>
  <c r="I43" i="15"/>
  <c r="CC43" i="15" s="1"/>
  <c r="I44" i="15"/>
  <c r="CC44" i="15" s="1"/>
  <c r="I45" i="15"/>
  <c r="CC45" i="15" s="1"/>
  <c r="I46" i="15"/>
  <c r="CC46" i="15" s="1"/>
  <c r="I47" i="15"/>
  <c r="CC47" i="15" s="1"/>
  <c r="I48" i="15"/>
  <c r="CC48" i="15" s="1"/>
  <c r="I49" i="15"/>
  <c r="CC49" i="15" s="1"/>
  <c r="I50" i="15"/>
  <c r="I51" i="15"/>
  <c r="CC51" i="15" s="1"/>
  <c r="I52" i="15"/>
  <c r="CC52" i="15" s="1"/>
  <c r="I53" i="15"/>
  <c r="CC53" i="15" s="1"/>
  <c r="I54" i="15"/>
  <c r="CC54" i="15" s="1"/>
  <c r="I55" i="15"/>
  <c r="CC55" i="15" s="1"/>
  <c r="I56" i="15"/>
  <c r="CC56" i="15" s="1"/>
  <c r="I57" i="15"/>
  <c r="CC57" i="15" s="1"/>
  <c r="I58" i="15"/>
  <c r="I59" i="15"/>
  <c r="CC59" i="15" s="1"/>
  <c r="I60" i="15"/>
  <c r="CC60" i="15" s="1"/>
  <c r="I61" i="15"/>
  <c r="CC61" i="15" s="1"/>
  <c r="I62" i="15"/>
  <c r="CC62" i="15" s="1"/>
  <c r="I63" i="15"/>
  <c r="CC63" i="15" s="1"/>
  <c r="I64" i="15"/>
  <c r="CC64" i="15" s="1"/>
  <c r="I65" i="15"/>
  <c r="CC65" i="15" s="1"/>
  <c r="I66" i="15"/>
  <c r="I67" i="15"/>
  <c r="CC67" i="15" s="1"/>
  <c r="I68" i="15"/>
  <c r="CC68" i="15" s="1"/>
  <c r="I69" i="15"/>
  <c r="CC69" i="15" s="1"/>
  <c r="I70" i="15"/>
  <c r="CC70" i="15" s="1"/>
  <c r="I71" i="15"/>
  <c r="CC71" i="15" s="1"/>
  <c r="I72" i="15"/>
  <c r="CC72" i="15" s="1"/>
  <c r="I73" i="15"/>
  <c r="CC73" i="15" s="1"/>
  <c r="I74" i="15"/>
  <c r="I75" i="15"/>
  <c r="CC75" i="15" s="1"/>
  <c r="I76" i="15"/>
  <c r="CC76" i="15" s="1"/>
  <c r="I77" i="15"/>
  <c r="CC77" i="15" s="1"/>
  <c r="I78" i="15"/>
  <c r="CC78" i="15" s="1"/>
  <c r="I79" i="15"/>
  <c r="CC79" i="15" s="1"/>
  <c r="I80" i="15"/>
  <c r="CC80" i="15" s="1"/>
  <c r="I81" i="15"/>
  <c r="CC81" i="15" s="1"/>
  <c r="I82" i="15"/>
  <c r="I83" i="15"/>
  <c r="CC83" i="15" s="1"/>
  <c r="I84" i="15"/>
  <c r="CC84" i="15" s="1"/>
  <c r="I85" i="15"/>
  <c r="CC85" i="15" s="1"/>
  <c r="I86" i="15"/>
  <c r="CC86" i="15" s="1"/>
  <c r="I87" i="15"/>
  <c r="CC87" i="15" s="1"/>
  <c r="I88" i="15"/>
  <c r="CC88" i="15" s="1"/>
  <c r="I89" i="15"/>
  <c r="CC89" i="15" s="1"/>
  <c r="I90" i="15"/>
  <c r="I91" i="15"/>
  <c r="CC91" i="15" s="1"/>
  <c r="I92" i="15"/>
  <c r="CC92" i="15" s="1"/>
  <c r="I93" i="15"/>
  <c r="CC93" i="15" s="1"/>
  <c r="I94" i="15"/>
  <c r="CC94" i="15" s="1"/>
  <c r="I95" i="15"/>
  <c r="CC95" i="15" s="1"/>
  <c r="I96" i="15"/>
  <c r="CC96" i="15" s="1"/>
  <c r="I97" i="15"/>
  <c r="CC97" i="15" s="1"/>
  <c r="I98" i="15"/>
  <c r="I99" i="15"/>
  <c r="CC99" i="15" s="1"/>
  <c r="I100" i="15"/>
  <c r="CC100" i="15" s="1"/>
  <c r="I101" i="15"/>
  <c r="CC101" i="15" s="1"/>
  <c r="I102" i="15"/>
  <c r="CC102" i="15" s="1"/>
  <c r="I103" i="15"/>
  <c r="CC103" i="15" s="1"/>
  <c r="I104" i="15"/>
  <c r="CC104" i="15" s="1"/>
  <c r="I105" i="15"/>
  <c r="CC105" i="15" s="1"/>
  <c r="I106" i="15"/>
  <c r="I107" i="15"/>
  <c r="CC107" i="15" s="1"/>
  <c r="I108" i="15"/>
  <c r="CC108" i="15" s="1"/>
  <c r="I109" i="15"/>
  <c r="CC109" i="15" s="1"/>
  <c r="I110" i="15"/>
  <c r="CC110" i="15" s="1"/>
  <c r="I111" i="15"/>
  <c r="CC111" i="15" s="1"/>
  <c r="I112" i="15"/>
  <c r="CC112" i="15" s="1"/>
  <c r="I113" i="15"/>
  <c r="CC113" i="15" s="1"/>
  <c r="I114" i="15"/>
  <c r="I115" i="15"/>
  <c r="CC115" i="15" s="1"/>
  <c r="I116" i="15"/>
  <c r="CC116" i="15" s="1"/>
  <c r="I117" i="15"/>
  <c r="CC117" i="15" s="1"/>
  <c r="I118" i="15"/>
  <c r="CC118" i="15" s="1"/>
  <c r="I119" i="15"/>
  <c r="CC119" i="15" s="1"/>
  <c r="I120" i="15"/>
  <c r="CC120" i="15" s="1"/>
  <c r="I121" i="15"/>
  <c r="CC121" i="15" s="1"/>
  <c r="I122" i="15"/>
  <c r="I123" i="15"/>
  <c r="CC123" i="15" s="1"/>
  <c r="I124" i="15"/>
  <c r="CC124" i="15" s="1"/>
  <c r="I125" i="15"/>
  <c r="CC125" i="15" s="1"/>
  <c r="I126" i="15"/>
  <c r="CC126" i="15" s="1"/>
  <c r="I127" i="15"/>
  <c r="CC127" i="15" s="1"/>
  <c r="I128" i="15"/>
  <c r="CC128" i="15" s="1"/>
  <c r="I129" i="15"/>
  <c r="CC129" i="15" s="1"/>
  <c r="I130" i="15"/>
  <c r="I131" i="15"/>
  <c r="CC131" i="15" s="1"/>
  <c r="I132" i="15"/>
  <c r="CC132" i="15" s="1"/>
  <c r="I133" i="15"/>
  <c r="CC133" i="15" s="1"/>
  <c r="I134" i="15"/>
  <c r="CC134" i="15" s="1"/>
  <c r="I135" i="15"/>
  <c r="CC135" i="15" s="1"/>
  <c r="I136" i="15"/>
  <c r="CC136" i="15" s="1"/>
  <c r="I137" i="15"/>
  <c r="CC137" i="15" s="1"/>
  <c r="I138" i="15"/>
  <c r="I139" i="15"/>
  <c r="CC139" i="15" s="1"/>
  <c r="I140" i="15"/>
  <c r="CC140" i="15" s="1"/>
  <c r="I141" i="15"/>
  <c r="CC141" i="15" s="1"/>
  <c r="I142" i="15"/>
  <c r="CC142" i="15" s="1"/>
  <c r="I143" i="15"/>
  <c r="CC143" i="15" s="1"/>
  <c r="I144" i="15"/>
  <c r="CC144" i="15" s="1"/>
  <c r="I145" i="15"/>
  <c r="CC145" i="15" s="1"/>
  <c r="I146" i="15"/>
  <c r="I147" i="15"/>
  <c r="CC147" i="15" s="1"/>
  <c r="I148" i="15"/>
  <c r="CC148" i="15" s="1"/>
  <c r="I149" i="15"/>
  <c r="CC149" i="15" s="1"/>
  <c r="I150" i="15"/>
  <c r="CC150" i="15" s="1"/>
  <c r="I151" i="15"/>
  <c r="CC151" i="15" s="1"/>
  <c r="I152" i="15"/>
  <c r="CC152" i="15" s="1"/>
  <c r="I153" i="15"/>
  <c r="CC153" i="15" s="1"/>
  <c r="I154" i="15"/>
  <c r="I155" i="15"/>
  <c r="CC155" i="15" s="1"/>
  <c r="I156" i="15"/>
  <c r="CC156" i="15" s="1"/>
  <c r="I157" i="15"/>
  <c r="CC157" i="15" s="1"/>
  <c r="I158" i="15"/>
  <c r="CC158" i="15" s="1"/>
  <c r="I159" i="15"/>
  <c r="CC159" i="15" s="1"/>
  <c r="I160" i="15"/>
  <c r="CC160" i="15" s="1"/>
  <c r="I161" i="15"/>
  <c r="CC161" i="15" s="1"/>
  <c r="I162" i="15"/>
  <c r="I163" i="15"/>
  <c r="CC163" i="15" s="1"/>
  <c r="I164" i="15"/>
  <c r="CC164" i="15" s="1"/>
  <c r="I165" i="15"/>
  <c r="CC165" i="15" s="1"/>
  <c r="I166" i="15"/>
  <c r="CC166" i="15" s="1"/>
  <c r="I167" i="15"/>
  <c r="CC167" i="15" s="1"/>
  <c r="I168" i="15"/>
  <c r="CC168" i="15" s="1"/>
  <c r="I169" i="15"/>
  <c r="CC169" i="15" s="1"/>
  <c r="I170" i="15"/>
  <c r="I171" i="15"/>
  <c r="CC171" i="15" s="1"/>
  <c r="I172" i="15"/>
  <c r="CC172" i="15" s="1"/>
  <c r="I173" i="15"/>
  <c r="CC173" i="15" s="1"/>
  <c r="I174" i="15"/>
  <c r="CC174" i="15" s="1"/>
  <c r="I175" i="15"/>
  <c r="CC175" i="15" s="1"/>
  <c r="I176" i="15"/>
  <c r="CC176" i="15" s="1"/>
  <c r="I177" i="15"/>
  <c r="CC177" i="15" s="1"/>
  <c r="I178" i="15"/>
  <c r="I179" i="15"/>
  <c r="CC179" i="15" s="1"/>
  <c r="I180" i="15"/>
  <c r="CC180" i="15" s="1"/>
  <c r="I181" i="15"/>
  <c r="CC181" i="15" s="1"/>
  <c r="I182" i="15"/>
  <c r="CC182" i="15" s="1"/>
  <c r="I183" i="15"/>
  <c r="CC183" i="15" s="1"/>
  <c r="I184" i="15"/>
  <c r="CC184" i="15" s="1"/>
  <c r="I185" i="15"/>
  <c r="CC185" i="15" s="1"/>
  <c r="I186" i="15"/>
  <c r="I187" i="15"/>
  <c r="CC187" i="15" s="1"/>
  <c r="I188" i="15"/>
  <c r="CC188" i="15" s="1"/>
  <c r="I189" i="15"/>
  <c r="CC189" i="15" s="1"/>
  <c r="I190" i="15"/>
  <c r="CC190" i="15" s="1"/>
  <c r="I191" i="15"/>
  <c r="CC191" i="15" s="1"/>
  <c r="I192" i="15"/>
  <c r="CC192" i="15" s="1"/>
  <c r="I193" i="15"/>
  <c r="CC193" i="15" s="1"/>
  <c r="I194" i="15"/>
  <c r="I195" i="15"/>
  <c r="CC195" i="15" s="1"/>
  <c r="I196" i="15"/>
  <c r="CC196" i="15" s="1"/>
  <c r="I197" i="15"/>
  <c r="CC197" i="15" s="1"/>
  <c r="I198" i="15"/>
  <c r="CC198" i="15" s="1"/>
  <c r="I199" i="15"/>
  <c r="CC199" i="15" s="1"/>
  <c r="I200" i="15"/>
  <c r="CC200" i="15" s="1"/>
  <c r="I201" i="15"/>
  <c r="CC201" i="15" s="1"/>
  <c r="I202" i="15"/>
  <c r="I203" i="15"/>
  <c r="CC203" i="15" s="1"/>
  <c r="I204" i="15"/>
  <c r="CC204" i="15" s="1"/>
  <c r="I205" i="15"/>
  <c r="CC205" i="15" s="1"/>
  <c r="I206" i="15"/>
  <c r="CC206" i="15" s="1"/>
  <c r="I207" i="15"/>
  <c r="CC207" i="15" s="1"/>
  <c r="I208" i="15"/>
  <c r="CC208" i="15" s="1"/>
  <c r="I209" i="15"/>
  <c r="CC209" i="15" s="1"/>
  <c r="I210" i="15"/>
  <c r="I211" i="15"/>
  <c r="CC211" i="15" s="1"/>
  <c r="I212" i="15"/>
  <c r="CC212" i="15" s="1"/>
  <c r="I213" i="15"/>
  <c r="CC213" i="15" s="1"/>
  <c r="I214" i="15"/>
  <c r="CC214" i="15" s="1"/>
  <c r="I215" i="15"/>
  <c r="CC215" i="15" s="1"/>
  <c r="I216" i="15"/>
  <c r="CC216" i="15" s="1"/>
  <c r="I217" i="15"/>
  <c r="CC217" i="15" s="1"/>
  <c r="I218" i="15"/>
  <c r="I219" i="15"/>
  <c r="CC219" i="15" s="1"/>
  <c r="I220" i="15"/>
  <c r="CC220" i="15" s="1"/>
  <c r="I221" i="15"/>
  <c r="CC221" i="15" s="1"/>
  <c r="I222" i="15"/>
  <c r="CC222" i="15" s="1"/>
  <c r="I223" i="15"/>
  <c r="CC223" i="15" s="1"/>
  <c r="I224" i="15"/>
  <c r="CC224" i="15" s="1"/>
  <c r="I225" i="15"/>
  <c r="CC225" i="15" s="1"/>
  <c r="I226" i="15"/>
  <c r="I227" i="15"/>
  <c r="CC227" i="15" s="1"/>
  <c r="I228" i="15"/>
  <c r="CC228" i="15" s="1"/>
  <c r="I229" i="15"/>
  <c r="CC229" i="15" s="1"/>
  <c r="I230" i="15"/>
  <c r="CC230" i="15" s="1"/>
  <c r="H3" i="15"/>
  <c r="G3" i="15"/>
  <c r="BA5" i="16"/>
  <c r="BA6" i="16"/>
  <c r="BA7" i="16"/>
  <c r="BA8" i="16"/>
  <c r="BA9" i="16"/>
  <c r="BA10" i="16"/>
  <c r="BA11" i="16"/>
  <c r="BA12" i="16"/>
  <c r="BA13" i="16"/>
  <c r="BA14" i="16"/>
  <c r="BA15" i="16"/>
  <c r="BA16" i="16"/>
  <c r="BA17" i="16"/>
  <c r="BA18" i="16"/>
  <c r="BA19" i="16"/>
  <c r="BA20" i="16"/>
  <c r="BA21" i="16"/>
  <c r="BA22" i="16"/>
  <c r="BA23" i="16"/>
  <c r="BA24" i="16"/>
  <c r="BA25" i="16"/>
  <c r="BA26" i="16"/>
  <c r="BA27" i="16"/>
  <c r="BA28" i="16"/>
  <c r="BA29" i="16"/>
  <c r="BA30" i="16"/>
  <c r="BA31" i="16"/>
  <c r="BA32" i="16"/>
  <c r="BA33" i="16"/>
  <c r="BA34" i="16"/>
  <c r="BA35" i="16"/>
  <c r="BA36" i="16"/>
  <c r="BA37" i="16"/>
  <c r="BA38" i="16"/>
  <c r="BA39" i="16"/>
  <c r="BA40" i="16"/>
  <c r="BA41" i="16"/>
  <c r="BA42" i="16"/>
  <c r="BA43" i="16"/>
  <c r="BA44" i="16"/>
  <c r="BA45" i="16"/>
  <c r="BA46" i="16"/>
  <c r="BA47" i="16"/>
  <c r="BA48" i="16"/>
  <c r="BA49" i="16"/>
  <c r="BA50" i="16"/>
  <c r="BA51" i="16"/>
  <c r="BA52" i="16"/>
  <c r="BA53" i="16"/>
  <c r="BA54" i="16"/>
  <c r="BA55" i="16"/>
  <c r="BA56" i="16"/>
  <c r="BA57" i="16"/>
  <c r="BA58" i="16"/>
  <c r="BA59" i="16"/>
  <c r="BA60" i="16"/>
  <c r="BA61" i="16"/>
  <c r="BA62" i="16"/>
  <c r="BA63" i="16"/>
  <c r="BA64" i="16"/>
  <c r="BA65" i="16"/>
  <c r="BA66" i="16"/>
  <c r="BA67" i="16"/>
  <c r="BA68" i="16"/>
  <c r="BA69" i="16"/>
  <c r="BA70" i="16"/>
  <c r="BA71" i="16"/>
  <c r="BA72" i="16"/>
  <c r="BA73" i="16"/>
  <c r="BA74" i="16"/>
  <c r="BA75" i="16"/>
  <c r="BA76" i="16"/>
  <c r="BA77" i="16"/>
  <c r="BA78" i="16"/>
  <c r="BA79" i="16"/>
  <c r="BA80" i="16"/>
  <c r="BA81" i="16"/>
  <c r="BA82" i="16"/>
  <c r="BA83" i="16"/>
  <c r="BA84" i="16"/>
  <c r="BA85" i="16"/>
  <c r="BA86" i="16"/>
  <c r="BA87" i="16"/>
  <c r="BA88" i="16"/>
  <c r="BA89" i="16"/>
  <c r="BA90" i="16"/>
  <c r="BA91" i="16"/>
  <c r="BA92" i="16"/>
  <c r="BA93" i="16"/>
  <c r="BA94" i="16"/>
  <c r="BA95" i="16"/>
  <c r="BA96" i="16"/>
  <c r="BA97" i="16"/>
  <c r="BA98" i="16"/>
  <c r="BA99" i="16"/>
  <c r="BA100" i="16"/>
  <c r="BA101" i="16"/>
  <c r="BA102" i="16"/>
  <c r="BA103" i="16"/>
  <c r="BA104" i="16"/>
  <c r="BA105" i="16"/>
  <c r="BA106" i="16"/>
  <c r="BA107" i="16"/>
  <c r="BA108" i="16"/>
  <c r="BA109" i="16"/>
  <c r="BA110" i="16"/>
  <c r="BA111" i="16"/>
  <c r="BA112" i="16"/>
  <c r="BA113" i="16"/>
  <c r="BA114" i="16"/>
  <c r="BA115" i="16"/>
  <c r="BA116" i="16"/>
  <c r="BA117" i="16"/>
  <c r="BA118" i="16"/>
  <c r="BA119" i="16"/>
  <c r="BA120" i="16"/>
  <c r="BA121" i="16"/>
  <c r="BA122" i="16"/>
  <c r="BA123" i="16"/>
  <c r="BA124" i="16"/>
  <c r="BA125" i="16"/>
  <c r="BA126" i="16"/>
  <c r="BA127" i="16"/>
  <c r="BA128" i="16"/>
  <c r="BA129" i="16"/>
  <c r="BA130" i="16"/>
  <c r="BA131" i="16"/>
  <c r="BA132" i="16"/>
  <c r="BA133" i="16"/>
  <c r="BA134" i="16"/>
  <c r="BA135" i="16"/>
  <c r="BA136" i="16"/>
  <c r="BA137" i="16"/>
  <c r="BA138" i="16"/>
  <c r="BA139" i="16"/>
  <c r="BA140" i="16"/>
  <c r="BA141" i="16"/>
  <c r="BA142" i="16"/>
  <c r="BA143" i="16"/>
  <c r="BA144" i="16"/>
  <c r="BA145" i="16"/>
  <c r="BA146" i="16"/>
  <c r="BA147" i="16"/>
  <c r="BA148" i="16"/>
  <c r="BA149" i="16"/>
  <c r="BA150" i="16"/>
  <c r="BA151" i="16"/>
  <c r="BA152" i="16"/>
  <c r="BA153" i="16"/>
  <c r="BA154" i="16"/>
  <c r="BA155" i="16"/>
  <c r="BA156" i="16"/>
  <c r="BA157" i="16"/>
  <c r="BA158" i="16"/>
  <c r="BA159" i="16"/>
  <c r="BA160" i="16"/>
  <c r="BA161" i="16"/>
  <c r="BA162" i="16"/>
  <c r="BA163" i="16"/>
  <c r="BA164" i="16"/>
  <c r="BA165" i="16"/>
  <c r="BA166" i="16"/>
  <c r="BA167" i="16"/>
  <c r="BA168" i="16"/>
  <c r="BA169" i="16"/>
  <c r="BA170" i="16"/>
  <c r="BA171" i="16"/>
  <c r="BA172" i="16"/>
  <c r="BA173" i="16"/>
  <c r="BA174" i="16"/>
  <c r="BA175" i="16"/>
  <c r="BA176" i="16"/>
  <c r="BA177" i="16"/>
  <c r="BA178" i="16"/>
  <c r="BA179" i="16"/>
  <c r="BA180" i="16"/>
  <c r="BA181" i="16"/>
  <c r="BA182" i="16"/>
  <c r="BA183" i="16"/>
  <c r="BA184" i="16"/>
  <c r="BA185" i="16"/>
  <c r="BA186" i="16"/>
  <c r="BA187" i="16"/>
  <c r="BA188" i="16"/>
  <c r="BA189" i="16"/>
  <c r="BA190" i="16"/>
  <c r="BA191" i="16"/>
  <c r="BA192" i="16"/>
  <c r="BA193" i="16"/>
  <c r="BA194" i="16"/>
  <c r="BA195" i="16"/>
  <c r="BA196" i="16"/>
  <c r="BA197" i="16"/>
  <c r="BA198" i="16"/>
  <c r="BA199" i="16"/>
  <c r="BA200" i="16"/>
  <c r="BA201" i="16"/>
  <c r="BA202" i="16"/>
  <c r="BA203" i="16"/>
  <c r="BA204" i="16"/>
  <c r="BA205" i="16"/>
  <c r="BA206" i="16"/>
  <c r="BA207" i="16"/>
  <c r="BA208" i="16"/>
  <c r="BA209" i="16"/>
  <c r="BA210" i="16"/>
  <c r="BA211" i="16"/>
  <c r="BA212" i="16"/>
  <c r="BA213" i="16"/>
  <c r="BA214" i="16"/>
  <c r="BA215" i="16"/>
  <c r="BA216" i="16"/>
  <c r="BA217" i="16"/>
  <c r="BA218" i="16"/>
  <c r="BA219" i="16"/>
  <c r="BA220" i="16"/>
  <c r="BA221" i="16"/>
  <c r="BA222" i="16"/>
  <c r="BA223" i="16"/>
  <c r="BA224" i="16"/>
  <c r="BA225" i="16"/>
  <c r="BA226" i="16"/>
  <c r="BA227" i="16"/>
  <c r="BA228" i="16"/>
  <c r="BA229" i="16"/>
  <c r="BA230" i="16"/>
  <c r="BA231" i="16"/>
  <c r="AU5" i="16"/>
  <c r="AU6" i="16"/>
  <c r="AU7" i="16"/>
  <c r="AU8" i="16"/>
  <c r="AU9" i="16"/>
  <c r="AU10" i="16"/>
  <c r="AU11" i="16"/>
  <c r="AU12" i="16"/>
  <c r="AU13" i="16"/>
  <c r="AU14" i="16"/>
  <c r="AU15" i="16"/>
  <c r="AU16" i="16"/>
  <c r="AU17" i="16"/>
  <c r="AU18" i="16"/>
  <c r="AU19" i="16"/>
  <c r="AU20" i="16"/>
  <c r="AU21" i="16"/>
  <c r="AU22" i="16"/>
  <c r="AU23" i="16"/>
  <c r="AU24" i="16"/>
  <c r="AU25" i="16"/>
  <c r="AU26" i="16"/>
  <c r="AU27" i="16"/>
  <c r="AU28" i="16"/>
  <c r="AU29" i="16"/>
  <c r="AU30" i="16"/>
  <c r="AU31" i="16"/>
  <c r="AU32" i="16"/>
  <c r="AU33" i="16"/>
  <c r="AU34" i="16"/>
  <c r="AU35" i="16"/>
  <c r="AU36" i="16"/>
  <c r="AU37" i="16"/>
  <c r="AU38" i="16"/>
  <c r="AU39" i="16"/>
  <c r="AU40" i="16"/>
  <c r="AU41" i="16"/>
  <c r="AU42" i="16"/>
  <c r="AU43" i="16"/>
  <c r="AU44" i="16"/>
  <c r="AU45" i="16"/>
  <c r="AU46" i="16"/>
  <c r="AU47" i="16"/>
  <c r="AU48" i="16"/>
  <c r="AU49" i="16"/>
  <c r="AU50" i="16"/>
  <c r="AU51" i="16"/>
  <c r="AU52" i="16"/>
  <c r="AU53" i="16"/>
  <c r="AU54" i="16"/>
  <c r="AU55" i="16"/>
  <c r="AU56" i="16"/>
  <c r="AU57" i="16"/>
  <c r="AU58" i="16"/>
  <c r="AU59" i="16"/>
  <c r="AU60" i="16"/>
  <c r="AU61" i="16"/>
  <c r="AU62" i="16"/>
  <c r="AU63" i="16"/>
  <c r="AU64" i="16"/>
  <c r="AU65" i="16"/>
  <c r="AU66" i="16"/>
  <c r="AU67" i="16"/>
  <c r="AU68" i="16"/>
  <c r="AU69" i="16"/>
  <c r="AU70" i="16"/>
  <c r="AU71" i="16"/>
  <c r="AU72" i="16"/>
  <c r="AU73" i="16"/>
  <c r="AU74" i="16"/>
  <c r="AU75" i="16"/>
  <c r="AU76" i="16"/>
  <c r="AU77" i="16"/>
  <c r="AU78" i="16"/>
  <c r="AU79" i="16"/>
  <c r="AU80" i="16"/>
  <c r="AU81" i="16"/>
  <c r="AU82" i="16"/>
  <c r="AU83" i="16"/>
  <c r="AU84" i="16"/>
  <c r="AU85" i="16"/>
  <c r="AU86" i="16"/>
  <c r="AU87" i="16"/>
  <c r="AU88" i="16"/>
  <c r="AU89" i="16"/>
  <c r="AU90" i="16"/>
  <c r="AU91" i="16"/>
  <c r="AU92" i="16"/>
  <c r="AU93" i="16"/>
  <c r="AU94" i="16"/>
  <c r="AU95" i="16"/>
  <c r="AU96" i="16"/>
  <c r="AU97" i="16"/>
  <c r="AU98" i="16"/>
  <c r="AU99" i="16"/>
  <c r="AU100" i="16"/>
  <c r="AU101" i="16"/>
  <c r="AU102" i="16"/>
  <c r="AU103" i="16"/>
  <c r="AU104" i="16"/>
  <c r="AU105" i="16"/>
  <c r="AU106" i="16"/>
  <c r="AU107" i="16"/>
  <c r="AU108" i="16"/>
  <c r="AU109" i="16"/>
  <c r="AU110" i="16"/>
  <c r="AU111" i="16"/>
  <c r="AU112" i="16"/>
  <c r="AU113" i="16"/>
  <c r="AU114" i="16"/>
  <c r="AU115" i="16"/>
  <c r="AU116" i="16"/>
  <c r="AU117" i="16"/>
  <c r="AU118" i="16"/>
  <c r="AU119" i="16"/>
  <c r="AU120" i="16"/>
  <c r="AU121" i="16"/>
  <c r="AU122" i="16"/>
  <c r="AU123" i="16"/>
  <c r="AU124" i="16"/>
  <c r="AU125" i="16"/>
  <c r="AU126" i="16"/>
  <c r="AU127" i="16"/>
  <c r="AU128" i="16"/>
  <c r="AU129" i="16"/>
  <c r="AU130" i="16"/>
  <c r="AU131" i="16"/>
  <c r="AU132" i="16"/>
  <c r="AU133" i="16"/>
  <c r="AU134" i="16"/>
  <c r="AU135" i="16"/>
  <c r="AU136" i="16"/>
  <c r="AU137" i="16"/>
  <c r="AU138" i="16"/>
  <c r="AU139" i="16"/>
  <c r="AU140" i="16"/>
  <c r="AU141" i="16"/>
  <c r="AU142" i="16"/>
  <c r="AU143" i="16"/>
  <c r="AU144" i="16"/>
  <c r="AU145" i="16"/>
  <c r="AU146" i="16"/>
  <c r="AU147" i="16"/>
  <c r="AU148" i="16"/>
  <c r="AU149" i="16"/>
  <c r="AU150" i="16"/>
  <c r="AU151" i="16"/>
  <c r="AU152" i="16"/>
  <c r="AU153" i="16"/>
  <c r="AU154" i="16"/>
  <c r="AU155" i="16"/>
  <c r="AU156" i="16"/>
  <c r="AU157" i="16"/>
  <c r="AU158" i="16"/>
  <c r="AU159" i="16"/>
  <c r="AU160" i="16"/>
  <c r="AU161" i="16"/>
  <c r="AU162" i="16"/>
  <c r="AU163" i="16"/>
  <c r="AU164" i="16"/>
  <c r="AU165" i="16"/>
  <c r="AU166" i="16"/>
  <c r="AU167" i="16"/>
  <c r="AU168" i="16"/>
  <c r="AU169" i="16"/>
  <c r="AU170" i="16"/>
  <c r="AU171" i="16"/>
  <c r="AU172" i="16"/>
  <c r="AU173" i="16"/>
  <c r="AU174" i="16"/>
  <c r="AU175" i="16"/>
  <c r="AU176" i="16"/>
  <c r="AU177" i="16"/>
  <c r="AU178" i="16"/>
  <c r="AU179" i="16"/>
  <c r="AU180" i="16"/>
  <c r="AU181" i="16"/>
  <c r="AU182" i="16"/>
  <c r="AU183" i="16"/>
  <c r="AU184" i="16"/>
  <c r="AU185" i="16"/>
  <c r="AU186" i="16"/>
  <c r="AU187" i="16"/>
  <c r="AU188" i="16"/>
  <c r="AU189" i="16"/>
  <c r="AU190" i="16"/>
  <c r="AU191" i="16"/>
  <c r="AU192" i="16"/>
  <c r="AU193" i="16"/>
  <c r="AU194" i="16"/>
  <c r="AU195" i="16"/>
  <c r="AU196" i="16"/>
  <c r="AU197" i="16"/>
  <c r="AU198" i="16"/>
  <c r="AU199" i="16"/>
  <c r="AU200" i="16"/>
  <c r="AU201" i="16"/>
  <c r="AU202" i="16"/>
  <c r="AU203" i="16"/>
  <c r="AU204" i="16"/>
  <c r="AU205" i="16"/>
  <c r="AU206" i="16"/>
  <c r="AU207" i="16"/>
  <c r="AU208" i="16"/>
  <c r="AU209" i="16"/>
  <c r="AU210" i="16"/>
  <c r="AU211" i="16"/>
  <c r="AU212" i="16"/>
  <c r="AU213" i="16"/>
  <c r="AU214" i="16"/>
  <c r="AU215" i="16"/>
  <c r="AU216" i="16"/>
  <c r="AU217" i="16"/>
  <c r="AU218" i="16"/>
  <c r="AU219" i="16"/>
  <c r="AU220" i="16"/>
  <c r="AU221" i="16"/>
  <c r="AU222" i="16"/>
  <c r="AU223" i="16"/>
  <c r="AU224" i="16"/>
  <c r="AU225" i="16"/>
  <c r="AU226" i="16"/>
  <c r="AU227" i="16"/>
  <c r="AU228" i="16"/>
  <c r="AU229" i="16"/>
  <c r="AU230" i="16"/>
  <c r="AU231" i="16"/>
  <c r="AO5" i="16"/>
  <c r="AO6" i="16"/>
  <c r="AO7" i="16"/>
  <c r="AO8" i="16"/>
  <c r="AO9" i="16"/>
  <c r="AO10" i="16"/>
  <c r="AO11" i="16"/>
  <c r="AO12" i="16"/>
  <c r="AO13" i="16"/>
  <c r="AO14" i="16"/>
  <c r="AO15" i="16"/>
  <c r="AO16" i="16"/>
  <c r="AO17" i="16"/>
  <c r="AO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34" i="16"/>
  <c r="AO35" i="16"/>
  <c r="AO36" i="16"/>
  <c r="AO37" i="16"/>
  <c r="AO38" i="16"/>
  <c r="AO39" i="16"/>
  <c r="AO40" i="16"/>
  <c r="AO41" i="16"/>
  <c r="AO42" i="16"/>
  <c r="AO43" i="16"/>
  <c r="AO44" i="16"/>
  <c r="AO45" i="16"/>
  <c r="AO46" i="16"/>
  <c r="AO47" i="16"/>
  <c r="AO48" i="16"/>
  <c r="AO49" i="16"/>
  <c r="AO50" i="16"/>
  <c r="AO51" i="16"/>
  <c r="AO52" i="16"/>
  <c r="AO53" i="16"/>
  <c r="AO54" i="16"/>
  <c r="AO55" i="16"/>
  <c r="AO56" i="16"/>
  <c r="AO57" i="16"/>
  <c r="AO58" i="16"/>
  <c r="AO59" i="16"/>
  <c r="AO60" i="16"/>
  <c r="AO61" i="16"/>
  <c r="AO62" i="16"/>
  <c r="AO63" i="16"/>
  <c r="AO64" i="16"/>
  <c r="AO65" i="16"/>
  <c r="AO66" i="16"/>
  <c r="AO67" i="16"/>
  <c r="AO68" i="16"/>
  <c r="AO69" i="16"/>
  <c r="AO70" i="16"/>
  <c r="AO71" i="16"/>
  <c r="AO72" i="16"/>
  <c r="AO73" i="16"/>
  <c r="AO74" i="16"/>
  <c r="AO75" i="16"/>
  <c r="AO76" i="16"/>
  <c r="AO77" i="16"/>
  <c r="AO78" i="16"/>
  <c r="AO79" i="16"/>
  <c r="AO80" i="16"/>
  <c r="AO81" i="16"/>
  <c r="AO82" i="16"/>
  <c r="AO83" i="16"/>
  <c r="AO84" i="16"/>
  <c r="AO85" i="16"/>
  <c r="AO86" i="16"/>
  <c r="AO87" i="16"/>
  <c r="AO88" i="16"/>
  <c r="AO89" i="16"/>
  <c r="AO90" i="16"/>
  <c r="AO91" i="16"/>
  <c r="AO92" i="16"/>
  <c r="AO93" i="16"/>
  <c r="AO94" i="16"/>
  <c r="AO95" i="16"/>
  <c r="AO96" i="16"/>
  <c r="AO97" i="16"/>
  <c r="AO98" i="16"/>
  <c r="AO99" i="16"/>
  <c r="AO100" i="16"/>
  <c r="AO101" i="16"/>
  <c r="AO102" i="16"/>
  <c r="AO103" i="16"/>
  <c r="AO104" i="16"/>
  <c r="AO105" i="16"/>
  <c r="AO106" i="16"/>
  <c r="AO107" i="16"/>
  <c r="AO108" i="16"/>
  <c r="AO109" i="16"/>
  <c r="AO110" i="16"/>
  <c r="AO111" i="16"/>
  <c r="AO112" i="16"/>
  <c r="AO113" i="16"/>
  <c r="AO114" i="16"/>
  <c r="AO115" i="16"/>
  <c r="AO116" i="16"/>
  <c r="AO117" i="16"/>
  <c r="AO118" i="16"/>
  <c r="AO119" i="16"/>
  <c r="AO120" i="16"/>
  <c r="AO121" i="16"/>
  <c r="AO122" i="16"/>
  <c r="AO123" i="16"/>
  <c r="AO124" i="16"/>
  <c r="AO125" i="16"/>
  <c r="AO126" i="16"/>
  <c r="AO127" i="16"/>
  <c r="AO128" i="16"/>
  <c r="AO129" i="16"/>
  <c r="AO130" i="16"/>
  <c r="AO131" i="16"/>
  <c r="AO132" i="16"/>
  <c r="AO133" i="16"/>
  <c r="AO134" i="16"/>
  <c r="AO135" i="16"/>
  <c r="AO136" i="16"/>
  <c r="AO137" i="16"/>
  <c r="AO138" i="16"/>
  <c r="AO139" i="16"/>
  <c r="AO140" i="16"/>
  <c r="AO141" i="16"/>
  <c r="AO142" i="16"/>
  <c r="AO143" i="16"/>
  <c r="AO144" i="16"/>
  <c r="AO145" i="16"/>
  <c r="AO146" i="16"/>
  <c r="AO147" i="16"/>
  <c r="AO148" i="16"/>
  <c r="AO149" i="16"/>
  <c r="AO150" i="16"/>
  <c r="AO151" i="16"/>
  <c r="AO152" i="16"/>
  <c r="AO153" i="16"/>
  <c r="AO154" i="16"/>
  <c r="AO155" i="16"/>
  <c r="AO156" i="16"/>
  <c r="AO157" i="16"/>
  <c r="AO158" i="16"/>
  <c r="AO159" i="16"/>
  <c r="AO160" i="16"/>
  <c r="AO161" i="16"/>
  <c r="AO162" i="16"/>
  <c r="AO163" i="16"/>
  <c r="AO164" i="16"/>
  <c r="AO165" i="16"/>
  <c r="AO166" i="16"/>
  <c r="AO167" i="16"/>
  <c r="AO168" i="16"/>
  <c r="AO169" i="16"/>
  <c r="AO170" i="16"/>
  <c r="AO171" i="16"/>
  <c r="AO172" i="16"/>
  <c r="AO173" i="16"/>
  <c r="AO174" i="16"/>
  <c r="AO175" i="16"/>
  <c r="AO176" i="16"/>
  <c r="AO177" i="16"/>
  <c r="AO178" i="16"/>
  <c r="AO179" i="16"/>
  <c r="AO180" i="16"/>
  <c r="AO181" i="16"/>
  <c r="AO182" i="16"/>
  <c r="AO183" i="16"/>
  <c r="AO184" i="16"/>
  <c r="AO185" i="16"/>
  <c r="AO186" i="16"/>
  <c r="AO187" i="16"/>
  <c r="AO188" i="16"/>
  <c r="AO189" i="16"/>
  <c r="AO190" i="16"/>
  <c r="AO191" i="16"/>
  <c r="AO192" i="16"/>
  <c r="AO193" i="16"/>
  <c r="AO194" i="16"/>
  <c r="AO195" i="16"/>
  <c r="AO196" i="16"/>
  <c r="AO197" i="16"/>
  <c r="AO198" i="16"/>
  <c r="AO199" i="16"/>
  <c r="AO200" i="16"/>
  <c r="AO201" i="16"/>
  <c r="AO202" i="16"/>
  <c r="AO203" i="16"/>
  <c r="AO204" i="16"/>
  <c r="AO205" i="16"/>
  <c r="AO206" i="16"/>
  <c r="AO207" i="16"/>
  <c r="AO208" i="16"/>
  <c r="AO209" i="16"/>
  <c r="AO210" i="16"/>
  <c r="AO211" i="16"/>
  <c r="AO212" i="16"/>
  <c r="AO213" i="16"/>
  <c r="AO214" i="16"/>
  <c r="AO215" i="16"/>
  <c r="AO216" i="16"/>
  <c r="AO217" i="16"/>
  <c r="AO218" i="16"/>
  <c r="AO219" i="16"/>
  <c r="AO220" i="16"/>
  <c r="AO221" i="16"/>
  <c r="AO222" i="16"/>
  <c r="AO223" i="16"/>
  <c r="AO224" i="16"/>
  <c r="AO225" i="16"/>
  <c r="AO226" i="16"/>
  <c r="AO227" i="16"/>
  <c r="AO228" i="16"/>
  <c r="AO229" i="16"/>
  <c r="AO230" i="16"/>
  <c r="AO231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I90" i="16"/>
  <c r="AI91" i="16"/>
  <c r="AI92" i="16"/>
  <c r="AI93" i="16"/>
  <c r="AI94" i="16"/>
  <c r="AI95" i="16"/>
  <c r="AI96" i="16"/>
  <c r="AI97" i="16"/>
  <c r="AI98" i="16"/>
  <c r="AI99" i="16"/>
  <c r="AI100" i="16"/>
  <c r="AI101" i="16"/>
  <c r="AI102" i="16"/>
  <c r="AI103" i="16"/>
  <c r="AI104" i="16"/>
  <c r="AI105" i="16"/>
  <c r="AI106" i="16"/>
  <c r="AI107" i="16"/>
  <c r="AI108" i="16"/>
  <c r="AI109" i="16"/>
  <c r="AI110" i="16"/>
  <c r="AI111" i="16"/>
  <c r="AI112" i="16"/>
  <c r="AI113" i="16"/>
  <c r="AI114" i="16"/>
  <c r="AI115" i="16"/>
  <c r="AI116" i="16"/>
  <c r="AI117" i="16"/>
  <c r="AI118" i="16"/>
  <c r="AI119" i="16"/>
  <c r="AI120" i="16"/>
  <c r="AI121" i="16"/>
  <c r="AI122" i="16"/>
  <c r="AI123" i="16"/>
  <c r="AI124" i="16"/>
  <c r="AI125" i="16"/>
  <c r="AI126" i="16"/>
  <c r="AI127" i="16"/>
  <c r="AI128" i="16"/>
  <c r="AI129" i="16"/>
  <c r="AI130" i="16"/>
  <c r="AI131" i="16"/>
  <c r="AI132" i="16"/>
  <c r="AI133" i="16"/>
  <c r="AI134" i="16"/>
  <c r="AI135" i="16"/>
  <c r="AI136" i="16"/>
  <c r="AI137" i="16"/>
  <c r="AI138" i="16"/>
  <c r="AI139" i="16"/>
  <c r="AI140" i="16"/>
  <c r="AI141" i="16"/>
  <c r="AI142" i="16"/>
  <c r="AI143" i="16"/>
  <c r="AI144" i="16"/>
  <c r="AI145" i="16"/>
  <c r="AI146" i="16"/>
  <c r="AI147" i="16"/>
  <c r="AI148" i="16"/>
  <c r="AI149" i="16"/>
  <c r="AI150" i="16"/>
  <c r="AI151" i="16"/>
  <c r="AI152" i="16"/>
  <c r="AI153" i="16"/>
  <c r="AI154" i="16"/>
  <c r="AI155" i="16"/>
  <c r="AI156" i="16"/>
  <c r="AI157" i="16"/>
  <c r="AI158" i="16"/>
  <c r="AI159" i="16"/>
  <c r="AI160" i="16"/>
  <c r="AI161" i="16"/>
  <c r="AI162" i="16"/>
  <c r="AI163" i="16"/>
  <c r="AI164" i="16"/>
  <c r="AI165" i="16"/>
  <c r="AI166" i="16"/>
  <c r="AI167" i="16"/>
  <c r="AI168" i="16"/>
  <c r="AI169" i="16"/>
  <c r="AI170" i="16"/>
  <c r="AI171" i="16"/>
  <c r="AI172" i="16"/>
  <c r="AI173" i="16"/>
  <c r="AI174" i="16"/>
  <c r="AI175" i="16"/>
  <c r="AI176" i="16"/>
  <c r="AI177" i="16"/>
  <c r="AI178" i="16"/>
  <c r="AI179" i="16"/>
  <c r="AI180" i="16"/>
  <c r="AI181" i="16"/>
  <c r="AI182" i="16"/>
  <c r="AI183" i="16"/>
  <c r="AI184" i="16"/>
  <c r="AI185" i="16"/>
  <c r="AI186" i="16"/>
  <c r="AI187" i="16"/>
  <c r="AI188" i="16"/>
  <c r="AI189" i="16"/>
  <c r="AI190" i="16"/>
  <c r="AI191" i="16"/>
  <c r="AI192" i="16"/>
  <c r="AI193" i="16"/>
  <c r="AI194" i="16"/>
  <c r="AI195" i="16"/>
  <c r="AI196" i="16"/>
  <c r="AI197" i="16"/>
  <c r="AI198" i="16"/>
  <c r="AI199" i="16"/>
  <c r="AI200" i="16"/>
  <c r="AI201" i="16"/>
  <c r="AI202" i="16"/>
  <c r="AI203" i="16"/>
  <c r="AI204" i="16"/>
  <c r="AI205" i="16"/>
  <c r="AI206" i="16"/>
  <c r="AI207" i="16"/>
  <c r="AI208" i="16"/>
  <c r="AI209" i="16"/>
  <c r="AI210" i="16"/>
  <c r="AI211" i="16"/>
  <c r="AI212" i="16"/>
  <c r="AI213" i="16"/>
  <c r="AI214" i="16"/>
  <c r="AI215" i="16"/>
  <c r="AI216" i="16"/>
  <c r="AI217" i="16"/>
  <c r="AI218" i="16"/>
  <c r="AI219" i="16"/>
  <c r="AI220" i="16"/>
  <c r="AI221" i="16"/>
  <c r="AI222" i="16"/>
  <c r="AI223" i="16"/>
  <c r="AI224" i="16"/>
  <c r="AI225" i="16"/>
  <c r="AI226" i="16"/>
  <c r="AI227" i="16"/>
  <c r="AI228" i="16"/>
  <c r="AI229" i="16"/>
  <c r="AI230" i="16"/>
  <c r="AI231" i="16"/>
  <c r="AC5" i="16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C57" i="16"/>
  <c r="AC58" i="16"/>
  <c r="AC59" i="16"/>
  <c r="AC60" i="16"/>
  <c r="AC61" i="16"/>
  <c r="AC62" i="16"/>
  <c r="AC63" i="16"/>
  <c r="AC64" i="16"/>
  <c r="AC65" i="16"/>
  <c r="AC66" i="16"/>
  <c r="AC67" i="16"/>
  <c r="AC68" i="16"/>
  <c r="AC69" i="16"/>
  <c r="AC70" i="16"/>
  <c r="AC71" i="16"/>
  <c r="AC72" i="16"/>
  <c r="AC73" i="16"/>
  <c r="AC74" i="16"/>
  <c r="AC75" i="16"/>
  <c r="AC76" i="16"/>
  <c r="AC77" i="16"/>
  <c r="AC78" i="16"/>
  <c r="AC79" i="16"/>
  <c r="AC80" i="16"/>
  <c r="AC81" i="16"/>
  <c r="AC82" i="16"/>
  <c r="AC83" i="16"/>
  <c r="AC84" i="16"/>
  <c r="AC85" i="16"/>
  <c r="AC86" i="16"/>
  <c r="AC87" i="16"/>
  <c r="AC88" i="16"/>
  <c r="AC89" i="16"/>
  <c r="AC90" i="16"/>
  <c r="AC91" i="16"/>
  <c r="AC92" i="16"/>
  <c r="AC93" i="16"/>
  <c r="AC94" i="16"/>
  <c r="AC95" i="16"/>
  <c r="AC96" i="16"/>
  <c r="AC97" i="16"/>
  <c r="AC98" i="16"/>
  <c r="AC99" i="16"/>
  <c r="AC100" i="16"/>
  <c r="AC101" i="16"/>
  <c r="AC102" i="16"/>
  <c r="AC103" i="16"/>
  <c r="AC104" i="16"/>
  <c r="AC105" i="16"/>
  <c r="AC106" i="16"/>
  <c r="AC107" i="16"/>
  <c r="AC108" i="16"/>
  <c r="AC109" i="16"/>
  <c r="AC110" i="16"/>
  <c r="AC111" i="16"/>
  <c r="AC112" i="16"/>
  <c r="AC113" i="16"/>
  <c r="AC114" i="16"/>
  <c r="AC115" i="16"/>
  <c r="AC116" i="16"/>
  <c r="AC117" i="16"/>
  <c r="AC118" i="16"/>
  <c r="AC119" i="16"/>
  <c r="AC120" i="16"/>
  <c r="AC121" i="16"/>
  <c r="AC122" i="16"/>
  <c r="AC123" i="16"/>
  <c r="AC124" i="16"/>
  <c r="AC125" i="16"/>
  <c r="AC126" i="16"/>
  <c r="AC127" i="16"/>
  <c r="AC128" i="16"/>
  <c r="AC129" i="16"/>
  <c r="AC130" i="16"/>
  <c r="AC131" i="16"/>
  <c r="AC132" i="16"/>
  <c r="AC133" i="16"/>
  <c r="AC134" i="16"/>
  <c r="AC135" i="16"/>
  <c r="AC136" i="16"/>
  <c r="AC137" i="16"/>
  <c r="AC138" i="16"/>
  <c r="AC139" i="16"/>
  <c r="AC140" i="16"/>
  <c r="AC141" i="16"/>
  <c r="AC142" i="16"/>
  <c r="AC143" i="16"/>
  <c r="AC144" i="16"/>
  <c r="AC145" i="16"/>
  <c r="AC146" i="16"/>
  <c r="AC147" i="16"/>
  <c r="AC148" i="16"/>
  <c r="AC149" i="16"/>
  <c r="AC150" i="16"/>
  <c r="AC151" i="16"/>
  <c r="AC152" i="16"/>
  <c r="AC153" i="16"/>
  <c r="AC154" i="16"/>
  <c r="AC155" i="16"/>
  <c r="AC156" i="16"/>
  <c r="AC157" i="16"/>
  <c r="AC158" i="16"/>
  <c r="AC159" i="16"/>
  <c r="AC160" i="16"/>
  <c r="AC161" i="16"/>
  <c r="AC162" i="16"/>
  <c r="AC163" i="16"/>
  <c r="AC164" i="16"/>
  <c r="AC165" i="16"/>
  <c r="AC166" i="16"/>
  <c r="AC167" i="16"/>
  <c r="AC168" i="16"/>
  <c r="AC169" i="16"/>
  <c r="AC170" i="16"/>
  <c r="AC171" i="16"/>
  <c r="AC172" i="16"/>
  <c r="AC173" i="16"/>
  <c r="AC174" i="16"/>
  <c r="AC175" i="16"/>
  <c r="AC176" i="16"/>
  <c r="AC177" i="16"/>
  <c r="AC178" i="16"/>
  <c r="AC179" i="16"/>
  <c r="AC180" i="16"/>
  <c r="AC181" i="16"/>
  <c r="AC182" i="16"/>
  <c r="AC183" i="16"/>
  <c r="AC184" i="16"/>
  <c r="AC185" i="16"/>
  <c r="AC186" i="16"/>
  <c r="AC187" i="16"/>
  <c r="AC188" i="16"/>
  <c r="AC189" i="16"/>
  <c r="AC190" i="16"/>
  <c r="AC191" i="16"/>
  <c r="AC192" i="16"/>
  <c r="AC193" i="16"/>
  <c r="AC194" i="16"/>
  <c r="AC195" i="16"/>
  <c r="AC196" i="16"/>
  <c r="AC197" i="16"/>
  <c r="AC198" i="16"/>
  <c r="AC199" i="16"/>
  <c r="AC200" i="16"/>
  <c r="AC201" i="16"/>
  <c r="AC202" i="16"/>
  <c r="AC203" i="16"/>
  <c r="AC204" i="16"/>
  <c r="AC205" i="16"/>
  <c r="AC206" i="16"/>
  <c r="AC207" i="16"/>
  <c r="AC208" i="16"/>
  <c r="AC209" i="16"/>
  <c r="AC210" i="16"/>
  <c r="AC211" i="16"/>
  <c r="AC212" i="16"/>
  <c r="AC213" i="16"/>
  <c r="AC214" i="16"/>
  <c r="AC215" i="16"/>
  <c r="AC216" i="16"/>
  <c r="AC217" i="16"/>
  <c r="AC218" i="16"/>
  <c r="AC219" i="16"/>
  <c r="AC220" i="16"/>
  <c r="AC221" i="16"/>
  <c r="AC222" i="16"/>
  <c r="AC223" i="16"/>
  <c r="AC224" i="16"/>
  <c r="AC225" i="16"/>
  <c r="AC226" i="16"/>
  <c r="AC227" i="16"/>
  <c r="AC228" i="16"/>
  <c r="AC229" i="16"/>
  <c r="AC230" i="16"/>
  <c r="AC231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7" i="16"/>
  <c r="W108" i="16"/>
  <c r="W109" i="16"/>
  <c r="W110" i="16"/>
  <c r="W111" i="16"/>
  <c r="W112" i="16"/>
  <c r="W113" i="16"/>
  <c r="W114" i="16"/>
  <c r="W115" i="16"/>
  <c r="W116" i="16"/>
  <c r="W117" i="16"/>
  <c r="W118" i="16"/>
  <c r="W119" i="16"/>
  <c r="W120" i="16"/>
  <c r="W121" i="16"/>
  <c r="W122" i="16"/>
  <c r="W123" i="16"/>
  <c r="W124" i="16"/>
  <c r="W125" i="16"/>
  <c r="W126" i="16"/>
  <c r="W127" i="16"/>
  <c r="W128" i="16"/>
  <c r="W129" i="16"/>
  <c r="W130" i="16"/>
  <c r="W131" i="16"/>
  <c r="W132" i="16"/>
  <c r="W133" i="16"/>
  <c r="W134" i="16"/>
  <c r="W135" i="16"/>
  <c r="W136" i="16"/>
  <c r="W137" i="16"/>
  <c r="W138" i="16"/>
  <c r="W139" i="16"/>
  <c r="W140" i="16"/>
  <c r="W141" i="16"/>
  <c r="W142" i="16"/>
  <c r="W143" i="16"/>
  <c r="W144" i="16"/>
  <c r="W145" i="16"/>
  <c r="W146" i="16"/>
  <c r="W147" i="16"/>
  <c r="W148" i="16"/>
  <c r="W149" i="16"/>
  <c r="W150" i="16"/>
  <c r="W151" i="16"/>
  <c r="W152" i="16"/>
  <c r="W153" i="16"/>
  <c r="W154" i="16"/>
  <c r="W155" i="16"/>
  <c r="W156" i="16"/>
  <c r="W157" i="16"/>
  <c r="W158" i="16"/>
  <c r="W159" i="16"/>
  <c r="W160" i="16"/>
  <c r="W161" i="16"/>
  <c r="W162" i="16"/>
  <c r="W163" i="16"/>
  <c r="W164" i="16"/>
  <c r="W165" i="16"/>
  <c r="W166" i="16"/>
  <c r="W167" i="16"/>
  <c r="W168" i="16"/>
  <c r="W169" i="16"/>
  <c r="W170" i="16"/>
  <c r="W171" i="16"/>
  <c r="W172" i="16"/>
  <c r="W173" i="16"/>
  <c r="W174" i="16"/>
  <c r="W175" i="16"/>
  <c r="W176" i="16"/>
  <c r="W177" i="16"/>
  <c r="W178" i="16"/>
  <c r="W179" i="16"/>
  <c r="W180" i="16"/>
  <c r="W181" i="16"/>
  <c r="W182" i="16"/>
  <c r="W183" i="16"/>
  <c r="W184" i="16"/>
  <c r="W185" i="16"/>
  <c r="W186" i="16"/>
  <c r="W187" i="16"/>
  <c r="W188" i="16"/>
  <c r="W189" i="16"/>
  <c r="W190" i="16"/>
  <c r="W191" i="16"/>
  <c r="W192" i="16"/>
  <c r="W193" i="16"/>
  <c r="W194" i="16"/>
  <c r="W195" i="16"/>
  <c r="W196" i="16"/>
  <c r="W197" i="16"/>
  <c r="W198" i="16"/>
  <c r="W199" i="16"/>
  <c r="W200" i="16"/>
  <c r="W201" i="16"/>
  <c r="W202" i="16"/>
  <c r="W203" i="16"/>
  <c r="W204" i="16"/>
  <c r="W205" i="16"/>
  <c r="W206" i="16"/>
  <c r="W207" i="16"/>
  <c r="W208" i="16"/>
  <c r="W209" i="16"/>
  <c r="W210" i="16"/>
  <c r="W211" i="16"/>
  <c r="W212" i="16"/>
  <c r="W213" i="16"/>
  <c r="W214" i="16"/>
  <c r="W215" i="16"/>
  <c r="W216" i="16"/>
  <c r="W217" i="16"/>
  <c r="W218" i="16"/>
  <c r="W219" i="16"/>
  <c r="W220" i="16"/>
  <c r="W221" i="16"/>
  <c r="W222" i="16"/>
  <c r="W223" i="16"/>
  <c r="W224" i="16"/>
  <c r="W225" i="16"/>
  <c r="W226" i="16"/>
  <c r="W227" i="16"/>
  <c r="W228" i="16"/>
  <c r="W229" i="16"/>
  <c r="W230" i="16"/>
  <c r="W231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192" i="16"/>
  <c r="Q193" i="16"/>
  <c r="Q194" i="16"/>
  <c r="Q195" i="16"/>
  <c r="Q196" i="16"/>
  <c r="Q197" i="16"/>
  <c r="Q198" i="16"/>
  <c r="Q199" i="16"/>
  <c r="Q200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4" i="16"/>
  <c r="CC226" i="15" l="1"/>
  <c r="CC218" i="15"/>
  <c r="CC210" i="15"/>
  <c r="CC202" i="15"/>
  <c r="CC194" i="15"/>
  <c r="CC186" i="15"/>
  <c r="CC178" i="15"/>
  <c r="CC170" i="15"/>
  <c r="CC162" i="15"/>
  <c r="CC154" i="15"/>
  <c r="CC146" i="15"/>
  <c r="CC138" i="15"/>
  <c r="CC130" i="15"/>
  <c r="CC122" i="15"/>
  <c r="CC114" i="15"/>
  <c r="CC106" i="15"/>
  <c r="CC98" i="15"/>
  <c r="CC90" i="15"/>
  <c r="CC82" i="15"/>
  <c r="CC74" i="15"/>
  <c r="CC66" i="15"/>
  <c r="CC58" i="15"/>
  <c r="CC50" i="15"/>
  <c r="CC42" i="15"/>
  <c r="CC34" i="15"/>
  <c r="CC26" i="15"/>
  <c r="CC18" i="15"/>
  <c r="CC10" i="15"/>
  <c r="BA4" i="16" l="1"/>
  <c r="AU4" i="16"/>
  <c r="AO4" i="16"/>
  <c r="AI4" i="16"/>
  <c r="AC4" i="16"/>
  <c r="W4" i="16"/>
  <c r="BA3" i="16"/>
  <c r="AU3" i="16"/>
  <c r="AO3" i="16"/>
  <c r="AI3" i="16"/>
  <c r="AC3" i="16"/>
  <c r="W3" i="16"/>
  <c r="Q3" i="16"/>
  <c r="Q7" i="11" l="1"/>
  <c r="Q11" i="11"/>
  <c r="Q15" i="11"/>
  <c r="Q27" i="11"/>
  <c r="Q31" i="11"/>
  <c r="Q35" i="11"/>
  <c r="Q39" i="11"/>
  <c r="Q43" i="11"/>
  <c r="Q47" i="11"/>
  <c r="Q51" i="11"/>
  <c r="Q55" i="11"/>
  <c r="Q59" i="11"/>
  <c r="Q63" i="11"/>
  <c r="Q67" i="11"/>
  <c r="Q71" i="11"/>
  <c r="Q75" i="11"/>
  <c r="Q79" i="11"/>
  <c r="Q83" i="11"/>
  <c r="Q87" i="11"/>
  <c r="Q95" i="11"/>
  <c r="Q99" i="11"/>
  <c r="Q103" i="11"/>
  <c r="Q111" i="11"/>
  <c r="Q115" i="11"/>
  <c r="Q119" i="11"/>
  <c r="Q123" i="11"/>
  <c r="Q131" i="11"/>
  <c r="Q135" i="11"/>
  <c r="Q139" i="11"/>
  <c r="Q143" i="11"/>
  <c r="Q147" i="11"/>
  <c r="Q151" i="11"/>
  <c r="Q155" i="11"/>
  <c r="Q167" i="11"/>
  <c r="Q171" i="11"/>
  <c r="Q175" i="11"/>
  <c r="Q179" i="11"/>
  <c r="Q183" i="11"/>
  <c r="Q187" i="11"/>
  <c r="Q191" i="11"/>
  <c r="Q195" i="11"/>
  <c r="Q199" i="11"/>
  <c r="Q203" i="11"/>
  <c r="Q207" i="11"/>
  <c r="Q211" i="11"/>
  <c r="Q215" i="11"/>
  <c r="Q219" i="11"/>
  <c r="Q223" i="11"/>
  <c r="Q226" i="11"/>
  <c r="Q227" i="11"/>
  <c r="Q19" i="11"/>
  <c r="Q91" i="11"/>
  <c r="Q163" i="11"/>
  <c r="BA6" i="11"/>
  <c r="BA9" i="11"/>
  <c r="BA14" i="11"/>
  <c r="BA17" i="11"/>
  <c r="BA19" i="11"/>
  <c r="BA25" i="11"/>
  <c r="BA27" i="11"/>
  <c r="BA30" i="11"/>
  <c r="BA33" i="11"/>
  <c r="BA35" i="11"/>
  <c r="BA38" i="11"/>
  <c r="BA41" i="11"/>
  <c r="BA43" i="11"/>
  <c r="BA46" i="11"/>
  <c r="BA49" i="11"/>
  <c r="BA51" i="11"/>
  <c r="BA57" i="11"/>
  <c r="BA62" i="11"/>
  <c r="BA65" i="11"/>
  <c r="BA67" i="11"/>
  <c r="BA70" i="11"/>
  <c r="BA73" i="11"/>
  <c r="BA75" i="11"/>
  <c r="BA81" i="11"/>
  <c r="BA83" i="11"/>
  <c r="BA86" i="11"/>
  <c r="BA89" i="11"/>
  <c r="BA94" i="11"/>
  <c r="BA97" i="11"/>
  <c r="BA102" i="11"/>
  <c r="BA105" i="11"/>
  <c r="BA107" i="11"/>
  <c r="BA113" i="11"/>
  <c r="BA115" i="11"/>
  <c r="BA121" i="11"/>
  <c r="BA129" i="11"/>
  <c r="BA131" i="11"/>
  <c r="BA134" i="11"/>
  <c r="BA137" i="11"/>
  <c r="BA145" i="11"/>
  <c r="BA147" i="11"/>
  <c r="BA150" i="11"/>
  <c r="BA153" i="11"/>
  <c r="BA155" i="11"/>
  <c r="BA158" i="11"/>
  <c r="BA161" i="11"/>
  <c r="BA166" i="11"/>
  <c r="BA169" i="11"/>
  <c r="BA171" i="11"/>
  <c r="BA177" i="11"/>
  <c r="BA179" i="11"/>
  <c r="BA182" i="11"/>
  <c r="BA185" i="11"/>
  <c r="BA190" i="11"/>
  <c r="BA193" i="11"/>
  <c r="BA195" i="11"/>
  <c r="BA201" i="11"/>
  <c r="BA203" i="11"/>
  <c r="BA209" i="11"/>
  <c r="BA211" i="11"/>
  <c r="BA217" i="11"/>
  <c r="BA219" i="11"/>
  <c r="BA222" i="11"/>
  <c r="BA227" i="11"/>
  <c r="BA230" i="11"/>
  <c r="Q10" i="11"/>
  <c r="Q18" i="11"/>
  <c r="Q26" i="11"/>
  <c r="Q34" i="11"/>
  <c r="Q42" i="11"/>
  <c r="Q50" i="11"/>
  <c r="Q58" i="11"/>
  <c r="Q66" i="11"/>
  <c r="Q74" i="11"/>
  <c r="Q82" i="11"/>
  <c r="Q90" i="11"/>
  <c r="Q98" i="11"/>
  <c r="Q106" i="11"/>
  <c r="Q114" i="11"/>
  <c r="Q122" i="11"/>
  <c r="Q130" i="11"/>
  <c r="Q138" i="11"/>
  <c r="Q146" i="11"/>
  <c r="Q154" i="11"/>
  <c r="Q162" i="11"/>
  <c r="Q170" i="11"/>
  <c r="Q178" i="11"/>
  <c r="Q186" i="11"/>
  <c r="Q194" i="11"/>
  <c r="Q202" i="11"/>
  <c r="Q210" i="11"/>
  <c r="Q218" i="11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/>
  <c r="BA80" i="8"/>
  <c r="BA81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99" i="8"/>
  <c r="BA100" i="8"/>
  <c r="BA101" i="8"/>
  <c r="BA102" i="8"/>
  <c r="BA103" i="8"/>
  <c r="BA104" i="8"/>
  <c r="BA105" i="8"/>
  <c r="BA106" i="8"/>
  <c r="BA107" i="8"/>
  <c r="BA108" i="8"/>
  <c r="BA109" i="8"/>
  <c r="BA110" i="8"/>
  <c r="BA111" i="8"/>
  <c r="BA112" i="8"/>
  <c r="BA113" i="8"/>
  <c r="BA114" i="8"/>
  <c r="BA115" i="8"/>
  <c r="BA116" i="8"/>
  <c r="BA117" i="8"/>
  <c r="BA118" i="8"/>
  <c r="BA119" i="8"/>
  <c r="BA120" i="8"/>
  <c r="BA121" i="8"/>
  <c r="BA122" i="8"/>
  <c r="BA123" i="8"/>
  <c r="BA124" i="8"/>
  <c r="BA125" i="8"/>
  <c r="BA126" i="8"/>
  <c r="BA127" i="8"/>
  <c r="BA128" i="8"/>
  <c r="BA129" i="8"/>
  <c r="BA130" i="8"/>
  <c r="BA131" i="8"/>
  <c r="BA132" i="8"/>
  <c r="BA133" i="8"/>
  <c r="BA134" i="8"/>
  <c r="BA135" i="8"/>
  <c r="BA136" i="8"/>
  <c r="BA137" i="8"/>
  <c r="BA138" i="8"/>
  <c r="BA139" i="8"/>
  <c r="BA140" i="8"/>
  <c r="BA141" i="8"/>
  <c r="BA142" i="8"/>
  <c r="BA143" i="8"/>
  <c r="BA144" i="8"/>
  <c r="BA145" i="8"/>
  <c r="BA146" i="8"/>
  <c r="BA147" i="8"/>
  <c r="BA148" i="8"/>
  <c r="BA149" i="8"/>
  <c r="BA150" i="8"/>
  <c r="BA151" i="8"/>
  <c r="BA152" i="8"/>
  <c r="BA153" i="8"/>
  <c r="BA154" i="8"/>
  <c r="BA155" i="8"/>
  <c r="BA156" i="8"/>
  <c r="BA157" i="8"/>
  <c r="BA158" i="8"/>
  <c r="BA159" i="8"/>
  <c r="BA160" i="8"/>
  <c r="BA161" i="8"/>
  <c r="BA162" i="8"/>
  <c r="BA163" i="8"/>
  <c r="BA164" i="8"/>
  <c r="BA165" i="8"/>
  <c r="BA166" i="8"/>
  <c r="BA167" i="8"/>
  <c r="BA168" i="8"/>
  <c r="BA169" i="8"/>
  <c r="BA170" i="8"/>
  <c r="BA171" i="8"/>
  <c r="BA172" i="8"/>
  <c r="BA173" i="8"/>
  <c r="BA174" i="8"/>
  <c r="BA175" i="8"/>
  <c r="BA176" i="8"/>
  <c r="BA177" i="8"/>
  <c r="BA178" i="8"/>
  <c r="BA179" i="8"/>
  <c r="BA180" i="8"/>
  <c r="BA181" i="8"/>
  <c r="BA182" i="8"/>
  <c r="BA183" i="8"/>
  <c r="BA184" i="8"/>
  <c r="BA185" i="8"/>
  <c r="BA186" i="8"/>
  <c r="BA187" i="8"/>
  <c r="BA188" i="8"/>
  <c r="BA189" i="8"/>
  <c r="BA190" i="8"/>
  <c r="BA191" i="8"/>
  <c r="BA192" i="8"/>
  <c r="BA193" i="8"/>
  <c r="BA194" i="8"/>
  <c r="BA195" i="8"/>
  <c r="BA196" i="8"/>
  <c r="BA197" i="8"/>
  <c r="BA198" i="8"/>
  <c r="BA199" i="8"/>
  <c r="BA200" i="8"/>
  <c r="BA201" i="8"/>
  <c r="BA202" i="8"/>
  <c r="BA203" i="8"/>
  <c r="BA204" i="8"/>
  <c r="BA205" i="8"/>
  <c r="BA206" i="8"/>
  <c r="BA207" i="8"/>
  <c r="BA208" i="8"/>
  <c r="BA209" i="8"/>
  <c r="BA210" i="8"/>
  <c r="BA211" i="8"/>
  <c r="BA212" i="8"/>
  <c r="BA213" i="8"/>
  <c r="BA214" i="8"/>
  <c r="BA215" i="8"/>
  <c r="BA216" i="8"/>
  <c r="BA217" i="8"/>
  <c r="BA218" i="8"/>
  <c r="BA219" i="8"/>
  <c r="BA220" i="8"/>
  <c r="BA221" i="8"/>
  <c r="BA222" i="8"/>
  <c r="BA223" i="8"/>
  <c r="BA224" i="8"/>
  <c r="BA225" i="8"/>
  <c r="BA226" i="8"/>
  <c r="BA227" i="8"/>
  <c r="BA228" i="8"/>
  <c r="BA229" i="8"/>
  <c r="BA230" i="8"/>
  <c r="Q7" i="8"/>
  <c r="BK7" i="15" s="1"/>
  <c r="Q19" i="8"/>
  <c r="BK19" i="15" s="1"/>
  <c r="Q23" i="8"/>
  <c r="BK23" i="15" s="1"/>
  <c r="Q27" i="8"/>
  <c r="BK27" i="15" s="1"/>
  <c r="Q31" i="8"/>
  <c r="BK31" i="15" s="1"/>
  <c r="Q35" i="8"/>
  <c r="BK35" i="15" s="1"/>
  <c r="CA35" i="15" s="1"/>
  <c r="Q36" i="8"/>
  <c r="BK36" i="15" s="1"/>
  <c r="Q39" i="8"/>
  <c r="BK39" i="15" s="1"/>
  <c r="Q40" i="8"/>
  <c r="BK40" i="15" s="1"/>
  <c r="Q43" i="8"/>
  <c r="BK43" i="15" s="1"/>
  <c r="Q44" i="8"/>
  <c r="BK44" i="15" s="1"/>
  <c r="Q47" i="8"/>
  <c r="BK47" i="15" s="1"/>
  <c r="Q48" i="8"/>
  <c r="BK48" i="15" s="1"/>
  <c r="Q52" i="8"/>
  <c r="BK52" i="15" s="1"/>
  <c r="Q55" i="8"/>
  <c r="BK55" i="15" s="1"/>
  <c r="Q56" i="8"/>
  <c r="BK56" i="15" s="1"/>
  <c r="Q60" i="8"/>
  <c r="BK60" i="15" s="1"/>
  <c r="Q63" i="8"/>
  <c r="BK63" i="15" s="1"/>
  <c r="Q64" i="8"/>
  <c r="BK64" i="15" s="1"/>
  <c r="Q67" i="8"/>
  <c r="BK67" i="15" s="1"/>
  <c r="Q68" i="8"/>
  <c r="BK68" i="15" s="1"/>
  <c r="Q71" i="8"/>
  <c r="BK71" i="15" s="1"/>
  <c r="Q72" i="8"/>
  <c r="BK72" i="15" s="1"/>
  <c r="Q75" i="8"/>
  <c r="BK75" i="15" s="1"/>
  <c r="Q76" i="8"/>
  <c r="BK76" i="15" s="1"/>
  <c r="Q79" i="8"/>
  <c r="BK79" i="15" s="1"/>
  <c r="Q80" i="8"/>
  <c r="BK80" i="15" s="1"/>
  <c r="Q83" i="8"/>
  <c r="BK83" i="15" s="1"/>
  <c r="Q84" i="8"/>
  <c r="BK84" i="15" s="1"/>
  <c r="Q87" i="8"/>
  <c r="BK87" i="15" s="1"/>
  <c r="Q88" i="8"/>
  <c r="BK88" i="15" s="1"/>
  <c r="Q91" i="8"/>
  <c r="BK91" i="15" s="1"/>
  <c r="Q92" i="8"/>
  <c r="BK92" i="15" s="1"/>
  <c r="Q99" i="8"/>
  <c r="BK99" i="15" s="1"/>
  <c r="Q100" i="8"/>
  <c r="BK100" i="15" s="1"/>
  <c r="Q115" i="8"/>
  <c r="BK115" i="15" s="1"/>
  <c r="Q116" i="8"/>
  <c r="BK116" i="15" s="1"/>
  <c r="Q119" i="8"/>
  <c r="BK119" i="15" s="1"/>
  <c r="Q120" i="8"/>
  <c r="BK120" i="15" s="1"/>
  <c r="Q123" i="8"/>
  <c r="BK123" i="15" s="1"/>
  <c r="Q127" i="8"/>
  <c r="BK127" i="15" s="1"/>
  <c r="Q128" i="8"/>
  <c r="BK128" i="15" s="1"/>
  <c r="Q131" i="8"/>
  <c r="BK131" i="15" s="1"/>
  <c r="Q135" i="8"/>
  <c r="BK135" i="15" s="1"/>
  <c r="Q136" i="8"/>
  <c r="BK136" i="15" s="1"/>
  <c r="Q139" i="8"/>
  <c r="BK139" i="15" s="1"/>
  <c r="Q140" i="8"/>
  <c r="BK140" i="15" s="1"/>
  <c r="Q143" i="8"/>
  <c r="BK143" i="15" s="1"/>
  <c r="Q144" i="8"/>
  <c r="BK144" i="15" s="1"/>
  <c r="Q147" i="8"/>
  <c r="BK147" i="15" s="1"/>
  <c r="Q148" i="8"/>
  <c r="BK148" i="15" s="1"/>
  <c r="Q156" i="8"/>
  <c r="BK156" i="15" s="1"/>
  <c r="Q159" i="8"/>
  <c r="BK159" i="15" s="1"/>
  <c r="Q160" i="8"/>
  <c r="BK160" i="15" s="1"/>
  <c r="Q164" i="8"/>
  <c r="BK164" i="15" s="1"/>
  <c r="Q167" i="8"/>
  <c r="BK167" i="15" s="1"/>
  <c r="Q168" i="8"/>
  <c r="BK168" i="15" s="1"/>
  <c r="Q171" i="8"/>
  <c r="BK171" i="15" s="1"/>
  <c r="Q172" i="8"/>
  <c r="BK172" i="15" s="1"/>
  <c r="Q175" i="8"/>
  <c r="BK175" i="15" s="1"/>
  <c r="Q176" i="8"/>
  <c r="BK176" i="15" s="1"/>
  <c r="Q179" i="8"/>
  <c r="BK179" i="15" s="1"/>
  <c r="Q183" i="8"/>
  <c r="BK183" i="15" s="1"/>
  <c r="Q184" i="8"/>
  <c r="BK184" i="15" s="1"/>
  <c r="Q187" i="8"/>
  <c r="BK187" i="15" s="1"/>
  <c r="Q188" i="8"/>
  <c r="BK188" i="15" s="1"/>
  <c r="Q191" i="8"/>
  <c r="BK191" i="15" s="1"/>
  <c r="Q192" i="8"/>
  <c r="BK192" i="15" s="1"/>
  <c r="Q195" i="8"/>
  <c r="BK195" i="15" s="1"/>
  <c r="Q196" i="8"/>
  <c r="BK196" i="15" s="1"/>
  <c r="Q200" i="8"/>
  <c r="BK200" i="15" s="1"/>
  <c r="Q203" i="8"/>
  <c r="BK203" i="15" s="1"/>
  <c r="Q204" i="8"/>
  <c r="BK204" i="15" s="1"/>
  <c r="Q207" i="8"/>
  <c r="BK207" i="15" s="1"/>
  <c r="Q208" i="8"/>
  <c r="BK208" i="15" s="1"/>
  <c r="Q211" i="8"/>
  <c r="BK211" i="15" s="1"/>
  <c r="Q215" i="8"/>
  <c r="BK215" i="15" s="1"/>
  <c r="Q216" i="8"/>
  <c r="BK216" i="15" s="1"/>
  <c r="Q219" i="8"/>
  <c r="BK219" i="15" s="1"/>
  <c r="Q220" i="8"/>
  <c r="BK220" i="15" s="1"/>
  <c r="Q222" i="8"/>
  <c r="BK222" i="15" s="1"/>
  <c r="Q224" i="8"/>
  <c r="BK224" i="15" s="1"/>
  <c r="Q227" i="8"/>
  <c r="BK227" i="15" s="1"/>
  <c r="Q228" i="8"/>
  <c r="BK228" i="15" s="1"/>
  <c r="Q230" i="8"/>
  <c r="BK230" i="15" s="1"/>
  <c r="Q10" i="8"/>
  <c r="BK10" i="15" s="1"/>
  <c r="CA10" i="15" s="1"/>
  <c r="Q18" i="8"/>
  <c r="BK18" i="15" s="1"/>
  <c r="Q26" i="8"/>
  <c r="BK26" i="15" s="1"/>
  <c r="Q34" i="8"/>
  <c r="BK34" i="15" s="1"/>
  <c r="Q42" i="8"/>
  <c r="BK42" i="15" s="1"/>
  <c r="Q58" i="8"/>
  <c r="BK58" i="15" s="1"/>
  <c r="Q66" i="8"/>
  <c r="BK66" i="15" s="1"/>
  <c r="Q74" i="8"/>
  <c r="BK74" i="15" s="1"/>
  <c r="Q82" i="8"/>
  <c r="BK82" i="15" s="1"/>
  <c r="CA82" i="15" s="1"/>
  <c r="Q90" i="8"/>
  <c r="BK90" i="15" s="1"/>
  <c r="Q98" i="8"/>
  <c r="BK98" i="15" s="1"/>
  <c r="Q106" i="8"/>
  <c r="BK106" i="15" s="1"/>
  <c r="Q122" i="8"/>
  <c r="BK122" i="15" s="1"/>
  <c r="Q130" i="8"/>
  <c r="BK130" i="15" s="1"/>
  <c r="Q138" i="8"/>
  <c r="BK138" i="15" s="1"/>
  <c r="Q146" i="8"/>
  <c r="BK146" i="15" s="1"/>
  <c r="Q154" i="8"/>
  <c r="BK154" i="15" s="1"/>
  <c r="Q162" i="8"/>
  <c r="BK162" i="15" s="1"/>
  <c r="Q170" i="8"/>
  <c r="BK170" i="15" s="1"/>
  <c r="Q186" i="8"/>
  <c r="BK186" i="15" s="1"/>
  <c r="Q194" i="8"/>
  <c r="BK194" i="15" s="1"/>
  <c r="Q202" i="8"/>
  <c r="BK202" i="15" s="1"/>
  <c r="Q210" i="8"/>
  <c r="BK210" i="15" s="1"/>
  <c r="Q218" i="8"/>
  <c r="BK218" i="15" s="1"/>
  <c r="Q226" i="8"/>
  <c r="BK226" i="15" s="1"/>
  <c r="Q50" i="8"/>
  <c r="BK50" i="15" s="1"/>
  <c r="Q114" i="8"/>
  <c r="BK114" i="15" s="1"/>
  <c r="Q178" i="8"/>
  <c r="BK178" i="15" s="1"/>
  <c r="Q9" i="8"/>
  <c r="BK9" i="15" s="1"/>
  <c r="Q17" i="8"/>
  <c r="BK17" i="15" s="1"/>
  <c r="Q25" i="8"/>
  <c r="BK25" i="15" s="1"/>
  <c r="Q33" i="8"/>
  <c r="BK33" i="15" s="1"/>
  <c r="Q41" i="8"/>
  <c r="BK41" i="15" s="1"/>
  <c r="Q49" i="8"/>
  <c r="BK49" i="15" s="1"/>
  <c r="Q57" i="8"/>
  <c r="BK57" i="15" s="1"/>
  <c r="Q65" i="8"/>
  <c r="BK65" i="15" s="1"/>
  <c r="Q73" i="8"/>
  <c r="BK73" i="15" s="1"/>
  <c r="Q81" i="8"/>
  <c r="BK81" i="15" s="1"/>
  <c r="Q89" i="8"/>
  <c r="BK89" i="15" s="1"/>
  <c r="Q97" i="8"/>
  <c r="BK97" i="15" s="1"/>
  <c r="Q105" i="8"/>
  <c r="BK105" i="15" s="1"/>
  <c r="Q113" i="8"/>
  <c r="BK113" i="15" s="1"/>
  <c r="Q121" i="8"/>
  <c r="BK121" i="15" s="1"/>
  <c r="Q129" i="8"/>
  <c r="BK129" i="15" s="1"/>
  <c r="Q137" i="8"/>
  <c r="BK137" i="15" s="1"/>
  <c r="Q145" i="8"/>
  <c r="BK145" i="15" s="1"/>
  <c r="Q153" i="8"/>
  <c r="BK153" i="15" s="1"/>
  <c r="Q161" i="8"/>
  <c r="BK161" i="15" s="1"/>
  <c r="Q169" i="8"/>
  <c r="BK169" i="15" s="1"/>
  <c r="Q177" i="8"/>
  <c r="BK177" i="15" s="1"/>
  <c r="Q185" i="8"/>
  <c r="BK185" i="15" s="1"/>
  <c r="Q193" i="8"/>
  <c r="BK193" i="15" s="1"/>
  <c r="Q201" i="8"/>
  <c r="BK201" i="15" s="1"/>
  <c r="Q209" i="8"/>
  <c r="BK209" i="15" s="1"/>
  <c r="Q217" i="8"/>
  <c r="BK217" i="15" s="1"/>
  <c r="Q225" i="8"/>
  <c r="BK225" i="15" s="1"/>
  <c r="Q7" i="10"/>
  <c r="Q11" i="10"/>
  <c r="Q15" i="10"/>
  <c r="Q19" i="10"/>
  <c r="Q23" i="10"/>
  <c r="Q27" i="10"/>
  <c r="Q31" i="10"/>
  <c r="Q35" i="10"/>
  <c r="Q39" i="10"/>
  <c r="Q43" i="10"/>
  <c r="Q47" i="10"/>
  <c r="Q51" i="10"/>
  <c r="Q55" i="10"/>
  <c r="Q63" i="10"/>
  <c r="Q67" i="10"/>
  <c r="Q71" i="10"/>
  <c r="Q79" i="10"/>
  <c r="Q83" i="10"/>
  <c r="Q87" i="10"/>
  <c r="Q95" i="10"/>
  <c r="Q99" i="10"/>
  <c r="Q103" i="10"/>
  <c r="Q111" i="10"/>
  <c r="Q115" i="10"/>
  <c r="Q119" i="10"/>
  <c r="Q123" i="10"/>
  <c r="Q127" i="10"/>
  <c r="Q131" i="10"/>
  <c r="Q135" i="10"/>
  <c r="Q139" i="10"/>
  <c r="Q143" i="10"/>
  <c r="Q147" i="10"/>
  <c r="Q151" i="10"/>
  <c r="Q159" i="10"/>
  <c r="Q163" i="10"/>
  <c r="Q167" i="10"/>
  <c r="Q171" i="10"/>
  <c r="Q175" i="10"/>
  <c r="Q179" i="10"/>
  <c r="Q183" i="10"/>
  <c r="Q187" i="10"/>
  <c r="Q191" i="10"/>
  <c r="Q199" i="10"/>
  <c r="Q203" i="10"/>
  <c r="Q207" i="10"/>
  <c r="Q211" i="10"/>
  <c r="Q215" i="10"/>
  <c r="Q217" i="10"/>
  <c r="Q218" i="10"/>
  <c r="Q219" i="10"/>
  <c r="Q223" i="10"/>
  <c r="Q225" i="10"/>
  <c r="Q226" i="10"/>
  <c r="Q227" i="10"/>
  <c r="Q228" i="10"/>
  <c r="Q229" i="10"/>
  <c r="Q230" i="10"/>
  <c r="Q10" i="10"/>
  <c r="Q18" i="10"/>
  <c r="Q26" i="10"/>
  <c r="Q34" i="10"/>
  <c r="Q42" i="10"/>
  <c r="Q50" i="10"/>
  <c r="Q66" i="10"/>
  <c r="Q74" i="10"/>
  <c r="Q82" i="10"/>
  <c r="Q90" i="10"/>
  <c r="Q98" i="10"/>
  <c r="Q106" i="10"/>
  <c r="Q114" i="10"/>
  <c r="Q130" i="10"/>
  <c r="Q138" i="10"/>
  <c r="Q146" i="10"/>
  <c r="Q154" i="10"/>
  <c r="Q162" i="10"/>
  <c r="Q170" i="10"/>
  <c r="Q178" i="10"/>
  <c r="Q186" i="10"/>
  <c r="Q194" i="10"/>
  <c r="Q202" i="10"/>
  <c r="Q210" i="10"/>
  <c r="Q212" i="10"/>
  <c r="Q220" i="10"/>
  <c r="BA6" i="10"/>
  <c r="BA8" i="10"/>
  <c r="BA11" i="10"/>
  <c r="BA14" i="10"/>
  <c r="BA19" i="10"/>
  <c r="BA22" i="10"/>
  <c r="BA27" i="10"/>
  <c r="BA30" i="10"/>
  <c r="BA35" i="10"/>
  <c r="BA38" i="10"/>
  <c r="BA40" i="10"/>
  <c r="BA43" i="10"/>
  <c r="BA46" i="10"/>
  <c r="BA51" i="10"/>
  <c r="BA54" i="10"/>
  <c r="BA56" i="10"/>
  <c r="BA59" i="10"/>
  <c r="BA62" i="10"/>
  <c r="BA67" i="10"/>
  <c r="BA70" i="10"/>
  <c r="BA72" i="10"/>
  <c r="BA75" i="10"/>
  <c r="BA78" i="10"/>
  <c r="BA83" i="10"/>
  <c r="BA86" i="10"/>
  <c r="BA88" i="10"/>
  <c r="BA91" i="10"/>
  <c r="BA94" i="10"/>
  <c r="BA99" i="10"/>
  <c r="BA102" i="10"/>
  <c r="BA104" i="10"/>
  <c r="BA107" i="10"/>
  <c r="BA110" i="10"/>
  <c r="BA112" i="10"/>
  <c r="BA115" i="10"/>
  <c r="BA118" i="10"/>
  <c r="BA120" i="10"/>
  <c r="BA123" i="10"/>
  <c r="BA126" i="10"/>
  <c r="BA128" i="10"/>
  <c r="BA131" i="10"/>
  <c r="BA134" i="10"/>
  <c r="BA136" i="10"/>
  <c r="BA139" i="10"/>
  <c r="BA142" i="10"/>
  <c r="BA144" i="10"/>
  <c r="BA147" i="10"/>
  <c r="BA150" i="10"/>
  <c r="BA152" i="10"/>
  <c r="BA153" i="10"/>
  <c r="BA155" i="10"/>
  <c r="BA156" i="10"/>
  <c r="BA158" i="10"/>
  <c r="BA159" i="10"/>
  <c r="BA160" i="10"/>
  <c r="BA161" i="10"/>
  <c r="BA163" i="10"/>
  <c r="BA164" i="10"/>
  <c r="BA166" i="10"/>
  <c r="BA167" i="10"/>
  <c r="BA169" i="10"/>
  <c r="BA171" i="10"/>
  <c r="BA172" i="10"/>
  <c r="BA174" i="10"/>
  <c r="BA175" i="10"/>
  <c r="BA176" i="10"/>
  <c r="BA177" i="10"/>
  <c r="BA178" i="10"/>
  <c r="BA179" i="10"/>
  <c r="BA180" i="10"/>
  <c r="BA181" i="10"/>
  <c r="BA182" i="10"/>
  <c r="BA183" i="10"/>
  <c r="BA184" i="10"/>
  <c r="BA185" i="10"/>
  <c r="BA186" i="10"/>
  <c r="BA187" i="10"/>
  <c r="BA188" i="10"/>
  <c r="BA189" i="10"/>
  <c r="BA190" i="10"/>
  <c r="BA191" i="10"/>
  <c r="BA192" i="10"/>
  <c r="BA193" i="10"/>
  <c r="BA194" i="10"/>
  <c r="BA195" i="10"/>
  <c r="BA196" i="10"/>
  <c r="BA197" i="10"/>
  <c r="BA198" i="10"/>
  <c r="BA199" i="10"/>
  <c r="BA200" i="10"/>
  <c r="BA201" i="10"/>
  <c r="BA202" i="10"/>
  <c r="BA203" i="10"/>
  <c r="BA204" i="10"/>
  <c r="BA205" i="10"/>
  <c r="BA206" i="10"/>
  <c r="BA207" i="10"/>
  <c r="BA209" i="10"/>
  <c r="BA210" i="10"/>
  <c r="BA211" i="10"/>
  <c r="BA212" i="10"/>
  <c r="BA213" i="10"/>
  <c r="BA214" i="10"/>
  <c r="BA215" i="10"/>
  <c r="BA216" i="10"/>
  <c r="BA217" i="10"/>
  <c r="BA218" i="10"/>
  <c r="BA219" i="10"/>
  <c r="BA220" i="10"/>
  <c r="BA221" i="10"/>
  <c r="BA222" i="10"/>
  <c r="BA223" i="10"/>
  <c r="BA225" i="10"/>
  <c r="BA226" i="10"/>
  <c r="BA227" i="10"/>
  <c r="BA228" i="10"/>
  <c r="BA229" i="10"/>
  <c r="BA230" i="10"/>
  <c r="AU230" i="8"/>
  <c r="AO230" i="8"/>
  <c r="AI230" i="8"/>
  <c r="AC230" i="8"/>
  <c r="W230" i="8"/>
  <c r="K230" i="8"/>
  <c r="AU229" i="8"/>
  <c r="AO229" i="8"/>
  <c r="AI229" i="8"/>
  <c r="AC229" i="8"/>
  <c r="W229" i="8"/>
  <c r="Q229" i="8"/>
  <c r="BK229" i="15" s="1"/>
  <c r="K229" i="8"/>
  <c r="AU228" i="8"/>
  <c r="AO228" i="8"/>
  <c r="AI228" i="8"/>
  <c r="AC228" i="8"/>
  <c r="W228" i="8"/>
  <c r="K228" i="8"/>
  <c r="AU227" i="8"/>
  <c r="AO227" i="8"/>
  <c r="AI227" i="8"/>
  <c r="AC227" i="8"/>
  <c r="W227" i="8"/>
  <c r="K227" i="8"/>
  <c r="AU226" i="8"/>
  <c r="AO226" i="8"/>
  <c r="AI226" i="8"/>
  <c r="AC226" i="8"/>
  <c r="W226" i="8"/>
  <c r="K226" i="8"/>
  <c r="AU225" i="8"/>
  <c r="AO225" i="8"/>
  <c r="AI225" i="8"/>
  <c r="AC225" i="8"/>
  <c r="W225" i="8"/>
  <c r="K225" i="8"/>
  <c r="AU224" i="8"/>
  <c r="AO224" i="8"/>
  <c r="AI224" i="8"/>
  <c r="AC224" i="8"/>
  <c r="W224" i="8"/>
  <c r="K224" i="8"/>
  <c r="AU223" i="8"/>
  <c r="AO223" i="8"/>
  <c r="AI223" i="8"/>
  <c r="AC223" i="8"/>
  <c r="W223" i="8"/>
  <c r="Q223" i="8"/>
  <c r="BK223" i="15" s="1"/>
  <c r="K223" i="8"/>
  <c r="AU222" i="8"/>
  <c r="AO222" i="8"/>
  <c r="AI222" i="8"/>
  <c r="AC222" i="8"/>
  <c r="W222" i="8"/>
  <c r="K222" i="8"/>
  <c r="AU221" i="8"/>
  <c r="AO221" i="8"/>
  <c r="AI221" i="8"/>
  <c r="AC221" i="8"/>
  <c r="W221" i="8"/>
  <c r="Q221" i="8"/>
  <c r="BK221" i="15" s="1"/>
  <c r="K221" i="8"/>
  <c r="AU220" i="8"/>
  <c r="AO220" i="8"/>
  <c r="AI220" i="8"/>
  <c r="AC220" i="8"/>
  <c r="W220" i="8"/>
  <c r="K220" i="8"/>
  <c r="AU219" i="8"/>
  <c r="AO219" i="8"/>
  <c r="AI219" i="8"/>
  <c r="AC219" i="8"/>
  <c r="W219" i="8"/>
  <c r="K219" i="8"/>
  <c r="AU218" i="8"/>
  <c r="AO218" i="8"/>
  <c r="AI218" i="8"/>
  <c r="AC218" i="8"/>
  <c r="W218" i="8"/>
  <c r="K218" i="8"/>
  <c r="AU217" i="8"/>
  <c r="AO217" i="8"/>
  <c r="AI217" i="8"/>
  <c r="AC217" i="8"/>
  <c r="W217" i="8"/>
  <c r="K217" i="8"/>
  <c r="AU216" i="8"/>
  <c r="AO216" i="8"/>
  <c r="AI216" i="8"/>
  <c r="AC216" i="8"/>
  <c r="W216" i="8"/>
  <c r="K216" i="8"/>
  <c r="AU215" i="8"/>
  <c r="AO215" i="8"/>
  <c r="AI215" i="8"/>
  <c r="AC215" i="8"/>
  <c r="W215" i="8"/>
  <c r="K215" i="8"/>
  <c r="AU214" i="8"/>
  <c r="AO214" i="8"/>
  <c r="AI214" i="8"/>
  <c r="AC214" i="8"/>
  <c r="W214" i="8"/>
  <c r="Q214" i="8"/>
  <c r="BK214" i="15" s="1"/>
  <c r="K214" i="8"/>
  <c r="AU213" i="8"/>
  <c r="AO213" i="8"/>
  <c r="AI213" i="8"/>
  <c r="AC213" i="8"/>
  <c r="W213" i="8"/>
  <c r="Q213" i="8"/>
  <c r="BK213" i="15" s="1"/>
  <c r="CA213" i="15" s="1"/>
  <c r="K213" i="8"/>
  <c r="AU212" i="8"/>
  <c r="AO212" i="8"/>
  <c r="AI212" i="8"/>
  <c r="AC212" i="8"/>
  <c r="W212" i="8"/>
  <c r="Q212" i="8"/>
  <c r="BK212" i="15" s="1"/>
  <c r="K212" i="8"/>
  <c r="AU211" i="8"/>
  <c r="AO211" i="8"/>
  <c r="AI211" i="8"/>
  <c r="AC211" i="8"/>
  <c r="W211" i="8"/>
  <c r="K211" i="8"/>
  <c r="AU210" i="8"/>
  <c r="AO210" i="8"/>
  <c r="AI210" i="8"/>
  <c r="AC210" i="8"/>
  <c r="W210" i="8"/>
  <c r="K210" i="8"/>
  <c r="AU209" i="8"/>
  <c r="AO209" i="8"/>
  <c r="AI209" i="8"/>
  <c r="AC209" i="8"/>
  <c r="W209" i="8"/>
  <c r="K209" i="8"/>
  <c r="AU208" i="8"/>
  <c r="AO208" i="8"/>
  <c r="AI208" i="8"/>
  <c r="AC208" i="8"/>
  <c r="W208" i="8"/>
  <c r="K208" i="8"/>
  <c r="AU207" i="8"/>
  <c r="AO207" i="8"/>
  <c r="AI207" i="8"/>
  <c r="AC207" i="8"/>
  <c r="W207" i="8"/>
  <c r="K207" i="8"/>
  <c r="AU206" i="8"/>
  <c r="AO206" i="8"/>
  <c r="AI206" i="8"/>
  <c r="AC206" i="8"/>
  <c r="W206" i="8"/>
  <c r="Q206" i="8"/>
  <c r="BK206" i="15" s="1"/>
  <c r="K206" i="8"/>
  <c r="AU205" i="8"/>
  <c r="AO205" i="8"/>
  <c r="AI205" i="8"/>
  <c r="AC205" i="8"/>
  <c r="W205" i="8"/>
  <c r="Q205" i="8"/>
  <c r="BK205" i="15" s="1"/>
  <c r="K205" i="8"/>
  <c r="AU204" i="8"/>
  <c r="AO204" i="8"/>
  <c r="AI204" i="8"/>
  <c r="AC204" i="8"/>
  <c r="W204" i="8"/>
  <c r="K204" i="8"/>
  <c r="AU203" i="8"/>
  <c r="AO203" i="8"/>
  <c r="AI203" i="8"/>
  <c r="AC203" i="8"/>
  <c r="W203" i="8"/>
  <c r="K203" i="8"/>
  <c r="AU202" i="8"/>
  <c r="AO202" i="8"/>
  <c r="AI202" i="8"/>
  <c r="AC202" i="8"/>
  <c r="W202" i="8"/>
  <c r="K202" i="8"/>
  <c r="AU201" i="8"/>
  <c r="AO201" i="8"/>
  <c r="AI201" i="8"/>
  <c r="AC201" i="8"/>
  <c r="W201" i="8"/>
  <c r="K201" i="8"/>
  <c r="AU200" i="8"/>
  <c r="AO200" i="8"/>
  <c r="AI200" i="8"/>
  <c r="AC200" i="8"/>
  <c r="W200" i="8"/>
  <c r="K200" i="8"/>
  <c r="AU199" i="8"/>
  <c r="AO199" i="8"/>
  <c r="AI199" i="8"/>
  <c r="AC199" i="8"/>
  <c r="W199" i="8"/>
  <c r="Q199" i="8"/>
  <c r="BK199" i="15" s="1"/>
  <c r="CA199" i="15" s="1"/>
  <c r="K199" i="8"/>
  <c r="AU198" i="8"/>
  <c r="AO198" i="8"/>
  <c r="AI198" i="8"/>
  <c r="AC198" i="8"/>
  <c r="W198" i="8"/>
  <c r="Q198" i="8"/>
  <c r="BK198" i="15" s="1"/>
  <c r="K198" i="8"/>
  <c r="AU197" i="8"/>
  <c r="AO197" i="8"/>
  <c r="AI197" i="8"/>
  <c r="AC197" i="8"/>
  <c r="W197" i="8"/>
  <c r="Q197" i="8"/>
  <c r="BK197" i="15" s="1"/>
  <c r="K197" i="8"/>
  <c r="AU196" i="8"/>
  <c r="AO196" i="8"/>
  <c r="AI196" i="8"/>
  <c r="AC196" i="8"/>
  <c r="W196" i="8"/>
  <c r="K196" i="8"/>
  <c r="AU195" i="8"/>
  <c r="AO195" i="8"/>
  <c r="AI195" i="8"/>
  <c r="AC195" i="8"/>
  <c r="W195" i="8"/>
  <c r="K195" i="8"/>
  <c r="AU194" i="8"/>
  <c r="AO194" i="8"/>
  <c r="AI194" i="8"/>
  <c r="AC194" i="8"/>
  <c r="W194" i="8"/>
  <c r="K194" i="8"/>
  <c r="AU193" i="8"/>
  <c r="AO193" i="8"/>
  <c r="AI193" i="8"/>
  <c r="AC193" i="8"/>
  <c r="W193" i="8"/>
  <c r="K193" i="8"/>
  <c r="AU192" i="8"/>
  <c r="AO192" i="8"/>
  <c r="AI192" i="8"/>
  <c r="AC192" i="8"/>
  <c r="W192" i="8"/>
  <c r="K192" i="8"/>
  <c r="AU191" i="8"/>
  <c r="AO191" i="8"/>
  <c r="AI191" i="8"/>
  <c r="AC191" i="8"/>
  <c r="W191" i="8"/>
  <c r="K191" i="8"/>
  <c r="AU190" i="8"/>
  <c r="AO190" i="8"/>
  <c r="AI190" i="8"/>
  <c r="AC190" i="8"/>
  <c r="W190" i="8"/>
  <c r="Q190" i="8"/>
  <c r="BK190" i="15" s="1"/>
  <c r="K190" i="8"/>
  <c r="AU189" i="8"/>
  <c r="AO189" i="8"/>
  <c r="AI189" i="8"/>
  <c r="AC189" i="8"/>
  <c r="W189" i="8"/>
  <c r="Q189" i="8"/>
  <c r="BK189" i="15" s="1"/>
  <c r="K189" i="8"/>
  <c r="AU188" i="8"/>
  <c r="AO188" i="8"/>
  <c r="AI188" i="8"/>
  <c r="AC188" i="8"/>
  <c r="W188" i="8"/>
  <c r="K188" i="8"/>
  <c r="AU187" i="8"/>
  <c r="AO187" i="8"/>
  <c r="AI187" i="8"/>
  <c r="AC187" i="8"/>
  <c r="W187" i="8"/>
  <c r="K187" i="8"/>
  <c r="AU186" i="8"/>
  <c r="AO186" i="8"/>
  <c r="AI186" i="8"/>
  <c r="AC186" i="8"/>
  <c r="W186" i="8"/>
  <c r="K186" i="8"/>
  <c r="AU185" i="8"/>
  <c r="AO185" i="8"/>
  <c r="AI185" i="8"/>
  <c r="AC185" i="8"/>
  <c r="W185" i="8"/>
  <c r="K185" i="8"/>
  <c r="AU184" i="8"/>
  <c r="AO184" i="8"/>
  <c r="AI184" i="8"/>
  <c r="AC184" i="8"/>
  <c r="W184" i="8"/>
  <c r="K184" i="8"/>
  <c r="AU183" i="8"/>
  <c r="AO183" i="8"/>
  <c r="AI183" i="8"/>
  <c r="AC183" i="8"/>
  <c r="W183" i="8"/>
  <c r="K183" i="8"/>
  <c r="AU182" i="8"/>
  <c r="AO182" i="8"/>
  <c r="AI182" i="8"/>
  <c r="AC182" i="8"/>
  <c r="W182" i="8"/>
  <c r="Q182" i="8"/>
  <c r="BK182" i="15" s="1"/>
  <c r="K182" i="8"/>
  <c r="AU181" i="8"/>
  <c r="AO181" i="8"/>
  <c r="AI181" i="8"/>
  <c r="AC181" i="8"/>
  <c r="W181" i="8"/>
  <c r="Q181" i="8"/>
  <c r="BK181" i="15" s="1"/>
  <c r="K181" i="8"/>
  <c r="AU180" i="8"/>
  <c r="AO180" i="8"/>
  <c r="AI180" i="8"/>
  <c r="AC180" i="8"/>
  <c r="W180" i="8"/>
  <c r="Q180" i="8"/>
  <c r="BK180" i="15" s="1"/>
  <c r="K180" i="8"/>
  <c r="AU179" i="8"/>
  <c r="AO179" i="8"/>
  <c r="AI179" i="8"/>
  <c r="AC179" i="8"/>
  <c r="W179" i="8"/>
  <c r="K179" i="8"/>
  <c r="AU178" i="8"/>
  <c r="AO178" i="8"/>
  <c r="AI178" i="8"/>
  <c r="AC178" i="8"/>
  <c r="W178" i="8"/>
  <c r="K178" i="8"/>
  <c r="AU177" i="8"/>
  <c r="AO177" i="8"/>
  <c r="AI177" i="8"/>
  <c r="AC177" i="8"/>
  <c r="W177" i="8"/>
  <c r="K177" i="8"/>
  <c r="AU176" i="8"/>
  <c r="AO176" i="8"/>
  <c r="AI176" i="8"/>
  <c r="AC176" i="8"/>
  <c r="W176" i="8"/>
  <c r="K176" i="8"/>
  <c r="AU175" i="8"/>
  <c r="AO175" i="8"/>
  <c r="AI175" i="8"/>
  <c r="AC175" i="8"/>
  <c r="W175" i="8"/>
  <c r="K175" i="8"/>
  <c r="AU174" i="8"/>
  <c r="AO174" i="8"/>
  <c r="AI174" i="8"/>
  <c r="AC174" i="8"/>
  <c r="W174" i="8"/>
  <c r="Q174" i="8"/>
  <c r="BK174" i="15" s="1"/>
  <c r="K174" i="8"/>
  <c r="AU173" i="8"/>
  <c r="AO173" i="8"/>
  <c r="AI173" i="8"/>
  <c r="AC173" i="8"/>
  <c r="W173" i="8"/>
  <c r="Q173" i="8"/>
  <c r="BK173" i="15" s="1"/>
  <c r="K173" i="8"/>
  <c r="AU172" i="8"/>
  <c r="AO172" i="8"/>
  <c r="AI172" i="8"/>
  <c r="AC172" i="8"/>
  <c r="W172" i="8"/>
  <c r="K172" i="8"/>
  <c r="AU171" i="8"/>
  <c r="AO171" i="8"/>
  <c r="AI171" i="8"/>
  <c r="AC171" i="8"/>
  <c r="W171" i="8"/>
  <c r="K171" i="8"/>
  <c r="AU170" i="8"/>
  <c r="AO170" i="8"/>
  <c r="AI170" i="8"/>
  <c r="AC170" i="8"/>
  <c r="W170" i="8"/>
  <c r="K170" i="8"/>
  <c r="AU169" i="8"/>
  <c r="AO169" i="8"/>
  <c r="AI169" i="8"/>
  <c r="AC169" i="8"/>
  <c r="W169" i="8"/>
  <c r="K169" i="8"/>
  <c r="AU168" i="8"/>
  <c r="AO168" i="8"/>
  <c r="AI168" i="8"/>
  <c r="AC168" i="8"/>
  <c r="W168" i="8"/>
  <c r="K168" i="8"/>
  <c r="AU167" i="8"/>
  <c r="AO167" i="8"/>
  <c r="AI167" i="8"/>
  <c r="AC167" i="8"/>
  <c r="W167" i="8"/>
  <c r="K167" i="8"/>
  <c r="AU166" i="8"/>
  <c r="AO166" i="8"/>
  <c r="AI166" i="8"/>
  <c r="AC166" i="8"/>
  <c r="W166" i="8"/>
  <c r="Q166" i="8"/>
  <c r="BK166" i="15" s="1"/>
  <c r="K166" i="8"/>
  <c r="AU165" i="8"/>
  <c r="AO165" i="8"/>
  <c r="AI165" i="8"/>
  <c r="AC165" i="8"/>
  <c r="W165" i="8"/>
  <c r="Q165" i="8"/>
  <c r="K165" i="8"/>
  <c r="AU164" i="8"/>
  <c r="AO164" i="8"/>
  <c r="AI164" i="8"/>
  <c r="AC164" i="8"/>
  <c r="W164" i="8"/>
  <c r="K164" i="8"/>
  <c r="AU163" i="8"/>
  <c r="AO163" i="8"/>
  <c r="AI163" i="8"/>
  <c r="AC163" i="8"/>
  <c r="W163" i="8"/>
  <c r="Q163" i="8"/>
  <c r="BK163" i="15" s="1"/>
  <c r="K163" i="8"/>
  <c r="AU162" i="8"/>
  <c r="AO162" i="8"/>
  <c r="AI162" i="8"/>
  <c r="AC162" i="8"/>
  <c r="W162" i="8"/>
  <c r="K162" i="8"/>
  <c r="AU161" i="8"/>
  <c r="AO161" i="8"/>
  <c r="AI161" i="8"/>
  <c r="AC161" i="8"/>
  <c r="W161" i="8"/>
  <c r="K161" i="8"/>
  <c r="AU160" i="8"/>
  <c r="AO160" i="8"/>
  <c r="AI160" i="8"/>
  <c r="AC160" i="8"/>
  <c r="W160" i="8"/>
  <c r="K160" i="8"/>
  <c r="AU159" i="8"/>
  <c r="AO159" i="8"/>
  <c r="AI159" i="8"/>
  <c r="AC159" i="8"/>
  <c r="W159" i="8"/>
  <c r="K159" i="8"/>
  <c r="AU158" i="8"/>
  <c r="AO158" i="8"/>
  <c r="AI158" i="8"/>
  <c r="AC158" i="8"/>
  <c r="W158" i="8"/>
  <c r="Q158" i="8"/>
  <c r="BK158" i="15" s="1"/>
  <c r="K158" i="8"/>
  <c r="AU157" i="8"/>
  <c r="AO157" i="8"/>
  <c r="AI157" i="8"/>
  <c r="AC157" i="8"/>
  <c r="W157" i="8"/>
  <c r="Q157" i="8"/>
  <c r="BK157" i="15" s="1"/>
  <c r="K157" i="8"/>
  <c r="AU156" i="8"/>
  <c r="AO156" i="8"/>
  <c r="AI156" i="8"/>
  <c r="AC156" i="8"/>
  <c r="W156" i="8"/>
  <c r="K156" i="8"/>
  <c r="AU155" i="8"/>
  <c r="AO155" i="8"/>
  <c r="AI155" i="8"/>
  <c r="AC155" i="8"/>
  <c r="W155" i="8"/>
  <c r="Q155" i="8"/>
  <c r="BK155" i="15" s="1"/>
  <c r="K155" i="8"/>
  <c r="AU154" i="8"/>
  <c r="AO154" i="8"/>
  <c r="AI154" i="8"/>
  <c r="AC154" i="8"/>
  <c r="W154" i="8"/>
  <c r="K154" i="8"/>
  <c r="AU153" i="8"/>
  <c r="AO153" i="8"/>
  <c r="AI153" i="8"/>
  <c r="AC153" i="8"/>
  <c r="W153" i="8"/>
  <c r="K153" i="8"/>
  <c r="AU152" i="8"/>
  <c r="AO152" i="8"/>
  <c r="AI152" i="8"/>
  <c r="AC152" i="8"/>
  <c r="W152" i="8"/>
  <c r="Q152" i="8"/>
  <c r="BK152" i="15" s="1"/>
  <c r="K152" i="8"/>
  <c r="AU151" i="8"/>
  <c r="AO151" i="8"/>
  <c r="AI151" i="8"/>
  <c r="AC151" i="8"/>
  <c r="W151" i="8"/>
  <c r="Q151" i="8"/>
  <c r="BK151" i="15" s="1"/>
  <c r="K151" i="8"/>
  <c r="AU150" i="8"/>
  <c r="AO150" i="8"/>
  <c r="AI150" i="8"/>
  <c r="AC150" i="8"/>
  <c r="W150" i="8"/>
  <c r="Q150" i="8"/>
  <c r="BK150" i="15" s="1"/>
  <c r="CA150" i="15" s="1"/>
  <c r="K150" i="8"/>
  <c r="AU149" i="8"/>
  <c r="AO149" i="8"/>
  <c r="AI149" i="8"/>
  <c r="AC149" i="8"/>
  <c r="W149" i="8"/>
  <c r="Q149" i="8"/>
  <c r="BK149" i="15" s="1"/>
  <c r="K149" i="8"/>
  <c r="AU148" i="8"/>
  <c r="AO148" i="8"/>
  <c r="AI148" i="8"/>
  <c r="AC148" i="8"/>
  <c r="W148" i="8"/>
  <c r="K148" i="8"/>
  <c r="AU147" i="8"/>
  <c r="AO147" i="8"/>
  <c r="AI147" i="8"/>
  <c r="AC147" i="8"/>
  <c r="W147" i="8"/>
  <c r="K147" i="8"/>
  <c r="AU146" i="8"/>
  <c r="AO146" i="8"/>
  <c r="AI146" i="8"/>
  <c r="AC146" i="8"/>
  <c r="W146" i="8"/>
  <c r="K146" i="8"/>
  <c r="AU145" i="8"/>
  <c r="AO145" i="8"/>
  <c r="AI145" i="8"/>
  <c r="AC145" i="8"/>
  <c r="W145" i="8"/>
  <c r="K145" i="8"/>
  <c r="AU144" i="8"/>
  <c r="AO144" i="8"/>
  <c r="AI144" i="8"/>
  <c r="AC144" i="8"/>
  <c r="W144" i="8"/>
  <c r="K144" i="8"/>
  <c r="AU143" i="8"/>
  <c r="AO143" i="8"/>
  <c r="AI143" i="8"/>
  <c r="AC143" i="8"/>
  <c r="W143" i="8"/>
  <c r="K143" i="8"/>
  <c r="AU142" i="8"/>
  <c r="AO142" i="8"/>
  <c r="AI142" i="8"/>
  <c r="AC142" i="8"/>
  <c r="W142" i="8"/>
  <c r="Q142" i="8"/>
  <c r="BK142" i="15" s="1"/>
  <c r="K142" i="8"/>
  <c r="AU141" i="8"/>
  <c r="AO141" i="8"/>
  <c r="AI141" i="8"/>
  <c r="AC141" i="8"/>
  <c r="W141" i="8"/>
  <c r="Q141" i="8"/>
  <c r="BK141" i="15" s="1"/>
  <c r="K141" i="8"/>
  <c r="AU140" i="8"/>
  <c r="AO140" i="8"/>
  <c r="AI140" i="8"/>
  <c r="AC140" i="8"/>
  <c r="W140" i="8"/>
  <c r="K140" i="8"/>
  <c r="AU139" i="8"/>
  <c r="AO139" i="8"/>
  <c r="AI139" i="8"/>
  <c r="AC139" i="8"/>
  <c r="W139" i="8"/>
  <c r="K139" i="8"/>
  <c r="AU138" i="8"/>
  <c r="AO138" i="8"/>
  <c r="AI138" i="8"/>
  <c r="AC138" i="8"/>
  <c r="W138" i="8"/>
  <c r="K138" i="8"/>
  <c r="AU137" i="8"/>
  <c r="AO137" i="8"/>
  <c r="AI137" i="8"/>
  <c r="AC137" i="8"/>
  <c r="W137" i="8"/>
  <c r="K137" i="8"/>
  <c r="AU136" i="8"/>
  <c r="AO136" i="8"/>
  <c r="AI136" i="8"/>
  <c r="AC136" i="8"/>
  <c r="W136" i="8"/>
  <c r="K136" i="8"/>
  <c r="AU135" i="8"/>
  <c r="AO135" i="8"/>
  <c r="AI135" i="8"/>
  <c r="AC135" i="8"/>
  <c r="W135" i="8"/>
  <c r="K135" i="8"/>
  <c r="AU134" i="8"/>
  <c r="AO134" i="8"/>
  <c r="AI134" i="8"/>
  <c r="AC134" i="8"/>
  <c r="W134" i="8"/>
  <c r="Q134" i="8"/>
  <c r="BK134" i="15" s="1"/>
  <c r="K134" i="8"/>
  <c r="AU133" i="8"/>
  <c r="AO133" i="8"/>
  <c r="AI133" i="8"/>
  <c r="AC133" i="8"/>
  <c r="W133" i="8"/>
  <c r="Q133" i="8"/>
  <c r="K133" i="8"/>
  <c r="AU132" i="8"/>
  <c r="AO132" i="8"/>
  <c r="AI132" i="8"/>
  <c r="AC132" i="8"/>
  <c r="W132" i="8"/>
  <c r="Q132" i="8"/>
  <c r="BK132" i="15" s="1"/>
  <c r="K132" i="8"/>
  <c r="AU131" i="8"/>
  <c r="AO131" i="8"/>
  <c r="AI131" i="8"/>
  <c r="AC131" i="8"/>
  <c r="W131" i="8"/>
  <c r="K131" i="8"/>
  <c r="AU130" i="8"/>
  <c r="AO130" i="8"/>
  <c r="AI130" i="8"/>
  <c r="AC130" i="8"/>
  <c r="W130" i="8"/>
  <c r="K130" i="8"/>
  <c r="AU129" i="8"/>
  <c r="AO129" i="8"/>
  <c r="AI129" i="8"/>
  <c r="AC129" i="8"/>
  <c r="W129" i="8"/>
  <c r="K129" i="8"/>
  <c r="AU128" i="8"/>
  <c r="AO128" i="8"/>
  <c r="AI128" i="8"/>
  <c r="AC128" i="8"/>
  <c r="W128" i="8"/>
  <c r="K128" i="8"/>
  <c r="AU127" i="8"/>
  <c r="AO127" i="8"/>
  <c r="AI127" i="8"/>
  <c r="AC127" i="8"/>
  <c r="W127" i="8"/>
  <c r="K127" i="8"/>
  <c r="AU126" i="8"/>
  <c r="AO126" i="8"/>
  <c r="AI126" i="8"/>
  <c r="AC126" i="8"/>
  <c r="W126" i="8"/>
  <c r="Q126" i="8"/>
  <c r="BK126" i="15" s="1"/>
  <c r="K126" i="8"/>
  <c r="AU125" i="8"/>
  <c r="AO125" i="8"/>
  <c r="AI125" i="8"/>
  <c r="AC125" i="8"/>
  <c r="W125" i="8"/>
  <c r="Q125" i="8"/>
  <c r="BK125" i="15" s="1"/>
  <c r="K125" i="8"/>
  <c r="AU124" i="8"/>
  <c r="AO124" i="8"/>
  <c r="AI124" i="8"/>
  <c r="AC124" i="8"/>
  <c r="W124" i="8"/>
  <c r="Q124" i="8"/>
  <c r="BK124" i="15" s="1"/>
  <c r="K124" i="8"/>
  <c r="AU123" i="8"/>
  <c r="AO123" i="8"/>
  <c r="AI123" i="8"/>
  <c r="AC123" i="8"/>
  <c r="W123" i="8"/>
  <c r="K123" i="8"/>
  <c r="AU122" i="8"/>
  <c r="AO122" i="8"/>
  <c r="AI122" i="8"/>
  <c r="AC122" i="8"/>
  <c r="W122" i="8"/>
  <c r="K122" i="8"/>
  <c r="AU121" i="8"/>
  <c r="AO121" i="8"/>
  <c r="AI121" i="8"/>
  <c r="AC121" i="8"/>
  <c r="W121" i="8"/>
  <c r="K121" i="8"/>
  <c r="AU120" i="8"/>
  <c r="AO120" i="8"/>
  <c r="AI120" i="8"/>
  <c r="AC120" i="8"/>
  <c r="W120" i="8"/>
  <c r="K120" i="8"/>
  <c r="AU119" i="8"/>
  <c r="AO119" i="8"/>
  <c r="AI119" i="8"/>
  <c r="AC119" i="8"/>
  <c r="W119" i="8"/>
  <c r="K119" i="8"/>
  <c r="AU118" i="8"/>
  <c r="AO118" i="8"/>
  <c r="AI118" i="8"/>
  <c r="AC118" i="8"/>
  <c r="W118" i="8"/>
  <c r="Q118" i="8"/>
  <c r="BK118" i="15" s="1"/>
  <c r="K118" i="8"/>
  <c r="AU117" i="8"/>
  <c r="AO117" i="8"/>
  <c r="AI117" i="8"/>
  <c r="AC117" i="8"/>
  <c r="W117" i="8"/>
  <c r="Q117" i="8"/>
  <c r="BK117" i="15" s="1"/>
  <c r="K117" i="8"/>
  <c r="AU116" i="8"/>
  <c r="AO116" i="8"/>
  <c r="AI116" i="8"/>
  <c r="AC116" i="8"/>
  <c r="W116" i="8"/>
  <c r="K116" i="8"/>
  <c r="AU115" i="8"/>
  <c r="AO115" i="8"/>
  <c r="AI115" i="8"/>
  <c r="AC115" i="8"/>
  <c r="W115" i="8"/>
  <c r="K115" i="8"/>
  <c r="AU114" i="8"/>
  <c r="AO114" i="8"/>
  <c r="AI114" i="8"/>
  <c r="AC114" i="8"/>
  <c r="W114" i="8"/>
  <c r="K114" i="8"/>
  <c r="AU113" i="8"/>
  <c r="AO113" i="8"/>
  <c r="AI113" i="8"/>
  <c r="AC113" i="8"/>
  <c r="W113" i="8"/>
  <c r="K113" i="8"/>
  <c r="AU112" i="8"/>
  <c r="AO112" i="8"/>
  <c r="AI112" i="8"/>
  <c r="AC112" i="8"/>
  <c r="W112" i="8"/>
  <c r="Q112" i="8"/>
  <c r="BK112" i="15" s="1"/>
  <c r="CA112" i="15" s="1"/>
  <c r="K112" i="8"/>
  <c r="AU111" i="8"/>
  <c r="AO111" i="8"/>
  <c r="AI111" i="8"/>
  <c r="AC111" i="8"/>
  <c r="W111" i="8"/>
  <c r="Q111" i="8"/>
  <c r="BK111" i="15" s="1"/>
  <c r="K111" i="8"/>
  <c r="AU110" i="8"/>
  <c r="AO110" i="8"/>
  <c r="AI110" i="8"/>
  <c r="AC110" i="8"/>
  <c r="W110" i="8"/>
  <c r="Q110" i="8"/>
  <c r="BK110" i="15" s="1"/>
  <c r="K110" i="8"/>
  <c r="AU109" i="8"/>
  <c r="AO109" i="8"/>
  <c r="AI109" i="8"/>
  <c r="AC109" i="8"/>
  <c r="W109" i="8"/>
  <c r="Q109" i="8"/>
  <c r="BK109" i="15" s="1"/>
  <c r="K109" i="8"/>
  <c r="AU108" i="8"/>
  <c r="AO108" i="8"/>
  <c r="AI108" i="8"/>
  <c r="AC108" i="8"/>
  <c r="W108" i="8"/>
  <c r="Q108" i="8"/>
  <c r="BK108" i="15" s="1"/>
  <c r="K108" i="8"/>
  <c r="AU107" i="8"/>
  <c r="AO107" i="8"/>
  <c r="AI107" i="8"/>
  <c r="AC107" i="8"/>
  <c r="W107" i="8"/>
  <c r="Q107" i="8"/>
  <c r="BK107" i="15" s="1"/>
  <c r="K107" i="8"/>
  <c r="AU106" i="8"/>
  <c r="AO106" i="8"/>
  <c r="AI106" i="8"/>
  <c r="AC106" i="8"/>
  <c r="W106" i="8"/>
  <c r="K106" i="8"/>
  <c r="AU105" i="8"/>
  <c r="AO105" i="8"/>
  <c r="AI105" i="8"/>
  <c r="AC105" i="8"/>
  <c r="W105" i="8"/>
  <c r="K105" i="8"/>
  <c r="AU104" i="8"/>
  <c r="AO104" i="8"/>
  <c r="AI104" i="8"/>
  <c r="AC104" i="8"/>
  <c r="W104" i="8"/>
  <c r="Q104" i="8"/>
  <c r="BK104" i="15" s="1"/>
  <c r="K104" i="8"/>
  <c r="AU103" i="8"/>
  <c r="AO103" i="8"/>
  <c r="AI103" i="8"/>
  <c r="AC103" i="8"/>
  <c r="W103" i="8"/>
  <c r="Q103" i="8"/>
  <c r="BK103" i="15" s="1"/>
  <c r="K103" i="8"/>
  <c r="AU102" i="8"/>
  <c r="AO102" i="8"/>
  <c r="AI102" i="8"/>
  <c r="AC102" i="8"/>
  <c r="W102" i="8"/>
  <c r="Q102" i="8"/>
  <c r="BK102" i="15" s="1"/>
  <c r="K102" i="8"/>
  <c r="AU101" i="8"/>
  <c r="AO101" i="8"/>
  <c r="AI101" i="8"/>
  <c r="AC101" i="8"/>
  <c r="W101" i="8"/>
  <c r="Q101" i="8"/>
  <c r="BK101" i="15" s="1"/>
  <c r="K101" i="8"/>
  <c r="AU100" i="8"/>
  <c r="AO100" i="8"/>
  <c r="AI100" i="8"/>
  <c r="AC100" i="8"/>
  <c r="W100" i="8"/>
  <c r="K100" i="8"/>
  <c r="AU99" i="8"/>
  <c r="AO99" i="8"/>
  <c r="AI99" i="8"/>
  <c r="AC99" i="8"/>
  <c r="W99" i="8"/>
  <c r="K99" i="8"/>
  <c r="AU98" i="8"/>
  <c r="AO98" i="8"/>
  <c r="AI98" i="8"/>
  <c r="AC98" i="8"/>
  <c r="W98" i="8"/>
  <c r="K98" i="8"/>
  <c r="AU97" i="8"/>
  <c r="AO97" i="8"/>
  <c r="AI97" i="8"/>
  <c r="AC97" i="8"/>
  <c r="W97" i="8"/>
  <c r="K97" i="8"/>
  <c r="AU96" i="8"/>
  <c r="AO96" i="8"/>
  <c r="AI96" i="8"/>
  <c r="AC96" i="8"/>
  <c r="W96" i="8"/>
  <c r="Q96" i="8"/>
  <c r="BK96" i="15" s="1"/>
  <c r="K96" i="8"/>
  <c r="AU95" i="8"/>
  <c r="AO95" i="8"/>
  <c r="AI95" i="8"/>
  <c r="AC95" i="8"/>
  <c r="W95" i="8"/>
  <c r="Q95" i="8"/>
  <c r="BK95" i="15" s="1"/>
  <c r="K95" i="8"/>
  <c r="AU94" i="8"/>
  <c r="AO94" i="8"/>
  <c r="AI94" i="8"/>
  <c r="AC94" i="8"/>
  <c r="W94" i="8"/>
  <c r="Q94" i="8"/>
  <c r="BK94" i="15" s="1"/>
  <c r="K94" i="8"/>
  <c r="AU93" i="8"/>
  <c r="AO93" i="8"/>
  <c r="AI93" i="8"/>
  <c r="AC93" i="8"/>
  <c r="W93" i="8"/>
  <c r="Q93" i="8"/>
  <c r="BK93" i="15" s="1"/>
  <c r="K93" i="8"/>
  <c r="AU92" i="8"/>
  <c r="AO92" i="8"/>
  <c r="AI92" i="8"/>
  <c r="AC92" i="8"/>
  <c r="W92" i="8"/>
  <c r="K92" i="8"/>
  <c r="AU91" i="8"/>
  <c r="AO91" i="8"/>
  <c r="AI91" i="8"/>
  <c r="AC91" i="8"/>
  <c r="W91" i="8"/>
  <c r="K91" i="8"/>
  <c r="AU90" i="8"/>
  <c r="AO90" i="8"/>
  <c r="AI90" i="8"/>
  <c r="AC90" i="8"/>
  <c r="W90" i="8"/>
  <c r="K90" i="8"/>
  <c r="AU89" i="8"/>
  <c r="AO89" i="8"/>
  <c r="AI89" i="8"/>
  <c r="AC89" i="8"/>
  <c r="W89" i="8"/>
  <c r="K89" i="8"/>
  <c r="AU88" i="8"/>
  <c r="AO88" i="8"/>
  <c r="AI88" i="8"/>
  <c r="AC88" i="8"/>
  <c r="W88" i="8"/>
  <c r="K88" i="8"/>
  <c r="AU87" i="8"/>
  <c r="AO87" i="8"/>
  <c r="AI87" i="8"/>
  <c r="AC87" i="8"/>
  <c r="W87" i="8"/>
  <c r="K87" i="8"/>
  <c r="AU86" i="8"/>
  <c r="AO86" i="8"/>
  <c r="AI86" i="8"/>
  <c r="AC86" i="8"/>
  <c r="W86" i="8"/>
  <c r="Q86" i="8"/>
  <c r="BK86" i="15" s="1"/>
  <c r="K86" i="8"/>
  <c r="AU85" i="8"/>
  <c r="AO85" i="8"/>
  <c r="AI85" i="8"/>
  <c r="AC85" i="8"/>
  <c r="W85" i="8"/>
  <c r="Q85" i="8"/>
  <c r="BK85" i="15" s="1"/>
  <c r="K85" i="8"/>
  <c r="AU84" i="8"/>
  <c r="AO84" i="8"/>
  <c r="AI84" i="8"/>
  <c r="AC84" i="8"/>
  <c r="W84" i="8"/>
  <c r="K84" i="8"/>
  <c r="AU83" i="8"/>
  <c r="AO83" i="8"/>
  <c r="AI83" i="8"/>
  <c r="AC83" i="8"/>
  <c r="W83" i="8"/>
  <c r="K83" i="8"/>
  <c r="AU82" i="8"/>
  <c r="AO82" i="8"/>
  <c r="AI82" i="8"/>
  <c r="AC82" i="8"/>
  <c r="W82" i="8"/>
  <c r="K82" i="8"/>
  <c r="AU81" i="8"/>
  <c r="AO81" i="8"/>
  <c r="AI81" i="8"/>
  <c r="AC81" i="8"/>
  <c r="W81" i="8"/>
  <c r="K81" i="8"/>
  <c r="AU80" i="8"/>
  <c r="AO80" i="8"/>
  <c r="AI80" i="8"/>
  <c r="AC80" i="8"/>
  <c r="W80" i="8"/>
  <c r="K80" i="8"/>
  <c r="AU79" i="8"/>
  <c r="AO79" i="8"/>
  <c r="AI79" i="8"/>
  <c r="AC79" i="8"/>
  <c r="W79" i="8"/>
  <c r="K79" i="8"/>
  <c r="AU78" i="8"/>
  <c r="AO78" i="8"/>
  <c r="AI78" i="8"/>
  <c r="AC78" i="8"/>
  <c r="W78" i="8"/>
  <c r="Q78" i="8"/>
  <c r="BK78" i="15" s="1"/>
  <c r="K78" i="8"/>
  <c r="AU77" i="8"/>
  <c r="AO77" i="8"/>
  <c r="AI77" i="8"/>
  <c r="AC77" i="8"/>
  <c r="W77" i="8"/>
  <c r="Q77" i="8"/>
  <c r="BK77" i="15" s="1"/>
  <c r="K77" i="8"/>
  <c r="AU76" i="8"/>
  <c r="AO76" i="8"/>
  <c r="AI76" i="8"/>
  <c r="AC76" i="8"/>
  <c r="W76" i="8"/>
  <c r="K76" i="8"/>
  <c r="AU75" i="8"/>
  <c r="AO75" i="8"/>
  <c r="AI75" i="8"/>
  <c r="AC75" i="8"/>
  <c r="W75" i="8"/>
  <c r="K75" i="8"/>
  <c r="AU74" i="8"/>
  <c r="AO74" i="8"/>
  <c r="AI74" i="8"/>
  <c r="AC74" i="8"/>
  <c r="W74" i="8"/>
  <c r="K74" i="8"/>
  <c r="AU73" i="8"/>
  <c r="AO73" i="8"/>
  <c r="AI73" i="8"/>
  <c r="AC73" i="8"/>
  <c r="W73" i="8"/>
  <c r="K73" i="8"/>
  <c r="AU72" i="8"/>
  <c r="AO72" i="8"/>
  <c r="AI72" i="8"/>
  <c r="AC72" i="8"/>
  <c r="W72" i="8"/>
  <c r="K72" i="8"/>
  <c r="AU71" i="8"/>
  <c r="AO71" i="8"/>
  <c r="AI71" i="8"/>
  <c r="AC71" i="8"/>
  <c r="W71" i="8"/>
  <c r="K71" i="8"/>
  <c r="AU70" i="8"/>
  <c r="AO70" i="8"/>
  <c r="AI70" i="8"/>
  <c r="AC70" i="8"/>
  <c r="W70" i="8"/>
  <c r="Q70" i="8"/>
  <c r="BK70" i="15" s="1"/>
  <c r="K70" i="8"/>
  <c r="AU69" i="8"/>
  <c r="AO69" i="8"/>
  <c r="AI69" i="8"/>
  <c r="AC69" i="8"/>
  <c r="W69" i="8"/>
  <c r="Q69" i="8"/>
  <c r="K69" i="8"/>
  <c r="AU68" i="8"/>
  <c r="AO68" i="8"/>
  <c r="AI68" i="8"/>
  <c r="AC68" i="8"/>
  <c r="W68" i="8"/>
  <c r="K68" i="8"/>
  <c r="AU67" i="8"/>
  <c r="AO67" i="8"/>
  <c r="AI67" i="8"/>
  <c r="AC67" i="8"/>
  <c r="W67" i="8"/>
  <c r="K67" i="8"/>
  <c r="AU66" i="8"/>
  <c r="AO66" i="8"/>
  <c r="AI66" i="8"/>
  <c r="AC66" i="8"/>
  <c r="W66" i="8"/>
  <c r="K66" i="8"/>
  <c r="AU65" i="8"/>
  <c r="AO65" i="8"/>
  <c r="AI65" i="8"/>
  <c r="AC65" i="8"/>
  <c r="W65" i="8"/>
  <c r="K65" i="8"/>
  <c r="AU64" i="8"/>
  <c r="AO64" i="8"/>
  <c r="AI64" i="8"/>
  <c r="AC64" i="8"/>
  <c r="W64" i="8"/>
  <c r="K64" i="8"/>
  <c r="AU63" i="8"/>
  <c r="AO63" i="8"/>
  <c r="AI63" i="8"/>
  <c r="AC63" i="8"/>
  <c r="W63" i="8"/>
  <c r="K63" i="8"/>
  <c r="AU62" i="8"/>
  <c r="AO62" i="8"/>
  <c r="AI62" i="8"/>
  <c r="AC62" i="8"/>
  <c r="W62" i="8"/>
  <c r="Q62" i="8"/>
  <c r="BK62" i="15" s="1"/>
  <c r="CA62" i="15" s="1"/>
  <c r="K62" i="8"/>
  <c r="AU61" i="8"/>
  <c r="AO61" i="8"/>
  <c r="AI61" i="8"/>
  <c r="AC61" i="8"/>
  <c r="W61" i="8"/>
  <c r="Q61" i="8"/>
  <c r="K61" i="8"/>
  <c r="AU60" i="8"/>
  <c r="AO60" i="8"/>
  <c r="AI60" i="8"/>
  <c r="AC60" i="8"/>
  <c r="W60" i="8"/>
  <c r="K60" i="8"/>
  <c r="AU59" i="8"/>
  <c r="AO59" i="8"/>
  <c r="AI59" i="8"/>
  <c r="AC59" i="8"/>
  <c r="W59" i="8"/>
  <c r="Q59" i="8"/>
  <c r="BK59" i="15" s="1"/>
  <c r="K59" i="8"/>
  <c r="AU58" i="8"/>
  <c r="AO58" i="8"/>
  <c r="AI58" i="8"/>
  <c r="AC58" i="8"/>
  <c r="W58" i="8"/>
  <c r="K58" i="8"/>
  <c r="AU57" i="8"/>
  <c r="AO57" i="8"/>
  <c r="AI57" i="8"/>
  <c r="AC57" i="8"/>
  <c r="W57" i="8"/>
  <c r="K57" i="8"/>
  <c r="AU56" i="8"/>
  <c r="AO56" i="8"/>
  <c r="AI56" i="8"/>
  <c r="AC56" i="8"/>
  <c r="W56" i="8"/>
  <c r="K56" i="8"/>
  <c r="AU55" i="8"/>
  <c r="AO55" i="8"/>
  <c r="AI55" i="8"/>
  <c r="AC55" i="8"/>
  <c r="W55" i="8"/>
  <c r="K55" i="8"/>
  <c r="AU54" i="8"/>
  <c r="AO54" i="8"/>
  <c r="AI54" i="8"/>
  <c r="AC54" i="8"/>
  <c r="W54" i="8"/>
  <c r="Q54" i="8"/>
  <c r="BK54" i="15" s="1"/>
  <c r="K54" i="8"/>
  <c r="AU53" i="8"/>
  <c r="AO53" i="8"/>
  <c r="AI53" i="8"/>
  <c r="AC53" i="8"/>
  <c r="W53" i="8"/>
  <c r="Q53" i="8"/>
  <c r="BK53" i="15" s="1"/>
  <c r="K53" i="8"/>
  <c r="AU52" i="8"/>
  <c r="AO52" i="8"/>
  <c r="AI52" i="8"/>
  <c r="AC52" i="8"/>
  <c r="W52" i="8"/>
  <c r="K52" i="8"/>
  <c r="AU51" i="8"/>
  <c r="AO51" i="8"/>
  <c r="AI51" i="8"/>
  <c r="AC51" i="8"/>
  <c r="W51" i="8"/>
  <c r="Q51" i="8"/>
  <c r="BK51" i="15" s="1"/>
  <c r="K51" i="8"/>
  <c r="AU50" i="8"/>
  <c r="AO50" i="8"/>
  <c r="AI50" i="8"/>
  <c r="AC50" i="8"/>
  <c r="W50" i="8"/>
  <c r="K50" i="8"/>
  <c r="AU49" i="8"/>
  <c r="AO49" i="8"/>
  <c r="AI49" i="8"/>
  <c r="AC49" i="8"/>
  <c r="W49" i="8"/>
  <c r="K49" i="8"/>
  <c r="AU48" i="8"/>
  <c r="AO48" i="8"/>
  <c r="AI48" i="8"/>
  <c r="AC48" i="8"/>
  <c r="W48" i="8"/>
  <c r="K48" i="8"/>
  <c r="AU47" i="8"/>
  <c r="AO47" i="8"/>
  <c r="AI47" i="8"/>
  <c r="AC47" i="8"/>
  <c r="W47" i="8"/>
  <c r="K47" i="8"/>
  <c r="AU46" i="8"/>
  <c r="AO46" i="8"/>
  <c r="AI46" i="8"/>
  <c r="AC46" i="8"/>
  <c r="W46" i="8"/>
  <c r="Q46" i="8"/>
  <c r="BK46" i="15" s="1"/>
  <c r="K46" i="8"/>
  <c r="AU45" i="8"/>
  <c r="AO45" i="8"/>
  <c r="AI45" i="8"/>
  <c r="AC45" i="8"/>
  <c r="W45" i="8"/>
  <c r="Q45" i="8"/>
  <c r="K45" i="8"/>
  <c r="AU44" i="8"/>
  <c r="AO44" i="8"/>
  <c r="AI44" i="8"/>
  <c r="AC44" i="8"/>
  <c r="W44" i="8"/>
  <c r="K44" i="8"/>
  <c r="AU43" i="8"/>
  <c r="AO43" i="8"/>
  <c r="AI43" i="8"/>
  <c r="AC43" i="8"/>
  <c r="W43" i="8"/>
  <c r="K43" i="8"/>
  <c r="AU42" i="8"/>
  <c r="AO42" i="8"/>
  <c r="AI42" i="8"/>
  <c r="AC42" i="8"/>
  <c r="W42" i="8"/>
  <c r="K42" i="8"/>
  <c r="AU41" i="8"/>
  <c r="AO41" i="8"/>
  <c r="AI41" i="8"/>
  <c r="AC41" i="8"/>
  <c r="W41" i="8"/>
  <c r="K41" i="8"/>
  <c r="AU40" i="8"/>
  <c r="AO40" i="8"/>
  <c r="AI40" i="8"/>
  <c r="AC40" i="8"/>
  <c r="W40" i="8"/>
  <c r="K40" i="8"/>
  <c r="AU39" i="8"/>
  <c r="AO39" i="8"/>
  <c r="AI39" i="8"/>
  <c r="AC39" i="8"/>
  <c r="W39" i="8"/>
  <c r="K39" i="8"/>
  <c r="AU38" i="8"/>
  <c r="AO38" i="8"/>
  <c r="AI38" i="8"/>
  <c r="AC38" i="8"/>
  <c r="W38" i="8"/>
  <c r="Q38" i="8"/>
  <c r="BK38" i="15" s="1"/>
  <c r="K38" i="8"/>
  <c r="AU37" i="8"/>
  <c r="AO37" i="8"/>
  <c r="AI37" i="8"/>
  <c r="AC37" i="8"/>
  <c r="W37" i="8"/>
  <c r="Q37" i="8"/>
  <c r="K37" i="8"/>
  <c r="AU36" i="8"/>
  <c r="AO36" i="8"/>
  <c r="AI36" i="8"/>
  <c r="AC36" i="8"/>
  <c r="W36" i="8"/>
  <c r="K36" i="8"/>
  <c r="AU35" i="8"/>
  <c r="AO35" i="8"/>
  <c r="AI35" i="8"/>
  <c r="AC35" i="8"/>
  <c r="W35" i="8"/>
  <c r="K35" i="8"/>
  <c r="AU34" i="8"/>
  <c r="AO34" i="8"/>
  <c r="AI34" i="8"/>
  <c r="AC34" i="8"/>
  <c r="W34" i="8"/>
  <c r="K34" i="8"/>
  <c r="AU33" i="8"/>
  <c r="AO33" i="8"/>
  <c r="AI33" i="8"/>
  <c r="AC33" i="8"/>
  <c r="W33" i="8"/>
  <c r="K33" i="8"/>
  <c r="AU32" i="8"/>
  <c r="AO32" i="8"/>
  <c r="AI32" i="8"/>
  <c r="AC32" i="8"/>
  <c r="W32" i="8"/>
  <c r="Q32" i="8"/>
  <c r="BK32" i="15" s="1"/>
  <c r="K32" i="8"/>
  <c r="AU31" i="8"/>
  <c r="AO31" i="8"/>
  <c r="AI31" i="8"/>
  <c r="AC31" i="8"/>
  <c r="W31" i="8"/>
  <c r="K31" i="8"/>
  <c r="AU30" i="8"/>
  <c r="AO30" i="8"/>
  <c r="AI30" i="8"/>
  <c r="AC30" i="8"/>
  <c r="W30" i="8"/>
  <c r="Q30" i="8"/>
  <c r="BK30" i="15" s="1"/>
  <c r="K30" i="8"/>
  <c r="AU29" i="8"/>
  <c r="AO29" i="8"/>
  <c r="AI29" i="8"/>
  <c r="AC29" i="8"/>
  <c r="W29" i="8"/>
  <c r="Q29" i="8"/>
  <c r="BK29" i="15" s="1"/>
  <c r="K29" i="8"/>
  <c r="AU28" i="8"/>
  <c r="AO28" i="8"/>
  <c r="AI28" i="8"/>
  <c r="AC28" i="8"/>
  <c r="W28" i="8"/>
  <c r="Q28" i="8"/>
  <c r="BK28" i="15" s="1"/>
  <c r="K28" i="8"/>
  <c r="AU27" i="8"/>
  <c r="AO27" i="8"/>
  <c r="AI27" i="8"/>
  <c r="AC27" i="8"/>
  <c r="W27" i="8"/>
  <c r="K27" i="8"/>
  <c r="AU26" i="8"/>
  <c r="AO26" i="8"/>
  <c r="AI26" i="8"/>
  <c r="AC26" i="8"/>
  <c r="W26" i="8"/>
  <c r="K26" i="8"/>
  <c r="AU25" i="8"/>
  <c r="AO25" i="8"/>
  <c r="AI25" i="8"/>
  <c r="AC25" i="8"/>
  <c r="W25" i="8"/>
  <c r="K25" i="8"/>
  <c r="AU24" i="8"/>
  <c r="AO24" i="8"/>
  <c r="AI24" i="8"/>
  <c r="AC24" i="8"/>
  <c r="W24" i="8"/>
  <c r="Q24" i="8"/>
  <c r="BK24" i="15" s="1"/>
  <c r="K24" i="8"/>
  <c r="AU23" i="8"/>
  <c r="AO23" i="8"/>
  <c r="AI23" i="8"/>
  <c r="AC23" i="8"/>
  <c r="W23" i="8"/>
  <c r="K23" i="8"/>
  <c r="AU22" i="8"/>
  <c r="AO22" i="8"/>
  <c r="AI22" i="8"/>
  <c r="AC22" i="8"/>
  <c r="W22" i="8"/>
  <c r="Q22" i="8"/>
  <c r="BK22" i="15" s="1"/>
  <c r="K22" i="8"/>
  <c r="AU21" i="8"/>
  <c r="AO21" i="8"/>
  <c r="AI21" i="8"/>
  <c r="AC21" i="8"/>
  <c r="W21" i="8"/>
  <c r="Q21" i="8"/>
  <c r="BK21" i="15" s="1"/>
  <c r="K21" i="8"/>
  <c r="AU20" i="8"/>
  <c r="AO20" i="8"/>
  <c r="AI20" i="8"/>
  <c r="AC20" i="8"/>
  <c r="W20" i="8"/>
  <c r="Q20" i="8"/>
  <c r="BK20" i="15" s="1"/>
  <c r="K20" i="8"/>
  <c r="AU19" i="8"/>
  <c r="AO19" i="8"/>
  <c r="AI19" i="8"/>
  <c r="AC19" i="8"/>
  <c r="W19" i="8"/>
  <c r="K19" i="8"/>
  <c r="AU18" i="8"/>
  <c r="AO18" i="8"/>
  <c r="AI18" i="8"/>
  <c r="AC18" i="8"/>
  <c r="W18" i="8"/>
  <c r="K18" i="8"/>
  <c r="AU17" i="8"/>
  <c r="AO17" i="8"/>
  <c r="AI17" i="8"/>
  <c r="AC17" i="8"/>
  <c r="W17" i="8"/>
  <c r="K17" i="8"/>
  <c r="AU16" i="8"/>
  <c r="AO16" i="8"/>
  <c r="AI16" i="8"/>
  <c r="AC16" i="8"/>
  <c r="W16" i="8"/>
  <c r="Q16" i="8"/>
  <c r="BK16" i="15" s="1"/>
  <c r="K16" i="8"/>
  <c r="AU15" i="8"/>
  <c r="AO15" i="8"/>
  <c r="AI15" i="8"/>
  <c r="AC15" i="8"/>
  <c r="W15" i="8"/>
  <c r="Q15" i="8"/>
  <c r="BK15" i="15" s="1"/>
  <c r="K15" i="8"/>
  <c r="AU14" i="8"/>
  <c r="AO14" i="8"/>
  <c r="AI14" i="8"/>
  <c r="AC14" i="8"/>
  <c r="W14" i="8"/>
  <c r="Q14" i="8"/>
  <c r="BK14" i="15" s="1"/>
  <c r="K14" i="8"/>
  <c r="AU13" i="8"/>
  <c r="AO13" i="8"/>
  <c r="AI13" i="8"/>
  <c r="AC13" i="8"/>
  <c r="W13" i="8"/>
  <c r="Q13" i="8"/>
  <c r="BK13" i="15" s="1"/>
  <c r="K13" i="8"/>
  <c r="AU12" i="8"/>
  <c r="AO12" i="8"/>
  <c r="AI12" i="8"/>
  <c r="AC12" i="8"/>
  <c r="W12" i="8"/>
  <c r="Q12" i="8"/>
  <c r="BK12" i="15" s="1"/>
  <c r="K12" i="8"/>
  <c r="AU11" i="8"/>
  <c r="AO11" i="8"/>
  <c r="AI11" i="8"/>
  <c r="AC11" i="8"/>
  <c r="W11" i="8"/>
  <c r="Q11" i="8"/>
  <c r="BK11" i="15" s="1"/>
  <c r="K11" i="8"/>
  <c r="AU10" i="8"/>
  <c r="AO10" i="8"/>
  <c r="AI10" i="8"/>
  <c r="AC10" i="8"/>
  <c r="W10" i="8"/>
  <c r="K10" i="8"/>
  <c r="AU9" i="8"/>
  <c r="AO9" i="8"/>
  <c r="AI9" i="8"/>
  <c r="AC9" i="8"/>
  <c r="W9" i="8"/>
  <c r="K9" i="8"/>
  <c r="AU8" i="8"/>
  <c r="AO8" i="8"/>
  <c r="AI8" i="8"/>
  <c r="AC8" i="8"/>
  <c r="W8" i="8"/>
  <c r="Q8" i="8"/>
  <c r="BK8" i="15" s="1"/>
  <c r="K8" i="8"/>
  <c r="AU7" i="8"/>
  <c r="AO7" i="8"/>
  <c r="AI7" i="8"/>
  <c r="AC7" i="8"/>
  <c r="W7" i="8"/>
  <c r="K7" i="8"/>
  <c r="AU6" i="8"/>
  <c r="AO6" i="8"/>
  <c r="AI6" i="8"/>
  <c r="AC6" i="8"/>
  <c r="W6" i="8"/>
  <c r="Q6" i="8"/>
  <c r="BK6" i="15" s="1"/>
  <c r="K6" i="8"/>
  <c r="AU5" i="8"/>
  <c r="AO5" i="8"/>
  <c r="AI5" i="8"/>
  <c r="AC5" i="8"/>
  <c r="W5" i="8"/>
  <c r="Q5" i="8"/>
  <c r="BK5" i="15" s="1"/>
  <c r="CA5" i="15" s="1"/>
  <c r="K5" i="8"/>
  <c r="AU4" i="8"/>
  <c r="AO4" i="8"/>
  <c r="AI4" i="8"/>
  <c r="AC4" i="8"/>
  <c r="W4" i="8"/>
  <c r="Q4" i="8"/>
  <c r="BK4" i="15" s="1"/>
  <c r="K4" i="8"/>
  <c r="BC3" i="8"/>
  <c r="BA3" i="8"/>
  <c r="AU3" i="8"/>
  <c r="AO3" i="8"/>
  <c r="AI3" i="8"/>
  <c r="AC3" i="8"/>
  <c r="W3" i="8"/>
  <c r="K3" i="8"/>
  <c r="AU230" i="10"/>
  <c r="AO230" i="10"/>
  <c r="AI230" i="10"/>
  <c r="AC230" i="10"/>
  <c r="W230" i="10"/>
  <c r="K230" i="10"/>
  <c r="AU229" i="10"/>
  <c r="AO229" i="10"/>
  <c r="AI229" i="10"/>
  <c r="AC229" i="10"/>
  <c r="W229" i="10"/>
  <c r="K229" i="10"/>
  <c r="AU228" i="10"/>
  <c r="AO228" i="10"/>
  <c r="AI228" i="10"/>
  <c r="AC228" i="10"/>
  <c r="W228" i="10"/>
  <c r="K228" i="10"/>
  <c r="AU227" i="10"/>
  <c r="AO227" i="10"/>
  <c r="AI227" i="10"/>
  <c r="AC227" i="10"/>
  <c r="W227" i="10"/>
  <c r="K227" i="10"/>
  <c r="AU226" i="10"/>
  <c r="AO226" i="10"/>
  <c r="AI226" i="10"/>
  <c r="AC226" i="10"/>
  <c r="W226" i="10"/>
  <c r="K226" i="10"/>
  <c r="AU225" i="10"/>
  <c r="AO225" i="10"/>
  <c r="AI225" i="10"/>
  <c r="AC225" i="10"/>
  <c r="W225" i="10"/>
  <c r="K225" i="10"/>
  <c r="AU224" i="10"/>
  <c r="AO224" i="10"/>
  <c r="AI224" i="10"/>
  <c r="AC224" i="10"/>
  <c r="W224" i="10"/>
  <c r="Q224" i="10"/>
  <c r="K224" i="10"/>
  <c r="AU223" i="10"/>
  <c r="AO223" i="10"/>
  <c r="AI223" i="10"/>
  <c r="AC223" i="10"/>
  <c r="W223" i="10"/>
  <c r="K223" i="10"/>
  <c r="AU222" i="10"/>
  <c r="AO222" i="10"/>
  <c r="AI222" i="10"/>
  <c r="AC222" i="10"/>
  <c r="W222" i="10"/>
  <c r="Q222" i="10"/>
  <c r="K222" i="10"/>
  <c r="AU221" i="10"/>
  <c r="AO221" i="10"/>
  <c r="AI221" i="10"/>
  <c r="AC221" i="10"/>
  <c r="W221" i="10"/>
  <c r="Q221" i="10"/>
  <c r="K221" i="10"/>
  <c r="AU220" i="10"/>
  <c r="AO220" i="10"/>
  <c r="AI220" i="10"/>
  <c r="AC220" i="10"/>
  <c r="W220" i="10"/>
  <c r="K220" i="10"/>
  <c r="AU219" i="10"/>
  <c r="AO219" i="10"/>
  <c r="AI219" i="10"/>
  <c r="AC219" i="10"/>
  <c r="W219" i="10"/>
  <c r="K219" i="10"/>
  <c r="AU218" i="10"/>
  <c r="AO218" i="10"/>
  <c r="AI218" i="10"/>
  <c r="AC218" i="10"/>
  <c r="W218" i="10"/>
  <c r="K218" i="10"/>
  <c r="AU217" i="10"/>
  <c r="AO217" i="10"/>
  <c r="AI217" i="10"/>
  <c r="AC217" i="10"/>
  <c r="W217" i="10"/>
  <c r="K217" i="10"/>
  <c r="AU216" i="10"/>
  <c r="AO216" i="10"/>
  <c r="AI216" i="10"/>
  <c r="AC216" i="10"/>
  <c r="W216" i="10"/>
  <c r="Q216" i="10"/>
  <c r="K216" i="10"/>
  <c r="AU215" i="10"/>
  <c r="AO215" i="10"/>
  <c r="AI215" i="10"/>
  <c r="AC215" i="10"/>
  <c r="W215" i="10"/>
  <c r="K215" i="10"/>
  <c r="AU214" i="10"/>
  <c r="AO214" i="10"/>
  <c r="AI214" i="10"/>
  <c r="AC214" i="10"/>
  <c r="W214" i="10"/>
  <c r="Q214" i="10"/>
  <c r="K214" i="10"/>
  <c r="AU213" i="10"/>
  <c r="AO213" i="10"/>
  <c r="AI213" i="10"/>
  <c r="AC213" i="10"/>
  <c r="W213" i="10"/>
  <c r="Q213" i="10"/>
  <c r="K213" i="10"/>
  <c r="AU212" i="10"/>
  <c r="AO212" i="10"/>
  <c r="AI212" i="10"/>
  <c r="AC212" i="10"/>
  <c r="W212" i="10"/>
  <c r="K212" i="10"/>
  <c r="AU211" i="10"/>
  <c r="AO211" i="10"/>
  <c r="AI211" i="10"/>
  <c r="AC211" i="10"/>
  <c r="W211" i="10"/>
  <c r="K211" i="10"/>
  <c r="AU210" i="10"/>
  <c r="AO210" i="10"/>
  <c r="AI210" i="10"/>
  <c r="AC210" i="10"/>
  <c r="W210" i="10"/>
  <c r="K210" i="10"/>
  <c r="AU209" i="10"/>
  <c r="AO209" i="10"/>
  <c r="AI209" i="10"/>
  <c r="AC209" i="10"/>
  <c r="W209" i="10"/>
  <c r="Q209" i="10"/>
  <c r="K209" i="10"/>
  <c r="AU208" i="10"/>
  <c r="AO208" i="10"/>
  <c r="AI208" i="10"/>
  <c r="AC208" i="10"/>
  <c r="W208" i="10"/>
  <c r="Q208" i="10"/>
  <c r="K208" i="10"/>
  <c r="AU207" i="10"/>
  <c r="AO207" i="10"/>
  <c r="AI207" i="10"/>
  <c r="AC207" i="10"/>
  <c r="W207" i="10"/>
  <c r="K207" i="10"/>
  <c r="AU206" i="10"/>
  <c r="AO206" i="10"/>
  <c r="AI206" i="10"/>
  <c r="AC206" i="10"/>
  <c r="W206" i="10"/>
  <c r="Q206" i="10"/>
  <c r="K206" i="10"/>
  <c r="AU205" i="10"/>
  <c r="AO205" i="10"/>
  <c r="AI205" i="10"/>
  <c r="AC205" i="10"/>
  <c r="W205" i="10"/>
  <c r="Q205" i="10"/>
  <c r="K205" i="10"/>
  <c r="AU204" i="10"/>
  <c r="AO204" i="10"/>
  <c r="AI204" i="10"/>
  <c r="AC204" i="10"/>
  <c r="W204" i="10"/>
  <c r="Q204" i="10"/>
  <c r="K204" i="10"/>
  <c r="AU203" i="10"/>
  <c r="AO203" i="10"/>
  <c r="AI203" i="10"/>
  <c r="AC203" i="10"/>
  <c r="W203" i="10"/>
  <c r="K203" i="10"/>
  <c r="AU202" i="10"/>
  <c r="AO202" i="10"/>
  <c r="AI202" i="10"/>
  <c r="AC202" i="10"/>
  <c r="W202" i="10"/>
  <c r="K202" i="10"/>
  <c r="AU201" i="10"/>
  <c r="AO201" i="10"/>
  <c r="AI201" i="10"/>
  <c r="AC201" i="10"/>
  <c r="W201" i="10"/>
  <c r="Q201" i="10"/>
  <c r="K201" i="10"/>
  <c r="AU200" i="10"/>
  <c r="AO200" i="10"/>
  <c r="AI200" i="10"/>
  <c r="AC200" i="10"/>
  <c r="W200" i="10"/>
  <c r="Q200" i="10"/>
  <c r="K200" i="10"/>
  <c r="AU199" i="10"/>
  <c r="AO199" i="10"/>
  <c r="AI199" i="10"/>
  <c r="AC199" i="10"/>
  <c r="W199" i="10"/>
  <c r="K199" i="10"/>
  <c r="AU198" i="10"/>
  <c r="AO198" i="10"/>
  <c r="AI198" i="10"/>
  <c r="AC198" i="10"/>
  <c r="W198" i="10"/>
  <c r="Q198" i="10"/>
  <c r="K198" i="10"/>
  <c r="AU197" i="10"/>
  <c r="AO197" i="10"/>
  <c r="AI197" i="10"/>
  <c r="AC197" i="10"/>
  <c r="W197" i="10"/>
  <c r="Q197" i="10"/>
  <c r="K197" i="10"/>
  <c r="AU196" i="10"/>
  <c r="AO196" i="10"/>
  <c r="AI196" i="10"/>
  <c r="AC196" i="10"/>
  <c r="W196" i="10"/>
  <c r="Q196" i="10"/>
  <c r="K196" i="10"/>
  <c r="AU195" i="10"/>
  <c r="AO195" i="10"/>
  <c r="AI195" i="10"/>
  <c r="AC195" i="10"/>
  <c r="W195" i="10"/>
  <c r="Q195" i="10"/>
  <c r="K195" i="10"/>
  <c r="AU194" i="10"/>
  <c r="AO194" i="10"/>
  <c r="AI194" i="10"/>
  <c r="AC194" i="10"/>
  <c r="W194" i="10"/>
  <c r="K194" i="10"/>
  <c r="AU193" i="10"/>
  <c r="AO193" i="10"/>
  <c r="AI193" i="10"/>
  <c r="AC193" i="10"/>
  <c r="W193" i="10"/>
  <c r="Q193" i="10"/>
  <c r="K193" i="10"/>
  <c r="AU192" i="10"/>
  <c r="AO192" i="10"/>
  <c r="AI192" i="10"/>
  <c r="AC192" i="10"/>
  <c r="W192" i="10"/>
  <c r="Q192" i="10"/>
  <c r="K192" i="10"/>
  <c r="AU191" i="10"/>
  <c r="AO191" i="10"/>
  <c r="AI191" i="10"/>
  <c r="AC191" i="10"/>
  <c r="W191" i="10"/>
  <c r="K191" i="10"/>
  <c r="AU190" i="10"/>
  <c r="AO190" i="10"/>
  <c r="AI190" i="10"/>
  <c r="AC190" i="10"/>
  <c r="W190" i="10"/>
  <c r="Q190" i="10"/>
  <c r="K190" i="10"/>
  <c r="AU189" i="10"/>
  <c r="AO189" i="10"/>
  <c r="AI189" i="10"/>
  <c r="AC189" i="10"/>
  <c r="W189" i="10"/>
  <c r="Q189" i="10"/>
  <c r="K189" i="10"/>
  <c r="AU188" i="10"/>
  <c r="AO188" i="10"/>
  <c r="AI188" i="10"/>
  <c r="AC188" i="10"/>
  <c r="W188" i="10"/>
  <c r="Q188" i="10"/>
  <c r="K188" i="10"/>
  <c r="AU187" i="10"/>
  <c r="AO187" i="10"/>
  <c r="AI187" i="10"/>
  <c r="AC187" i="10"/>
  <c r="W187" i="10"/>
  <c r="K187" i="10"/>
  <c r="AU186" i="10"/>
  <c r="AO186" i="10"/>
  <c r="AI186" i="10"/>
  <c r="AC186" i="10"/>
  <c r="W186" i="10"/>
  <c r="K186" i="10"/>
  <c r="AU185" i="10"/>
  <c r="AO185" i="10"/>
  <c r="AI185" i="10"/>
  <c r="AC185" i="10"/>
  <c r="W185" i="10"/>
  <c r="Q185" i="10"/>
  <c r="K185" i="10"/>
  <c r="AU184" i="10"/>
  <c r="AO184" i="10"/>
  <c r="AI184" i="10"/>
  <c r="AC184" i="10"/>
  <c r="W184" i="10"/>
  <c r="Q184" i="10"/>
  <c r="K184" i="10"/>
  <c r="AU183" i="10"/>
  <c r="AO183" i="10"/>
  <c r="AI183" i="10"/>
  <c r="AC183" i="10"/>
  <c r="W183" i="10"/>
  <c r="K183" i="10"/>
  <c r="AU182" i="10"/>
  <c r="AO182" i="10"/>
  <c r="AI182" i="10"/>
  <c r="AC182" i="10"/>
  <c r="W182" i="10"/>
  <c r="Q182" i="10"/>
  <c r="K182" i="10"/>
  <c r="AU181" i="10"/>
  <c r="AO181" i="10"/>
  <c r="AI181" i="10"/>
  <c r="AC181" i="10"/>
  <c r="W181" i="10"/>
  <c r="Q181" i="10"/>
  <c r="K181" i="10"/>
  <c r="AU180" i="10"/>
  <c r="AO180" i="10"/>
  <c r="AI180" i="10"/>
  <c r="AC180" i="10"/>
  <c r="W180" i="10"/>
  <c r="Q180" i="10"/>
  <c r="K180" i="10"/>
  <c r="AU179" i="10"/>
  <c r="AO179" i="10"/>
  <c r="AI179" i="10"/>
  <c r="AC179" i="10"/>
  <c r="W179" i="10"/>
  <c r="K179" i="10"/>
  <c r="AU178" i="10"/>
  <c r="AO178" i="10"/>
  <c r="AI178" i="10"/>
  <c r="AC178" i="10"/>
  <c r="W178" i="10"/>
  <c r="K178" i="10"/>
  <c r="AU177" i="10"/>
  <c r="AO177" i="10"/>
  <c r="AI177" i="10"/>
  <c r="AC177" i="10"/>
  <c r="W177" i="10"/>
  <c r="Q177" i="10"/>
  <c r="K177" i="10"/>
  <c r="AU176" i="10"/>
  <c r="AO176" i="10"/>
  <c r="AI176" i="10"/>
  <c r="AC176" i="10"/>
  <c r="W176" i="10"/>
  <c r="Q176" i="10"/>
  <c r="K176" i="10"/>
  <c r="AU175" i="10"/>
  <c r="AO175" i="10"/>
  <c r="AI175" i="10"/>
  <c r="AC175" i="10"/>
  <c r="W175" i="10"/>
  <c r="K175" i="10"/>
  <c r="AU174" i="10"/>
  <c r="AO174" i="10"/>
  <c r="AI174" i="10"/>
  <c r="AC174" i="10"/>
  <c r="W174" i="10"/>
  <c r="Q174" i="10"/>
  <c r="K174" i="10"/>
  <c r="BA173" i="10"/>
  <c r="AU173" i="10"/>
  <c r="AO173" i="10"/>
  <c r="AI173" i="10"/>
  <c r="AC173" i="10"/>
  <c r="W173" i="10"/>
  <c r="Q173" i="10"/>
  <c r="K173" i="10"/>
  <c r="AU172" i="10"/>
  <c r="AO172" i="10"/>
  <c r="AI172" i="10"/>
  <c r="AC172" i="10"/>
  <c r="W172" i="10"/>
  <c r="Q172" i="10"/>
  <c r="K172" i="10"/>
  <c r="AU171" i="10"/>
  <c r="AO171" i="10"/>
  <c r="AI171" i="10"/>
  <c r="AC171" i="10"/>
  <c r="W171" i="10"/>
  <c r="K171" i="10"/>
  <c r="BA170" i="10"/>
  <c r="AU170" i="10"/>
  <c r="AO170" i="10"/>
  <c r="AI170" i="10"/>
  <c r="AC170" i="10"/>
  <c r="W170" i="10"/>
  <c r="K170" i="10"/>
  <c r="AU169" i="10"/>
  <c r="AO169" i="10"/>
  <c r="AI169" i="10"/>
  <c r="AC169" i="10"/>
  <c r="W169" i="10"/>
  <c r="Q169" i="10"/>
  <c r="K169" i="10"/>
  <c r="AU168" i="10"/>
  <c r="AO168" i="10"/>
  <c r="AI168" i="10"/>
  <c r="AC168" i="10"/>
  <c r="W168" i="10"/>
  <c r="Q168" i="10"/>
  <c r="K168" i="10"/>
  <c r="AU167" i="10"/>
  <c r="AO167" i="10"/>
  <c r="AI167" i="10"/>
  <c r="AC167" i="10"/>
  <c r="W167" i="10"/>
  <c r="K167" i="10"/>
  <c r="AU166" i="10"/>
  <c r="AO166" i="10"/>
  <c r="AI166" i="10"/>
  <c r="AC166" i="10"/>
  <c r="W166" i="10"/>
  <c r="Q166" i="10"/>
  <c r="K166" i="10"/>
  <c r="BA165" i="10"/>
  <c r="AU165" i="10"/>
  <c r="AO165" i="10"/>
  <c r="AI165" i="10"/>
  <c r="AC165" i="10"/>
  <c r="W165" i="10"/>
  <c r="Q165" i="10"/>
  <c r="K165" i="10"/>
  <c r="AU164" i="10"/>
  <c r="AO164" i="10"/>
  <c r="AI164" i="10"/>
  <c r="AC164" i="10"/>
  <c r="W164" i="10"/>
  <c r="Q164" i="10"/>
  <c r="K164" i="10"/>
  <c r="AU163" i="10"/>
  <c r="AO163" i="10"/>
  <c r="AI163" i="10"/>
  <c r="AC163" i="10"/>
  <c r="W163" i="10"/>
  <c r="K163" i="10"/>
  <c r="BA162" i="10"/>
  <c r="AU162" i="10"/>
  <c r="AO162" i="10"/>
  <c r="AI162" i="10"/>
  <c r="AC162" i="10"/>
  <c r="W162" i="10"/>
  <c r="K162" i="10"/>
  <c r="AU161" i="10"/>
  <c r="AO161" i="10"/>
  <c r="AI161" i="10"/>
  <c r="AC161" i="10"/>
  <c r="W161" i="10"/>
  <c r="Q161" i="10"/>
  <c r="K161" i="10"/>
  <c r="AU160" i="10"/>
  <c r="AO160" i="10"/>
  <c r="AI160" i="10"/>
  <c r="AC160" i="10"/>
  <c r="W160" i="10"/>
  <c r="Q160" i="10"/>
  <c r="K160" i="10"/>
  <c r="AU159" i="10"/>
  <c r="AO159" i="10"/>
  <c r="AI159" i="10"/>
  <c r="AC159" i="10"/>
  <c r="W159" i="10"/>
  <c r="K159" i="10"/>
  <c r="AU158" i="10"/>
  <c r="AO158" i="10"/>
  <c r="AI158" i="10"/>
  <c r="AC158" i="10"/>
  <c r="W158" i="10"/>
  <c r="Q158" i="10"/>
  <c r="K158" i="10"/>
  <c r="BA157" i="10"/>
  <c r="AU157" i="10"/>
  <c r="AO157" i="10"/>
  <c r="AI157" i="10"/>
  <c r="AC157" i="10"/>
  <c r="W157" i="10"/>
  <c r="Q157" i="10"/>
  <c r="K157" i="10"/>
  <c r="AU156" i="10"/>
  <c r="AO156" i="10"/>
  <c r="AI156" i="10"/>
  <c r="AC156" i="10"/>
  <c r="W156" i="10"/>
  <c r="Q156" i="10"/>
  <c r="K156" i="10"/>
  <c r="AU155" i="10"/>
  <c r="AO155" i="10"/>
  <c r="AI155" i="10"/>
  <c r="AC155" i="10"/>
  <c r="W155" i="10"/>
  <c r="Q155" i="10"/>
  <c r="K155" i="10"/>
  <c r="BA154" i="10"/>
  <c r="AU154" i="10"/>
  <c r="AO154" i="10"/>
  <c r="AI154" i="10"/>
  <c r="AC154" i="10"/>
  <c r="W154" i="10"/>
  <c r="K154" i="10"/>
  <c r="AU153" i="10"/>
  <c r="AO153" i="10"/>
  <c r="AI153" i="10"/>
  <c r="AC153" i="10"/>
  <c r="W153" i="10"/>
  <c r="Q153" i="10"/>
  <c r="K153" i="10"/>
  <c r="AU152" i="10"/>
  <c r="AO152" i="10"/>
  <c r="AI152" i="10"/>
  <c r="AC152" i="10"/>
  <c r="W152" i="10"/>
  <c r="Q152" i="10"/>
  <c r="K152" i="10"/>
  <c r="BA151" i="10"/>
  <c r="AU151" i="10"/>
  <c r="AO151" i="10"/>
  <c r="AI151" i="10"/>
  <c r="AC151" i="10"/>
  <c r="W151" i="10"/>
  <c r="K151" i="10"/>
  <c r="AU150" i="10"/>
  <c r="AO150" i="10"/>
  <c r="AI150" i="10"/>
  <c r="AC150" i="10"/>
  <c r="W150" i="10"/>
  <c r="Q150" i="10"/>
  <c r="K150" i="10"/>
  <c r="BA149" i="10"/>
  <c r="AU149" i="10"/>
  <c r="AO149" i="10"/>
  <c r="AI149" i="10"/>
  <c r="AC149" i="10"/>
  <c r="W149" i="10"/>
  <c r="Q149" i="10"/>
  <c r="K149" i="10"/>
  <c r="BA148" i="10"/>
  <c r="AU148" i="10"/>
  <c r="AO148" i="10"/>
  <c r="AI148" i="10"/>
  <c r="AC148" i="10"/>
  <c r="W148" i="10"/>
  <c r="Q148" i="10"/>
  <c r="K148" i="10"/>
  <c r="AU147" i="10"/>
  <c r="AO147" i="10"/>
  <c r="AI147" i="10"/>
  <c r="AC147" i="10"/>
  <c r="W147" i="10"/>
  <c r="K147" i="10"/>
  <c r="BA146" i="10"/>
  <c r="AU146" i="10"/>
  <c r="AO146" i="10"/>
  <c r="AI146" i="10"/>
  <c r="AC146" i="10"/>
  <c r="W146" i="10"/>
  <c r="K146" i="10"/>
  <c r="BA145" i="10"/>
  <c r="AU145" i="10"/>
  <c r="AO145" i="10"/>
  <c r="AI145" i="10"/>
  <c r="AC145" i="10"/>
  <c r="W145" i="10"/>
  <c r="Q145" i="10"/>
  <c r="K145" i="10"/>
  <c r="AU144" i="10"/>
  <c r="AO144" i="10"/>
  <c r="AI144" i="10"/>
  <c r="AC144" i="10"/>
  <c r="W144" i="10"/>
  <c r="Q144" i="10"/>
  <c r="K144" i="10"/>
  <c r="BA143" i="10"/>
  <c r="AU143" i="10"/>
  <c r="AO143" i="10"/>
  <c r="AI143" i="10"/>
  <c r="AC143" i="10"/>
  <c r="W143" i="10"/>
  <c r="K143" i="10"/>
  <c r="AU142" i="10"/>
  <c r="AO142" i="10"/>
  <c r="AI142" i="10"/>
  <c r="AC142" i="10"/>
  <c r="W142" i="10"/>
  <c r="Q142" i="10"/>
  <c r="K142" i="10"/>
  <c r="BA141" i="10"/>
  <c r="AU141" i="10"/>
  <c r="AO141" i="10"/>
  <c r="AI141" i="10"/>
  <c r="AC141" i="10"/>
  <c r="W141" i="10"/>
  <c r="Q141" i="10"/>
  <c r="K141" i="10"/>
  <c r="BA140" i="10"/>
  <c r="AU140" i="10"/>
  <c r="AO140" i="10"/>
  <c r="AI140" i="10"/>
  <c r="AC140" i="10"/>
  <c r="W140" i="10"/>
  <c r="Q140" i="10"/>
  <c r="K140" i="10"/>
  <c r="AU139" i="10"/>
  <c r="AO139" i="10"/>
  <c r="AI139" i="10"/>
  <c r="AC139" i="10"/>
  <c r="W139" i="10"/>
  <c r="K139" i="10"/>
  <c r="BA138" i="10"/>
  <c r="AU138" i="10"/>
  <c r="AO138" i="10"/>
  <c r="AI138" i="10"/>
  <c r="AC138" i="10"/>
  <c r="W138" i="10"/>
  <c r="K138" i="10"/>
  <c r="BA137" i="10"/>
  <c r="AU137" i="10"/>
  <c r="AO137" i="10"/>
  <c r="AI137" i="10"/>
  <c r="AC137" i="10"/>
  <c r="W137" i="10"/>
  <c r="Q137" i="10"/>
  <c r="K137" i="10"/>
  <c r="AU136" i="10"/>
  <c r="AO136" i="10"/>
  <c r="AI136" i="10"/>
  <c r="AC136" i="10"/>
  <c r="W136" i="10"/>
  <c r="Q136" i="10"/>
  <c r="K136" i="10"/>
  <c r="BA135" i="10"/>
  <c r="AU135" i="10"/>
  <c r="AO135" i="10"/>
  <c r="AI135" i="10"/>
  <c r="AC135" i="10"/>
  <c r="W135" i="10"/>
  <c r="K135" i="10"/>
  <c r="AU134" i="10"/>
  <c r="AO134" i="10"/>
  <c r="AI134" i="10"/>
  <c r="AC134" i="10"/>
  <c r="W134" i="10"/>
  <c r="Q134" i="10"/>
  <c r="K134" i="10"/>
  <c r="BA133" i="10"/>
  <c r="AU133" i="10"/>
  <c r="AO133" i="10"/>
  <c r="AI133" i="10"/>
  <c r="AC133" i="10"/>
  <c r="W133" i="10"/>
  <c r="Q133" i="10"/>
  <c r="K133" i="10"/>
  <c r="BA132" i="10"/>
  <c r="AU132" i="10"/>
  <c r="AO132" i="10"/>
  <c r="AI132" i="10"/>
  <c r="AC132" i="10"/>
  <c r="W132" i="10"/>
  <c r="Q132" i="10"/>
  <c r="K132" i="10"/>
  <c r="AU131" i="10"/>
  <c r="AO131" i="10"/>
  <c r="AI131" i="10"/>
  <c r="AC131" i="10"/>
  <c r="W131" i="10"/>
  <c r="K131" i="10"/>
  <c r="BA130" i="10"/>
  <c r="AU130" i="10"/>
  <c r="AO130" i="10"/>
  <c r="AI130" i="10"/>
  <c r="AC130" i="10"/>
  <c r="W130" i="10"/>
  <c r="K130" i="10"/>
  <c r="BA129" i="10"/>
  <c r="AU129" i="10"/>
  <c r="AO129" i="10"/>
  <c r="AI129" i="10"/>
  <c r="AC129" i="10"/>
  <c r="W129" i="10"/>
  <c r="Q129" i="10"/>
  <c r="K129" i="10"/>
  <c r="AU128" i="10"/>
  <c r="AO128" i="10"/>
  <c r="AI128" i="10"/>
  <c r="AC128" i="10"/>
  <c r="W128" i="10"/>
  <c r="Q128" i="10"/>
  <c r="K128" i="10"/>
  <c r="BA127" i="10"/>
  <c r="AU127" i="10"/>
  <c r="AO127" i="10"/>
  <c r="AI127" i="10"/>
  <c r="AC127" i="10"/>
  <c r="W127" i="10"/>
  <c r="K127" i="10"/>
  <c r="AU126" i="10"/>
  <c r="AO126" i="10"/>
  <c r="AI126" i="10"/>
  <c r="AC126" i="10"/>
  <c r="W126" i="10"/>
  <c r="Q126" i="10"/>
  <c r="K126" i="10"/>
  <c r="BA125" i="10"/>
  <c r="AU125" i="10"/>
  <c r="AO125" i="10"/>
  <c r="AI125" i="10"/>
  <c r="AC125" i="10"/>
  <c r="W125" i="10"/>
  <c r="Q125" i="10"/>
  <c r="K125" i="10"/>
  <c r="BA124" i="10"/>
  <c r="AU124" i="10"/>
  <c r="AO124" i="10"/>
  <c r="AI124" i="10"/>
  <c r="AC124" i="10"/>
  <c r="W124" i="10"/>
  <c r="Q124" i="10"/>
  <c r="K124" i="10"/>
  <c r="AU123" i="10"/>
  <c r="AO123" i="10"/>
  <c r="AI123" i="10"/>
  <c r="AC123" i="10"/>
  <c r="W123" i="10"/>
  <c r="K123" i="10"/>
  <c r="BA122" i="10"/>
  <c r="AU122" i="10"/>
  <c r="AO122" i="10"/>
  <c r="AI122" i="10"/>
  <c r="AC122" i="10"/>
  <c r="W122" i="10"/>
  <c r="Q122" i="10"/>
  <c r="K122" i="10"/>
  <c r="BA121" i="10"/>
  <c r="AU121" i="10"/>
  <c r="AO121" i="10"/>
  <c r="AI121" i="10"/>
  <c r="AC121" i="10"/>
  <c r="W121" i="10"/>
  <c r="Q121" i="10"/>
  <c r="K121" i="10"/>
  <c r="AU120" i="10"/>
  <c r="AO120" i="10"/>
  <c r="AI120" i="10"/>
  <c r="AC120" i="10"/>
  <c r="W120" i="10"/>
  <c r="Q120" i="10"/>
  <c r="K120" i="10"/>
  <c r="BA119" i="10"/>
  <c r="AU119" i="10"/>
  <c r="AO119" i="10"/>
  <c r="AI119" i="10"/>
  <c r="AC119" i="10"/>
  <c r="W119" i="10"/>
  <c r="K119" i="10"/>
  <c r="AU118" i="10"/>
  <c r="AO118" i="10"/>
  <c r="AI118" i="10"/>
  <c r="AC118" i="10"/>
  <c r="W118" i="10"/>
  <c r="Q118" i="10"/>
  <c r="K118" i="10"/>
  <c r="BA117" i="10"/>
  <c r="AU117" i="10"/>
  <c r="AO117" i="10"/>
  <c r="AI117" i="10"/>
  <c r="AC117" i="10"/>
  <c r="W117" i="10"/>
  <c r="Q117" i="10"/>
  <c r="K117" i="10"/>
  <c r="BA116" i="10"/>
  <c r="AU116" i="10"/>
  <c r="AO116" i="10"/>
  <c r="AI116" i="10"/>
  <c r="AC116" i="10"/>
  <c r="W116" i="10"/>
  <c r="Q116" i="10"/>
  <c r="K116" i="10"/>
  <c r="AU115" i="10"/>
  <c r="AO115" i="10"/>
  <c r="AI115" i="10"/>
  <c r="AC115" i="10"/>
  <c r="W115" i="10"/>
  <c r="K115" i="10"/>
  <c r="BA114" i="10"/>
  <c r="AU114" i="10"/>
  <c r="AO114" i="10"/>
  <c r="AI114" i="10"/>
  <c r="AC114" i="10"/>
  <c r="W114" i="10"/>
  <c r="K114" i="10"/>
  <c r="BA113" i="10"/>
  <c r="AU113" i="10"/>
  <c r="AO113" i="10"/>
  <c r="AI113" i="10"/>
  <c r="AC113" i="10"/>
  <c r="W113" i="10"/>
  <c r="Q113" i="10"/>
  <c r="K113" i="10"/>
  <c r="AU112" i="10"/>
  <c r="AO112" i="10"/>
  <c r="AI112" i="10"/>
  <c r="AC112" i="10"/>
  <c r="W112" i="10"/>
  <c r="Q112" i="10"/>
  <c r="K112" i="10"/>
  <c r="BA111" i="10"/>
  <c r="AU111" i="10"/>
  <c r="AO111" i="10"/>
  <c r="AI111" i="10"/>
  <c r="AC111" i="10"/>
  <c r="W111" i="10"/>
  <c r="K111" i="10"/>
  <c r="AU110" i="10"/>
  <c r="AO110" i="10"/>
  <c r="AI110" i="10"/>
  <c r="AC110" i="10"/>
  <c r="W110" i="10"/>
  <c r="Q110" i="10"/>
  <c r="K110" i="10"/>
  <c r="BA109" i="10"/>
  <c r="AU109" i="10"/>
  <c r="AO109" i="10"/>
  <c r="AI109" i="10"/>
  <c r="AC109" i="10"/>
  <c r="W109" i="10"/>
  <c r="Q109" i="10"/>
  <c r="K109" i="10"/>
  <c r="BA108" i="10"/>
  <c r="AU108" i="10"/>
  <c r="AO108" i="10"/>
  <c r="AI108" i="10"/>
  <c r="AC108" i="10"/>
  <c r="W108" i="10"/>
  <c r="Q108" i="10"/>
  <c r="K108" i="10"/>
  <c r="AU107" i="10"/>
  <c r="AO107" i="10"/>
  <c r="AI107" i="10"/>
  <c r="AC107" i="10"/>
  <c r="W107" i="10"/>
  <c r="Q107" i="10"/>
  <c r="K107" i="10"/>
  <c r="BA106" i="10"/>
  <c r="AU106" i="10"/>
  <c r="AO106" i="10"/>
  <c r="AI106" i="10"/>
  <c r="AC106" i="10"/>
  <c r="W106" i="10"/>
  <c r="K106" i="10"/>
  <c r="BA105" i="10"/>
  <c r="AU105" i="10"/>
  <c r="AO105" i="10"/>
  <c r="AI105" i="10"/>
  <c r="AC105" i="10"/>
  <c r="W105" i="10"/>
  <c r="Q105" i="10"/>
  <c r="K105" i="10"/>
  <c r="AU104" i="10"/>
  <c r="AO104" i="10"/>
  <c r="AI104" i="10"/>
  <c r="AC104" i="10"/>
  <c r="W104" i="10"/>
  <c r="Q104" i="10"/>
  <c r="K104" i="10"/>
  <c r="BA103" i="10"/>
  <c r="AU103" i="10"/>
  <c r="AO103" i="10"/>
  <c r="AI103" i="10"/>
  <c r="AC103" i="10"/>
  <c r="W103" i="10"/>
  <c r="K103" i="10"/>
  <c r="AU102" i="10"/>
  <c r="AO102" i="10"/>
  <c r="AI102" i="10"/>
  <c r="AC102" i="10"/>
  <c r="W102" i="10"/>
  <c r="Q102" i="10"/>
  <c r="K102" i="10"/>
  <c r="BA101" i="10"/>
  <c r="AU101" i="10"/>
  <c r="AO101" i="10"/>
  <c r="AI101" i="10"/>
  <c r="AC101" i="10"/>
  <c r="W101" i="10"/>
  <c r="Q101" i="10"/>
  <c r="K101" i="10"/>
  <c r="BA100" i="10"/>
  <c r="AU100" i="10"/>
  <c r="AO100" i="10"/>
  <c r="AI100" i="10"/>
  <c r="AC100" i="10"/>
  <c r="W100" i="10"/>
  <c r="Q100" i="10"/>
  <c r="K100" i="10"/>
  <c r="AU99" i="10"/>
  <c r="AO99" i="10"/>
  <c r="AI99" i="10"/>
  <c r="AC99" i="10"/>
  <c r="W99" i="10"/>
  <c r="K99" i="10"/>
  <c r="BA98" i="10"/>
  <c r="AU98" i="10"/>
  <c r="AO98" i="10"/>
  <c r="AI98" i="10"/>
  <c r="AC98" i="10"/>
  <c r="W98" i="10"/>
  <c r="K98" i="10"/>
  <c r="BA97" i="10"/>
  <c r="AU97" i="10"/>
  <c r="AO97" i="10"/>
  <c r="AI97" i="10"/>
  <c r="AC97" i="10"/>
  <c r="W97" i="10"/>
  <c r="Q97" i="10"/>
  <c r="K97" i="10"/>
  <c r="AU96" i="10"/>
  <c r="AO96" i="10"/>
  <c r="AI96" i="10"/>
  <c r="AC96" i="10"/>
  <c r="W96" i="10"/>
  <c r="Q96" i="10"/>
  <c r="K96" i="10"/>
  <c r="BA95" i="10"/>
  <c r="AU95" i="10"/>
  <c r="AO95" i="10"/>
  <c r="AI95" i="10"/>
  <c r="AC95" i="10"/>
  <c r="W95" i="10"/>
  <c r="K95" i="10"/>
  <c r="AU94" i="10"/>
  <c r="AO94" i="10"/>
  <c r="AI94" i="10"/>
  <c r="AC94" i="10"/>
  <c r="W94" i="10"/>
  <c r="Q94" i="10"/>
  <c r="K94" i="10"/>
  <c r="BA93" i="10"/>
  <c r="AU93" i="10"/>
  <c r="AO93" i="10"/>
  <c r="AI93" i="10"/>
  <c r="AC93" i="10"/>
  <c r="W93" i="10"/>
  <c r="Q93" i="10"/>
  <c r="K93" i="10"/>
  <c r="BA92" i="10"/>
  <c r="AU92" i="10"/>
  <c r="AO92" i="10"/>
  <c r="AI92" i="10"/>
  <c r="AC92" i="10"/>
  <c r="W92" i="10"/>
  <c r="Q92" i="10"/>
  <c r="K92" i="10"/>
  <c r="AU91" i="10"/>
  <c r="AO91" i="10"/>
  <c r="AI91" i="10"/>
  <c r="AC91" i="10"/>
  <c r="W91" i="10"/>
  <c r="Q91" i="10"/>
  <c r="K91" i="10"/>
  <c r="BA90" i="10"/>
  <c r="AU90" i="10"/>
  <c r="AO90" i="10"/>
  <c r="AI90" i="10"/>
  <c r="AC90" i="10"/>
  <c r="W90" i="10"/>
  <c r="K90" i="10"/>
  <c r="BA89" i="10"/>
  <c r="AU89" i="10"/>
  <c r="AO89" i="10"/>
  <c r="AI89" i="10"/>
  <c r="AC89" i="10"/>
  <c r="W89" i="10"/>
  <c r="Q89" i="10"/>
  <c r="K89" i="10"/>
  <c r="AU88" i="10"/>
  <c r="AO88" i="10"/>
  <c r="AI88" i="10"/>
  <c r="AC88" i="10"/>
  <c r="W88" i="10"/>
  <c r="Q88" i="10"/>
  <c r="K88" i="10"/>
  <c r="BA87" i="10"/>
  <c r="AU87" i="10"/>
  <c r="AO87" i="10"/>
  <c r="AI87" i="10"/>
  <c r="AC87" i="10"/>
  <c r="W87" i="10"/>
  <c r="K87" i="10"/>
  <c r="AU86" i="10"/>
  <c r="AO86" i="10"/>
  <c r="AI86" i="10"/>
  <c r="AC86" i="10"/>
  <c r="W86" i="10"/>
  <c r="Q86" i="10"/>
  <c r="K86" i="10"/>
  <c r="BA85" i="10"/>
  <c r="AU85" i="10"/>
  <c r="AO85" i="10"/>
  <c r="AI85" i="10"/>
  <c r="AC85" i="10"/>
  <c r="W85" i="10"/>
  <c r="Q85" i="10"/>
  <c r="K85" i="10"/>
  <c r="BA84" i="10"/>
  <c r="AU84" i="10"/>
  <c r="AO84" i="10"/>
  <c r="AI84" i="10"/>
  <c r="AC84" i="10"/>
  <c r="W84" i="10"/>
  <c r="Q84" i="10"/>
  <c r="K84" i="10"/>
  <c r="AU83" i="10"/>
  <c r="AO83" i="10"/>
  <c r="AI83" i="10"/>
  <c r="AC83" i="10"/>
  <c r="W83" i="10"/>
  <c r="K83" i="10"/>
  <c r="BA82" i="10"/>
  <c r="AU82" i="10"/>
  <c r="AO82" i="10"/>
  <c r="AI82" i="10"/>
  <c r="AC82" i="10"/>
  <c r="W82" i="10"/>
  <c r="K82" i="10"/>
  <c r="BA81" i="10"/>
  <c r="AU81" i="10"/>
  <c r="AO81" i="10"/>
  <c r="AI81" i="10"/>
  <c r="AC81" i="10"/>
  <c r="W81" i="10"/>
  <c r="Q81" i="10"/>
  <c r="K81" i="10"/>
  <c r="AU80" i="10"/>
  <c r="AO80" i="10"/>
  <c r="AI80" i="10"/>
  <c r="AC80" i="10"/>
  <c r="W80" i="10"/>
  <c r="Q80" i="10"/>
  <c r="K80" i="10"/>
  <c r="BA79" i="10"/>
  <c r="AU79" i="10"/>
  <c r="AO79" i="10"/>
  <c r="AI79" i="10"/>
  <c r="AC79" i="10"/>
  <c r="W79" i="10"/>
  <c r="K79" i="10"/>
  <c r="AU78" i="10"/>
  <c r="AO78" i="10"/>
  <c r="AI78" i="10"/>
  <c r="AC78" i="10"/>
  <c r="W78" i="10"/>
  <c r="Q78" i="10"/>
  <c r="K78" i="10"/>
  <c r="BA77" i="10"/>
  <c r="AU77" i="10"/>
  <c r="AO77" i="10"/>
  <c r="AI77" i="10"/>
  <c r="AC77" i="10"/>
  <c r="W77" i="10"/>
  <c r="Q77" i="10"/>
  <c r="K77" i="10"/>
  <c r="BA76" i="10"/>
  <c r="AU76" i="10"/>
  <c r="AO76" i="10"/>
  <c r="AI76" i="10"/>
  <c r="AC76" i="10"/>
  <c r="W76" i="10"/>
  <c r="Q76" i="10"/>
  <c r="K76" i="10"/>
  <c r="AU75" i="10"/>
  <c r="AO75" i="10"/>
  <c r="AI75" i="10"/>
  <c r="AC75" i="10"/>
  <c r="W75" i="10"/>
  <c r="Q75" i="10"/>
  <c r="K75" i="10"/>
  <c r="BA74" i="10"/>
  <c r="AU74" i="10"/>
  <c r="AO74" i="10"/>
  <c r="AI74" i="10"/>
  <c r="AC74" i="10"/>
  <c r="W74" i="10"/>
  <c r="K74" i="10"/>
  <c r="BA73" i="10"/>
  <c r="AU73" i="10"/>
  <c r="AO73" i="10"/>
  <c r="AI73" i="10"/>
  <c r="AC73" i="10"/>
  <c r="W73" i="10"/>
  <c r="Q73" i="10"/>
  <c r="K73" i="10"/>
  <c r="AU72" i="10"/>
  <c r="AO72" i="10"/>
  <c r="AI72" i="10"/>
  <c r="AC72" i="10"/>
  <c r="W72" i="10"/>
  <c r="Q72" i="10"/>
  <c r="K72" i="10"/>
  <c r="BA71" i="10"/>
  <c r="AU71" i="10"/>
  <c r="AO71" i="10"/>
  <c r="AI71" i="10"/>
  <c r="AC71" i="10"/>
  <c r="W71" i="10"/>
  <c r="K71" i="10"/>
  <c r="AU70" i="10"/>
  <c r="AO70" i="10"/>
  <c r="AI70" i="10"/>
  <c r="AC70" i="10"/>
  <c r="W70" i="10"/>
  <c r="Q70" i="10"/>
  <c r="K70" i="10"/>
  <c r="BA69" i="10"/>
  <c r="AU69" i="10"/>
  <c r="AO69" i="10"/>
  <c r="AI69" i="10"/>
  <c r="AC69" i="10"/>
  <c r="W69" i="10"/>
  <c r="Q69" i="10"/>
  <c r="K69" i="10"/>
  <c r="BA68" i="10"/>
  <c r="AU68" i="10"/>
  <c r="AO68" i="10"/>
  <c r="AI68" i="10"/>
  <c r="AC68" i="10"/>
  <c r="W68" i="10"/>
  <c r="Q68" i="10"/>
  <c r="K68" i="10"/>
  <c r="AU67" i="10"/>
  <c r="AO67" i="10"/>
  <c r="AI67" i="10"/>
  <c r="AC67" i="10"/>
  <c r="W67" i="10"/>
  <c r="K67" i="10"/>
  <c r="BA66" i="10"/>
  <c r="AU66" i="10"/>
  <c r="AO66" i="10"/>
  <c r="AI66" i="10"/>
  <c r="AC66" i="10"/>
  <c r="W66" i="10"/>
  <c r="K66" i="10"/>
  <c r="BA65" i="10"/>
  <c r="AU65" i="10"/>
  <c r="AO65" i="10"/>
  <c r="AI65" i="10"/>
  <c r="AC65" i="10"/>
  <c r="W65" i="10"/>
  <c r="Q65" i="10"/>
  <c r="K65" i="10"/>
  <c r="AU64" i="10"/>
  <c r="AO64" i="10"/>
  <c r="AI64" i="10"/>
  <c r="AC64" i="10"/>
  <c r="W64" i="10"/>
  <c r="Q64" i="10"/>
  <c r="K64" i="10"/>
  <c r="BA63" i="10"/>
  <c r="AU63" i="10"/>
  <c r="AO63" i="10"/>
  <c r="AI63" i="10"/>
  <c r="AC63" i="10"/>
  <c r="W63" i="10"/>
  <c r="K63" i="10"/>
  <c r="AU62" i="10"/>
  <c r="AO62" i="10"/>
  <c r="AI62" i="10"/>
  <c r="AC62" i="10"/>
  <c r="W62" i="10"/>
  <c r="Q62" i="10"/>
  <c r="K62" i="10"/>
  <c r="BA61" i="10"/>
  <c r="AU61" i="10"/>
  <c r="AO61" i="10"/>
  <c r="AI61" i="10"/>
  <c r="AC61" i="10"/>
  <c r="W61" i="10"/>
  <c r="Q61" i="10"/>
  <c r="K61" i="10"/>
  <c r="BA60" i="10"/>
  <c r="AU60" i="10"/>
  <c r="AO60" i="10"/>
  <c r="AI60" i="10"/>
  <c r="AC60" i="10"/>
  <c r="W60" i="10"/>
  <c r="Q60" i="10"/>
  <c r="K60" i="10"/>
  <c r="AU59" i="10"/>
  <c r="AO59" i="10"/>
  <c r="AI59" i="10"/>
  <c r="AC59" i="10"/>
  <c r="W59" i="10"/>
  <c r="Q59" i="10"/>
  <c r="K59" i="10"/>
  <c r="BA58" i="10"/>
  <c r="AU58" i="10"/>
  <c r="AO58" i="10"/>
  <c r="AI58" i="10"/>
  <c r="AC58" i="10"/>
  <c r="W58" i="10"/>
  <c r="Q58" i="10"/>
  <c r="K58" i="10"/>
  <c r="BA57" i="10"/>
  <c r="AU57" i="10"/>
  <c r="AO57" i="10"/>
  <c r="AI57" i="10"/>
  <c r="AC57" i="10"/>
  <c r="W57" i="10"/>
  <c r="Q57" i="10"/>
  <c r="K57" i="10"/>
  <c r="AU56" i="10"/>
  <c r="AO56" i="10"/>
  <c r="AI56" i="10"/>
  <c r="AC56" i="10"/>
  <c r="W56" i="10"/>
  <c r="Q56" i="10"/>
  <c r="K56" i="10"/>
  <c r="BA55" i="10"/>
  <c r="AU55" i="10"/>
  <c r="AO55" i="10"/>
  <c r="AI55" i="10"/>
  <c r="AC55" i="10"/>
  <c r="W55" i="10"/>
  <c r="K55" i="10"/>
  <c r="AU54" i="10"/>
  <c r="AO54" i="10"/>
  <c r="AI54" i="10"/>
  <c r="AC54" i="10"/>
  <c r="W54" i="10"/>
  <c r="Q54" i="10"/>
  <c r="K54" i="10"/>
  <c r="BA53" i="10"/>
  <c r="AU53" i="10"/>
  <c r="AO53" i="10"/>
  <c r="AI53" i="10"/>
  <c r="AC53" i="10"/>
  <c r="W53" i="10"/>
  <c r="Q53" i="10"/>
  <c r="K53" i="10"/>
  <c r="BA52" i="10"/>
  <c r="AU52" i="10"/>
  <c r="AO52" i="10"/>
  <c r="AI52" i="10"/>
  <c r="AC52" i="10"/>
  <c r="W52" i="10"/>
  <c r="Q52" i="10"/>
  <c r="K52" i="10"/>
  <c r="AU51" i="10"/>
  <c r="AO51" i="10"/>
  <c r="AI51" i="10"/>
  <c r="AC51" i="10"/>
  <c r="W51" i="10"/>
  <c r="K51" i="10"/>
  <c r="BA50" i="10"/>
  <c r="AU50" i="10"/>
  <c r="AO50" i="10"/>
  <c r="AI50" i="10"/>
  <c r="AC50" i="10"/>
  <c r="W50" i="10"/>
  <c r="K50" i="10"/>
  <c r="BA49" i="10"/>
  <c r="AU49" i="10"/>
  <c r="AO49" i="10"/>
  <c r="AI49" i="10"/>
  <c r="AC49" i="10"/>
  <c r="W49" i="10"/>
  <c r="Q49" i="10"/>
  <c r="K49" i="10"/>
  <c r="AU48" i="10"/>
  <c r="AO48" i="10"/>
  <c r="AI48" i="10"/>
  <c r="AC48" i="10"/>
  <c r="W48" i="10"/>
  <c r="Q48" i="10"/>
  <c r="K48" i="10"/>
  <c r="BA47" i="10"/>
  <c r="AU47" i="10"/>
  <c r="AO47" i="10"/>
  <c r="AI47" i="10"/>
  <c r="AC47" i="10"/>
  <c r="W47" i="10"/>
  <c r="K47" i="10"/>
  <c r="AU46" i="10"/>
  <c r="AO46" i="10"/>
  <c r="AI46" i="10"/>
  <c r="AC46" i="10"/>
  <c r="W46" i="10"/>
  <c r="Q46" i="10"/>
  <c r="K46" i="10"/>
  <c r="BA45" i="10"/>
  <c r="AU45" i="10"/>
  <c r="AO45" i="10"/>
  <c r="AI45" i="10"/>
  <c r="AC45" i="10"/>
  <c r="W45" i="10"/>
  <c r="Q45" i="10"/>
  <c r="K45" i="10"/>
  <c r="BA44" i="10"/>
  <c r="AU44" i="10"/>
  <c r="AO44" i="10"/>
  <c r="AI44" i="10"/>
  <c r="AC44" i="10"/>
  <c r="W44" i="10"/>
  <c r="Q44" i="10"/>
  <c r="K44" i="10"/>
  <c r="AU43" i="10"/>
  <c r="AO43" i="10"/>
  <c r="AI43" i="10"/>
  <c r="AC43" i="10"/>
  <c r="W43" i="10"/>
  <c r="K43" i="10"/>
  <c r="BA42" i="10"/>
  <c r="AU42" i="10"/>
  <c r="AO42" i="10"/>
  <c r="AI42" i="10"/>
  <c r="AC42" i="10"/>
  <c r="W42" i="10"/>
  <c r="K42" i="10"/>
  <c r="BA41" i="10"/>
  <c r="AU41" i="10"/>
  <c r="AO41" i="10"/>
  <c r="AI41" i="10"/>
  <c r="AC41" i="10"/>
  <c r="W41" i="10"/>
  <c r="Q41" i="10"/>
  <c r="K41" i="10"/>
  <c r="AU40" i="10"/>
  <c r="AO40" i="10"/>
  <c r="AI40" i="10"/>
  <c r="AC40" i="10"/>
  <c r="W40" i="10"/>
  <c r="Q40" i="10"/>
  <c r="K40" i="10"/>
  <c r="BA39" i="10"/>
  <c r="AU39" i="10"/>
  <c r="AO39" i="10"/>
  <c r="AI39" i="10"/>
  <c r="AC39" i="10"/>
  <c r="W39" i="10"/>
  <c r="K39" i="10"/>
  <c r="AU38" i="10"/>
  <c r="AO38" i="10"/>
  <c r="AI38" i="10"/>
  <c r="AC38" i="10"/>
  <c r="W38" i="10"/>
  <c r="Q38" i="10"/>
  <c r="K38" i="10"/>
  <c r="BA37" i="10"/>
  <c r="AU37" i="10"/>
  <c r="AO37" i="10"/>
  <c r="AI37" i="10"/>
  <c r="AC37" i="10"/>
  <c r="W37" i="10"/>
  <c r="Q37" i="10"/>
  <c r="K37" i="10"/>
  <c r="BA36" i="10"/>
  <c r="AU36" i="10"/>
  <c r="AO36" i="10"/>
  <c r="AI36" i="10"/>
  <c r="AC36" i="10"/>
  <c r="W36" i="10"/>
  <c r="Q36" i="10"/>
  <c r="K36" i="10"/>
  <c r="AU35" i="10"/>
  <c r="AO35" i="10"/>
  <c r="AI35" i="10"/>
  <c r="AC35" i="10"/>
  <c r="W35" i="10"/>
  <c r="K35" i="10"/>
  <c r="BA34" i="10"/>
  <c r="AU34" i="10"/>
  <c r="AO34" i="10"/>
  <c r="AI34" i="10"/>
  <c r="AC34" i="10"/>
  <c r="W34" i="10"/>
  <c r="K34" i="10"/>
  <c r="BA33" i="10"/>
  <c r="AU33" i="10"/>
  <c r="AO33" i="10"/>
  <c r="AI33" i="10"/>
  <c r="AC33" i="10"/>
  <c r="W33" i="10"/>
  <c r="Q33" i="10"/>
  <c r="K33" i="10"/>
  <c r="AU32" i="10"/>
  <c r="AO32" i="10"/>
  <c r="AI32" i="10"/>
  <c r="AC32" i="10"/>
  <c r="W32" i="10"/>
  <c r="Q32" i="10"/>
  <c r="K32" i="10"/>
  <c r="BA31" i="10"/>
  <c r="AU31" i="10"/>
  <c r="AO31" i="10"/>
  <c r="AI31" i="10"/>
  <c r="AC31" i="10"/>
  <c r="W31" i="10"/>
  <c r="K31" i="10"/>
  <c r="AU30" i="10"/>
  <c r="AO30" i="10"/>
  <c r="AI30" i="10"/>
  <c r="AC30" i="10"/>
  <c r="W30" i="10"/>
  <c r="Q30" i="10"/>
  <c r="K30" i="10"/>
  <c r="BA29" i="10"/>
  <c r="AU29" i="10"/>
  <c r="AO29" i="10"/>
  <c r="AI29" i="10"/>
  <c r="AC29" i="10"/>
  <c r="W29" i="10"/>
  <c r="Q29" i="10"/>
  <c r="K29" i="10"/>
  <c r="BA28" i="10"/>
  <c r="AU28" i="10"/>
  <c r="AO28" i="10"/>
  <c r="AI28" i="10"/>
  <c r="AC28" i="10"/>
  <c r="W28" i="10"/>
  <c r="Q28" i="10"/>
  <c r="K28" i="10"/>
  <c r="AU27" i="10"/>
  <c r="AO27" i="10"/>
  <c r="AI27" i="10"/>
  <c r="AC27" i="10"/>
  <c r="W27" i="10"/>
  <c r="K27" i="10"/>
  <c r="BA26" i="10"/>
  <c r="AU26" i="10"/>
  <c r="AO26" i="10"/>
  <c r="AI26" i="10"/>
  <c r="AC26" i="10"/>
  <c r="W26" i="10"/>
  <c r="K26" i="10"/>
  <c r="BA25" i="10"/>
  <c r="AU25" i="10"/>
  <c r="AO25" i="10"/>
  <c r="AI25" i="10"/>
  <c r="AC25" i="10"/>
  <c r="W25" i="10"/>
  <c r="Q25" i="10"/>
  <c r="K25" i="10"/>
  <c r="AU24" i="10"/>
  <c r="AO24" i="10"/>
  <c r="AI24" i="10"/>
  <c r="AC24" i="10"/>
  <c r="W24" i="10"/>
  <c r="Q24" i="10"/>
  <c r="K24" i="10"/>
  <c r="BA23" i="10"/>
  <c r="AU23" i="10"/>
  <c r="AO23" i="10"/>
  <c r="AI23" i="10"/>
  <c r="AC23" i="10"/>
  <c r="W23" i="10"/>
  <c r="K23" i="10"/>
  <c r="AU22" i="10"/>
  <c r="AO22" i="10"/>
  <c r="AI22" i="10"/>
  <c r="AC22" i="10"/>
  <c r="W22" i="10"/>
  <c r="Q22" i="10"/>
  <c r="K22" i="10"/>
  <c r="BA21" i="10"/>
  <c r="AU21" i="10"/>
  <c r="AO21" i="10"/>
  <c r="AI21" i="10"/>
  <c r="AC21" i="10"/>
  <c r="W21" i="10"/>
  <c r="Q21" i="10"/>
  <c r="K21" i="10"/>
  <c r="BA20" i="10"/>
  <c r="AU20" i="10"/>
  <c r="AO20" i="10"/>
  <c r="AI20" i="10"/>
  <c r="AC20" i="10"/>
  <c r="W20" i="10"/>
  <c r="Q20" i="10"/>
  <c r="K20" i="10"/>
  <c r="AU19" i="10"/>
  <c r="AO19" i="10"/>
  <c r="AI19" i="10"/>
  <c r="AC19" i="10"/>
  <c r="W19" i="10"/>
  <c r="K19" i="10"/>
  <c r="BA18" i="10"/>
  <c r="AU18" i="10"/>
  <c r="AO18" i="10"/>
  <c r="AI18" i="10"/>
  <c r="AC18" i="10"/>
  <c r="W18" i="10"/>
  <c r="K18" i="10"/>
  <c r="BA17" i="10"/>
  <c r="AU17" i="10"/>
  <c r="AO17" i="10"/>
  <c r="AI17" i="10"/>
  <c r="AC17" i="10"/>
  <c r="W17" i="10"/>
  <c r="Q17" i="10"/>
  <c r="K17" i="10"/>
  <c r="AU16" i="10"/>
  <c r="AO16" i="10"/>
  <c r="AI16" i="10"/>
  <c r="AC16" i="10"/>
  <c r="W16" i="10"/>
  <c r="Q16" i="10"/>
  <c r="K16" i="10"/>
  <c r="BA15" i="10"/>
  <c r="AU15" i="10"/>
  <c r="AO15" i="10"/>
  <c r="AI15" i="10"/>
  <c r="AC15" i="10"/>
  <c r="W15" i="10"/>
  <c r="K15" i="10"/>
  <c r="AU14" i="10"/>
  <c r="AO14" i="10"/>
  <c r="AI14" i="10"/>
  <c r="AC14" i="10"/>
  <c r="W14" i="10"/>
  <c r="Q14" i="10"/>
  <c r="K14" i="10"/>
  <c r="BA13" i="10"/>
  <c r="AU13" i="10"/>
  <c r="AO13" i="10"/>
  <c r="AI13" i="10"/>
  <c r="AC13" i="10"/>
  <c r="W13" i="10"/>
  <c r="Q13" i="10"/>
  <c r="K13" i="10"/>
  <c r="BA12" i="10"/>
  <c r="AU12" i="10"/>
  <c r="AO12" i="10"/>
  <c r="AI12" i="10"/>
  <c r="AC12" i="10"/>
  <c r="W12" i="10"/>
  <c r="Q12" i="10"/>
  <c r="K12" i="10"/>
  <c r="AU11" i="10"/>
  <c r="AO11" i="10"/>
  <c r="AI11" i="10"/>
  <c r="AC11" i="10"/>
  <c r="W11" i="10"/>
  <c r="K11" i="10"/>
  <c r="BA10" i="10"/>
  <c r="AU10" i="10"/>
  <c r="AO10" i="10"/>
  <c r="AI10" i="10"/>
  <c r="AC10" i="10"/>
  <c r="W10" i="10"/>
  <c r="K10" i="10"/>
  <c r="BA9" i="10"/>
  <c r="AU9" i="10"/>
  <c r="AO9" i="10"/>
  <c r="AI9" i="10"/>
  <c r="AC9" i="10"/>
  <c r="W9" i="10"/>
  <c r="Q9" i="10"/>
  <c r="K9" i="10"/>
  <c r="AU8" i="10"/>
  <c r="AO8" i="10"/>
  <c r="AI8" i="10"/>
  <c r="AC8" i="10"/>
  <c r="W8" i="10"/>
  <c r="Q8" i="10"/>
  <c r="K8" i="10"/>
  <c r="BA7" i="10"/>
  <c r="AU7" i="10"/>
  <c r="AO7" i="10"/>
  <c r="AI7" i="10"/>
  <c r="AC7" i="10"/>
  <c r="W7" i="10"/>
  <c r="K7" i="10"/>
  <c r="AU6" i="10"/>
  <c r="AO6" i="10"/>
  <c r="AI6" i="10"/>
  <c r="AC6" i="10"/>
  <c r="W6" i="10"/>
  <c r="Q6" i="10"/>
  <c r="K6" i="10"/>
  <c r="BA5" i="10"/>
  <c r="AU5" i="10"/>
  <c r="AO5" i="10"/>
  <c r="AI5" i="10"/>
  <c r="AC5" i="10"/>
  <c r="W5" i="10"/>
  <c r="Q5" i="10"/>
  <c r="K5" i="10"/>
  <c r="BA4" i="10"/>
  <c r="AU4" i="10"/>
  <c r="AO4" i="10"/>
  <c r="AI4" i="10"/>
  <c r="AC4" i="10"/>
  <c r="W4" i="10"/>
  <c r="Q4" i="10"/>
  <c r="K4" i="10"/>
  <c r="BC3" i="10"/>
  <c r="BA3" i="10"/>
  <c r="AU3" i="10"/>
  <c r="AO3" i="10"/>
  <c r="AI3" i="10"/>
  <c r="AC3" i="10"/>
  <c r="W3" i="10"/>
  <c r="Q3" i="10"/>
  <c r="K3" i="10"/>
  <c r="BA230" i="7"/>
  <c r="AU230" i="7"/>
  <c r="AO230" i="7"/>
  <c r="AI230" i="7"/>
  <c r="AC230" i="7"/>
  <c r="W230" i="7"/>
  <c r="Q230" i="7"/>
  <c r="AM230" i="15" s="1"/>
  <c r="K230" i="7"/>
  <c r="BA229" i="7"/>
  <c r="AU229" i="7"/>
  <c r="AO229" i="7"/>
  <c r="AI229" i="7"/>
  <c r="AC229" i="7"/>
  <c r="W229" i="7"/>
  <c r="Q229" i="7"/>
  <c r="K229" i="7"/>
  <c r="BA228" i="7"/>
  <c r="AU228" i="7"/>
  <c r="AO228" i="7"/>
  <c r="AI228" i="7"/>
  <c r="AC228" i="7"/>
  <c r="W228" i="7"/>
  <c r="Q228" i="7"/>
  <c r="AM228" i="15" s="1"/>
  <c r="K228" i="7"/>
  <c r="BA227" i="7"/>
  <c r="AU227" i="7"/>
  <c r="AO227" i="7"/>
  <c r="AI227" i="7"/>
  <c r="AC227" i="7"/>
  <c r="W227" i="7"/>
  <c r="Q227" i="7"/>
  <c r="AM227" i="15" s="1"/>
  <c r="K227" i="7"/>
  <c r="BA226" i="7"/>
  <c r="AU226" i="7"/>
  <c r="AO226" i="7"/>
  <c r="AI226" i="7"/>
  <c r="AC226" i="7"/>
  <c r="W226" i="7"/>
  <c r="Q226" i="7"/>
  <c r="AM226" i="15" s="1"/>
  <c r="K226" i="7"/>
  <c r="BA225" i="7"/>
  <c r="AU225" i="7"/>
  <c r="AO225" i="7"/>
  <c r="AI225" i="7"/>
  <c r="AC225" i="7"/>
  <c r="W225" i="7"/>
  <c r="Q225" i="7"/>
  <c r="AM225" i="15" s="1"/>
  <c r="K225" i="7"/>
  <c r="BA224" i="7"/>
  <c r="AU224" i="7"/>
  <c r="AO224" i="7"/>
  <c r="AI224" i="7"/>
  <c r="AC224" i="7"/>
  <c r="W224" i="7"/>
  <c r="Q224" i="7"/>
  <c r="AM224" i="15" s="1"/>
  <c r="K224" i="7"/>
  <c r="BA223" i="7"/>
  <c r="AU223" i="7"/>
  <c r="AO223" i="7"/>
  <c r="AI223" i="7"/>
  <c r="AC223" i="7"/>
  <c r="W223" i="7"/>
  <c r="Q223" i="7"/>
  <c r="AM223" i="15" s="1"/>
  <c r="K223" i="7"/>
  <c r="BA222" i="7"/>
  <c r="AU222" i="7"/>
  <c r="AO222" i="7"/>
  <c r="AI222" i="7"/>
  <c r="AC222" i="7"/>
  <c r="W222" i="7"/>
  <c r="Q222" i="7"/>
  <c r="AM222" i="15" s="1"/>
  <c r="K222" i="7"/>
  <c r="BA221" i="7"/>
  <c r="AU221" i="7"/>
  <c r="AO221" i="7"/>
  <c r="AI221" i="7"/>
  <c r="AC221" i="7"/>
  <c r="W221" i="7"/>
  <c r="Q221" i="7"/>
  <c r="AM221" i="15" s="1"/>
  <c r="K221" i="7"/>
  <c r="BA220" i="7"/>
  <c r="AU220" i="7"/>
  <c r="AO220" i="7"/>
  <c r="AI220" i="7"/>
  <c r="AC220" i="7"/>
  <c r="W220" i="7"/>
  <c r="Q220" i="7"/>
  <c r="K220" i="7"/>
  <c r="BA219" i="7"/>
  <c r="AU219" i="7"/>
  <c r="AO219" i="7"/>
  <c r="AI219" i="7"/>
  <c r="AC219" i="7"/>
  <c r="W219" i="7"/>
  <c r="Q219" i="7"/>
  <c r="AM219" i="15" s="1"/>
  <c r="K219" i="7"/>
  <c r="BA218" i="7"/>
  <c r="AU218" i="7"/>
  <c r="AO218" i="7"/>
  <c r="AI218" i="7"/>
  <c r="AC218" i="7"/>
  <c r="W218" i="7"/>
  <c r="Q218" i="7"/>
  <c r="AM218" i="15" s="1"/>
  <c r="K218" i="7"/>
  <c r="BA217" i="7"/>
  <c r="AU217" i="7"/>
  <c r="AO217" i="7"/>
  <c r="AI217" i="7"/>
  <c r="AC217" i="7"/>
  <c r="W217" i="7"/>
  <c r="Q217" i="7"/>
  <c r="AM217" i="15" s="1"/>
  <c r="K217" i="7"/>
  <c r="BA216" i="7"/>
  <c r="AU216" i="7"/>
  <c r="AO216" i="7"/>
  <c r="AI216" i="7"/>
  <c r="AC216" i="7"/>
  <c r="W216" i="7"/>
  <c r="Q216" i="7"/>
  <c r="AM216" i="15" s="1"/>
  <c r="K216" i="7"/>
  <c r="BA215" i="7"/>
  <c r="AU215" i="7"/>
  <c r="AO215" i="7"/>
  <c r="AI215" i="7"/>
  <c r="AC215" i="7"/>
  <c r="W215" i="7"/>
  <c r="Q215" i="7"/>
  <c r="AM215" i="15" s="1"/>
  <c r="K215" i="7"/>
  <c r="BA214" i="7"/>
  <c r="AU214" i="7"/>
  <c r="AO214" i="7"/>
  <c r="AI214" i="7"/>
  <c r="AC214" i="7"/>
  <c r="W214" i="7"/>
  <c r="Q214" i="7"/>
  <c r="AM214" i="15" s="1"/>
  <c r="K214" i="7"/>
  <c r="BA213" i="7"/>
  <c r="AU213" i="7"/>
  <c r="AO213" i="7"/>
  <c r="AI213" i="7"/>
  <c r="AC213" i="7"/>
  <c r="W213" i="7"/>
  <c r="Q213" i="7"/>
  <c r="AM213" i="15" s="1"/>
  <c r="K213" i="7"/>
  <c r="BA212" i="7"/>
  <c r="AU212" i="7"/>
  <c r="AO212" i="7"/>
  <c r="AI212" i="7"/>
  <c r="AC212" i="7"/>
  <c r="W212" i="7"/>
  <c r="Q212" i="7"/>
  <c r="AM212" i="15" s="1"/>
  <c r="K212" i="7"/>
  <c r="BA211" i="7"/>
  <c r="AU211" i="7"/>
  <c r="AO211" i="7"/>
  <c r="AI211" i="7"/>
  <c r="AC211" i="7"/>
  <c r="W211" i="7"/>
  <c r="Q211" i="7"/>
  <c r="K211" i="7"/>
  <c r="BA210" i="7"/>
  <c r="AU210" i="7"/>
  <c r="AO210" i="7"/>
  <c r="AI210" i="7"/>
  <c r="AC210" i="7"/>
  <c r="W210" i="7"/>
  <c r="Q210" i="7"/>
  <c r="AM210" i="15" s="1"/>
  <c r="K210" i="7"/>
  <c r="BA209" i="7"/>
  <c r="AU209" i="7"/>
  <c r="AO209" i="7"/>
  <c r="AI209" i="7"/>
  <c r="AC209" i="7"/>
  <c r="W209" i="7"/>
  <c r="Q209" i="7"/>
  <c r="AM209" i="15" s="1"/>
  <c r="K209" i="7"/>
  <c r="BA208" i="7"/>
  <c r="AU208" i="7"/>
  <c r="AO208" i="7"/>
  <c r="AI208" i="7"/>
  <c r="AC208" i="7"/>
  <c r="W208" i="7"/>
  <c r="Q208" i="7"/>
  <c r="K208" i="7"/>
  <c r="BA207" i="7"/>
  <c r="AU207" i="7"/>
  <c r="AO207" i="7"/>
  <c r="AI207" i="7"/>
  <c r="AC207" i="7"/>
  <c r="W207" i="7"/>
  <c r="Q207" i="7"/>
  <c r="AM207" i="15" s="1"/>
  <c r="K207" i="7"/>
  <c r="BA206" i="7"/>
  <c r="AU206" i="7"/>
  <c r="AO206" i="7"/>
  <c r="AI206" i="7"/>
  <c r="AC206" i="7"/>
  <c r="W206" i="7"/>
  <c r="Q206" i="7"/>
  <c r="AM206" i="15" s="1"/>
  <c r="K206" i="7"/>
  <c r="BA205" i="7"/>
  <c r="AU205" i="7"/>
  <c r="AO205" i="7"/>
  <c r="AI205" i="7"/>
  <c r="AC205" i="7"/>
  <c r="W205" i="7"/>
  <c r="Q205" i="7"/>
  <c r="AM205" i="15" s="1"/>
  <c r="K205" i="7"/>
  <c r="BA204" i="7"/>
  <c r="AU204" i="7"/>
  <c r="AO204" i="7"/>
  <c r="AI204" i="7"/>
  <c r="AC204" i="7"/>
  <c r="W204" i="7"/>
  <c r="Q204" i="7"/>
  <c r="AM204" i="15" s="1"/>
  <c r="K204" i="7"/>
  <c r="BA203" i="7"/>
  <c r="AU203" i="7"/>
  <c r="AO203" i="7"/>
  <c r="AI203" i="7"/>
  <c r="AC203" i="7"/>
  <c r="W203" i="7"/>
  <c r="Q203" i="7"/>
  <c r="AM203" i="15" s="1"/>
  <c r="K203" i="7"/>
  <c r="BA202" i="7"/>
  <c r="AU202" i="7"/>
  <c r="AO202" i="7"/>
  <c r="AI202" i="7"/>
  <c r="AC202" i="7"/>
  <c r="W202" i="7"/>
  <c r="Q202" i="7"/>
  <c r="K202" i="7"/>
  <c r="BA201" i="7"/>
  <c r="AU201" i="7"/>
  <c r="AO201" i="7"/>
  <c r="AI201" i="7"/>
  <c r="AC201" i="7"/>
  <c r="W201" i="7"/>
  <c r="Q201" i="7"/>
  <c r="AM201" i="15" s="1"/>
  <c r="K201" i="7"/>
  <c r="BA200" i="7"/>
  <c r="AU200" i="7"/>
  <c r="AO200" i="7"/>
  <c r="AI200" i="7"/>
  <c r="AC200" i="7"/>
  <c r="W200" i="7"/>
  <c r="Q200" i="7"/>
  <c r="AM200" i="15" s="1"/>
  <c r="K200" i="7"/>
  <c r="BA199" i="7"/>
  <c r="AU199" i="7"/>
  <c r="AO199" i="7"/>
  <c r="AI199" i="7"/>
  <c r="AC199" i="7"/>
  <c r="W199" i="7"/>
  <c r="Q199" i="7"/>
  <c r="AM199" i="15" s="1"/>
  <c r="K199" i="7"/>
  <c r="BA198" i="7"/>
  <c r="AU198" i="7"/>
  <c r="AO198" i="7"/>
  <c r="AI198" i="7"/>
  <c r="AC198" i="7"/>
  <c r="W198" i="7"/>
  <c r="Q198" i="7"/>
  <c r="AM198" i="15" s="1"/>
  <c r="K198" i="7"/>
  <c r="BA197" i="7"/>
  <c r="AU197" i="7"/>
  <c r="AO197" i="7"/>
  <c r="AI197" i="7"/>
  <c r="AC197" i="7"/>
  <c r="W197" i="7"/>
  <c r="Q197" i="7"/>
  <c r="AM197" i="15" s="1"/>
  <c r="K197" i="7"/>
  <c r="BA196" i="7"/>
  <c r="AU196" i="7"/>
  <c r="AO196" i="7"/>
  <c r="AI196" i="7"/>
  <c r="AC196" i="7"/>
  <c r="W196" i="7"/>
  <c r="Q196" i="7"/>
  <c r="AM196" i="15" s="1"/>
  <c r="K196" i="7"/>
  <c r="BA195" i="7"/>
  <c r="AU195" i="7"/>
  <c r="AO195" i="7"/>
  <c r="AI195" i="7"/>
  <c r="AC195" i="7"/>
  <c r="W195" i="7"/>
  <c r="Q195" i="7"/>
  <c r="AM195" i="15" s="1"/>
  <c r="K195" i="7"/>
  <c r="BA194" i="7"/>
  <c r="AU194" i="7"/>
  <c r="AO194" i="7"/>
  <c r="AI194" i="7"/>
  <c r="AC194" i="7"/>
  <c r="W194" i="7"/>
  <c r="Q194" i="7"/>
  <c r="AM194" i="15" s="1"/>
  <c r="K194" i="7"/>
  <c r="BA193" i="7"/>
  <c r="AU193" i="7"/>
  <c r="AO193" i="7"/>
  <c r="AI193" i="7"/>
  <c r="AC193" i="7"/>
  <c r="W193" i="7"/>
  <c r="Q193" i="7"/>
  <c r="K193" i="7"/>
  <c r="BA192" i="7"/>
  <c r="AU192" i="7"/>
  <c r="AO192" i="7"/>
  <c r="AI192" i="7"/>
  <c r="AC192" i="7"/>
  <c r="W192" i="7"/>
  <c r="Q192" i="7"/>
  <c r="AM192" i="15" s="1"/>
  <c r="K192" i="7"/>
  <c r="BA191" i="7"/>
  <c r="AU191" i="7"/>
  <c r="AO191" i="7"/>
  <c r="AI191" i="7"/>
  <c r="AC191" i="7"/>
  <c r="W191" i="7"/>
  <c r="Q191" i="7"/>
  <c r="AM191" i="15" s="1"/>
  <c r="K191" i="7"/>
  <c r="BA190" i="7"/>
  <c r="AU190" i="7"/>
  <c r="AO190" i="7"/>
  <c r="AI190" i="7"/>
  <c r="AC190" i="7"/>
  <c r="W190" i="7"/>
  <c r="Q190" i="7"/>
  <c r="AM190" i="15" s="1"/>
  <c r="K190" i="7"/>
  <c r="BA189" i="7"/>
  <c r="AU189" i="7"/>
  <c r="AO189" i="7"/>
  <c r="AI189" i="7"/>
  <c r="AC189" i="7"/>
  <c r="W189" i="7"/>
  <c r="Q189" i="7"/>
  <c r="AM189" i="15" s="1"/>
  <c r="K189" i="7"/>
  <c r="BA188" i="7"/>
  <c r="AU188" i="7"/>
  <c r="AO188" i="7"/>
  <c r="AI188" i="7"/>
  <c r="AC188" i="7"/>
  <c r="W188" i="7"/>
  <c r="Q188" i="7"/>
  <c r="AM188" i="15" s="1"/>
  <c r="K188" i="7"/>
  <c r="BA187" i="7"/>
  <c r="AU187" i="7"/>
  <c r="AO187" i="7"/>
  <c r="AI187" i="7"/>
  <c r="AC187" i="7"/>
  <c r="W187" i="7"/>
  <c r="Q187" i="7"/>
  <c r="AM187" i="15" s="1"/>
  <c r="K187" i="7"/>
  <c r="BA186" i="7"/>
  <c r="AU186" i="7"/>
  <c r="AO186" i="7"/>
  <c r="AI186" i="7"/>
  <c r="AC186" i="7"/>
  <c r="W186" i="7"/>
  <c r="Q186" i="7"/>
  <c r="AM186" i="15" s="1"/>
  <c r="K186" i="7"/>
  <c r="BA185" i="7"/>
  <c r="AU185" i="7"/>
  <c r="AO185" i="7"/>
  <c r="AI185" i="7"/>
  <c r="AC185" i="7"/>
  <c r="W185" i="7"/>
  <c r="Q185" i="7"/>
  <c r="AM185" i="15" s="1"/>
  <c r="K185" i="7"/>
  <c r="BA184" i="7"/>
  <c r="AU184" i="7"/>
  <c r="AO184" i="7"/>
  <c r="AI184" i="7"/>
  <c r="AC184" i="7"/>
  <c r="W184" i="7"/>
  <c r="Q184" i="7"/>
  <c r="K184" i="7"/>
  <c r="BA183" i="7"/>
  <c r="AU183" i="7"/>
  <c r="AO183" i="7"/>
  <c r="AI183" i="7"/>
  <c r="AC183" i="7"/>
  <c r="W183" i="7"/>
  <c r="Q183" i="7"/>
  <c r="AM183" i="15" s="1"/>
  <c r="K183" i="7"/>
  <c r="BA182" i="7"/>
  <c r="AU182" i="7"/>
  <c r="AO182" i="7"/>
  <c r="AI182" i="7"/>
  <c r="AC182" i="7"/>
  <c r="W182" i="7"/>
  <c r="Q182" i="7"/>
  <c r="AM182" i="15" s="1"/>
  <c r="K182" i="7"/>
  <c r="BA181" i="7"/>
  <c r="AU181" i="7"/>
  <c r="AO181" i="7"/>
  <c r="AI181" i="7"/>
  <c r="AC181" i="7"/>
  <c r="W181" i="7"/>
  <c r="Q181" i="7"/>
  <c r="AM181" i="15" s="1"/>
  <c r="K181" i="7"/>
  <c r="BA180" i="7"/>
  <c r="AU180" i="7"/>
  <c r="AO180" i="7"/>
  <c r="AI180" i="7"/>
  <c r="AC180" i="7"/>
  <c r="W180" i="7"/>
  <c r="Q180" i="7"/>
  <c r="AM180" i="15" s="1"/>
  <c r="K180" i="7"/>
  <c r="BA179" i="7"/>
  <c r="AU179" i="7"/>
  <c r="AO179" i="7"/>
  <c r="AI179" i="7"/>
  <c r="AC179" i="7"/>
  <c r="W179" i="7"/>
  <c r="Q179" i="7"/>
  <c r="AM179" i="15" s="1"/>
  <c r="K179" i="7"/>
  <c r="BA178" i="7"/>
  <c r="AU178" i="7"/>
  <c r="AO178" i="7"/>
  <c r="AI178" i="7"/>
  <c r="AC178" i="7"/>
  <c r="W178" i="7"/>
  <c r="Q178" i="7"/>
  <c r="AM178" i="15" s="1"/>
  <c r="K178" i="7"/>
  <c r="BA177" i="7"/>
  <c r="AU177" i="7"/>
  <c r="AO177" i="7"/>
  <c r="AI177" i="7"/>
  <c r="AC177" i="7"/>
  <c r="W177" i="7"/>
  <c r="Q177" i="7"/>
  <c r="AM177" i="15" s="1"/>
  <c r="K177" i="7"/>
  <c r="BA176" i="7"/>
  <c r="AU176" i="7"/>
  <c r="AO176" i="7"/>
  <c r="AI176" i="7"/>
  <c r="AC176" i="7"/>
  <c r="W176" i="7"/>
  <c r="Q176" i="7"/>
  <c r="AM176" i="15" s="1"/>
  <c r="K176" i="7"/>
  <c r="BA175" i="7"/>
  <c r="AU175" i="7"/>
  <c r="AO175" i="7"/>
  <c r="AI175" i="7"/>
  <c r="AC175" i="7"/>
  <c r="W175" i="7"/>
  <c r="Q175" i="7"/>
  <c r="AM175" i="15" s="1"/>
  <c r="K175" i="7"/>
  <c r="BA174" i="7"/>
  <c r="AU174" i="7"/>
  <c r="AO174" i="7"/>
  <c r="AI174" i="7"/>
  <c r="AC174" i="7"/>
  <c r="W174" i="7"/>
  <c r="Q174" i="7"/>
  <c r="K174" i="7"/>
  <c r="BA173" i="7"/>
  <c r="AU173" i="7"/>
  <c r="AO173" i="7"/>
  <c r="AI173" i="7"/>
  <c r="AC173" i="7"/>
  <c r="W173" i="7"/>
  <c r="Q173" i="7"/>
  <c r="AM173" i="15" s="1"/>
  <c r="K173" i="7"/>
  <c r="BA172" i="7"/>
  <c r="AU172" i="7"/>
  <c r="AO172" i="7"/>
  <c r="AI172" i="7"/>
  <c r="AC172" i="7"/>
  <c r="W172" i="7"/>
  <c r="Q172" i="7"/>
  <c r="AM172" i="15" s="1"/>
  <c r="K172" i="7"/>
  <c r="BA171" i="7"/>
  <c r="AU171" i="7"/>
  <c r="AO171" i="7"/>
  <c r="AI171" i="7"/>
  <c r="AC171" i="7"/>
  <c r="W171" i="7"/>
  <c r="Q171" i="7"/>
  <c r="AM171" i="15" s="1"/>
  <c r="K171" i="7"/>
  <c r="BA170" i="7"/>
  <c r="AU170" i="7"/>
  <c r="AO170" i="7"/>
  <c r="AI170" i="7"/>
  <c r="AC170" i="7"/>
  <c r="W170" i="7"/>
  <c r="Q170" i="7"/>
  <c r="AM170" i="15" s="1"/>
  <c r="K170" i="7"/>
  <c r="BA169" i="7"/>
  <c r="AU169" i="7"/>
  <c r="AO169" i="7"/>
  <c r="AI169" i="7"/>
  <c r="AC169" i="7"/>
  <c r="W169" i="7"/>
  <c r="Q169" i="7"/>
  <c r="AM169" i="15" s="1"/>
  <c r="K169" i="7"/>
  <c r="BA168" i="7"/>
  <c r="AU168" i="7"/>
  <c r="AO168" i="7"/>
  <c r="AI168" i="7"/>
  <c r="AC168" i="7"/>
  <c r="W168" i="7"/>
  <c r="Q168" i="7"/>
  <c r="AM168" i="15" s="1"/>
  <c r="K168" i="7"/>
  <c r="BA167" i="7"/>
  <c r="AU167" i="7"/>
  <c r="AO167" i="7"/>
  <c r="AI167" i="7"/>
  <c r="AC167" i="7"/>
  <c r="W167" i="7"/>
  <c r="Q167" i="7"/>
  <c r="AM167" i="15" s="1"/>
  <c r="K167" i="7"/>
  <c r="BA166" i="7"/>
  <c r="AU166" i="7"/>
  <c r="AO166" i="7"/>
  <c r="AI166" i="7"/>
  <c r="AC166" i="7"/>
  <c r="W166" i="7"/>
  <c r="Q166" i="7"/>
  <c r="AM166" i="15" s="1"/>
  <c r="K166" i="7"/>
  <c r="BA165" i="7"/>
  <c r="AU165" i="7"/>
  <c r="AO165" i="7"/>
  <c r="AI165" i="7"/>
  <c r="AC165" i="7"/>
  <c r="W165" i="7"/>
  <c r="Q165" i="7"/>
  <c r="K165" i="7"/>
  <c r="BA164" i="7"/>
  <c r="AU164" i="7"/>
  <c r="AO164" i="7"/>
  <c r="AI164" i="7"/>
  <c r="AC164" i="7"/>
  <c r="W164" i="7"/>
  <c r="Q164" i="7"/>
  <c r="AM164" i="15" s="1"/>
  <c r="K164" i="7"/>
  <c r="BA163" i="7"/>
  <c r="AU163" i="7"/>
  <c r="AO163" i="7"/>
  <c r="AI163" i="7"/>
  <c r="AC163" i="7"/>
  <c r="W163" i="7"/>
  <c r="Q163" i="7"/>
  <c r="AM163" i="15" s="1"/>
  <c r="K163" i="7"/>
  <c r="BA162" i="7"/>
  <c r="AU162" i="7"/>
  <c r="AO162" i="7"/>
  <c r="AI162" i="7"/>
  <c r="AC162" i="7"/>
  <c r="W162" i="7"/>
  <c r="Q162" i="7"/>
  <c r="AM162" i="15" s="1"/>
  <c r="K162" i="7"/>
  <c r="BA161" i="7"/>
  <c r="AU161" i="7"/>
  <c r="AO161" i="7"/>
  <c r="AI161" i="7"/>
  <c r="AC161" i="7"/>
  <c r="W161" i="7"/>
  <c r="Q161" i="7"/>
  <c r="AM161" i="15" s="1"/>
  <c r="K161" i="7"/>
  <c r="BA160" i="7"/>
  <c r="AU160" i="7"/>
  <c r="AO160" i="7"/>
  <c r="AI160" i="7"/>
  <c r="AC160" i="7"/>
  <c r="W160" i="7"/>
  <c r="Q160" i="7"/>
  <c r="AM160" i="15" s="1"/>
  <c r="K160" i="7"/>
  <c r="BA159" i="7"/>
  <c r="AU159" i="7"/>
  <c r="AO159" i="7"/>
  <c r="AI159" i="7"/>
  <c r="AC159" i="7"/>
  <c r="W159" i="7"/>
  <c r="Q159" i="7"/>
  <c r="AM159" i="15" s="1"/>
  <c r="K159" i="7"/>
  <c r="BA158" i="7"/>
  <c r="AU158" i="7"/>
  <c r="AO158" i="7"/>
  <c r="AI158" i="7"/>
  <c r="AC158" i="7"/>
  <c r="W158" i="7"/>
  <c r="Q158" i="7"/>
  <c r="AM158" i="15" s="1"/>
  <c r="K158" i="7"/>
  <c r="BA157" i="7"/>
  <c r="AU157" i="7"/>
  <c r="AO157" i="7"/>
  <c r="AI157" i="7"/>
  <c r="AC157" i="7"/>
  <c r="W157" i="7"/>
  <c r="Q157" i="7"/>
  <c r="AM157" i="15" s="1"/>
  <c r="K157" i="7"/>
  <c r="BA156" i="7"/>
  <c r="AU156" i="7"/>
  <c r="AO156" i="7"/>
  <c r="AI156" i="7"/>
  <c r="AC156" i="7"/>
  <c r="W156" i="7"/>
  <c r="Q156" i="7"/>
  <c r="K156" i="7"/>
  <c r="BA155" i="7"/>
  <c r="AU155" i="7"/>
  <c r="AO155" i="7"/>
  <c r="AI155" i="7"/>
  <c r="AC155" i="7"/>
  <c r="W155" i="7"/>
  <c r="Q155" i="7"/>
  <c r="AM155" i="15" s="1"/>
  <c r="K155" i="7"/>
  <c r="BA154" i="7"/>
  <c r="AU154" i="7"/>
  <c r="AO154" i="7"/>
  <c r="AI154" i="7"/>
  <c r="AC154" i="7"/>
  <c r="W154" i="7"/>
  <c r="Q154" i="7"/>
  <c r="AM154" i="15" s="1"/>
  <c r="K154" i="7"/>
  <c r="BA153" i="7"/>
  <c r="AU153" i="7"/>
  <c r="AO153" i="7"/>
  <c r="AI153" i="7"/>
  <c r="AC153" i="7"/>
  <c r="W153" i="7"/>
  <c r="Q153" i="7"/>
  <c r="AM153" i="15" s="1"/>
  <c r="K153" i="7"/>
  <c r="BA152" i="7"/>
  <c r="AU152" i="7"/>
  <c r="AO152" i="7"/>
  <c r="AI152" i="7"/>
  <c r="AC152" i="7"/>
  <c r="W152" i="7"/>
  <c r="Q152" i="7"/>
  <c r="AM152" i="15" s="1"/>
  <c r="K152" i="7"/>
  <c r="BA151" i="7"/>
  <c r="AU151" i="7"/>
  <c r="AO151" i="7"/>
  <c r="AI151" i="7"/>
  <c r="AC151" i="7"/>
  <c r="W151" i="7"/>
  <c r="Q151" i="7"/>
  <c r="AM151" i="15" s="1"/>
  <c r="K151" i="7"/>
  <c r="BA150" i="7"/>
  <c r="AU150" i="7"/>
  <c r="AO150" i="7"/>
  <c r="AI150" i="7"/>
  <c r="AC150" i="7"/>
  <c r="W150" i="7"/>
  <c r="Q150" i="7"/>
  <c r="AM150" i="15" s="1"/>
  <c r="K150" i="7"/>
  <c r="BA149" i="7"/>
  <c r="AU149" i="7"/>
  <c r="AO149" i="7"/>
  <c r="AI149" i="7"/>
  <c r="AC149" i="7"/>
  <c r="W149" i="7"/>
  <c r="Q149" i="7"/>
  <c r="AM149" i="15" s="1"/>
  <c r="K149" i="7"/>
  <c r="BA148" i="7"/>
  <c r="AU148" i="7"/>
  <c r="AO148" i="7"/>
  <c r="AI148" i="7"/>
  <c r="AC148" i="7"/>
  <c r="W148" i="7"/>
  <c r="Q148" i="7"/>
  <c r="AM148" i="15" s="1"/>
  <c r="K148" i="7"/>
  <c r="BA147" i="7"/>
  <c r="AU147" i="7"/>
  <c r="AO147" i="7"/>
  <c r="AI147" i="7"/>
  <c r="AC147" i="7"/>
  <c r="W147" i="7"/>
  <c r="Q147" i="7"/>
  <c r="K147" i="7"/>
  <c r="BA146" i="7"/>
  <c r="AU146" i="7"/>
  <c r="AO146" i="7"/>
  <c r="AI146" i="7"/>
  <c r="AC146" i="7"/>
  <c r="W146" i="7"/>
  <c r="Q146" i="7"/>
  <c r="AM146" i="15" s="1"/>
  <c r="K146" i="7"/>
  <c r="BA145" i="7"/>
  <c r="AU145" i="7"/>
  <c r="AO145" i="7"/>
  <c r="AI145" i="7"/>
  <c r="AC145" i="7"/>
  <c r="W145" i="7"/>
  <c r="Q145" i="7"/>
  <c r="AM145" i="15" s="1"/>
  <c r="K145" i="7"/>
  <c r="BA144" i="7"/>
  <c r="AU144" i="7"/>
  <c r="AO144" i="7"/>
  <c r="AI144" i="7"/>
  <c r="AC144" i="7"/>
  <c r="W144" i="7"/>
  <c r="Q144" i="7"/>
  <c r="AM144" i="15" s="1"/>
  <c r="K144" i="7"/>
  <c r="BA143" i="7"/>
  <c r="AU143" i="7"/>
  <c r="AO143" i="7"/>
  <c r="AI143" i="7"/>
  <c r="AC143" i="7"/>
  <c r="W143" i="7"/>
  <c r="Q143" i="7"/>
  <c r="AM143" i="15" s="1"/>
  <c r="K143" i="7"/>
  <c r="BA142" i="7"/>
  <c r="AU142" i="7"/>
  <c r="AO142" i="7"/>
  <c r="AI142" i="7"/>
  <c r="AC142" i="7"/>
  <c r="W142" i="7"/>
  <c r="Q142" i="7"/>
  <c r="AM142" i="15" s="1"/>
  <c r="K142" i="7"/>
  <c r="BA141" i="7"/>
  <c r="AU141" i="7"/>
  <c r="AO141" i="7"/>
  <c r="AI141" i="7"/>
  <c r="AC141" i="7"/>
  <c r="W141" i="7"/>
  <c r="Q141" i="7"/>
  <c r="AM141" i="15" s="1"/>
  <c r="K141" i="7"/>
  <c r="BA140" i="7"/>
  <c r="AU140" i="7"/>
  <c r="AO140" i="7"/>
  <c r="AI140" i="7"/>
  <c r="AC140" i="7"/>
  <c r="W140" i="7"/>
  <c r="Q140" i="7"/>
  <c r="AM140" i="15" s="1"/>
  <c r="K140" i="7"/>
  <c r="BA139" i="7"/>
  <c r="AU139" i="7"/>
  <c r="AO139" i="7"/>
  <c r="AI139" i="7"/>
  <c r="AC139" i="7"/>
  <c r="W139" i="7"/>
  <c r="Q139" i="7"/>
  <c r="AM139" i="15" s="1"/>
  <c r="K139" i="7"/>
  <c r="BA138" i="7"/>
  <c r="AU138" i="7"/>
  <c r="AO138" i="7"/>
  <c r="AI138" i="7"/>
  <c r="AC138" i="7"/>
  <c r="W138" i="7"/>
  <c r="Q138" i="7"/>
  <c r="K138" i="7"/>
  <c r="BA137" i="7"/>
  <c r="AU137" i="7"/>
  <c r="AO137" i="7"/>
  <c r="AI137" i="7"/>
  <c r="AC137" i="7"/>
  <c r="W137" i="7"/>
  <c r="Q137" i="7"/>
  <c r="AM137" i="15" s="1"/>
  <c r="K137" i="7"/>
  <c r="BA136" i="7"/>
  <c r="AU136" i="7"/>
  <c r="AO136" i="7"/>
  <c r="AI136" i="7"/>
  <c r="AC136" i="7"/>
  <c r="W136" i="7"/>
  <c r="Q136" i="7"/>
  <c r="K136" i="7"/>
  <c r="BA135" i="7"/>
  <c r="AU135" i="7"/>
  <c r="AO135" i="7"/>
  <c r="AI135" i="7"/>
  <c r="AC135" i="7"/>
  <c r="W135" i="7"/>
  <c r="Q135" i="7"/>
  <c r="AM135" i="15" s="1"/>
  <c r="K135" i="7"/>
  <c r="BA134" i="7"/>
  <c r="AU134" i="7"/>
  <c r="AO134" i="7"/>
  <c r="AI134" i="7"/>
  <c r="AC134" i="7"/>
  <c r="W134" i="7"/>
  <c r="Q134" i="7"/>
  <c r="AM134" i="15" s="1"/>
  <c r="K134" i="7"/>
  <c r="BA133" i="7"/>
  <c r="AU133" i="7"/>
  <c r="AO133" i="7"/>
  <c r="AI133" i="7"/>
  <c r="AC133" i="7"/>
  <c r="W133" i="7"/>
  <c r="Q133" i="7"/>
  <c r="AM133" i="15" s="1"/>
  <c r="K133" i="7"/>
  <c r="BA132" i="7"/>
  <c r="AU132" i="7"/>
  <c r="AO132" i="7"/>
  <c r="AI132" i="7"/>
  <c r="AC132" i="7"/>
  <c r="W132" i="7"/>
  <c r="Q132" i="7"/>
  <c r="AM132" i="15" s="1"/>
  <c r="K132" i="7"/>
  <c r="BA131" i="7"/>
  <c r="AU131" i="7"/>
  <c r="AO131" i="7"/>
  <c r="AI131" i="7"/>
  <c r="AC131" i="7"/>
  <c r="W131" i="7"/>
  <c r="Q131" i="7"/>
  <c r="AM131" i="15" s="1"/>
  <c r="K131" i="7"/>
  <c r="BA130" i="7"/>
  <c r="AU130" i="7"/>
  <c r="AO130" i="7"/>
  <c r="AI130" i="7"/>
  <c r="AC130" i="7"/>
  <c r="W130" i="7"/>
  <c r="Q130" i="7"/>
  <c r="AM130" i="15" s="1"/>
  <c r="K130" i="7"/>
  <c r="BA129" i="7"/>
  <c r="AU129" i="7"/>
  <c r="AO129" i="7"/>
  <c r="AI129" i="7"/>
  <c r="AC129" i="7"/>
  <c r="W129" i="7"/>
  <c r="Q129" i="7"/>
  <c r="K129" i="7"/>
  <c r="BA128" i="7"/>
  <c r="AU128" i="7"/>
  <c r="AO128" i="7"/>
  <c r="AI128" i="7"/>
  <c r="AC128" i="7"/>
  <c r="W128" i="7"/>
  <c r="Q128" i="7"/>
  <c r="AM128" i="15" s="1"/>
  <c r="K128" i="7"/>
  <c r="BA127" i="7"/>
  <c r="AU127" i="7"/>
  <c r="AO127" i="7"/>
  <c r="AI127" i="7"/>
  <c r="AC127" i="7"/>
  <c r="W127" i="7"/>
  <c r="Q127" i="7"/>
  <c r="AM127" i="15" s="1"/>
  <c r="K127" i="7"/>
  <c r="BA126" i="7"/>
  <c r="AU126" i="7"/>
  <c r="AO126" i="7"/>
  <c r="AI126" i="7"/>
  <c r="AC126" i="7"/>
  <c r="W126" i="7"/>
  <c r="Q126" i="7"/>
  <c r="AM126" i="15" s="1"/>
  <c r="K126" i="7"/>
  <c r="BA125" i="7"/>
  <c r="AU125" i="7"/>
  <c r="AO125" i="7"/>
  <c r="AI125" i="7"/>
  <c r="AC125" i="7"/>
  <c r="W125" i="7"/>
  <c r="Q125" i="7"/>
  <c r="AM125" i="15" s="1"/>
  <c r="K125" i="7"/>
  <c r="BA124" i="7"/>
  <c r="AU124" i="7"/>
  <c r="AO124" i="7"/>
  <c r="AI124" i="7"/>
  <c r="AC124" i="7"/>
  <c r="W124" i="7"/>
  <c r="Q124" i="7"/>
  <c r="AM124" i="15" s="1"/>
  <c r="K124" i="7"/>
  <c r="BA123" i="7"/>
  <c r="AU123" i="7"/>
  <c r="AO123" i="7"/>
  <c r="AI123" i="7"/>
  <c r="AC123" i="7"/>
  <c r="W123" i="7"/>
  <c r="Q123" i="7"/>
  <c r="AM123" i="15" s="1"/>
  <c r="K123" i="7"/>
  <c r="BA122" i="7"/>
  <c r="AU122" i="7"/>
  <c r="AO122" i="7"/>
  <c r="AI122" i="7"/>
  <c r="AC122" i="7"/>
  <c r="W122" i="7"/>
  <c r="Q122" i="7"/>
  <c r="AM122" i="15" s="1"/>
  <c r="K122" i="7"/>
  <c r="BA121" i="7"/>
  <c r="AU121" i="7"/>
  <c r="AO121" i="7"/>
  <c r="AI121" i="7"/>
  <c r="AC121" i="7"/>
  <c r="W121" i="7"/>
  <c r="Q121" i="7"/>
  <c r="AM121" i="15" s="1"/>
  <c r="K121" i="7"/>
  <c r="BA120" i="7"/>
  <c r="AU120" i="7"/>
  <c r="AO120" i="7"/>
  <c r="AI120" i="7"/>
  <c r="AC120" i="7"/>
  <c r="W120" i="7"/>
  <c r="Q120" i="7"/>
  <c r="K120" i="7"/>
  <c r="BA119" i="7"/>
  <c r="AU119" i="7"/>
  <c r="AO119" i="7"/>
  <c r="AI119" i="7"/>
  <c r="AC119" i="7"/>
  <c r="W119" i="7"/>
  <c r="Q119" i="7"/>
  <c r="AM119" i="15" s="1"/>
  <c r="K119" i="7"/>
  <c r="BA118" i="7"/>
  <c r="AU118" i="7"/>
  <c r="AO118" i="7"/>
  <c r="AI118" i="7"/>
  <c r="AC118" i="7"/>
  <c r="W118" i="7"/>
  <c r="Q118" i="7"/>
  <c r="AM118" i="15" s="1"/>
  <c r="K118" i="7"/>
  <c r="BA117" i="7"/>
  <c r="AU117" i="7"/>
  <c r="AO117" i="7"/>
  <c r="AI117" i="7"/>
  <c r="AC117" i="7"/>
  <c r="W117" i="7"/>
  <c r="Q117" i="7"/>
  <c r="AM117" i="15" s="1"/>
  <c r="K117" i="7"/>
  <c r="BA116" i="7"/>
  <c r="AU116" i="7"/>
  <c r="AO116" i="7"/>
  <c r="AI116" i="7"/>
  <c r="AC116" i="7"/>
  <c r="W116" i="7"/>
  <c r="Q116" i="7"/>
  <c r="AM116" i="15" s="1"/>
  <c r="K116" i="7"/>
  <c r="BA115" i="7"/>
  <c r="AU115" i="7"/>
  <c r="AO115" i="7"/>
  <c r="AI115" i="7"/>
  <c r="AC115" i="7"/>
  <c r="W115" i="7"/>
  <c r="Q115" i="7"/>
  <c r="AM115" i="15" s="1"/>
  <c r="K115" i="7"/>
  <c r="BA114" i="7"/>
  <c r="AU114" i="7"/>
  <c r="AO114" i="7"/>
  <c r="AI114" i="7"/>
  <c r="AC114" i="7"/>
  <c r="W114" i="7"/>
  <c r="Q114" i="7"/>
  <c r="AM114" i="15" s="1"/>
  <c r="K114" i="7"/>
  <c r="BA113" i="7"/>
  <c r="AU113" i="7"/>
  <c r="AO113" i="7"/>
  <c r="AI113" i="7"/>
  <c r="AC113" i="7"/>
  <c r="W113" i="7"/>
  <c r="Q113" i="7"/>
  <c r="AM113" i="15" s="1"/>
  <c r="K113" i="7"/>
  <c r="BA112" i="7"/>
  <c r="AU112" i="7"/>
  <c r="AO112" i="7"/>
  <c r="AI112" i="7"/>
  <c r="AC112" i="7"/>
  <c r="W112" i="7"/>
  <c r="Q112" i="7"/>
  <c r="AM112" i="15" s="1"/>
  <c r="K112" i="7"/>
  <c r="BA111" i="7"/>
  <c r="AU111" i="7"/>
  <c r="AO111" i="7"/>
  <c r="AI111" i="7"/>
  <c r="AC111" i="7"/>
  <c r="W111" i="7"/>
  <c r="Q111" i="7"/>
  <c r="AM111" i="15" s="1"/>
  <c r="K111" i="7"/>
  <c r="BA110" i="7"/>
  <c r="AU110" i="7"/>
  <c r="AO110" i="7"/>
  <c r="AI110" i="7"/>
  <c r="AC110" i="7"/>
  <c r="W110" i="7"/>
  <c r="Q110" i="7"/>
  <c r="K110" i="7"/>
  <c r="BA109" i="7"/>
  <c r="AU109" i="7"/>
  <c r="AO109" i="7"/>
  <c r="AI109" i="7"/>
  <c r="AC109" i="7"/>
  <c r="W109" i="7"/>
  <c r="Q109" i="7"/>
  <c r="AM109" i="15" s="1"/>
  <c r="K109" i="7"/>
  <c r="BA108" i="7"/>
  <c r="AU108" i="7"/>
  <c r="AO108" i="7"/>
  <c r="AI108" i="7"/>
  <c r="AC108" i="7"/>
  <c r="W108" i="7"/>
  <c r="Q108" i="7"/>
  <c r="AM108" i="15" s="1"/>
  <c r="K108" i="7"/>
  <c r="BA107" i="7"/>
  <c r="AU107" i="7"/>
  <c r="AO107" i="7"/>
  <c r="AI107" i="7"/>
  <c r="AC107" i="7"/>
  <c r="W107" i="7"/>
  <c r="Q107" i="7"/>
  <c r="AM107" i="15" s="1"/>
  <c r="K107" i="7"/>
  <c r="BA106" i="7"/>
  <c r="AU106" i="7"/>
  <c r="AO106" i="7"/>
  <c r="AI106" i="7"/>
  <c r="AC106" i="7"/>
  <c r="W106" i="7"/>
  <c r="Q106" i="7"/>
  <c r="AM106" i="15" s="1"/>
  <c r="K106" i="7"/>
  <c r="BA105" i="7"/>
  <c r="AU105" i="7"/>
  <c r="AO105" i="7"/>
  <c r="AI105" i="7"/>
  <c r="AC105" i="7"/>
  <c r="W105" i="7"/>
  <c r="Q105" i="7"/>
  <c r="AM105" i="15" s="1"/>
  <c r="K105" i="7"/>
  <c r="BA104" i="7"/>
  <c r="AU104" i="7"/>
  <c r="AO104" i="7"/>
  <c r="AI104" i="7"/>
  <c r="AC104" i="7"/>
  <c r="W104" i="7"/>
  <c r="Q104" i="7"/>
  <c r="AM104" i="15" s="1"/>
  <c r="K104" i="7"/>
  <c r="BA103" i="7"/>
  <c r="AU103" i="7"/>
  <c r="AO103" i="7"/>
  <c r="AI103" i="7"/>
  <c r="AC103" i="7"/>
  <c r="W103" i="7"/>
  <c r="Q103" i="7"/>
  <c r="AM103" i="15" s="1"/>
  <c r="K103" i="7"/>
  <c r="BA102" i="7"/>
  <c r="AU102" i="7"/>
  <c r="AO102" i="7"/>
  <c r="AI102" i="7"/>
  <c r="AC102" i="7"/>
  <c r="W102" i="7"/>
  <c r="Q102" i="7"/>
  <c r="AM102" i="15" s="1"/>
  <c r="K102" i="7"/>
  <c r="BA101" i="7"/>
  <c r="AU101" i="7"/>
  <c r="AO101" i="7"/>
  <c r="AI101" i="7"/>
  <c r="AC101" i="7"/>
  <c r="W101" i="7"/>
  <c r="Q101" i="7"/>
  <c r="K101" i="7"/>
  <c r="BA100" i="7"/>
  <c r="AU100" i="7"/>
  <c r="AO100" i="7"/>
  <c r="AI100" i="7"/>
  <c r="AC100" i="7"/>
  <c r="W100" i="7"/>
  <c r="Q100" i="7"/>
  <c r="AM100" i="15" s="1"/>
  <c r="K100" i="7"/>
  <c r="BA99" i="7"/>
  <c r="AU99" i="7"/>
  <c r="AO99" i="7"/>
  <c r="AI99" i="7"/>
  <c r="AC99" i="7"/>
  <c r="W99" i="7"/>
  <c r="Q99" i="7"/>
  <c r="AM99" i="15" s="1"/>
  <c r="K99" i="7"/>
  <c r="BA98" i="7"/>
  <c r="AU98" i="7"/>
  <c r="AO98" i="7"/>
  <c r="AI98" i="7"/>
  <c r="AC98" i="7"/>
  <c r="W98" i="7"/>
  <c r="Q98" i="7"/>
  <c r="AM98" i="15" s="1"/>
  <c r="K98" i="7"/>
  <c r="BA97" i="7"/>
  <c r="AU97" i="7"/>
  <c r="AO97" i="7"/>
  <c r="AI97" i="7"/>
  <c r="AC97" i="7"/>
  <c r="W97" i="7"/>
  <c r="Q97" i="7"/>
  <c r="AM97" i="15" s="1"/>
  <c r="K97" i="7"/>
  <c r="BA96" i="7"/>
  <c r="AU96" i="7"/>
  <c r="AO96" i="7"/>
  <c r="AI96" i="7"/>
  <c r="AC96" i="7"/>
  <c r="W96" i="7"/>
  <c r="Q96" i="7"/>
  <c r="AM96" i="15" s="1"/>
  <c r="K96" i="7"/>
  <c r="BA95" i="7"/>
  <c r="AU95" i="7"/>
  <c r="AO95" i="7"/>
  <c r="AI95" i="7"/>
  <c r="AC95" i="7"/>
  <c r="W95" i="7"/>
  <c r="Q95" i="7"/>
  <c r="AM95" i="15" s="1"/>
  <c r="K95" i="7"/>
  <c r="BA94" i="7"/>
  <c r="AU94" i="7"/>
  <c r="AO94" i="7"/>
  <c r="AI94" i="7"/>
  <c r="AC94" i="7"/>
  <c r="W94" i="7"/>
  <c r="Q94" i="7"/>
  <c r="AM94" i="15" s="1"/>
  <c r="K94" i="7"/>
  <c r="BA93" i="7"/>
  <c r="AU93" i="7"/>
  <c r="AO93" i="7"/>
  <c r="AI93" i="7"/>
  <c r="AC93" i="7"/>
  <c r="W93" i="7"/>
  <c r="Q93" i="7"/>
  <c r="AM93" i="15" s="1"/>
  <c r="K93" i="7"/>
  <c r="BA92" i="7"/>
  <c r="AU92" i="7"/>
  <c r="AO92" i="7"/>
  <c r="AI92" i="7"/>
  <c r="AC92" i="7"/>
  <c r="W92" i="7"/>
  <c r="Q92" i="7"/>
  <c r="K92" i="7"/>
  <c r="BA91" i="7"/>
  <c r="AU91" i="7"/>
  <c r="AO91" i="7"/>
  <c r="AI91" i="7"/>
  <c r="AC91" i="7"/>
  <c r="W91" i="7"/>
  <c r="Q91" i="7"/>
  <c r="AM91" i="15" s="1"/>
  <c r="K91" i="7"/>
  <c r="BA90" i="7"/>
  <c r="AU90" i="7"/>
  <c r="AO90" i="7"/>
  <c r="AI90" i="7"/>
  <c r="AC90" i="7"/>
  <c r="W90" i="7"/>
  <c r="Q90" i="7"/>
  <c r="AM90" i="15" s="1"/>
  <c r="K90" i="7"/>
  <c r="BA89" i="7"/>
  <c r="AU89" i="7"/>
  <c r="AO89" i="7"/>
  <c r="AI89" i="7"/>
  <c r="AC89" i="7"/>
  <c r="W89" i="7"/>
  <c r="Q89" i="7"/>
  <c r="AM89" i="15" s="1"/>
  <c r="K89" i="7"/>
  <c r="BA88" i="7"/>
  <c r="AU88" i="7"/>
  <c r="AO88" i="7"/>
  <c r="AI88" i="7"/>
  <c r="AC88" i="7"/>
  <c r="W88" i="7"/>
  <c r="Q88" i="7"/>
  <c r="AM88" i="15" s="1"/>
  <c r="K88" i="7"/>
  <c r="BA87" i="7"/>
  <c r="AU87" i="7"/>
  <c r="AO87" i="7"/>
  <c r="AI87" i="7"/>
  <c r="AC87" i="7"/>
  <c r="W87" i="7"/>
  <c r="Q87" i="7"/>
  <c r="AM87" i="15" s="1"/>
  <c r="K87" i="7"/>
  <c r="BA86" i="7"/>
  <c r="AU86" i="7"/>
  <c r="AO86" i="7"/>
  <c r="AI86" i="7"/>
  <c r="AC86" i="7"/>
  <c r="W86" i="7"/>
  <c r="Q86" i="7"/>
  <c r="AM86" i="15" s="1"/>
  <c r="K86" i="7"/>
  <c r="BA85" i="7"/>
  <c r="AU85" i="7"/>
  <c r="AO85" i="7"/>
  <c r="AI85" i="7"/>
  <c r="AC85" i="7"/>
  <c r="W85" i="7"/>
  <c r="Q85" i="7"/>
  <c r="AM85" i="15" s="1"/>
  <c r="K85" i="7"/>
  <c r="BA84" i="7"/>
  <c r="AU84" i="7"/>
  <c r="AO84" i="7"/>
  <c r="AI84" i="7"/>
  <c r="AC84" i="7"/>
  <c r="W84" i="7"/>
  <c r="Q84" i="7"/>
  <c r="AM84" i="15" s="1"/>
  <c r="K84" i="7"/>
  <c r="BA83" i="7"/>
  <c r="AU83" i="7"/>
  <c r="AO83" i="7"/>
  <c r="AI83" i="7"/>
  <c r="AC83" i="7"/>
  <c r="W83" i="7"/>
  <c r="Q83" i="7"/>
  <c r="K83" i="7"/>
  <c r="BA82" i="7"/>
  <c r="AU82" i="7"/>
  <c r="AO82" i="7"/>
  <c r="AI82" i="7"/>
  <c r="AC82" i="7"/>
  <c r="W82" i="7"/>
  <c r="Q82" i="7"/>
  <c r="AM82" i="15" s="1"/>
  <c r="K82" i="7"/>
  <c r="BA81" i="7"/>
  <c r="AU81" i="7"/>
  <c r="AO81" i="7"/>
  <c r="AI81" i="7"/>
  <c r="AC81" i="7"/>
  <c r="W81" i="7"/>
  <c r="Q81" i="7"/>
  <c r="AM81" i="15" s="1"/>
  <c r="K81" i="7"/>
  <c r="BA80" i="7"/>
  <c r="AU80" i="7"/>
  <c r="AO80" i="7"/>
  <c r="AI80" i="7"/>
  <c r="AC80" i="7"/>
  <c r="W80" i="7"/>
  <c r="Q80" i="7"/>
  <c r="AM80" i="15" s="1"/>
  <c r="K80" i="7"/>
  <c r="BA79" i="7"/>
  <c r="AU79" i="7"/>
  <c r="AO79" i="7"/>
  <c r="AI79" i="7"/>
  <c r="AC79" i="7"/>
  <c r="W79" i="7"/>
  <c r="Q79" i="7"/>
  <c r="AM79" i="15" s="1"/>
  <c r="K79" i="7"/>
  <c r="BA78" i="7"/>
  <c r="AU78" i="7"/>
  <c r="AO78" i="7"/>
  <c r="AI78" i="7"/>
  <c r="AC78" i="7"/>
  <c r="W78" i="7"/>
  <c r="Q78" i="7"/>
  <c r="AM78" i="15" s="1"/>
  <c r="K78" i="7"/>
  <c r="BA77" i="7"/>
  <c r="AU77" i="7"/>
  <c r="AO77" i="7"/>
  <c r="AI77" i="7"/>
  <c r="AC77" i="7"/>
  <c r="W77" i="7"/>
  <c r="Q77" i="7"/>
  <c r="AM77" i="15" s="1"/>
  <c r="K77" i="7"/>
  <c r="BA76" i="7"/>
  <c r="AU76" i="7"/>
  <c r="AO76" i="7"/>
  <c r="AI76" i="7"/>
  <c r="AC76" i="7"/>
  <c r="W76" i="7"/>
  <c r="Q76" i="7"/>
  <c r="AM76" i="15" s="1"/>
  <c r="K76" i="7"/>
  <c r="BA75" i="7"/>
  <c r="AU75" i="7"/>
  <c r="AO75" i="7"/>
  <c r="AI75" i="7"/>
  <c r="AC75" i="7"/>
  <c r="W75" i="7"/>
  <c r="Q75" i="7"/>
  <c r="AM75" i="15" s="1"/>
  <c r="K75" i="7"/>
  <c r="BA74" i="7"/>
  <c r="AU74" i="7"/>
  <c r="AO74" i="7"/>
  <c r="AI74" i="7"/>
  <c r="AC74" i="7"/>
  <c r="W74" i="7"/>
  <c r="Q74" i="7"/>
  <c r="K74" i="7"/>
  <c r="BA73" i="7"/>
  <c r="AU73" i="7"/>
  <c r="AO73" i="7"/>
  <c r="AI73" i="7"/>
  <c r="AC73" i="7"/>
  <c r="W73" i="7"/>
  <c r="Q73" i="7"/>
  <c r="AM73" i="15" s="1"/>
  <c r="K73" i="7"/>
  <c r="BA72" i="7"/>
  <c r="AU72" i="7"/>
  <c r="AO72" i="7"/>
  <c r="AI72" i="7"/>
  <c r="AC72" i="7"/>
  <c r="W72" i="7"/>
  <c r="Q72" i="7"/>
  <c r="AM72" i="15" s="1"/>
  <c r="K72" i="7"/>
  <c r="BA71" i="7"/>
  <c r="AU71" i="7"/>
  <c r="AO71" i="7"/>
  <c r="AI71" i="7"/>
  <c r="AC71" i="7"/>
  <c r="W71" i="7"/>
  <c r="Q71" i="7"/>
  <c r="AM71" i="15" s="1"/>
  <c r="K71" i="7"/>
  <c r="BA70" i="7"/>
  <c r="AU70" i="7"/>
  <c r="AO70" i="7"/>
  <c r="AI70" i="7"/>
  <c r="AC70" i="7"/>
  <c r="W70" i="7"/>
  <c r="Q70" i="7"/>
  <c r="AM70" i="15" s="1"/>
  <c r="K70" i="7"/>
  <c r="BA69" i="7"/>
  <c r="AU69" i="7"/>
  <c r="AO69" i="7"/>
  <c r="AI69" i="7"/>
  <c r="AC69" i="7"/>
  <c r="W69" i="7"/>
  <c r="Q69" i="7"/>
  <c r="AM69" i="15" s="1"/>
  <c r="K69" i="7"/>
  <c r="BA68" i="7"/>
  <c r="AU68" i="7"/>
  <c r="AO68" i="7"/>
  <c r="AI68" i="7"/>
  <c r="AC68" i="7"/>
  <c r="W68" i="7"/>
  <c r="Q68" i="7"/>
  <c r="AM68" i="15" s="1"/>
  <c r="K68" i="7"/>
  <c r="BA67" i="7"/>
  <c r="AU67" i="7"/>
  <c r="AO67" i="7"/>
  <c r="AI67" i="7"/>
  <c r="AC67" i="7"/>
  <c r="W67" i="7"/>
  <c r="Q67" i="7"/>
  <c r="AM67" i="15" s="1"/>
  <c r="K67" i="7"/>
  <c r="BA66" i="7"/>
  <c r="AU66" i="7"/>
  <c r="AO66" i="7"/>
  <c r="AI66" i="7"/>
  <c r="AC66" i="7"/>
  <c r="W66" i="7"/>
  <c r="Q66" i="7"/>
  <c r="AM66" i="15" s="1"/>
  <c r="K66" i="7"/>
  <c r="BA65" i="7"/>
  <c r="AU65" i="7"/>
  <c r="AO65" i="7"/>
  <c r="AI65" i="7"/>
  <c r="AC65" i="7"/>
  <c r="W65" i="7"/>
  <c r="Q65" i="7"/>
  <c r="K65" i="7"/>
  <c r="BA64" i="7"/>
  <c r="AU64" i="7"/>
  <c r="AO64" i="7"/>
  <c r="AI64" i="7"/>
  <c r="AC64" i="7"/>
  <c r="W64" i="7"/>
  <c r="Q64" i="7"/>
  <c r="AM64" i="15" s="1"/>
  <c r="K64" i="7"/>
  <c r="BA63" i="7"/>
  <c r="AU63" i="7"/>
  <c r="AO63" i="7"/>
  <c r="AI63" i="7"/>
  <c r="AC63" i="7"/>
  <c r="W63" i="7"/>
  <c r="Q63" i="7"/>
  <c r="K63" i="7"/>
  <c r="BA62" i="7"/>
  <c r="AU62" i="7"/>
  <c r="AO62" i="7"/>
  <c r="AI62" i="7"/>
  <c r="AC62" i="7"/>
  <c r="W62" i="7"/>
  <c r="Q62" i="7"/>
  <c r="AM62" i="15" s="1"/>
  <c r="K62" i="7"/>
  <c r="BA61" i="7"/>
  <c r="AU61" i="7"/>
  <c r="AO61" i="7"/>
  <c r="AI61" i="7"/>
  <c r="AC61" i="7"/>
  <c r="W61" i="7"/>
  <c r="Q61" i="7"/>
  <c r="AM61" i="15" s="1"/>
  <c r="K61" i="7"/>
  <c r="BA60" i="7"/>
  <c r="AU60" i="7"/>
  <c r="AO60" i="7"/>
  <c r="AI60" i="7"/>
  <c r="AC60" i="7"/>
  <c r="W60" i="7"/>
  <c r="Q60" i="7"/>
  <c r="AM60" i="15" s="1"/>
  <c r="K60" i="7"/>
  <c r="BA59" i="7"/>
  <c r="AU59" i="7"/>
  <c r="AO59" i="7"/>
  <c r="AI59" i="7"/>
  <c r="AC59" i="7"/>
  <c r="W59" i="7"/>
  <c r="Q59" i="7"/>
  <c r="AM59" i="15" s="1"/>
  <c r="K59" i="7"/>
  <c r="BA58" i="7"/>
  <c r="AU58" i="7"/>
  <c r="AO58" i="7"/>
  <c r="AI58" i="7"/>
  <c r="AC58" i="7"/>
  <c r="W58" i="7"/>
  <c r="Q58" i="7"/>
  <c r="AM58" i="15" s="1"/>
  <c r="K58" i="7"/>
  <c r="BA57" i="7"/>
  <c r="AU57" i="7"/>
  <c r="AO57" i="7"/>
  <c r="AI57" i="7"/>
  <c r="AC57" i="7"/>
  <c r="W57" i="7"/>
  <c r="Q57" i="7"/>
  <c r="AM57" i="15" s="1"/>
  <c r="K57" i="7"/>
  <c r="BA56" i="7"/>
  <c r="AU56" i="7"/>
  <c r="AO56" i="7"/>
  <c r="AI56" i="7"/>
  <c r="AC56" i="7"/>
  <c r="W56" i="7"/>
  <c r="Q56" i="7"/>
  <c r="K56" i="7"/>
  <c r="BA55" i="7"/>
  <c r="AU55" i="7"/>
  <c r="AO55" i="7"/>
  <c r="AI55" i="7"/>
  <c r="AC55" i="7"/>
  <c r="W55" i="7"/>
  <c r="Q55" i="7"/>
  <c r="AM55" i="15" s="1"/>
  <c r="K55" i="7"/>
  <c r="BA54" i="7"/>
  <c r="AU54" i="7"/>
  <c r="AO54" i="7"/>
  <c r="AI54" i="7"/>
  <c r="AC54" i="7"/>
  <c r="W54" i="7"/>
  <c r="Q54" i="7"/>
  <c r="AM54" i="15" s="1"/>
  <c r="K54" i="7"/>
  <c r="BA53" i="7"/>
  <c r="AU53" i="7"/>
  <c r="AO53" i="7"/>
  <c r="AI53" i="7"/>
  <c r="AC53" i="7"/>
  <c r="W53" i="7"/>
  <c r="Q53" i="7"/>
  <c r="AM53" i="15" s="1"/>
  <c r="K53" i="7"/>
  <c r="BA52" i="7"/>
  <c r="AU52" i="7"/>
  <c r="AO52" i="7"/>
  <c r="AI52" i="7"/>
  <c r="AC52" i="7"/>
  <c r="W52" i="7"/>
  <c r="Q52" i="7"/>
  <c r="AM52" i="15" s="1"/>
  <c r="K52" i="7"/>
  <c r="BA51" i="7"/>
  <c r="AU51" i="7"/>
  <c r="AO51" i="7"/>
  <c r="AI51" i="7"/>
  <c r="AC51" i="7"/>
  <c r="W51" i="7"/>
  <c r="Q51" i="7"/>
  <c r="AM51" i="15" s="1"/>
  <c r="K51" i="7"/>
  <c r="BA50" i="7"/>
  <c r="AU50" i="7"/>
  <c r="AO50" i="7"/>
  <c r="AI50" i="7"/>
  <c r="AC50" i="7"/>
  <c r="W50" i="7"/>
  <c r="Q50" i="7"/>
  <c r="AM50" i="15" s="1"/>
  <c r="K50" i="7"/>
  <c r="BA49" i="7"/>
  <c r="AU49" i="7"/>
  <c r="AO49" i="7"/>
  <c r="AI49" i="7"/>
  <c r="AC49" i="7"/>
  <c r="W49" i="7"/>
  <c r="Q49" i="7"/>
  <c r="AM49" i="15" s="1"/>
  <c r="K49" i="7"/>
  <c r="BA48" i="7"/>
  <c r="AU48" i="7"/>
  <c r="AO48" i="7"/>
  <c r="AI48" i="7"/>
  <c r="AC48" i="7"/>
  <c r="W48" i="7"/>
  <c r="Q48" i="7"/>
  <c r="AM48" i="15" s="1"/>
  <c r="K48" i="7"/>
  <c r="BA47" i="7"/>
  <c r="AU47" i="7"/>
  <c r="AO47" i="7"/>
  <c r="AI47" i="7"/>
  <c r="AC47" i="7"/>
  <c r="W47" i="7"/>
  <c r="Q47" i="7"/>
  <c r="AM47" i="15" s="1"/>
  <c r="K47" i="7"/>
  <c r="BA46" i="7"/>
  <c r="AU46" i="7"/>
  <c r="AO46" i="7"/>
  <c r="AI46" i="7"/>
  <c r="AC46" i="7"/>
  <c r="W46" i="7"/>
  <c r="Q46" i="7"/>
  <c r="K46" i="7"/>
  <c r="BA45" i="7"/>
  <c r="AU45" i="7"/>
  <c r="AO45" i="7"/>
  <c r="AI45" i="7"/>
  <c r="AC45" i="7"/>
  <c r="W45" i="7"/>
  <c r="Q45" i="7"/>
  <c r="AM45" i="15" s="1"/>
  <c r="K45" i="7"/>
  <c r="BA44" i="7"/>
  <c r="AU44" i="7"/>
  <c r="AO44" i="7"/>
  <c r="AI44" i="7"/>
  <c r="AC44" i="7"/>
  <c r="W44" i="7"/>
  <c r="Q44" i="7"/>
  <c r="AM44" i="15" s="1"/>
  <c r="K44" i="7"/>
  <c r="BA43" i="7"/>
  <c r="AU43" i="7"/>
  <c r="AO43" i="7"/>
  <c r="AI43" i="7"/>
  <c r="AC43" i="7"/>
  <c r="W43" i="7"/>
  <c r="Q43" i="7"/>
  <c r="AM43" i="15" s="1"/>
  <c r="K43" i="7"/>
  <c r="BA42" i="7"/>
  <c r="AU42" i="7"/>
  <c r="AO42" i="7"/>
  <c r="AI42" i="7"/>
  <c r="AC42" i="7"/>
  <c r="W42" i="7"/>
  <c r="Q42" i="7"/>
  <c r="AM42" i="15" s="1"/>
  <c r="K42" i="7"/>
  <c r="BA41" i="7"/>
  <c r="AU41" i="7"/>
  <c r="AO41" i="7"/>
  <c r="AI41" i="7"/>
  <c r="AC41" i="7"/>
  <c r="W41" i="7"/>
  <c r="Q41" i="7"/>
  <c r="AM41" i="15" s="1"/>
  <c r="K41" i="7"/>
  <c r="BA40" i="7"/>
  <c r="AU40" i="7"/>
  <c r="AO40" i="7"/>
  <c r="AI40" i="7"/>
  <c r="AC40" i="7"/>
  <c r="W40" i="7"/>
  <c r="Q40" i="7"/>
  <c r="AM40" i="15" s="1"/>
  <c r="K40" i="7"/>
  <c r="BA39" i="7"/>
  <c r="AU39" i="7"/>
  <c r="AO39" i="7"/>
  <c r="AI39" i="7"/>
  <c r="AC39" i="7"/>
  <c r="W39" i="7"/>
  <c r="Q39" i="7"/>
  <c r="AM39" i="15" s="1"/>
  <c r="K39" i="7"/>
  <c r="BA38" i="7"/>
  <c r="AU38" i="7"/>
  <c r="AO38" i="7"/>
  <c r="AI38" i="7"/>
  <c r="AC38" i="7"/>
  <c r="W38" i="7"/>
  <c r="Q38" i="7"/>
  <c r="AM38" i="15" s="1"/>
  <c r="K38" i="7"/>
  <c r="BA37" i="7"/>
  <c r="AU37" i="7"/>
  <c r="AO37" i="7"/>
  <c r="AI37" i="7"/>
  <c r="AC37" i="7"/>
  <c r="W37" i="7"/>
  <c r="Q37" i="7"/>
  <c r="K37" i="7"/>
  <c r="BA36" i="7"/>
  <c r="AU36" i="7"/>
  <c r="AO36" i="7"/>
  <c r="AI36" i="7"/>
  <c r="AC36" i="7"/>
  <c r="W36" i="7"/>
  <c r="Q36" i="7"/>
  <c r="AM36" i="15" s="1"/>
  <c r="K36" i="7"/>
  <c r="BA35" i="7"/>
  <c r="AU35" i="7"/>
  <c r="AO35" i="7"/>
  <c r="AI35" i="7"/>
  <c r="AC35" i="7"/>
  <c r="W35" i="7"/>
  <c r="Q35" i="7"/>
  <c r="AM35" i="15" s="1"/>
  <c r="K35" i="7"/>
  <c r="BA34" i="7"/>
  <c r="AU34" i="7"/>
  <c r="AO34" i="7"/>
  <c r="AI34" i="7"/>
  <c r="AC34" i="7"/>
  <c r="W34" i="7"/>
  <c r="Q34" i="7"/>
  <c r="AM34" i="15" s="1"/>
  <c r="K34" i="7"/>
  <c r="BA33" i="7"/>
  <c r="AU33" i="7"/>
  <c r="AO33" i="7"/>
  <c r="AI33" i="7"/>
  <c r="AC33" i="7"/>
  <c r="W33" i="7"/>
  <c r="Q33" i="7"/>
  <c r="AM33" i="15" s="1"/>
  <c r="K33" i="7"/>
  <c r="BA32" i="7"/>
  <c r="AU32" i="7"/>
  <c r="AO32" i="7"/>
  <c r="AI32" i="7"/>
  <c r="AC32" i="7"/>
  <c r="W32" i="7"/>
  <c r="Q32" i="7"/>
  <c r="AM32" i="15" s="1"/>
  <c r="K32" i="7"/>
  <c r="BA31" i="7"/>
  <c r="AU31" i="7"/>
  <c r="AO31" i="7"/>
  <c r="AI31" i="7"/>
  <c r="AC31" i="7"/>
  <c r="W31" i="7"/>
  <c r="Q31" i="7"/>
  <c r="AM31" i="15" s="1"/>
  <c r="K31" i="7"/>
  <c r="BA30" i="7"/>
  <c r="AU30" i="7"/>
  <c r="AO30" i="7"/>
  <c r="AI30" i="7"/>
  <c r="AC30" i="7"/>
  <c r="W30" i="7"/>
  <c r="Q30" i="7"/>
  <c r="AM30" i="15" s="1"/>
  <c r="K30" i="7"/>
  <c r="BA29" i="7"/>
  <c r="AU29" i="7"/>
  <c r="AO29" i="7"/>
  <c r="AI29" i="7"/>
  <c r="AC29" i="7"/>
  <c r="W29" i="7"/>
  <c r="Q29" i="7"/>
  <c r="AM29" i="15" s="1"/>
  <c r="K29" i="7"/>
  <c r="BA28" i="7"/>
  <c r="AU28" i="7"/>
  <c r="AO28" i="7"/>
  <c r="AI28" i="7"/>
  <c r="AC28" i="7"/>
  <c r="W28" i="7"/>
  <c r="Q28" i="7"/>
  <c r="K28" i="7"/>
  <c r="BA27" i="7"/>
  <c r="AU27" i="7"/>
  <c r="AO27" i="7"/>
  <c r="AI27" i="7"/>
  <c r="AC27" i="7"/>
  <c r="W27" i="7"/>
  <c r="Q27" i="7"/>
  <c r="AM27" i="15" s="1"/>
  <c r="K27" i="7"/>
  <c r="BA26" i="7"/>
  <c r="AU26" i="7"/>
  <c r="AO26" i="7"/>
  <c r="AI26" i="7"/>
  <c r="AC26" i="7"/>
  <c r="W26" i="7"/>
  <c r="Q26" i="7"/>
  <c r="AM26" i="15" s="1"/>
  <c r="K26" i="7"/>
  <c r="BA25" i="7"/>
  <c r="AU25" i="7"/>
  <c r="AO25" i="7"/>
  <c r="AI25" i="7"/>
  <c r="AC25" i="7"/>
  <c r="W25" i="7"/>
  <c r="Q25" i="7"/>
  <c r="AM25" i="15" s="1"/>
  <c r="K25" i="7"/>
  <c r="BA24" i="7"/>
  <c r="AU24" i="7"/>
  <c r="AO24" i="7"/>
  <c r="AI24" i="7"/>
  <c r="AC24" i="7"/>
  <c r="W24" i="7"/>
  <c r="Q24" i="7"/>
  <c r="AM24" i="15" s="1"/>
  <c r="K24" i="7"/>
  <c r="BA23" i="7"/>
  <c r="AU23" i="7"/>
  <c r="AO23" i="7"/>
  <c r="AI23" i="7"/>
  <c r="AC23" i="7"/>
  <c r="W23" i="7"/>
  <c r="Q23" i="7"/>
  <c r="AM23" i="15" s="1"/>
  <c r="K23" i="7"/>
  <c r="BA22" i="7"/>
  <c r="AU22" i="7"/>
  <c r="AO22" i="7"/>
  <c r="AI22" i="7"/>
  <c r="AC22" i="7"/>
  <c r="W22" i="7"/>
  <c r="Q22" i="7"/>
  <c r="AM22" i="15" s="1"/>
  <c r="K22" i="7"/>
  <c r="BA21" i="7"/>
  <c r="AU21" i="7"/>
  <c r="AO21" i="7"/>
  <c r="AI21" i="7"/>
  <c r="AC21" i="7"/>
  <c r="W21" i="7"/>
  <c r="Q21" i="7"/>
  <c r="AM21" i="15" s="1"/>
  <c r="K21" i="7"/>
  <c r="BA20" i="7"/>
  <c r="AU20" i="7"/>
  <c r="AO20" i="7"/>
  <c r="AI20" i="7"/>
  <c r="AC20" i="7"/>
  <c r="W20" i="7"/>
  <c r="Q20" i="7"/>
  <c r="AM20" i="15" s="1"/>
  <c r="K20" i="7"/>
  <c r="BA19" i="7"/>
  <c r="AU19" i="7"/>
  <c r="AO19" i="7"/>
  <c r="AI19" i="7"/>
  <c r="AC19" i="7"/>
  <c r="W19" i="7"/>
  <c r="Q19" i="7"/>
  <c r="K19" i="7"/>
  <c r="BA18" i="7"/>
  <c r="AU18" i="7"/>
  <c r="AO18" i="7"/>
  <c r="AI18" i="7"/>
  <c r="AC18" i="7"/>
  <c r="W18" i="7"/>
  <c r="Q18" i="7"/>
  <c r="AM18" i="15" s="1"/>
  <c r="K18" i="7"/>
  <c r="BA17" i="7"/>
  <c r="AU17" i="7"/>
  <c r="AO17" i="7"/>
  <c r="AI17" i="7"/>
  <c r="AC17" i="7"/>
  <c r="W17" i="7"/>
  <c r="Q17" i="7"/>
  <c r="AM17" i="15" s="1"/>
  <c r="K17" i="7"/>
  <c r="BA16" i="7"/>
  <c r="AU16" i="7"/>
  <c r="AO16" i="7"/>
  <c r="AI16" i="7"/>
  <c r="AC16" i="7"/>
  <c r="W16" i="7"/>
  <c r="Q16" i="7"/>
  <c r="AM16" i="15" s="1"/>
  <c r="K16" i="7"/>
  <c r="BA15" i="7"/>
  <c r="AU15" i="7"/>
  <c r="AO15" i="7"/>
  <c r="AI15" i="7"/>
  <c r="AC15" i="7"/>
  <c r="W15" i="7"/>
  <c r="Q15" i="7"/>
  <c r="AM15" i="15" s="1"/>
  <c r="K15" i="7"/>
  <c r="BA14" i="7"/>
  <c r="AU14" i="7"/>
  <c r="AO14" i="7"/>
  <c r="AI14" i="7"/>
  <c r="AC14" i="7"/>
  <c r="W14" i="7"/>
  <c r="Q14" i="7"/>
  <c r="AM14" i="15" s="1"/>
  <c r="K14" i="7"/>
  <c r="BA13" i="7"/>
  <c r="AU13" i="7"/>
  <c r="AO13" i="7"/>
  <c r="AI13" i="7"/>
  <c r="AC13" i="7"/>
  <c r="W13" i="7"/>
  <c r="Q13" i="7"/>
  <c r="AM13" i="15" s="1"/>
  <c r="K13" i="7"/>
  <c r="BA12" i="7"/>
  <c r="AU12" i="7"/>
  <c r="AO12" i="7"/>
  <c r="AI12" i="7"/>
  <c r="AC12" i="7"/>
  <c r="W12" i="7"/>
  <c r="Q12" i="7"/>
  <c r="AM12" i="15" s="1"/>
  <c r="K12" i="7"/>
  <c r="BA11" i="7"/>
  <c r="AU11" i="7"/>
  <c r="AO11" i="7"/>
  <c r="AI11" i="7"/>
  <c r="AC11" i="7"/>
  <c r="W11" i="7"/>
  <c r="Q11" i="7"/>
  <c r="AM11" i="15" s="1"/>
  <c r="K11" i="7"/>
  <c r="BA10" i="7"/>
  <c r="AU10" i="7"/>
  <c r="AO10" i="7"/>
  <c r="AI10" i="7"/>
  <c r="AC10" i="7"/>
  <c r="W10" i="7"/>
  <c r="Q10" i="7"/>
  <c r="K10" i="7"/>
  <c r="BA9" i="7"/>
  <c r="AU9" i="7"/>
  <c r="AO9" i="7"/>
  <c r="AI9" i="7"/>
  <c r="AC9" i="7"/>
  <c r="W9" i="7"/>
  <c r="Q9" i="7"/>
  <c r="AM9" i="15" s="1"/>
  <c r="K9" i="7"/>
  <c r="BA8" i="7"/>
  <c r="AU8" i="7"/>
  <c r="AO8" i="7"/>
  <c r="AI8" i="7"/>
  <c r="AC8" i="7"/>
  <c r="W8" i="7"/>
  <c r="Q8" i="7"/>
  <c r="AM8" i="15" s="1"/>
  <c r="K8" i="7"/>
  <c r="BA7" i="7"/>
  <c r="AU7" i="7"/>
  <c r="AO7" i="7"/>
  <c r="AI7" i="7"/>
  <c r="AC7" i="7"/>
  <c r="W7" i="7"/>
  <c r="Q7" i="7"/>
  <c r="AM7" i="15" s="1"/>
  <c r="K7" i="7"/>
  <c r="BA6" i="7"/>
  <c r="AU6" i="7"/>
  <c r="AO6" i="7"/>
  <c r="AI6" i="7"/>
  <c r="AC6" i="7"/>
  <c r="W6" i="7"/>
  <c r="Q6" i="7"/>
  <c r="AM6" i="15" s="1"/>
  <c r="K6" i="7"/>
  <c r="BA5" i="7"/>
  <c r="AU5" i="7"/>
  <c r="AO5" i="7"/>
  <c r="AI5" i="7"/>
  <c r="AC5" i="7"/>
  <c r="W5" i="7"/>
  <c r="Q5" i="7"/>
  <c r="AM5" i="15" s="1"/>
  <c r="K5" i="7"/>
  <c r="BA4" i="7"/>
  <c r="AU4" i="7"/>
  <c r="AO4" i="7"/>
  <c r="AI4" i="7"/>
  <c r="AC4" i="7"/>
  <c r="W4" i="7"/>
  <c r="Q4" i="7"/>
  <c r="AM4" i="15" s="1"/>
  <c r="K4" i="7"/>
  <c r="BC3" i="7"/>
  <c r="BA3" i="7"/>
  <c r="AU3" i="7"/>
  <c r="AO3" i="7"/>
  <c r="AI3" i="7"/>
  <c r="AC3" i="7"/>
  <c r="W3" i="7"/>
  <c r="Q3" i="7"/>
  <c r="K3" i="7"/>
  <c r="Q4" i="11"/>
  <c r="Q5" i="11"/>
  <c r="Q6" i="11"/>
  <c r="Q8" i="11"/>
  <c r="Q9" i="11"/>
  <c r="Q12" i="11"/>
  <c r="Q13" i="11"/>
  <c r="Q14" i="11"/>
  <c r="Q16" i="11"/>
  <c r="Q17" i="11"/>
  <c r="Q20" i="11"/>
  <c r="Q21" i="11"/>
  <c r="Q22" i="11"/>
  <c r="Q23" i="11"/>
  <c r="Q24" i="11"/>
  <c r="Q25" i="11"/>
  <c r="Q28" i="11"/>
  <c r="Q29" i="11"/>
  <c r="Q30" i="11"/>
  <c r="Q32" i="11"/>
  <c r="Q33" i="11"/>
  <c r="Q36" i="11"/>
  <c r="Q37" i="11"/>
  <c r="Q38" i="11"/>
  <c r="Q40" i="11"/>
  <c r="Q41" i="11"/>
  <c r="Q44" i="11"/>
  <c r="Q45" i="11"/>
  <c r="Q46" i="11"/>
  <c r="Q48" i="11"/>
  <c r="Q49" i="11"/>
  <c r="Q52" i="11"/>
  <c r="Q53" i="11"/>
  <c r="Q54" i="11"/>
  <c r="Q56" i="11"/>
  <c r="Q57" i="11"/>
  <c r="Q60" i="11"/>
  <c r="Q61" i="11"/>
  <c r="Q62" i="11"/>
  <c r="Q64" i="11"/>
  <c r="Q65" i="11"/>
  <c r="Q68" i="11"/>
  <c r="Q69" i="11"/>
  <c r="Q70" i="11"/>
  <c r="Q72" i="11"/>
  <c r="Q73" i="11"/>
  <c r="Q76" i="11"/>
  <c r="Q77" i="11"/>
  <c r="Q78" i="11"/>
  <c r="Q80" i="11"/>
  <c r="Q81" i="11"/>
  <c r="Q84" i="11"/>
  <c r="Q85" i="11"/>
  <c r="Q86" i="11"/>
  <c r="Q88" i="11"/>
  <c r="Q89" i="11"/>
  <c r="Q92" i="11"/>
  <c r="Q93" i="11"/>
  <c r="Q94" i="11"/>
  <c r="Q96" i="11"/>
  <c r="Q97" i="11"/>
  <c r="Q100" i="11"/>
  <c r="Q101" i="11"/>
  <c r="Q102" i="11"/>
  <c r="Q104" i="11"/>
  <c r="Q105" i="11"/>
  <c r="Q107" i="11"/>
  <c r="Q108" i="11"/>
  <c r="Q109" i="11"/>
  <c r="Q110" i="11"/>
  <c r="Q112" i="11"/>
  <c r="Q113" i="11"/>
  <c r="Q116" i="11"/>
  <c r="Q117" i="11"/>
  <c r="Q118" i="11"/>
  <c r="Q120" i="11"/>
  <c r="Q121" i="11"/>
  <c r="Q124" i="11"/>
  <c r="Q125" i="11"/>
  <c r="Q126" i="11"/>
  <c r="Q127" i="11"/>
  <c r="Q128" i="11"/>
  <c r="Q129" i="11"/>
  <c r="Q132" i="11"/>
  <c r="Q133" i="11"/>
  <c r="Q134" i="11"/>
  <c r="Q136" i="11"/>
  <c r="Q137" i="11"/>
  <c r="Q140" i="11"/>
  <c r="Q141" i="11"/>
  <c r="Q142" i="11"/>
  <c r="Q144" i="11"/>
  <c r="Q145" i="11"/>
  <c r="Q148" i="11"/>
  <c r="Q149" i="11"/>
  <c r="Q150" i="11"/>
  <c r="Q152" i="11"/>
  <c r="Q153" i="11"/>
  <c r="Q156" i="11"/>
  <c r="Q157" i="11"/>
  <c r="Q158" i="11"/>
  <c r="Q159" i="11"/>
  <c r="Q160" i="11"/>
  <c r="Q161" i="11"/>
  <c r="Q164" i="11"/>
  <c r="Q165" i="11"/>
  <c r="Q166" i="11"/>
  <c r="Q168" i="11"/>
  <c r="Q169" i="11"/>
  <c r="Q172" i="11"/>
  <c r="Q173" i="11"/>
  <c r="Q174" i="11"/>
  <c r="Q176" i="11"/>
  <c r="Q177" i="11"/>
  <c r="Q180" i="11"/>
  <c r="Q181" i="11"/>
  <c r="Q182" i="11"/>
  <c r="Q184" i="11"/>
  <c r="Q185" i="11"/>
  <c r="Q188" i="11"/>
  <c r="Q189" i="11"/>
  <c r="Q190" i="11"/>
  <c r="Q192" i="11"/>
  <c r="Q193" i="11"/>
  <c r="Q196" i="11"/>
  <c r="Q197" i="11"/>
  <c r="Q198" i="11"/>
  <c r="Q200" i="11"/>
  <c r="Q201" i="11"/>
  <c r="Q204" i="11"/>
  <c r="Q205" i="11"/>
  <c r="Q206" i="11"/>
  <c r="Q208" i="11"/>
  <c r="Q209" i="11"/>
  <c r="Q212" i="11"/>
  <c r="Q213" i="11"/>
  <c r="Q214" i="11"/>
  <c r="Q216" i="11"/>
  <c r="Q217" i="11"/>
  <c r="Q220" i="11"/>
  <c r="Q221" i="11"/>
  <c r="Q222" i="11"/>
  <c r="Q224" i="11"/>
  <c r="Q225" i="11"/>
  <c r="Q228" i="11"/>
  <c r="Q229" i="11"/>
  <c r="Q230" i="11"/>
  <c r="Q3" i="11"/>
  <c r="BA8" i="11"/>
  <c r="BA22" i="11"/>
  <c r="BA40" i="11"/>
  <c r="BA54" i="11"/>
  <c r="BA56" i="11"/>
  <c r="BA64" i="11"/>
  <c r="BA72" i="11"/>
  <c r="BA78" i="11"/>
  <c r="BA110" i="11"/>
  <c r="BA112" i="11"/>
  <c r="BA128" i="11"/>
  <c r="BA142" i="11"/>
  <c r="BA160" i="11"/>
  <c r="BA174" i="11"/>
  <c r="BA176" i="11"/>
  <c r="BA184" i="11"/>
  <c r="BA192" i="11"/>
  <c r="BA198" i="11"/>
  <c r="BA200" i="11"/>
  <c r="BA204" i="11"/>
  <c r="BA207" i="11"/>
  <c r="BA214" i="11"/>
  <c r="BA215" i="11"/>
  <c r="BA218" i="11"/>
  <c r="BA220" i="11"/>
  <c r="BA223" i="11"/>
  <c r="BA225" i="11"/>
  <c r="BC3" i="11"/>
  <c r="AU230" i="11"/>
  <c r="AO230" i="11"/>
  <c r="AI230" i="11"/>
  <c r="AC230" i="11"/>
  <c r="W230" i="11"/>
  <c r="K230" i="11"/>
  <c r="BA229" i="11"/>
  <c r="AU229" i="11"/>
  <c r="AO229" i="11"/>
  <c r="AI229" i="11"/>
  <c r="AC229" i="11"/>
  <c r="W229" i="11"/>
  <c r="K229" i="11"/>
  <c r="BA228" i="11"/>
  <c r="AU228" i="11"/>
  <c r="AO228" i="11"/>
  <c r="AI228" i="11"/>
  <c r="AC228" i="11"/>
  <c r="W228" i="11"/>
  <c r="K228" i="11"/>
  <c r="AU227" i="11"/>
  <c r="AO227" i="11"/>
  <c r="AI227" i="11"/>
  <c r="AC227" i="11"/>
  <c r="W227" i="11"/>
  <c r="K227" i="11"/>
  <c r="BA226" i="11"/>
  <c r="AU226" i="11"/>
  <c r="AO226" i="11"/>
  <c r="AI226" i="11"/>
  <c r="AC226" i="11"/>
  <c r="W226" i="11"/>
  <c r="K226" i="11"/>
  <c r="AU225" i="11"/>
  <c r="AO225" i="11"/>
  <c r="AI225" i="11"/>
  <c r="AC225" i="11"/>
  <c r="W225" i="11"/>
  <c r="K225" i="11"/>
  <c r="AU224" i="11"/>
  <c r="AO224" i="11"/>
  <c r="AI224" i="11"/>
  <c r="AC224" i="11"/>
  <c r="W224" i="11"/>
  <c r="K224" i="11"/>
  <c r="AU223" i="11"/>
  <c r="AO223" i="11"/>
  <c r="AI223" i="11"/>
  <c r="AC223" i="11"/>
  <c r="W223" i="11"/>
  <c r="K223" i="11"/>
  <c r="AU222" i="11"/>
  <c r="AO222" i="11"/>
  <c r="AI222" i="11"/>
  <c r="AC222" i="11"/>
  <c r="W222" i="11"/>
  <c r="K222" i="11"/>
  <c r="BA221" i="11"/>
  <c r="AU221" i="11"/>
  <c r="AO221" i="11"/>
  <c r="AI221" i="11"/>
  <c r="AC221" i="11"/>
  <c r="W221" i="11"/>
  <c r="K221" i="11"/>
  <c r="AU220" i="11"/>
  <c r="AO220" i="11"/>
  <c r="AI220" i="11"/>
  <c r="AC220" i="11"/>
  <c r="W220" i="11"/>
  <c r="K220" i="11"/>
  <c r="AU219" i="11"/>
  <c r="AO219" i="11"/>
  <c r="AI219" i="11"/>
  <c r="AC219" i="11"/>
  <c r="W219" i="11"/>
  <c r="K219" i="11"/>
  <c r="AU218" i="11"/>
  <c r="AO218" i="11"/>
  <c r="AI218" i="11"/>
  <c r="AC218" i="11"/>
  <c r="W218" i="11"/>
  <c r="K218" i="11"/>
  <c r="AU217" i="11"/>
  <c r="AO217" i="11"/>
  <c r="AI217" i="11"/>
  <c r="AC217" i="11"/>
  <c r="W217" i="11"/>
  <c r="K217" i="11"/>
  <c r="AU216" i="11"/>
  <c r="AO216" i="11"/>
  <c r="AI216" i="11"/>
  <c r="AC216" i="11"/>
  <c r="W216" i="11"/>
  <c r="K216" i="11"/>
  <c r="AU215" i="11"/>
  <c r="AO215" i="11"/>
  <c r="AI215" i="11"/>
  <c r="AC215" i="11"/>
  <c r="W215" i="11"/>
  <c r="K215" i="11"/>
  <c r="AU214" i="11"/>
  <c r="AO214" i="11"/>
  <c r="AI214" i="11"/>
  <c r="AC214" i="11"/>
  <c r="W214" i="11"/>
  <c r="K214" i="11"/>
  <c r="BA213" i="11"/>
  <c r="AU213" i="11"/>
  <c r="AO213" i="11"/>
  <c r="AI213" i="11"/>
  <c r="AC213" i="11"/>
  <c r="W213" i="11"/>
  <c r="K213" i="11"/>
  <c r="BA212" i="11"/>
  <c r="AU212" i="11"/>
  <c r="AO212" i="11"/>
  <c r="AI212" i="11"/>
  <c r="AC212" i="11"/>
  <c r="W212" i="11"/>
  <c r="K212" i="11"/>
  <c r="AU211" i="11"/>
  <c r="AO211" i="11"/>
  <c r="AI211" i="11"/>
  <c r="AC211" i="11"/>
  <c r="W211" i="11"/>
  <c r="K211" i="11"/>
  <c r="BA210" i="11"/>
  <c r="AU210" i="11"/>
  <c r="AO210" i="11"/>
  <c r="AI210" i="11"/>
  <c r="AC210" i="11"/>
  <c r="W210" i="11"/>
  <c r="K210" i="11"/>
  <c r="AU209" i="11"/>
  <c r="AO209" i="11"/>
  <c r="AI209" i="11"/>
  <c r="AC209" i="11"/>
  <c r="W209" i="11"/>
  <c r="K209" i="11"/>
  <c r="AU208" i="11"/>
  <c r="AO208" i="11"/>
  <c r="AI208" i="11"/>
  <c r="AC208" i="11"/>
  <c r="W208" i="11"/>
  <c r="K208" i="11"/>
  <c r="AU207" i="11"/>
  <c r="AO207" i="11"/>
  <c r="AI207" i="11"/>
  <c r="AC207" i="11"/>
  <c r="W207" i="11"/>
  <c r="K207" i="11"/>
  <c r="AU206" i="11"/>
  <c r="AO206" i="11"/>
  <c r="AI206" i="11"/>
  <c r="AC206" i="11"/>
  <c r="W206" i="11"/>
  <c r="K206" i="11"/>
  <c r="BA205" i="11"/>
  <c r="AU205" i="11"/>
  <c r="AO205" i="11"/>
  <c r="AI205" i="11"/>
  <c r="AC205" i="11"/>
  <c r="W205" i="11"/>
  <c r="K205" i="11"/>
  <c r="AU204" i="11"/>
  <c r="AO204" i="11"/>
  <c r="AI204" i="11"/>
  <c r="AC204" i="11"/>
  <c r="W204" i="11"/>
  <c r="K204" i="11"/>
  <c r="AU203" i="11"/>
  <c r="AO203" i="11"/>
  <c r="AI203" i="11"/>
  <c r="AC203" i="11"/>
  <c r="W203" i="11"/>
  <c r="K203" i="11"/>
  <c r="BA202" i="11"/>
  <c r="AU202" i="11"/>
  <c r="AO202" i="11"/>
  <c r="AI202" i="11"/>
  <c r="AC202" i="11"/>
  <c r="W202" i="11"/>
  <c r="K202" i="11"/>
  <c r="AU201" i="11"/>
  <c r="AO201" i="11"/>
  <c r="AI201" i="11"/>
  <c r="AC201" i="11"/>
  <c r="W201" i="11"/>
  <c r="K201" i="11"/>
  <c r="AU200" i="11"/>
  <c r="AO200" i="11"/>
  <c r="AI200" i="11"/>
  <c r="AC200" i="11"/>
  <c r="W200" i="11"/>
  <c r="K200" i="11"/>
  <c r="BA199" i="11"/>
  <c r="AU199" i="11"/>
  <c r="AO199" i="11"/>
  <c r="AI199" i="11"/>
  <c r="AC199" i="11"/>
  <c r="W199" i="11"/>
  <c r="K199" i="11"/>
  <c r="AU198" i="11"/>
  <c r="AO198" i="11"/>
  <c r="AI198" i="11"/>
  <c r="AC198" i="11"/>
  <c r="W198" i="11"/>
  <c r="K198" i="11"/>
  <c r="BA197" i="11"/>
  <c r="AU197" i="11"/>
  <c r="AO197" i="11"/>
  <c r="AI197" i="11"/>
  <c r="AC197" i="11"/>
  <c r="W197" i="11"/>
  <c r="K197" i="11"/>
  <c r="BA196" i="11"/>
  <c r="AU196" i="11"/>
  <c r="AO196" i="11"/>
  <c r="AI196" i="11"/>
  <c r="AC196" i="11"/>
  <c r="W196" i="11"/>
  <c r="K196" i="11"/>
  <c r="AU195" i="11"/>
  <c r="AO195" i="11"/>
  <c r="AI195" i="11"/>
  <c r="AC195" i="11"/>
  <c r="W195" i="11"/>
  <c r="K195" i="11"/>
  <c r="BA194" i="11"/>
  <c r="AU194" i="11"/>
  <c r="AO194" i="11"/>
  <c r="AI194" i="11"/>
  <c r="AC194" i="11"/>
  <c r="W194" i="11"/>
  <c r="K194" i="11"/>
  <c r="AU193" i="11"/>
  <c r="AO193" i="11"/>
  <c r="AI193" i="11"/>
  <c r="AC193" i="11"/>
  <c r="W193" i="11"/>
  <c r="K193" i="11"/>
  <c r="AU192" i="11"/>
  <c r="AO192" i="11"/>
  <c r="AI192" i="11"/>
  <c r="AC192" i="11"/>
  <c r="W192" i="11"/>
  <c r="K192" i="11"/>
  <c r="BA191" i="11"/>
  <c r="AU191" i="11"/>
  <c r="AO191" i="11"/>
  <c r="AI191" i="11"/>
  <c r="AC191" i="11"/>
  <c r="W191" i="11"/>
  <c r="K191" i="11"/>
  <c r="AU190" i="11"/>
  <c r="AO190" i="11"/>
  <c r="AI190" i="11"/>
  <c r="AC190" i="11"/>
  <c r="W190" i="11"/>
  <c r="K190" i="11"/>
  <c r="BA189" i="11"/>
  <c r="AU189" i="11"/>
  <c r="AO189" i="11"/>
  <c r="AI189" i="11"/>
  <c r="AC189" i="11"/>
  <c r="W189" i="11"/>
  <c r="K189" i="11"/>
  <c r="BA188" i="11"/>
  <c r="AU188" i="11"/>
  <c r="AO188" i="11"/>
  <c r="AI188" i="11"/>
  <c r="AC188" i="11"/>
  <c r="W188" i="11"/>
  <c r="K188" i="11"/>
  <c r="AU187" i="11"/>
  <c r="AO187" i="11"/>
  <c r="AI187" i="11"/>
  <c r="AC187" i="11"/>
  <c r="W187" i="11"/>
  <c r="K187" i="11"/>
  <c r="BA186" i="11"/>
  <c r="AU186" i="11"/>
  <c r="AO186" i="11"/>
  <c r="AI186" i="11"/>
  <c r="AC186" i="11"/>
  <c r="W186" i="11"/>
  <c r="K186" i="11"/>
  <c r="AU185" i="11"/>
  <c r="AO185" i="11"/>
  <c r="AI185" i="11"/>
  <c r="AC185" i="11"/>
  <c r="W185" i="11"/>
  <c r="K185" i="11"/>
  <c r="AU184" i="11"/>
  <c r="AO184" i="11"/>
  <c r="AI184" i="11"/>
  <c r="AC184" i="11"/>
  <c r="W184" i="11"/>
  <c r="K184" i="11"/>
  <c r="BA183" i="11"/>
  <c r="AU183" i="11"/>
  <c r="AO183" i="11"/>
  <c r="AI183" i="11"/>
  <c r="AC183" i="11"/>
  <c r="W183" i="11"/>
  <c r="K183" i="11"/>
  <c r="AU182" i="11"/>
  <c r="AO182" i="11"/>
  <c r="AI182" i="11"/>
  <c r="AC182" i="11"/>
  <c r="W182" i="11"/>
  <c r="K182" i="11"/>
  <c r="BA181" i="11"/>
  <c r="AU181" i="11"/>
  <c r="AO181" i="11"/>
  <c r="AI181" i="11"/>
  <c r="AC181" i="11"/>
  <c r="W181" i="11"/>
  <c r="K181" i="11"/>
  <c r="BA180" i="11"/>
  <c r="AU180" i="11"/>
  <c r="AO180" i="11"/>
  <c r="AI180" i="11"/>
  <c r="AC180" i="11"/>
  <c r="W180" i="11"/>
  <c r="K180" i="11"/>
  <c r="AU179" i="11"/>
  <c r="AO179" i="11"/>
  <c r="AI179" i="11"/>
  <c r="AC179" i="11"/>
  <c r="W179" i="11"/>
  <c r="K179" i="11"/>
  <c r="BA178" i="11"/>
  <c r="AU178" i="11"/>
  <c r="AO178" i="11"/>
  <c r="AI178" i="11"/>
  <c r="AC178" i="11"/>
  <c r="W178" i="11"/>
  <c r="K178" i="11"/>
  <c r="AU177" i="11"/>
  <c r="AO177" i="11"/>
  <c r="AI177" i="11"/>
  <c r="AC177" i="11"/>
  <c r="W177" i="11"/>
  <c r="K177" i="11"/>
  <c r="AU176" i="11"/>
  <c r="AO176" i="11"/>
  <c r="AI176" i="11"/>
  <c r="AC176" i="11"/>
  <c r="W176" i="11"/>
  <c r="K176" i="11"/>
  <c r="BA175" i="11"/>
  <c r="AU175" i="11"/>
  <c r="AO175" i="11"/>
  <c r="AI175" i="11"/>
  <c r="AC175" i="11"/>
  <c r="W175" i="11"/>
  <c r="K175" i="11"/>
  <c r="AU174" i="11"/>
  <c r="AO174" i="11"/>
  <c r="AI174" i="11"/>
  <c r="AC174" i="11"/>
  <c r="W174" i="11"/>
  <c r="K174" i="11"/>
  <c r="BA173" i="11"/>
  <c r="AU173" i="11"/>
  <c r="AO173" i="11"/>
  <c r="AI173" i="11"/>
  <c r="AC173" i="11"/>
  <c r="W173" i="11"/>
  <c r="K173" i="11"/>
  <c r="BA172" i="11"/>
  <c r="AU172" i="11"/>
  <c r="AO172" i="11"/>
  <c r="AI172" i="11"/>
  <c r="AC172" i="11"/>
  <c r="W172" i="11"/>
  <c r="K172" i="11"/>
  <c r="AU171" i="11"/>
  <c r="AO171" i="11"/>
  <c r="AI171" i="11"/>
  <c r="AC171" i="11"/>
  <c r="W171" i="11"/>
  <c r="K171" i="11"/>
  <c r="BA170" i="11"/>
  <c r="AU170" i="11"/>
  <c r="AO170" i="11"/>
  <c r="AI170" i="11"/>
  <c r="AC170" i="11"/>
  <c r="W170" i="11"/>
  <c r="K170" i="11"/>
  <c r="AU169" i="11"/>
  <c r="AO169" i="11"/>
  <c r="AI169" i="11"/>
  <c r="AC169" i="11"/>
  <c r="W169" i="11"/>
  <c r="K169" i="11"/>
  <c r="AU168" i="11"/>
  <c r="AO168" i="11"/>
  <c r="AI168" i="11"/>
  <c r="AC168" i="11"/>
  <c r="W168" i="11"/>
  <c r="K168" i="11"/>
  <c r="BA167" i="11"/>
  <c r="AU167" i="11"/>
  <c r="AO167" i="11"/>
  <c r="AI167" i="11"/>
  <c r="AC167" i="11"/>
  <c r="W167" i="11"/>
  <c r="K167" i="11"/>
  <c r="AU166" i="11"/>
  <c r="AO166" i="11"/>
  <c r="AI166" i="11"/>
  <c r="AC166" i="11"/>
  <c r="W166" i="11"/>
  <c r="K166" i="11"/>
  <c r="BA165" i="11"/>
  <c r="AU165" i="11"/>
  <c r="AO165" i="11"/>
  <c r="AI165" i="11"/>
  <c r="AC165" i="11"/>
  <c r="W165" i="11"/>
  <c r="K165" i="11"/>
  <c r="BA164" i="11"/>
  <c r="AU164" i="11"/>
  <c r="AO164" i="11"/>
  <c r="AI164" i="11"/>
  <c r="AC164" i="11"/>
  <c r="W164" i="11"/>
  <c r="K164" i="11"/>
  <c r="AU163" i="11"/>
  <c r="AO163" i="11"/>
  <c r="AI163" i="11"/>
  <c r="AC163" i="11"/>
  <c r="W163" i="11"/>
  <c r="K163" i="11"/>
  <c r="BA162" i="11"/>
  <c r="AU162" i="11"/>
  <c r="AO162" i="11"/>
  <c r="AI162" i="11"/>
  <c r="AC162" i="11"/>
  <c r="W162" i="11"/>
  <c r="K162" i="11"/>
  <c r="AU161" i="11"/>
  <c r="AO161" i="11"/>
  <c r="AI161" i="11"/>
  <c r="AC161" i="11"/>
  <c r="W161" i="11"/>
  <c r="K161" i="11"/>
  <c r="AU160" i="11"/>
  <c r="AO160" i="11"/>
  <c r="AI160" i="11"/>
  <c r="AC160" i="11"/>
  <c r="W160" i="11"/>
  <c r="K160" i="11"/>
  <c r="BA159" i="11"/>
  <c r="AU159" i="11"/>
  <c r="AO159" i="11"/>
  <c r="AI159" i="11"/>
  <c r="AC159" i="11"/>
  <c r="W159" i="11"/>
  <c r="K159" i="11"/>
  <c r="AU158" i="11"/>
  <c r="AO158" i="11"/>
  <c r="AI158" i="11"/>
  <c r="AC158" i="11"/>
  <c r="W158" i="11"/>
  <c r="K158" i="11"/>
  <c r="BA157" i="11"/>
  <c r="AU157" i="11"/>
  <c r="AO157" i="11"/>
  <c r="AI157" i="11"/>
  <c r="AC157" i="11"/>
  <c r="W157" i="11"/>
  <c r="K157" i="11"/>
  <c r="BA156" i="11"/>
  <c r="AU156" i="11"/>
  <c r="AO156" i="11"/>
  <c r="AI156" i="11"/>
  <c r="AC156" i="11"/>
  <c r="W156" i="11"/>
  <c r="K156" i="11"/>
  <c r="AU155" i="11"/>
  <c r="AO155" i="11"/>
  <c r="AI155" i="11"/>
  <c r="AC155" i="11"/>
  <c r="W155" i="11"/>
  <c r="K155" i="11"/>
  <c r="BA154" i="11"/>
  <c r="AU154" i="11"/>
  <c r="AO154" i="11"/>
  <c r="AI154" i="11"/>
  <c r="AC154" i="11"/>
  <c r="W154" i="11"/>
  <c r="K154" i="11"/>
  <c r="AU153" i="11"/>
  <c r="AO153" i="11"/>
  <c r="AI153" i="11"/>
  <c r="AC153" i="11"/>
  <c r="W153" i="11"/>
  <c r="K153" i="11"/>
  <c r="AU152" i="11"/>
  <c r="AO152" i="11"/>
  <c r="AI152" i="11"/>
  <c r="AC152" i="11"/>
  <c r="W152" i="11"/>
  <c r="K152" i="11"/>
  <c r="BA151" i="11"/>
  <c r="AU151" i="11"/>
  <c r="AO151" i="11"/>
  <c r="AI151" i="11"/>
  <c r="AC151" i="11"/>
  <c r="W151" i="11"/>
  <c r="K151" i="11"/>
  <c r="AU150" i="11"/>
  <c r="AO150" i="11"/>
  <c r="AI150" i="11"/>
  <c r="AC150" i="11"/>
  <c r="W150" i="11"/>
  <c r="K150" i="11"/>
  <c r="BA149" i="11"/>
  <c r="AU149" i="11"/>
  <c r="AO149" i="11"/>
  <c r="AI149" i="11"/>
  <c r="AC149" i="11"/>
  <c r="W149" i="11"/>
  <c r="K149" i="11"/>
  <c r="BA148" i="11"/>
  <c r="AU148" i="11"/>
  <c r="AO148" i="11"/>
  <c r="AI148" i="11"/>
  <c r="AC148" i="11"/>
  <c r="W148" i="11"/>
  <c r="K148" i="11"/>
  <c r="AU147" i="11"/>
  <c r="AO147" i="11"/>
  <c r="AI147" i="11"/>
  <c r="AC147" i="11"/>
  <c r="W147" i="11"/>
  <c r="K147" i="11"/>
  <c r="BA146" i="11"/>
  <c r="AU146" i="11"/>
  <c r="AO146" i="11"/>
  <c r="AI146" i="11"/>
  <c r="AC146" i="11"/>
  <c r="W146" i="11"/>
  <c r="K146" i="11"/>
  <c r="AU145" i="11"/>
  <c r="AO145" i="11"/>
  <c r="AI145" i="11"/>
  <c r="AC145" i="11"/>
  <c r="W145" i="11"/>
  <c r="K145" i="11"/>
  <c r="AU144" i="11"/>
  <c r="AO144" i="11"/>
  <c r="AI144" i="11"/>
  <c r="AC144" i="11"/>
  <c r="W144" i="11"/>
  <c r="K144" i="11"/>
  <c r="BA143" i="11"/>
  <c r="AU143" i="11"/>
  <c r="AO143" i="11"/>
  <c r="AI143" i="11"/>
  <c r="AC143" i="11"/>
  <c r="W143" i="11"/>
  <c r="K143" i="11"/>
  <c r="AU142" i="11"/>
  <c r="AO142" i="11"/>
  <c r="AI142" i="11"/>
  <c r="AC142" i="11"/>
  <c r="W142" i="11"/>
  <c r="K142" i="11"/>
  <c r="BA141" i="11"/>
  <c r="AU141" i="11"/>
  <c r="AO141" i="11"/>
  <c r="AI141" i="11"/>
  <c r="AC141" i="11"/>
  <c r="W141" i="11"/>
  <c r="K141" i="11"/>
  <c r="BA140" i="11"/>
  <c r="AU140" i="11"/>
  <c r="AO140" i="11"/>
  <c r="AI140" i="11"/>
  <c r="AC140" i="11"/>
  <c r="W140" i="11"/>
  <c r="K140" i="11"/>
  <c r="AU139" i="11"/>
  <c r="AO139" i="11"/>
  <c r="AI139" i="11"/>
  <c r="AC139" i="11"/>
  <c r="W139" i="11"/>
  <c r="K139" i="11"/>
  <c r="BA138" i="11"/>
  <c r="AU138" i="11"/>
  <c r="AO138" i="11"/>
  <c r="AI138" i="11"/>
  <c r="AC138" i="11"/>
  <c r="W138" i="11"/>
  <c r="K138" i="11"/>
  <c r="AU137" i="11"/>
  <c r="AO137" i="11"/>
  <c r="AI137" i="11"/>
  <c r="AC137" i="11"/>
  <c r="W137" i="11"/>
  <c r="K137" i="11"/>
  <c r="BA136" i="11"/>
  <c r="AU136" i="11"/>
  <c r="AO136" i="11"/>
  <c r="AI136" i="11"/>
  <c r="AC136" i="11"/>
  <c r="W136" i="11"/>
  <c r="K136" i="11"/>
  <c r="BA135" i="11"/>
  <c r="AU135" i="11"/>
  <c r="AO135" i="11"/>
  <c r="AI135" i="11"/>
  <c r="AC135" i="11"/>
  <c r="W135" i="11"/>
  <c r="K135" i="11"/>
  <c r="AU134" i="11"/>
  <c r="AO134" i="11"/>
  <c r="AI134" i="11"/>
  <c r="AC134" i="11"/>
  <c r="W134" i="11"/>
  <c r="K134" i="11"/>
  <c r="BA133" i="11"/>
  <c r="AU133" i="11"/>
  <c r="AO133" i="11"/>
  <c r="AI133" i="11"/>
  <c r="AC133" i="11"/>
  <c r="W133" i="11"/>
  <c r="K133" i="11"/>
  <c r="BA132" i="11"/>
  <c r="AU132" i="11"/>
  <c r="AO132" i="11"/>
  <c r="AI132" i="11"/>
  <c r="AC132" i="11"/>
  <c r="W132" i="11"/>
  <c r="K132" i="11"/>
  <c r="AU131" i="11"/>
  <c r="AO131" i="11"/>
  <c r="AI131" i="11"/>
  <c r="AC131" i="11"/>
  <c r="W131" i="11"/>
  <c r="K131" i="11"/>
  <c r="BA130" i="11"/>
  <c r="AU130" i="11"/>
  <c r="AO130" i="11"/>
  <c r="AI130" i="11"/>
  <c r="AC130" i="11"/>
  <c r="W130" i="11"/>
  <c r="K130" i="11"/>
  <c r="AU129" i="11"/>
  <c r="AO129" i="11"/>
  <c r="AI129" i="11"/>
  <c r="AC129" i="11"/>
  <c r="W129" i="11"/>
  <c r="K129" i="11"/>
  <c r="AU128" i="11"/>
  <c r="AO128" i="11"/>
  <c r="AI128" i="11"/>
  <c r="AC128" i="11"/>
  <c r="W128" i="11"/>
  <c r="K128" i="11"/>
  <c r="BA127" i="11"/>
  <c r="AU127" i="11"/>
  <c r="AO127" i="11"/>
  <c r="AI127" i="11"/>
  <c r="AC127" i="11"/>
  <c r="W127" i="11"/>
  <c r="K127" i="11"/>
  <c r="AU126" i="11"/>
  <c r="AO126" i="11"/>
  <c r="AI126" i="11"/>
  <c r="AC126" i="11"/>
  <c r="W126" i="11"/>
  <c r="K126" i="11"/>
  <c r="BA125" i="11"/>
  <c r="AU125" i="11"/>
  <c r="AO125" i="11"/>
  <c r="AI125" i="11"/>
  <c r="AC125" i="11"/>
  <c r="W125" i="11"/>
  <c r="K125" i="11"/>
  <c r="BA124" i="11"/>
  <c r="AU124" i="11"/>
  <c r="AO124" i="11"/>
  <c r="AI124" i="11"/>
  <c r="AC124" i="11"/>
  <c r="W124" i="11"/>
  <c r="K124" i="11"/>
  <c r="AU123" i="11"/>
  <c r="AO123" i="11"/>
  <c r="AI123" i="11"/>
  <c r="AC123" i="11"/>
  <c r="W123" i="11"/>
  <c r="K123" i="11"/>
  <c r="BA122" i="11"/>
  <c r="AU122" i="11"/>
  <c r="AO122" i="11"/>
  <c r="AI122" i="11"/>
  <c r="AC122" i="11"/>
  <c r="W122" i="11"/>
  <c r="K122" i="11"/>
  <c r="AU121" i="11"/>
  <c r="AO121" i="11"/>
  <c r="AI121" i="11"/>
  <c r="AC121" i="11"/>
  <c r="W121" i="11"/>
  <c r="K121" i="11"/>
  <c r="BA120" i="11"/>
  <c r="AU120" i="11"/>
  <c r="AO120" i="11"/>
  <c r="AI120" i="11"/>
  <c r="AC120" i="11"/>
  <c r="W120" i="11"/>
  <c r="K120" i="11"/>
  <c r="BA119" i="11"/>
  <c r="AU119" i="11"/>
  <c r="AO119" i="11"/>
  <c r="AI119" i="11"/>
  <c r="AC119" i="11"/>
  <c r="W119" i="11"/>
  <c r="K119" i="11"/>
  <c r="BA118" i="11"/>
  <c r="AU118" i="11"/>
  <c r="AO118" i="11"/>
  <c r="AI118" i="11"/>
  <c r="AC118" i="11"/>
  <c r="W118" i="11"/>
  <c r="K118" i="11"/>
  <c r="BA117" i="11"/>
  <c r="AU117" i="11"/>
  <c r="AO117" i="11"/>
  <c r="AI117" i="11"/>
  <c r="AC117" i="11"/>
  <c r="W117" i="11"/>
  <c r="K117" i="11"/>
  <c r="BA116" i="11"/>
  <c r="AU116" i="11"/>
  <c r="AO116" i="11"/>
  <c r="AI116" i="11"/>
  <c r="AC116" i="11"/>
  <c r="W116" i="11"/>
  <c r="K116" i="11"/>
  <c r="AU115" i="11"/>
  <c r="AO115" i="11"/>
  <c r="AI115" i="11"/>
  <c r="AC115" i="11"/>
  <c r="W115" i="11"/>
  <c r="K115" i="11"/>
  <c r="BA114" i="11"/>
  <c r="AU114" i="11"/>
  <c r="AO114" i="11"/>
  <c r="AI114" i="11"/>
  <c r="AC114" i="11"/>
  <c r="W114" i="11"/>
  <c r="K114" i="11"/>
  <c r="AU113" i="11"/>
  <c r="AO113" i="11"/>
  <c r="AI113" i="11"/>
  <c r="AC113" i="11"/>
  <c r="W113" i="11"/>
  <c r="K113" i="11"/>
  <c r="AU112" i="11"/>
  <c r="AO112" i="11"/>
  <c r="AI112" i="11"/>
  <c r="AC112" i="11"/>
  <c r="W112" i="11"/>
  <c r="K112" i="11"/>
  <c r="BA111" i="11"/>
  <c r="AU111" i="11"/>
  <c r="AO111" i="11"/>
  <c r="AI111" i="11"/>
  <c r="AC111" i="11"/>
  <c r="W111" i="11"/>
  <c r="K111" i="11"/>
  <c r="AU110" i="11"/>
  <c r="AO110" i="11"/>
  <c r="AI110" i="11"/>
  <c r="AC110" i="11"/>
  <c r="W110" i="11"/>
  <c r="K110" i="11"/>
  <c r="BA109" i="11"/>
  <c r="AU109" i="11"/>
  <c r="AO109" i="11"/>
  <c r="AI109" i="11"/>
  <c r="AC109" i="11"/>
  <c r="W109" i="11"/>
  <c r="K109" i="11"/>
  <c r="BA108" i="11"/>
  <c r="AU108" i="11"/>
  <c r="AO108" i="11"/>
  <c r="AI108" i="11"/>
  <c r="AC108" i="11"/>
  <c r="W108" i="11"/>
  <c r="K108" i="11"/>
  <c r="AU107" i="11"/>
  <c r="AO107" i="11"/>
  <c r="AI107" i="11"/>
  <c r="AC107" i="11"/>
  <c r="W107" i="11"/>
  <c r="K107" i="11"/>
  <c r="BA106" i="11"/>
  <c r="AU106" i="11"/>
  <c r="AO106" i="11"/>
  <c r="AI106" i="11"/>
  <c r="AC106" i="11"/>
  <c r="W106" i="11"/>
  <c r="K106" i="11"/>
  <c r="AU105" i="11"/>
  <c r="AO105" i="11"/>
  <c r="AI105" i="11"/>
  <c r="AC105" i="11"/>
  <c r="W105" i="11"/>
  <c r="K105" i="11"/>
  <c r="AU104" i="11"/>
  <c r="AO104" i="11"/>
  <c r="AI104" i="11"/>
  <c r="AC104" i="11"/>
  <c r="W104" i="11"/>
  <c r="K104" i="11"/>
  <c r="BA103" i="11"/>
  <c r="AU103" i="11"/>
  <c r="AO103" i="11"/>
  <c r="AI103" i="11"/>
  <c r="AC103" i="11"/>
  <c r="W103" i="11"/>
  <c r="K103" i="11"/>
  <c r="AU102" i="11"/>
  <c r="AO102" i="11"/>
  <c r="AI102" i="11"/>
  <c r="AC102" i="11"/>
  <c r="W102" i="11"/>
  <c r="K102" i="11"/>
  <c r="BA101" i="11"/>
  <c r="AU101" i="11"/>
  <c r="AO101" i="11"/>
  <c r="AI101" i="11"/>
  <c r="AC101" i="11"/>
  <c r="W101" i="11"/>
  <c r="K101" i="11"/>
  <c r="BA100" i="11"/>
  <c r="AU100" i="11"/>
  <c r="AO100" i="11"/>
  <c r="AI100" i="11"/>
  <c r="AC100" i="11"/>
  <c r="W100" i="11"/>
  <c r="K100" i="11"/>
  <c r="AU99" i="11"/>
  <c r="AO99" i="11"/>
  <c r="AI99" i="11"/>
  <c r="AC99" i="11"/>
  <c r="W99" i="11"/>
  <c r="K99" i="11"/>
  <c r="BA98" i="11"/>
  <c r="AU98" i="11"/>
  <c r="AO98" i="11"/>
  <c r="AI98" i="11"/>
  <c r="AC98" i="11"/>
  <c r="W98" i="11"/>
  <c r="K98" i="11"/>
  <c r="AU97" i="11"/>
  <c r="AO97" i="11"/>
  <c r="AI97" i="11"/>
  <c r="AC97" i="11"/>
  <c r="W97" i="11"/>
  <c r="K97" i="11"/>
  <c r="AU96" i="11"/>
  <c r="AO96" i="11"/>
  <c r="AI96" i="11"/>
  <c r="AC96" i="11"/>
  <c r="W96" i="11"/>
  <c r="K96" i="11"/>
  <c r="BA95" i="11"/>
  <c r="AU95" i="11"/>
  <c r="AO95" i="11"/>
  <c r="AI95" i="11"/>
  <c r="AC95" i="11"/>
  <c r="W95" i="11"/>
  <c r="K95" i="11"/>
  <c r="AU94" i="11"/>
  <c r="AO94" i="11"/>
  <c r="AI94" i="11"/>
  <c r="AC94" i="11"/>
  <c r="W94" i="11"/>
  <c r="K94" i="11"/>
  <c r="BA93" i="11"/>
  <c r="AU93" i="11"/>
  <c r="AO93" i="11"/>
  <c r="AI93" i="11"/>
  <c r="AC93" i="11"/>
  <c r="W93" i="11"/>
  <c r="K93" i="11"/>
  <c r="BA92" i="11"/>
  <c r="AU92" i="11"/>
  <c r="AO92" i="11"/>
  <c r="AI92" i="11"/>
  <c r="AC92" i="11"/>
  <c r="W92" i="11"/>
  <c r="K92" i="11"/>
  <c r="AU91" i="11"/>
  <c r="AO91" i="11"/>
  <c r="AI91" i="11"/>
  <c r="AC91" i="11"/>
  <c r="W91" i="11"/>
  <c r="K91" i="11"/>
  <c r="BA90" i="11"/>
  <c r="AU90" i="11"/>
  <c r="AO90" i="11"/>
  <c r="AI90" i="11"/>
  <c r="AC90" i="11"/>
  <c r="W90" i="11"/>
  <c r="K90" i="11"/>
  <c r="AU89" i="11"/>
  <c r="AO89" i="11"/>
  <c r="AI89" i="11"/>
  <c r="AC89" i="11"/>
  <c r="W89" i="11"/>
  <c r="K89" i="11"/>
  <c r="AU88" i="11"/>
  <c r="AO88" i="11"/>
  <c r="AI88" i="11"/>
  <c r="AC88" i="11"/>
  <c r="W88" i="11"/>
  <c r="K88" i="11"/>
  <c r="BA87" i="11"/>
  <c r="AU87" i="11"/>
  <c r="AO87" i="11"/>
  <c r="AI87" i="11"/>
  <c r="AC87" i="11"/>
  <c r="W87" i="11"/>
  <c r="K87" i="11"/>
  <c r="AU86" i="11"/>
  <c r="AO86" i="11"/>
  <c r="AI86" i="11"/>
  <c r="AC86" i="11"/>
  <c r="W86" i="11"/>
  <c r="K86" i="11"/>
  <c r="BA85" i="11"/>
  <c r="AU85" i="11"/>
  <c r="AO85" i="11"/>
  <c r="AI85" i="11"/>
  <c r="AC85" i="11"/>
  <c r="W85" i="11"/>
  <c r="K85" i="11"/>
  <c r="BA84" i="11"/>
  <c r="AU84" i="11"/>
  <c r="AO84" i="11"/>
  <c r="AI84" i="11"/>
  <c r="AC84" i="11"/>
  <c r="W84" i="11"/>
  <c r="K84" i="11"/>
  <c r="AU83" i="11"/>
  <c r="AO83" i="11"/>
  <c r="AI83" i="11"/>
  <c r="AC83" i="11"/>
  <c r="W83" i="11"/>
  <c r="K83" i="11"/>
  <c r="BA82" i="11"/>
  <c r="AU82" i="11"/>
  <c r="AO82" i="11"/>
  <c r="AI82" i="11"/>
  <c r="AC82" i="11"/>
  <c r="W82" i="11"/>
  <c r="K82" i="11"/>
  <c r="AU81" i="11"/>
  <c r="AO81" i="11"/>
  <c r="AI81" i="11"/>
  <c r="AC81" i="11"/>
  <c r="W81" i="11"/>
  <c r="K81" i="11"/>
  <c r="AU80" i="11"/>
  <c r="AO80" i="11"/>
  <c r="AI80" i="11"/>
  <c r="AC80" i="11"/>
  <c r="W80" i="11"/>
  <c r="K80" i="11"/>
  <c r="BA79" i="11"/>
  <c r="AU79" i="11"/>
  <c r="AO79" i="11"/>
  <c r="AI79" i="11"/>
  <c r="AC79" i="11"/>
  <c r="W79" i="11"/>
  <c r="K79" i="11"/>
  <c r="AU78" i="11"/>
  <c r="AO78" i="11"/>
  <c r="AI78" i="11"/>
  <c r="AC78" i="11"/>
  <c r="W78" i="11"/>
  <c r="K78" i="11"/>
  <c r="BA77" i="11"/>
  <c r="AU77" i="11"/>
  <c r="AO77" i="11"/>
  <c r="AI77" i="11"/>
  <c r="AC77" i="11"/>
  <c r="W77" i="11"/>
  <c r="K77" i="11"/>
  <c r="BA76" i="11"/>
  <c r="AU76" i="11"/>
  <c r="AO76" i="11"/>
  <c r="AI76" i="11"/>
  <c r="AC76" i="11"/>
  <c r="W76" i="11"/>
  <c r="K76" i="11"/>
  <c r="AU75" i="11"/>
  <c r="AO75" i="11"/>
  <c r="AI75" i="11"/>
  <c r="AC75" i="11"/>
  <c r="W75" i="11"/>
  <c r="K75" i="11"/>
  <c r="BA74" i="11"/>
  <c r="AU74" i="11"/>
  <c r="AO74" i="11"/>
  <c r="AI74" i="11"/>
  <c r="AC74" i="11"/>
  <c r="W74" i="11"/>
  <c r="K74" i="11"/>
  <c r="AU73" i="11"/>
  <c r="AO73" i="11"/>
  <c r="AI73" i="11"/>
  <c r="AC73" i="11"/>
  <c r="W73" i="11"/>
  <c r="K73" i="11"/>
  <c r="AU72" i="11"/>
  <c r="AO72" i="11"/>
  <c r="AI72" i="11"/>
  <c r="AC72" i="11"/>
  <c r="W72" i="11"/>
  <c r="K72" i="11"/>
  <c r="BA71" i="11"/>
  <c r="AU71" i="11"/>
  <c r="AO71" i="11"/>
  <c r="AI71" i="11"/>
  <c r="AC71" i="11"/>
  <c r="W71" i="11"/>
  <c r="K71" i="11"/>
  <c r="AU70" i="11"/>
  <c r="AO70" i="11"/>
  <c r="AI70" i="11"/>
  <c r="AC70" i="11"/>
  <c r="W70" i="11"/>
  <c r="K70" i="11"/>
  <c r="BA69" i="11"/>
  <c r="AU69" i="11"/>
  <c r="AO69" i="11"/>
  <c r="AI69" i="11"/>
  <c r="AC69" i="11"/>
  <c r="W69" i="11"/>
  <c r="K69" i="11"/>
  <c r="BA68" i="11"/>
  <c r="AU68" i="11"/>
  <c r="AO68" i="11"/>
  <c r="AI68" i="11"/>
  <c r="AC68" i="11"/>
  <c r="W68" i="11"/>
  <c r="K68" i="11"/>
  <c r="AU67" i="11"/>
  <c r="AO67" i="11"/>
  <c r="AI67" i="11"/>
  <c r="AC67" i="11"/>
  <c r="W67" i="11"/>
  <c r="K67" i="11"/>
  <c r="BA66" i="11"/>
  <c r="AU66" i="11"/>
  <c r="AO66" i="11"/>
  <c r="AI66" i="11"/>
  <c r="AC66" i="11"/>
  <c r="W66" i="11"/>
  <c r="K66" i="11"/>
  <c r="AU65" i="11"/>
  <c r="AO65" i="11"/>
  <c r="AI65" i="11"/>
  <c r="AC65" i="11"/>
  <c r="W65" i="11"/>
  <c r="K65" i="11"/>
  <c r="AU64" i="11"/>
  <c r="AO64" i="11"/>
  <c r="AI64" i="11"/>
  <c r="AC64" i="11"/>
  <c r="W64" i="11"/>
  <c r="K64" i="11"/>
  <c r="BA63" i="11"/>
  <c r="AU63" i="11"/>
  <c r="AO63" i="11"/>
  <c r="AI63" i="11"/>
  <c r="AC63" i="11"/>
  <c r="W63" i="11"/>
  <c r="K63" i="11"/>
  <c r="AU62" i="11"/>
  <c r="AO62" i="11"/>
  <c r="AI62" i="11"/>
  <c r="AC62" i="11"/>
  <c r="W62" i="11"/>
  <c r="K62" i="11"/>
  <c r="BA61" i="11"/>
  <c r="AU61" i="11"/>
  <c r="AO61" i="11"/>
  <c r="AI61" i="11"/>
  <c r="AC61" i="11"/>
  <c r="W61" i="11"/>
  <c r="K61" i="11"/>
  <c r="BA60" i="11"/>
  <c r="AU60" i="11"/>
  <c r="AO60" i="11"/>
  <c r="AI60" i="11"/>
  <c r="AC60" i="11"/>
  <c r="W60" i="11"/>
  <c r="K60" i="11"/>
  <c r="AU59" i="11"/>
  <c r="AO59" i="11"/>
  <c r="AI59" i="11"/>
  <c r="AC59" i="11"/>
  <c r="W59" i="11"/>
  <c r="K59" i="11"/>
  <c r="BA58" i="11"/>
  <c r="AU58" i="11"/>
  <c r="AO58" i="11"/>
  <c r="AI58" i="11"/>
  <c r="AC58" i="11"/>
  <c r="W58" i="11"/>
  <c r="K58" i="11"/>
  <c r="AU57" i="11"/>
  <c r="AO57" i="11"/>
  <c r="AI57" i="11"/>
  <c r="AC57" i="11"/>
  <c r="W57" i="11"/>
  <c r="K57" i="11"/>
  <c r="AU56" i="11"/>
  <c r="AO56" i="11"/>
  <c r="AI56" i="11"/>
  <c r="AC56" i="11"/>
  <c r="W56" i="11"/>
  <c r="K56" i="11"/>
  <c r="BA55" i="11"/>
  <c r="AU55" i="11"/>
  <c r="AO55" i="11"/>
  <c r="AI55" i="11"/>
  <c r="AC55" i="11"/>
  <c r="W55" i="11"/>
  <c r="K55" i="11"/>
  <c r="AU54" i="11"/>
  <c r="AO54" i="11"/>
  <c r="AI54" i="11"/>
  <c r="AC54" i="11"/>
  <c r="W54" i="11"/>
  <c r="K54" i="11"/>
  <c r="BA53" i="11"/>
  <c r="AU53" i="11"/>
  <c r="AO53" i="11"/>
  <c r="AI53" i="11"/>
  <c r="AC53" i="11"/>
  <c r="W53" i="11"/>
  <c r="K53" i="11"/>
  <c r="BA52" i="11"/>
  <c r="AU52" i="11"/>
  <c r="AO52" i="11"/>
  <c r="AI52" i="11"/>
  <c r="AC52" i="11"/>
  <c r="W52" i="11"/>
  <c r="K52" i="11"/>
  <c r="AU51" i="11"/>
  <c r="AO51" i="11"/>
  <c r="AI51" i="11"/>
  <c r="AC51" i="11"/>
  <c r="W51" i="11"/>
  <c r="K51" i="11"/>
  <c r="BA50" i="11"/>
  <c r="AU50" i="11"/>
  <c r="AO50" i="11"/>
  <c r="AI50" i="11"/>
  <c r="AC50" i="11"/>
  <c r="W50" i="11"/>
  <c r="K50" i="11"/>
  <c r="AU49" i="11"/>
  <c r="AO49" i="11"/>
  <c r="AI49" i="11"/>
  <c r="AC49" i="11"/>
  <c r="W49" i="11"/>
  <c r="K49" i="11"/>
  <c r="AU48" i="11"/>
  <c r="AO48" i="11"/>
  <c r="AI48" i="11"/>
  <c r="AC48" i="11"/>
  <c r="W48" i="11"/>
  <c r="K48" i="11"/>
  <c r="BA47" i="11"/>
  <c r="AU47" i="11"/>
  <c r="AO47" i="11"/>
  <c r="AI47" i="11"/>
  <c r="AC47" i="11"/>
  <c r="W47" i="11"/>
  <c r="K47" i="11"/>
  <c r="AU46" i="11"/>
  <c r="AO46" i="11"/>
  <c r="AI46" i="11"/>
  <c r="AC46" i="11"/>
  <c r="W46" i="11"/>
  <c r="K46" i="11"/>
  <c r="BA45" i="11"/>
  <c r="AU45" i="11"/>
  <c r="AO45" i="11"/>
  <c r="AI45" i="11"/>
  <c r="AC45" i="11"/>
  <c r="W45" i="11"/>
  <c r="K45" i="11"/>
  <c r="BA44" i="11"/>
  <c r="AU44" i="11"/>
  <c r="AO44" i="11"/>
  <c r="AI44" i="11"/>
  <c r="AC44" i="11"/>
  <c r="W44" i="11"/>
  <c r="K44" i="11"/>
  <c r="AU43" i="11"/>
  <c r="AO43" i="11"/>
  <c r="AI43" i="11"/>
  <c r="AC43" i="11"/>
  <c r="W43" i="11"/>
  <c r="K43" i="11"/>
  <c r="BA42" i="11"/>
  <c r="AU42" i="11"/>
  <c r="AO42" i="11"/>
  <c r="AI42" i="11"/>
  <c r="AC42" i="11"/>
  <c r="W42" i="11"/>
  <c r="K42" i="11"/>
  <c r="AU41" i="11"/>
  <c r="AO41" i="11"/>
  <c r="AI41" i="11"/>
  <c r="AC41" i="11"/>
  <c r="W41" i="11"/>
  <c r="K41" i="11"/>
  <c r="AU40" i="11"/>
  <c r="AO40" i="11"/>
  <c r="AI40" i="11"/>
  <c r="AC40" i="11"/>
  <c r="W40" i="11"/>
  <c r="K40" i="11"/>
  <c r="BA39" i="11"/>
  <c r="AU39" i="11"/>
  <c r="AO39" i="11"/>
  <c r="AI39" i="11"/>
  <c r="AC39" i="11"/>
  <c r="W39" i="11"/>
  <c r="K39" i="11"/>
  <c r="AU38" i="11"/>
  <c r="AO38" i="11"/>
  <c r="AI38" i="11"/>
  <c r="AC38" i="11"/>
  <c r="W38" i="11"/>
  <c r="K38" i="11"/>
  <c r="BA37" i="11"/>
  <c r="AU37" i="11"/>
  <c r="AO37" i="11"/>
  <c r="AI37" i="11"/>
  <c r="AC37" i="11"/>
  <c r="W37" i="11"/>
  <c r="K37" i="11"/>
  <c r="BA36" i="11"/>
  <c r="AU36" i="11"/>
  <c r="AO36" i="11"/>
  <c r="AI36" i="11"/>
  <c r="AC36" i="11"/>
  <c r="W36" i="11"/>
  <c r="K36" i="11"/>
  <c r="AU35" i="11"/>
  <c r="AO35" i="11"/>
  <c r="AI35" i="11"/>
  <c r="AC35" i="11"/>
  <c r="W35" i="11"/>
  <c r="K35" i="11"/>
  <c r="BA34" i="11"/>
  <c r="AU34" i="11"/>
  <c r="AO34" i="11"/>
  <c r="AI34" i="11"/>
  <c r="AC34" i="11"/>
  <c r="W34" i="11"/>
  <c r="K34" i="11"/>
  <c r="AU33" i="11"/>
  <c r="AO33" i="11"/>
  <c r="AI33" i="11"/>
  <c r="AC33" i="11"/>
  <c r="W33" i="11"/>
  <c r="K33" i="11"/>
  <c r="AU32" i="11"/>
  <c r="AO32" i="11"/>
  <c r="AI32" i="11"/>
  <c r="AC32" i="11"/>
  <c r="W32" i="11"/>
  <c r="K32" i="11"/>
  <c r="BA31" i="11"/>
  <c r="AU31" i="11"/>
  <c r="AO31" i="11"/>
  <c r="AI31" i="11"/>
  <c r="AC31" i="11"/>
  <c r="W31" i="11"/>
  <c r="K31" i="11"/>
  <c r="AU30" i="11"/>
  <c r="AO30" i="11"/>
  <c r="AI30" i="11"/>
  <c r="AC30" i="11"/>
  <c r="W30" i="11"/>
  <c r="K30" i="11"/>
  <c r="BA29" i="11"/>
  <c r="AU29" i="11"/>
  <c r="AO29" i="11"/>
  <c r="AI29" i="11"/>
  <c r="AC29" i="11"/>
  <c r="W29" i="11"/>
  <c r="K29" i="11"/>
  <c r="BA28" i="11"/>
  <c r="AU28" i="11"/>
  <c r="AO28" i="11"/>
  <c r="AI28" i="11"/>
  <c r="AC28" i="11"/>
  <c r="W28" i="11"/>
  <c r="K28" i="11"/>
  <c r="AU27" i="11"/>
  <c r="AO27" i="11"/>
  <c r="AI27" i="11"/>
  <c r="AC27" i="11"/>
  <c r="W27" i="11"/>
  <c r="K27" i="11"/>
  <c r="BA26" i="11"/>
  <c r="AU26" i="11"/>
  <c r="AO26" i="11"/>
  <c r="AI26" i="11"/>
  <c r="AC26" i="11"/>
  <c r="W26" i="11"/>
  <c r="K26" i="11"/>
  <c r="AU25" i="11"/>
  <c r="AO25" i="11"/>
  <c r="AI25" i="11"/>
  <c r="AC25" i="11"/>
  <c r="W25" i="11"/>
  <c r="K25" i="11"/>
  <c r="AU24" i="11"/>
  <c r="AO24" i="11"/>
  <c r="AI24" i="11"/>
  <c r="AC24" i="11"/>
  <c r="W24" i="11"/>
  <c r="K24" i="11"/>
  <c r="BA23" i="11"/>
  <c r="AU23" i="11"/>
  <c r="AO23" i="11"/>
  <c r="AI23" i="11"/>
  <c r="AC23" i="11"/>
  <c r="W23" i="11"/>
  <c r="K23" i="11"/>
  <c r="AU22" i="11"/>
  <c r="AO22" i="11"/>
  <c r="AI22" i="11"/>
  <c r="AC22" i="11"/>
  <c r="W22" i="11"/>
  <c r="K22" i="11"/>
  <c r="BA21" i="11"/>
  <c r="AU21" i="11"/>
  <c r="AO21" i="11"/>
  <c r="AI21" i="11"/>
  <c r="AC21" i="11"/>
  <c r="W21" i="11"/>
  <c r="K21" i="11"/>
  <c r="BA20" i="11"/>
  <c r="AU20" i="11"/>
  <c r="AO20" i="11"/>
  <c r="AI20" i="11"/>
  <c r="AC20" i="11"/>
  <c r="W20" i="11"/>
  <c r="K20" i="11"/>
  <c r="AU19" i="11"/>
  <c r="AO19" i="11"/>
  <c r="AI19" i="11"/>
  <c r="AC19" i="11"/>
  <c r="W19" i="11"/>
  <c r="K19" i="11"/>
  <c r="BA18" i="11"/>
  <c r="AU18" i="11"/>
  <c r="AO18" i="11"/>
  <c r="AI18" i="11"/>
  <c r="AC18" i="11"/>
  <c r="W18" i="11"/>
  <c r="K18" i="11"/>
  <c r="AU17" i="11"/>
  <c r="AO17" i="11"/>
  <c r="AI17" i="11"/>
  <c r="AC17" i="11"/>
  <c r="W17" i="11"/>
  <c r="K17" i="11"/>
  <c r="AU16" i="11"/>
  <c r="AO16" i="11"/>
  <c r="AI16" i="11"/>
  <c r="AC16" i="11"/>
  <c r="W16" i="11"/>
  <c r="K16" i="11"/>
  <c r="BA15" i="11"/>
  <c r="AU15" i="11"/>
  <c r="AO15" i="11"/>
  <c r="AI15" i="11"/>
  <c r="AC15" i="11"/>
  <c r="W15" i="11"/>
  <c r="K15" i="11"/>
  <c r="AU14" i="11"/>
  <c r="AO14" i="11"/>
  <c r="AI14" i="11"/>
  <c r="AC14" i="11"/>
  <c r="W14" i="11"/>
  <c r="K14" i="11"/>
  <c r="BA13" i="11"/>
  <c r="AU13" i="11"/>
  <c r="AO13" i="11"/>
  <c r="AI13" i="11"/>
  <c r="AC13" i="11"/>
  <c r="W13" i="11"/>
  <c r="K13" i="11"/>
  <c r="BA12" i="11"/>
  <c r="AU12" i="11"/>
  <c r="AO12" i="11"/>
  <c r="AI12" i="11"/>
  <c r="AC12" i="11"/>
  <c r="W12" i="11"/>
  <c r="K12" i="11"/>
  <c r="AU11" i="11"/>
  <c r="AO11" i="11"/>
  <c r="AI11" i="11"/>
  <c r="AC11" i="11"/>
  <c r="W11" i="11"/>
  <c r="K11" i="11"/>
  <c r="BA10" i="11"/>
  <c r="AU10" i="11"/>
  <c r="AO10" i="11"/>
  <c r="AI10" i="11"/>
  <c r="AC10" i="11"/>
  <c r="W10" i="11"/>
  <c r="K10" i="11"/>
  <c r="AU9" i="11"/>
  <c r="AO9" i="11"/>
  <c r="AI9" i="11"/>
  <c r="AC9" i="11"/>
  <c r="W9" i="11"/>
  <c r="K9" i="11"/>
  <c r="AU8" i="11"/>
  <c r="AO8" i="11"/>
  <c r="AI8" i="11"/>
  <c r="AC8" i="11"/>
  <c r="W8" i="11"/>
  <c r="K8" i="11"/>
  <c r="BA7" i="11"/>
  <c r="AU7" i="11"/>
  <c r="AO7" i="11"/>
  <c r="AI7" i="11"/>
  <c r="AC7" i="11"/>
  <c r="W7" i="11"/>
  <c r="K7" i="11"/>
  <c r="AU6" i="11"/>
  <c r="AO6" i="11"/>
  <c r="AI6" i="11"/>
  <c r="AC6" i="11"/>
  <c r="W6" i="11"/>
  <c r="K6" i="11"/>
  <c r="BA5" i="11"/>
  <c r="AU5" i="11"/>
  <c r="AO5" i="11"/>
  <c r="AI5" i="11"/>
  <c r="AC5" i="11"/>
  <c r="W5" i="11"/>
  <c r="K5" i="11"/>
  <c r="BA4" i="11"/>
  <c r="AU4" i="11"/>
  <c r="AO4" i="11"/>
  <c r="AI4" i="11"/>
  <c r="AC4" i="11"/>
  <c r="W4" i="11"/>
  <c r="K4" i="11"/>
  <c r="AU3" i="11"/>
  <c r="AO3" i="11"/>
  <c r="AI3" i="11"/>
  <c r="AC3" i="11"/>
  <c r="W3" i="11"/>
  <c r="K3" i="11"/>
  <c r="AM229" i="15"/>
  <c r="AM220" i="15"/>
  <c r="AM211" i="15"/>
  <c r="AM202" i="15"/>
  <c r="AM193" i="15"/>
  <c r="AM184" i="15"/>
  <c r="AM174" i="15"/>
  <c r="AM165" i="15"/>
  <c r="AM156" i="15"/>
  <c r="AM147" i="15"/>
  <c r="AM138" i="15"/>
  <c r="AM129" i="15"/>
  <c r="AM120" i="15"/>
  <c r="AM110" i="15"/>
  <c r="AM101" i="15"/>
  <c r="AM92" i="15"/>
  <c r="AM83" i="15"/>
  <c r="AM74" i="15"/>
  <c r="AM65" i="15"/>
  <c r="AM56" i="15"/>
  <c r="AM46" i="15"/>
  <c r="AM37" i="15"/>
  <c r="AM28" i="15"/>
  <c r="AM19" i="15"/>
  <c r="AM10" i="15"/>
  <c r="AM3" i="15"/>
  <c r="Q5" i="6"/>
  <c r="AE5" i="15" s="1"/>
  <c r="Q6" i="6"/>
  <c r="AE6" i="15" s="1"/>
  <c r="Q8" i="6"/>
  <c r="AE8" i="15" s="1"/>
  <c r="Q10" i="6"/>
  <c r="AE10" i="15" s="1"/>
  <c r="Q11" i="6"/>
  <c r="AE11" i="15" s="1"/>
  <c r="Q13" i="6"/>
  <c r="AE13" i="15" s="1"/>
  <c r="Q14" i="6"/>
  <c r="AE14" i="15" s="1"/>
  <c r="Q16" i="6"/>
  <c r="AE16" i="15" s="1"/>
  <c r="Q18" i="6"/>
  <c r="AE18" i="15" s="1"/>
  <c r="Q19" i="6"/>
  <c r="AE19" i="15" s="1"/>
  <c r="Q21" i="6"/>
  <c r="AE21" i="15" s="1"/>
  <c r="Q22" i="6"/>
  <c r="AE22" i="15" s="1"/>
  <c r="Q26" i="6"/>
  <c r="AE26" i="15" s="1"/>
  <c r="Q27" i="6"/>
  <c r="AE27" i="15" s="1"/>
  <c r="Q29" i="6"/>
  <c r="AE29" i="15" s="1"/>
  <c r="Q30" i="6"/>
  <c r="AE30" i="15" s="1"/>
  <c r="Q32" i="6"/>
  <c r="AE32" i="15" s="1"/>
  <c r="Q34" i="6"/>
  <c r="AE34" i="15" s="1"/>
  <c r="Q35" i="6"/>
  <c r="AE35" i="15" s="1"/>
  <c r="Q40" i="6"/>
  <c r="AE40" i="15" s="1"/>
  <c r="Q42" i="6"/>
  <c r="AE42" i="15" s="1"/>
  <c r="Q43" i="6"/>
  <c r="AE43" i="15" s="1"/>
  <c r="Q45" i="6"/>
  <c r="AE45" i="15" s="1"/>
  <c r="Q48" i="6"/>
  <c r="AE48" i="15" s="1"/>
  <c r="Q50" i="6"/>
  <c r="AE50" i="15" s="1"/>
  <c r="Q51" i="6"/>
  <c r="AE51" i="15" s="1"/>
  <c r="Q53" i="6"/>
  <c r="AE53" i="15" s="1"/>
  <c r="Q54" i="6"/>
  <c r="AE54" i="15" s="1"/>
  <c r="Q56" i="6"/>
  <c r="AE56" i="15" s="1"/>
  <c r="Q58" i="6"/>
  <c r="AE58" i="15" s="1"/>
  <c r="Q59" i="6"/>
  <c r="AE59" i="15" s="1"/>
  <c r="Q61" i="6"/>
  <c r="AE61" i="15" s="1"/>
  <c r="Q62" i="6"/>
  <c r="AE62" i="15" s="1"/>
  <c r="Q64" i="6"/>
  <c r="AE64" i="15" s="1"/>
  <c r="Q66" i="6"/>
  <c r="AE66" i="15" s="1"/>
  <c r="Q67" i="6"/>
  <c r="AE67" i="15" s="1"/>
  <c r="Q70" i="6"/>
  <c r="AE70" i="15" s="1"/>
  <c r="Q72" i="6"/>
  <c r="AE72" i="15" s="1"/>
  <c r="Q74" i="6"/>
  <c r="AE74" i="15" s="1"/>
  <c r="Q75" i="6"/>
  <c r="AE75" i="15" s="1"/>
  <c r="Q77" i="6"/>
  <c r="AE77" i="15" s="1"/>
  <c r="Q78" i="6"/>
  <c r="AE78" i="15" s="1"/>
  <c r="Q80" i="6"/>
  <c r="AE80" i="15" s="1"/>
  <c r="Q82" i="6"/>
  <c r="AE82" i="15" s="1"/>
  <c r="Q83" i="6"/>
  <c r="AE83" i="15" s="1"/>
  <c r="Q85" i="6"/>
  <c r="AE85" i="15" s="1"/>
  <c r="Q86" i="6"/>
  <c r="AE86" i="15" s="1"/>
  <c r="Q88" i="6"/>
  <c r="AE88" i="15" s="1"/>
  <c r="Q90" i="6"/>
  <c r="AE90" i="15" s="1"/>
  <c r="Q91" i="6"/>
  <c r="AE91" i="15" s="1"/>
  <c r="Q93" i="6"/>
  <c r="AE93" i="15" s="1"/>
  <c r="Q94" i="6"/>
  <c r="AE94" i="15" s="1"/>
  <c r="Q96" i="6"/>
  <c r="AE96" i="15" s="1"/>
  <c r="Q98" i="6"/>
  <c r="AE98" i="15" s="1"/>
  <c r="Q99" i="6"/>
  <c r="AE99" i="15" s="1"/>
  <c r="Q104" i="6"/>
  <c r="AE104" i="15" s="1"/>
  <c r="Q106" i="6"/>
  <c r="AE106" i="15" s="1"/>
  <c r="Q107" i="6"/>
  <c r="AE107" i="15" s="1"/>
  <c r="Q109" i="6"/>
  <c r="AE109" i="15" s="1"/>
  <c r="Q112" i="6"/>
  <c r="AE112" i="15" s="1"/>
  <c r="Q114" i="6"/>
  <c r="AE114" i="15" s="1"/>
  <c r="Q115" i="6"/>
  <c r="AE115" i="15" s="1"/>
  <c r="Q117" i="6"/>
  <c r="AE117" i="15" s="1"/>
  <c r="Q118" i="6"/>
  <c r="AE118" i="15" s="1"/>
  <c r="Q120" i="6"/>
  <c r="AE120" i="15" s="1"/>
  <c r="Q122" i="6"/>
  <c r="AE122" i="15" s="1"/>
  <c r="Q123" i="6"/>
  <c r="AE123" i="15" s="1"/>
  <c r="Q125" i="6"/>
  <c r="AE125" i="15" s="1"/>
  <c r="Q126" i="6"/>
  <c r="AE126" i="15" s="1"/>
  <c r="Q128" i="6"/>
  <c r="AE128" i="15" s="1"/>
  <c r="Q130" i="6"/>
  <c r="AE130" i="15" s="1"/>
  <c r="Q131" i="6"/>
  <c r="AE131" i="15" s="1"/>
  <c r="Q134" i="6"/>
  <c r="AE134" i="15" s="1"/>
  <c r="Q136" i="6"/>
  <c r="AE136" i="15" s="1"/>
  <c r="Q138" i="6"/>
  <c r="AE138" i="15" s="1"/>
  <c r="Q141" i="6"/>
  <c r="AE141" i="15" s="1"/>
  <c r="Q142" i="6"/>
  <c r="AE142" i="15" s="1"/>
  <c r="Q144" i="6"/>
  <c r="AE144" i="15" s="1"/>
  <c r="Q146" i="6"/>
  <c r="AE146" i="15" s="1"/>
  <c r="Q147" i="6"/>
  <c r="AE147" i="15" s="1"/>
  <c r="Q149" i="6"/>
  <c r="AE149" i="15" s="1"/>
  <c r="Q150" i="6"/>
  <c r="AE150" i="15" s="1"/>
  <c r="Q152" i="6"/>
  <c r="AE152" i="15" s="1"/>
  <c r="Q154" i="6"/>
  <c r="AE154" i="15" s="1"/>
  <c r="Q155" i="6"/>
  <c r="AE155" i="15" s="1"/>
  <c r="Q157" i="6"/>
  <c r="AE157" i="15" s="1"/>
  <c r="Q158" i="6"/>
  <c r="AE158" i="15" s="1"/>
  <c r="Q160" i="6"/>
  <c r="AE160" i="15" s="1"/>
  <c r="Q162" i="6"/>
  <c r="AE162" i="15" s="1"/>
  <c r="Q163" i="6"/>
  <c r="AE163" i="15" s="1"/>
  <c r="Q166" i="6"/>
  <c r="AE166" i="15" s="1"/>
  <c r="Q168" i="6"/>
  <c r="AE168" i="15" s="1"/>
  <c r="Q170" i="6"/>
  <c r="AE170" i="15" s="1"/>
  <c r="Q171" i="6"/>
  <c r="AE171" i="15" s="1"/>
  <c r="Q173" i="6"/>
  <c r="AE173" i="15" s="1"/>
  <c r="Q174" i="6"/>
  <c r="AE174" i="15" s="1"/>
  <c r="Q176" i="6"/>
  <c r="AE176" i="15" s="1"/>
  <c r="Q178" i="6"/>
  <c r="AE178" i="15" s="1"/>
  <c r="Q179" i="6"/>
  <c r="AE179" i="15" s="1"/>
  <c r="Q181" i="6"/>
  <c r="AE181" i="15" s="1"/>
  <c r="Q182" i="6"/>
  <c r="AE182" i="15" s="1"/>
  <c r="Q184" i="6"/>
  <c r="AE184" i="15" s="1"/>
  <c r="Q186" i="6"/>
  <c r="AE186" i="15" s="1"/>
  <c r="Q187" i="6"/>
  <c r="AE187" i="15" s="1"/>
  <c r="Q189" i="6"/>
  <c r="AE189" i="15" s="1"/>
  <c r="Q190" i="6"/>
  <c r="AE190" i="15" s="1"/>
  <c r="Q194" i="6"/>
  <c r="AE194" i="15" s="1"/>
  <c r="Q195" i="6"/>
  <c r="AE195" i="15" s="1"/>
  <c r="Q198" i="6"/>
  <c r="AE198" i="15" s="1"/>
  <c r="Q200" i="6"/>
  <c r="AE200" i="15" s="1"/>
  <c r="Q202" i="6"/>
  <c r="AE202" i="15" s="1"/>
  <c r="Q203" i="6"/>
  <c r="AE203" i="15" s="1"/>
  <c r="Q205" i="6"/>
  <c r="AE205" i="15" s="1"/>
  <c r="Q206" i="6"/>
  <c r="AE206" i="15" s="1"/>
  <c r="Q208" i="6"/>
  <c r="AE208" i="15" s="1"/>
  <c r="Q210" i="6"/>
  <c r="AE210" i="15" s="1"/>
  <c r="Q211" i="6"/>
  <c r="AE211" i="15" s="1"/>
  <c r="Q213" i="6"/>
  <c r="AE213" i="15" s="1"/>
  <c r="Q216" i="6"/>
  <c r="AE216" i="15" s="1"/>
  <c r="Q218" i="6"/>
  <c r="AE218" i="15" s="1"/>
  <c r="Q219" i="6"/>
  <c r="AE219" i="15" s="1"/>
  <c r="Q221" i="6"/>
  <c r="AE221" i="15" s="1"/>
  <c r="Q223" i="6"/>
  <c r="AE223" i="15" s="1"/>
  <c r="Q224" i="6"/>
  <c r="AE224" i="15" s="1"/>
  <c r="Q225" i="6"/>
  <c r="AE225" i="15" s="1"/>
  <c r="Q226" i="6"/>
  <c r="AE226" i="15" s="1"/>
  <c r="Q227" i="6"/>
  <c r="AE227" i="15" s="1"/>
  <c r="Q228" i="6"/>
  <c r="AE228" i="15" s="1"/>
  <c r="W7" i="6"/>
  <c r="AF7" i="15" s="1"/>
  <c r="W11" i="6"/>
  <c r="AF11" i="15" s="1"/>
  <c r="W15" i="6"/>
  <c r="AF15" i="15" s="1"/>
  <c r="W23" i="6"/>
  <c r="AF23" i="15" s="1"/>
  <c r="W27" i="6"/>
  <c r="AF27" i="15" s="1"/>
  <c r="W31" i="6"/>
  <c r="AF31" i="15" s="1"/>
  <c r="W35" i="6"/>
  <c r="AF35" i="15" s="1"/>
  <c r="W39" i="6"/>
  <c r="AF39" i="15" s="1"/>
  <c r="CB39" i="15" s="1"/>
  <c r="W43" i="6"/>
  <c r="AF43" i="15" s="1"/>
  <c r="W51" i="6"/>
  <c r="AF51" i="15" s="1"/>
  <c r="W55" i="6"/>
  <c r="AF55" i="15" s="1"/>
  <c r="W59" i="6"/>
  <c r="AF59" i="15" s="1"/>
  <c r="W63" i="6"/>
  <c r="AF63" i="15" s="1"/>
  <c r="W67" i="6"/>
  <c r="AF67" i="15" s="1"/>
  <c r="W71" i="6"/>
  <c r="AF71" i="15" s="1"/>
  <c r="W75" i="6"/>
  <c r="AF75" i="15" s="1"/>
  <c r="CB75" i="15" s="1"/>
  <c r="W79" i="6"/>
  <c r="AF79" i="15" s="1"/>
  <c r="W83" i="6"/>
  <c r="AF83" i="15" s="1"/>
  <c r="W87" i="6"/>
  <c r="AF87" i="15" s="1"/>
  <c r="W95" i="6"/>
  <c r="AF95" i="15" s="1"/>
  <c r="W99" i="6"/>
  <c r="AF99" i="15" s="1"/>
  <c r="W103" i="6"/>
  <c r="AF103" i="15" s="1"/>
  <c r="W107" i="6"/>
  <c r="AF107" i="15" s="1"/>
  <c r="W111" i="6"/>
  <c r="AF111" i="15" s="1"/>
  <c r="CB111" i="15" s="1"/>
  <c r="W115" i="6"/>
  <c r="AF115" i="15" s="1"/>
  <c r="W119" i="6"/>
  <c r="AF119" i="15" s="1"/>
  <c r="W123" i="6"/>
  <c r="AF123" i="15" s="1"/>
  <c r="W127" i="6"/>
  <c r="AF127" i="15" s="1"/>
  <c r="W131" i="6"/>
  <c r="AF131" i="15" s="1"/>
  <c r="W135" i="6"/>
  <c r="AF135" i="15" s="1"/>
  <c r="W139" i="6"/>
  <c r="AF139" i="15" s="1"/>
  <c r="W143" i="6"/>
  <c r="AF143" i="15" s="1"/>
  <c r="CB143" i="15" s="1"/>
  <c r="W147" i="6"/>
  <c r="AF147" i="15" s="1"/>
  <c r="W151" i="6"/>
  <c r="AF151" i="15" s="1"/>
  <c r="W155" i="6"/>
  <c r="AF155" i="15" s="1"/>
  <c r="W159" i="6"/>
  <c r="AF159" i="15" s="1"/>
  <c r="W167" i="6"/>
  <c r="AF167" i="15" s="1"/>
  <c r="W171" i="6"/>
  <c r="AF171" i="15" s="1"/>
  <c r="W175" i="6"/>
  <c r="AF175" i="15" s="1"/>
  <c r="W179" i="6"/>
  <c r="AF179" i="15" s="1"/>
  <c r="CB179" i="15" s="1"/>
  <c r="W183" i="6"/>
  <c r="AF183" i="15" s="1"/>
  <c r="W187" i="6"/>
  <c r="AF187" i="15" s="1"/>
  <c r="W191" i="6"/>
  <c r="AF191" i="15" s="1"/>
  <c r="W195" i="6"/>
  <c r="AF195" i="15" s="1"/>
  <c r="W199" i="6"/>
  <c r="AF199" i="15" s="1"/>
  <c r="W203" i="6"/>
  <c r="AF203" i="15" s="1"/>
  <c r="W207" i="6"/>
  <c r="AF207" i="15" s="1"/>
  <c r="W211" i="6"/>
  <c r="AF211" i="15" s="1"/>
  <c r="CB211" i="15" s="1"/>
  <c r="W215" i="6"/>
  <c r="AF215" i="15" s="1"/>
  <c r="W218" i="6"/>
  <c r="AF218" i="15" s="1"/>
  <c r="W219" i="6"/>
  <c r="AF219" i="15" s="1"/>
  <c r="W223" i="6"/>
  <c r="AF223" i="15" s="1"/>
  <c r="W226" i="6"/>
  <c r="AF226" i="15" s="1"/>
  <c r="W19" i="6"/>
  <c r="AF19" i="15" s="1"/>
  <c r="W91" i="6"/>
  <c r="AF91" i="15" s="1"/>
  <c r="W106" i="6"/>
  <c r="AF106" i="15" s="1"/>
  <c r="W114" i="6"/>
  <c r="AF114" i="15" s="1"/>
  <c r="W122" i="6"/>
  <c r="AF122" i="15" s="1"/>
  <c r="W130" i="6"/>
  <c r="AF130" i="15" s="1"/>
  <c r="W138" i="6"/>
  <c r="AF138" i="15" s="1"/>
  <c r="W154" i="6"/>
  <c r="AF154" i="15" s="1"/>
  <c r="W162" i="6"/>
  <c r="AF162" i="15" s="1"/>
  <c r="W163" i="6"/>
  <c r="AF163" i="15" s="1"/>
  <c r="W178" i="6"/>
  <c r="AF178" i="15" s="1"/>
  <c r="CB178" i="15" s="1"/>
  <c r="W186" i="6"/>
  <c r="AF186" i="15" s="1"/>
  <c r="W194" i="6"/>
  <c r="AF194" i="15" s="1"/>
  <c r="W210" i="6"/>
  <c r="AF210" i="15" s="1"/>
  <c r="AC6" i="6"/>
  <c r="AC7" i="6"/>
  <c r="AC10" i="6"/>
  <c r="AC11" i="6"/>
  <c r="AC14" i="6"/>
  <c r="AC18" i="6"/>
  <c r="AC19" i="6"/>
  <c r="AC23" i="6"/>
  <c r="AC26" i="6"/>
  <c r="AC27" i="6"/>
  <c r="AC31" i="6"/>
  <c r="AC34" i="6"/>
  <c r="AC35" i="6"/>
  <c r="AC38" i="6"/>
  <c r="AC39" i="6"/>
  <c r="AC42" i="6"/>
  <c r="AC43" i="6"/>
  <c r="AC46" i="6"/>
  <c r="AC47" i="6"/>
  <c r="AC54" i="6"/>
  <c r="AC55" i="6"/>
  <c r="AC58" i="6"/>
  <c r="AC59" i="6"/>
  <c r="AC62" i="6"/>
  <c r="AC63" i="6"/>
  <c r="AC67" i="6"/>
  <c r="AC70" i="6"/>
  <c r="AC71" i="6"/>
  <c r="AC75" i="6"/>
  <c r="AC78" i="6"/>
  <c r="AC79" i="6"/>
  <c r="AC82" i="6"/>
  <c r="AC83" i="6"/>
  <c r="AC90" i="6"/>
  <c r="AC91" i="6"/>
  <c r="AC95" i="6"/>
  <c r="AC98" i="6"/>
  <c r="AC99" i="6"/>
  <c r="AC102" i="6"/>
  <c r="AC103" i="6"/>
  <c r="AC106" i="6"/>
  <c r="AC107" i="6"/>
  <c r="AC110" i="6"/>
  <c r="AC111" i="6"/>
  <c r="AC114" i="6"/>
  <c r="AC115" i="6"/>
  <c r="AC118" i="6"/>
  <c r="AC119" i="6"/>
  <c r="AC126" i="6"/>
  <c r="AC127" i="6"/>
  <c r="AC131" i="6"/>
  <c r="AC134" i="6"/>
  <c r="AC135" i="6"/>
  <c r="AC138" i="6"/>
  <c r="AC139" i="6"/>
  <c r="AC143" i="6"/>
  <c r="AC146" i="6"/>
  <c r="AC147" i="6"/>
  <c r="AC150" i="6"/>
  <c r="AC151" i="6"/>
  <c r="AC154" i="6"/>
  <c r="AC155" i="6"/>
  <c r="AC158" i="6"/>
  <c r="AC159" i="6"/>
  <c r="AC162" i="6"/>
  <c r="AC163" i="6"/>
  <c r="AC166" i="6"/>
  <c r="AC167" i="6"/>
  <c r="AC171" i="6"/>
  <c r="AC174" i="6"/>
  <c r="AC175" i="6"/>
  <c r="AC178" i="6"/>
  <c r="AC179" i="6"/>
  <c r="AC183" i="6"/>
  <c r="AC186" i="6"/>
  <c r="AC187" i="6"/>
  <c r="AC191" i="6"/>
  <c r="AC194" i="6"/>
  <c r="AC195" i="6"/>
  <c r="AC199" i="6"/>
  <c r="AC202" i="6"/>
  <c r="AC203" i="6"/>
  <c r="AC206" i="6"/>
  <c r="AC207" i="6"/>
  <c r="AC214" i="6"/>
  <c r="AC215" i="6"/>
  <c r="AC218" i="6"/>
  <c r="AC219" i="6"/>
  <c r="AC222" i="6"/>
  <c r="AC223" i="6"/>
  <c r="AC226" i="6"/>
  <c r="AC227" i="6"/>
  <c r="AI10" i="6"/>
  <c r="AI18" i="6"/>
  <c r="AI26" i="6"/>
  <c r="AI34" i="6"/>
  <c r="AI42" i="6"/>
  <c r="AI50" i="6"/>
  <c r="AI66" i="6"/>
  <c r="AI74" i="6"/>
  <c r="AI82" i="6"/>
  <c r="AI90" i="6"/>
  <c r="AI98" i="6"/>
  <c r="AI122" i="6"/>
  <c r="AI130" i="6"/>
  <c r="AI138" i="6"/>
  <c r="AI146" i="6"/>
  <c r="AI154" i="6"/>
  <c r="AI162" i="6"/>
  <c r="AI170" i="6"/>
  <c r="AI178" i="6"/>
  <c r="AI186" i="6"/>
  <c r="AI194" i="6"/>
  <c r="AI202" i="6"/>
  <c r="AI203" i="6"/>
  <c r="AI210" i="6"/>
  <c r="AI211" i="6"/>
  <c r="AI218" i="6"/>
  <c r="AI219" i="6"/>
  <c r="AI226" i="6"/>
  <c r="AI227" i="6"/>
  <c r="AI11" i="6"/>
  <c r="AI19" i="6"/>
  <c r="AI27" i="6"/>
  <c r="AI35" i="6"/>
  <c r="AI43" i="6"/>
  <c r="AI51" i="6"/>
  <c r="AI59" i="6"/>
  <c r="AI75" i="6"/>
  <c r="AI83" i="6"/>
  <c r="AI91" i="6"/>
  <c r="AI99" i="6"/>
  <c r="AI107" i="6"/>
  <c r="AI115" i="6"/>
  <c r="AI123" i="6"/>
  <c r="AI131" i="6"/>
  <c r="AI139" i="6"/>
  <c r="AI147" i="6"/>
  <c r="AI155" i="6"/>
  <c r="AI163" i="6"/>
  <c r="AI171" i="6"/>
  <c r="AI179" i="6"/>
  <c r="AI187" i="6"/>
  <c r="AU6" i="6"/>
  <c r="AJ6" i="15" s="1"/>
  <c r="AU9" i="6"/>
  <c r="AJ9" i="15" s="1"/>
  <c r="AU11" i="6"/>
  <c r="AJ11" i="15" s="1"/>
  <c r="AU14" i="6"/>
  <c r="AJ14" i="15" s="1"/>
  <c r="AU17" i="6"/>
  <c r="AJ17" i="15" s="1"/>
  <c r="AU22" i="6"/>
  <c r="AJ22" i="15" s="1"/>
  <c r="CF22" i="15" s="1"/>
  <c r="AU25" i="6"/>
  <c r="AJ25" i="15" s="1"/>
  <c r="AU27" i="6"/>
  <c r="AJ27" i="15" s="1"/>
  <c r="AU30" i="6"/>
  <c r="AJ30" i="15" s="1"/>
  <c r="AU35" i="6"/>
  <c r="AJ35" i="15" s="1"/>
  <c r="AU38" i="6"/>
  <c r="AJ38" i="15" s="1"/>
  <c r="AU41" i="6"/>
  <c r="AJ41" i="15" s="1"/>
  <c r="AU43" i="6"/>
  <c r="AJ43" i="15" s="1"/>
  <c r="AU49" i="6"/>
  <c r="AJ49" i="15" s="1"/>
  <c r="CF49" i="15" s="1"/>
  <c r="AU51" i="6"/>
  <c r="AJ51" i="15" s="1"/>
  <c r="AU54" i="6"/>
  <c r="AJ54" i="15" s="1"/>
  <c r="AU57" i="6"/>
  <c r="AJ57" i="15" s="1"/>
  <c r="AU62" i="6"/>
  <c r="AJ62" i="15" s="1"/>
  <c r="AU65" i="6"/>
  <c r="AJ65" i="15" s="1"/>
  <c r="AU67" i="6"/>
  <c r="AJ67" i="15" s="1"/>
  <c r="AU70" i="6"/>
  <c r="AJ70" i="15" s="1"/>
  <c r="AU75" i="6"/>
  <c r="AJ75" i="15" s="1"/>
  <c r="CF75" i="15" s="1"/>
  <c r="AU78" i="6"/>
  <c r="AJ78" i="15" s="1"/>
  <c r="AU81" i="6"/>
  <c r="AJ81" i="15" s="1"/>
  <c r="AU83" i="6"/>
  <c r="AJ83" i="15" s="1"/>
  <c r="AU89" i="6"/>
  <c r="AJ89" i="15" s="1"/>
  <c r="AU91" i="6"/>
  <c r="AJ91" i="15" s="1"/>
  <c r="AU94" i="6"/>
  <c r="AJ94" i="15" s="1"/>
  <c r="AU97" i="6"/>
  <c r="AJ97" i="15" s="1"/>
  <c r="AU99" i="6"/>
  <c r="AJ99" i="15" s="1"/>
  <c r="CF99" i="15" s="1"/>
  <c r="AU102" i="6"/>
  <c r="AJ102" i="15" s="1"/>
  <c r="AU105" i="6"/>
  <c r="AJ105" i="15" s="1"/>
  <c r="AU107" i="6"/>
  <c r="AJ107" i="15" s="1"/>
  <c r="AU110" i="6"/>
  <c r="AJ110" i="15" s="1"/>
  <c r="AU115" i="6"/>
  <c r="AJ115" i="15" s="1"/>
  <c r="AU118" i="6"/>
  <c r="AJ118" i="15" s="1"/>
  <c r="AU121" i="6"/>
  <c r="AJ121" i="15" s="1"/>
  <c r="AU123" i="6"/>
  <c r="AJ123" i="15" s="1"/>
  <c r="CF123" i="15" s="1"/>
  <c r="AU126" i="6"/>
  <c r="AJ126" i="15" s="1"/>
  <c r="AU129" i="6"/>
  <c r="AJ129" i="15" s="1"/>
  <c r="AU131" i="6"/>
  <c r="AJ131" i="15" s="1"/>
  <c r="AU134" i="6"/>
  <c r="AJ134" i="15" s="1"/>
  <c r="AU137" i="6"/>
  <c r="AJ137" i="15" s="1"/>
  <c r="AU139" i="6"/>
  <c r="AJ139" i="15" s="1"/>
  <c r="AU142" i="6"/>
  <c r="AJ142" i="15" s="1"/>
  <c r="AU145" i="6"/>
  <c r="AJ145" i="15" s="1"/>
  <c r="CF145" i="15" s="1"/>
  <c r="AU147" i="6"/>
  <c r="AJ147" i="15" s="1"/>
  <c r="AU150" i="6"/>
  <c r="AJ150" i="15" s="1"/>
  <c r="AU155" i="6"/>
  <c r="AJ155" i="15" s="1"/>
  <c r="AU158" i="6"/>
  <c r="AJ158" i="15" s="1"/>
  <c r="AU161" i="6"/>
  <c r="AJ161" i="15" s="1"/>
  <c r="AU163" i="6"/>
  <c r="AJ163" i="15" s="1"/>
  <c r="AU166" i="6"/>
  <c r="AJ166" i="15" s="1"/>
  <c r="AU169" i="6"/>
  <c r="AJ169" i="15" s="1"/>
  <c r="CF169" i="15" s="1"/>
  <c r="AU171" i="6"/>
  <c r="AJ171" i="15" s="1"/>
  <c r="AU174" i="6"/>
  <c r="AJ174" i="15" s="1"/>
  <c r="AU177" i="6"/>
  <c r="AJ177" i="15" s="1"/>
  <c r="AU179" i="6"/>
  <c r="AJ179" i="15" s="1"/>
  <c r="AU182" i="6"/>
  <c r="AJ182" i="15" s="1"/>
  <c r="AU185" i="6"/>
  <c r="AJ185" i="15" s="1"/>
  <c r="AU187" i="6"/>
  <c r="AJ187" i="15" s="1"/>
  <c r="AU190" i="6"/>
  <c r="AJ190" i="15" s="1"/>
  <c r="CF190" i="15" s="1"/>
  <c r="AU193" i="6"/>
  <c r="AJ193" i="15" s="1"/>
  <c r="AU198" i="6"/>
  <c r="AJ198" i="15" s="1"/>
  <c r="AU201" i="6"/>
  <c r="AJ201" i="15" s="1"/>
  <c r="AU203" i="6"/>
  <c r="AJ203" i="15" s="1"/>
  <c r="AU206" i="6"/>
  <c r="AJ206" i="15" s="1"/>
  <c r="AU209" i="6"/>
  <c r="AJ209" i="15" s="1"/>
  <c r="AU211" i="6"/>
  <c r="AJ211" i="15" s="1"/>
  <c r="AU214" i="6"/>
  <c r="AJ214" i="15" s="1"/>
  <c r="CF214" i="15" s="1"/>
  <c r="AU217" i="6"/>
  <c r="AJ217" i="15" s="1"/>
  <c r="AU219" i="6"/>
  <c r="AJ219" i="15" s="1"/>
  <c r="AU225" i="6"/>
  <c r="AJ225" i="15" s="1"/>
  <c r="AU227" i="6"/>
  <c r="AJ227" i="15" s="1"/>
  <c r="AU228" i="6"/>
  <c r="AJ228" i="15" s="1"/>
  <c r="AU230" i="6"/>
  <c r="AJ230" i="15" s="1"/>
  <c r="BA8" i="6"/>
  <c r="BA11" i="6"/>
  <c r="BA16" i="6"/>
  <c r="BA19" i="6"/>
  <c r="BA24" i="6"/>
  <c r="BA32" i="6"/>
  <c r="BA35" i="6"/>
  <c r="BA40" i="6"/>
  <c r="BA43" i="6"/>
  <c r="BA48" i="6"/>
  <c r="BA51" i="6"/>
  <c r="BA56" i="6"/>
  <c r="BA64" i="6"/>
  <c r="BA67" i="6"/>
  <c r="BA72" i="6"/>
  <c r="BA75" i="6"/>
  <c r="BA80" i="6"/>
  <c r="BA83" i="6"/>
  <c r="BA88" i="6"/>
  <c r="BA96" i="6"/>
  <c r="BA99" i="6"/>
  <c r="BA104" i="6"/>
  <c r="BA107" i="6"/>
  <c r="BA112" i="6"/>
  <c r="BA115" i="6"/>
  <c r="BA120" i="6"/>
  <c r="BA128" i="6"/>
  <c r="BA131" i="6"/>
  <c r="BA136" i="6"/>
  <c r="BA139" i="6"/>
  <c r="BA144" i="6"/>
  <c r="BA147" i="6"/>
  <c r="BA152" i="6"/>
  <c r="BA160" i="6"/>
  <c r="BA163" i="6"/>
  <c r="BA168" i="6"/>
  <c r="BA171" i="6"/>
  <c r="BA176" i="6"/>
  <c r="BA179" i="6"/>
  <c r="BA184" i="6"/>
  <c r="BA192" i="6"/>
  <c r="BA195" i="6"/>
  <c r="BA200" i="6"/>
  <c r="BA203" i="6"/>
  <c r="BA208" i="6"/>
  <c r="BA211" i="6"/>
  <c r="BA216" i="6"/>
  <c r="BA224" i="6"/>
  <c r="BA227" i="6"/>
  <c r="Q37" i="6"/>
  <c r="AE37" i="15" s="1"/>
  <c r="Q69" i="6"/>
  <c r="AE69" i="15" s="1"/>
  <c r="Q101" i="6"/>
  <c r="AE101" i="15" s="1"/>
  <c r="Q133" i="6"/>
  <c r="AE133" i="15" s="1"/>
  <c r="Q165" i="6"/>
  <c r="AE165" i="15" s="1"/>
  <c r="Q197" i="6"/>
  <c r="AE197" i="15" s="1"/>
  <c r="Q229" i="6"/>
  <c r="AE229" i="15" s="1"/>
  <c r="BA6" i="4"/>
  <c r="BA9" i="4"/>
  <c r="BA11" i="4"/>
  <c r="BA14" i="4"/>
  <c r="BA17" i="4"/>
  <c r="BA19" i="4"/>
  <c r="BA22" i="4"/>
  <c r="BA25" i="4"/>
  <c r="BA27" i="4"/>
  <c r="BA30" i="4"/>
  <c r="BA33" i="4"/>
  <c r="BA35" i="4"/>
  <c r="BA38" i="4"/>
  <c r="BA41" i="4"/>
  <c r="BA43" i="4"/>
  <c r="BA49" i="4"/>
  <c r="BA51" i="4"/>
  <c r="BA57" i="4"/>
  <c r="BA59" i="4"/>
  <c r="BA65" i="4"/>
  <c r="BA67" i="4"/>
  <c r="BA73" i="4"/>
  <c r="BA75" i="4"/>
  <c r="BA78" i="4"/>
  <c r="BA81" i="4"/>
  <c r="BA83" i="4"/>
  <c r="BA86" i="4"/>
  <c r="BA89" i="4"/>
  <c r="BA91" i="4"/>
  <c r="BA94" i="4"/>
  <c r="BA99" i="4"/>
  <c r="BA102" i="4"/>
  <c r="BA107" i="4"/>
  <c r="BA110" i="4"/>
  <c r="BA113" i="4"/>
  <c r="BA121" i="4"/>
  <c r="BA129" i="4"/>
  <c r="BA131" i="4"/>
  <c r="BA134" i="4"/>
  <c r="BA137" i="4"/>
  <c r="BA139" i="4"/>
  <c r="BA142" i="4"/>
  <c r="BA145" i="4"/>
  <c r="BA147" i="4"/>
  <c r="BA150" i="4"/>
  <c r="BA153" i="4"/>
  <c r="BA155" i="4"/>
  <c r="BA158" i="4"/>
  <c r="BA161" i="4"/>
  <c r="BA163" i="4"/>
  <c r="BA166" i="4"/>
  <c r="BA169" i="4"/>
  <c r="BA171" i="4"/>
  <c r="BA174" i="4"/>
  <c r="BA177" i="4"/>
  <c r="BA179" i="4"/>
  <c r="BA185" i="4"/>
  <c r="BA187" i="4"/>
  <c r="BA193" i="4"/>
  <c r="BA195" i="4"/>
  <c r="BA201" i="4"/>
  <c r="BA203" i="4"/>
  <c r="BA206" i="4"/>
  <c r="BA211" i="4"/>
  <c r="BA214" i="4"/>
  <c r="BA217" i="4"/>
  <c r="BA219" i="4"/>
  <c r="BA222" i="4"/>
  <c r="BA224" i="4"/>
  <c r="BA225" i="4"/>
  <c r="BA229" i="4"/>
  <c r="BA230" i="4"/>
  <c r="AU6" i="4"/>
  <c r="AU8" i="4"/>
  <c r="AU11" i="4"/>
  <c r="AU14" i="4"/>
  <c r="AU16" i="4"/>
  <c r="AU19" i="4"/>
  <c r="AU22" i="4"/>
  <c r="AU27" i="4"/>
  <c r="AU30" i="4"/>
  <c r="AU32" i="4"/>
  <c r="AU35" i="4"/>
  <c r="AU40" i="4"/>
  <c r="AU43" i="4"/>
  <c r="AU46" i="4"/>
  <c r="AU48" i="4"/>
  <c r="AU51" i="4"/>
  <c r="AU54" i="4"/>
  <c r="AU59" i="4"/>
  <c r="AU62" i="4"/>
  <c r="AU64" i="4"/>
  <c r="AU67" i="4"/>
  <c r="AU72" i="4"/>
  <c r="AU75" i="4"/>
  <c r="AU78" i="4"/>
  <c r="AU80" i="4"/>
  <c r="AU83" i="4"/>
  <c r="AU86" i="4"/>
  <c r="AU91" i="4"/>
  <c r="AU94" i="4"/>
  <c r="AU96" i="4"/>
  <c r="AU99" i="4"/>
  <c r="AU104" i="4"/>
  <c r="AU107" i="4"/>
  <c r="AU110" i="4"/>
  <c r="AU112" i="4"/>
  <c r="AU115" i="4"/>
  <c r="AU118" i="4"/>
  <c r="AU123" i="4"/>
  <c r="AU126" i="4"/>
  <c r="AU128" i="4"/>
  <c r="AU131" i="4"/>
  <c r="AU136" i="4"/>
  <c r="AU139" i="4"/>
  <c r="AU142" i="4"/>
  <c r="AU144" i="4"/>
  <c r="AU147" i="4"/>
  <c r="AU150" i="4"/>
  <c r="AU155" i="4"/>
  <c r="AU158" i="4"/>
  <c r="AU160" i="4"/>
  <c r="AU163" i="4"/>
  <c r="AU168" i="4"/>
  <c r="AU171" i="4"/>
  <c r="AU174" i="4"/>
  <c r="AU176" i="4"/>
  <c r="AU179" i="4"/>
  <c r="AU182" i="4"/>
  <c r="AU187" i="4"/>
  <c r="AU190" i="4"/>
  <c r="AU192" i="4"/>
  <c r="AU195" i="4"/>
  <c r="AU200" i="4"/>
  <c r="AU203" i="4"/>
  <c r="AU206" i="4"/>
  <c r="AU208" i="4"/>
  <c r="AU211" i="4"/>
  <c r="AU214" i="4"/>
  <c r="AU216" i="4"/>
  <c r="AU219" i="4"/>
  <c r="AU220" i="4"/>
  <c r="AU222" i="4"/>
  <c r="AU223" i="4"/>
  <c r="AU224" i="4"/>
  <c r="AU225" i="4"/>
  <c r="AU226" i="4"/>
  <c r="AU227" i="4"/>
  <c r="AU228" i="4"/>
  <c r="AU230" i="4"/>
  <c r="AI19" i="4"/>
  <c r="Z19" i="15" s="1"/>
  <c r="CD19" i="15" s="1"/>
  <c r="AI27" i="4"/>
  <c r="Z27" i="15" s="1"/>
  <c r="CD27" i="15" s="1"/>
  <c r="AI35" i="4"/>
  <c r="Z35" i="15" s="1"/>
  <c r="CD35" i="15" s="1"/>
  <c r="AI43" i="4"/>
  <c r="Z43" i="15" s="1"/>
  <c r="CD43" i="15" s="1"/>
  <c r="AI51" i="4"/>
  <c r="Z51" i="15" s="1"/>
  <c r="CD51" i="15" s="1"/>
  <c r="AI67" i="4"/>
  <c r="Z67" i="15" s="1"/>
  <c r="CD67" i="15" s="1"/>
  <c r="AI75" i="4"/>
  <c r="Z75" i="15" s="1"/>
  <c r="CD75" i="15" s="1"/>
  <c r="AI83" i="4"/>
  <c r="Z83" i="15" s="1"/>
  <c r="CD83" i="15" s="1"/>
  <c r="AI91" i="4"/>
  <c r="Z91" i="15" s="1"/>
  <c r="CD91" i="15" s="1"/>
  <c r="AI99" i="4"/>
  <c r="Z99" i="15" s="1"/>
  <c r="CD99" i="15" s="1"/>
  <c r="AI107" i="4"/>
  <c r="Z107" i="15" s="1"/>
  <c r="CD107" i="15" s="1"/>
  <c r="AI115" i="4"/>
  <c r="Z115" i="15" s="1"/>
  <c r="CD115" i="15" s="1"/>
  <c r="AI139" i="4"/>
  <c r="Z139" i="15" s="1"/>
  <c r="CD139" i="15" s="1"/>
  <c r="AI147" i="4"/>
  <c r="Z147" i="15" s="1"/>
  <c r="CD147" i="15" s="1"/>
  <c r="AI155" i="4"/>
  <c r="Z155" i="15" s="1"/>
  <c r="CD155" i="15" s="1"/>
  <c r="AI163" i="4"/>
  <c r="Z163" i="15" s="1"/>
  <c r="CD163" i="15" s="1"/>
  <c r="AI171" i="4"/>
  <c r="Z171" i="15" s="1"/>
  <c r="CD171" i="15" s="1"/>
  <c r="AI179" i="4"/>
  <c r="Z179" i="15" s="1"/>
  <c r="CD179" i="15" s="1"/>
  <c r="AI187" i="4"/>
  <c r="Z187" i="15" s="1"/>
  <c r="CD187" i="15" s="1"/>
  <c r="AI195" i="4"/>
  <c r="Z195" i="15" s="1"/>
  <c r="CD195" i="15" s="1"/>
  <c r="AI211" i="4"/>
  <c r="Z211" i="15" s="1"/>
  <c r="CD211" i="15" s="1"/>
  <c r="AI219" i="4"/>
  <c r="Z219" i="15" s="1"/>
  <c r="CD219" i="15" s="1"/>
  <c r="AI223" i="4"/>
  <c r="Z223" i="15" s="1"/>
  <c r="CD223" i="15" s="1"/>
  <c r="AI226" i="4"/>
  <c r="Z226" i="15" s="1"/>
  <c r="CD226" i="15" s="1"/>
  <c r="AI227" i="4"/>
  <c r="Z227" i="15" s="1"/>
  <c r="CD227" i="15" s="1"/>
  <c r="AI228" i="4"/>
  <c r="Z228" i="15" s="1"/>
  <c r="CD228" i="15" s="1"/>
  <c r="AI59" i="4"/>
  <c r="Z59" i="15" s="1"/>
  <c r="CD59" i="15" s="1"/>
  <c r="AI131" i="4"/>
  <c r="Z131" i="15" s="1"/>
  <c r="CD131" i="15" s="1"/>
  <c r="AI203" i="4"/>
  <c r="Z203" i="15" s="1"/>
  <c r="CD203" i="15" s="1"/>
  <c r="AI123" i="4"/>
  <c r="Z123" i="15" s="1"/>
  <c r="CD123" i="15" s="1"/>
  <c r="AC7" i="4"/>
  <c r="AC11" i="4"/>
  <c r="AC15" i="4"/>
  <c r="AC19" i="4"/>
  <c r="AC23" i="4"/>
  <c r="AC31" i="4"/>
  <c r="AC35" i="4"/>
  <c r="AC39" i="4"/>
  <c r="AC43" i="4"/>
  <c r="AC47" i="4"/>
  <c r="AC51" i="4"/>
  <c r="AC55" i="4"/>
  <c r="AC59" i="4"/>
  <c r="AC67" i="4"/>
  <c r="AC71" i="4"/>
  <c r="AC75" i="4"/>
  <c r="AC79" i="4"/>
  <c r="AC83" i="4"/>
  <c r="AC87" i="4"/>
  <c r="AC91" i="4"/>
  <c r="AC95" i="4"/>
  <c r="AC103" i="4"/>
  <c r="AC107" i="4"/>
  <c r="AC111" i="4"/>
  <c r="AC115" i="4"/>
  <c r="AC119" i="4"/>
  <c r="AC127" i="4"/>
  <c r="AC131" i="4"/>
  <c r="AC139" i="4"/>
  <c r="AC143" i="4"/>
  <c r="AC147" i="4"/>
  <c r="AC151" i="4"/>
  <c r="AC155" i="4"/>
  <c r="AC159" i="4"/>
  <c r="AC163" i="4"/>
  <c r="AC167" i="4"/>
  <c r="AC175" i="4"/>
  <c r="AC179" i="4"/>
  <c r="AC183" i="4"/>
  <c r="AC187" i="4"/>
  <c r="AC191" i="4"/>
  <c r="AC195" i="4"/>
  <c r="AC199" i="4"/>
  <c r="AC203" i="4"/>
  <c r="AC204" i="4"/>
  <c r="AC211" i="4"/>
  <c r="AC215" i="4"/>
  <c r="AC216" i="4"/>
  <c r="AC219" i="4"/>
  <c r="AC220" i="4"/>
  <c r="AC222" i="4"/>
  <c r="AC223" i="4"/>
  <c r="AC224" i="4"/>
  <c r="AC226" i="4"/>
  <c r="AC227" i="4"/>
  <c r="AC228" i="4"/>
  <c r="AC230" i="4"/>
  <c r="W11" i="4"/>
  <c r="W19" i="4"/>
  <c r="W35" i="4"/>
  <c r="W43" i="4"/>
  <c r="W51" i="4"/>
  <c r="W67" i="4"/>
  <c r="W75" i="4"/>
  <c r="W83" i="4"/>
  <c r="W99" i="4"/>
  <c r="W107" i="4"/>
  <c r="W115" i="4"/>
  <c r="W131" i="4"/>
  <c r="W139" i="4"/>
  <c r="W147" i="4"/>
  <c r="W163" i="4"/>
  <c r="W171" i="4"/>
  <c r="W179" i="4"/>
  <c r="W194" i="4"/>
  <c r="W195" i="4"/>
  <c r="W202" i="4"/>
  <c r="W203" i="4"/>
  <c r="W210" i="4"/>
  <c r="W211" i="4"/>
  <c r="W212" i="4"/>
  <c r="W218" i="4"/>
  <c r="W219" i="4"/>
  <c r="W227" i="4"/>
  <c r="AC27" i="4"/>
  <c r="AC63" i="4"/>
  <c r="AC99" i="4"/>
  <c r="AC135" i="4"/>
  <c r="AC171" i="4"/>
  <c r="AC207" i="4"/>
  <c r="AC214" i="4"/>
  <c r="AC218" i="4"/>
  <c r="AC123" i="4"/>
  <c r="W10" i="4"/>
  <c r="W18" i="4"/>
  <c r="W26" i="4"/>
  <c r="W34" i="4"/>
  <c r="W42" i="4"/>
  <c r="W50" i="4"/>
  <c r="W58" i="4"/>
  <c r="W66" i="4"/>
  <c r="W74" i="4"/>
  <c r="W82" i="4"/>
  <c r="W90" i="4"/>
  <c r="W98" i="4"/>
  <c r="W106" i="4"/>
  <c r="W114" i="4"/>
  <c r="W122" i="4"/>
  <c r="W130" i="4"/>
  <c r="W138" i="4"/>
  <c r="W146" i="4"/>
  <c r="W154" i="4"/>
  <c r="W162" i="4"/>
  <c r="W170" i="4"/>
  <c r="W178" i="4"/>
  <c r="W186" i="4"/>
  <c r="W225" i="4"/>
  <c r="W226" i="4"/>
  <c r="W228" i="4"/>
  <c r="W230" i="4"/>
  <c r="W7" i="4"/>
  <c r="W15" i="4"/>
  <c r="W23" i="4"/>
  <c r="W27" i="4"/>
  <c r="W31" i="4"/>
  <c r="W39" i="4"/>
  <c r="W47" i="4"/>
  <c r="W55" i="4"/>
  <c r="W59" i="4"/>
  <c r="W63" i="4"/>
  <c r="W71" i="4"/>
  <c r="W79" i="4"/>
  <c r="W87" i="4"/>
  <c r="W91" i="4"/>
  <c r="W95" i="4"/>
  <c r="W103" i="4"/>
  <c r="W111" i="4"/>
  <c r="W119" i="4"/>
  <c r="W123" i="4"/>
  <c r="W127" i="4"/>
  <c r="W135" i="4"/>
  <c r="W143" i="4"/>
  <c r="W151" i="4"/>
  <c r="W155" i="4"/>
  <c r="W159" i="4"/>
  <c r="W167" i="4"/>
  <c r="W175" i="4"/>
  <c r="W183" i="4"/>
  <c r="W187" i="4"/>
  <c r="W191" i="4"/>
  <c r="W199" i="4"/>
  <c r="W207" i="4"/>
  <c r="W215" i="4"/>
  <c r="W223" i="4"/>
  <c r="Q225" i="4"/>
  <c r="Q213" i="4"/>
  <c r="Q206" i="4"/>
  <c r="Q200" i="4"/>
  <c r="Q195" i="4"/>
  <c r="Q194" i="4"/>
  <c r="Q193" i="4"/>
  <c r="Q192" i="4"/>
  <c r="Q191" i="4"/>
  <c r="Q189" i="4"/>
  <c r="Q186" i="4"/>
  <c r="Q184" i="4"/>
  <c r="Q183" i="4"/>
  <c r="Q182" i="4"/>
  <c r="Q181" i="4"/>
  <c r="Q179" i="4"/>
  <c r="Q178" i="4"/>
  <c r="Q176" i="4"/>
  <c r="Q175" i="4"/>
  <c r="Q174" i="4"/>
  <c r="Q173" i="4"/>
  <c r="Q172" i="4"/>
  <c r="Q171" i="4"/>
  <c r="Q170" i="4"/>
  <c r="Q168" i="4"/>
  <c r="Q167" i="4"/>
  <c r="Q166" i="4"/>
  <c r="Q165" i="4"/>
  <c r="Q162" i="4"/>
  <c r="Q160" i="4"/>
  <c r="Q159" i="4"/>
  <c r="Q157" i="4"/>
  <c r="Q155" i="4"/>
  <c r="Q154" i="4"/>
  <c r="Q152" i="4"/>
  <c r="Q151" i="4"/>
  <c r="Q150" i="4"/>
  <c r="Q149" i="4"/>
  <c r="Q148" i="4"/>
  <c r="Q147" i="4"/>
  <c r="Q146" i="4"/>
  <c r="Q144" i="4"/>
  <c r="Q143" i="4"/>
  <c r="Q141" i="4"/>
  <c r="Q139" i="4"/>
  <c r="Q138" i="4"/>
  <c r="Q136" i="4"/>
  <c r="Q135" i="4"/>
  <c r="Q134" i="4"/>
  <c r="Q133" i="4"/>
  <c r="Q131" i="4"/>
  <c r="Q130" i="4"/>
  <c r="Q128" i="4"/>
  <c r="Q127" i="4"/>
  <c r="Q126" i="4"/>
  <c r="Q125" i="4"/>
  <c r="Q123" i="4"/>
  <c r="Q122" i="4"/>
  <c r="Q121" i="4"/>
  <c r="Q119" i="4"/>
  <c r="Q117" i="4"/>
  <c r="Q115" i="4"/>
  <c r="Q114" i="4"/>
  <c r="Q112" i="4"/>
  <c r="Q111" i="4"/>
  <c r="Q110" i="4"/>
  <c r="Q109" i="4"/>
  <c r="Q106" i="4"/>
  <c r="Q104" i="4"/>
  <c r="Q103" i="4"/>
  <c r="Q101" i="4"/>
  <c r="Q99" i="4"/>
  <c r="Q98" i="4"/>
  <c r="Q97" i="4"/>
  <c r="Q96" i="4"/>
  <c r="Q95" i="4"/>
  <c r="Q94" i="4"/>
  <c r="Q93" i="4"/>
  <c r="Q91" i="4"/>
  <c r="Q90" i="4"/>
  <c r="Q89" i="4"/>
  <c r="Q87" i="4"/>
  <c r="Q86" i="4"/>
  <c r="Q82" i="4"/>
  <c r="Q79" i="4"/>
  <c r="Q78" i="4"/>
  <c r="Q76" i="4"/>
  <c r="Q75" i="4"/>
  <c r="Q74" i="4"/>
  <c r="Q71" i="4"/>
  <c r="Q70" i="4"/>
  <c r="Q67" i="4"/>
  <c r="Q66" i="4"/>
  <c r="Q65" i="4"/>
  <c r="Q63" i="4"/>
  <c r="Q62" i="4"/>
  <c r="Q59" i="4"/>
  <c r="Q58" i="4"/>
  <c r="Q55" i="4"/>
  <c r="Q54" i="4"/>
  <c r="Q52" i="4"/>
  <c r="Q50" i="4"/>
  <c r="Q47" i="4"/>
  <c r="Q44" i="4"/>
  <c r="Q42" i="4"/>
  <c r="Q41" i="4"/>
  <c r="Q39" i="4"/>
  <c r="Q35" i="4"/>
  <c r="Q34" i="4"/>
  <c r="Q33" i="4"/>
  <c r="Q31" i="4"/>
  <c r="Q30" i="4"/>
  <c r="Q27" i="4"/>
  <c r="Q26" i="4"/>
  <c r="Q23" i="4"/>
  <c r="Q19" i="4"/>
  <c r="Q18" i="4"/>
  <c r="Q15" i="4"/>
  <c r="Q11" i="4"/>
  <c r="Q10" i="4"/>
  <c r="Q7" i="4"/>
  <c r="Q4" i="4"/>
  <c r="Q120" i="4"/>
  <c r="Q83" i="4"/>
  <c r="Q43" i="4"/>
  <c r="Q51" i="4"/>
  <c r="Q107" i="4"/>
  <c r="Q118" i="4"/>
  <c r="Q142" i="4"/>
  <c r="Q163" i="4"/>
  <c r="Q187" i="4"/>
  <c r="Q219" i="4"/>
  <c r="Q158" i="4"/>
  <c r="Q102" i="4"/>
  <c r="Q190" i="4"/>
  <c r="AO230" i="4"/>
  <c r="AI230" i="4"/>
  <c r="Z230" i="15" s="1"/>
  <c r="CD230" i="15" s="1"/>
  <c r="K230" i="4"/>
  <c r="AU229" i="4"/>
  <c r="AO229" i="4"/>
  <c r="AI229" i="4"/>
  <c r="AC229" i="4"/>
  <c r="W229" i="4"/>
  <c r="K229" i="4"/>
  <c r="BA228" i="4"/>
  <c r="AO228" i="4"/>
  <c r="K228" i="4"/>
  <c r="BA227" i="4"/>
  <c r="AO227" i="4"/>
  <c r="K227" i="4"/>
  <c r="BA226" i="4"/>
  <c r="AO226" i="4"/>
  <c r="K226" i="4"/>
  <c r="AO225" i="4"/>
  <c r="AI225" i="4"/>
  <c r="AC225" i="4"/>
  <c r="K225" i="4"/>
  <c r="AO224" i="4"/>
  <c r="AI224" i="4"/>
  <c r="Z224" i="15" s="1"/>
  <c r="CD224" i="15" s="1"/>
  <c r="W224" i="4"/>
  <c r="K224" i="4"/>
  <c r="BA223" i="4"/>
  <c r="AO223" i="4"/>
  <c r="K223" i="4"/>
  <c r="AO222" i="4"/>
  <c r="AI222" i="4"/>
  <c r="W222" i="4"/>
  <c r="K222" i="4"/>
  <c r="BA221" i="4"/>
  <c r="AU221" i="4"/>
  <c r="AO221" i="4"/>
  <c r="AI221" i="4"/>
  <c r="Z221" i="15" s="1"/>
  <c r="CD221" i="15" s="1"/>
  <c r="AC221" i="4"/>
  <c r="W221" i="4"/>
  <c r="K221" i="4"/>
  <c r="BA220" i="4"/>
  <c r="AO220" i="4"/>
  <c r="AI220" i="4"/>
  <c r="Z220" i="15" s="1"/>
  <c r="CD220" i="15" s="1"/>
  <c r="W220" i="4"/>
  <c r="K220" i="4"/>
  <c r="AO219" i="4"/>
  <c r="K219" i="4"/>
  <c r="BA218" i="4"/>
  <c r="AU218" i="4"/>
  <c r="AO218" i="4"/>
  <c r="AI218" i="4"/>
  <c r="Z218" i="15" s="1"/>
  <c r="CD218" i="15" s="1"/>
  <c r="K218" i="4"/>
  <c r="AU217" i="4"/>
  <c r="AO217" i="4"/>
  <c r="AI217" i="4"/>
  <c r="AC217" i="4"/>
  <c r="W217" i="4"/>
  <c r="K217" i="4"/>
  <c r="BA216" i="4"/>
  <c r="AO216" i="4"/>
  <c r="AI216" i="4"/>
  <c r="Z216" i="15" s="1"/>
  <c r="CD216" i="15" s="1"/>
  <c r="W216" i="4"/>
  <c r="K216" i="4"/>
  <c r="BA215" i="4"/>
  <c r="AU215" i="4"/>
  <c r="AO215" i="4"/>
  <c r="AI215" i="4"/>
  <c r="K215" i="4"/>
  <c r="AO214" i="4"/>
  <c r="AI214" i="4"/>
  <c r="Z214" i="15" s="1"/>
  <c r="CD214" i="15" s="1"/>
  <c r="W214" i="4"/>
  <c r="K214" i="4"/>
  <c r="BA213" i="4"/>
  <c r="AU213" i="4"/>
  <c r="AO213" i="4"/>
  <c r="AI213" i="4"/>
  <c r="AC213" i="4"/>
  <c r="W213" i="4"/>
  <c r="K213" i="4"/>
  <c r="BA212" i="4"/>
  <c r="AU212" i="4"/>
  <c r="AO212" i="4"/>
  <c r="AI212" i="4"/>
  <c r="Z212" i="15" s="1"/>
  <c r="CD212" i="15" s="1"/>
  <c r="AC212" i="4"/>
  <c r="K212" i="4"/>
  <c r="AO211" i="4"/>
  <c r="K211" i="4"/>
  <c r="BA210" i="4"/>
  <c r="AU210" i="4"/>
  <c r="AO210" i="4"/>
  <c r="AI210" i="4"/>
  <c r="Z210" i="15" s="1"/>
  <c r="CD210" i="15" s="1"/>
  <c r="AC210" i="4"/>
  <c r="K210" i="4"/>
  <c r="BA209" i="4"/>
  <c r="AU209" i="4"/>
  <c r="AO209" i="4"/>
  <c r="AI209" i="4"/>
  <c r="Z209" i="15" s="1"/>
  <c r="CD209" i="15" s="1"/>
  <c r="AC209" i="4"/>
  <c r="W209" i="4"/>
  <c r="K209" i="4"/>
  <c r="BA208" i="4"/>
  <c r="AO208" i="4"/>
  <c r="AI208" i="4"/>
  <c r="Z208" i="15" s="1"/>
  <c r="CD208" i="15" s="1"/>
  <c r="AC208" i="4"/>
  <c r="W208" i="4"/>
  <c r="K208" i="4"/>
  <c r="BA207" i="4"/>
  <c r="AU207" i="4"/>
  <c r="AO207" i="4"/>
  <c r="AI207" i="4"/>
  <c r="K207" i="4"/>
  <c r="AO206" i="4"/>
  <c r="AI206" i="4"/>
  <c r="Z206" i="15" s="1"/>
  <c r="CD206" i="15" s="1"/>
  <c r="AC206" i="4"/>
  <c r="W206" i="4"/>
  <c r="K206" i="4"/>
  <c r="BA205" i="4"/>
  <c r="AU205" i="4"/>
  <c r="AO205" i="4"/>
  <c r="AI205" i="4"/>
  <c r="Z205" i="15" s="1"/>
  <c r="CD205" i="15" s="1"/>
  <c r="AC205" i="4"/>
  <c r="W205" i="4"/>
  <c r="K205" i="4"/>
  <c r="BA204" i="4"/>
  <c r="AU204" i="4"/>
  <c r="AO204" i="4"/>
  <c r="AI204" i="4"/>
  <c r="W204" i="4"/>
  <c r="K204" i="4"/>
  <c r="AO203" i="4"/>
  <c r="K203" i="4"/>
  <c r="BA202" i="4"/>
  <c r="AU202" i="4"/>
  <c r="AO202" i="4"/>
  <c r="AI202" i="4"/>
  <c r="Z202" i="15" s="1"/>
  <c r="CD202" i="15" s="1"/>
  <c r="AC202" i="4"/>
  <c r="K202" i="4"/>
  <c r="AU201" i="4"/>
  <c r="AO201" i="4"/>
  <c r="AI201" i="4"/>
  <c r="Z201" i="15" s="1"/>
  <c r="CD201" i="15" s="1"/>
  <c r="AC201" i="4"/>
  <c r="W201" i="4"/>
  <c r="K201" i="4"/>
  <c r="BA200" i="4"/>
  <c r="AO200" i="4"/>
  <c r="AI200" i="4"/>
  <c r="AC200" i="4"/>
  <c r="W200" i="4"/>
  <c r="K200" i="4"/>
  <c r="BA199" i="4"/>
  <c r="AU199" i="4"/>
  <c r="AO199" i="4"/>
  <c r="AI199" i="4"/>
  <c r="K199" i="4"/>
  <c r="BA198" i="4"/>
  <c r="AU198" i="4"/>
  <c r="AO198" i="4"/>
  <c r="AI198" i="4"/>
  <c r="Z198" i="15" s="1"/>
  <c r="CD198" i="15" s="1"/>
  <c r="AC198" i="4"/>
  <c r="W198" i="4"/>
  <c r="K198" i="4"/>
  <c r="BA197" i="4"/>
  <c r="AU197" i="4"/>
  <c r="AO197" i="4"/>
  <c r="AI197" i="4"/>
  <c r="Z197" i="15" s="1"/>
  <c r="CD197" i="15" s="1"/>
  <c r="AC197" i="4"/>
  <c r="W197" i="4"/>
  <c r="K197" i="4"/>
  <c r="BA196" i="4"/>
  <c r="AU196" i="4"/>
  <c r="AO196" i="4"/>
  <c r="AI196" i="4"/>
  <c r="AC196" i="4"/>
  <c r="W196" i="4"/>
  <c r="K196" i="4"/>
  <c r="AO195" i="4"/>
  <c r="K195" i="4"/>
  <c r="BA194" i="4"/>
  <c r="AU194" i="4"/>
  <c r="AO194" i="4"/>
  <c r="AI194" i="4"/>
  <c r="Z194" i="15" s="1"/>
  <c r="CD194" i="15" s="1"/>
  <c r="AC194" i="4"/>
  <c r="K194" i="4"/>
  <c r="AU193" i="4"/>
  <c r="AO193" i="4"/>
  <c r="AI193" i="4"/>
  <c r="Z193" i="15" s="1"/>
  <c r="CD193" i="15" s="1"/>
  <c r="AC193" i="4"/>
  <c r="W193" i="4"/>
  <c r="K193" i="4"/>
  <c r="BA192" i="4"/>
  <c r="AO192" i="4"/>
  <c r="AI192" i="4"/>
  <c r="AC192" i="4"/>
  <c r="W192" i="4"/>
  <c r="K192" i="4"/>
  <c r="BA191" i="4"/>
  <c r="AU191" i="4"/>
  <c r="AO191" i="4"/>
  <c r="AI191" i="4"/>
  <c r="Z191" i="15" s="1"/>
  <c r="CD191" i="15" s="1"/>
  <c r="K191" i="4"/>
  <c r="BA190" i="4"/>
  <c r="AO190" i="4"/>
  <c r="AI190" i="4"/>
  <c r="AC190" i="4"/>
  <c r="W190" i="4"/>
  <c r="K190" i="4"/>
  <c r="BA189" i="4"/>
  <c r="AU189" i="4"/>
  <c r="AO189" i="4"/>
  <c r="AI189" i="4"/>
  <c r="Z189" i="15" s="1"/>
  <c r="CD189" i="15" s="1"/>
  <c r="AC189" i="4"/>
  <c r="W189" i="4"/>
  <c r="K189" i="4"/>
  <c r="BA188" i="4"/>
  <c r="AU188" i="4"/>
  <c r="AO188" i="4"/>
  <c r="AI188" i="4"/>
  <c r="Z188" i="15" s="1"/>
  <c r="CD188" i="15" s="1"/>
  <c r="AC188" i="4"/>
  <c r="W188" i="4"/>
  <c r="K188" i="4"/>
  <c r="AO187" i="4"/>
  <c r="K187" i="4"/>
  <c r="BA186" i="4"/>
  <c r="AU186" i="4"/>
  <c r="AO186" i="4"/>
  <c r="AI186" i="4"/>
  <c r="AC186" i="4"/>
  <c r="K186" i="4"/>
  <c r="AU185" i="4"/>
  <c r="AO185" i="4"/>
  <c r="AI185" i="4"/>
  <c r="AC185" i="4"/>
  <c r="W185" i="4"/>
  <c r="K185" i="4"/>
  <c r="BA184" i="4"/>
  <c r="AU184" i="4"/>
  <c r="AO184" i="4"/>
  <c r="AI184" i="4"/>
  <c r="Z184" i="15" s="1"/>
  <c r="CD184" i="15" s="1"/>
  <c r="AC184" i="4"/>
  <c r="W184" i="4"/>
  <c r="K184" i="4"/>
  <c r="BA183" i="4"/>
  <c r="AU183" i="4"/>
  <c r="AO183" i="4"/>
  <c r="AI183" i="4"/>
  <c r="Z183" i="15" s="1"/>
  <c r="CD183" i="15" s="1"/>
  <c r="K183" i="4"/>
  <c r="BA182" i="4"/>
  <c r="AO182" i="4"/>
  <c r="AI182" i="4"/>
  <c r="AC182" i="4"/>
  <c r="W182" i="4"/>
  <c r="K182" i="4"/>
  <c r="BA181" i="4"/>
  <c r="AU181" i="4"/>
  <c r="AO181" i="4"/>
  <c r="AI181" i="4"/>
  <c r="AC181" i="4"/>
  <c r="W181" i="4"/>
  <c r="K181" i="4"/>
  <c r="BA180" i="4"/>
  <c r="AU180" i="4"/>
  <c r="AO180" i="4"/>
  <c r="AI180" i="4"/>
  <c r="AC180" i="4"/>
  <c r="W180" i="4"/>
  <c r="K180" i="4"/>
  <c r="AO179" i="4"/>
  <c r="K179" i="4"/>
  <c r="BA178" i="4"/>
  <c r="AU178" i="4"/>
  <c r="AO178" i="4"/>
  <c r="AI178" i="4"/>
  <c r="Z178" i="15" s="1"/>
  <c r="CD178" i="15" s="1"/>
  <c r="AC178" i="4"/>
  <c r="K178" i="4"/>
  <c r="AU177" i="4"/>
  <c r="AO177" i="4"/>
  <c r="AI177" i="4"/>
  <c r="AC177" i="4"/>
  <c r="W177" i="4"/>
  <c r="K177" i="4"/>
  <c r="BA176" i="4"/>
  <c r="AO176" i="4"/>
  <c r="AI176" i="4"/>
  <c r="AC176" i="4"/>
  <c r="W176" i="4"/>
  <c r="K176" i="4"/>
  <c r="BA175" i="4"/>
  <c r="AU175" i="4"/>
  <c r="AO175" i="4"/>
  <c r="AI175" i="4"/>
  <c r="K175" i="4"/>
  <c r="AO174" i="4"/>
  <c r="AI174" i="4"/>
  <c r="AC174" i="4"/>
  <c r="W174" i="4"/>
  <c r="K174" i="4"/>
  <c r="BA173" i="4"/>
  <c r="AU173" i="4"/>
  <c r="AO173" i="4"/>
  <c r="AI173" i="4"/>
  <c r="Z173" i="15" s="1"/>
  <c r="CD173" i="15" s="1"/>
  <c r="AC173" i="4"/>
  <c r="W173" i="4"/>
  <c r="K173" i="4"/>
  <c r="BA172" i="4"/>
  <c r="AU172" i="4"/>
  <c r="AO172" i="4"/>
  <c r="AI172" i="4"/>
  <c r="AC172" i="4"/>
  <c r="W172" i="4"/>
  <c r="K172" i="4"/>
  <c r="AO171" i="4"/>
  <c r="K171" i="4"/>
  <c r="BA170" i="4"/>
  <c r="AU170" i="4"/>
  <c r="AO170" i="4"/>
  <c r="AI170" i="4"/>
  <c r="Z170" i="15" s="1"/>
  <c r="CD170" i="15" s="1"/>
  <c r="AC170" i="4"/>
  <c r="K170" i="4"/>
  <c r="AU169" i="4"/>
  <c r="AO169" i="4"/>
  <c r="AI169" i="4"/>
  <c r="Z169" i="15" s="1"/>
  <c r="CD169" i="15" s="1"/>
  <c r="AC169" i="4"/>
  <c r="W169" i="4"/>
  <c r="K169" i="4"/>
  <c r="BA168" i="4"/>
  <c r="AO168" i="4"/>
  <c r="AI168" i="4"/>
  <c r="AC168" i="4"/>
  <c r="W168" i="4"/>
  <c r="K168" i="4"/>
  <c r="BA167" i="4"/>
  <c r="AU167" i="4"/>
  <c r="AO167" i="4"/>
  <c r="AI167" i="4"/>
  <c r="K167" i="4"/>
  <c r="AU166" i="4"/>
  <c r="AO166" i="4"/>
  <c r="AI166" i="4"/>
  <c r="Z166" i="15" s="1"/>
  <c r="CD166" i="15" s="1"/>
  <c r="AC166" i="4"/>
  <c r="W166" i="4"/>
  <c r="K166" i="4"/>
  <c r="BA165" i="4"/>
  <c r="AU165" i="4"/>
  <c r="AO165" i="4"/>
  <c r="AI165" i="4"/>
  <c r="Z165" i="15" s="1"/>
  <c r="CD165" i="15" s="1"/>
  <c r="AC165" i="4"/>
  <c r="W165" i="4"/>
  <c r="K165" i="4"/>
  <c r="BA164" i="4"/>
  <c r="AU164" i="4"/>
  <c r="AO164" i="4"/>
  <c r="AI164" i="4"/>
  <c r="Z164" i="15" s="1"/>
  <c r="CD164" i="15" s="1"/>
  <c r="AC164" i="4"/>
  <c r="W164" i="4"/>
  <c r="K164" i="4"/>
  <c r="AO163" i="4"/>
  <c r="K163" i="4"/>
  <c r="BA162" i="4"/>
  <c r="AU162" i="4"/>
  <c r="AO162" i="4"/>
  <c r="AI162" i="4"/>
  <c r="AC162" i="4"/>
  <c r="K162" i="4"/>
  <c r="AU161" i="4"/>
  <c r="AO161" i="4"/>
  <c r="AI161" i="4"/>
  <c r="Z161" i="15" s="1"/>
  <c r="CD161" i="15" s="1"/>
  <c r="AC161" i="4"/>
  <c r="W161" i="4"/>
  <c r="K161" i="4"/>
  <c r="BA160" i="4"/>
  <c r="AO160" i="4"/>
  <c r="AI160" i="4"/>
  <c r="AC160" i="4"/>
  <c r="W160" i="4"/>
  <c r="K160" i="4"/>
  <c r="BA159" i="4"/>
  <c r="AU159" i="4"/>
  <c r="AO159" i="4"/>
  <c r="AI159" i="4"/>
  <c r="Z159" i="15" s="1"/>
  <c r="CD159" i="15" s="1"/>
  <c r="K159" i="4"/>
  <c r="AO158" i="4"/>
  <c r="AI158" i="4"/>
  <c r="AC158" i="4"/>
  <c r="W158" i="4"/>
  <c r="K158" i="4"/>
  <c r="BA157" i="4"/>
  <c r="AU157" i="4"/>
  <c r="AO157" i="4"/>
  <c r="AI157" i="4"/>
  <c r="AC157" i="4"/>
  <c r="W157" i="4"/>
  <c r="K157" i="4"/>
  <c r="BA156" i="4"/>
  <c r="AU156" i="4"/>
  <c r="AO156" i="4"/>
  <c r="AI156" i="4"/>
  <c r="AC156" i="4"/>
  <c r="W156" i="4"/>
  <c r="K156" i="4"/>
  <c r="AO155" i="4"/>
  <c r="K155" i="4"/>
  <c r="BA154" i="4"/>
  <c r="AU154" i="4"/>
  <c r="AO154" i="4"/>
  <c r="AI154" i="4"/>
  <c r="AC154" i="4"/>
  <c r="K154" i="4"/>
  <c r="AU153" i="4"/>
  <c r="AO153" i="4"/>
  <c r="AI153" i="4"/>
  <c r="AC153" i="4"/>
  <c r="W153" i="4"/>
  <c r="K153" i="4"/>
  <c r="BA152" i="4"/>
  <c r="AU152" i="4"/>
  <c r="AO152" i="4"/>
  <c r="AI152" i="4"/>
  <c r="Z152" i="15" s="1"/>
  <c r="CD152" i="15" s="1"/>
  <c r="AC152" i="4"/>
  <c r="W152" i="4"/>
  <c r="K152" i="4"/>
  <c r="BA151" i="4"/>
  <c r="AU151" i="4"/>
  <c r="AO151" i="4"/>
  <c r="AI151" i="4"/>
  <c r="Z151" i="15" s="1"/>
  <c r="CD151" i="15" s="1"/>
  <c r="K151" i="4"/>
  <c r="AO150" i="4"/>
  <c r="AI150" i="4"/>
  <c r="Z150" i="15" s="1"/>
  <c r="CD150" i="15" s="1"/>
  <c r="AC150" i="4"/>
  <c r="W150" i="4"/>
  <c r="K150" i="4"/>
  <c r="BA149" i="4"/>
  <c r="AU149" i="4"/>
  <c r="AO149" i="4"/>
  <c r="AI149" i="4"/>
  <c r="AC149" i="4"/>
  <c r="W149" i="4"/>
  <c r="K149" i="4"/>
  <c r="BA148" i="4"/>
  <c r="AU148" i="4"/>
  <c r="AO148" i="4"/>
  <c r="AI148" i="4"/>
  <c r="AC148" i="4"/>
  <c r="W148" i="4"/>
  <c r="K148" i="4"/>
  <c r="AO147" i="4"/>
  <c r="K147" i="4"/>
  <c r="BA146" i="4"/>
  <c r="AU146" i="4"/>
  <c r="AO146" i="4"/>
  <c r="AI146" i="4"/>
  <c r="Z146" i="15" s="1"/>
  <c r="CD146" i="15" s="1"/>
  <c r="AC146" i="4"/>
  <c r="K146" i="4"/>
  <c r="AU145" i="4"/>
  <c r="AO145" i="4"/>
  <c r="AI145" i="4"/>
  <c r="Z145" i="15" s="1"/>
  <c r="CD145" i="15" s="1"/>
  <c r="AC145" i="4"/>
  <c r="W145" i="4"/>
  <c r="K145" i="4"/>
  <c r="BA144" i="4"/>
  <c r="AO144" i="4"/>
  <c r="AI144" i="4"/>
  <c r="AC144" i="4"/>
  <c r="W144" i="4"/>
  <c r="K144" i="4"/>
  <c r="BA143" i="4"/>
  <c r="AU143" i="4"/>
  <c r="AO143" i="4"/>
  <c r="AI143" i="4"/>
  <c r="K143" i="4"/>
  <c r="AO142" i="4"/>
  <c r="AI142" i="4"/>
  <c r="AC142" i="4"/>
  <c r="W142" i="4"/>
  <c r="K142" i="4"/>
  <c r="BA141" i="4"/>
  <c r="AU141" i="4"/>
  <c r="AO141" i="4"/>
  <c r="AI141" i="4"/>
  <c r="Z141" i="15" s="1"/>
  <c r="CD141" i="15" s="1"/>
  <c r="AC141" i="4"/>
  <c r="W141" i="4"/>
  <c r="K141" i="4"/>
  <c r="BA140" i="4"/>
  <c r="AU140" i="4"/>
  <c r="AO140" i="4"/>
  <c r="AI140" i="4"/>
  <c r="Z140" i="15" s="1"/>
  <c r="CD140" i="15" s="1"/>
  <c r="AC140" i="4"/>
  <c r="W140" i="4"/>
  <c r="K140" i="4"/>
  <c r="AO139" i="4"/>
  <c r="K139" i="4"/>
  <c r="BA138" i="4"/>
  <c r="AU138" i="4"/>
  <c r="AO138" i="4"/>
  <c r="AI138" i="4"/>
  <c r="Z138" i="15" s="1"/>
  <c r="CD138" i="15" s="1"/>
  <c r="AC138" i="4"/>
  <c r="K138" i="4"/>
  <c r="AU137" i="4"/>
  <c r="AO137" i="4"/>
  <c r="AI137" i="4"/>
  <c r="Z137" i="15" s="1"/>
  <c r="CD137" i="15" s="1"/>
  <c r="AC137" i="4"/>
  <c r="W137" i="4"/>
  <c r="K137" i="4"/>
  <c r="BA136" i="4"/>
  <c r="AO136" i="4"/>
  <c r="AI136" i="4"/>
  <c r="Z136" i="15" s="1"/>
  <c r="CD136" i="15" s="1"/>
  <c r="AC136" i="4"/>
  <c r="W136" i="4"/>
  <c r="K136" i="4"/>
  <c r="BA135" i="4"/>
  <c r="AU135" i="4"/>
  <c r="AO135" i="4"/>
  <c r="AI135" i="4"/>
  <c r="K135" i="4"/>
  <c r="AU134" i="4"/>
  <c r="AO134" i="4"/>
  <c r="AI134" i="4"/>
  <c r="AC134" i="4"/>
  <c r="W134" i="4"/>
  <c r="K134" i="4"/>
  <c r="BA133" i="4"/>
  <c r="AU133" i="4"/>
  <c r="AO133" i="4"/>
  <c r="AI133" i="4"/>
  <c r="Z133" i="15" s="1"/>
  <c r="CD133" i="15" s="1"/>
  <c r="AC133" i="4"/>
  <c r="W133" i="4"/>
  <c r="K133" i="4"/>
  <c r="BA132" i="4"/>
  <c r="AU132" i="4"/>
  <c r="AO132" i="4"/>
  <c r="AI132" i="4"/>
  <c r="AC132" i="4"/>
  <c r="W132" i="4"/>
  <c r="K132" i="4"/>
  <c r="AO131" i="4"/>
  <c r="K131" i="4"/>
  <c r="BA130" i="4"/>
  <c r="AU130" i="4"/>
  <c r="AO130" i="4"/>
  <c r="AI130" i="4"/>
  <c r="Z130" i="15" s="1"/>
  <c r="CD130" i="15" s="1"/>
  <c r="AC130" i="4"/>
  <c r="K130" i="4"/>
  <c r="AU129" i="4"/>
  <c r="AO129" i="4"/>
  <c r="AI129" i="4"/>
  <c r="Z129" i="15" s="1"/>
  <c r="CD129" i="15" s="1"/>
  <c r="AC129" i="4"/>
  <c r="W129" i="4"/>
  <c r="K129" i="4"/>
  <c r="BA128" i="4"/>
  <c r="AO128" i="4"/>
  <c r="AI128" i="4"/>
  <c r="AC128" i="4"/>
  <c r="W128" i="4"/>
  <c r="K128" i="4"/>
  <c r="BA127" i="4"/>
  <c r="AU127" i="4"/>
  <c r="AO127" i="4"/>
  <c r="AI127" i="4"/>
  <c r="Z127" i="15" s="1"/>
  <c r="CD127" i="15" s="1"/>
  <c r="K127" i="4"/>
  <c r="AO126" i="4"/>
  <c r="AI126" i="4"/>
  <c r="AC126" i="4"/>
  <c r="W126" i="4"/>
  <c r="K126" i="4"/>
  <c r="BA125" i="4"/>
  <c r="AU125" i="4"/>
  <c r="AO125" i="4"/>
  <c r="AI125" i="4"/>
  <c r="Z125" i="15" s="1"/>
  <c r="CD125" i="15" s="1"/>
  <c r="AC125" i="4"/>
  <c r="W125" i="4"/>
  <c r="K125" i="4"/>
  <c r="BA124" i="4"/>
  <c r="AU124" i="4"/>
  <c r="AO124" i="4"/>
  <c r="AI124" i="4"/>
  <c r="Z124" i="15" s="1"/>
  <c r="CD124" i="15" s="1"/>
  <c r="AC124" i="4"/>
  <c r="W124" i="4"/>
  <c r="K124" i="4"/>
  <c r="BA123" i="4"/>
  <c r="AO123" i="4"/>
  <c r="K123" i="4"/>
  <c r="BA122" i="4"/>
  <c r="AU122" i="4"/>
  <c r="AO122" i="4"/>
  <c r="AI122" i="4"/>
  <c r="AC122" i="4"/>
  <c r="K122" i="4"/>
  <c r="AU121" i="4"/>
  <c r="AO121" i="4"/>
  <c r="AI121" i="4"/>
  <c r="AC121" i="4"/>
  <c r="W121" i="4"/>
  <c r="K121" i="4"/>
  <c r="BA120" i="4"/>
  <c r="AU120" i="4"/>
  <c r="AO120" i="4"/>
  <c r="AI120" i="4"/>
  <c r="Z120" i="15" s="1"/>
  <c r="CD120" i="15" s="1"/>
  <c r="AC120" i="4"/>
  <c r="W120" i="4"/>
  <c r="K120" i="4"/>
  <c r="BA119" i="4"/>
  <c r="AU119" i="4"/>
  <c r="AO119" i="4"/>
  <c r="AI119" i="4"/>
  <c r="Z119" i="15" s="1"/>
  <c r="CD119" i="15" s="1"/>
  <c r="K119" i="4"/>
  <c r="AO118" i="4"/>
  <c r="AI118" i="4"/>
  <c r="Z118" i="15" s="1"/>
  <c r="CD118" i="15" s="1"/>
  <c r="AC118" i="4"/>
  <c r="W118" i="4"/>
  <c r="K118" i="4"/>
  <c r="BA117" i="4"/>
  <c r="AU117" i="4"/>
  <c r="AO117" i="4"/>
  <c r="AI117" i="4"/>
  <c r="AC117" i="4"/>
  <c r="W117" i="4"/>
  <c r="K117" i="4"/>
  <c r="BA116" i="4"/>
  <c r="AU116" i="4"/>
  <c r="AO116" i="4"/>
  <c r="AI116" i="4"/>
  <c r="AC116" i="4"/>
  <c r="W116" i="4"/>
  <c r="K116" i="4"/>
  <c r="BA115" i="4"/>
  <c r="AO115" i="4"/>
  <c r="K115" i="4"/>
  <c r="BA114" i="4"/>
  <c r="AU114" i="4"/>
  <c r="AO114" i="4"/>
  <c r="AI114" i="4"/>
  <c r="Z114" i="15" s="1"/>
  <c r="CD114" i="15" s="1"/>
  <c r="AC114" i="4"/>
  <c r="K114" i="4"/>
  <c r="AU113" i="4"/>
  <c r="AO113" i="4"/>
  <c r="AI113" i="4"/>
  <c r="AC113" i="4"/>
  <c r="W113" i="4"/>
  <c r="K113" i="4"/>
  <c r="BA112" i="4"/>
  <c r="AO112" i="4"/>
  <c r="AI112" i="4"/>
  <c r="AC112" i="4"/>
  <c r="W112" i="4"/>
  <c r="K112" i="4"/>
  <c r="BA111" i="4"/>
  <c r="AU111" i="4"/>
  <c r="AO111" i="4"/>
  <c r="AI111" i="4"/>
  <c r="K111" i="4"/>
  <c r="AO110" i="4"/>
  <c r="AI110" i="4"/>
  <c r="AC110" i="4"/>
  <c r="W110" i="4"/>
  <c r="K110" i="4"/>
  <c r="BA109" i="4"/>
  <c r="AU109" i="4"/>
  <c r="AO109" i="4"/>
  <c r="AI109" i="4"/>
  <c r="Z109" i="15" s="1"/>
  <c r="CD109" i="15" s="1"/>
  <c r="AC109" i="4"/>
  <c r="W109" i="4"/>
  <c r="K109" i="4"/>
  <c r="BA108" i="4"/>
  <c r="AU108" i="4"/>
  <c r="AO108" i="4"/>
  <c r="AI108" i="4"/>
  <c r="Z108" i="15" s="1"/>
  <c r="CD108" i="15" s="1"/>
  <c r="AC108" i="4"/>
  <c r="W108" i="4"/>
  <c r="K108" i="4"/>
  <c r="AO107" i="4"/>
  <c r="K107" i="4"/>
  <c r="BA106" i="4"/>
  <c r="AU106" i="4"/>
  <c r="AO106" i="4"/>
  <c r="AI106" i="4"/>
  <c r="Z106" i="15" s="1"/>
  <c r="CD106" i="15" s="1"/>
  <c r="AC106" i="4"/>
  <c r="K106" i="4"/>
  <c r="BA105" i="4"/>
  <c r="AU105" i="4"/>
  <c r="AO105" i="4"/>
  <c r="AI105" i="4"/>
  <c r="Z105" i="15" s="1"/>
  <c r="CD105" i="15" s="1"/>
  <c r="AC105" i="4"/>
  <c r="W105" i="4"/>
  <c r="K105" i="4"/>
  <c r="BA104" i="4"/>
  <c r="AO104" i="4"/>
  <c r="AI104" i="4"/>
  <c r="Z104" i="15" s="1"/>
  <c r="CD104" i="15" s="1"/>
  <c r="AC104" i="4"/>
  <c r="W104" i="4"/>
  <c r="K104" i="4"/>
  <c r="BA103" i="4"/>
  <c r="AU103" i="4"/>
  <c r="AO103" i="4"/>
  <c r="AI103" i="4"/>
  <c r="K103" i="4"/>
  <c r="AU102" i="4"/>
  <c r="AO102" i="4"/>
  <c r="AI102" i="4"/>
  <c r="Z102" i="15" s="1"/>
  <c r="CD102" i="15" s="1"/>
  <c r="AC102" i="4"/>
  <c r="W102" i="4"/>
  <c r="K102" i="4"/>
  <c r="BA101" i="4"/>
  <c r="AU101" i="4"/>
  <c r="AO101" i="4"/>
  <c r="AI101" i="4"/>
  <c r="Z101" i="15" s="1"/>
  <c r="CD101" i="15" s="1"/>
  <c r="AC101" i="4"/>
  <c r="W101" i="4"/>
  <c r="K101" i="4"/>
  <c r="BA100" i="4"/>
  <c r="AU100" i="4"/>
  <c r="AO100" i="4"/>
  <c r="AI100" i="4"/>
  <c r="Z100" i="15" s="1"/>
  <c r="CD100" i="15" s="1"/>
  <c r="AC100" i="4"/>
  <c r="W100" i="4"/>
  <c r="K100" i="4"/>
  <c r="AO99" i="4"/>
  <c r="K99" i="4"/>
  <c r="BA98" i="4"/>
  <c r="AU98" i="4"/>
  <c r="AO98" i="4"/>
  <c r="AI98" i="4"/>
  <c r="AC98" i="4"/>
  <c r="K98" i="4"/>
  <c r="BA97" i="4"/>
  <c r="AU97" i="4"/>
  <c r="AO97" i="4"/>
  <c r="AI97" i="4"/>
  <c r="Z97" i="15" s="1"/>
  <c r="CD97" i="15" s="1"/>
  <c r="AC97" i="4"/>
  <c r="W97" i="4"/>
  <c r="K97" i="4"/>
  <c r="BA96" i="4"/>
  <c r="AO96" i="4"/>
  <c r="AI96" i="4"/>
  <c r="AC96" i="4"/>
  <c r="W96" i="4"/>
  <c r="K96" i="4"/>
  <c r="BA95" i="4"/>
  <c r="AU95" i="4"/>
  <c r="AO95" i="4"/>
  <c r="AI95" i="4"/>
  <c r="Z95" i="15" s="1"/>
  <c r="CD95" i="15" s="1"/>
  <c r="K95" i="4"/>
  <c r="AO94" i="4"/>
  <c r="AI94" i="4"/>
  <c r="AC94" i="4"/>
  <c r="W94" i="4"/>
  <c r="K94" i="4"/>
  <c r="BA93" i="4"/>
  <c r="AU93" i="4"/>
  <c r="AO93" i="4"/>
  <c r="AI93" i="4"/>
  <c r="AC93" i="4"/>
  <c r="W93" i="4"/>
  <c r="K93" i="4"/>
  <c r="BA92" i="4"/>
  <c r="AU92" i="4"/>
  <c r="AO92" i="4"/>
  <c r="AI92" i="4"/>
  <c r="Z92" i="15" s="1"/>
  <c r="CD92" i="15" s="1"/>
  <c r="AC92" i="4"/>
  <c r="W92" i="4"/>
  <c r="K92" i="4"/>
  <c r="AO91" i="4"/>
  <c r="K91" i="4"/>
  <c r="BA90" i="4"/>
  <c r="AU90" i="4"/>
  <c r="AO90" i="4"/>
  <c r="AI90" i="4"/>
  <c r="AC90" i="4"/>
  <c r="K90" i="4"/>
  <c r="AU89" i="4"/>
  <c r="AO89" i="4"/>
  <c r="AI89" i="4"/>
  <c r="AC89" i="4"/>
  <c r="W89" i="4"/>
  <c r="K89" i="4"/>
  <c r="BA88" i="4"/>
  <c r="AU88" i="4"/>
  <c r="AO88" i="4"/>
  <c r="AI88" i="4"/>
  <c r="Z88" i="15" s="1"/>
  <c r="CD88" i="15" s="1"/>
  <c r="AC88" i="4"/>
  <c r="W88" i="4"/>
  <c r="K88" i="4"/>
  <c r="BA87" i="4"/>
  <c r="AU87" i="4"/>
  <c r="AO87" i="4"/>
  <c r="AI87" i="4"/>
  <c r="Z87" i="15" s="1"/>
  <c r="CD87" i="15" s="1"/>
  <c r="K87" i="4"/>
  <c r="AO86" i="4"/>
  <c r="AI86" i="4"/>
  <c r="Z86" i="15" s="1"/>
  <c r="CD86" i="15" s="1"/>
  <c r="AC86" i="4"/>
  <c r="W86" i="4"/>
  <c r="K86" i="4"/>
  <c r="BA85" i="4"/>
  <c r="AU85" i="4"/>
  <c r="AO85" i="4"/>
  <c r="AI85" i="4"/>
  <c r="AC85" i="4"/>
  <c r="W85" i="4"/>
  <c r="K85" i="4"/>
  <c r="BA84" i="4"/>
  <c r="AU84" i="4"/>
  <c r="AO84" i="4"/>
  <c r="AI84" i="4"/>
  <c r="AC84" i="4"/>
  <c r="W84" i="4"/>
  <c r="K84" i="4"/>
  <c r="AO83" i="4"/>
  <c r="K83" i="4"/>
  <c r="BA82" i="4"/>
  <c r="AU82" i="4"/>
  <c r="AO82" i="4"/>
  <c r="AI82" i="4"/>
  <c r="AC82" i="4"/>
  <c r="K82" i="4"/>
  <c r="AU81" i="4"/>
  <c r="AO81" i="4"/>
  <c r="AI81" i="4"/>
  <c r="Z81" i="15" s="1"/>
  <c r="CD81" i="15" s="1"/>
  <c r="AC81" i="4"/>
  <c r="W81" i="4"/>
  <c r="K81" i="4"/>
  <c r="BA80" i="4"/>
  <c r="AO80" i="4"/>
  <c r="AI80" i="4"/>
  <c r="AC80" i="4"/>
  <c r="W80" i="4"/>
  <c r="K80" i="4"/>
  <c r="BA79" i="4"/>
  <c r="AU79" i="4"/>
  <c r="AO79" i="4"/>
  <c r="AI79" i="4"/>
  <c r="K79" i="4"/>
  <c r="AO78" i="4"/>
  <c r="AI78" i="4"/>
  <c r="AC78" i="4"/>
  <c r="W78" i="4"/>
  <c r="K78" i="4"/>
  <c r="BA77" i="4"/>
  <c r="AU77" i="4"/>
  <c r="AO77" i="4"/>
  <c r="AI77" i="4"/>
  <c r="Z77" i="15" s="1"/>
  <c r="CD77" i="15" s="1"/>
  <c r="AC77" i="4"/>
  <c r="W77" i="4"/>
  <c r="K77" i="4"/>
  <c r="BA76" i="4"/>
  <c r="AU76" i="4"/>
  <c r="AO76" i="4"/>
  <c r="AI76" i="4"/>
  <c r="Z76" i="15" s="1"/>
  <c r="CD76" i="15" s="1"/>
  <c r="AC76" i="4"/>
  <c r="W76" i="4"/>
  <c r="K76" i="4"/>
  <c r="AO75" i="4"/>
  <c r="K75" i="4"/>
  <c r="BA74" i="4"/>
  <c r="AU74" i="4"/>
  <c r="AO74" i="4"/>
  <c r="AI74" i="4"/>
  <c r="Z74" i="15" s="1"/>
  <c r="CD74" i="15" s="1"/>
  <c r="AC74" i="4"/>
  <c r="K74" i="4"/>
  <c r="AU73" i="4"/>
  <c r="AO73" i="4"/>
  <c r="AI73" i="4"/>
  <c r="Z73" i="15" s="1"/>
  <c r="CD73" i="15" s="1"/>
  <c r="AC73" i="4"/>
  <c r="W73" i="4"/>
  <c r="K73" i="4"/>
  <c r="BA72" i="4"/>
  <c r="AO72" i="4"/>
  <c r="AI72" i="4"/>
  <c r="AC72" i="4"/>
  <c r="W72" i="4"/>
  <c r="K72" i="4"/>
  <c r="BA71" i="4"/>
  <c r="AU71" i="4"/>
  <c r="AO71" i="4"/>
  <c r="AI71" i="4"/>
  <c r="Z71" i="15" s="1"/>
  <c r="CD71" i="15" s="1"/>
  <c r="K71" i="4"/>
  <c r="BA70" i="4"/>
  <c r="AU70" i="4"/>
  <c r="AO70" i="4"/>
  <c r="AI70" i="4"/>
  <c r="Z70" i="15" s="1"/>
  <c r="CD70" i="15" s="1"/>
  <c r="AC70" i="4"/>
  <c r="W70" i="4"/>
  <c r="K70" i="4"/>
  <c r="BA69" i="4"/>
  <c r="AU69" i="4"/>
  <c r="AO69" i="4"/>
  <c r="AI69" i="4"/>
  <c r="Z69" i="15" s="1"/>
  <c r="CD69" i="15" s="1"/>
  <c r="AC69" i="4"/>
  <c r="W69" i="4"/>
  <c r="K69" i="4"/>
  <c r="BA68" i="4"/>
  <c r="AU68" i="4"/>
  <c r="AO68" i="4"/>
  <c r="AI68" i="4"/>
  <c r="AC68" i="4"/>
  <c r="W68" i="4"/>
  <c r="K68" i="4"/>
  <c r="AO67" i="4"/>
  <c r="K67" i="4"/>
  <c r="BA66" i="4"/>
  <c r="AU66" i="4"/>
  <c r="AO66" i="4"/>
  <c r="AI66" i="4"/>
  <c r="Z66" i="15" s="1"/>
  <c r="CD66" i="15" s="1"/>
  <c r="AC66" i="4"/>
  <c r="K66" i="4"/>
  <c r="AU65" i="4"/>
  <c r="AO65" i="4"/>
  <c r="AI65" i="4"/>
  <c r="Z65" i="15" s="1"/>
  <c r="CD65" i="15" s="1"/>
  <c r="AC65" i="4"/>
  <c r="W65" i="4"/>
  <c r="K65" i="4"/>
  <c r="BA64" i="4"/>
  <c r="AO64" i="4"/>
  <c r="AI64" i="4"/>
  <c r="AC64" i="4"/>
  <c r="W64" i="4"/>
  <c r="K64" i="4"/>
  <c r="BA63" i="4"/>
  <c r="AU63" i="4"/>
  <c r="AO63" i="4"/>
  <c r="AI63" i="4"/>
  <c r="Z63" i="15" s="1"/>
  <c r="CD63" i="15" s="1"/>
  <c r="K63" i="4"/>
  <c r="BA62" i="4"/>
  <c r="AO62" i="4"/>
  <c r="AI62" i="4"/>
  <c r="AC62" i="4"/>
  <c r="W62" i="4"/>
  <c r="K62" i="4"/>
  <c r="BA61" i="4"/>
  <c r="AU61" i="4"/>
  <c r="AO61" i="4"/>
  <c r="AI61" i="4"/>
  <c r="Z61" i="15" s="1"/>
  <c r="CD61" i="15" s="1"/>
  <c r="AC61" i="4"/>
  <c r="W61" i="4"/>
  <c r="K61" i="4"/>
  <c r="BA60" i="4"/>
  <c r="AU60" i="4"/>
  <c r="AO60" i="4"/>
  <c r="AI60" i="4"/>
  <c r="Z60" i="15" s="1"/>
  <c r="CD60" i="15" s="1"/>
  <c r="AC60" i="4"/>
  <c r="W60" i="4"/>
  <c r="K60" i="4"/>
  <c r="AO59" i="4"/>
  <c r="K59" i="4"/>
  <c r="BA58" i="4"/>
  <c r="AU58" i="4"/>
  <c r="AO58" i="4"/>
  <c r="AI58" i="4"/>
  <c r="Z58" i="15" s="1"/>
  <c r="CD58" i="15" s="1"/>
  <c r="AC58" i="4"/>
  <c r="K58" i="4"/>
  <c r="AU57" i="4"/>
  <c r="AO57" i="4"/>
  <c r="AI57" i="4"/>
  <c r="AC57" i="4"/>
  <c r="W57" i="4"/>
  <c r="K57" i="4"/>
  <c r="BA56" i="4"/>
  <c r="AU56" i="4"/>
  <c r="AO56" i="4"/>
  <c r="AI56" i="4"/>
  <c r="Z56" i="15" s="1"/>
  <c r="CD56" i="15" s="1"/>
  <c r="AC56" i="4"/>
  <c r="W56" i="4"/>
  <c r="K56" i="4"/>
  <c r="BA55" i="4"/>
  <c r="AU55" i="4"/>
  <c r="AO55" i="4"/>
  <c r="AI55" i="4"/>
  <c r="Z55" i="15" s="1"/>
  <c r="CD55" i="15" s="1"/>
  <c r="K55" i="4"/>
  <c r="BA54" i="4"/>
  <c r="AO54" i="4"/>
  <c r="AI54" i="4"/>
  <c r="Z54" i="15" s="1"/>
  <c r="CD54" i="15" s="1"/>
  <c r="AC54" i="4"/>
  <c r="W54" i="4"/>
  <c r="K54" i="4"/>
  <c r="BA53" i="4"/>
  <c r="AU53" i="4"/>
  <c r="AO53" i="4"/>
  <c r="AI53" i="4"/>
  <c r="Z53" i="15" s="1"/>
  <c r="CD53" i="15" s="1"/>
  <c r="AC53" i="4"/>
  <c r="W53" i="4"/>
  <c r="K53" i="4"/>
  <c r="BA52" i="4"/>
  <c r="AU52" i="4"/>
  <c r="AO52" i="4"/>
  <c r="AI52" i="4"/>
  <c r="AC52" i="4"/>
  <c r="W52" i="4"/>
  <c r="K52" i="4"/>
  <c r="AO51" i="4"/>
  <c r="K51" i="4"/>
  <c r="BA50" i="4"/>
  <c r="AU50" i="4"/>
  <c r="AO50" i="4"/>
  <c r="AI50" i="4"/>
  <c r="Z50" i="15" s="1"/>
  <c r="CD50" i="15" s="1"/>
  <c r="AC50" i="4"/>
  <c r="K50" i="4"/>
  <c r="AU49" i="4"/>
  <c r="AO49" i="4"/>
  <c r="AI49" i="4"/>
  <c r="Z49" i="15" s="1"/>
  <c r="CD49" i="15" s="1"/>
  <c r="AC49" i="4"/>
  <c r="W49" i="4"/>
  <c r="K49" i="4"/>
  <c r="BA48" i="4"/>
  <c r="AO48" i="4"/>
  <c r="AI48" i="4"/>
  <c r="AC48" i="4"/>
  <c r="W48" i="4"/>
  <c r="K48" i="4"/>
  <c r="BA47" i="4"/>
  <c r="AU47" i="4"/>
  <c r="AO47" i="4"/>
  <c r="AI47" i="4"/>
  <c r="K47" i="4"/>
  <c r="AO46" i="4"/>
  <c r="AI46" i="4"/>
  <c r="AC46" i="4"/>
  <c r="W46" i="4"/>
  <c r="K46" i="4"/>
  <c r="BA45" i="4"/>
  <c r="AU45" i="4"/>
  <c r="AO45" i="4"/>
  <c r="AI45" i="4"/>
  <c r="Z45" i="15" s="1"/>
  <c r="CD45" i="15" s="1"/>
  <c r="AC45" i="4"/>
  <c r="W45" i="4"/>
  <c r="K45" i="4"/>
  <c r="BA44" i="4"/>
  <c r="AU44" i="4"/>
  <c r="AO44" i="4"/>
  <c r="AI44" i="4"/>
  <c r="Z44" i="15" s="1"/>
  <c r="CD44" i="15" s="1"/>
  <c r="AC44" i="4"/>
  <c r="W44" i="4"/>
  <c r="K44" i="4"/>
  <c r="AO43" i="4"/>
  <c r="K43" i="4"/>
  <c r="BA42" i="4"/>
  <c r="AU42" i="4"/>
  <c r="AO42" i="4"/>
  <c r="AI42" i="4"/>
  <c r="Z42" i="15" s="1"/>
  <c r="CD42" i="15" s="1"/>
  <c r="AC42" i="4"/>
  <c r="K42" i="4"/>
  <c r="AU41" i="4"/>
  <c r="AO41" i="4"/>
  <c r="AI41" i="4"/>
  <c r="Z41" i="15" s="1"/>
  <c r="CD41" i="15" s="1"/>
  <c r="AC41" i="4"/>
  <c r="W41" i="4"/>
  <c r="K41" i="4"/>
  <c r="BA40" i="4"/>
  <c r="AO40" i="4"/>
  <c r="AI40" i="4"/>
  <c r="Z40" i="15" s="1"/>
  <c r="CD40" i="15" s="1"/>
  <c r="AC40" i="4"/>
  <c r="W40" i="4"/>
  <c r="K40" i="4"/>
  <c r="BA39" i="4"/>
  <c r="AU39" i="4"/>
  <c r="AO39" i="4"/>
  <c r="AI39" i="4"/>
  <c r="Z39" i="15" s="1"/>
  <c r="CD39" i="15" s="1"/>
  <c r="K39" i="4"/>
  <c r="AU38" i="4"/>
  <c r="AO38" i="4"/>
  <c r="AI38" i="4"/>
  <c r="Z38" i="15" s="1"/>
  <c r="CD38" i="15" s="1"/>
  <c r="AC38" i="4"/>
  <c r="W38" i="4"/>
  <c r="K38" i="4"/>
  <c r="BA37" i="4"/>
  <c r="AU37" i="4"/>
  <c r="AO37" i="4"/>
  <c r="AI37" i="4"/>
  <c r="Z37" i="15" s="1"/>
  <c r="CD37" i="15" s="1"/>
  <c r="AC37" i="4"/>
  <c r="W37" i="4"/>
  <c r="K37" i="4"/>
  <c r="BA36" i="4"/>
  <c r="AU36" i="4"/>
  <c r="AO36" i="4"/>
  <c r="AI36" i="4"/>
  <c r="Z36" i="15" s="1"/>
  <c r="CD36" i="15" s="1"/>
  <c r="AC36" i="4"/>
  <c r="W36" i="4"/>
  <c r="K36" i="4"/>
  <c r="AO35" i="4"/>
  <c r="K35" i="4"/>
  <c r="BA34" i="4"/>
  <c r="AU34" i="4"/>
  <c r="AO34" i="4"/>
  <c r="AI34" i="4"/>
  <c r="Z34" i="15" s="1"/>
  <c r="CD34" i="15" s="1"/>
  <c r="AC34" i="4"/>
  <c r="K34" i="4"/>
  <c r="AU33" i="4"/>
  <c r="AO33" i="4"/>
  <c r="AI33" i="4"/>
  <c r="AC33" i="4"/>
  <c r="W33" i="4"/>
  <c r="K33" i="4"/>
  <c r="BA32" i="4"/>
  <c r="AO32" i="4"/>
  <c r="AI32" i="4"/>
  <c r="AC32" i="4"/>
  <c r="W32" i="4"/>
  <c r="K32" i="4"/>
  <c r="BA31" i="4"/>
  <c r="AU31" i="4"/>
  <c r="AO31" i="4"/>
  <c r="AI31" i="4"/>
  <c r="Z31" i="15" s="1"/>
  <c r="CD31" i="15" s="1"/>
  <c r="K31" i="4"/>
  <c r="AO30" i="4"/>
  <c r="AI30" i="4"/>
  <c r="AC30" i="4"/>
  <c r="W30" i="4"/>
  <c r="K30" i="4"/>
  <c r="BA29" i="4"/>
  <c r="AU29" i="4"/>
  <c r="AO29" i="4"/>
  <c r="AI29" i="4"/>
  <c r="Z29" i="15" s="1"/>
  <c r="CD29" i="15" s="1"/>
  <c r="AC29" i="4"/>
  <c r="W29" i="4"/>
  <c r="K29" i="4"/>
  <c r="BA28" i="4"/>
  <c r="AU28" i="4"/>
  <c r="AO28" i="4"/>
  <c r="AI28" i="4"/>
  <c r="Z28" i="15" s="1"/>
  <c r="CD28" i="15" s="1"/>
  <c r="AC28" i="4"/>
  <c r="W28" i="4"/>
  <c r="K28" i="4"/>
  <c r="AO27" i="4"/>
  <c r="K27" i="4"/>
  <c r="BA26" i="4"/>
  <c r="AU26" i="4"/>
  <c r="AO26" i="4"/>
  <c r="AI26" i="4"/>
  <c r="Z26" i="15" s="1"/>
  <c r="CD26" i="15" s="1"/>
  <c r="AC26" i="4"/>
  <c r="K26" i="4"/>
  <c r="AU25" i="4"/>
  <c r="AO25" i="4"/>
  <c r="AI25" i="4"/>
  <c r="Z25" i="15" s="1"/>
  <c r="CD25" i="15" s="1"/>
  <c r="AC25" i="4"/>
  <c r="W25" i="4"/>
  <c r="K25" i="4"/>
  <c r="BA24" i="4"/>
  <c r="AU24" i="4"/>
  <c r="AO24" i="4"/>
  <c r="AI24" i="4"/>
  <c r="Z24" i="15" s="1"/>
  <c r="CD24" i="15" s="1"/>
  <c r="AC24" i="4"/>
  <c r="W24" i="4"/>
  <c r="K24" i="4"/>
  <c r="BA23" i="4"/>
  <c r="AU23" i="4"/>
  <c r="AO23" i="4"/>
  <c r="AI23" i="4"/>
  <c r="Z23" i="15" s="1"/>
  <c r="CD23" i="15" s="1"/>
  <c r="K23" i="4"/>
  <c r="AO22" i="4"/>
  <c r="AI22" i="4"/>
  <c r="Z22" i="15" s="1"/>
  <c r="CD22" i="15" s="1"/>
  <c r="AC22" i="4"/>
  <c r="W22" i="4"/>
  <c r="K22" i="4"/>
  <c r="BA21" i="4"/>
  <c r="AU21" i="4"/>
  <c r="AO21" i="4"/>
  <c r="AI21" i="4"/>
  <c r="Z21" i="15" s="1"/>
  <c r="CD21" i="15" s="1"/>
  <c r="AC21" i="4"/>
  <c r="W21" i="4"/>
  <c r="K21" i="4"/>
  <c r="BA20" i="4"/>
  <c r="AU20" i="4"/>
  <c r="AO20" i="4"/>
  <c r="AI20" i="4"/>
  <c r="AC20" i="4"/>
  <c r="W20" i="4"/>
  <c r="K20" i="4"/>
  <c r="AO19" i="4"/>
  <c r="K19" i="4"/>
  <c r="BA18" i="4"/>
  <c r="AU18" i="4"/>
  <c r="AO18" i="4"/>
  <c r="AI18" i="4"/>
  <c r="AC18" i="4"/>
  <c r="K18" i="4"/>
  <c r="AU17" i="4"/>
  <c r="AO17" i="4"/>
  <c r="AI17" i="4"/>
  <c r="Z17" i="15" s="1"/>
  <c r="CD17" i="15" s="1"/>
  <c r="AC17" i="4"/>
  <c r="W17" i="4"/>
  <c r="K17" i="4"/>
  <c r="BA16" i="4"/>
  <c r="AO16" i="4"/>
  <c r="AI16" i="4"/>
  <c r="AC16" i="4"/>
  <c r="W16" i="4"/>
  <c r="K16" i="4"/>
  <c r="BA15" i="4"/>
  <c r="AU15" i="4"/>
  <c r="AO15" i="4"/>
  <c r="AI15" i="4"/>
  <c r="Z15" i="15" s="1"/>
  <c r="CD15" i="15" s="1"/>
  <c r="K15" i="4"/>
  <c r="AO14" i="4"/>
  <c r="AI14" i="4"/>
  <c r="AC14" i="4"/>
  <c r="W14" i="4"/>
  <c r="K14" i="4"/>
  <c r="BA13" i="4"/>
  <c r="AU13" i="4"/>
  <c r="AO13" i="4"/>
  <c r="AI13" i="4"/>
  <c r="Z13" i="15" s="1"/>
  <c r="CD13" i="15" s="1"/>
  <c r="AC13" i="4"/>
  <c r="W13" i="4"/>
  <c r="K13" i="4"/>
  <c r="BA12" i="4"/>
  <c r="AU12" i="4"/>
  <c r="AO12" i="4"/>
  <c r="AI12" i="4"/>
  <c r="Z12" i="15" s="1"/>
  <c r="CD12" i="15" s="1"/>
  <c r="AC12" i="4"/>
  <c r="W12" i="4"/>
  <c r="K12" i="4"/>
  <c r="AO11" i="4"/>
  <c r="AI11" i="4"/>
  <c r="Z11" i="15" s="1"/>
  <c r="CD11" i="15" s="1"/>
  <c r="K11" i="4"/>
  <c r="BA10" i="4"/>
  <c r="AU10" i="4"/>
  <c r="AO10" i="4"/>
  <c r="AI10" i="4"/>
  <c r="Z10" i="15" s="1"/>
  <c r="CD10" i="15" s="1"/>
  <c r="AC10" i="4"/>
  <c r="K10" i="4"/>
  <c r="AU9" i="4"/>
  <c r="AO9" i="4"/>
  <c r="AI9" i="4"/>
  <c r="AC9" i="4"/>
  <c r="W9" i="4"/>
  <c r="K9" i="4"/>
  <c r="BA8" i="4"/>
  <c r="AO8" i="4"/>
  <c r="AI8" i="4"/>
  <c r="AC8" i="4"/>
  <c r="W8" i="4"/>
  <c r="K8" i="4"/>
  <c r="BA7" i="4"/>
  <c r="AU7" i="4"/>
  <c r="AO7" i="4"/>
  <c r="AI7" i="4"/>
  <c r="Z7" i="15" s="1"/>
  <c r="CD7" i="15" s="1"/>
  <c r="K7" i="4"/>
  <c r="AO6" i="4"/>
  <c r="AI6" i="4"/>
  <c r="AC6" i="4"/>
  <c r="W6" i="4"/>
  <c r="K6" i="4"/>
  <c r="BA5" i="4"/>
  <c r="AU5" i="4"/>
  <c r="AO5" i="4"/>
  <c r="AI5" i="4"/>
  <c r="Z5" i="15" s="1"/>
  <c r="CD5" i="15" s="1"/>
  <c r="AC5" i="4"/>
  <c r="W5" i="4"/>
  <c r="K5" i="4"/>
  <c r="BA4" i="4"/>
  <c r="AU4" i="4"/>
  <c r="AO4" i="4"/>
  <c r="AI4" i="4"/>
  <c r="Z4" i="15" s="1"/>
  <c r="CD4" i="15" s="1"/>
  <c r="AC4" i="4"/>
  <c r="W4" i="4"/>
  <c r="K4" i="4"/>
  <c r="AO3" i="4"/>
  <c r="K3" i="4"/>
  <c r="AO230" i="6"/>
  <c r="AI230" i="6"/>
  <c r="AC230" i="6"/>
  <c r="W230" i="6"/>
  <c r="Q230" i="6"/>
  <c r="AE230" i="15" s="1"/>
  <c r="K230" i="6"/>
  <c r="BA229" i="6"/>
  <c r="AU229" i="6"/>
  <c r="AO229" i="6"/>
  <c r="AI229" i="6"/>
  <c r="AC229" i="6"/>
  <c r="W229" i="6"/>
  <c r="K229" i="6"/>
  <c r="BA228" i="6"/>
  <c r="AO228" i="6"/>
  <c r="AI228" i="6"/>
  <c r="AC228" i="6"/>
  <c r="W228" i="6"/>
  <c r="K228" i="6"/>
  <c r="AO227" i="6"/>
  <c r="W227" i="6"/>
  <c r="AF227" i="15" s="1"/>
  <c r="K227" i="6"/>
  <c r="BA226" i="6"/>
  <c r="AU226" i="6"/>
  <c r="AO226" i="6"/>
  <c r="K226" i="6"/>
  <c r="BA225" i="6"/>
  <c r="AO225" i="6"/>
  <c r="AI225" i="6"/>
  <c r="AC225" i="6"/>
  <c r="W225" i="6"/>
  <c r="K225" i="6"/>
  <c r="AU224" i="6"/>
  <c r="AO224" i="6"/>
  <c r="AI224" i="6"/>
  <c r="AC224" i="6"/>
  <c r="W224" i="6"/>
  <c r="AF224" i="15" s="1"/>
  <c r="K224" i="6"/>
  <c r="BA223" i="6"/>
  <c r="AU223" i="6"/>
  <c r="AO223" i="6"/>
  <c r="AI223" i="6"/>
  <c r="K223" i="6"/>
  <c r="AU222" i="6"/>
  <c r="AO222" i="6"/>
  <c r="AI222" i="6"/>
  <c r="W222" i="6"/>
  <c r="AF222" i="15" s="1"/>
  <c r="CB222" i="15" s="1"/>
  <c r="Q222" i="6"/>
  <c r="AE222" i="15" s="1"/>
  <c r="K222" i="6"/>
  <c r="BA221" i="6"/>
  <c r="AU221" i="6"/>
  <c r="AJ221" i="15" s="1"/>
  <c r="AO221" i="6"/>
  <c r="AI221" i="6"/>
  <c r="AC221" i="6"/>
  <c r="W221" i="6"/>
  <c r="AF221" i="15" s="1"/>
  <c r="CB221" i="15" s="1"/>
  <c r="K221" i="6"/>
  <c r="BA220" i="6"/>
  <c r="AU220" i="6"/>
  <c r="AO220" i="6"/>
  <c r="AI220" i="6"/>
  <c r="AC220" i="6"/>
  <c r="W220" i="6"/>
  <c r="AF220" i="15" s="1"/>
  <c r="Q220" i="6"/>
  <c r="K220" i="6"/>
  <c r="BA219" i="6"/>
  <c r="AO219" i="6"/>
  <c r="K219" i="6"/>
  <c r="BA218" i="6"/>
  <c r="AU218" i="6"/>
  <c r="AO218" i="6"/>
  <c r="K218" i="6"/>
  <c r="BA217" i="6"/>
  <c r="AO217" i="6"/>
  <c r="AI217" i="6"/>
  <c r="AC217" i="6"/>
  <c r="W217" i="6"/>
  <c r="AF217" i="15" s="1"/>
  <c r="Q217" i="6"/>
  <c r="AE217" i="15" s="1"/>
  <c r="K217" i="6"/>
  <c r="AU216" i="6"/>
  <c r="AJ216" i="15" s="1"/>
  <c r="CF216" i="15" s="1"/>
  <c r="AO216" i="6"/>
  <c r="AI216" i="6"/>
  <c r="AC216" i="6"/>
  <c r="W216" i="6"/>
  <c r="AF216" i="15" s="1"/>
  <c r="K216" i="6"/>
  <c r="BA215" i="6"/>
  <c r="AU215" i="6"/>
  <c r="AJ215" i="15" s="1"/>
  <c r="AO215" i="6"/>
  <c r="AI215" i="6"/>
  <c r="Q215" i="6"/>
  <c r="AE215" i="15" s="1"/>
  <c r="K215" i="6"/>
  <c r="AO214" i="6"/>
  <c r="AI214" i="6"/>
  <c r="W214" i="6"/>
  <c r="AF214" i="15" s="1"/>
  <c r="Q214" i="6"/>
  <c r="AE214" i="15" s="1"/>
  <c r="K214" i="6"/>
  <c r="BA213" i="6"/>
  <c r="AU213" i="6"/>
  <c r="AO213" i="6"/>
  <c r="AI213" i="6"/>
  <c r="AC213" i="6"/>
  <c r="W213" i="6"/>
  <c r="AF213" i="15" s="1"/>
  <c r="K213" i="6"/>
  <c r="BA212" i="6"/>
  <c r="AU212" i="6"/>
  <c r="AO212" i="6"/>
  <c r="AI212" i="6"/>
  <c r="AC212" i="6"/>
  <c r="W212" i="6"/>
  <c r="Q212" i="6"/>
  <c r="K212" i="6"/>
  <c r="AO211" i="6"/>
  <c r="AC211" i="6"/>
  <c r="K211" i="6"/>
  <c r="BA210" i="6"/>
  <c r="AU210" i="6"/>
  <c r="AO210" i="6"/>
  <c r="AC210" i="6"/>
  <c r="K210" i="6"/>
  <c r="BA209" i="6"/>
  <c r="AO209" i="6"/>
  <c r="AI209" i="6"/>
  <c r="AC209" i="6"/>
  <c r="W209" i="6"/>
  <c r="Q209" i="6"/>
  <c r="AE209" i="15" s="1"/>
  <c r="K209" i="6"/>
  <c r="AU208" i="6"/>
  <c r="AJ208" i="15" s="1"/>
  <c r="AO208" i="6"/>
  <c r="AI208" i="6"/>
  <c r="AC208" i="6"/>
  <c r="W208" i="6"/>
  <c r="K208" i="6"/>
  <c r="BA207" i="6"/>
  <c r="AU207" i="6"/>
  <c r="AJ207" i="15" s="1"/>
  <c r="AO207" i="6"/>
  <c r="AI207" i="6"/>
  <c r="Q207" i="6"/>
  <c r="AE207" i="15" s="1"/>
  <c r="K207" i="6"/>
  <c r="AO206" i="6"/>
  <c r="AI206" i="6"/>
  <c r="W206" i="6"/>
  <c r="AF206" i="15" s="1"/>
  <c r="K206" i="6"/>
  <c r="BA205" i="6"/>
  <c r="AU205" i="6"/>
  <c r="AO205" i="6"/>
  <c r="AI205" i="6"/>
  <c r="AC205" i="6"/>
  <c r="W205" i="6"/>
  <c r="AF205" i="15" s="1"/>
  <c r="K205" i="6"/>
  <c r="BA204" i="6"/>
  <c r="AU204" i="6"/>
  <c r="AO204" i="6"/>
  <c r="AI204" i="6"/>
  <c r="AC204" i="6"/>
  <c r="W204" i="6"/>
  <c r="Q204" i="6"/>
  <c r="AE204" i="15" s="1"/>
  <c r="K204" i="6"/>
  <c r="AO203" i="6"/>
  <c r="K203" i="6"/>
  <c r="BA202" i="6"/>
  <c r="AU202" i="6"/>
  <c r="AO202" i="6"/>
  <c r="W202" i="6"/>
  <c r="AF202" i="15" s="1"/>
  <c r="K202" i="6"/>
  <c r="BA201" i="6"/>
  <c r="AO201" i="6"/>
  <c r="AI201" i="6"/>
  <c r="AC201" i="6"/>
  <c r="W201" i="6"/>
  <c r="AF201" i="15" s="1"/>
  <c r="Q201" i="6"/>
  <c r="AE201" i="15" s="1"/>
  <c r="K201" i="6"/>
  <c r="AU200" i="6"/>
  <c r="AJ200" i="15" s="1"/>
  <c r="AO200" i="6"/>
  <c r="AI200" i="6"/>
  <c r="AC200" i="6"/>
  <c r="W200" i="6"/>
  <c r="K200" i="6"/>
  <c r="BA199" i="6"/>
  <c r="AU199" i="6"/>
  <c r="AJ199" i="15" s="1"/>
  <c r="AO199" i="6"/>
  <c r="AI199" i="6"/>
  <c r="Q199" i="6"/>
  <c r="AE199" i="15" s="1"/>
  <c r="K199" i="6"/>
  <c r="AO198" i="6"/>
  <c r="AI198" i="6"/>
  <c r="AC198" i="6"/>
  <c r="W198" i="6"/>
  <c r="K198" i="6"/>
  <c r="BA197" i="6"/>
  <c r="AU197" i="6"/>
  <c r="AO197" i="6"/>
  <c r="AI197" i="6"/>
  <c r="AC197" i="6"/>
  <c r="W197" i="6"/>
  <c r="K197" i="6"/>
  <c r="BA196" i="6"/>
  <c r="AU196" i="6"/>
  <c r="AO196" i="6"/>
  <c r="AI196" i="6"/>
  <c r="AC196" i="6"/>
  <c r="W196" i="6"/>
  <c r="Q196" i="6"/>
  <c r="AE196" i="15" s="1"/>
  <c r="K196" i="6"/>
  <c r="AU195" i="6"/>
  <c r="AJ195" i="15" s="1"/>
  <c r="AO195" i="6"/>
  <c r="AI195" i="6"/>
  <c r="K195" i="6"/>
  <c r="BA194" i="6"/>
  <c r="AU194" i="6"/>
  <c r="AJ194" i="15" s="1"/>
  <c r="AO194" i="6"/>
  <c r="K194" i="6"/>
  <c r="BA193" i="6"/>
  <c r="AO193" i="6"/>
  <c r="AI193" i="6"/>
  <c r="AC193" i="6"/>
  <c r="W193" i="6"/>
  <c r="Q193" i="6"/>
  <c r="AE193" i="15" s="1"/>
  <c r="K193" i="6"/>
  <c r="AU192" i="6"/>
  <c r="AO192" i="6"/>
  <c r="AI192" i="6"/>
  <c r="AC192" i="6"/>
  <c r="W192" i="6"/>
  <c r="Q192" i="6"/>
  <c r="AE192" i="15" s="1"/>
  <c r="K192" i="6"/>
  <c r="BA191" i="6"/>
  <c r="AU191" i="6"/>
  <c r="AO191" i="6"/>
  <c r="AI191" i="6"/>
  <c r="Q191" i="6"/>
  <c r="AE191" i="15" s="1"/>
  <c r="K191" i="6"/>
  <c r="AO190" i="6"/>
  <c r="AI190" i="6"/>
  <c r="AC190" i="6"/>
  <c r="W190" i="6"/>
  <c r="AF190" i="15" s="1"/>
  <c r="K190" i="6"/>
  <c r="BA189" i="6"/>
  <c r="AU189" i="6"/>
  <c r="AJ189" i="15" s="1"/>
  <c r="AO189" i="6"/>
  <c r="AI189" i="6"/>
  <c r="AC189" i="6"/>
  <c r="W189" i="6"/>
  <c r="AF189" i="15" s="1"/>
  <c r="K189" i="6"/>
  <c r="BA188" i="6"/>
  <c r="AU188" i="6"/>
  <c r="AO188" i="6"/>
  <c r="AI188" i="6"/>
  <c r="AC188" i="6"/>
  <c r="W188" i="6"/>
  <c r="AF188" i="15" s="1"/>
  <c r="Q188" i="6"/>
  <c r="K188" i="6"/>
  <c r="BA187" i="6"/>
  <c r="AO187" i="6"/>
  <c r="K187" i="6"/>
  <c r="BA186" i="6"/>
  <c r="AU186" i="6"/>
  <c r="AO186" i="6"/>
  <c r="K186" i="6"/>
  <c r="BA185" i="6"/>
  <c r="AO185" i="6"/>
  <c r="AI185" i="6"/>
  <c r="AC185" i="6"/>
  <c r="W185" i="6"/>
  <c r="AF185" i="15" s="1"/>
  <c r="Q185" i="6"/>
  <c r="AE185" i="15" s="1"/>
  <c r="K185" i="6"/>
  <c r="AU184" i="6"/>
  <c r="AO184" i="6"/>
  <c r="AI184" i="6"/>
  <c r="AC184" i="6"/>
  <c r="W184" i="6"/>
  <c r="AF184" i="15" s="1"/>
  <c r="K184" i="6"/>
  <c r="BA183" i="6"/>
  <c r="AU183" i="6"/>
  <c r="AO183" i="6"/>
  <c r="AI183" i="6"/>
  <c r="Q183" i="6"/>
  <c r="AE183" i="15" s="1"/>
  <c r="K183" i="6"/>
  <c r="AO182" i="6"/>
  <c r="AI182" i="6"/>
  <c r="AC182" i="6"/>
  <c r="W182" i="6"/>
  <c r="K182" i="6"/>
  <c r="BA181" i="6"/>
  <c r="AU181" i="6"/>
  <c r="AO181" i="6"/>
  <c r="AI181" i="6"/>
  <c r="AC181" i="6"/>
  <c r="W181" i="6"/>
  <c r="K181" i="6"/>
  <c r="BA180" i="6"/>
  <c r="AU180" i="6"/>
  <c r="AJ180" i="15" s="1"/>
  <c r="AO180" i="6"/>
  <c r="AI180" i="6"/>
  <c r="AC180" i="6"/>
  <c r="W180" i="6"/>
  <c r="AF180" i="15" s="1"/>
  <c r="Q180" i="6"/>
  <c r="K180" i="6"/>
  <c r="AO179" i="6"/>
  <c r="K179" i="6"/>
  <c r="BA178" i="6"/>
  <c r="AU178" i="6"/>
  <c r="AO178" i="6"/>
  <c r="K178" i="6"/>
  <c r="BA177" i="6"/>
  <c r="AO177" i="6"/>
  <c r="AI177" i="6"/>
  <c r="AC177" i="6"/>
  <c r="W177" i="6"/>
  <c r="Q177" i="6"/>
  <c r="AE177" i="15" s="1"/>
  <c r="K177" i="6"/>
  <c r="AU176" i="6"/>
  <c r="AO176" i="6"/>
  <c r="AI176" i="6"/>
  <c r="AC176" i="6"/>
  <c r="W176" i="6"/>
  <c r="AF176" i="15" s="1"/>
  <c r="K176" i="6"/>
  <c r="BA175" i="6"/>
  <c r="AU175" i="6"/>
  <c r="AO175" i="6"/>
  <c r="AI175" i="6"/>
  <c r="Q175" i="6"/>
  <c r="AE175" i="15" s="1"/>
  <c r="K175" i="6"/>
  <c r="AO174" i="6"/>
  <c r="AI174" i="6"/>
  <c r="W174" i="6"/>
  <c r="AF174" i="15" s="1"/>
  <c r="K174" i="6"/>
  <c r="BA173" i="6"/>
  <c r="AU173" i="6"/>
  <c r="AJ173" i="15" s="1"/>
  <c r="CF173" i="15" s="1"/>
  <c r="AO173" i="6"/>
  <c r="AI173" i="6"/>
  <c r="AC173" i="6"/>
  <c r="W173" i="6"/>
  <c r="AF173" i="15" s="1"/>
  <c r="K173" i="6"/>
  <c r="BA172" i="6"/>
  <c r="AU172" i="6"/>
  <c r="AJ172" i="15" s="1"/>
  <c r="AO172" i="6"/>
  <c r="AI172" i="6"/>
  <c r="AC172" i="6"/>
  <c r="W172" i="6"/>
  <c r="AF172" i="15" s="1"/>
  <c r="Q172" i="6"/>
  <c r="K172" i="6"/>
  <c r="AO171" i="6"/>
  <c r="K171" i="6"/>
  <c r="BA170" i="6"/>
  <c r="AU170" i="6"/>
  <c r="AO170" i="6"/>
  <c r="AC170" i="6"/>
  <c r="W170" i="6"/>
  <c r="AF170" i="15" s="1"/>
  <c r="K170" i="6"/>
  <c r="BA169" i="6"/>
  <c r="AO169" i="6"/>
  <c r="AI169" i="6"/>
  <c r="AC169" i="6"/>
  <c r="W169" i="6"/>
  <c r="AF169" i="15" s="1"/>
  <c r="Q169" i="6"/>
  <c r="AE169" i="15" s="1"/>
  <c r="K169" i="6"/>
  <c r="AU168" i="6"/>
  <c r="AJ168" i="15" s="1"/>
  <c r="AO168" i="6"/>
  <c r="AI168" i="6"/>
  <c r="AC168" i="6"/>
  <c r="W168" i="6"/>
  <c r="AF168" i="15" s="1"/>
  <c r="K168" i="6"/>
  <c r="BA167" i="6"/>
  <c r="AU167" i="6"/>
  <c r="AJ167" i="15" s="1"/>
  <c r="AO167" i="6"/>
  <c r="AI167" i="6"/>
  <c r="Q167" i="6"/>
  <c r="AE167" i="15" s="1"/>
  <c r="K167" i="6"/>
  <c r="AO166" i="6"/>
  <c r="AI166" i="6"/>
  <c r="W166" i="6"/>
  <c r="AF166" i="15" s="1"/>
  <c r="K166" i="6"/>
  <c r="BA165" i="6"/>
  <c r="AU165" i="6"/>
  <c r="AJ165" i="15" s="1"/>
  <c r="AO165" i="6"/>
  <c r="AI165" i="6"/>
  <c r="AC165" i="6"/>
  <c r="W165" i="6"/>
  <c r="AF165" i="15" s="1"/>
  <c r="K165" i="6"/>
  <c r="BA164" i="6"/>
  <c r="AU164" i="6"/>
  <c r="AO164" i="6"/>
  <c r="AI164" i="6"/>
  <c r="AC164" i="6"/>
  <c r="W164" i="6"/>
  <c r="AF164" i="15" s="1"/>
  <c r="Q164" i="6"/>
  <c r="AE164" i="15" s="1"/>
  <c r="K164" i="6"/>
  <c r="AO163" i="6"/>
  <c r="K163" i="6"/>
  <c r="BA162" i="6"/>
  <c r="AU162" i="6"/>
  <c r="AO162" i="6"/>
  <c r="K162" i="6"/>
  <c r="BA161" i="6"/>
  <c r="AO161" i="6"/>
  <c r="AI161" i="6"/>
  <c r="AC161" i="6"/>
  <c r="W161" i="6"/>
  <c r="AF161" i="15" s="1"/>
  <c r="Q161" i="6"/>
  <c r="AE161" i="15" s="1"/>
  <c r="K161" i="6"/>
  <c r="AU160" i="6"/>
  <c r="AO160" i="6"/>
  <c r="AI160" i="6"/>
  <c r="AC160" i="6"/>
  <c r="W160" i="6"/>
  <c r="AF160" i="15" s="1"/>
  <c r="K160" i="6"/>
  <c r="BA159" i="6"/>
  <c r="AU159" i="6"/>
  <c r="AO159" i="6"/>
  <c r="AI159" i="6"/>
  <c r="Q159" i="6"/>
  <c r="AE159" i="15" s="1"/>
  <c r="K159" i="6"/>
  <c r="AO158" i="6"/>
  <c r="AI158" i="6"/>
  <c r="W158" i="6"/>
  <c r="AF158" i="15" s="1"/>
  <c r="K158" i="6"/>
  <c r="BA157" i="6"/>
  <c r="AU157" i="6"/>
  <c r="AJ157" i="15" s="1"/>
  <c r="AO157" i="6"/>
  <c r="AI157" i="6"/>
  <c r="AC157" i="6"/>
  <c r="W157" i="6"/>
  <c r="AF157" i="15" s="1"/>
  <c r="K157" i="6"/>
  <c r="BA156" i="6"/>
  <c r="AU156" i="6"/>
  <c r="AJ156" i="15" s="1"/>
  <c r="AO156" i="6"/>
  <c r="AI156" i="6"/>
  <c r="AC156" i="6"/>
  <c r="W156" i="6"/>
  <c r="AF156" i="15" s="1"/>
  <c r="Q156" i="6"/>
  <c r="K156" i="6"/>
  <c r="BA155" i="6"/>
  <c r="AO155" i="6"/>
  <c r="K155" i="6"/>
  <c r="BA154" i="6"/>
  <c r="AU154" i="6"/>
  <c r="AO154" i="6"/>
  <c r="K154" i="6"/>
  <c r="BA153" i="6"/>
  <c r="AU153" i="6"/>
  <c r="AJ153" i="15" s="1"/>
  <c r="CF153" i="15" s="1"/>
  <c r="AO153" i="6"/>
  <c r="AI153" i="6"/>
  <c r="AC153" i="6"/>
  <c r="W153" i="6"/>
  <c r="AF153" i="15" s="1"/>
  <c r="Q153" i="6"/>
  <c r="AE153" i="15" s="1"/>
  <c r="K153" i="6"/>
  <c r="AU152" i="6"/>
  <c r="AO152" i="6"/>
  <c r="AI152" i="6"/>
  <c r="AC152" i="6"/>
  <c r="W152" i="6"/>
  <c r="K152" i="6"/>
  <c r="BA151" i="6"/>
  <c r="AU151" i="6"/>
  <c r="AO151" i="6"/>
  <c r="AI151" i="6"/>
  <c r="Q151" i="6"/>
  <c r="AE151" i="15" s="1"/>
  <c r="K151" i="6"/>
  <c r="AO150" i="6"/>
  <c r="AI150" i="6"/>
  <c r="W150" i="6"/>
  <c r="K150" i="6"/>
  <c r="BA149" i="6"/>
  <c r="AU149" i="6"/>
  <c r="AO149" i="6"/>
  <c r="AI149" i="6"/>
  <c r="AC149" i="6"/>
  <c r="W149" i="6"/>
  <c r="K149" i="6"/>
  <c r="BA148" i="6"/>
  <c r="AU148" i="6"/>
  <c r="AO148" i="6"/>
  <c r="AI148" i="6"/>
  <c r="AC148" i="6"/>
  <c r="W148" i="6"/>
  <c r="AF148" i="15" s="1"/>
  <c r="Q148" i="6"/>
  <c r="K148" i="6"/>
  <c r="AO147" i="6"/>
  <c r="K147" i="6"/>
  <c r="BA146" i="6"/>
  <c r="AU146" i="6"/>
  <c r="AJ146" i="15" s="1"/>
  <c r="AO146" i="6"/>
  <c r="W146" i="6"/>
  <c r="AF146" i="15" s="1"/>
  <c r="K146" i="6"/>
  <c r="BA145" i="6"/>
  <c r="AO145" i="6"/>
  <c r="AI145" i="6"/>
  <c r="AC145" i="6"/>
  <c r="W145" i="6"/>
  <c r="AF145" i="15" s="1"/>
  <c r="Q145" i="6"/>
  <c r="AE145" i="15" s="1"/>
  <c r="K145" i="6"/>
  <c r="AU144" i="6"/>
  <c r="AO144" i="6"/>
  <c r="AI144" i="6"/>
  <c r="AC144" i="6"/>
  <c r="W144" i="6"/>
  <c r="K144" i="6"/>
  <c r="BA143" i="6"/>
  <c r="AU143" i="6"/>
  <c r="AO143" i="6"/>
  <c r="AI143" i="6"/>
  <c r="Q143" i="6"/>
  <c r="AE143" i="15" s="1"/>
  <c r="K143" i="6"/>
  <c r="AO142" i="6"/>
  <c r="AI142" i="6"/>
  <c r="AC142" i="6"/>
  <c r="W142" i="6"/>
  <c r="K142" i="6"/>
  <c r="BA141" i="6"/>
  <c r="AU141" i="6"/>
  <c r="AO141" i="6"/>
  <c r="AI141" i="6"/>
  <c r="AC141" i="6"/>
  <c r="W141" i="6"/>
  <c r="AF141" i="15" s="1"/>
  <c r="K141" i="6"/>
  <c r="BA140" i="6"/>
  <c r="AU140" i="6"/>
  <c r="AJ140" i="15" s="1"/>
  <c r="AO140" i="6"/>
  <c r="AI140" i="6"/>
  <c r="AC140" i="6"/>
  <c r="W140" i="6"/>
  <c r="AF140" i="15" s="1"/>
  <c r="Q140" i="6"/>
  <c r="AE140" i="15" s="1"/>
  <c r="K140" i="6"/>
  <c r="AO139" i="6"/>
  <c r="Q139" i="6"/>
  <c r="AE139" i="15" s="1"/>
  <c r="K139" i="6"/>
  <c r="BA138" i="6"/>
  <c r="AU138" i="6"/>
  <c r="AJ138" i="15" s="1"/>
  <c r="CF138" i="15" s="1"/>
  <c r="AO138" i="6"/>
  <c r="K138" i="6"/>
  <c r="BA137" i="6"/>
  <c r="AO137" i="6"/>
  <c r="AI137" i="6"/>
  <c r="AC137" i="6"/>
  <c r="W137" i="6"/>
  <c r="AF137" i="15" s="1"/>
  <c r="Q137" i="6"/>
  <c r="AE137" i="15" s="1"/>
  <c r="K137" i="6"/>
  <c r="AU136" i="6"/>
  <c r="AO136" i="6"/>
  <c r="AI136" i="6"/>
  <c r="AC136" i="6"/>
  <c r="W136" i="6"/>
  <c r="AF136" i="15" s="1"/>
  <c r="K136" i="6"/>
  <c r="BA135" i="6"/>
  <c r="AU135" i="6"/>
  <c r="AO135" i="6"/>
  <c r="AI135" i="6"/>
  <c r="Q135" i="6"/>
  <c r="AE135" i="15" s="1"/>
  <c r="K135" i="6"/>
  <c r="AO134" i="6"/>
  <c r="AI134" i="6"/>
  <c r="W134" i="6"/>
  <c r="AF134" i="15" s="1"/>
  <c r="CB134" i="15" s="1"/>
  <c r="K134" i="6"/>
  <c r="BA133" i="6"/>
  <c r="AU133" i="6"/>
  <c r="AO133" i="6"/>
  <c r="AI133" i="6"/>
  <c r="AC133" i="6"/>
  <c r="W133" i="6"/>
  <c r="AF133" i="15" s="1"/>
  <c r="K133" i="6"/>
  <c r="BA132" i="6"/>
  <c r="AU132" i="6"/>
  <c r="AO132" i="6"/>
  <c r="AI132" i="6"/>
  <c r="AC132" i="6"/>
  <c r="W132" i="6"/>
  <c r="AF132" i="15" s="1"/>
  <c r="Q132" i="6"/>
  <c r="K132" i="6"/>
  <c r="AO131" i="6"/>
  <c r="K131" i="6"/>
  <c r="BA130" i="6"/>
  <c r="AU130" i="6"/>
  <c r="AJ130" i="15" s="1"/>
  <c r="AO130" i="6"/>
  <c r="AC130" i="6"/>
  <c r="K130" i="6"/>
  <c r="BA129" i="6"/>
  <c r="AO129" i="6"/>
  <c r="AI129" i="6"/>
  <c r="AC129" i="6"/>
  <c r="W129" i="6"/>
  <c r="AF129" i="15" s="1"/>
  <c r="Q129" i="6"/>
  <c r="AE129" i="15" s="1"/>
  <c r="K129" i="6"/>
  <c r="AU128" i="6"/>
  <c r="AJ128" i="15" s="1"/>
  <c r="AO128" i="6"/>
  <c r="AI128" i="6"/>
  <c r="AC128" i="6"/>
  <c r="W128" i="6"/>
  <c r="AF128" i="15" s="1"/>
  <c r="K128" i="6"/>
  <c r="BA127" i="6"/>
  <c r="AU127" i="6"/>
  <c r="AJ127" i="15" s="1"/>
  <c r="AO127" i="6"/>
  <c r="AI127" i="6"/>
  <c r="Q127" i="6"/>
  <c r="AE127" i="15" s="1"/>
  <c r="K127" i="6"/>
  <c r="AO126" i="6"/>
  <c r="AI126" i="6"/>
  <c r="W126" i="6"/>
  <c r="K126" i="6"/>
  <c r="BA125" i="6"/>
  <c r="AU125" i="6"/>
  <c r="AO125" i="6"/>
  <c r="AI125" i="6"/>
  <c r="AC125" i="6"/>
  <c r="W125" i="6"/>
  <c r="K125" i="6"/>
  <c r="BA124" i="6"/>
  <c r="AU124" i="6"/>
  <c r="AO124" i="6"/>
  <c r="AI124" i="6"/>
  <c r="AC124" i="6"/>
  <c r="W124" i="6"/>
  <c r="AF124" i="15" s="1"/>
  <c r="Q124" i="6"/>
  <c r="AE124" i="15" s="1"/>
  <c r="K124" i="6"/>
  <c r="BA123" i="6"/>
  <c r="AO123" i="6"/>
  <c r="AC123" i="6"/>
  <c r="K123" i="6"/>
  <c r="BA122" i="6"/>
  <c r="AU122" i="6"/>
  <c r="AJ122" i="15" s="1"/>
  <c r="AO122" i="6"/>
  <c r="AC122" i="6"/>
  <c r="K122" i="6"/>
  <c r="BA121" i="6"/>
  <c r="AO121" i="6"/>
  <c r="AI121" i="6"/>
  <c r="AC121" i="6"/>
  <c r="W121" i="6"/>
  <c r="AF121" i="15" s="1"/>
  <c r="Q121" i="6"/>
  <c r="AE121" i="15" s="1"/>
  <c r="K121" i="6"/>
  <c r="AU120" i="6"/>
  <c r="AO120" i="6"/>
  <c r="AI120" i="6"/>
  <c r="AC120" i="6"/>
  <c r="W120" i="6"/>
  <c r="AF120" i="15" s="1"/>
  <c r="K120" i="6"/>
  <c r="BA119" i="6"/>
  <c r="AU119" i="6"/>
  <c r="AO119" i="6"/>
  <c r="AI119" i="6"/>
  <c r="Q119" i="6"/>
  <c r="AE119" i="15" s="1"/>
  <c r="K119" i="6"/>
  <c r="AO118" i="6"/>
  <c r="AI118" i="6"/>
  <c r="W118" i="6"/>
  <c r="K118" i="6"/>
  <c r="BA117" i="6"/>
  <c r="AU117" i="6"/>
  <c r="AO117" i="6"/>
  <c r="AI117" i="6"/>
  <c r="AC117" i="6"/>
  <c r="W117" i="6"/>
  <c r="AF117" i="15" s="1"/>
  <c r="K117" i="6"/>
  <c r="BA116" i="6"/>
  <c r="AU116" i="6"/>
  <c r="AO116" i="6"/>
  <c r="AI116" i="6"/>
  <c r="AC116" i="6"/>
  <c r="W116" i="6"/>
  <c r="Q116" i="6"/>
  <c r="AE116" i="15" s="1"/>
  <c r="K116" i="6"/>
  <c r="AO115" i="6"/>
  <c r="K115" i="6"/>
  <c r="BA114" i="6"/>
  <c r="AU114" i="6"/>
  <c r="AJ114" i="15" s="1"/>
  <c r="CF114" i="15" s="1"/>
  <c r="AO114" i="6"/>
  <c r="AI114" i="6"/>
  <c r="K114" i="6"/>
  <c r="BA113" i="6"/>
  <c r="AU113" i="6"/>
  <c r="AJ113" i="15" s="1"/>
  <c r="AO113" i="6"/>
  <c r="AI113" i="6"/>
  <c r="AC113" i="6"/>
  <c r="W113" i="6"/>
  <c r="Q113" i="6"/>
  <c r="AE113" i="15" s="1"/>
  <c r="K113" i="6"/>
  <c r="AU112" i="6"/>
  <c r="AO112" i="6"/>
  <c r="AI112" i="6"/>
  <c r="AC112" i="6"/>
  <c r="W112" i="6"/>
  <c r="K112" i="6"/>
  <c r="BA111" i="6"/>
  <c r="AU111" i="6"/>
  <c r="AO111" i="6"/>
  <c r="AI111" i="6"/>
  <c r="Q111" i="6"/>
  <c r="AE111" i="15" s="1"/>
  <c r="K111" i="6"/>
  <c r="AO110" i="6"/>
  <c r="AI110" i="6"/>
  <c r="W110" i="6"/>
  <c r="AF110" i="15" s="1"/>
  <c r="Q110" i="6"/>
  <c r="AE110" i="15" s="1"/>
  <c r="K110" i="6"/>
  <c r="BA109" i="6"/>
  <c r="AU109" i="6"/>
  <c r="AO109" i="6"/>
  <c r="AI109" i="6"/>
  <c r="AC109" i="6"/>
  <c r="W109" i="6"/>
  <c r="AF109" i="15" s="1"/>
  <c r="K109" i="6"/>
  <c r="BA108" i="6"/>
  <c r="AU108" i="6"/>
  <c r="AO108" i="6"/>
  <c r="AI108" i="6"/>
  <c r="AC108" i="6"/>
  <c r="W108" i="6"/>
  <c r="AF108" i="15" s="1"/>
  <c r="Q108" i="6"/>
  <c r="AE108" i="15" s="1"/>
  <c r="K108" i="6"/>
  <c r="AO107" i="6"/>
  <c r="K107" i="6"/>
  <c r="BA106" i="6"/>
  <c r="AU106" i="6"/>
  <c r="AO106" i="6"/>
  <c r="AI106" i="6"/>
  <c r="K106" i="6"/>
  <c r="BA105" i="6"/>
  <c r="AO105" i="6"/>
  <c r="AI105" i="6"/>
  <c r="AC105" i="6"/>
  <c r="W105" i="6"/>
  <c r="AF105" i="15" s="1"/>
  <c r="Q105" i="6"/>
  <c r="AE105" i="15" s="1"/>
  <c r="K105" i="6"/>
  <c r="AU104" i="6"/>
  <c r="AO104" i="6"/>
  <c r="AI104" i="6"/>
  <c r="AC104" i="6"/>
  <c r="W104" i="6"/>
  <c r="K104" i="6"/>
  <c r="BA103" i="6"/>
  <c r="AU103" i="6"/>
  <c r="AO103" i="6"/>
  <c r="AI103" i="6"/>
  <c r="Q103" i="6"/>
  <c r="AE103" i="15" s="1"/>
  <c r="K103" i="6"/>
  <c r="AO102" i="6"/>
  <c r="AI102" i="6"/>
  <c r="W102" i="6"/>
  <c r="Q102" i="6"/>
  <c r="AE102" i="15" s="1"/>
  <c r="K102" i="6"/>
  <c r="BA101" i="6"/>
  <c r="AU101" i="6"/>
  <c r="AO101" i="6"/>
  <c r="AI101" i="6"/>
  <c r="AC101" i="6"/>
  <c r="W101" i="6"/>
  <c r="K101" i="6"/>
  <c r="BA100" i="6"/>
  <c r="AU100" i="6"/>
  <c r="AJ100" i="15" s="1"/>
  <c r="AO100" i="6"/>
  <c r="AI100" i="6"/>
  <c r="AC100" i="6"/>
  <c r="W100" i="6"/>
  <c r="Q100" i="6"/>
  <c r="K100" i="6"/>
  <c r="AO99" i="6"/>
  <c r="K99" i="6"/>
  <c r="BA98" i="6"/>
  <c r="AU98" i="6"/>
  <c r="AO98" i="6"/>
  <c r="W98" i="6"/>
  <c r="K98" i="6"/>
  <c r="BA97" i="6"/>
  <c r="AO97" i="6"/>
  <c r="AI97" i="6"/>
  <c r="AC97" i="6"/>
  <c r="W97" i="6"/>
  <c r="AF97" i="15" s="1"/>
  <c r="Q97" i="6"/>
  <c r="AE97" i="15" s="1"/>
  <c r="K97" i="6"/>
  <c r="AU96" i="6"/>
  <c r="AO96" i="6"/>
  <c r="AI96" i="6"/>
  <c r="AC96" i="6"/>
  <c r="W96" i="6"/>
  <c r="AF96" i="15" s="1"/>
  <c r="K96" i="6"/>
  <c r="BA95" i="6"/>
  <c r="AU95" i="6"/>
  <c r="AO95" i="6"/>
  <c r="AI95" i="6"/>
  <c r="Q95" i="6"/>
  <c r="AE95" i="15" s="1"/>
  <c r="K95" i="6"/>
  <c r="AO94" i="6"/>
  <c r="AI94" i="6"/>
  <c r="AC94" i="6"/>
  <c r="W94" i="6"/>
  <c r="K94" i="6"/>
  <c r="BA93" i="6"/>
  <c r="AU93" i="6"/>
  <c r="AO93" i="6"/>
  <c r="AI93" i="6"/>
  <c r="AC93" i="6"/>
  <c r="W93" i="6"/>
  <c r="K93" i="6"/>
  <c r="BA92" i="6"/>
  <c r="AU92" i="6"/>
  <c r="AO92" i="6"/>
  <c r="AI92" i="6"/>
  <c r="AC92" i="6"/>
  <c r="W92" i="6"/>
  <c r="AF92" i="15" s="1"/>
  <c r="Q92" i="6"/>
  <c r="AE92" i="15" s="1"/>
  <c r="K92" i="6"/>
  <c r="BA91" i="6"/>
  <c r="AO91" i="6"/>
  <c r="K91" i="6"/>
  <c r="BA90" i="6"/>
  <c r="AU90" i="6"/>
  <c r="AO90" i="6"/>
  <c r="W90" i="6"/>
  <c r="AF90" i="15" s="1"/>
  <c r="K90" i="6"/>
  <c r="BA89" i="6"/>
  <c r="AO89" i="6"/>
  <c r="AI89" i="6"/>
  <c r="AC89" i="6"/>
  <c r="W89" i="6"/>
  <c r="AF89" i="15" s="1"/>
  <c r="Q89" i="6"/>
  <c r="AE89" i="15" s="1"/>
  <c r="K89" i="6"/>
  <c r="AU88" i="6"/>
  <c r="AJ88" i="15" s="1"/>
  <c r="AO88" i="6"/>
  <c r="AI88" i="6"/>
  <c r="AC88" i="6"/>
  <c r="W88" i="6"/>
  <c r="K88" i="6"/>
  <c r="BA87" i="6"/>
  <c r="AU87" i="6"/>
  <c r="AJ87" i="15" s="1"/>
  <c r="AO87" i="6"/>
  <c r="AI87" i="6"/>
  <c r="AC87" i="6"/>
  <c r="Q87" i="6"/>
  <c r="AE87" i="15" s="1"/>
  <c r="K87" i="6"/>
  <c r="AU86" i="6"/>
  <c r="AO86" i="6"/>
  <c r="AI86" i="6"/>
  <c r="AC86" i="6"/>
  <c r="W86" i="6"/>
  <c r="K86" i="6"/>
  <c r="BA85" i="6"/>
  <c r="AU85" i="6"/>
  <c r="AJ85" i="15" s="1"/>
  <c r="AO85" i="6"/>
  <c r="AI85" i="6"/>
  <c r="AC85" i="6"/>
  <c r="W85" i="6"/>
  <c r="K85" i="6"/>
  <c r="BA84" i="6"/>
  <c r="AU84" i="6"/>
  <c r="AO84" i="6"/>
  <c r="AI84" i="6"/>
  <c r="AC84" i="6"/>
  <c r="W84" i="6"/>
  <c r="AF84" i="15" s="1"/>
  <c r="Q84" i="6"/>
  <c r="AE84" i="15" s="1"/>
  <c r="K84" i="6"/>
  <c r="AO83" i="6"/>
  <c r="K83" i="6"/>
  <c r="BA82" i="6"/>
  <c r="AU82" i="6"/>
  <c r="AO82" i="6"/>
  <c r="W82" i="6"/>
  <c r="K82" i="6"/>
  <c r="BA81" i="6"/>
  <c r="AO81" i="6"/>
  <c r="AI81" i="6"/>
  <c r="AC81" i="6"/>
  <c r="W81" i="6"/>
  <c r="AF81" i="15" s="1"/>
  <c r="Q81" i="6"/>
  <c r="AE81" i="15" s="1"/>
  <c r="K81" i="6"/>
  <c r="AU80" i="6"/>
  <c r="AO80" i="6"/>
  <c r="AI80" i="6"/>
  <c r="AC80" i="6"/>
  <c r="W80" i="6"/>
  <c r="K80" i="6"/>
  <c r="BA79" i="6"/>
  <c r="AU79" i="6"/>
  <c r="AJ79" i="15" s="1"/>
  <c r="AO79" i="6"/>
  <c r="AI79" i="6"/>
  <c r="Q79" i="6"/>
  <c r="AE79" i="15" s="1"/>
  <c r="K79" i="6"/>
  <c r="AO78" i="6"/>
  <c r="AI78" i="6"/>
  <c r="W78" i="6"/>
  <c r="K78" i="6"/>
  <c r="BA77" i="6"/>
  <c r="AU77" i="6"/>
  <c r="AO77" i="6"/>
  <c r="AI77" i="6"/>
  <c r="AC77" i="6"/>
  <c r="W77" i="6"/>
  <c r="K77" i="6"/>
  <c r="BA76" i="6"/>
  <c r="AU76" i="6"/>
  <c r="AO76" i="6"/>
  <c r="AI76" i="6"/>
  <c r="AC76" i="6"/>
  <c r="W76" i="6"/>
  <c r="AF76" i="15" s="1"/>
  <c r="Q76" i="6"/>
  <c r="AE76" i="15" s="1"/>
  <c r="K76" i="6"/>
  <c r="AO75" i="6"/>
  <c r="K75" i="6"/>
  <c r="BA74" i="6"/>
  <c r="AU74" i="6"/>
  <c r="AO74" i="6"/>
  <c r="AC74" i="6"/>
  <c r="W74" i="6"/>
  <c r="AF74" i="15" s="1"/>
  <c r="K74" i="6"/>
  <c r="BA73" i="6"/>
  <c r="AU73" i="6"/>
  <c r="AJ73" i="15" s="1"/>
  <c r="AO73" i="6"/>
  <c r="AI73" i="6"/>
  <c r="AC73" i="6"/>
  <c r="W73" i="6"/>
  <c r="AF73" i="15" s="1"/>
  <c r="Q73" i="6"/>
  <c r="AE73" i="15" s="1"/>
  <c r="K73" i="6"/>
  <c r="AU72" i="6"/>
  <c r="AO72" i="6"/>
  <c r="AI72" i="6"/>
  <c r="AC72" i="6"/>
  <c r="W72" i="6"/>
  <c r="AF72" i="15" s="1"/>
  <c r="K72" i="6"/>
  <c r="BA71" i="6"/>
  <c r="AU71" i="6"/>
  <c r="AO71" i="6"/>
  <c r="AI71" i="6"/>
  <c r="Q71" i="6"/>
  <c r="AE71" i="15" s="1"/>
  <c r="K71" i="6"/>
  <c r="AO70" i="6"/>
  <c r="AI70" i="6"/>
  <c r="W70" i="6"/>
  <c r="K70" i="6"/>
  <c r="BA69" i="6"/>
  <c r="AU69" i="6"/>
  <c r="AJ69" i="15" s="1"/>
  <c r="AO69" i="6"/>
  <c r="AI69" i="6"/>
  <c r="AC69" i="6"/>
  <c r="W69" i="6"/>
  <c r="K69" i="6"/>
  <c r="BA68" i="6"/>
  <c r="AU68" i="6"/>
  <c r="AO68" i="6"/>
  <c r="AI68" i="6"/>
  <c r="AC68" i="6"/>
  <c r="W68" i="6"/>
  <c r="AF68" i="15" s="1"/>
  <c r="Q68" i="6"/>
  <c r="K68" i="6"/>
  <c r="AO67" i="6"/>
  <c r="AI67" i="6"/>
  <c r="K67" i="6"/>
  <c r="BA66" i="6"/>
  <c r="AU66" i="6"/>
  <c r="AO66" i="6"/>
  <c r="AC66" i="6"/>
  <c r="W66" i="6"/>
  <c r="AF66" i="15" s="1"/>
  <c r="K66" i="6"/>
  <c r="BA65" i="6"/>
  <c r="AO65" i="6"/>
  <c r="AI65" i="6"/>
  <c r="AC65" i="6"/>
  <c r="W65" i="6"/>
  <c r="Q65" i="6"/>
  <c r="AE65" i="15" s="1"/>
  <c r="K65" i="6"/>
  <c r="AU64" i="6"/>
  <c r="AO64" i="6"/>
  <c r="AI64" i="6"/>
  <c r="AC64" i="6"/>
  <c r="W64" i="6"/>
  <c r="K64" i="6"/>
  <c r="BA63" i="6"/>
  <c r="AU63" i="6"/>
  <c r="AO63" i="6"/>
  <c r="AI63" i="6"/>
  <c r="Q63" i="6"/>
  <c r="AE63" i="15" s="1"/>
  <c r="K63" i="6"/>
  <c r="AO62" i="6"/>
  <c r="AI62" i="6"/>
  <c r="W62" i="6"/>
  <c r="K62" i="6"/>
  <c r="BA61" i="6"/>
  <c r="AU61" i="6"/>
  <c r="AJ61" i="15" s="1"/>
  <c r="AO61" i="6"/>
  <c r="AI61" i="6"/>
  <c r="AC61" i="6"/>
  <c r="W61" i="6"/>
  <c r="K61" i="6"/>
  <c r="BA60" i="6"/>
  <c r="AU60" i="6"/>
  <c r="AJ60" i="15" s="1"/>
  <c r="AO60" i="6"/>
  <c r="AI60" i="6"/>
  <c r="AC60" i="6"/>
  <c r="W60" i="6"/>
  <c r="AF60" i="15" s="1"/>
  <c r="Q60" i="6"/>
  <c r="AE60" i="15" s="1"/>
  <c r="K60" i="6"/>
  <c r="BA59" i="6"/>
  <c r="AU59" i="6"/>
  <c r="AJ59" i="15" s="1"/>
  <c r="AO59" i="6"/>
  <c r="K59" i="6"/>
  <c r="BA58" i="6"/>
  <c r="AU58" i="6"/>
  <c r="AJ58" i="15" s="1"/>
  <c r="AO58" i="6"/>
  <c r="AI58" i="6"/>
  <c r="W58" i="6"/>
  <c r="AF58" i="15" s="1"/>
  <c r="K58" i="6"/>
  <c r="BA57" i="6"/>
  <c r="AO57" i="6"/>
  <c r="AI57" i="6"/>
  <c r="AC57" i="6"/>
  <c r="W57" i="6"/>
  <c r="AF57" i="15" s="1"/>
  <c r="Q57" i="6"/>
  <c r="AE57" i="15" s="1"/>
  <c r="K57" i="6"/>
  <c r="AU56" i="6"/>
  <c r="AO56" i="6"/>
  <c r="AI56" i="6"/>
  <c r="AC56" i="6"/>
  <c r="W56" i="6"/>
  <c r="K56" i="6"/>
  <c r="BA55" i="6"/>
  <c r="AU55" i="6"/>
  <c r="AO55" i="6"/>
  <c r="AI55" i="6"/>
  <c r="Q55" i="6"/>
  <c r="AE55" i="15" s="1"/>
  <c r="K55" i="6"/>
  <c r="AO54" i="6"/>
  <c r="AI54" i="6"/>
  <c r="W54" i="6"/>
  <c r="AF54" i="15" s="1"/>
  <c r="K54" i="6"/>
  <c r="BA53" i="6"/>
  <c r="AU53" i="6"/>
  <c r="AO53" i="6"/>
  <c r="AI53" i="6"/>
  <c r="AC53" i="6"/>
  <c r="W53" i="6"/>
  <c r="AF53" i="15" s="1"/>
  <c r="K53" i="6"/>
  <c r="BA52" i="6"/>
  <c r="AU52" i="6"/>
  <c r="AO52" i="6"/>
  <c r="AI52" i="6"/>
  <c r="AC52" i="6"/>
  <c r="W52" i="6"/>
  <c r="AF52" i="15" s="1"/>
  <c r="Q52" i="6"/>
  <c r="AE52" i="15" s="1"/>
  <c r="K52" i="6"/>
  <c r="AO51" i="6"/>
  <c r="AC51" i="6"/>
  <c r="K51" i="6"/>
  <c r="BA50" i="6"/>
  <c r="AU50" i="6"/>
  <c r="AO50" i="6"/>
  <c r="AC50" i="6"/>
  <c r="W50" i="6"/>
  <c r="K50" i="6"/>
  <c r="BA49" i="6"/>
  <c r="AO49" i="6"/>
  <c r="AI49" i="6"/>
  <c r="AC49" i="6"/>
  <c r="W49" i="6"/>
  <c r="AF49" i="15" s="1"/>
  <c r="Q49" i="6"/>
  <c r="AE49" i="15" s="1"/>
  <c r="K49" i="6"/>
  <c r="AU48" i="6"/>
  <c r="AO48" i="6"/>
  <c r="AI48" i="6"/>
  <c r="AC48" i="6"/>
  <c r="W48" i="6"/>
  <c r="AF48" i="15" s="1"/>
  <c r="CB48" i="15" s="1"/>
  <c r="K48" i="6"/>
  <c r="BA47" i="6"/>
  <c r="AU47" i="6"/>
  <c r="AO47" i="6"/>
  <c r="AI47" i="6"/>
  <c r="W47" i="6"/>
  <c r="AF47" i="15" s="1"/>
  <c r="Q47" i="6"/>
  <c r="AE47" i="15" s="1"/>
  <c r="K47" i="6"/>
  <c r="AU46" i="6"/>
  <c r="AO46" i="6"/>
  <c r="AI46" i="6"/>
  <c r="W46" i="6"/>
  <c r="AF46" i="15" s="1"/>
  <c r="Q46" i="6"/>
  <c r="AE46" i="15" s="1"/>
  <c r="K46" i="6"/>
  <c r="BA45" i="6"/>
  <c r="AU45" i="6"/>
  <c r="AJ45" i="15" s="1"/>
  <c r="CF45" i="15" s="1"/>
  <c r="AO45" i="6"/>
  <c r="AI45" i="6"/>
  <c r="AC45" i="6"/>
  <c r="W45" i="6"/>
  <c r="AF45" i="15" s="1"/>
  <c r="K45" i="6"/>
  <c r="BA44" i="6"/>
  <c r="AU44" i="6"/>
  <c r="AO44" i="6"/>
  <c r="AI44" i="6"/>
  <c r="AC44" i="6"/>
  <c r="W44" i="6"/>
  <c r="AF44" i="15" s="1"/>
  <c r="Q44" i="6"/>
  <c r="AE44" i="15" s="1"/>
  <c r="K44" i="6"/>
  <c r="AO43" i="6"/>
  <c r="K43" i="6"/>
  <c r="BA42" i="6"/>
  <c r="AU42" i="6"/>
  <c r="AJ42" i="15" s="1"/>
  <c r="AO42" i="6"/>
  <c r="W42" i="6"/>
  <c r="AF42" i="15" s="1"/>
  <c r="K42" i="6"/>
  <c r="BA41" i="6"/>
  <c r="AO41" i="6"/>
  <c r="AI41" i="6"/>
  <c r="AC41" i="6"/>
  <c r="W41" i="6"/>
  <c r="AF41" i="15" s="1"/>
  <c r="Q41" i="6"/>
  <c r="AE41" i="15" s="1"/>
  <c r="K41" i="6"/>
  <c r="AU40" i="6"/>
  <c r="AO40" i="6"/>
  <c r="AI40" i="6"/>
  <c r="AC40" i="6"/>
  <c r="W40" i="6"/>
  <c r="K40" i="6"/>
  <c r="BA39" i="6"/>
  <c r="AU39" i="6"/>
  <c r="AO39" i="6"/>
  <c r="AI39" i="6"/>
  <c r="Q39" i="6"/>
  <c r="AE39" i="15" s="1"/>
  <c r="K39" i="6"/>
  <c r="AO38" i="6"/>
  <c r="AI38" i="6"/>
  <c r="W38" i="6"/>
  <c r="Q38" i="6"/>
  <c r="AE38" i="15" s="1"/>
  <c r="K38" i="6"/>
  <c r="BA37" i="6"/>
  <c r="AU37" i="6"/>
  <c r="AO37" i="6"/>
  <c r="AI37" i="6"/>
  <c r="AC37" i="6"/>
  <c r="W37" i="6"/>
  <c r="K37" i="6"/>
  <c r="BA36" i="6"/>
  <c r="AU36" i="6"/>
  <c r="AO36" i="6"/>
  <c r="AI36" i="6"/>
  <c r="AC36" i="6"/>
  <c r="W36" i="6"/>
  <c r="AF36" i="15" s="1"/>
  <c r="Q36" i="6"/>
  <c r="AE36" i="15" s="1"/>
  <c r="K36" i="6"/>
  <c r="AO35" i="6"/>
  <c r="K35" i="6"/>
  <c r="BA34" i="6"/>
  <c r="AU34" i="6"/>
  <c r="AJ34" i="15" s="1"/>
  <c r="AO34" i="6"/>
  <c r="W34" i="6"/>
  <c r="K34" i="6"/>
  <c r="BA33" i="6"/>
  <c r="AU33" i="6"/>
  <c r="AJ33" i="15" s="1"/>
  <c r="AO33" i="6"/>
  <c r="AI33" i="6"/>
  <c r="AC33" i="6"/>
  <c r="W33" i="6"/>
  <c r="Q33" i="6"/>
  <c r="AE33" i="15" s="1"/>
  <c r="K33" i="6"/>
  <c r="AU32" i="6"/>
  <c r="AO32" i="6"/>
  <c r="AI32" i="6"/>
  <c r="AC32" i="6"/>
  <c r="W32" i="6"/>
  <c r="AF32" i="15" s="1"/>
  <c r="K32" i="6"/>
  <c r="BA31" i="6"/>
  <c r="AU31" i="6"/>
  <c r="AO31" i="6"/>
  <c r="AI31" i="6"/>
  <c r="Q31" i="6"/>
  <c r="AE31" i="15" s="1"/>
  <c r="K31" i="6"/>
  <c r="AO30" i="6"/>
  <c r="AI30" i="6"/>
  <c r="AC30" i="6"/>
  <c r="W30" i="6"/>
  <c r="K30" i="6"/>
  <c r="BA29" i="6"/>
  <c r="AU29" i="6"/>
  <c r="AO29" i="6"/>
  <c r="AI29" i="6"/>
  <c r="AC29" i="6"/>
  <c r="W29" i="6"/>
  <c r="K29" i="6"/>
  <c r="BA28" i="6"/>
  <c r="AU28" i="6"/>
  <c r="AO28" i="6"/>
  <c r="AI28" i="6"/>
  <c r="AC28" i="6"/>
  <c r="W28" i="6"/>
  <c r="Q28" i="6"/>
  <c r="AE28" i="15" s="1"/>
  <c r="K28" i="6"/>
  <c r="BA27" i="6"/>
  <c r="AO27" i="6"/>
  <c r="K27" i="6"/>
  <c r="BA26" i="6"/>
  <c r="AU26" i="6"/>
  <c r="AO26" i="6"/>
  <c r="W26" i="6"/>
  <c r="AF26" i="15" s="1"/>
  <c r="K26" i="6"/>
  <c r="BA25" i="6"/>
  <c r="AO25" i="6"/>
  <c r="AI25" i="6"/>
  <c r="AC25" i="6"/>
  <c r="W25" i="6"/>
  <c r="Q25" i="6"/>
  <c r="AE25" i="15" s="1"/>
  <c r="K25" i="6"/>
  <c r="AU24" i="6"/>
  <c r="AO24" i="6"/>
  <c r="AI24" i="6"/>
  <c r="AC24" i="6"/>
  <c r="W24" i="6"/>
  <c r="AF24" i="15" s="1"/>
  <c r="Q24" i="6"/>
  <c r="AE24" i="15" s="1"/>
  <c r="K24" i="6"/>
  <c r="BA23" i="6"/>
  <c r="AU23" i="6"/>
  <c r="AO23" i="6"/>
  <c r="AI23" i="6"/>
  <c r="Q23" i="6"/>
  <c r="AE23" i="15" s="1"/>
  <c r="K23" i="6"/>
  <c r="AO22" i="6"/>
  <c r="AI22" i="6"/>
  <c r="AC22" i="6"/>
  <c r="W22" i="6"/>
  <c r="AF22" i="15" s="1"/>
  <c r="K22" i="6"/>
  <c r="BA21" i="6"/>
  <c r="AU21" i="6"/>
  <c r="AO21" i="6"/>
  <c r="AI21" i="6"/>
  <c r="AC21" i="6"/>
  <c r="W21" i="6"/>
  <c r="AF21" i="15" s="1"/>
  <c r="K21" i="6"/>
  <c r="BA20" i="6"/>
  <c r="AU20" i="6"/>
  <c r="AO20" i="6"/>
  <c r="AI20" i="6"/>
  <c r="AC20" i="6"/>
  <c r="W20" i="6"/>
  <c r="AF20" i="15" s="1"/>
  <c r="CB20" i="15" s="1"/>
  <c r="Q20" i="6"/>
  <c r="AE20" i="15" s="1"/>
  <c r="K20" i="6"/>
  <c r="AU19" i="6"/>
  <c r="AJ19" i="15" s="1"/>
  <c r="AO19" i="6"/>
  <c r="K19" i="6"/>
  <c r="BA18" i="6"/>
  <c r="AU18" i="6"/>
  <c r="AJ18" i="15" s="1"/>
  <c r="AO18" i="6"/>
  <c r="W18" i="6"/>
  <c r="K18" i="6"/>
  <c r="BA17" i="6"/>
  <c r="AO17" i="6"/>
  <c r="AI17" i="6"/>
  <c r="AC17" i="6"/>
  <c r="W17" i="6"/>
  <c r="AF17" i="15" s="1"/>
  <c r="Q17" i="6"/>
  <c r="AE17" i="15" s="1"/>
  <c r="K17" i="6"/>
  <c r="AU16" i="6"/>
  <c r="AJ16" i="15" s="1"/>
  <c r="AO16" i="6"/>
  <c r="AI16" i="6"/>
  <c r="AC16" i="6"/>
  <c r="W16" i="6"/>
  <c r="K16" i="6"/>
  <c r="BA15" i="6"/>
  <c r="AU15" i="6"/>
  <c r="AJ15" i="15" s="1"/>
  <c r="AO15" i="6"/>
  <c r="AI15" i="6"/>
  <c r="AC15" i="6"/>
  <c r="Q15" i="6"/>
  <c r="AE15" i="15" s="1"/>
  <c r="K15" i="6"/>
  <c r="AO14" i="6"/>
  <c r="AI14" i="6"/>
  <c r="W14" i="6"/>
  <c r="AF14" i="15" s="1"/>
  <c r="K14" i="6"/>
  <c r="BA13" i="6"/>
  <c r="AU13" i="6"/>
  <c r="AO13" i="6"/>
  <c r="AI13" i="6"/>
  <c r="AC13" i="6"/>
  <c r="W13" i="6"/>
  <c r="AF13" i="15" s="1"/>
  <c r="K13" i="6"/>
  <c r="BA12" i="6"/>
  <c r="AU12" i="6"/>
  <c r="AO12" i="6"/>
  <c r="AI12" i="6"/>
  <c r="AC12" i="6"/>
  <c r="W12" i="6"/>
  <c r="Q12" i="6"/>
  <c r="AE12" i="15" s="1"/>
  <c r="K12" i="6"/>
  <c r="AO11" i="6"/>
  <c r="K11" i="6"/>
  <c r="BA10" i="6"/>
  <c r="AU10" i="6"/>
  <c r="AO10" i="6"/>
  <c r="W10" i="6"/>
  <c r="AF10" i="15" s="1"/>
  <c r="K10" i="6"/>
  <c r="BA9" i="6"/>
  <c r="AO9" i="6"/>
  <c r="AI9" i="6"/>
  <c r="AC9" i="6"/>
  <c r="W9" i="6"/>
  <c r="Q9" i="6"/>
  <c r="AE9" i="15" s="1"/>
  <c r="K9" i="6"/>
  <c r="AU8" i="6"/>
  <c r="AJ8" i="15" s="1"/>
  <c r="CF8" i="15" s="1"/>
  <c r="AO8" i="6"/>
  <c r="AI8" i="6"/>
  <c r="AC8" i="6"/>
  <c r="W8" i="6"/>
  <c r="AF8" i="15" s="1"/>
  <c r="K8" i="6"/>
  <c r="BA7" i="6"/>
  <c r="AU7" i="6"/>
  <c r="AJ7" i="15" s="1"/>
  <c r="AO7" i="6"/>
  <c r="AI7" i="6"/>
  <c r="Q7" i="6"/>
  <c r="AE7" i="15" s="1"/>
  <c r="K7" i="6"/>
  <c r="AO6" i="6"/>
  <c r="AI6" i="6"/>
  <c r="W6" i="6"/>
  <c r="AF6" i="15" s="1"/>
  <c r="K6" i="6"/>
  <c r="BA5" i="6"/>
  <c r="AU5" i="6"/>
  <c r="AO5" i="6"/>
  <c r="AI5" i="6"/>
  <c r="AC5" i="6"/>
  <c r="W5" i="6"/>
  <c r="AF5" i="15" s="1"/>
  <c r="K5" i="6"/>
  <c r="BA4" i="6"/>
  <c r="AU4" i="6"/>
  <c r="AO4" i="6"/>
  <c r="AI4" i="6"/>
  <c r="AC4" i="6"/>
  <c r="W4" i="6"/>
  <c r="AF4" i="15" s="1"/>
  <c r="Q4" i="6"/>
  <c r="K4" i="6"/>
  <c r="BA3" i="6"/>
  <c r="AU3" i="6"/>
  <c r="AJ3" i="15" s="1"/>
  <c r="CF3" i="15" s="1"/>
  <c r="AO3" i="6"/>
  <c r="AI3" i="6"/>
  <c r="AC3" i="6"/>
  <c r="W3" i="6"/>
  <c r="Q3" i="6"/>
  <c r="AE3" i="15" s="1"/>
  <c r="K3" i="6"/>
  <c r="Q4" i="14"/>
  <c r="G4" i="15" s="1"/>
  <c r="Q5" i="14"/>
  <c r="Q6" i="14"/>
  <c r="Q7" i="14"/>
  <c r="Q8" i="14"/>
  <c r="Q9" i="14"/>
  <c r="Q10" i="14"/>
  <c r="G10" i="15" s="1"/>
  <c r="Q11" i="14"/>
  <c r="Q12" i="14"/>
  <c r="G12" i="15" s="1"/>
  <c r="Q13" i="14"/>
  <c r="Q14" i="14"/>
  <c r="Q15" i="14"/>
  <c r="Q16" i="14"/>
  <c r="Q17" i="14"/>
  <c r="Q18" i="14"/>
  <c r="Q19" i="14"/>
  <c r="Q20" i="14"/>
  <c r="G20" i="15" s="1"/>
  <c r="Q21" i="14"/>
  <c r="Q22" i="14"/>
  <c r="Q23" i="14"/>
  <c r="Q24" i="14"/>
  <c r="Q25" i="14"/>
  <c r="Q26" i="14"/>
  <c r="G26" i="15" s="1"/>
  <c r="Q27" i="14"/>
  <c r="Q28" i="14"/>
  <c r="G28" i="15" s="1"/>
  <c r="Q29" i="14"/>
  <c r="Q30" i="14"/>
  <c r="Q31" i="14"/>
  <c r="Q32" i="14"/>
  <c r="Q33" i="14"/>
  <c r="Q34" i="14"/>
  <c r="Q35" i="14"/>
  <c r="Q36" i="14"/>
  <c r="G36" i="15" s="1"/>
  <c r="Q37" i="14"/>
  <c r="Q38" i="14"/>
  <c r="Q39" i="14"/>
  <c r="Q40" i="14"/>
  <c r="Q41" i="14"/>
  <c r="Q42" i="14"/>
  <c r="G42" i="15" s="1"/>
  <c r="Q43" i="14"/>
  <c r="Q44" i="14"/>
  <c r="G44" i="15" s="1"/>
  <c r="Q45" i="14"/>
  <c r="Q46" i="14"/>
  <c r="Q47" i="14"/>
  <c r="Q48" i="14"/>
  <c r="Q49" i="14"/>
  <c r="Q50" i="14"/>
  <c r="Q51" i="14"/>
  <c r="Q52" i="14"/>
  <c r="G52" i="15" s="1"/>
  <c r="Q53" i="14"/>
  <c r="Q54" i="14"/>
  <c r="Q55" i="14"/>
  <c r="Q56" i="14"/>
  <c r="Q57" i="14"/>
  <c r="Q58" i="14"/>
  <c r="Q59" i="14"/>
  <c r="Q60" i="14"/>
  <c r="G60" i="15" s="1"/>
  <c r="Q61" i="14"/>
  <c r="Q62" i="14"/>
  <c r="Q63" i="14"/>
  <c r="Q64" i="14"/>
  <c r="Q65" i="14"/>
  <c r="Q66" i="14"/>
  <c r="G66" i="15" s="1"/>
  <c r="Q67" i="14"/>
  <c r="Q68" i="14"/>
  <c r="G68" i="15" s="1"/>
  <c r="Q69" i="14"/>
  <c r="Q70" i="14"/>
  <c r="Q71" i="14"/>
  <c r="Q72" i="14"/>
  <c r="Q73" i="14"/>
  <c r="Q74" i="14"/>
  <c r="G74" i="15" s="1"/>
  <c r="Q75" i="14"/>
  <c r="Q76" i="14"/>
  <c r="G76" i="15" s="1"/>
  <c r="Q77" i="14"/>
  <c r="Q78" i="14"/>
  <c r="Q79" i="14"/>
  <c r="Q80" i="14"/>
  <c r="Q81" i="14"/>
  <c r="Q82" i="14"/>
  <c r="G82" i="15" s="1"/>
  <c r="Q83" i="14"/>
  <c r="Q84" i="14"/>
  <c r="G84" i="15" s="1"/>
  <c r="Q85" i="14"/>
  <c r="Q86" i="14"/>
  <c r="Q87" i="14"/>
  <c r="Q88" i="14"/>
  <c r="Q89" i="14"/>
  <c r="Q90" i="14"/>
  <c r="Q91" i="14"/>
  <c r="Q92" i="14"/>
  <c r="G92" i="15" s="1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G106" i="15" s="1"/>
  <c r="Q107" i="14"/>
  <c r="Q108" i="14"/>
  <c r="G108" i="15" s="1"/>
  <c r="Q109" i="14"/>
  <c r="Q110" i="14"/>
  <c r="Q111" i="14"/>
  <c r="Q112" i="14"/>
  <c r="Q113" i="14"/>
  <c r="Q114" i="14"/>
  <c r="Q115" i="14"/>
  <c r="Q116" i="14"/>
  <c r="G116" i="15" s="1"/>
  <c r="Q117" i="14"/>
  <c r="Q118" i="14"/>
  <c r="Q119" i="14"/>
  <c r="Q120" i="14"/>
  <c r="Q121" i="14"/>
  <c r="Q122" i="14"/>
  <c r="G122" i="15" s="1"/>
  <c r="Q123" i="14"/>
  <c r="Q124" i="14"/>
  <c r="G124" i="15" s="1"/>
  <c r="Q125" i="14"/>
  <c r="Q126" i="14"/>
  <c r="Q127" i="14"/>
  <c r="Q128" i="14"/>
  <c r="Q129" i="14"/>
  <c r="Q130" i="14"/>
  <c r="G130" i="15" s="1"/>
  <c r="Q131" i="14"/>
  <c r="Q132" i="14"/>
  <c r="G132" i="15" s="1"/>
  <c r="Q133" i="14"/>
  <c r="Q134" i="14"/>
  <c r="Q135" i="14"/>
  <c r="Q136" i="14"/>
  <c r="Q137" i="14"/>
  <c r="Q138" i="14"/>
  <c r="G138" i="15" s="1"/>
  <c r="Q139" i="14"/>
  <c r="Q140" i="14"/>
  <c r="Q141" i="14"/>
  <c r="Q142" i="14"/>
  <c r="Q143" i="14"/>
  <c r="Q144" i="14"/>
  <c r="Q145" i="14"/>
  <c r="Q146" i="14"/>
  <c r="G146" i="15" s="1"/>
  <c r="Q147" i="14"/>
  <c r="Q148" i="14"/>
  <c r="G148" i="15" s="1"/>
  <c r="Q149" i="14"/>
  <c r="Q150" i="14"/>
  <c r="Q151" i="14"/>
  <c r="Q152" i="14"/>
  <c r="Q153" i="14"/>
  <c r="Q154" i="14"/>
  <c r="G154" i="15" s="1"/>
  <c r="Q155" i="14"/>
  <c r="Q156" i="14"/>
  <c r="G156" i="15" s="1"/>
  <c r="Q157" i="14"/>
  <c r="Q158" i="14"/>
  <c r="Q159" i="14"/>
  <c r="Q160" i="14"/>
  <c r="Q161" i="14"/>
  <c r="Q162" i="14"/>
  <c r="G162" i="15" s="1"/>
  <c r="Q163" i="14"/>
  <c r="Q164" i="14"/>
  <c r="G164" i="15" s="1"/>
  <c r="Q165" i="14"/>
  <c r="Q166" i="14"/>
  <c r="Q167" i="14"/>
  <c r="Q168" i="14"/>
  <c r="Q169" i="14"/>
  <c r="Q170" i="14"/>
  <c r="G170" i="15" s="1"/>
  <c r="Q171" i="14"/>
  <c r="Q172" i="14"/>
  <c r="G172" i="15" s="1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G188" i="15" s="1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G202" i="15" s="1"/>
  <c r="Q203" i="14"/>
  <c r="Q204" i="14"/>
  <c r="G204" i="15" s="1"/>
  <c r="Q205" i="14"/>
  <c r="Q206" i="14"/>
  <c r="Q207" i="14"/>
  <c r="Q208" i="14"/>
  <c r="Q209" i="14"/>
  <c r="Q210" i="14"/>
  <c r="G210" i="15" s="1"/>
  <c r="Q211" i="14"/>
  <c r="Q212" i="14"/>
  <c r="G212" i="15" s="1"/>
  <c r="Q213" i="14"/>
  <c r="Q214" i="14"/>
  <c r="Q215" i="14"/>
  <c r="Q216" i="14"/>
  <c r="Q217" i="14"/>
  <c r="Q218" i="14"/>
  <c r="G218" i="15" s="1"/>
  <c r="Q219" i="14"/>
  <c r="Q220" i="14"/>
  <c r="G220" i="15" s="1"/>
  <c r="Q221" i="14"/>
  <c r="Q222" i="14"/>
  <c r="Q223" i="14"/>
  <c r="Q224" i="14"/>
  <c r="Q225" i="14"/>
  <c r="Q226" i="14"/>
  <c r="Q227" i="14"/>
  <c r="Q228" i="14"/>
  <c r="G228" i="15" s="1"/>
  <c r="Q229" i="14"/>
  <c r="Q230" i="14"/>
  <c r="Q3" i="14"/>
  <c r="Q4" i="5"/>
  <c r="Q5" i="5"/>
  <c r="Q6" i="5"/>
  <c r="Q7" i="5"/>
  <c r="Q8" i="5"/>
  <c r="Q9" i="5"/>
  <c r="Q10" i="5"/>
  <c r="Q11" i="5"/>
  <c r="O11" i="15" s="1"/>
  <c r="Q12" i="5"/>
  <c r="Q13" i="5"/>
  <c r="Q14" i="5"/>
  <c r="Q15" i="5"/>
  <c r="Q16" i="5"/>
  <c r="Q17" i="5"/>
  <c r="Q18" i="5"/>
  <c r="Q19" i="5"/>
  <c r="O19" i="15" s="1"/>
  <c r="Q20" i="5"/>
  <c r="Q21" i="5"/>
  <c r="Q22" i="5"/>
  <c r="Q23" i="5"/>
  <c r="Q24" i="5"/>
  <c r="Q25" i="5"/>
  <c r="Q26" i="5"/>
  <c r="Q27" i="5"/>
  <c r="O27" i="15" s="1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O43" i="15" s="1"/>
  <c r="Q44" i="5"/>
  <c r="Q45" i="5"/>
  <c r="Q46" i="5"/>
  <c r="Q47" i="5"/>
  <c r="Q48" i="5"/>
  <c r="Q49" i="5"/>
  <c r="Q50" i="5"/>
  <c r="Q51" i="5"/>
  <c r="O51" i="15" s="1"/>
  <c r="Q52" i="5"/>
  <c r="Q53" i="5"/>
  <c r="Q54" i="5"/>
  <c r="Q55" i="5"/>
  <c r="Q56" i="5"/>
  <c r="Q57" i="5"/>
  <c r="Q58" i="5"/>
  <c r="Q59" i="5"/>
  <c r="O59" i="15" s="1"/>
  <c r="Q60" i="5"/>
  <c r="Q61" i="5"/>
  <c r="Q62" i="5"/>
  <c r="Q63" i="5"/>
  <c r="Q64" i="5"/>
  <c r="Q65" i="5"/>
  <c r="Q66" i="5"/>
  <c r="Q67" i="5"/>
  <c r="O67" i="15" s="1"/>
  <c r="Q68" i="5"/>
  <c r="Q69" i="5"/>
  <c r="Q70" i="5"/>
  <c r="Q71" i="5"/>
  <c r="Q72" i="5"/>
  <c r="Q73" i="5"/>
  <c r="Q74" i="5"/>
  <c r="Q75" i="5"/>
  <c r="O75" i="15" s="1"/>
  <c r="Q76" i="5"/>
  <c r="Q77" i="5"/>
  <c r="Q78" i="5"/>
  <c r="Q79" i="5"/>
  <c r="Q80" i="5"/>
  <c r="Q81" i="5"/>
  <c r="Q82" i="5"/>
  <c r="Q83" i="5"/>
  <c r="O83" i="15" s="1"/>
  <c r="Q84" i="5"/>
  <c r="Q85" i="5"/>
  <c r="Q86" i="5"/>
  <c r="Q87" i="5"/>
  <c r="Q88" i="5"/>
  <c r="Q89" i="5"/>
  <c r="Q90" i="5"/>
  <c r="Q91" i="5"/>
  <c r="O91" i="15" s="1"/>
  <c r="Q92" i="5"/>
  <c r="Q93" i="5"/>
  <c r="Q94" i="5"/>
  <c r="Q95" i="5"/>
  <c r="Q96" i="5"/>
  <c r="Q97" i="5"/>
  <c r="Q98" i="5"/>
  <c r="Q99" i="5"/>
  <c r="O99" i="15" s="1"/>
  <c r="Q100" i="5"/>
  <c r="Q101" i="5"/>
  <c r="Q102" i="5"/>
  <c r="Q103" i="5"/>
  <c r="Q104" i="5"/>
  <c r="Q105" i="5"/>
  <c r="Q106" i="5"/>
  <c r="Q107" i="5"/>
  <c r="O107" i="15" s="1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O123" i="15" s="1"/>
  <c r="Q124" i="5"/>
  <c r="Q125" i="5"/>
  <c r="Q126" i="5"/>
  <c r="Q127" i="5"/>
  <c r="Q128" i="5"/>
  <c r="Q129" i="5"/>
  <c r="Q130" i="5"/>
  <c r="Q131" i="5"/>
  <c r="O131" i="15" s="1"/>
  <c r="Q132" i="5"/>
  <c r="Q133" i="5"/>
  <c r="Q134" i="5"/>
  <c r="Q135" i="5"/>
  <c r="Q136" i="5"/>
  <c r="Q137" i="5"/>
  <c r="Q138" i="5"/>
  <c r="Q139" i="5"/>
  <c r="O139" i="15" s="1"/>
  <c r="Q140" i="5"/>
  <c r="Q141" i="5"/>
  <c r="Q142" i="5"/>
  <c r="Q143" i="5"/>
  <c r="Q144" i="5"/>
  <c r="Q145" i="5"/>
  <c r="Q146" i="5"/>
  <c r="Q147" i="5"/>
  <c r="O147" i="15" s="1"/>
  <c r="Q148" i="5"/>
  <c r="Q149" i="5"/>
  <c r="Q150" i="5"/>
  <c r="Q151" i="5"/>
  <c r="Q152" i="5"/>
  <c r="Q153" i="5"/>
  <c r="Q154" i="5"/>
  <c r="Q155" i="5"/>
  <c r="O155" i="15" s="1"/>
  <c r="Q156" i="5"/>
  <c r="Q157" i="5"/>
  <c r="Q158" i="5"/>
  <c r="Q159" i="5"/>
  <c r="Q160" i="5"/>
  <c r="Q161" i="5"/>
  <c r="Q162" i="5"/>
  <c r="Q163" i="5"/>
  <c r="O163" i="15" s="1"/>
  <c r="Q164" i="5"/>
  <c r="Q165" i="5"/>
  <c r="Q166" i="5"/>
  <c r="Q167" i="5"/>
  <c r="Q168" i="5"/>
  <c r="Q169" i="5"/>
  <c r="Q170" i="5"/>
  <c r="Q171" i="5"/>
  <c r="O171" i="15" s="1"/>
  <c r="Q172" i="5"/>
  <c r="Q173" i="5"/>
  <c r="Q174" i="5"/>
  <c r="Q175" i="5"/>
  <c r="Q176" i="5"/>
  <c r="Q177" i="5"/>
  <c r="Q178" i="5"/>
  <c r="Q179" i="5"/>
  <c r="O179" i="15" s="1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O195" i="15" s="1"/>
  <c r="Q196" i="5"/>
  <c r="Q197" i="5"/>
  <c r="Q198" i="5"/>
  <c r="Q199" i="5"/>
  <c r="Q200" i="5"/>
  <c r="Q201" i="5"/>
  <c r="Q202" i="5"/>
  <c r="Q203" i="5"/>
  <c r="O203" i="15" s="1"/>
  <c r="Q204" i="5"/>
  <c r="Q205" i="5"/>
  <c r="Q206" i="5"/>
  <c r="Q207" i="5"/>
  <c r="Q208" i="5"/>
  <c r="Q209" i="5"/>
  <c r="Q210" i="5"/>
  <c r="Q211" i="5"/>
  <c r="O211" i="15" s="1"/>
  <c r="Q212" i="5"/>
  <c r="Q213" i="5"/>
  <c r="Q214" i="5"/>
  <c r="Q215" i="5"/>
  <c r="Q216" i="5"/>
  <c r="Q217" i="5"/>
  <c r="Q218" i="5"/>
  <c r="Q219" i="5"/>
  <c r="O219" i="15" s="1"/>
  <c r="Q220" i="5"/>
  <c r="Q221" i="5"/>
  <c r="Q222" i="5"/>
  <c r="Q223" i="5"/>
  <c r="Q224" i="5"/>
  <c r="Q225" i="5"/>
  <c r="Q226" i="5"/>
  <c r="Q227" i="5"/>
  <c r="O227" i="15" s="1"/>
  <c r="Q228" i="5"/>
  <c r="Q229" i="5"/>
  <c r="Q230" i="5"/>
  <c r="Q3" i="5"/>
  <c r="O35" i="15"/>
  <c r="O115" i="15"/>
  <c r="O187" i="15"/>
  <c r="W3" i="5"/>
  <c r="W4" i="5"/>
  <c r="W5" i="5"/>
  <c r="W6" i="5"/>
  <c r="W7" i="5"/>
  <c r="W8" i="5"/>
  <c r="P8" i="15" s="1"/>
  <c r="W9" i="5"/>
  <c r="W10" i="5"/>
  <c r="W11" i="5"/>
  <c r="P11" i="15" s="1"/>
  <c r="W12" i="5"/>
  <c r="W13" i="5"/>
  <c r="W14" i="5"/>
  <c r="W15" i="5"/>
  <c r="W16" i="5"/>
  <c r="P16" i="15" s="1"/>
  <c r="W17" i="5"/>
  <c r="W18" i="5"/>
  <c r="W19" i="5"/>
  <c r="P19" i="15" s="1"/>
  <c r="W20" i="5"/>
  <c r="W21" i="5"/>
  <c r="W22" i="5"/>
  <c r="W23" i="5"/>
  <c r="W24" i="5"/>
  <c r="P24" i="15" s="1"/>
  <c r="W25" i="5"/>
  <c r="W26" i="5"/>
  <c r="W27" i="5"/>
  <c r="P27" i="15" s="1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P40" i="15" s="1"/>
  <c r="W41" i="5"/>
  <c r="W42" i="5"/>
  <c r="W43" i="5"/>
  <c r="P43" i="15" s="1"/>
  <c r="W44" i="5"/>
  <c r="W45" i="5"/>
  <c r="W46" i="5"/>
  <c r="W47" i="5"/>
  <c r="W48" i="5"/>
  <c r="P48" i="15" s="1"/>
  <c r="W49" i="5"/>
  <c r="W50" i="5"/>
  <c r="W51" i="5"/>
  <c r="P51" i="15" s="1"/>
  <c r="W52" i="5"/>
  <c r="W53" i="5"/>
  <c r="W54" i="5"/>
  <c r="W55" i="5"/>
  <c r="W56" i="5"/>
  <c r="P56" i="15" s="1"/>
  <c r="W57" i="5"/>
  <c r="W58" i="5"/>
  <c r="W59" i="5"/>
  <c r="P59" i="15" s="1"/>
  <c r="W60" i="5"/>
  <c r="W61" i="5"/>
  <c r="W62" i="5"/>
  <c r="W63" i="5"/>
  <c r="W64" i="5"/>
  <c r="P64" i="15" s="1"/>
  <c r="W65" i="5"/>
  <c r="W66" i="5"/>
  <c r="W67" i="5"/>
  <c r="P67" i="15" s="1"/>
  <c r="W68" i="5"/>
  <c r="W69" i="5"/>
  <c r="W70" i="5"/>
  <c r="W71" i="5"/>
  <c r="W72" i="5"/>
  <c r="P72" i="15" s="1"/>
  <c r="W73" i="5"/>
  <c r="W74" i="5"/>
  <c r="W75" i="5"/>
  <c r="P75" i="15" s="1"/>
  <c r="W76" i="5"/>
  <c r="W77" i="5"/>
  <c r="W78" i="5"/>
  <c r="W79" i="5"/>
  <c r="W80" i="5"/>
  <c r="P80" i="15" s="1"/>
  <c r="W81" i="5"/>
  <c r="W82" i="5"/>
  <c r="W83" i="5"/>
  <c r="P83" i="15" s="1"/>
  <c r="W84" i="5"/>
  <c r="W85" i="5"/>
  <c r="W86" i="5"/>
  <c r="W87" i="5"/>
  <c r="W88" i="5"/>
  <c r="W89" i="5"/>
  <c r="W90" i="5"/>
  <c r="W91" i="5"/>
  <c r="P91" i="15" s="1"/>
  <c r="W92" i="5"/>
  <c r="W93" i="5"/>
  <c r="W94" i="5"/>
  <c r="W95" i="5"/>
  <c r="W96" i="5"/>
  <c r="P96" i="15" s="1"/>
  <c r="W97" i="5"/>
  <c r="W98" i="5"/>
  <c r="W99" i="5"/>
  <c r="P99" i="15" s="1"/>
  <c r="W100" i="5"/>
  <c r="W101" i="5"/>
  <c r="W102" i="5"/>
  <c r="W103" i="5"/>
  <c r="W104" i="5"/>
  <c r="P104" i="15" s="1"/>
  <c r="W105" i="5"/>
  <c r="W106" i="5"/>
  <c r="W107" i="5"/>
  <c r="P107" i="15" s="1"/>
  <c r="W108" i="5"/>
  <c r="W109" i="5"/>
  <c r="W110" i="5"/>
  <c r="W111" i="5"/>
  <c r="W112" i="5"/>
  <c r="W113" i="5"/>
  <c r="W114" i="5"/>
  <c r="W115" i="5"/>
  <c r="P115" i="15" s="1"/>
  <c r="W116" i="5"/>
  <c r="W117" i="5"/>
  <c r="W118" i="5"/>
  <c r="W119" i="5"/>
  <c r="W120" i="5"/>
  <c r="P120" i="15" s="1"/>
  <c r="W121" i="5"/>
  <c r="W122" i="5"/>
  <c r="W123" i="5"/>
  <c r="W124" i="5"/>
  <c r="W125" i="5"/>
  <c r="W126" i="5"/>
  <c r="W127" i="5"/>
  <c r="W128" i="5"/>
  <c r="P128" i="15" s="1"/>
  <c r="W129" i="5"/>
  <c r="W130" i="5"/>
  <c r="W131" i="5"/>
  <c r="P131" i="15" s="1"/>
  <c r="W132" i="5"/>
  <c r="W133" i="5"/>
  <c r="W134" i="5"/>
  <c r="W135" i="5"/>
  <c r="W136" i="5"/>
  <c r="P136" i="15" s="1"/>
  <c r="W137" i="5"/>
  <c r="W138" i="5"/>
  <c r="W139" i="5"/>
  <c r="W140" i="5"/>
  <c r="W141" i="5"/>
  <c r="W142" i="5"/>
  <c r="W143" i="5"/>
  <c r="W144" i="5"/>
  <c r="P144" i="15" s="1"/>
  <c r="W145" i="5"/>
  <c r="W146" i="5"/>
  <c r="W147" i="5"/>
  <c r="W148" i="5"/>
  <c r="W149" i="5"/>
  <c r="W150" i="5"/>
  <c r="W151" i="5"/>
  <c r="W152" i="5"/>
  <c r="P152" i="15" s="1"/>
  <c r="W153" i="5"/>
  <c r="W154" i="5"/>
  <c r="W155" i="5"/>
  <c r="P155" i="15" s="1"/>
  <c r="W156" i="5"/>
  <c r="W157" i="5"/>
  <c r="W158" i="5"/>
  <c r="W159" i="5"/>
  <c r="W160" i="5"/>
  <c r="P160" i="15" s="1"/>
  <c r="W161" i="5"/>
  <c r="W162" i="5"/>
  <c r="W163" i="5"/>
  <c r="P163" i="15" s="1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P176" i="15" s="1"/>
  <c r="W177" i="5"/>
  <c r="W178" i="5"/>
  <c r="W179" i="5"/>
  <c r="W180" i="5"/>
  <c r="W181" i="5"/>
  <c r="W182" i="5"/>
  <c r="W183" i="5"/>
  <c r="W184" i="5"/>
  <c r="P184" i="15" s="1"/>
  <c r="W185" i="5"/>
  <c r="W186" i="5"/>
  <c r="W187" i="5"/>
  <c r="P187" i="15" s="1"/>
  <c r="W188" i="5"/>
  <c r="W189" i="5"/>
  <c r="W190" i="5"/>
  <c r="W191" i="5"/>
  <c r="W192" i="5"/>
  <c r="W193" i="5"/>
  <c r="W194" i="5"/>
  <c r="W195" i="5"/>
  <c r="P195" i="15" s="1"/>
  <c r="W196" i="5"/>
  <c r="W197" i="5"/>
  <c r="W198" i="5"/>
  <c r="W199" i="5"/>
  <c r="W200" i="5"/>
  <c r="P200" i="15" s="1"/>
  <c r="W201" i="5"/>
  <c r="W202" i="5"/>
  <c r="W203" i="5"/>
  <c r="P203" i="15" s="1"/>
  <c r="W204" i="5"/>
  <c r="W205" i="5"/>
  <c r="W206" i="5"/>
  <c r="W207" i="5"/>
  <c r="W208" i="5"/>
  <c r="P208" i="15" s="1"/>
  <c r="W209" i="5"/>
  <c r="W210" i="5"/>
  <c r="W211" i="5"/>
  <c r="P211" i="15" s="1"/>
  <c r="W212" i="5"/>
  <c r="W213" i="5"/>
  <c r="W214" i="5"/>
  <c r="W215" i="5"/>
  <c r="W216" i="5"/>
  <c r="W217" i="5"/>
  <c r="W218" i="5"/>
  <c r="W219" i="5"/>
  <c r="P219" i="15" s="1"/>
  <c r="W220" i="5"/>
  <c r="W221" i="5"/>
  <c r="W222" i="5"/>
  <c r="W223" i="5"/>
  <c r="W224" i="5"/>
  <c r="W225" i="5"/>
  <c r="W226" i="5"/>
  <c r="W227" i="5"/>
  <c r="P227" i="15" s="1"/>
  <c r="W228" i="5"/>
  <c r="W229" i="5"/>
  <c r="W230" i="5"/>
  <c r="W4" i="14"/>
  <c r="W5" i="14"/>
  <c r="W6" i="14"/>
  <c r="W7" i="14"/>
  <c r="W8" i="14"/>
  <c r="W9" i="14"/>
  <c r="W10" i="14"/>
  <c r="H10" i="15" s="1"/>
  <c r="W11" i="14"/>
  <c r="W12" i="14"/>
  <c r="W13" i="14"/>
  <c r="W14" i="14"/>
  <c r="W15" i="14"/>
  <c r="W16" i="14"/>
  <c r="W17" i="14"/>
  <c r="W18" i="14"/>
  <c r="H18" i="15" s="1"/>
  <c r="W19" i="14"/>
  <c r="W20" i="14"/>
  <c r="W21" i="14"/>
  <c r="W22" i="14"/>
  <c r="W23" i="14"/>
  <c r="W24" i="14"/>
  <c r="W25" i="14"/>
  <c r="W26" i="14"/>
  <c r="H26" i="15" s="1"/>
  <c r="W27" i="14"/>
  <c r="W28" i="14"/>
  <c r="W29" i="14"/>
  <c r="W30" i="14"/>
  <c r="W31" i="14"/>
  <c r="W32" i="14"/>
  <c r="W33" i="14"/>
  <c r="W34" i="14"/>
  <c r="H34" i="15" s="1"/>
  <c r="W35" i="14"/>
  <c r="W36" i="14"/>
  <c r="W37" i="14"/>
  <c r="W38" i="14"/>
  <c r="W39" i="14"/>
  <c r="W40" i="14"/>
  <c r="W41" i="14"/>
  <c r="W42" i="14"/>
  <c r="H42" i="15" s="1"/>
  <c r="W43" i="14"/>
  <c r="W44" i="14"/>
  <c r="W45" i="14"/>
  <c r="W46" i="14"/>
  <c r="W47" i="14"/>
  <c r="W48" i="14"/>
  <c r="W49" i="14"/>
  <c r="W50" i="14"/>
  <c r="H50" i="15" s="1"/>
  <c r="W51" i="14"/>
  <c r="W52" i="14"/>
  <c r="W53" i="14"/>
  <c r="W54" i="14"/>
  <c r="W55" i="14"/>
  <c r="W56" i="14"/>
  <c r="W57" i="14"/>
  <c r="W58" i="14"/>
  <c r="H58" i="15" s="1"/>
  <c r="W59" i="14"/>
  <c r="W60" i="14"/>
  <c r="W61" i="14"/>
  <c r="W62" i="14"/>
  <c r="W63" i="14"/>
  <c r="W64" i="14"/>
  <c r="W65" i="14"/>
  <c r="W66" i="14"/>
  <c r="H66" i="15" s="1"/>
  <c r="W67" i="14"/>
  <c r="W68" i="14"/>
  <c r="W69" i="14"/>
  <c r="W70" i="14"/>
  <c r="W71" i="14"/>
  <c r="W72" i="14"/>
  <c r="W73" i="14"/>
  <c r="W74" i="14"/>
  <c r="H74" i="15" s="1"/>
  <c r="W75" i="14"/>
  <c r="W76" i="14"/>
  <c r="W77" i="14"/>
  <c r="W78" i="14"/>
  <c r="W79" i="14"/>
  <c r="W80" i="14"/>
  <c r="W81" i="14"/>
  <c r="W82" i="14"/>
  <c r="H82" i="15" s="1"/>
  <c r="W83" i="14"/>
  <c r="W84" i="14"/>
  <c r="W85" i="14"/>
  <c r="W86" i="14"/>
  <c r="W87" i="14"/>
  <c r="W88" i="14"/>
  <c r="W89" i="14"/>
  <c r="W90" i="14"/>
  <c r="H90" i="15" s="1"/>
  <c r="W91" i="14"/>
  <c r="W92" i="14"/>
  <c r="W93" i="14"/>
  <c r="W94" i="14"/>
  <c r="W95" i="14"/>
  <c r="W96" i="14"/>
  <c r="W97" i="14"/>
  <c r="W98" i="14"/>
  <c r="H98" i="15" s="1"/>
  <c r="W99" i="14"/>
  <c r="W100" i="14"/>
  <c r="W101" i="14"/>
  <c r="W102" i="14"/>
  <c r="W103" i="14"/>
  <c r="W104" i="14"/>
  <c r="W105" i="14"/>
  <c r="W106" i="14"/>
  <c r="H106" i="15" s="1"/>
  <c r="W107" i="14"/>
  <c r="W108" i="14"/>
  <c r="W109" i="14"/>
  <c r="W110" i="14"/>
  <c r="W111" i="14"/>
  <c r="W112" i="14"/>
  <c r="W113" i="14"/>
  <c r="W114" i="14"/>
  <c r="H114" i="15" s="1"/>
  <c r="W115" i="14"/>
  <c r="W116" i="14"/>
  <c r="W117" i="14"/>
  <c r="W118" i="14"/>
  <c r="W119" i="14"/>
  <c r="W120" i="14"/>
  <c r="W121" i="14"/>
  <c r="W122" i="14"/>
  <c r="H122" i="15" s="1"/>
  <c r="W123" i="14"/>
  <c r="W124" i="14"/>
  <c r="W125" i="14"/>
  <c r="W126" i="14"/>
  <c r="W127" i="14"/>
  <c r="W128" i="14"/>
  <c r="W129" i="14"/>
  <c r="W130" i="14"/>
  <c r="H130" i="15" s="1"/>
  <c r="W131" i="14"/>
  <c r="W132" i="14"/>
  <c r="W133" i="14"/>
  <c r="W134" i="14"/>
  <c r="W135" i="14"/>
  <c r="W136" i="14"/>
  <c r="W137" i="14"/>
  <c r="W138" i="14"/>
  <c r="H138" i="15" s="1"/>
  <c r="W139" i="14"/>
  <c r="W140" i="14"/>
  <c r="W141" i="14"/>
  <c r="W142" i="14"/>
  <c r="W143" i="14"/>
  <c r="W144" i="14"/>
  <c r="W145" i="14"/>
  <c r="W146" i="14"/>
  <c r="H146" i="15" s="1"/>
  <c r="W147" i="14"/>
  <c r="W148" i="14"/>
  <c r="W149" i="14"/>
  <c r="W150" i="14"/>
  <c r="W151" i="14"/>
  <c r="W152" i="14"/>
  <c r="W153" i="14"/>
  <c r="W154" i="14"/>
  <c r="H154" i="15" s="1"/>
  <c r="W155" i="14"/>
  <c r="W156" i="14"/>
  <c r="W157" i="14"/>
  <c r="W158" i="14"/>
  <c r="W159" i="14"/>
  <c r="W160" i="14"/>
  <c r="W161" i="14"/>
  <c r="W162" i="14"/>
  <c r="H162" i="15" s="1"/>
  <c r="W163" i="14"/>
  <c r="W164" i="14"/>
  <c r="W165" i="14"/>
  <c r="W166" i="14"/>
  <c r="W167" i="14"/>
  <c r="W168" i="14"/>
  <c r="W169" i="14"/>
  <c r="W170" i="14"/>
  <c r="H170" i="15" s="1"/>
  <c r="W171" i="14"/>
  <c r="W172" i="14"/>
  <c r="W173" i="14"/>
  <c r="W174" i="14"/>
  <c r="W175" i="14"/>
  <c r="W176" i="14"/>
  <c r="W177" i="14"/>
  <c r="W178" i="14"/>
  <c r="H178" i="15" s="1"/>
  <c r="W179" i="14"/>
  <c r="W180" i="14"/>
  <c r="W181" i="14"/>
  <c r="W182" i="14"/>
  <c r="W183" i="14"/>
  <c r="W184" i="14"/>
  <c r="W185" i="14"/>
  <c r="W186" i="14"/>
  <c r="H186" i="15" s="1"/>
  <c r="W187" i="14"/>
  <c r="W188" i="14"/>
  <c r="W189" i="14"/>
  <c r="W190" i="14"/>
  <c r="W191" i="14"/>
  <c r="W192" i="14"/>
  <c r="W193" i="14"/>
  <c r="W194" i="14"/>
  <c r="H194" i="15" s="1"/>
  <c r="W195" i="14"/>
  <c r="W196" i="14"/>
  <c r="W197" i="14"/>
  <c r="W198" i="14"/>
  <c r="W199" i="14"/>
  <c r="W200" i="14"/>
  <c r="W201" i="14"/>
  <c r="W202" i="14"/>
  <c r="H202" i="15" s="1"/>
  <c r="W203" i="14"/>
  <c r="W204" i="14"/>
  <c r="W205" i="14"/>
  <c r="W206" i="14"/>
  <c r="W207" i="14"/>
  <c r="W208" i="14"/>
  <c r="W209" i="14"/>
  <c r="W210" i="14"/>
  <c r="H210" i="15" s="1"/>
  <c r="W211" i="14"/>
  <c r="W212" i="14"/>
  <c r="W213" i="14"/>
  <c r="W214" i="14"/>
  <c r="W215" i="14"/>
  <c r="W216" i="14"/>
  <c r="W217" i="14"/>
  <c r="W218" i="14"/>
  <c r="H218" i="15" s="1"/>
  <c r="W219" i="14"/>
  <c r="W220" i="14"/>
  <c r="W221" i="14"/>
  <c r="W222" i="14"/>
  <c r="W223" i="14"/>
  <c r="W224" i="14"/>
  <c r="W225" i="14"/>
  <c r="W226" i="14"/>
  <c r="H226" i="15" s="1"/>
  <c r="W227" i="14"/>
  <c r="W228" i="14"/>
  <c r="W229" i="14"/>
  <c r="W230" i="14"/>
  <c r="W3" i="14"/>
  <c r="AC4" i="14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3" i="14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3" i="5"/>
  <c r="AI4" i="14"/>
  <c r="AI5" i="14"/>
  <c r="AI6" i="14"/>
  <c r="AI7" i="14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46" i="14"/>
  <c r="AI47" i="14"/>
  <c r="AI48" i="14"/>
  <c r="AI49" i="14"/>
  <c r="AI50" i="14"/>
  <c r="AI51" i="14"/>
  <c r="AI52" i="14"/>
  <c r="AI53" i="14"/>
  <c r="AI54" i="14"/>
  <c r="AI55" i="14"/>
  <c r="AI56" i="14"/>
  <c r="AI57" i="14"/>
  <c r="AI58" i="14"/>
  <c r="AI59" i="14"/>
  <c r="AI60" i="14"/>
  <c r="AI61" i="14"/>
  <c r="AI62" i="14"/>
  <c r="AI63" i="14"/>
  <c r="AI64" i="14"/>
  <c r="AI65" i="14"/>
  <c r="AI66" i="14"/>
  <c r="AI67" i="14"/>
  <c r="AI68" i="14"/>
  <c r="AI69" i="14"/>
  <c r="AI70" i="14"/>
  <c r="AI71" i="14"/>
  <c r="AI72" i="14"/>
  <c r="AI73" i="14"/>
  <c r="AI74" i="14"/>
  <c r="AI75" i="14"/>
  <c r="AI76" i="14"/>
  <c r="AI77" i="14"/>
  <c r="AI78" i="14"/>
  <c r="AI79" i="14"/>
  <c r="AI80" i="14"/>
  <c r="AI81" i="14"/>
  <c r="AI82" i="14"/>
  <c r="AI83" i="14"/>
  <c r="AI84" i="14"/>
  <c r="AI85" i="14"/>
  <c r="AI86" i="14"/>
  <c r="AI87" i="14"/>
  <c r="AI88" i="14"/>
  <c r="AI89" i="14"/>
  <c r="AI90" i="14"/>
  <c r="AI91" i="14"/>
  <c r="AI92" i="14"/>
  <c r="AI93" i="14"/>
  <c r="AI94" i="14"/>
  <c r="AI95" i="14"/>
  <c r="AI96" i="14"/>
  <c r="AI97" i="14"/>
  <c r="AI98" i="14"/>
  <c r="AI99" i="14"/>
  <c r="AI100" i="14"/>
  <c r="AI101" i="14"/>
  <c r="AI102" i="14"/>
  <c r="AI103" i="14"/>
  <c r="AI104" i="14"/>
  <c r="AI105" i="14"/>
  <c r="AI106" i="14"/>
  <c r="AI107" i="14"/>
  <c r="AI108" i="14"/>
  <c r="AI109" i="14"/>
  <c r="AI110" i="14"/>
  <c r="AI111" i="14"/>
  <c r="AI112" i="14"/>
  <c r="AI113" i="14"/>
  <c r="AI114" i="14"/>
  <c r="AI115" i="14"/>
  <c r="AI116" i="14"/>
  <c r="AI117" i="14"/>
  <c r="AI118" i="14"/>
  <c r="AI119" i="14"/>
  <c r="AI120" i="14"/>
  <c r="AI121" i="14"/>
  <c r="AI122" i="14"/>
  <c r="AI123" i="14"/>
  <c r="AI124" i="14"/>
  <c r="AI125" i="14"/>
  <c r="AI126" i="14"/>
  <c r="AI127" i="14"/>
  <c r="AI128" i="14"/>
  <c r="AI129" i="14"/>
  <c r="AI130" i="14"/>
  <c r="AI131" i="14"/>
  <c r="AI132" i="14"/>
  <c r="AI133" i="14"/>
  <c r="AI134" i="14"/>
  <c r="AI135" i="14"/>
  <c r="AI136" i="14"/>
  <c r="AI137" i="14"/>
  <c r="AI138" i="14"/>
  <c r="AI139" i="14"/>
  <c r="AI140" i="14"/>
  <c r="AI141" i="14"/>
  <c r="AI142" i="14"/>
  <c r="AI143" i="14"/>
  <c r="AI144" i="14"/>
  <c r="AI145" i="14"/>
  <c r="AI146" i="14"/>
  <c r="AI147" i="14"/>
  <c r="AI148" i="14"/>
  <c r="AI149" i="14"/>
  <c r="AI150" i="14"/>
  <c r="AI151" i="14"/>
  <c r="AI152" i="14"/>
  <c r="AI153" i="14"/>
  <c r="AI154" i="14"/>
  <c r="AI155" i="14"/>
  <c r="AI156" i="14"/>
  <c r="AI157" i="14"/>
  <c r="AI158" i="14"/>
  <c r="AI159" i="14"/>
  <c r="AI160" i="14"/>
  <c r="AI161" i="14"/>
  <c r="AI162" i="14"/>
  <c r="AI163" i="14"/>
  <c r="AI164" i="14"/>
  <c r="AI165" i="14"/>
  <c r="AI166" i="14"/>
  <c r="AI167" i="14"/>
  <c r="AI168" i="14"/>
  <c r="AI169" i="14"/>
  <c r="AI170" i="14"/>
  <c r="AI171" i="14"/>
  <c r="AI172" i="14"/>
  <c r="AI173" i="14"/>
  <c r="AI174" i="14"/>
  <c r="AI175" i="14"/>
  <c r="AI176" i="14"/>
  <c r="AI177" i="14"/>
  <c r="AI178" i="14"/>
  <c r="AI179" i="14"/>
  <c r="AI180" i="14"/>
  <c r="AI181" i="14"/>
  <c r="AI182" i="14"/>
  <c r="AI183" i="14"/>
  <c r="AI184" i="14"/>
  <c r="AI185" i="14"/>
  <c r="AI186" i="14"/>
  <c r="AI187" i="14"/>
  <c r="AI188" i="14"/>
  <c r="AI189" i="14"/>
  <c r="AI190" i="14"/>
  <c r="AI191" i="14"/>
  <c r="AI192" i="14"/>
  <c r="AI193" i="14"/>
  <c r="AI194" i="14"/>
  <c r="AI195" i="14"/>
  <c r="AI196" i="14"/>
  <c r="AI197" i="14"/>
  <c r="AI198" i="14"/>
  <c r="AI199" i="14"/>
  <c r="AI200" i="14"/>
  <c r="AI201" i="14"/>
  <c r="AI202" i="14"/>
  <c r="AI203" i="14"/>
  <c r="AI204" i="14"/>
  <c r="AI205" i="14"/>
  <c r="AI206" i="14"/>
  <c r="AI207" i="14"/>
  <c r="AI208" i="14"/>
  <c r="AI209" i="14"/>
  <c r="AI210" i="14"/>
  <c r="AI211" i="14"/>
  <c r="AI212" i="14"/>
  <c r="AI213" i="14"/>
  <c r="AI214" i="14"/>
  <c r="AI215" i="14"/>
  <c r="AI216" i="14"/>
  <c r="AI217" i="14"/>
  <c r="AI218" i="14"/>
  <c r="AI219" i="14"/>
  <c r="AI220" i="14"/>
  <c r="AI221" i="14"/>
  <c r="AI222" i="14"/>
  <c r="AI223" i="14"/>
  <c r="AI224" i="14"/>
  <c r="AI225" i="14"/>
  <c r="AI226" i="14"/>
  <c r="AI227" i="14"/>
  <c r="AI228" i="14"/>
  <c r="AI229" i="14"/>
  <c r="AI230" i="14"/>
  <c r="AI3" i="14"/>
  <c r="AU4" i="14"/>
  <c r="AU5" i="14"/>
  <c r="AU6" i="14"/>
  <c r="AU7" i="14"/>
  <c r="AU8" i="14"/>
  <c r="AU9" i="14"/>
  <c r="AU10" i="14"/>
  <c r="AU11" i="14"/>
  <c r="AU12" i="14"/>
  <c r="AU13" i="14"/>
  <c r="AU14" i="14"/>
  <c r="AU15" i="14"/>
  <c r="AU16" i="14"/>
  <c r="AU17" i="14"/>
  <c r="AU18" i="14"/>
  <c r="AU19" i="14"/>
  <c r="AU20" i="14"/>
  <c r="AU21" i="14"/>
  <c r="AU22" i="14"/>
  <c r="AU23" i="14"/>
  <c r="AU24" i="14"/>
  <c r="AU25" i="14"/>
  <c r="AU26" i="14"/>
  <c r="AU27" i="14"/>
  <c r="AU28" i="14"/>
  <c r="AU29" i="14"/>
  <c r="AU30" i="14"/>
  <c r="AU31" i="14"/>
  <c r="AU32" i="14"/>
  <c r="AU33" i="14"/>
  <c r="AU34" i="14"/>
  <c r="AU35" i="14"/>
  <c r="AU36" i="14"/>
  <c r="AU37" i="14"/>
  <c r="AU38" i="14"/>
  <c r="AU39" i="14"/>
  <c r="AU40" i="14"/>
  <c r="AU41" i="14"/>
  <c r="AU42" i="14"/>
  <c r="AU43" i="14"/>
  <c r="AU44" i="14"/>
  <c r="AU45" i="14"/>
  <c r="AU46" i="14"/>
  <c r="AU47" i="14"/>
  <c r="AU48" i="14"/>
  <c r="AU49" i="14"/>
  <c r="AU50" i="14"/>
  <c r="AU51" i="14"/>
  <c r="AU52" i="14"/>
  <c r="AU53" i="14"/>
  <c r="AU54" i="14"/>
  <c r="AU55" i="14"/>
  <c r="AU56" i="14"/>
  <c r="AU57" i="14"/>
  <c r="AU58" i="14"/>
  <c r="AU59" i="14"/>
  <c r="AU60" i="14"/>
  <c r="AU61" i="14"/>
  <c r="AU62" i="14"/>
  <c r="AU63" i="14"/>
  <c r="AU64" i="14"/>
  <c r="AU65" i="14"/>
  <c r="AU66" i="14"/>
  <c r="AU67" i="14"/>
  <c r="AU68" i="14"/>
  <c r="AU69" i="14"/>
  <c r="AU70" i="14"/>
  <c r="AU71" i="14"/>
  <c r="AU72" i="14"/>
  <c r="AU73" i="14"/>
  <c r="AU74" i="14"/>
  <c r="AU75" i="14"/>
  <c r="AU76" i="14"/>
  <c r="AU77" i="14"/>
  <c r="AU78" i="14"/>
  <c r="AU79" i="14"/>
  <c r="AU80" i="14"/>
  <c r="AU81" i="14"/>
  <c r="AU82" i="14"/>
  <c r="AU83" i="14"/>
  <c r="AU84" i="14"/>
  <c r="AU85" i="14"/>
  <c r="AU86" i="14"/>
  <c r="AU87" i="14"/>
  <c r="AU88" i="14"/>
  <c r="AU89" i="14"/>
  <c r="AU90" i="14"/>
  <c r="AU91" i="14"/>
  <c r="AU92" i="14"/>
  <c r="AU93" i="14"/>
  <c r="AU94" i="14"/>
  <c r="AU95" i="14"/>
  <c r="AU96" i="14"/>
  <c r="AU97" i="14"/>
  <c r="AU98" i="14"/>
  <c r="AU99" i="14"/>
  <c r="AU100" i="14"/>
  <c r="AU101" i="14"/>
  <c r="AU102" i="14"/>
  <c r="AU103" i="14"/>
  <c r="AU104" i="14"/>
  <c r="AU105" i="14"/>
  <c r="AU106" i="14"/>
  <c r="AU107" i="14"/>
  <c r="AU108" i="14"/>
  <c r="AU109" i="14"/>
  <c r="AU110" i="14"/>
  <c r="AU111" i="14"/>
  <c r="AU112" i="14"/>
  <c r="AU113" i="14"/>
  <c r="AU114" i="14"/>
  <c r="AU115" i="14"/>
  <c r="AU116" i="14"/>
  <c r="AU117" i="14"/>
  <c r="AU118" i="14"/>
  <c r="AU119" i="14"/>
  <c r="AU120" i="14"/>
  <c r="AU121" i="14"/>
  <c r="AU122" i="14"/>
  <c r="AU123" i="14"/>
  <c r="AU124" i="14"/>
  <c r="AU125" i="14"/>
  <c r="AU126" i="14"/>
  <c r="AU127" i="14"/>
  <c r="AU128" i="14"/>
  <c r="AU129" i="14"/>
  <c r="AU130" i="14"/>
  <c r="AU131" i="14"/>
  <c r="AU132" i="14"/>
  <c r="AU133" i="14"/>
  <c r="AU134" i="14"/>
  <c r="AU135" i="14"/>
  <c r="AU136" i="14"/>
  <c r="AU137" i="14"/>
  <c r="AU138" i="14"/>
  <c r="AU139" i="14"/>
  <c r="AU140" i="14"/>
  <c r="AU141" i="14"/>
  <c r="AU142" i="14"/>
  <c r="AU143" i="14"/>
  <c r="AU144" i="14"/>
  <c r="AU145" i="14"/>
  <c r="AU146" i="14"/>
  <c r="AU147" i="14"/>
  <c r="AU148" i="14"/>
  <c r="AU149" i="14"/>
  <c r="AU150" i="14"/>
  <c r="AU151" i="14"/>
  <c r="AU152" i="14"/>
  <c r="AU153" i="14"/>
  <c r="AU154" i="14"/>
  <c r="AU155" i="14"/>
  <c r="AU156" i="14"/>
  <c r="AU157" i="14"/>
  <c r="AU158" i="14"/>
  <c r="AU159" i="14"/>
  <c r="AU160" i="14"/>
  <c r="AU161" i="14"/>
  <c r="AU162" i="14"/>
  <c r="AU163" i="14"/>
  <c r="AU164" i="14"/>
  <c r="AU165" i="14"/>
  <c r="AU166" i="14"/>
  <c r="AU167" i="14"/>
  <c r="AU168" i="14"/>
  <c r="AU169" i="14"/>
  <c r="AU170" i="14"/>
  <c r="AU171" i="14"/>
  <c r="AU172" i="14"/>
  <c r="AU173" i="14"/>
  <c r="AU174" i="14"/>
  <c r="AU175" i="14"/>
  <c r="AU176" i="14"/>
  <c r="AU177" i="14"/>
  <c r="AU178" i="14"/>
  <c r="AU179" i="14"/>
  <c r="AU180" i="14"/>
  <c r="AU181" i="14"/>
  <c r="AU182" i="14"/>
  <c r="AU183" i="14"/>
  <c r="AU184" i="14"/>
  <c r="AU185" i="14"/>
  <c r="AU186" i="14"/>
  <c r="AU187" i="14"/>
  <c r="AU188" i="14"/>
  <c r="AU189" i="14"/>
  <c r="AU190" i="14"/>
  <c r="AU191" i="14"/>
  <c r="AU192" i="14"/>
  <c r="AU193" i="14"/>
  <c r="AU194" i="14"/>
  <c r="AU195" i="14"/>
  <c r="AU196" i="14"/>
  <c r="AU197" i="14"/>
  <c r="AU198" i="14"/>
  <c r="AU199" i="14"/>
  <c r="AU200" i="14"/>
  <c r="AU201" i="14"/>
  <c r="AU202" i="14"/>
  <c r="AU203" i="14"/>
  <c r="AU204" i="14"/>
  <c r="AU205" i="14"/>
  <c r="AU206" i="14"/>
  <c r="AU207" i="14"/>
  <c r="AU208" i="14"/>
  <c r="AU209" i="14"/>
  <c r="AU210" i="14"/>
  <c r="AU211" i="14"/>
  <c r="AU212" i="14"/>
  <c r="AU213" i="14"/>
  <c r="AU214" i="14"/>
  <c r="AU215" i="14"/>
  <c r="AU216" i="14"/>
  <c r="AU217" i="14"/>
  <c r="AU218" i="14"/>
  <c r="AU219" i="14"/>
  <c r="AU220" i="14"/>
  <c r="AU221" i="14"/>
  <c r="AU222" i="14"/>
  <c r="AU223" i="14"/>
  <c r="AU224" i="14"/>
  <c r="AU225" i="14"/>
  <c r="AU226" i="14"/>
  <c r="AU227" i="14"/>
  <c r="AU228" i="14"/>
  <c r="AU229" i="14"/>
  <c r="AU230" i="14"/>
  <c r="AU3" i="14"/>
  <c r="AU4" i="5"/>
  <c r="AU5" i="5"/>
  <c r="AU6" i="5"/>
  <c r="AU7" i="5"/>
  <c r="AU8" i="5"/>
  <c r="AU9" i="5"/>
  <c r="AU10" i="5"/>
  <c r="T10" i="15" s="1"/>
  <c r="AU11" i="5"/>
  <c r="AU12" i="5"/>
  <c r="AU13" i="5"/>
  <c r="AU14" i="5"/>
  <c r="AU15" i="5"/>
  <c r="AU16" i="5"/>
  <c r="AU17" i="5"/>
  <c r="AU18" i="5"/>
  <c r="T18" i="15" s="1"/>
  <c r="AU19" i="5"/>
  <c r="AU20" i="5"/>
  <c r="AU21" i="5"/>
  <c r="AU22" i="5"/>
  <c r="AU23" i="5"/>
  <c r="AU24" i="5"/>
  <c r="AU25" i="5"/>
  <c r="AU26" i="5"/>
  <c r="T26" i="15" s="1"/>
  <c r="AU27" i="5"/>
  <c r="AU28" i="5"/>
  <c r="AU29" i="5"/>
  <c r="AU30" i="5"/>
  <c r="AU31" i="5"/>
  <c r="AU32" i="5"/>
  <c r="AU33" i="5"/>
  <c r="AU34" i="5"/>
  <c r="T34" i="15" s="1"/>
  <c r="AU35" i="5"/>
  <c r="T35" i="15" s="1"/>
  <c r="AU36" i="5"/>
  <c r="AU37" i="5"/>
  <c r="AU38" i="5"/>
  <c r="AU39" i="5"/>
  <c r="AU40" i="5"/>
  <c r="AU41" i="5"/>
  <c r="AU42" i="5"/>
  <c r="AU43" i="5"/>
  <c r="T43" i="15" s="1"/>
  <c r="AU44" i="5"/>
  <c r="AU45" i="5"/>
  <c r="AU46" i="5"/>
  <c r="AU47" i="5"/>
  <c r="AU48" i="5"/>
  <c r="AU49" i="5"/>
  <c r="AU50" i="5"/>
  <c r="T50" i="15" s="1"/>
  <c r="AU51" i="5"/>
  <c r="AU52" i="5"/>
  <c r="AU53" i="5"/>
  <c r="AU54" i="5"/>
  <c r="AU55" i="5"/>
  <c r="AU56" i="5"/>
  <c r="AU57" i="5"/>
  <c r="AU58" i="5"/>
  <c r="T58" i="15" s="1"/>
  <c r="AU59" i="5"/>
  <c r="AU60" i="5"/>
  <c r="AU61" i="5"/>
  <c r="AU62" i="5"/>
  <c r="AU63" i="5"/>
  <c r="AU64" i="5"/>
  <c r="AU65" i="5"/>
  <c r="AU66" i="5"/>
  <c r="T66" i="15" s="1"/>
  <c r="AU67" i="5"/>
  <c r="AU68" i="5"/>
  <c r="AU69" i="5"/>
  <c r="AU70" i="5"/>
  <c r="AU71" i="5"/>
  <c r="AU72" i="5"/>
  <c r="AU73" i="5"/>
  <c r="AU74" i="5"/>
  <c r="T74" i="15" s="1"/>
  <c r="AU75" i="5"/>
  <c r="AU76" i="5"/>
  <c r="AU77" i="5"/>
  <c r="AU78" i="5"/>
  <c r="AU79" i="5"/>
  <c r="AU80" i="5"/>
  <c r="AU81" i="5"/>
  <c r="AU82" i="5"/>
  <c r="T82" i="15" s="1"/>
  <c r="AU83" i="5"/>
  <c r="AU84" i="5"/>
  <c r="AU85" i="5"/>
  <c r="AU86" i="5"/>
  <c r="AU87" i="5"/>
  <c r="AU88" i="5"/>
  <c r="AU89" i="5"/>
  <c r="AU90" i="5"/>
  <c r="T90" i="15" s="1"/>
  <c r="AU91" i="5"/>
  <c r="AU92" i="5"/>
  <c r="AU93" i="5"/>
  <c r="AU94" i="5"/>
  <c r="AU95" i="5"/>
  <c r="AU96" i="5"/>
  <c r="AU97" i="5"/>
  <c r="AU98" i="5"/>
  <c r="T98" i="15" s="1"/>
  <c r="AU99" i="5"/>
  <c r="AU100" i="5"/>
  <c r="AU101" i="5"/>
  <c r="AU102" i="5"/>
  <c r="AU103" i="5"/>
  <c r="AU104" i="5"/>
  <c r="AU105" i="5"/>
  <c r="AU106" i="5"/>
  <c r="T106" i="15" s="1"/>
  <c r="AU107" i="5"/>
  <c r="AU108" i="5"/>
  <c r="AU109" i="5"/>
  <c r="AU110" i="5"/>
  <c r="AU111" i="5"/>
  <c r="AU112" i="5"/>
  <c r="AU113" i="5"/>
  <c r="AU114" i="5"/>
  <c r="T114" i="15" s="1"/>
  <c r="AU115" i="5"/>
  <c r="T115" i="15" s="1"/>
  <c r="AU116" i="5"/>
  <c r="AU117" i="5"/>
  <c r="AU118" i="5"/>
  <c r="AU119" i="5"/>
  <c r="AU120" i="5"/>
  <c r="AU121" i="5"/>
  <c r="AU122" i="5"/>
  <c r="T122" i="15" s="1"/>
  <c r="AU123" i="5"/>
  <c r="AU124" i="5"/>
  <c r="AU125" i="5"/>
  <c r="AU126" i="5"/>
  <c r="AU127" i="5"/>
  <c r="AU128" i="5"/>
  <c r="AU129" i="5"/>
  <c r="AU130" i="5"/>
  <c r="T130" i="15" s="1"/>
  <c r="AU131" i="5"/>
  <c r="AU132" i="5"/>
  <c r="AU133" i="5"/>
  <c r="AU134" i="5"/>
  <c r="AU135" i="5"/>
  <c r="AU136" i="5"/>
  <c r="AU137" i="5"/>
  <c r="AU138" i="5"/>
  <c r="T138" i="15" s="1"/>
  <c r="AU139" i="5"/>
  <c r="AU140" i="5"/>
  <c r="AU141" i="5"/>
  <c r="AU142" i="5"/>
  <c r="AU143" i="5"/>
  <c r="AU144" i="5"/>
  <c r="AU145" i="5"/>
  <c r="AU146" i="5"/>
  <c r="T146" i="15" s="1"/>
  <c r="AU147" i="5"/>
  <c r="T147" i="15" s="1"/>
  <c r="AU148" i="5"/>
  <c r="AU149" i="5"/>
  <c r="AU150" i="5"/>
  <c r="AU151" i="5"/>
  <c r="AU152" i="5"/>
  <c r="AU153" i="5"/>
  <c r="AU154" i="5"/>
  <c r="T154" i="15" s="1"/>
  <c r="AU155" i="5"/>
  <c r="AU156" i="5"/>
  <c r="AU157" i="5"/>
  <c r="AU158" i="5"/>
  <c r="AU159" i="5"/>
  <c r="AU160" i="5"/>
  <c r="AU161" i="5"/>
  <c r="AU162" i="5"/>
  <c r="AU163" i="5"/>
  <c r="T163" i="15" s="1"/>
  <c r="AU164" i="5"/>
  <c r="AU165" i="5"/>
  <c r="AU166" i="5"/>
  <c r="AU167" i="5"/>
  <c r="AU168" i="5"/>
  <c r="AU169" i="5"/>
  <c r="AU170" i="5"/>
  <c r="T170" i="15" s="1"/>
  <c r="AU171" i="5"/>
  <c r="AU172" i="5"/>
  <c r="AU173" i="5"/>
  <c r="AU174" i="5"/>
  <c r="AU175" i="5"/>
  <c r="AU176" i="5"/>
  <c r="AU177" i="5"/>
  <c r="AU178" i="5"/>
  <c r="T178" i="15" s="1"/>
  <c r="AU179" i="5"/>
  <c r="T179" i="15" s="1"/>
  <c r="AU180" i="5"/>
  <c r="AU181" i="5"/>
  <c r="AU182" i="5"/>
  <c r="AU183" i="5"/>
  <c r="AU184" i="5"/>
  <c r="AU185" i="5"/>
  <c r="AU186" i="5"/>
  <c r="T186" i="15" s="1"/>
  <c r="AU187" i="5"/>
  <c r="AU188" i="5"/>
  <c r="AU189" i="5"/>
  <c r="AU190" i="5"/>
  <c r="AU191" i="5"/>
  <c r="AU192" i="5"/>
  <c r="AU193" i="5"/>
  <c r="AU194" i="5"/>
  <c r="T194" i="15" s="1"/>
  <c r="AU195" i="5"/>
  <c r="AU196" i="5"/>
  <c r="AU197" i="5"/>
  <c r="AU198" i="5"/>
  <c r="AU199" i="5"/>
  <c r="AU200" i="5"/>
  <c r="AU201" i="5"/>
  <c r="AU202" i="5"/>
  <c r="T202" i="15" s="1"/>
  <c r="AU203" i="5"/>
  <c r="AU204" i="5"/>
  <c r="AU205" i="5"/>
  <c r="AU206" i="5"/>
  <c r="AU207" i="5"/>
  <c r="AU208" i="5"/>
  <c r="AU209" i="5"/>
  <c r="AU210" i="5"/>
  <c r="T210" i="15" s="1"/>
  <c r="AU211" i="5"/>
  <c r="AU212" i="5"/>
  <c r="AU213" i="5"/>
  <c r="AU214" i="5"/>
  <c r="AU215" i="5"/>
  <c r="AU216" i="5"/>
  <c r="AU217" i="5"/>
  <c r="AU218" i="5"/>
  <c r="T218" i="15" s="1"/>
  <c r="AU219" i="5"/>
  <c r="AU220" i="5"/>
  <c r="AU221" i="5"/>
  <c r="AU222" i="5"/>
  <c r="AU223" i="5"/>
  <c r="AU224" i="5"/>
  <c r="AU225" i="5"/>
  <c r="AU226" i="5"/>
  <c r="T226" i="15" s="1"/>
  <c r="AU227" i="5"/>
  <c r="AU228" i="5"/>
  <c r="AU229" i="5"/>
  <c r="AU230" i="5"/>
  <c r="AU3" i="5"/>
  <c r="T3" i="15" s="1"/>
  <c r="BA4" i="14"/>
  <c r="BA5" i="14"/>
  <c r="BA6" i="14"/>
  <c r="BA7" i="14"/>
  <c r="BA8" i="14"/>
  <c r="BA9" i="14"/>
  <c r="BA10" i="14"/>
  <c r="BA11" i="14"/>
  <c r="BA12" i="14"/>
  <c r="BA13" i="14"/>
  <c r="BA14" i="14"/>
  <c r="BA15" i="14"/>
  <c r="BA16" i="14"/>
  <c r="BA17" i="14"/>
  <c r="BA18" i="14"/>
  <c r="BA19" i="14"/>
  <c r="BA20" i="14"/>
  <c r="BA21" i="14"/>
  <c r="BA22" i="14"/>
  <c r="BA23" i="14"/>
  <c r="BA24" i="14"/>
  <c r="BA25" i="14"/>
  <c r="BA26" i="14"/>
  <c r="BA27" i="14"/>
  <c r="BA28" i="14"/>
  <c r="BA29" i="14"/>
  <c r="BA30" i="14"/>
  <c r="BA31" i="14"/>
  <c r="BA32" i="14"/>
  <c r="BA33" i="14"/>
  <c r="BA34" i="14"/>
  <c r="BA35" i="14"/>
  <c r="BA36" i="14"/>
  <c r="BA37" i="14"/>
  <c r="BA38" i="14"/>
  <c r="BA39" i="14"/>
  <c r="BA40" i="14"/>
  <c r="BA41" i="14"/>
  <c r="BA42" i="14"/>
  <c r="BA43" i="14"/>
  <c r="BA44" i="14"/>
  <c r="BA45" i="14"/>
  <c r="BA46" i="14"/>
  <c r="BA47" i="14"/>
  <c r="BA48" i="14"/>
  <c r="BA49" i="14"/>
  <c r="BA50" i="14"/>
  <c r="BA51" i="14"/>
  <c r="BA52" i="14"/>
  <c r="BA53" i="14"/>
  <c r="BA54" i="14"/>
  <c r="BA55" i="14"/>
  <c r="BA56" i="14"/>
  <c r="BA57" i="14"/>
  <c r="BA58" i="14"/>
  <c r="BA59" i="14"/>
  <c r="BA60" i="14"/>
  <c r="BA61" i="14"/>
  <c r="BA62" i="14"/>
  <c r="BA63" i="14"/>
  <c r="BA64" i="14"/>
  <c r="BA65" i="14"/>
  <c r="BA66" i="14"/>
  <c r="BA67" i="14"/>
  <c r="BA68" i="14"/>
  <c r="BA69" i="14"/>
  <c r="BA70" i="14"/>
  <c r="BA71" i="14"/>
  <c r="BA72" i="14"/>
  <c r="BA73" i="14"/>
  <c r="BA74" i="14"/>
  <c r="BA75" i="14"/>
  <c r="BA76" i="14"/>
  <c r="BA77" i="14"/>
  <c r="BA78" i="14"/>
  <c r="BA79" i="14"/>
  <c r="BA80" i="14"/>
  <c r="BA81" i="14"/>
  <c r="BA82" i="14"/>
  <c r="BA83" i="14"/>
  <c r="BA84" i="14"/>
  <c r="BA85" i="14"/>
  <c r="BA86" i="14"/>
  <c r="BA87" i="14"/>
  <c r="BA88" i="14"/>
  <c r="BA89" i="14"/>
  <c r="BA90" i="14"/>
  <c r="BA91" i="14"/>
  <c r="BA92" i="14"/>
  <c r="BA93" i="14"/>
  <c r="BA94" i="14"/>
  <c r="BA95" i="14"/>
  <c r="BA96" i="14"/>
  <c r="BA97" i="14"/>
  <c r="BA98" i="14"/>
  <c r="BA99" i="14"/>
  <c r="BA100" i="14"/>
  <c r="BA101" i="14"/>
  <c r="BA102" i="14"/>
  <c r="BA103" i="14"/>
  <c r="BA104" i="14"/>
  <c r="BA105" i="14"/>
  <c r="BA106" i="14"/>
  <c r="BA107" i="14"/>
  <c r="BA108" i="14"/>
  <c r="BA109" i="14"/>
  <c r="BA110" i="14"/>
  <c r="BA111" i="14"/>
  <c r="BA112" i="14"/>
  <c r="BA113" i="14"/>
  <c r="BA114" i="14"/>
  <c r="BA115" i="14"/>
  <c r="BA116" i="14"/>
  <c r="BA117" i="14"/>
  <c r="BA118" i="14"/>
  <c r="BA119" i="14"/>
  <c r="BA120" i="14"/>
  <c r="BA121" i="14"/>
  <c r="BA122" i="14"/>
  <c r="BA123" i="14"/>
  <c r="BA124" i="14"/>
  <c r="BA125" i="14"/>
  <c r="BA126" i="14"/>
  <c r="BA127" i="14"/>
  <c r="BA128" i="14"/>
  <c r="BA129" i="14"/>
  <c r="BA130" i="14"/>
  <c r="BA131" i="14"/>
  <c r="BA132" i="14"/>
  <c r="BA133" i="14"/>
  <c r="BA134" i="14"/>
  <c r="BA135" i="14"/>
  <c r="BA136" i="14"/>
  <c r="BA137" i="14"/>
  <c r="BA138" i="14"/>
  <c r="BA139" i="14"/>
  <c r="BA140" i="14"/>
  <c r="BA141" i="14"/>
  <c r="BA142" i="14"/>
  <c r="BA143" i="14"/>
  <c r="BA144" i="14"/>
  <c r="BA145" i="14"/>
  <c r="BA146" i="14"/>
  <c r="BA147" i="14"/>
  <c r="BA148" i="14"/>
  <c r="BA149" i="14"/>
  <c r="BA150" i="14"/>
  <c r="BA151" i="14"/>
  <c r="BA152" i="14"/>
  <c r="BA153" i="14"/>
  <c r="BA154" i="14"/>
  <c r="BA155" i="14"/>
  <c r="BA156" i="14"/>
  <c r="BA157" i="14"/>
  <c r="BA158" i="14"/>
  <c r="BA159" i="14"/>
  <c r="BA160" i="14"/>
  <c r="BA161" i="14"/>
  <c r="BA162" i="14"/>
  <c r="BA163" i="14"/>
  <c r="BA164" i="14"/>
  <c r="BA165" i="14"/>
  <c r="BA166" i="14"/>
  <c r="BA167" i="14"/>
  <c r="BA168" i="14"/>
  <c r="BA169" i="14"/>
  <c r="BA170" i="14"/>
  <c r="BA171" i="14"/>
  <c r="BA172" i="14"/>
  <c r="BA173" i="14"/>
  <c r="BA174" i="14"/>
  <c r="BA175" i="14"/>
  <c r="BA176" i="14"/>
  <c r="BA177" i="14"/>
  <c r="BA178" i="14"/>
  <c r="BA179" i="14"/>
  <c r="BA180" i="14"/>
  <c r="BA181" i="14"/>
  <c r="BA182" i="14"/>
  <c r="BA183" i="14"/>
  <c r="BA184" i="14"/>
  <c r="BA185" i="14"/>
  <c r="BA186" i="14"/>
  <c r="BA187" i="14"/>
  <c r="BA188" i="14"/>
  <c r="BA189" i="14"/>
  <c r="BA190" i="14"/>
  <c r="BA191" i="14"/>
  <c r="BA192" i="14"/>
  <c r="BA193" i="14"/>
  <c r="BA194" i="14"/>
  <c r="BA195" i="14"/>
  <c r="BA196" i="14"/>
  <c r="BA197" i="14"/>
  <c r="BA198" i="14"/>
  <c r="BA199" i="14"/>
  <c r="BA200" i="14"/>
  <c r="BA201" i="14"/>
  <c r="BA202" i="14"/>
  <c r="BA203" i="14"/>
  <c r="BA204" i="14"/>
  <c r="BA205" i="14"/>
  <c r="BA206" i="14"/>
  <c r="BA207" i="14"/>
  <c r="BA208" i="14"/>
  <c r="BA209" i="14"/>
  <c r="BA210" i="14"/>
  <c r="BA211" i="14"/>
  <c r="BA212" i="14"/>
  <c r="BA213" i="14"/>
  <c r="BA214" i="14"/>
  <c r="BA215" i="14"/>
  <c r="BA216" i="14"/>
  <c r="BA217" i="14"/>
  <c r="BA218" i="14"/>
  <c r="BA219" i="14"/>
  <c r="BA220" i="14"/>
  <c r="BA221" i="14"/>
  <c r="BA222" i="14"/>
  <c r="BA223" i="14"/>
  <c r="BA224" i="14"/>
  <c r="BA225" i="14"/>
  <c r="BA226" i="14"/>
  <c r="BA227" i="14"/>
  <c r="BA228" i="14"/>
  <c r="BA229" i="14"/>
  <c r="BA230" i="14"/>
  <c r="BA3" i="14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3" i="5"/>
  <c r="T9" i="15"/>
  <c r="T25" i="15"/>
  <c r="T33" i="15"/>
  <c r="T41" i="15"/>
  <c r="T49" i="15"/>
  <c r="T57" i="15"/>
  <c r="T65" i="15"/>
  <c r="T73" i="15"/>
  <c r="T81" i="15"/>
  <c r="T89" i="15"/>
  <c r="T97" i="15"/>
  <c r="T105" i="15"/>
  <c r="T113" i="15"/>
  <c r="T121" i="15"/>
  <c r="T137" i="15"/>
  <c r="T145" i="15"/>
  <c r="T153" i="15"/>
  <c r="T161" i="15"/>
  <c r="T169" i="15"/>
  <c r="T177" i="15"/>
  <c r="T185" i="15"/>
  <c r="T193" i="15"/>
  <c r="T201" i="15"/>
  <c r="T209" i="15"/>
  <c r="T217" i="15"/>
  <c r="T223" i="15"/>
  <c r="T225" i="15"/>
  <c r="P218" i="15"/>
  <c r="P226" i="15"/>
  <c r="O5" i="15"/>
  <c r="O6" i="15"/>
  <c r="O8" i="15"/>
  <c r="O10" i="15"/>
  <c r="O13" i="15"/>
  <c r="O14" i="15"/>
  <c r="O16" i="15"/>
  <c r="O18" i="15"/>
  <c r="O21" i="15"/>
  <c r="O22" i="15"/>
  <c r="O24" i="15"/>
  <c r="O26" i="15"/>
  <c r="O29" i="15"/>
  <c r="O30" i="15"/>
  <c r="O32" i="15"/>
  <c r="O34" i="15"/>
  <c r="O37" i="15"/>
  <c r="O38" i="15"/>
  <c r="O40" i="15"/>
  <c r="O42" i="15"/>
  <c r="O45" i="15"/>
  <c r="O46" i="15"/>
  <c r="O48" i="15"/>
  <c r="O53" i="15"/>
  <c r="O54" i="15"/>
  <c r="O56" i="15"/>
  <c r="O58" i="15"/>
  <c r="O61" i="15"/>
  <c r="O62" i="15"/>
  <c r="O66" i="15"/>
  <c r="O69" i="15"/>
  <c r="O70" i="15"/>
  <c r="O72" i="15"/>
  <c r="O74" i="15"/>
  <c r="O77" i="15"/>
  <c r="O80" i="15"/>
  <c r="O82" i="15"/>
  <c r="O86" i="15"/>
  <c r="O88" i="15"/>
  <c r="O90" i="15"/>
  <c r="O93" i="15"/>
  <c r="O94" i="15"/>
  <c r="O98" i="15"/>
  <c r="O101" i="15"/>
  <c r="O102" i="15"/>
  <c r="O104" i="15"/>
  <c r="O106" i="15"/>
  <c r="O109" i="15"/>
  <c r="O112" i="15"/>
  <c r="O114" i="15"/>
  <c r="O118" i="15"/>
  <c r="O120" i="15"/>
  <c r="O122" i="15"/>
  <c r="O125" i="15"/>
  <c r="O126" i="15"/>
  <c r="O128" i="15"/>
  <c r="O133" i="15"/>
  <c r="O134" i="15"/>
  <c r="O136" i="15"/>
  <c r="O138" i="15"/>
  <c r="O141" i="15"/>
  <c r="O144" i="15"/>
  <c r="O146" i="15"/>
  <c r="O150" i="15"/>
  <c r="O152" i="15"/>
  <c r="O154" i="15"/>
  <c r="O157" i="15"/>
  <c r="O158" i="15"/>
  <c r="O162" i="15"/>
  <c r="O165" i="15"/>
  <c r="O166" i="15"/>
  <c r="O168" i="15"/>
  <c r="O170" i="15"/>
  <c r="O173" i="15"/>
  <c r="O176" i="15"/>
  <c r="O181" i="15"/>
  <c r="O182" i="15"/>
  <c r="O184" i="15"/>
  <c r="O186" i="15"/>
  <c r="O189" i="15"/>
  <c r="O190" i="15"/>
  <c r="O192" i="15"/>
  <c r="O194" i="15"/>
  <c r="O197" i="15"/>
  <c r="O198" i="15"/>
  <c r="O200" i="15"/>
  <c r="O205" i="15"/>
  <c r="O206" i="15"/>
  <c r="O208" i="15"/>
  <c r="O210" i="15"/>
  <c r="O214" i="15"/>
  <c r="O216" i="15"/>
  <c r="O218" i="15"/>
  <c r="O221" i="15"/>
  <c r="O222" i="15"/>
  <c r="O224" i="15"/>
  <c r="O226" i="15"/>
  <c r="O228" i="15"/>
  <c r="O229" i="15"/>
  <c r="O230" i="15"/>
  <c r="P3" i="15"/>
  <c r="O50" i="15"/>
  <c r="O130" i="15"/>
  <c r="O202" i="15"/>
  <c r="O212" i="15"/>
  <c r="O220" i="15"/>
  <c r="O132" i="15"/>
  <c r="AO230" i="5"/>
  <c r="K230" i="5"/>
  <c r="T229" i="15"/>
  <c r="AO229" i="5"/>
  <c r="K229" i="5"/>
  <c r="T228" i="15"/>
  <c r="AO228" i="5"/>
  <c r="K228" i="5"/>
  <c r="AO227" i="5"/>
  <c r="K227" i="5"/>
  <c r="AO226" i="5"/>
  <c r="K226" i="5"/>
  <c r="AO225" i="5"/>
  <c r="K225" i="5"/>
  <c r="T224" i="15"/>
  <c r="AO224" i="5"/>
  <c r="K224" i="5"/>
  <c r="AO223" i="5"/>
  <c r="P223" i="15"/>
  <c r="O223" i="15"/>
  <c r="K223" i="5"/>
  <c r="AO222" i="5"/>
  <c r="K222" i="5"/>
  <c r="T221" i="15"/>
  <c r="AO221" i="5"/>
  <c r="K221" i="5"/>
  <c r="T220" i="15"/>
  <c r="AO220" i="5"/>
  <c r="K220" i="5"/>
  <c r="AO219" i="5"/>
  <c r="K219" i="5"/>
  <c r="AO218" i="5"/>
  <c r="K218" i="5"/>
  <c r="AO217" i="5"/>
  <c r="P217" i="15"/>
  <c r="O217" i="15"/>
  <c r="K217" i="5"/>
  <c r="T216" i="15"/>
  <c r="AO216" i="5"/>
  <c r="P216" i="15"/>
  <c r="K216" i="5"/>
  <c r="AO215" i="5"/>
  <c r="P215" i="15"/>
  <c r="O215" i="15"/>
  <c r="K215" i="5"/>
  <c r="AO214" i="5"/>
  <c r="K214" i="5"/>
  <c r="T213" i="15"/>
  <c r="AO213" i="5"/>
  <c r="P213" i="15"/>
  <c r="O213" i="15"/>
  <c r="K213" i="5"/>
  <c r="T212" i="15"/>
  <c r="AO212" i="5"/>
  <c r="K212" i="5"/>
  <c r="AO211" i="5"/>
  <c r="K211" i="5"/>
  <c r="AO210" i="5"/>
  <c r="P210" i="15"/>
  <c r="K210" i="5"/>
  <c r="AO209" i="5"/>
  <c r="K209" i="5"/>
  <c r="T208" i="15"/>
  <c r="AO208" i="5"/>
  <c r="K208" i="5"/>
  <c r="AO207" i="5"/>
  <c r="P207" i="15"/>
  <c r="O207" i="15"/>
  <c r="K207" i="5"/>
  <c r="AO206" i="5"/>
  <c r="K206" i="5"/>
  <c r="AO205" i="5"/>
  <c r="K205" i="5"/>
  <c r="T204" i="15"/>
  <c r="AO204" i="5"/>
  <c r="P204" i="15"/>
  <c r="O204" i="15"/>
  <c r="K204" i="5"/>
  <c r="AO203" i="5"/>
  <c r="K203" i="5"/>
  <c r="AO202" i="5"/>
  <c r="K202" i="5"/>
  <c r="AO201" i="5"/>
  <c r="P201" i="15"/>
  <c r="K201" i="5"/>
  <c r="T200" i="15"/>
  <c r="AO200" i="5"/>
  <c r="K200" i="5"/>
  <c r="T199" i="15"/>
  <c r="AO199" i="5"/>
  <c r="P199" i="15"/>
  <c r="O199" i="15"/>
  <c r="K199" i="5"/>
  <c r="AO198" i="5"/>
  <c r="K198" i="5"/>
  <c r="AO197" i="5"/>
  <c r="K197" i="5"/>
  <c r="T196" i="15"/>
  <c r="AO196" i="5"/>
  <c r="K196" i="5"/>
  <c r="AO195" i="5"/>
  <c r="K195" i="5"/>
  <c r="AO194" i="5"/>
  <c r="K194" i="5"/>
  <c r="AO193" i="5"/>
  <c r="O193" i="15"/>
  <c r="K193" i="5"/>
  <c r="T192" i="15"/>
  <c r="AO192" i="5"/>
  <c r="K192" i="5"/>
  <c r="AO191" i="5"/>
  <c r="P191" i="15"/>
  <c r="O191" i="15"/>
  <c r="K191" i="5"/>
  <c r="T190" i="15"/>
  <c r="AO190" i="5"/>
  <c r="K190" i="5"/>
  <c r="AO189" i="5"/>
  <c r="K189" i="5"/>
  <c r="T188" i="15"/>
  <c r="AO188" i="5"/>
  <c r="K188" i="5"/>
  <c r="T187" i="15"/>
  <c r="AO187" i="5"/>
  <c r="K187" i="5"/>
  <c r="AO186" i="5"/>
  <c r="K186" i="5"/>
  <c r="AO185" i="5"/>
  <c r="K185" i="5"/>
  <c r="T184" i="15"/>
  <c r="AO184" i="5"/>
  <c r="K184" i="5"/>
  <c r="AO183" i="5"/>
  <c r="P183" i="15"/>
  <c r="O183" i="15"/>
  <c r="K183" i="5"/>
  <c r="T182" i="15"/>
  <c r="AO182" i="5"/>
  <c r="K182" i="5"/>
  <c r="AO181" i="5"/>
  <c r="K181" i="5"/>
  <c r="T180" i="15"/>
  <c r="AO180" i="5"/>
  <c r="K180" i="5"/>
  <c r="AO179" i="5"/>
  <c r="K179" i="5"/>
  <c r="AO178" i="5"/>
  <c r="O178" i="15"/>
  <c r="K178" i="5"/>
  <c r="AO177" i="5"/>
  <c r="P177" i="15"/>
  <c r="K177" i="5"/>
  <c r="T176" i="15"/>
  <c r="AO176" i="5"/>
  <c r="K176" i="5"/>
  <c r="T175" i="15"/>
  <c r="AO175" i="5"/>
  <c r="P175" i="15"/>
  <c r="O175" i="15"/>
  <c r="K175" i="5"/>
  <c r="AO174" i="5"/>
  <c r="O174" i="15"/>
  <c r="K174" i="5"/>
  <c r="AO173" i="5"/>
  <c r="K173" i="5"/>
  <c r="T172" i="15"/>
  <c r="AO172" i="5"/>
  <c r="K172" i="5"/>
  <c r="AO171" i="5"/>
  <c r="K171" i="5"/>
  <c r="AO170" i="5"/>
  <c r="K170" i="5"/>
  <c r="AO169" i="5"/>
  <c r="K169" i="5"/>
  <c r="T168" i="15"/>
  <c r="AO168" i="5"/>
  <c r="K168" i="5"/>
  <c r="AO167" i="5"/>
  <c r="P167" i="15"/>
  <c r="O167" i="15"/>
  <c r="K167" i="5"/>
  <c r="T166" i="15"/>
  <c r="AO166" i="5"/>
  <c r="K166" i="5"/>
  <c r="AO165" i="5"/>
  <c r="K165" i="5"/>
  <c r="T164" i="15"/>
  <c r="AO164" i="5"/>
  <c r="K164" i="5"/>
  <c r="AO163" i="5"/>
  <c r="K163" i="5"/>
  <c r="AO162" i="5"/>
  <c r="K162" i="5"/>
  <c r="AO161" i="5"/>
  <c r="K161" i="5"/>
  <c r="T160" i="15"/>
  <c r="AO160" i="5"/>
  <c r="O160" i="15"/>
  <c r="K160" i="5"/>
  <c r="AO159" i="5"/>
  <c r="P159" i="15"/>
  <c r="O159" i="15"/>
  <c r="K159" i="5"/>
  <c r="AO158" i="5"/>
  <c r="K158" i="5"/>
  <c r="T157" i="15"/>
  <c r="AO157" i="5"/>
  <c r="P157" i="15"/>
  <c r="K157" i="5"/>
  <c r="T156" i="15"/>
  <c r="AO156" i="5"/>
  <c r="O156" i="15"/>
  <c r="K156" i="5"/>
  <c r="AO155" i="5"/>
  <c r="K155" i="5"/>
  <c r="AO154" i="5"/>
  <c r="P154" i="15"/>
  <c r="K154" i="5"/>
  <c r="AO153" i="5"/>
  <c r="O153" i="15"/>
  <c r="K153" i="5"/>
  <c r="T152" i="15"/>
  <c r="AO152" i="5"/>
  <c r="K152" i="5"/>
  <c r="T151" i="15"/>
  <c r="AO151" i="5"/>
  <c r="P151" i="15"/>
  <c r="O151" i="15"/>
  <c r="K151" i="5"/>
  <c r="AO150" i="5"/>
  <c r="K150" i="5"/>
  <c r="AO149" i="5"/>
  <c r="O149" i="15"/>
  <c r="K149" i="5"/>
  <c r="T148" i="15"/>
  <c r="AO148" i="5"/>
  <c r="K148" i="5"/>
  <c r="AO147" i="5"/>
  <c r="K147" i="5"/>
  <c r="AO146" i="5"/>
  <c r="K146" i="5"/>
  <c r="AO145" i="5"/>
  <c r="K145" i="5"/>
  <c r="T144" i="15"/>
  <c r="AO144" i="5"/>
  <c r="K144" i="5"/>
  <c r="AO143" i="5"/>
  <c r="P143" i="15"/>
  <c r="O143" i="15"/>
  <c r="K143" i="5"/>
  <c r="T142" i="15"/>
  <c r="AO142" i="5"/>
  <c r="P142" i="15"/>
  <c r="O142" i="15"/>
  <c r="K142" i="5"/>
  <c r="AO141" i="5"/>
  <c r="P141" i="15"/>
  <c r="K141" i="5"/>
  <c r="T140" i="15"/>
  <c r="AO140" i="5"/>
  <c r="O140" i="15"/>
  <c r="K140" i="5"/>
  <c r="AO139" i="5"/>
  <c r="K139" i="5"/>
  <c r="AO138" i="5"/>
  <c r="P138" i="15"/>
  <c r="K138" i="5"/>
  <c r="AO137" i="5"/>
  <c r="K137" i="5"/>
  <c r="T136" i="15"/>
  <c r="AO136" i="5"/>
  <c r="K136" i="5"/>
  <c r="AO135" i="5"/>
  <c r="P135" i="15"/>
  <c r="O135" i="15"/>
  <c r="K135" i="5"/>
  <c r="AO134" i="5"/>
  <c r="K134" i="5"/>
  <c r="T133" i="15"/>
  <c r="AO133" i="5"/>
  <c r="K133" i="5"/>
  <c r="T132" i="15"/>
  <c r="AO132" i="5"/>
  <c r="P132" i="15"/>
  <c r="K132" i="5"/>
  <c r="AO131" i="5"/>
  <c r="K131" i="5"/>
  <c r="AO130" i="5"/>
  <c r="P130" i="15"/>
  <c r="K130" i="5"/>
  <c r="T129" i="15"/>
  <c r="AO129" i="5"/>
  <c r="O129" i="15"/>
  <c r="K129" i="5"/>
  <c r="T128" i="15"/>
  <c r="AO128" i="5"/>
  <c r="K128" i="5"/>
  <c r="T127" i="15"/>
  <c r="AO127" i="5"/>
  <c r="P127" i="15"/>
  <c r="O127" i="15"/>
  <c r="K127" i="5"/>
  <c r="AO126" i="5"/>
  <c r="K126" i="5"/>
  <c r="AO125" i="5"/>
  <c r="K125" i="5"/>
  <c r="T124" i="15"/>
  <c r="AO124" i="5"/>
  <c r="P124" i="15"/>
  <c r="K124" i="5"/>
  <c r="AO123" i="5"/>
  <c r="P123" i="15"/>
  <c r="K123" i="5"/>
  <c r="AO122" i="5"/>
  <c r="K122" i="5"/>
  <c r="AO121" i="5"/>
  <c r="P121" i="15"/>
  <c r="O121" i="15"/>
  <c r="K121" i="5"/>
  <c r="T120" i="15"/>
  <c r="AO120" i="5"/>
  <c r="K120" i="5"/>
  <c r="AO119" i="5"/>
  <c r="P119" i="15"/>
  <c r="O119" i="15"/>
  <c r="K119" i="5"/>
  <c r="T118" i="15"/>
  <c r="AO118" i="5"/>
  <c r="K118" i="5"/>
  <c r="AO117" i="5"/>
  <c r="P117" i="15"/>
  <c r="O117" i="15"/>
  <c r="K117" i="5"/>
  <c r="T116" i="15"/>
  <c r="AO116" i="5"/>
  <c r="K116" i="5"/>
  <c r="AO115" i="5"/>
  <c r="K115" i="5"/>
  <c r="AO114" i="5"/>
  <c r="K114" i="5"/>
  <c r="AO113" i="5"/>
  <c r="K113" i="5"/>
  <c r="T112" i="15"/>
  <c r="AO112" i="5"/>
  <c r="K112" i="5"/>
  <c r="AO111" i="5"/>
  <c r="P111" i="15"/>
  <c r="O111" i="15"/>
  <c r="K111" i="5"/>
  <c r="T110" i="15"/>
  <c r="AO110" i="5"/>
  <c r="O110" i="15"/>
  <c r="K110" i="5"/>
  <c r="AO109" i="5"/>
  <c r="K109" i="5"/>
  <c r="T108" i="15"/>
  <c r="AO108" i="5"/>
  <c r="P108" i="15"/>
  <c r="K108" i="5"/>
  <c r="AO107" i="5"/>
  <c r="K107" i="5"/>
  <c r="AO106" i="5"/>
  <c r="K106" i="5"/>
  <c r="AO105" i="5"/>
  <c r="K105" i="5"/>
  <c r="T104" i="15"/>
  <c r="AO104" i="5"/>
  <c r="K104" i="5"/>
  <c r="T103" i="15"/>
  <c r="AO103" i="5"/>
  <c r="P103" i="15"/>
  <c r="O103" i="15"/>
  <c r="K103" i="5"/>
  <c r="AO102" i="5"/>
  <c r="K102" i="5"/>
  <c r="AO101" i="5"/>
  <c r="P101" i="15"/>
  <c r="K101" i="5"/>
  <c r="T100" i="15"/>
  <c r="AO100" i="5"/>
  <c r="K100" i="5"/>
  <c r="AO99" i="5"/>
  <c r="K99" i="5"/>
  <c r="AO98" i="5"/>
  <c r="P98" i="15"/>
  <c r="K98" i="5"/>
  <c r="AO97" i="5"/>
  <c r="K97" i="5"/>
  <c r="T96" i="15"/>
  <c r="AO96" i="5"/>
  <c r="O96" i="15"/>
  <c r="K96" i="5"/>
  <c r="AO95" i="5"/>
  <c r="P95" i="15"/>
  <c r="O95" i="15"/>
  <c r="K95" i="5"/>
  <c r="T94" i="15"/>
  <c r="AO94" i="5"/>
  <c r="K94" i="5"/>
  <c r="AO93" i="5"/>
  <c r="K93" i="5"/>
  <c r="T92" i="15"/>
  <c r="AO92" i="5"/>
  <c r="O92" i="15"/>
  <c r="K92" i="5"/>
  <c r="T91" i="15"/>
  <c r="AO91" i="5"/>
  <c r="K91" i="5"/>
  <c r="AO90" i="5"/>
  <c r="K90" i="5"/>
  <c r="AO89" i="5"/>
  <c r="O89" i="15"/>
  <c r="K89" i="5"/>
  <c r="T88" i="15"/>
  <c r="AO88" i="5"/>
  <c r="K88" i="5"/>
  <c r="AO87" i="5"/>
  <c r="P87" i="15"/>
  <c r="O87" i="15"/>
  <c r="K87" i="5"/>
  <c r="AO86" i="5"/>
  <c r="K86" i="5"/>
  <c r="T85" i="15"/>
  <c r="AO85" i="5"/>
  <c r="O85" i="15"/>
  <c r="K85" i="5"/>
  <c r="T84" i="15"/>
  <c r="AO84" i="5"/>
  <c r="K84" i="5"/>
  <c r="AO83" i="5"/>
  <c r="K83" i="5"/>
  <c r="AO82" i="5"/>
  <c r="P82" i="15"/>
  <c r="K82" i="5"/>
  <c r="AO81" i="5"/>
  <c r="K81" i="5"/>
  <c r="T80" i="15"/>
  <c r="AO80" i="5"/>
  <c r="K80" i="5"/>
  <c r="T79" i="15"/>
  <c r="AO79" i="5"/>
  <c r="P79" i="15"/>
  <c r="O79" i="15"/>
  <c r="K79" i="5"/>
  <c r="AO78" i="5"/>
  <c r="K78" i="5"/>
  <c r="AO77" i="5"/>
  <c r="K77" i="5"/>
  <c r="T76" i="15"/>
  <c r="AO76" i="5"/>
  <c r="K76" i="5"/>
  <c r="T75" i="15"/>
  <c r="AO75" i="5"/>
  <c r="K75" i="5"/>
  <c r="AO74" i="5"/>
  <c r="K74" i="5"/>
  <c r="AO73" i="5"/>
  <c r="K73" i="5"/>
  <c r="T72" i="15"/>
  <c r="AO72" i="5"/>
  <c r="K72" i="5"/>
  <c r="AO71" i="5"/>
  <c r="P71" i="15"/>
  <c r="O71" i="15"/>
  <c r="K71" i="5"/>
  <c r="T70" i="15"/>
  <c r="AO70" i="5"/>
  <c r="P70" i="15"/>
  <c r="K70" i="5"/>
  <c r="T69" i="15"/>
  <c r="AO69" i="5"/>
  <c r="K69" i="5"/>
  <c r="T68" i="15"/>
  <c r="AO68" i="5"/>
  <c r="K68" i="5"/>
  <c r="T67" i="15"/>
  <c r="AO67" i="5"/>
  <c r="K67" i="5"/>
  <c r="AO66" i="5"/>
  <c r="K66" i="5"/>
  <c r="AO65" i="5"/>
  <c r="K65" i="5"/>
  <c r="T64" i="15"/>
  <c r="AO64" i="5"/>
  <c r="K64" i="5"/>
  <c r="AO63" i="5"/>
  <c r="P63" i="15"/>
  <c r="O63" i="15"/>
  <c r="K63" i="5"/>
  <c r="AO62" i="5"/>
  <c r="K62" i="5"/>
  <c r="T61" i="15"/>
  <c r="AO61" i="5"/>
  <c r="K61" i="5"/>
  <c r="T60" i="15"/>
  <c r="AO60" i="5"/>
  <c r="P60" i="15"/>
  <c r="O60" i="15"/>
  <c r="K60" i="5"/>
  <c r="AO59" i="5"/>
  <c r="K59" i="5"/>
  <c r="AO58" i="5"/>
  <c r="K58" i="5"/>
  <c r="AO57" i="5"/>
  <c r="P57" i="15"/>
  <c r="K57" i="5"/>
  <c r="T56" i="15"/>
  <c r="AO56" i="5"/>
  <c r="K56" i="5"/>
  <c r="T55" i="15"/>
  <c r="AO55" i="5"/>
  <c r="P55" i="15"/>
  <c r="O55" i="15"/>
  <c r="K55" i="5"/>
  <c r="AO54" i="5"/>
  <c r="K54" i="5"/>
  <c r="AO53" i="5"/>
  <c r="K53" i="5"/>
  <c r="T52" i="15"/>
  <c r="AO52" i="5"/>
  <c r="K52" i="5"/>
  <c r="AO51" i="5"/>
  <c r="K51" i="5"/>
  <c r="AO50" i="5"/>
  <c r="K50" i="5"/>
  <c r="AO49" i="5"/>
  <c r="K49" i="5"/>
  <c r="T48" i="15"/>
  <c r="AO48" i="5"/>
  <c r="K48" i="5"/>
  <c r="AO47" i="5"/>
  <c r="P47" i="15"/>
  <c r="O47" i="15"/>
  <c r="K47" i="5"/>
  <c r="T46" i="15"/>
  <c r="AO46" i="5"/>
  <c r="K46" i="5"/>
  <c r="AO45" i="5"/>
  <c r="K45" i="5"/>
  <c r="T44" i="15"/>
  <c r="AO44" i="5"/>
  <c r="K44" i="5"/>
  <c r="AO43" i="5"/>
  <c r="K43" i="5"/>
  <c r="AO42" i="5"/>
  <c r="K42" i="5"/>
  <c r="AO41" i="5"/>
  <c r="K41" i="5"/>
  <c r="T40" i="15"/>
  <c r="AO40" i="5"/>
  <c r="K40" i="5"/>
  <c r="AO39" i="5"/>
  <c r="P39" i="15"/>
  <c r="O39" i="15"/>
  <c r="K39" i="5"/>
  <c r="T38" i="15"/>
  <c r="AO38" i="5"/>
  <c r="K38" i="5"/>
  <c r="AO37" i="5"/>
  <c r="K37" i="5"/>
  <c r="T36" i="15"/>
  <c r="AO36" i="5"/>
  <c r="K36" i="5"/>
  <c r="AO35" i="5"/>
  <c r="K35" i="5"/>
  <c r="AO34" i="5"/>
  <c r="K34" i="5"/>
  <c r="AO33" i="5"/>
  <c r="K33" i="5"/>
  <c r="T32" i="15"/>
  <c r="AO32" i="5"/>
  <c r="K32" i="5"/>
  <c r="AO31" i="5"/>
  <c r="P31" i="15"/>
  <c r="O31" i="15"/>
  <c r="K31" i="5"/>
  <c r="AO30" i="5"/>
  <c r="P30" i="15"/>
  <c r="K30" i="5"/>
  <c r="T29" i="15"/>
  <c r="AO29" i="5"/>
  <c r="K29" i="5"/>
  <c r="T28" i="15"/>
  <c r="AO28" i="5"/>
  <c r="K28" i="5"/>
  <c r="AO27" i="5"/>
  <c r="K27" i="5"/>
  <c r="AO26" i="5"/>
  <c r="K26" i="5"/>
  <c r="AO25" i="5"/>
  <c r="K25" i="5"/>
  <c r="T24" i="15"/>
  <c r="AO24" i="5"/>
  <c r="K24" i="5"/>
  <c r="T23" i="15"/>
  <c r="AO23" i="5"/>
  <c r="P23" i="15"/>
  <c r="O23" i="15"/>
  <c r="K23" i="5"/>
  <c r="AO22" i="5"/>
  <c r="K22" i="5"/>
  <c r="AO21" i="5"/>
  <c r="P21" i="15"/>
  <c r="K21" i="5"/>
  <c r="T20" i="15"/>
  <c r="AO20" i="5"/>
  <c r="O20" i="15"/>
  <c r="K20" i="5"/>
  <c r="AO19" i="5"/>
  <c r="K19" i="5"/>
  <c r="AO18" i="5"/>
  <c r="P18" i="15"/>
  <c r="K18" i="5"/>
  <c r="T17" i="15"/>
  <c r="AO17" i="5"/>
  <c r="O17" i="15"/>
  <c r="K17" i="5"/>
  <c r="T16" i="15"/>
  <c r="AO16" i="5"/>
  <c r="K16" i="5"/>
  <c r="AO15" i="5"/>
  <c r="P15" i="15"/>
  <c r="O15" i="15"/>
  <c r="K15" i="5"/>
  <c r="T14" i="15"/>
  <c r="AO14" i="5"/>
  <c r="P14" i="15"/>
  <c r="K14" i="5"/>
  <c r="AO13" i="5"/>
  <c r="K13" i="5"/>
  <c r="T12" i="15"/>
  <c r="AO12" i="5"/>
  <c r="P12" i="15"/>
  <c r="K12" i="5"/>
  <c r="T11" i="15"/>
  <c r="AO11" i="5"/>
  <c r="K11" i="5"/>
  <c r="AO10" i="5"/>
  <c r="K10" i="5"/>
  <c r="AO9" i="5"/>
  <c r="P9" i="15"/>
  <c r="K9" i="5"/>
  <c r="T8" i="15"/>
  <c r="AO8" i="5"/>
  <c r="K8" i="5"/>
  <c r="AO7" i="5"/>
  <c r="P7" i="15"/>
  <c r="O7" i="15"/>
  <c r="K7" i="5"/>
  <c r="AO6" i="5"/>
  <c r="K6" i="5"/>
  <c r="AO5" i="5"/>
  <c r="P5" i="15"/>
  <c r="K5" i="5"/>
  <c r="T4" i="15"/>
  <c r="AO4" i="5"/>
  <c r="K4" i="5"/>
  <c r="AO3" i="5"/>
  <c r="K3" i="5"/>
  <c r="G5" i="15"/>
  <c r="G6" i="15"/>
  <c r="G8" i="15"/>
  <c r="G13" i="15"/>
  <c r="G14" i="15"/>
  <c r="G16" i="15"/>
  <c r="G18" i="15"/>
  <c r="G21" i="15"/>
  <c r="G22" i="15"/>
  <c r="G24" i="15"/>
  <c r="G29" i="15"/>
  <c r="G30" i="15"/>
  <c r="G32" i="15"/>
  <c r="G34" i="15"/>
  <c r="G37" i="15"/>
  <c r="G40" i="15"/>
  <c r="G45" i="15"/>
  <c r="G46" i="15"/>
  <c r="G50" i="15"/>
  <c r="G53" i="15"/>
  <c r="G54" i="15"/>
  <c r="G56" i="15"/>
  <c r="G61" i="15"/>
  <c r="G64" i="15"/>
  <c r="G70" i="15"/>
  <c r="G72" i="15"/>
  <c r="G77" i="15"/>
  <c r="G78" i="15"/>
  <c r="G85" i="15"/>
  <c r="G86" i="15"/>
  <c r="G88" i="15"/>
  <c r="G93" i="15"/>
  <c r="G94" i="15"/>
  <c r="G96" i="15"/>
  <c r="G98" i="15"/>
  <c r="G102" i="15"/>
  <c r="G104" i="15"/>
  <c r="G109" i="15"/>
  <c r="G110" i="15"/>
  <c r="G112" i="15"/>
  <c r="G114" i="15"/>
  <c r="G117" i="15"/>
  <c r="G118" i="15"/>
  <c r="G120" i="15"/>
  <c r="G125" i="15"/>
  <c r="G128" i="15"/>
  <c r="G133" i="15"/>
  <c r="G134" i="15"/>
  <c r="G136" i="15"/>
  <c r="G141" i="15"/>
  <c r="G142" i="15"/>
  <c r="G144" i="15"/>
  <c r="G149" i="15"/>
  <c r="G150" i="15"/>
  <c r="G152" i="15"/>
  <c r="G157" i="15"/>
  <c r="G158" i="15"/>
  <c r="G160" i="15"/>
  <c r="G165" i="15"/>
  <c r="G166" i="15"/>
  <c r="G168" i="15"/>
  <c r="G174" i="15"/>
  <c r="G176" i="15"/>
  <c r="G178" i="15"/>
  <c r="G181" i="15"/>
  <c r="G182" i="15"/>
  <c r="G186" i="15"/>
  <c r="G189" i="15"/>
  <c r="G192" i="15"/>
  <c r="G197" i="15"/>
  <c r="G198" i="15"/>
  <c r="G200" i="15"/>
  <c r="G206" i="15"/>
  <c r="G208" i="15"/>
  <c r="G213" i="15"/>
  <c r="G214" i="15"/>
  <c r="G221" i="15"/>
  <c r="G222" i="15"/>
  <c r="G224" i="15"/>
  <c r="G229" i="15"/>
  <c r="G230" i="15"/>
  <c r="G35" i="15"/>
  <c r="G62" i="15"/>
  <c r="G99" i="15"/>
  <c r="G126" i="15"/>
  <c r="G163" i="15"/>
  <c r="G190" i="15"/>
  <c r="BK37" i="15"/>
  <c r="CA37" i="15" s="1"/>
  <c r="BK45" i="15"/>
  <c r="CA45" i="15" s="1"/>
  <c r="BK61" i="15"/>
  <c r="BK69" i="15"/>
  <c r="BK133" i="15"/>
  <c r="CA133" i="15" s="1"/>
  <c r="BK165" i="15"/>
  <c r="CA165" i="15" s="1"/>
  <c r="AM63" i="15"/>
  <c r="AM136" i="15"/>
  <c r="AM208" i="15"/>
  <c r="AJ4" i="15"/>
  <c r="AJ5" i="15"/>
  <c r="AJ10" i="15"/>
  <c r="CF10" i="15" s="1"/>
  <c r="AJ12" i="15"/>
  <c r="AJ13" i="15"/>
  <c r="AJ20" i="15"/>
  <c r="CF20" i="15" s="1"/>
  <c r="AJ21" i="15"/>
  <c r="AJ23" i="15"/>
  <c r="CF23" i="15" s="1"/>
  <c r="AJ24" i="15"/>
  <c r="CF24" i="15" s="1"/>
  <c r="AJ26" i="15"/>
  <c r="CF26" i="15" s="1"/>
  <c r="AJ28" i="15"/>
  <c r="AJ29" i="15"/>
  <c r="CF29" i="15" s="1"/>
  <c r="AJ31" i="15"/>
  <c r="AJ32" i="15"/>
  <c r="CF32" i="15" s="1"/>
  <c r="AJ36" i="15"/>
  <c r="CF36" i="15" s="1"/>
  <c r="AJ37" i="15"/>
  <c r="CF37" i="15" s="1"/>
  <c r="AJ39" i="15"/>
  <c r="AJ40" i="15"/>
  <c r="CF40" i="15" s="1"/>
  <c r="AJ44" i="15"/>
  <c r="CF44" i="15" s="1"/>
  <c r="AJ46" i="15"/>
  <c r="AJ47" i="15"/>
  <c r="AJ48" i="15"/>
  <c r="CF48" i="15" s="1"/>
  <c r="AJ50" i="15"/>
  <c r="CF50" i="15" s="1"/>
  <c r="AJ52" i="15"/>
  <c r="CF52" i="15" s="1"/>
  <c r="AJ53" i="15"/>
  <c r="AJ55" i="15"/>
  <c r="CF55" i="15" s="1"/>
  <c r="AJ56" i="15"/>
  <c r="CF56" i="15" s="1"/>
  <c r="AJ63" i="15"/>
  <c r="AJ64" i="15"/>
  <c r="CF64" i="15" s="1"/>
  <c r="AJ66" i="15"/>
  <c r="CF66" i="15" s="1"/>
  <c r="AJ68" i="15"/>
  <c r="CF68" i="15" s="1"/>
  <c r="AJ71" i="15"/>
  <c r="CF71" i="15" s="1"/>
  <c r="AJ72" i="15"/>
  <c r="CF72" i="15" s="1"/>
  <c r="AJ74" i="15"/>
  <c r="CF74" i="15" s="1"/>
  <c r="AJ76" i="15"/>
  <c r="CF76" i="15" s="1"/>
  <c r="AJ77" i="15"/>
  <c r="AJ80" i="15"/>
  <c r="CF80" i="15" s="1"/>
  <c r="AJ82" i="15"/>
  <c r="CF82" i="15" s="1"/>
  <c r="AJ84" i="15"/>
  <c r="CF84" i="15" s="1"/>
  <c r="AJ86" i="15"/>
  <c r="CF86" i="15" s="1"/>
  <c r="AJ90" i="15"/>
  <c r="CF90" i="15" s="1"/>
  <c r="AJ92" i="15"/>
  <c r="CF92" i="15" s="1"/>
  <c r="AJ93" i="15"/>
  <c r="AJ95" i="15"/>
  <c r="AJ96" i="15"/>
  <c r="CF96" i="15" s="1"/>
  <c r="AJ98" i="15"/>
  <c r="CF98" i="15" s="1"/>
  <c r="AJ101" i="15"/>
  <c r="AJ103" i="15"/>
  <c r="CF103" i="15" s="1"/>
  <c r="AJ104" i="15"/>
  <c r="CF104" i="15" s="1"/>
  <c r="AJ106" i="15"/>
  <c r="CF106" i="15" s="1"/>
  <c r="AJ108" i="15"/>
  <c r="CF108" i="15" s="1"/>
  <c r="AJ109" i="15"/>
  <c r="AJ111" i="15"/>
  <c r="AJ112" i="15"/>
  <c r="AJ116" i="15"/>
  <c r="CF116" i="15" s="1"/>
  <c r="AJ117" i="15"/>
  <c r="AJ119" i="15"/>
  <c r="AJ120" i="15"/>
  <c r="CF120" i="15" s="1"/>
  <c r="AJ124" i="15"/>
  <c r="CF124" i="15" s="1"/>
  <c r="AJ125" i="15"/>
  <c r="AJ132" i="15"/>
  <c r="CF132" i="15" s="1"/>
  <c r="AJ133" i="15"/>
  <c r="AJ135" i="15"/>
  <c r="AJ136" i="15"/>
  <c r="CF136" i="15" s="1"/>
  <c r="AJ141" i="15"/>
  <c r="AJ143" i="15"/>
  <c r="AJ144" i="15"/>
  <c r="CF144" i="15" s="1"/>
  <c r="AJ148" i="15"/>
  <c r="CF148" i="15" s="1"/>
  <c r="AJ149" i="15"/>
  <c r="AJ151" i="15"/>
  <c r="CF151" i="15" s="1"/>
  <c r="AJ152" i="15"/>
  <c r="CF152" i="15" s="1"/>
  <c r="AJ154" i="15"/>
  <c r="CF154" i="15" s="1"/>
  <c r="AJ159" i="15"/>
  <c r="AJ160" i="15"/>
  <c r="CF160" i="15" s="1"/>
  <c r="AJ162" i="15"/>
  <c r="AJ164" i="15"/>
  <c r="CF164" i="15" s="1"/>
  <c r="AJ170" i="15"/>
  <c r="CF170" i="15" s="1"/>
  <c r="AJ175" i="15"/>
  <c r="CF175" i="15" s="1"/>
  <c r="AJ176" i="15"/>
  <c r="CF176" i="15" s="1"/>
  <c r="AJ178" i="15"/>
  <c r="CF178" i="15" s="1"/>
  <c r="AJ181" i="15"/>
  <c r="AJ183" i="15"/>
  <c r="AJ184" i="15"/>
  <c r="CF184" i="15" s="1"/>
  <c r="AJ186" i="15"/>
  <c r="CF186" i="15" s="1"/>
  <c r="AJ188" i="15"/>
  <c r="CF188" i="15" s="1"/>
  <c r="AJ191" i="15"/>
  <c r="AJ192" i="15"/>
  <c r="CF192" i="15" s="1"/>
  <c r="AJ196" i="15"/>
  <c r="CF196" i="15" s="1"/>
  <c r="AJ197" i="15"/>
  <c r="AJ202" i="15"/>
  <c r="CF202" i="15" s="1"/>
  <c r="AJ204" i="15"/>
  <c r="CF204" i="15" s="1"/>
  <c r="AJ205" i="15"/>
  <c r="AJ210" i="15"/>
  <c r="CF210" i="15" s="1"/>
  <c r="AJ212" i="15"/>
  <c r="CF212" i="15" s="1"/>
  <c r="AJ213" i="15"/>
  <c r="CF213" i="15" s="1"/>
  <c r="AJ218" i="15"/>
  <c r="CF218" i="15" s="1"/>
  <c r="AJ220" i="15"/>
  <c r="CF220" i="15" s="1"/>
  <c r="AJ222" i="15"/>
  <c r="AJ223" i="15"/>
  <c r="CF223" i="15" s="1"/>
  <c r="AJ224" i="15"/>
  <c r="AJ226" i="15"/>
  <c r="CF226" i="15" s="1"/>
  <c r="AJ229" i="15"/>
  <c r="CF229" i="15" s="1"/>
  <c r="AF3" i="15"/>
  <c r="CB3" i="15" s="1"/>
  <c r="AF9" i="15"/>
  <c r="CB9" i="15" s="1"/>
  <c r="AF12" i="15"/>
  <c r="AF16" i="15"/>
  <c r="AF18" i="15"/>
  <c r="CB18" i="15" s="1"/>
  <c r="AF25" i="15"/>
  <c r="AF28" i="15"/>
  <c r="AF29" i="15"/>
  <c r="AF30" i="15"/>
  <c r="AF33" i="15"/>
  <c r="CB33" i="15" s="1"/>
  <c r="AF34" i="15"/>
  <c r="AF37" i="15"/>
  <c r="AF38" i="15"/>
  <c r="AF40" i="15"/>
  <c r="AF50" i="15"/>
  <c r="AF56" i="15"/>
  <c r="AF61" i="15"/>
  <c r="AF62" i="15"/>
  <c r="AF64" i="15"/>
  <c r="AF65" i="15"/>
  <c r="AF69" i="15"/>
  <c r="AF70" i="15"/>
  <c r="AF77" i="15"/>
  <c r="AF78" i="15"/>
  <c r="AF80" i="15"/>
  <c r="AF82" i="15"/>
  <c r="CB82" i="15" s="1"/>
  <c r="AF85" i="15"/>
  <c r="AF86" i="15"/>
  <c r="AF88" i="15"/>
  <c r="AF93" i="15"/>
  <c r="AF94" i="15"/>
  <c r="AF98" i="15"/>
  <c r="CB98" i="15" s="1"/>
  <c r="AF100" i="15"/>
  <c r="AF101" i="15"/>
  <c r="CB101" i="15" s="1"/>
  <c r="AF102" i="15"/>
  <c r="AF104" i="15"/>
  <c r="AF112" i="15"/>
  <c r="AF113" i="15"/>
  <c r="AF116" i="15"/>
  <c r="AF118" i="15"/>
  <c r="AF125" i="15"/>
  <c r="AF126" i="15"/>
  <c r="CB126" i="15" s="1"/>
  <c r="AF142" i="15"/>
  <c r="AF144" i="15"/>
  <c r="AF149" i="15"/>
  <c r="AF150" i="15"/>
  <c r="AF152" i="15"/>
  <c r="AF177" i="15"/>
  <c r="AF181" i="15"/>
  <c r="AF182" i="15"/>
  <c r="CB182" i="15" s="1"/>
  <c r="AF192" i="15"/>
  <c r="AF193" i="15"/>
  <c r="AF196" i="15"/>
  <c r="AF197" i="15"/>
  <c r="AF198" i="15"/>
  <c r="AF200" i="15"/>
  <c r="AF204" i="15"/>
  <c r="AF208" i="15"/>
  <c r="CB208" i="15" s="1"/>
  <c r="AF209" i="15"/>
  <c r="AF212" i="15"/>
  <c r="AF225" i="15"/>
  <c r="AF228" i="15"/>
  <c r="AF229" i="15"/>
  <c r="AF230" i="15"/>
  <c r="AE4" i="15"/>
  <c r="AE68" i="15"/>
  <c r="AE100" i="15"/>
  <c r="AE132" i="15"/>
  <c r="AE148" i="15"/>
  <c r="AE156" i="15"/>
  <c r="AE172" i="15"/>
  <c r="AE180" i="15"/>
  <c r="AE188" i="15"/>
  <c r="AE212" i="15"/>
  <c r="AE220" i="15"/>
  <c r="Z6" i="15"/>
  <c r="CD6" i="15" s="1"/>
  <c r="Z8" i="15"/>
  <c r="CD8" i="15" s="1"/>
  <c r="Z9" i="15"/>
  <c r="CD9" i="15" s="1"/>
  <c r="Z14" i="15"/>
  <c r="CD14" i="15" s="1"/>
  <c r="Z16" i="15"/>
  <c r="CD16" i="15" s="1"/>
  <c r="Z18" i="15"/>
  <c r="CD18" i="15" s="1"/>
  <c r="Z20" i="15"/>
  <c r="CD20" i="15" s="1"/>
  <c r="Z30" i="15"/>
  <c r="CD30" i="15" s="1"/>
  <c r="Z32" i="15"/>
  <c r="CD32" i="15" s="1"/>
  <c r="Z33" i="15"/>
  <c r="CD33" i="15" s="1"/>
  <c r="Z46" i="15"/>
  <c r="CD46" i="15" s="1"/>
  <c r="Z47" i="15"/>
  <c r="CD47" i="15" s="1"/>
  <c r="Z48" i="15"/>
  <c r="CD48" i="15" s="1"/>
  <c r="Z57" i="15"/>
  <c r="CD57" i="15" s="1"/>
  <c r="Z62" i="15"/>
  <c r="CD62" i="15" s="1"/>
  <c r="Z64" i="15"/>
  <c r="CD64" i="15" s="1"/>
  <c r="Z68" i="15"/>
  <c r="CD68" i="15" s="1"/>
  <c r="Z78" i="15"/>
  <c r="CD78" i="15" s="1"/>
  <c r="Z79" i="15"/>
  <c r="CD79" i="15" s="1"/>
  <c r="Z80" i="15"/>
  <c r="CD80" i="15" s="1"/>
  <c r="Z82" i="15"/>
  <c r="CD82" i="15" s="1"/>
  <c r="Z84" i="15"/>
  <c r="CD84" i="15" s="1"/>
  <c r="Z85" i="15"/>
  <c r="CD85" i="15" s="1"/>
  <c r="Z89" i="15"/>
  <c r="CD89" i="15" s="1"/>
  <c r="Z90" i="15"/>
  <c r="CD90" i="15" s="1"/>
  <c r="Z94" i="15"/>
  <c r="CD94" i="15" s="1"/>
  <c r="Z96" i="15"/>
  <c r="CD96" i="15" s="1"/>
  <c r="Z98" i="15"/>
  <c r="CD98" i="15" s="1"/>
  <c r="Z103" i="15"/>
  <c r="CD103" i="15" s="1"/>
  <c r="Z110" i="15"/>
  <c r="CD110" i="15" s="1"/>
  <c r="Z111" i="15"/>
  <c r="CD111" i="15" s="1"/>
  <c r="Z112" i="15"/>
  <c r="CD112" i="15" s="1"/>
  <c r="Z113" i="15"/>
  <c r="CD113" i="15" s="1"/>
  <c r="Z116" i="15"/>
  <c r="CD116" i="15" s="1"/>
  <c r="Z117" i="15"/>
  <c r="CD117" i="15" s="1"/>
  <c r="Z121" i="15"/>
  <c r="CD121" i="15" s="1"/>
  <c r="Z126" i="15"/>
  <c r="CD126" i="15" s="1"/>
  <c r="Z128" i="15"/>
  <c r="CD128" i="15" s="1"/>
  <c r="Z132" i="15"/>
  <c r="CD132" i="15" s="1"/>
  <c r="Z135" i="15"/>
  <c r="CD135" i="15" s="1"/>
  <c r="Z142" i="15"/>
  <c r="CD142" i="15" s="1"/>
  <c r="Z143" i="15"/>
  <c r="CD143" i="15" s="1"/>
  <c r="Z144" i="15"/>
  <c r="CD144" i="15" s="1"/>
  <c r="Z148" i="15"/>
  <c r="CD148" i="15" s="1"/>
  <c r="Z149" i="15"/>
  <c r="CD149" i="15" s="1"/>
  <c r="Z153" i="15"/>
  <c r="CD153" i="15" s="1"/>
  <c r="Z154" i="15"/>
  <c r="CD154" i="15" s="1"/>
  <c r="Z156" i="15"/>
  <c r="CD156" i="15" s="1"/>
  <c r="Z157" i="15"/>
  <c r="CD157" i="15" s="1"/>
  <c r="Z158" i="15"/>
  <c r="CD158" i="15" s="1"/>
  <c r="Z160" i="15"/>
  <c r="CD160" i="15" s="1"/>
  <c r="Z162" i="15"/>
  <c r="CD162" i="15" s="1"/>
  <c r="Z167" i="15"/>
  <c r="CD167" i="15" s="1"/>
  <c r="Z172" i="15"/>
  <c r="CD172" i="15" s="1"/>
  <c r="Z174" i="15"/>
  <c r="CD174" i="15" s="1"/>
  <c r="Z175" i="15"/>
  <c r="CD175" i="15" s="1"/>
  <c r="Z176" i="15"/>
  <c r="CD176" i="15" s="1"/>
  <c r="Z177" i="15"/>
  <c r="CD177" i="15" s="1"/>
  <c r="Z180" i="15"/>
  <c r="CD180" i="15" s="1"/>
  <c r="Z181" i="15"/>
  <c r="CD181" i="15" s="1"/>
  <c r="Z182" i="15"/>
  <c r="CD182" i="15" s="1"/>
  <c r="Z185" i="15"/>
  <c r="CD185" i="15" s="1"/>
  <c r="Z186" i="15"/>
  <c r="CD186" i="15" s="1"/>
  <c r="Z190" i="15"/>
  <c r="CD190" i="15" s="1"/>
  <c r="Z192" i="15"/>
  <c r="CD192" i="15" s="1"/>
  <c r="Z196" i="15"/>
  <c r="CD196" i="15" s="1"/>
  <c r="Z199" i="15"/>
  <c r="CD199" i="15" s="1"/>
  <c r="Z200" i="15"/>
  <c r="CD200" i="15" s="1"/>
  <c r="Z204" i="15"/>
  <c r="CD204" i="15" s="1"/>
  <c r="Z207" i="15"/>
  <c r="CD207" i="15" s="1"/>
  <c r="Z213" i="15"/>
  <c r="CD213" i="15" s="1"/>
  <c r="Z215" i="15"/>
  <c r="CD215" i="15" s="1"/>
  <c r="Z217" i="15"/>
  <c r="CD217" i="15" s="1"/>
  <c r="Z222" i="15"/>
  <c r="CD222" i="15" s="1"/>
  <c r="Z225" i="15"/>
  <c r="CD225" i="15" s="1"/>
  <c r="Z52" i="15"/>
  <c r="CD52" i="15" s="1"/>
  <c r="Z72" i="15"/>
  <c r="CD72" i="15" s="1"/>
  <c r="Z93" i="15"/>
  <c r="CD93" i="15" s="1"/>
  <c r="Z122" i="15"/>
  <c r="CD122" i="15" s="1"/>
  <c r="Z134" i="15"/>
  <c r="CD134" i="15" s="1"/>
  <c r="Z168" i="15"/>
  <c r="CD168" i="15" s="1"/>
  <c r="Z229" i="15"/>
  <c r="CD229" i="15" s="1"/>
  <c r="T5" i="15"/>
  <c r="T6" i="15"/>
  <c r="T7" i="15"/>
  <c r="T13" i="15"/>
  <c r="T15" i="15"/>
  <c r="T19" i="15"/>
  <c r="T21" i="15"/>
  <c r="T22" i="15"/>
  <c r="T27" i="15"/>
  <c r="T30" i="15"/>
  <c r="T31" i="15"/>
  <c r="T37" i="15"/>
  <c r="T39" i="15"/>
  <c r="T42" i="15"/>
  <c r="T45" i="15"/>
  <c r="T47" i="15"/>
  <c r="T51" i="15"/>
  <c r="T53" i="15"/>
  <c r="T54" i="15"/>
  <c r="T59" i="15"/>
  <c r="T62" i="15"/>
  <c r="T63" i="15"/>
  <c r="T71" i="15"/>
  <c r="T77" i="15"/>
  <c r="T78" i="15"/>
  <c r="T83" i="15"/>
  <c r="T86" i="15"/>
  <c r="T87" i="15"/>
  <c r="T93" i="15"/>
  <c r="T95" i="15"/>
  <c r="T99" i="15"/>
  <c r="T101" i="15"/>
  <c r="T102" i="15"/>
  <c r="T107" i="15"/>
  <c r="T109" i="15"/>
  <c r="T111" i="15"/>
  <c r="T117" i="15"/>
  <c r="T119" i="15"/>
  <c r="T123" i="15"/>
  <c r="T125" i="15"/>
  <c r="T126" i="15"/>
  <c r="T131" i="15"/>
  <c r="T134" i="15"/>
  <c r="T135" i="15"/>
  <c r="T139" i="15"/>
  <c r="T141" i="15"/>
  <c r="T143" i="15"/>
  <c r="T149" i="15"/>
  <c r="T150" i="15"/>
  <c r="T155" i="15"/>
  <c r="T158" i="15"/>
  <c r="T159" i="15"/>
  <c r="T162" i="15"/>
  <c r="T165" i="15"/>
  <c r="T167" i="15"/>
  <c r="T171" i="15"/>
  <c r="T173" i="15"/>
  <c r="T174" i="15"/>
  <c r="T181" i="15"/>
  <c r="T183" i="15"/>
  <c r="T189" i="15"/>
  <c r="T191" i="15"/>
  <c r="T195" i="15"/>
  <c r="T197" i="15"/>
  <c r="T198" i="15"/>
  <c r="T203" i="15"/>
  <c r="T205" i="15"/>
  <c r="T206" i="15"/>
  <c r="T207" i="15"/>
  <c r="T211" i="15"/>
  <c r="T214" i="15"/>
  <c r="T215" i="15"/>
  <c r="T219" i="15"/>
  <c r="T222" i="15"/>
  <c r="T227" i="15"/>
  <c r="T230" i="15"/>
  <c r="O4" i="15"/>
  <c r="O9" i="15"/>
  <c r="O12" i="15"/>
  <c r="O25" i="15"/>
  <c r="O28" i="15"/>
  <c r="O33" i="15"/>
  <c r="O36" i="15"/>
  <c r="O41" i="15"/>
  <c r="O44" i="15"/>
  <c r="O49" i="15"/>
  <c r="O52" i="15"/>
  <c r="O57" i="15"/>
  <c r="O64" i="15"/>
  <c r="O65" i="15"/>
  <c r="O68" i="15"/>
  <c r="O73" i="15"/>
  <c r="O76" i="15"/>
  <c r="O78" i="15"/>
  <c r="O81" i="15"/>
  <c r="O84" i="15"/>
  <c r="O97" i="15"/>
  <c r="O100" i="15"/>
  <c r="O105" i="15"/>
  <c r="O108" i="15"/>
  <c r="O113" i="15"/>
  <c r="O116" i="15"/>
  <c r="O124" i="15"/>
  <c r="O137" i="15"/>
  <c r="O145" i="15"/>
  <c r="O148" i="15"/>
  <c r="O161" i="15"/>
  <c r="O164" i="15"/>
  <c r="O169" i="15"/>
  <c r="O172" i="15"/>
  <c r="O177" i="15"/>
  <c r="O180" i="15"/>
  <c r="O185" i="15"/>
  <c r="O188" i="15"/>
  <c r="O196" i="15"/>
  <c r="O201" i="15"/>
  <c r="O209" i="15"/>
  <c r="O225" i="15"/>
  <c r="P4" i="15"/>
  <c r="P6" i="15"/>
  <c r="P10" i="15"/>
  <c r="P13" i="15"/>
  <c r="P17" i="15"/>
  <c r="P20" i="15"/>
  <c r="P22" i="15"/>
  <c r="P25" i="15"/>
  <c r="P26" i="15"/>
  <c r="P28" i="15"/>
  <c r="P29" i="15"/>
  <c r="P32" i="15"/>
  <c r="P33" i="15"/>
  <c r="P34" i="15"/>
  <c r="P35" i="15"/>
  <c r="P36" i="15"/>
  <c r="P37" i="15"/>
  <c r="P38" i="15"/>
  <c r="P41" i="15"/>
  <c r="P42" i="15"/>
  <c r="P44" i="15"/>
  <c r="P45" i="15"/>
  <c r="P46" i="15"/>
  <c r="P49" i="15"/>
  <c r="P50" i="15"/>
  <c r="P52" i="15"/>
  <c r="P53" i="15"/>
  <c r="P54" i="15"/>
  <c r="P58" i="15"/>
  <c r="P61" i="15"/>
  <c r="P62" i="15"/>
  <c r="P65" i="15"/>
  <c r="P66" i="15"/>
  <c r="P68" i="15"/>
  <c r="P69" i="15"/>
  <c r="P73" i="15"/>
  <c r="P74" i="15"/>
  <c r="P76" i="15"/>
  <c r="P77" i="15"/>
  <c r="P78" i="15"/>
  <c r="P81" i="15"/>
  <c r="P84" i="15"/>
  <c r="P85" i="15"/>
  <c r="P86" i="15"/>
  <c r="P88" i="15"/>
  <c r="P89" i="15"/>
  <c r="P90" i="15"/>
  <c r="P92" i="15"/>
  <c r="P93" i="15"/>
  <c r="P94" i="15"/>
  <c r="P97" i="15"/>
  <c r="P100" i="15"/>
  <c r="P102" i="15"/>
  <c r="P105" i="15"/>
  <c r="P106" i="15"/>
  <c r="P109" i="15"/>
  <c r="P110" i="15"/>
  <c r="P112" i="15"/>
  <c r="P113" i="15"/>
  <c r="P114" i="15"/>
  <c r="P116" i="15"/>
  <c r="P118" i="15"/>
  <c r="P122" i="15"/>
  <c r="P125" i="15"/>
  <c r="P126" i="15"/>
  <c r="P129" i="15"/>
  <c r="P133" i="15"/>
  <c r="P134" i="15"/>
  <c r="P137" i="15"/>
  <c r="P139" i="15"/>
  <c r="P140" i="15"/>
  <c r="P145" i="15"/>
  <c r="P146" i="15"/>
  <c r="P147" i="15"/>
  <c r="P148" i="15"/>
  <c r="P149" i="15"/>
  <c r="P150" i="15"/>
  <c r="P153" i="15"/>
  <c r="P156" i="15"/>
  <c r="P158" i="15"/>
  <c r="P161" i="15"/>
  <c r="P162" i="15"/>
  <c r="P164" i="15"/>
  <c r="P165" i="15"/>
  <c r="P166" i="15"/>
  <c r="P168" i="15"/>
  <c r="P169" i="15"/>
  <c r="P170" i="15"/>
  <c r="P171" i="15"/>
  <c r="P172" i="15"/>
  <c r="P173" i="15"/>
  <c r="P174" i="15"/>
  <c r="P178" i="15"/>
  <c r="P179" i="15"/>
  <c r="P180" i="15"/>
  <c r="P181" i="15"/>
  <c r="P182" i="15"/>
  <c r="P185" i="15"/>
  <c r="P186" i="15"/>
  <c r="P188" i="15"/>
  <c r="P189" i="15"/>
  <c r="P190" i="15"/>
  <c r="P192" i="15"/>
  <c r="P193" i="15"/>
  <c r="P194" i="15"/>
  <c r="P196" i="15"/>
  <c r="P197" i="15"/>
  <c r="P198" i="15"/>
  <c r="P202" i="15"/>
  <c r="P205" i="15"/>
  <c r="P206" i="15"/>
  <c r="P209" i="15"/>
  <c r="P212" i="15"/>
  <c r="P214" i="15"/>
  <c r="P220" i="15"/>
  <c r="P221" i="15"/>
  <c r="P222" i="15"/>
  <c r="P224" i="15"/>
  <c r="P225" i="15"/>
  <c r="P228" i="15"/>
  <c r="P229" i="15"/>
  <c r="P230" i="15"/>
  <c r="AO3" i="14"/>
  <c r="AO4" i="14"/>
  <c r="AO5" i="14"/>
  <c r="AO6" i="14"/>
  <c r="AO7" i="14"/>
  <c r="AO8" i="14"/>
  <c r="AO9" i="14"/>
  <c r="AO10" i="14"/>
  <c r="AO11" i="14"/>
  <c r="AO12" i="14"/>
  <c r="AO13" i="14"/>
  <c r="AO14" i="14"/>
  <c r="AO15" i="14"/>
  <c r="AO16" i="14"/>
  <c r="AO17" i="14"/>
  <c r="AO18" i="14"/>
  <c r="AO19" i="14"/>
  <c r="AO20" i="14"/>
  <c r="AO21" i="14"/>
  <c r="AO22" i="14"/>
  <c r="AO23" i="14"/>
  <c r="AO24" i="14"/>
  <c r="AO25" i="14"/>
  <c r="AO26" i="14"/>
  <c r="AO27" i="14"/>
  <c r="AO28" i="14"/>
  <c r="AO29" i="14"/>
  <c r="AO30" i="14"/>
  <c r="AO31" i="14"/>
  <c r="AO32" i="14"/>
  <c r="AO33" i="14"/>
  <c r="AO34" i="14"/>
  <c r="AO35" i="14"/>
  <c r="AO36" i="14"/>
  <c r="AO37" i="14"/>
  <c r="AO38" i="14"/>
  <c r="AO39" i="14"/>
  <c r="AO40" i="14"/>
  <c r="AO41" i="14"/>
  <c r="AO42" i="14"/>
  <c r="AO43" i="14"/>
  <c r="AO44" i="14"/>
  <c r="AO45" i="14"/>
  <c r="AO46" i="14"/>
  <c r="AO47" i="14"/>
  <c r="AO48" i="14"/>
  <c r="AO49" i="14"/>
  <c r="AO50" i="14"/>
  <c r="AO51" i="14"/>
  <c r="AO52" i="14"/>
  <c r="AO53" i="14"/>
  <c r="AO54" i="14"/>
  <c r="AO55" i="14"/>
  <c r="AO56" i="14"/>
  <c r="AO57" i="14"/>
  <c r="AO58" i="14"/>
  <c r="AO59" i="14"/>
  <c r="AO60" i="14"/>
  <c r="AO61" i="14"/>
  <c r="AO62" i="14"/>
  <c r="AO63" i="14"/>
  <c r="AO64" i="14"/>
  <c r="AO65" i="14"/>
  <c r="AO66" i="14"/>
  <c r="AO67" i="14"/>
  <c r="AO68" i="14"/>
  <c r="AO69" i="14"/>
  <c r="AO70" i="14"/>
  <c r="AO71" i="14"/>
  <c r="AO72" i="14"/>
  <c r="AO73" i="14"/>
  <c r="AO74" i="14"/>
  <c r="AO75" i="14"/>
  <c r="AO76" i="14"/>
  <c r="AO77" i="14"/>
  <c r="AO78" i="14"/>
  <c r="AO79" i="14"/>
  <c r="AO80" i="14"/>
  <c r="AO81" i="14"/>
  <c r="AO82" i="14"/>
  <c r="AO83" i="14"/>
  <c r="AO84" i="14"/>
  <c r="AO85" i="14"/>
  <c r="AO86" i="14"/>
  <c r="AO87" i="14"/>
  <c r="AO88" i="14"/>
  <c r="AO89" i="14"/>
  <c r="AO90" i="14"/>
  <c r="AO91" i="14"/>
  <c r="AO92" i="14"/>
  <c r="AO93" i="14"/>
  <c r="AO94" i="14"/>
  <c r="AO95" i="14"/>
  <c r="AO96" i="14"/>
  <c r="AO97" i="14"/>
  <c r="AO98" i="14"/>
  <c r="AO99" i="14"/>
  <c r="AO100" i="14"/>
  <c r="AO101" i="14"/>
  <c r="AO102" i="14"/>
  <c r="AO103" i="14"/>
  <c r="AO104" i="14"/>
  <c r="AO105" i="14"/>
  <c r="AO106" i="14"/>
  <c r="AO107" i="14"/>
  <c r="AO108" i="14"/>
  <c r="AO109" i="14"/>
  <c r="AO110" i="14"/>
  <c r="AO111" i="14"/>
  <c r="AO112" i="14"/>
  <c r="AO113" i="14"/>
  <c r="AO114" i="14"/>
  <c r="AO115" i="14"/>
  <c r="AO116" i="14"/>
  <c r="AO117" i="14"/>
  <c r="AO118" i="14"/>
  <c r="AO119" i="14"/>
  <c r="AO120" i="14"/>
  <c r="AO121" i="14"/>
  <c r="AO122" i="14"/>
  <c r="AO123" i="14"/>
  <c r="AO124" i="14"/>
  <c r="AO125" i="14"/>
  <c r="AO126" i="14"/>
  <c r="AO127" i="14"/>
  <c r="AO128" i="14"/>
  <c r="AO129" i="14"/>
  <c r="AO130" i="14"/>
  <c r="AO131" i="14"/>
  <c r="AO132" i="14"/>
  <c r="AO133" i="14"/>
  <c r="AO134" i="14"/>
  <c r="AO135" i="14"/>
  <c r="AO136" i="14"/>
  <c r="AO137" i="14"/>
  <c r="AO138" i="14"/>
  <c r="AO139" i="14"/>
  <c r="AO140" i="14"/>
  <c r="AO141" i="14"/>
  <c r="AO142" i="14"/>
  <c r="AO143" i="14"/>
  <c r="AO144" i="14"/>
  <c r="AO145" i="14"/>
  <c r="AO146" i="14"/>
  <c r="AO147" i="14"/>
  <c r="AO148" i="14"/>
  <c r="AO149" i="14"/>
  <c r="AO150" i="14"/>
  <c r="AO151" i="14"/>
  <c r="AO152" i="14"/>
  <c r="AO153" i="14"/>
  <c r="AO154" i="14"/>
  <c r="AO155" i="14"/>
  <c r="AO156" i="14"/>
  <c r="AO157" i="14"/>
  <c r="AO158" i="14"/>
  <c r="AO159" i="14"/>
  <c r="AO160" i="14"/>
  <c r="AO161" i="14"/>
  <c r="AO162" i="14"/>
  <c r="AO163" i="14"/>
  <c r="AO164" i="14"/>
  <c r="AO165" i="14"/>
  <c r="AO166" i="14"/>
  <c r="AO167" i="14"/>
  <c r="AO168" i="14"/>
  <c r="AO169" i="14"/>
  <c r="AO170" i="14"/>
  <c r="AO171" i="14"/>
  <c r="AO172" i="14"/>
  <c r="AO173" i="14"/>
  <c r="AO174" i="14"/>
  <c r="AO175" i="14"/>
  <c r="AO176" i="14"/>
  <c r="AO177" i="14"/>
  <c r="AO178" i="14"/>
  <c r="AO179" i="14"/>
  <c r="AO180" i="14"/>
  <c r="AO181" i="14"/>
  <c r="AO182" i="14"/>
  <c r="AO183" i="14"/>
  <c r="AO184" i="14"/>
  <c r="AO185" i="14"/>
  <c r="AO186" i="14"/>
  <c r="AO187" i="14"/>
  <c r="AO188" i="14"/>
  <c r="AO189" i="14"/>
  <c r="AO190" i="14"/>
  <c r="AO191" i="14"/>
  <c r="AO192" i="14"/>
  <c r="AO193" i="14"/>
  <c r="AO194" i="14"/>
  <c r="AO195" i="14"/>
  <c r="AO196" i="14"/>
  <c r="AO197" i="14"/>
  <c r="AO198" i="14"/>
  <c r="AO199" i="14"/>
  <c r="AO200" i="14"/>
  <c r="AO201" i="14"/>
  <c r="AO202" i="14"/>
  <c r="AO203" i="14"/>
  <c r="AO204" i="14"/>
  <c r="AO205" i="14"/>
  <c r="AO206" i="14"/>
  <c r="AO207" i="14"/>
  <c r="AO208" i="14"/>
  <c r="AO209" i="14"/>
  <c r="AO210" i="14"/>
  <c r="AO211" i="14"/>
  <c r="AO212" i="14"/>
  <c r="AO213" i="14"/>
  <c r="AO214" i="14"/>
  <c r="AO215" i="14"/>
  <c r="AO216" i="14"/>
  <c r="AO217" i="14"/>
  <c r="AO218" i="14"/>
  <c r="AO219" i="14"/>
  <c r="AO220" i="14"/>
  <c r="AO221" i="14"/>
  <c r="AO222" i="14"/>
  <c r="AO223" i="14"/>
  <c r="AO224" i="14"/>
  <c r="AO225" i="14"/>
  <c r="AO226" i="14"/>
  <c r="AO227" i="14"/>
  <c r="AO228" i="14"/>
  <c r="AO229" i="14"/>
  <c r="AO230" i="14"/>
  <c r="H4" i="15"/>
  <c r="H5" i="15"/>
  <c r="H6" i="15"/>
  <c r="H7" i="15"/>
  <c r="H8" i="15"/>
  <c r="H9" i="15"/>
  <c r="H11" i="15"/>
  <c r="H12" i="15"/>
  <c r="H13" i="15"/>
  <c r="H14" i="15"/>
  <c r="H15" i="15"/>
  <c r="H16" i="15"/>
  <c r="H17" i="15"/>
  <c r="H19" i="15"/>
  <c r="H20" i="15"/>
  <c r="H21" i="15"/>
  <c r="H22" i="15"/>
  <c r="H23" i="15"/>
  <c r="H24" i="15"/>
  <c r="H25" i="15"/>
  <c r="H27" i="15"/>
  <c r="H28" i="15"/>
  <c r="H29" i="15"/>
  <c r="H30" i="15"/>
  <c r="H31" i="15"/>
  <c r="H32" i="15"/>
  <c r="H33" i="15"/>
  <c r="H35" i="15"/>
  <c r="H36" i="15"/>
  <c r="H37" i="15"/>
  <c r="H38" i="15"/>
  <c r="H39" i="15"/>
  <c r="H40" i="15"/>
  <c r="H41" i="15"/>
  <c r="H43" i="15"/>
  <c r="H44" i="15"/>
  <c r="H45" i="15"/>
  <c r="H46" i="15"/>
  <c r="H47" i="15"/>
  <c r="H48" i="15"/>
  <c r="H49" i="15"/>
  <c r="H51" i="15"/>
  <c r="H52" i="15"/>
  <c r="H53" i="15"/>
  <c r="H54" i="15"/>
  <c r="H55" i="15"/>
  <c r="H56" i="15"/>
  <c r="H57" i="15"/>
  <c r="H59" i="15"/>
  <c r="H60" i="15"/>
  <c r="H61" i="15"/>
  <c r="H62" i="15"/>
  <c r="H63" i="15"/>
  <c r="H64" i="15"/>
  <c r="H65" i="15"/>
  <c r="H67" i="15"/>
  <c r="H68" i="15"/>
  <c r="H69" i="15"/>
  <c r="H70" i="15"/>
  <c r="H71" i="15"/>
  <c r="H72" i="15"/>
  <c r="H73" i="15"/>
  <c r="H75" i="15"/>
  <c r="H76" i="15"/>
  <c r="H77" i="15"/>
  <c r="H78" i="15"/>
  <c r="H79" i="15"/>
  <c r="H80" i="15"/>
  <c r="H81" i="15"/>
  <c r="H83" i="15"/>
  <c r="H84" i="15"/>
  <c r="H85" i="15"/>
  <c r="H86" i="15"/>
  <c r="H87" i="15"/>
  <c r="H88" i="15"/>
  <c r="H89" i="15"/>
  <c r="H91" i="15"/>
  <c r="H92" i="15"/>
  <c r="H93" i="15"/>
  <c r="H94" i="15"/>
  <c r="H95" i="15"/>
  <c r="H96" i="15"/>
  <c r="H97" i="15"/>
  <c r="H99" i="15"/>
  <c r="H100" i="15"/>
  <c r="H101" i="15"/>
  <c r="H102" i="15"/>
  <c r="H103" i="15"/>
  <c r="H104" i="15"/>
  <c r="H105" i="15"/>
  <c r="H107" i="15"/>
  <c r="H108" i="15"/>
  <c r="H109" i="15"/>
  <c r="H110" i="15"/>
  <c r="H111" i="15"/>
  <c r="H112" i="15"/>
  <c r="H113" i="15"/>
  <c r="H115" i="15"/>
  <c r="H116" i="15"/>
  <c r="H117" i="15"/>
  <c r="H118" i="15"/>
  <c r="H119" i="15"/>
  <c r="H120" i="15"/>
  <c r="H121" i="15"/>
  <c r="H123" i="15"/>
  <c r="H124" i="15"/>
  <c r="H125" i="15"/>
  <c r="H126" i="15"/>
  <c r="H127" i="15"/>
  <c r="H128" i="15"/>
  <c r="H129" i="15"/>
  <c r="H131" i="15"/>
  <c r="H132" i="15"/>
  <c r="H133" i="15"/>
  <c r="H134" i="15"/>
  <c r="H135" i="15"/>
  <c r="H136" i="15"/>
  <c r="H137" i="15"/>
  <c r="H139" i="15"/>
  <c r="H140" i="15"/>
  <c r="H141" i="15"/>
  <c r="H142" i="15"/>
  <c r="H143" i="15"/>
  <c r="H144" i="15"/>
  <c r="H145" i="15"/>
  <c r="H147" i="15"/>
  <c r="H148" i="15"/>
  <c r="H149" i="15"/>
  <c r="H150" i="15"/>
  <c r="H151" i="15"/>
  <c r="H152" i="15"/>
  <c r="H153" i="15"/>
  <c r="H155" i="15"/>
  <c r="H156" i="15"/>
  <c r="H157" i="15"/>
  <c r="H158" i="15"/>
  <c r="H159" i="15"/>
  <c r="H160" i="15"/>
  <c r="H161" i="15"/>
  <c r="H163" i="15"/>
  <c r="H164" i="15"/>
  <c r="H165" i="15"/>
  <c r="H166" i="15"/>
  <c r="H167" i="15"/>
  <c r="H168" i="15"/>
  <c r="H169" i="15"/>
  <c r="H171" i="15"/>
  <c r="H172" i="15"/>
  <c r="H173" i="15"/>
  <c r="H174" i="15"/>
  <c r="H175" i="15"/>
  <c r="H176" i="15"/>
  <c r="H177" i="15"/>
  <c r="H179" i="15"/>
  <c r="H180" i="15"/>
  <c r="H181" i="15"/>
  <c r="H182" i="15"/>
  <c r="H183" i="15"/>
  <c r="H184" i="15"/>
  <c r="H185" i="15"/>
  <c r="H187" i="15"/>
  <c r="H188" i="15"/>
  <c r="H189" i="15"/>
  <c r="H190" i="15"/>
  <c r="H191" i="15"/>
  <c r="H192" i="15"/>
  <c r="H193" i="15"/>
  <c r="H195" i="15"/>
  <c r="H196" i="15"/>
  <c r="H197" i="15"/>
  <c r="H198" i="15"/>
  <c r="H199" i="15"/>
  <c r="H200" i="15"/>
  <c r="H201" i="15"/>
  <c r="H203" i="15"/>
  <c r="H204" i="15"/>
  <c r="H205" i="15"/>
  <c r="H206" i="15"/>
  <c r="H207" i="15"/>
  <c r="H208" i="15"/>
  <c r="H209" i="15"/>
  <c r="H211" i="15"/>
  <c r="H212" i="15"/>
  <c r="H213" i="15"/>
  <c r="H214" i="15"/>
  <c r="H215" i="15"/>
  <c r="H216" i="15"/>
  <c r="H217" i="15"/>
  <c r="H219" i="15"/>
  <c r="H220" i="15"/>
  <c r="H221" i="15"/>
  <c r="H222" i="15"/>
  <c r="H223" i="15"/>
  <c r="H224" i="15"/>
  <c r="H225" i="15"/>
  <c r="H227" i="15"/>
  <c r="H228" i="15"/>
  <c r="H229" i="15"/>
  <c r="H230" i="15"/>
  <c r="G7" i="15"/>
  <c r="G9" i="15"/>
  <c r="G15" i="15"/>
  <c r="G17" i="15"/>
  <c r="G23" i="15"/>
  <c r="G25" i="15"/>
  <c r="G31" i="15"/>
  <c r="G33" i="15"/>
  <c r="G38" i="15"/>
  <c r="G39" i="15"/>
  <c r="G41" i="15"/>
  <c r="G47" i="15"/>
  <c r="G48" i="15"/>
  <c r="G49" i="15"/>
  <c r="G55" i="15"/>
  <c r="G57" i="15"/>
  <c r="G58" i="15"/>
  <c r="G63" i="15"/>
  <c r="G65" i="15"/>
  <c r="G69" i="15"/>
  <c r="G71" i="15"/>
  <c r="G73" i="15"/>
  <c r="G79" i="15"/>
  <c r="G80" i="15"/>
  <c r="G81" i="15"/>
  <c r="G87" i="15"/>
  <c r="G89" i="15"/>
  <c r="G90" i="15"/>
  <c r="G95" i="15"/>
  <c r="G97" i="15"/>
  <c r="G100" i="15"/>
  <c r="G101" i="15"/>
  <c r="G103" i="15"/>
  <c r="G105" i="15"/>
  <c r="G111" i="15"/>
  <c r="G113" i="15"/>
  <c r="G119" i="15"/>
  <c r="G121" i="15"/>
  <c r="G127" i="15"/>
  <c r="G129" i="15"/>
  <c r="G135" i="15"/>
  <c r="G137" i="15"/>
  <c r="G140" i="15"/>
  <c r="G143" i="15"/>
  <c r="G145" i="15"/>
  <c r="G151" i="15"/>
  <c r="G153" i="15"/>
  <c r="G159" i="15"/>
  <c r="G161" i="15"/>
  <c r="G167" i="15"/>
  <c r="G169" i="15"/>
  <c r="G173" i="15"/>
  <c r="G175" i="15"/>
  <c r="G177" i="15"/>
  <c r="G180" i="15"/>
  <c r="G183" i="15"/>
  <c r="G184" i="15"/>
  <c r="G185" i="15"/>
  <c r="G191" i="15"/>
  <c r="G193" i="15"/>
  <c r="G194" i="15"/>
  <c r="G196" i="15"/>
  <c r="G199" i="15"/>
  <c r="G201" i="15"/>
  <c r="G205" i="15"/>
  <c r="G207" i="15"/>
  <c r="G209" i="15"/>
  <c r="G215" i="15"/>
  <c r="G216" i="15"/>
  <c r="G217" i="15"/>
  <c r="G223" i="15"/>
  <c r="G225" i="15"/>
  <c r="G226" i="15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CA38" i="15" l="1"/>
  <c r="CA94" i="15"/>
  <c r="CA166" i="15"/>
  <c r="CA189" i="15"/>
  <c r="CA169" i="15"/>
  <c r="CA105" i="15"/>
  <c r="CA41" i="15"/>
  <c r="CA226" i="15"/>
  <c r="CA154" i="15"/>
  <c r="CA216" i="15"/>
  <c r="CA196" i="15"/>
  <c r="CA160" i="15"/>
  <c r="CA119" i="15"/>
  <c r="CA87" i="15"/>
  <c r="CA71" i="15"/>
  <c r="CA52" i="15"/>
  <c r="CB106" i="15"/>
  <c r="CB62" i="15"/>
  <c r="CB13" i="15"/>
  <c r="CF117" i="15"/>
  <c r="CB204" i="15"/>
  <c r="CB181" i="15"/>
  <c r="CB125" i="15"/>
  <c r="CB100" i="15"/>
  <c r="CB80" i="15"/>
  <c r="CB61" i="15"/>
  <c r="CB30" i="15"/>
  <c r="CF135" i="15"/>
  <c r="CF101" i="15"/>
  <c r="CF21" i="15"/>
  <c r="CF7" i="15"/>
  <c r="CB10" i="15"/>
  <c r="CB17" i="15"/>
  <c r="CF18" i="15"/>
  <c r="CB32" i="15"/>
  <c r="CF34" i="15"/>
  <c r="CF69" i="15"/>
  <c r="CF73" i="15"/>
  <c r="CF88" i="15"/>
  <c r="CB105" i="15"/>
  <c r="CF128" i="15"/>
  <c r="CB133" i="15"/>
  <c r="CB137" i="15"/>
  <c r="CB158" i="15"/>
  <c r="CF172" i="15"/>
  <c r="CB180" i="15"/>
  <c r="CB185" i="15"/>
  <c r="CF208" i="15"/>
  <c r="CF215" i="15"/>
  <c r="CB220" i="15"/>
  <c r="CF211" i="15"/>
  <c r="CF187" i="15"/>
  <c r="CF166" i="15"/>
  <c r="CF142" i="15"/>
  <c r="CF121" i="15"/>
  <c r="CF97" i="15"/>
  <c r="CF70" i="15"/>
  <c r="CF43" i="15"/>
  <c r="CF17" i="15"/>
  <c r="CB163" i="15"/>
  <c r="CB91" i="15"/>
  <c r="CB207" i="15"/>
  <c r="CB175" i="15"/>
  <c r="CB139" i="15"/>
  <c r="CB107" i="15"/>
  <c r="CB71" i="15"/>
  <c r="CB35" i="15"/>
  <c r="CA4" i="15"/>
  <c r="CA22" i="15"/>
  <c r="CA93" i="15"/>
  <c r="CA111" i="15"/>
  <c r="CA126" i="15"/>
  <c r="CA149" i="15"/>
  <c r="CA198" i="15"/>
  <c r="CA212" i="15"/>
  <c r="CA225" i="15"/>
  <c r="CA161" i="15"/>
  <c r="CA97" i="15"/>
  <c r="CA33" i="15"/>
  <c r="CA218" i="15"/>
  <c r="CA146" i="15"/>
  <c r="CA74" i="15"/>
  <c r="CA230" i="15"/>
  <c r="CA215" i="15"/>
  <c r="CA176" i="15"/>
  <c r="CA159" i="15"/>
  <c r="CA136" i="15"/>
  <c r="CA116" i="15"/>
  <c r="CA84" i="15"/>
  <c r="CA68" i="15"/>
  <c r="CA48" i="15"/>
  <c r="CA31" i="15"/>
  <c r="CB230" i="15"/>
  <c r="CB200" i="15"/>
  <c r="CB177" i="15"/>
  <c r="CB118" i="15"/>
  <c r="CB78" i="15"/>
  <c r="CB56" i="15"/>
  <c r="CB29" i="15"/>
  <c r="CF191" i="15"/>
  <c r="CF133" i="15"/>
  <c r="CF112" i="15"/>
  <c r="CB6" i="15"/>
  <c r="CB24" i="15"/>
  <c r="CB47" i="15"/>
  <c r="CF61" i="15"/>
  <c r="CF79" i="15"/>
  <c r="CB84" i="15"/>
  <c r="CF87" i="15"/>
  <c r="CB90" i="15"/>
  <c r="CF127" i="15"/>
  <c r="CB132" i="15"/>
  <c r="CB136" i="15"/>
  <c r="CB157" i="15"/>
  <c r="CB161" i="15"/>
  <c r="CF165" i="15"/>
  <c r="CB184" i="15"/>
  <c r="CF189" i="15"/>
  <c r="CF207" i="15"/>
  <c r="CB213" i="15"/>
  <c r="CB214" i="15"/>
  <c r="CB224" i="15"/>
  <c r="CB227" i="15"/>
  <c r="CF230" i="15"/>
  <c r="CF209" i="15"/>
  <c r="CF185" i="15"/>
  <c r="CF163" i="15"/>
  <c r="CF139" i="15"/>
  <c r="CF118" i="15"/>
  <c r="CF94" i="15"/>
  <c r="CF67" i="15"/>
  <c r="CF41" i="15"/>
  <c r="CF14" i="15"/>
  <c r="CB162" i="15"/>
  <c r="CB19" i="15"/>
  <c r="CB203" i="15"/>
  <c r="CB171" i="15"/>
  <c r="CB135" i="15"/>
  <c r="CB103" i="15"/>
  <c r="CB67" i="15"/>
  <c r="CB31" i="15"/>
  <c r="CA16" i="15"/>
  <c r="CA21" i="15"/>
  <c r="CA32" i="15"/>
  <c r="CA46" i="15"/>
  <c r="CA70" i="15"/>
  <c r="CA104" i="15"/>
  <c r="CA110" i="15"/>
  <c r="CA125" i="15"/>
  <c r="CA174" i="15"/>
  <c r="CA197" i="15"/>
  <c r="CA221" i="15"/>
  <c r="CA217" i="15"/>
  <c r="CA153" i="15"/>
  <c r="CA89" i="15"/>
  <c r="CA25" i="15"/>
  <c r="CA210" i="15"/>
  <c r="CA138" i="15"/>
  <c r="CA66" i="15"/>
  <c r="CA228" i="15"/>
  <c r="CA192" i="15"/>
  <c r="CA175" i="15"/>
  <c r="CA156" i="15"/>
  <c r="CA135" i="15"/>
  <c r="CA47" i="15"/>
  <c r="CB229" i="15"/>
  <c r="CB198" i="15"/>
  <c r="CB152" i="15"/>
  <c r="CB116" i="15"/>
  <c r="CB94" i="15"/>
  <c r="CB77" i="15"/>
  <c r="CB50" i="15"/>
  <c r="CB28" i="15"/>
  <c r="CF149" i="15"/>
  <c r="CF111" i="15"/>
  <c r="CF47" i="15"/>
  <c r="CF31" i="15"/>
  <c r="CF13" i="15"/>
  <c r="CB5" i="15"/>
  <c r="CF59" i="15"/>
  <c r="CF60" i="15"/>
  <c r="CB92" i="15"/>
  <c r="CB97" i="15"/>
  <c r="CF113" i="15"/>
  <c r="CF140" i="15"/>
  <c r="CB156" i="15"/>
  <c r="CB160" i="15"/>
  <c r="CF168" i="15"/>
  <c r="CB174" i="15"/>
  <c r="CB206" i="15"/>
  <c r="CB217" i="15"/>
  <c r="CF228" i="15"/>
  <c r="CF206" i="15"/>
  <c r="CF182" i="15"/>
  <c r="CF161" i="15"/>
  <c r="CF137" i="15"/>
  <c r="CF115" i="15"/>
  <c r="CF91" i="15"/>
  <c r="CF65" i="15"/>
  <c r="CF38" i="15"/>
  <c r="CF11" i="15"/>
  <c r="CB154" i="15"/>
  <c r="CB226" i="15"/>
  <c r="CB199" i="15"/>
  <c r="CB167" i="15"/>
  <c r="CB131" i="15"/>
  <c r="CB99" i="15"/>
  <c r="CB63" i="15"/>
  <c r="CB27" i="15"/>
  <c r="CA15" i="15"/>
  <c r="CA20" i="15"/>
  <c r="CA103" i="15"/>
  <c r="CA109" i="15"/>
  <c r="CA124" i="15"/>
  <c r="CA173" i="15"/>
  <c r="CA209" i="15"/>
  <c r="CA145" i="15"/>
  <c r="CA81" i="15"/>
  <c r="CA17" i="15"/>
  <c r="CA202" i="15"/>
  <c r="CA130" i="15"/>
  <c r="CA58" i="15"/>
  <c r="CA208" i="15"/>
  <c r="CA191" i="15"/>
  <c r="CA172" i="15"/>
  <c r="CA148" i="15"/>
  <c r="CA100" i="15"/>
  <c r="CA80" i="15"/>
  <c r="CA64" i="15"/>
  <c r="CA44" i="15"/>
  <c r="CA23" i="15"/>
  <c r="CB228" i="15"/>
  <c r="CB197" i="15"/>
  <c r="CB150" i="15"/>
  <c r="CB113" i="15"/>
  <c r="CB93" i="15"/>
  <c r="CB70" i="15"/>
  <c r="CB40" i="15"/>
  <c r="CB25" i="15"/>
  <c r="CF224" i="15"/>
  <c r="CF205" i="15"/>
  <c r="CF125" i="15"/>
  <c r="CF109" i="15"/>
  <c r="CF95" i="15"/>
  <c r="CF77" i="15"/>
  <c r="CF63" i="15"/>
  <c r="CF46" i="15"/>
  <c r="CF12" i="15"/>
  <c r="CB4" i="15"/>
  <c r="CB8" i="15"/>
  <c r="CF33" i="15"/>
  <c r="CB45" i="15"/>
  <c r="CB46" i="15"/>
  <c r="CB58" i="15"/>
  <c r="CB66" i="15"/>
  <c r="CB74" i="15"/>
  <c r="CB81" i="15"/>
  <c r="CB89" i="15"/>
  <c r="CB96" i="15"/>
  <c r="CB129" i="15"/>
  <c r="CF130" i="15"/>
  <c r="CB153" i="15"/>
  <c r="CF167" i="15"/>
  <c r="CB170" i="15"/>
  <c r="CB173" i="15"/>
  <c r="CF195" i="15"/>
  <c r="CF200" i="15"/>
  <c r="CB205" i="15"/>
  <c r="CB216" i="15"/>
  <c r="CF221" i="15"/>
  <c r="CF227" i="15"/>
  <c r="CF203" i="15"/>
  <c r="CF179" i="15"/>
  <c r="CF158" i="15"/>
  <c r="CF134" i="15"/>
  <c r="CF110" i="15"/>
  <c r="CF89" i="15"/>
  <c r="CF62" i="15"/>
  <c r="CF35" i="15"/>
  <c r="CF9" i="15"/>
  <c r="CB138" i="15"/>
  <c r="CB223" i="15"/>
  <c r="CB195" i="15"/>
  <c r="CB159" i="15"/>
  <c r="CB127" i="15"/>
  <c r="CB95" i="15"/>
  <c r="CB59" i="15"/>
  <c r="CB23" i="15"/>
  <c r="CA8" i="15"/>
  <c r="CA14" i="15"/>
  <c r="CA78" i="15"/>
  <c r="CA102" i="15"/>
  <c r="CA108" i="15"/>
  <c r="CA134" i="15"/>
  <c r="CA163" i="15"/>
  <c r="CA206" i="15"/>
  <c r="CA229" i="15"/>
  <c r="CA201" i="15"/>
  <c r="CA137" i="15"/>
  <c r="CA73" i="15"/>
  <c r="CA9" i="15"/>
  <c r="CA194" i="15"/>
  <c r="CA122" i="15"/>
  <c r="CA42" i="15"/>
  <c r="CA224" i="15"/>
  <c r="CA207" i="15"/>
  <c r="CA188" i="15"/>
  <c r="CA128" i="15"/>
  <c r="CA99" i="15"/>
  <c r="CA79" i="15"/>
  <c r="CA63" i="15"/>
  <c r="CA19" i="15"/>
  <c r="CB225" i="15"/>
  <c r="CB196" i="15"/>
  <c r="CB149" i="15"/>
  <c r="CB112" i="15"/>
  <c r="CB88" i="15"/>
  <c r="CB69" i="15"/>
  <c r="CB38" i="15"/>
  <c r="CF162" i="15"/>
  <c r="CF93" i="15"/>
  <c r="CF28" i="15"/>
  <c r="CA69" i="15"/>
  <c r="CF19" i="15"/>
  <c r="CB42" i="15"/>
  <c r="CB44" i="15"/>
  <c r="CB54" i="15"/>
  <c r="CB73" i="15"/>
  <c r="CB76" i="15"/>
  <c r="CF85" i="15"/>
  <c r="CF100" i="15"/>
  <c r="CB117" i="15"/>
  <c r="CB121" i="15"/>
  <c r="CF122" i="15"/>
  <c r="CB124" i="15"/>
  <c r="CB128" i="15"/>
  <c r="CB146" i="15"/>
  <c r="CB148" i="15"/>
  <c r="CB166" i="15"/>
  <c r="CB172" i="15"/>
  <c r="CB176" i="15"/>
  <c r="CF180" i="15"/>
  <c r="CB190" i="15"/>
  <c r="CF199" i="15"/>
  <c r="CB202" i="15"/>
  <c r="CF225" i="15"/>
  <c r="CF201" i="15"/>
  <c r="CF177" i="15"/>
  <c r="CF155" i="15"/>
  <c r="CF131" i="15"/>
  <c r="CF107" i="15"/>
  <c r="CF83" i="15"/>
  <c r="CF57" i="15"/>
  <c r="CF30" i="15"/>
  <c r="CF6" i="15"/>
  <c r="CB210" i="15"/>
  <c r="CB130" i="15"/>
  <c r="CB219" i="15"/>
  <c r="CB191" i="15"/>
  <c r="CB155" i="15"/>
  <c r="CB123" i="15"/>
  <c r="CB87" i="15"/>
  <c r="CB55" i="15"/>
  <c r="CB15" i="15"/>
  <c r="CA13" i="15"/>
  <c r="CA30" i="15"/>
  <c r="CA54" i="15"/>
  <c r="CA77" i="15"/>
  <c r="CA101" i="15"/>
  <c r="CA158" i="15"/>
  <c r="CA182" i="15"/>
  <c r="CA205" i="15"/>
  <c r="CA193" i="15"/>
  <c r="CA129" i="15"/>
  <c r="CA65" i="15"/>
  <c r="CA178" i="15"/>
  <c r="CA186" i="15"/>
  <c r="CA106" i="15"/>
  <c r="CA34" i="15"/>
  <c r="CA222" i="15"/>
  <c r="CA204" i="15"/>
  <c r="CA168" i="15"/>
  <c r="CA144" i="15"/>
  <c r="CA127" i="15"/>
  <c r="CA92" i="15"/>
  <c r="CA76" i="15"/>
  <c r="CA60" i="15"/>
  <c r="CA40" i="15"/>
  <c r="CA7" i="15"/>
  <c r="CB212" i="15"/>
  <c r="CB193" i="15"/>
  <c r="CB144" i="15"/>
  <c r="CB104" i="15"/>
  <c r="CB86" i="15"/>
  <c r="CB65" i="15"/>
  <c r="CB37" i="15"/>
  <c r="CB16" i="15"/>
  <c r="CF222" i="15"/>
  <c r="CF183" i="15"/>
  <c r="CF143" i="15"/>
  <c r="CF5" i="15"/>
  <c r="CA61" i="15"/>
  <c r="CF16" i="15"/>
  <c r="CB22" i="15"/>
  <c r="CB53" i="15"/>
  <c r="CB57" i="15"/>
  <c r="CB68" i="15"/>
  <c r="CB72" i="15"/>
  <c r="CB109" i="15"/>
  <c r="CB110" i="15"/>
  <c r="CB120" i="15"/>
  <c r="CB141" i="15"/>
  <c r="CF157" i="15"/>
  <c r="CB165" i="15"/>
  <c r="CB169" i="15"/>
  <c r="CB189" i="15"/>
  <c r="CF219" i="15"/>
  <c r="CF198" i="15"/>
  <c r="CF174" i="15"/>
  <c r="CF150" i="15"/>
  <c r="CF129" i="15"/>
  <c r="CF105" i="15"/>
  <c r="CF81" i="15"/>
  <c r="CF54" i="15"/>
  <c r="CF27" i="15"/>
  <c r="CB194" i="15"/>
  <c r="CB122" i="15"/>
  <c r="CB218" i="15"/>
  <c r="CB187" i="15"/>
  <c r="CB151" i="15"/>
  <c r="CB119" i="15"/>
  <c r="CB83" i="15"/>
  <c r="CB51" i="15"/>
  <c r="CB11" i="15"/>
  <c r="CA12" i="15"/>
  <c r="CA24" i="15"/>
  <c r="CA29" i="15"/>
  <c r="CA53" i="15"/>
  <c r="CA86" i="15"/>
  <c r="CA96" i="15"/>
  <c r="CA118" i="15"/>
  <c r="CA132" i="15"/>
  <c r="CA142" i="15"/>
  <c r="CA152" i="15"/>
  <c r="CA157" i="15"/>
  <c r="CA181" i="15"/>
  <c r="CA185" i="15"/>
  <c r="CA121" i="15"/>
  <c r="CA57" i="15"/>
  <c r="CA114" i="15"/>
  <c r="CA170" i="15"/>
  <c r="CA98" i="15"/>
  <c r="CA26" i="15"/>
  <c r="CA220" i="15"/>
  <c r="CA203" i="15"/>
  <c r="CA184" i="15"/>
  <c r="CA167" i="15"/>
  <c r="CA143" i="15"/>
  <c r="CA91" i="15"/>
  <c r="CA56" i="15"/>
  <c r="CA39" i="15"/>
  <c r="CB209" i="15"/>
  <c r="CB192" i="15"/>
  <c r="CB142" i="15"/>
  <c r="CB102" i="15"/>
  <c r="CB85" i="15"/>
  <c r="CB64" i="15"/>
  <c r="CB34" i="15"/>
  <c r="CB12" i="15"/>
  <c r="CF197" i="15"/>
  <c r="CF181" i="15"/>
  <c r="CF159" i="15"/>
  <c r="CF141" i="15"/>
  <c r="CF119" i="15"/>
  <c r="CF53" i="15"/>
  <c r="CF39" i="15"/>
  <c r="CF4" i="15"/>
  <c r="CB14" i="15"/>
  <c r="CF15" i="15"/>
  <c r="CB21" i="15"/>
  <c r="CB26" i="15"/>
  <c r="CB36" i="15"/>
  <c r="CB41" i="15"/>
  <c r="CF42" i="15"/>
  <c r="CB49" i="15"/>
  <c r="CB52" i="15"/>
  <c r="CF58" i="15"/>
  <c r="CB60" i="15"/>
  <c r="CB108" i="15"/>
  <c r="CB140" i="15"/>
  <c r="CB145" i="15"/>
  <c r="CF146" i="15"/>
  <c r="CF156" i="15"/>
  <c r="CB164" i="15"/>
  <c r="CB168" i="15"/>
  <c r="CB188" i="15"/>
  <c r="CF194" i="15"/>
  <c r="CB201" i="15"/>
  <c r="CF217" i="15"/>
  <c r="CF193" i="15"/>
  <c r="CF171" i="15"/>
  <c r="CF147" i="15"/>
  <c r="CF126" i="15"/>
  <c r="CF102" i="15"/>
  <c r="CF78" i="15"/>
  <c r="CF51" i="15"/>
  <c r="CF25" i="15"/>
  <c r="CB186" i="15"/>
  <c r="CB114" i="15"/>
  <c r="CB215" i="15"/>
  <c r="CB183" i="15"/>
  <c r="CB147" i="15"/>
  <c r="CB115" i="15"/>
  <c r="CB79" i="15"/>
  <c r="CB43" i="15"/>
  <c r="CB7" i="15"/>
  <c r="CA6" i="15"/>
  <c r="CA11" i="15"/>
  <c r="CA28" i="15"/>
  <c r="CA85" i="15"/>
  <c r="CA95" i="15"/>
  <c r="CA117" i="15"/>
  <c r="CA141" i="15"/>
  <c r="CA151" i="15"/>
  <c r="CA180" i="15"/>
  <c r="CA190" i="15"/>
  <c r="CA214" i="15"/>
  <c r="CA223" i="15"/>
  <c r="CA177" i="15"/>
  <c r="CA113" i="15"/>
  <c r="CA49" i="15"/>
  <c r="CA50" i="15"/>
  <c r="CA162" i="15"/>
  <c r="CA90" i="15"/>
  <c r="CA18" i="15"/>
  <c r="CA200" i="15"/>
  <c r="CA183" i="15"/>
  <c r="CA164" i="15"/>
  <c r="CA140" i="15"/>
  <c r="CA120" i="15"/>
  <c r="CA88" i="15"/>
  <c r="CA72" i="15"/>
  <c r="CA55" i="15"/>
  <c r="CA36" i="15"/>
  <c r="BA139" i="11"/>
  <c r="BA187" i="11"/>
  <c r="BA163" i="11"/>
  <c r="BA206" i="11"/>
  <c r="BA99" i="11"/>
  <c r="BA11" i="11"/>
  <c r="BA126" i="11"/>
  <c r="BA123" i="11"/>
  <c r="BA91" i="11"/>
  <c r="BA59" i="11"/>
  <c r="Q3" i="8"/>
  <c r="BK3" i="15" s="1"/>
  <c r="CA3" i="15" s="1"/>
  <c r="BA224" i="10"/>
  <c r="BA208" i="10"/>
  <c r="BA16" i="10"/>
  <c r="BA24" i="10"/>
  <c r="BA32" i="10"/>
  <c r="BA48" i="10"/>
  <c r="BA64" i="10"/>
  <c r="BA80" i="10"/>
  <c r="BA96" i="10"/>
  <c r="BA168" i="10"/>
  <c r="BA32" i="11"/>
  <c r="BA88" i="11"/>
  <c r="BA104" i="11"/>
  <c r="BA208" i="11"/>
  <c r="BA224" i="11"/>
  <c r="BA48" i="11"/>
  <c r="BA152" i="11"/>
  <c r="BA168" i="11"/>
  <c r="BA24" i="11"/>
  <c r="BA80" i="11"/>
  <c r="BA96" i="11"/>
  <c r="BA216" i="11"/>
  <c r="BA16" i="11"/>
  <c r="BA144" i="11"/>
  <c r="BA3" i="11"/>
  <c r="BA30" i="6"/>
  <c r="BA62" i="6"/>
  <c r="BA94" i="6"/>
  <c r="BA126" i="6"/>
  <c r="BA158" i="6"/>
  <c r="BA190" i="6"/>
  <c r="BA222" i="6"/>
  <c r="BA22" i="6"/>
  <c r="BA54" i="6"/>
  <c r="BA86" i="6"/>
  <c r="BA118" i="6"/>
  <c r="BA150" i="6"/>
  <c r="BA182" i="6"/>
  <c r="BA214" i="6"/>
  <c r="BA14" i="6"/>
  <c r="BA46" i="6"/>
  <c r="BA78" i="6"/>
  <c r="BA110" i="6"/>
  <c r="BA142" i="6"/>
  <c r="BA174" i="6"/>
  <c r="BA206" i="6"/>
  <c r="BA6" i="6"/>
  <c r="BA38" i="6"/>
  <c r="BA70" i="6"/>
  <c r="BA102" i="6"/>
  <c r="BA134" i="6"/>
  <c r="BA166" i="6"/>
  <c r="BA198" i="6"/>
  <c r="BA230" i="6"/>
  <c r="BA46" i="4"/>
  <c r="BA118" i="4"/>
  <c r="BA126" i="4"/>
  <c r="Q5" i="4"/>
  <c r="Q29" i="4"/>
  <c r="Q48" i="4"/>
  <c r="Q53" i="4"/>
  <c r="Q72" i="4"/>
  <c r="Q25" i="4"/>
  <c r="Q57" i="4"/>
  <c r="Q73" i="4"/>
  <c r="Q81" i="4"/>
  <c r="Q105" i="4"/>
  <c r="Q113" i="4"/>
  <c r="Q129" i="4"/>
  <c r="Q137" i="4"/>
  <c r="Q145" i="4"/>
  <c r="Q153" i="4"/>
  <c r="Q161" i="4"/>
  <c r="Q169" i="4"/>
  <c r="Q177" i="4"/>
  <c r="Q16" i="4"/>
  <c r="Q24" i="4"/>
  <c r="Q37" i="4"/>
  <c r="Q56" i="4"/>
  <c r="Q69" i="4"/>
  <c r="Q77" i="4"/>
  <c r="Q85" i="4"/>
  <c r="Q6" i="4"/>
  <c r="Q14" i="4"/>
  <c r="Q22" i="4"/>
  <c r="Q38" i="4"/>
  <c r="Q46" i="4"/>
  <c r="Q8" i="4"/>
  <c r="Q13" i="4"/>
  <c r="Q21" i="4"/>
  <c r="Q32" i="4"/>
  <c r="Q40" i="4"/>
  <c r="Q61" i="4"/>
  <c r="Q64" i="4"/>
  <c r="Q80" i="4"/>
  <c r="Q88" i="4"/>
  <c r="Q45" i="4"/>
  <c r="Q12" i="4"/>
  <c r="Q20" i="4"/>
  <c r="Q28" i="4"/>
  <c r="Q36" i="4"/>
  <c r="Q60" i="4"/>
  <c r="Q68" i="4"/>
  <c r="Q84" i="4"/>
  <c r="Q92" i="4"/>
  <c r="Q100" i="4"/>
  <c r="Q108" i="4"/>
  <c r="Q116" i="4"/>
  <c r="Q124" i="4"/>
  <c r="Q132" i="4"/>
  <c r="Q140" i="4"/>
  <c r="Q156" i="4"/>
  <c r="Q164" i="4"/>
  <c r="Q180" i="4"/>
  <c r="Q185" i="4"/>
  <c r="Q188" i="4"/>
  <c r="Q196" i="4"/>
  <c r="Q201" i="4"/>
  <c r="Q209" i="4"/>
  <c r="Q9" i="4"/>
  <c r="Q17" i="4"/>
  <c r="Q49" i="4"/>
  <c r="AI3" i="4"/>
  <c r="Z3" i="15" s="1"/>
  <c r="CD3" i="15" s="1"/>
  <c r="Q228" i="4"/>
  <c r="Q222" i="4"/>
  <c r="Q220" i="4"/>
  <c r="Q217" i="4"/>
  <c r="Q214" i="4"/>
  <c r="Q212" i="4"/>
  <c r="Q207" i="4"/>
  <c r="Q204" i="4"/>
  <c r="Q199" i="4"/>
  <c r="Q198" i="4"/>
  <c r="Q229" i="4"/>
  <c r="Q227" i="4"/>
  <c r="Q224" i="4"/>
  <c r="Q221" i="4"/>
  <c r="Q218" i="4"/>
  <c r="Q216" i="4"/>
  <c r="Q211" i="4"/>
  <c r="Q210" i="4"/>
  <c r="Q208" i="4"/>
  <c r="Q205" i="4"/>
  <c r="Q203" i="4"/>
  <c r="Q202" i="4"/>
  <c r="Q197" i="4"/>
  <c r="Q230" i="4"/>
  <c r="Q223" i="4"/>
  <c r="Q215" i="4"/>
  <c r="Q226" i="4"/>
  <c r="AU3" i="4"/>
  <c r="BA3" i="4"/>
  <c r="AC3" i="4"/>
  <c r="W3" i="4"/>
  <c r="Q3" i="4"/>
  <c r="G227" i="15"/>
  <c r="CA227" i="15" s="1"/>
  <c r="G219" i="15"/>
  <c r="CA219" i="15" s="1"/>
  <c r="G211" i="15"/>
  <c r="CA211" i="15" s="1"/>
  <c r="G203" i="15"/>
  <c r="G195" i="15"/>
  <c r="CA195" i="15" s="1"/>
  <c r="G187" i="15"/>
  <c r="CA187" i="15" s="1"/>
  <c r="G179" i="15"/>
  <c r="CA179" i="15" s="1"/>
  <c r="G171" i="15"/>
  <c r="CA171" i="15" s="1"/>
  <c r="G155" i="15"/>
  <c r="CA155" i="15" s="1"/>
  <c r="G147" i="15"/>
  <c r="CA147" i="15" s="1"/>
  <c r="G139" i="15"/>
  <c r="CA139" i="15" s="1"/>
  <c r="G131" i="15"/>
  <c r="CA131" i="15" s="1"/>
  <c r="G123" i="15"/>
  <c r="CA123" i="15" s="1"/>
  <c r="G115" i="15"/>
  <c r="CA115" i="15" s="1"/>
  <c r="G107" i="15"/>
  <c r="CA107" i="15" s="1"/>
  <c r="G91" i="15"/>
  <c r="G83" i="15"/>
  <c r="CA83" i="15" s="1"/>
  <c r="G75" i="15"/>
  <c r="CA75" i="15" s="1"/>
  <c r="G67" i="15"/>
  <c r="CA67" i="15" s="1"/>
  <c r="G59" i="15"/>
  <c r="CA59" i="15" s="1"/>
  <c r="G51" i="15"/>
  <c r="CA51" i="15" s="1"/>
  <c r="G43" i="15"/>
  <c r="CA43" i="15" s="1"/>
  <c r="G27" i="15"/>
  <c r="CA27" i="15" s="1"/>
  <c r="G19" i="15"/>
  <c r="G11" i="15"/>
  <c r="BB4" i="13"/>
  <c r="AP4" i="13"/>
  <c r="R4" i="13"/>
  <c r="L4" i="13"/>
  <c r="AF199" i="13"/>
  <c r="AI199" i="13"/>
  <c r="P9" i="13"/>
  <c r="BA220" i="13"/>
  <c r="BA228" i="13"/>
  <c r="BA229" i="13"/>
  <c r="BA177" i="13"/>
  <c r="P4" i="13"/>
  <c r="P5" i="13"/>
  <c r="P6" i="13"/>
  <c r="P7" i="13"/>
  <c r="P8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BA231" i="13"/>
  <c r="BA230" i="13"/>
  <c r="BA227" i="13"/>
  <c r="BA226" i="13"/>
  <c r="BA225" i="13"/>
  <c r="BA224" i="13"/>
  <c r="BA223" i="13"/>
  <c r="BA222" i="13"/>
  <c r="BA221" i="13"/>
  <c r="BA219" i="13"/>
  <c r="BA218" i="13"/>
  <c r="BA217" i="13"/>
  <c r="BA216" i="13"/>
  <c r="BA215" i="13"/>
  <c r="BA214" i="13"/>
  <c r="BA213" i="13"/>
  <c r="BA212" i="13"/>
  <c r="BA211" i="13"/>
  <c r="BA210" i="13"/>
  <c r="BA209" i="13"/>
  <c r="BA208" i="13"/>
  <c r="BA207" i="13"/>
  <c r="BA206" i="13"/>
  <c r="BA205" i="13"/>
  <c r="BA204" i="13"/>
  <c r="BA203" i="13"/>
  <c r="BA202" i="13"/>
  <c r="BA201" i="13"/>
  <c r="BA200" i="13"/>
  <c r="BA199" i="13"/>
  <c r="BA198" i="13"/>
  <c r="BA197" i="13"/>
  <c r="BA196" i="13"/>
  <c r="BA195" i="13"/>
  <c r="BA194" i="13"/>
  <c r="BA193" i="13"/>
  <c r="BA192" i="13"/>
  <c r="BA191" i="13"/>
  <c r="BA190" i="13"/>
  <c r="BA189" i="13"/>
  <c r="BA188" i="13"/>
  <c r="BA187" i="13"/>
  <c r="BA186" i="13"/>
  <c r="BA185" i="13"/>
  <c r="BA184" i="13"/>
  <c r="BA183" i="13"/>
  <c r="BA182" i="13"/>
  <c r="BA181" i="13"/>
  <c r="BA180" i="13"/>
  <c r="BA179" i="13"/>
  <c r="BA178" i="13"/>
  <c r="BA176" i="13"/>
  <c r="BA175" i="13"/>
  <c r="BA174" i="13"/>
  <c r="BA173" i="13"/>
  <c r="BA172" i="13"/>
  <c r="BA171" i="13"/>
  <c r="BA170" i="13"/>
  <c r="BA169" i="13"/>
  <c r="BA168" i="13"/>
  <c r="BA167" i="13"/>
  <c r="BA166" i="13"/>
  <c r="BA165" i="13"/>
  <c r="BA164" i="13"/>
  <c r="BA163" i="13"/>
  <c r="BA162" i="13"/>
  <c r="BA161" i="13"/>
  <c r="BA160" i="13"/>
  <c r="BA159" i="13"/>
  <c r="BA158" i="13"/>
  <c r="BA157" i="13"/>
  <c r="BA156" i="13"/>
  <c r="BA155" i="13"/>
  <c r="BA154" i="13"/>
  <c r="BA153" i="13"/>
  <c r="BA152" i="13"/>
  <c r="BA151" i="13"/>
  <c r="BA150" i="13"/>
  <c r="BA149" i="13"/>
  <c r="BA148" i="13"/>
  <c r="BA147" i="13"/>
  <c r="BA146" i="13"/>
  <c r="BA145" i="13"/>
  <c r="BA144" i="13"/>
  <c r="BA143" i="13"/>
  <c r="BA142" i="13"/>
  <c r="BA141" i="13"/>
  <c r="BA140" i="13"/>
  <c r="BA139" i="13"/>
  <c r="BA138" i="13"/>
  <c r="BA137" i="13"/>
  <c r="BA136" i="13"/>
  <c r="BA135" i="13"/>
  <c r="BA134" i="13"/>
  <c r="BA133" i="13"/>
  <c r="BA132" i="13"/>
  <c r="BA131" i="13"/>
  <c r="BA130" i="13"/>
  <c r="BA129" i="13"/>
  <c r="BA128" i="13"/>
  <c r="BA127" i="13"/>
  <c r="BA126" i="13"/>
  <c r="BA125" i="13"/>
  <c r="BA124" i="13"/>
  <c r="BA123" i="13"/>
  <c r="BA122" i="13"/>
  <c r="BA121" i="13"/>
  <c r="BA120" i="13"/>
  <c r="BA119" i="13"/>
  <c r="BA118" i="13"/>
  <c r="BA117" i="13"/>
  <c r="BA116" i="13"/>
  <c r="BA115" i="13"/>
  <c r="BA114" i="13"/>
  <c r="BA113" i="13"/>
  <c r="BA112" i="13"/>
  <c r="BA111" i="13"/>
  <c r="BA110" i="13"/>
  <c r="BA109" i="13"/>
  <c r="BA108" i="13"/>
  <c r="BA107" i="13"/>
  <c r="BA106" i="13"/>
  <c r="BA105" i="13"/>
  <c r="BA104" i="13"/>
  <c r="BA103" i="13"/>
  <c r="BA102" i="13"/>
  <c r="BA101" i="13"/>
  <c r="BA100" i="13"/>
  <c r="BA99" i="13"/>
  <c r="BA98" i="13"/>
  <c r="BA97" i="13"/>
  <c r="BA96" i="13"/>
  <c r="BA95" i="13"/>
  <c r="BA94" i="13"/>
  <c r="BA93" i="13"/>
  <c r="BA92" i="13"/>
  <c r="BA91" i="13"/>
  <c r="BA90" i="13"/>
  <c r="BA89" i="13"/>
  <c r="BA88" i="13"/>
  <c r="BA87" i="13"/>
  <c r="BA86" i="13"/>
  <c r="BA85" i="13"/>
  <c r="BA84" i="13"/>
  <c r="BA83" i="13"/>
  <c r="BA82" i="13"/>
  <c r="BA81" i="13"/>
  <c r="BA80" i="13"/>
  <c r="BA79" i="13"/>
  <c r="BA78" i="13"/>
  <c r="BA77" i="13"/>
  <c r="BA76" i="13"/>
  <c r="BA75" i="13"/>
  <c r="BA74" i="13"/>
  <c r="BA73" i="13"/>
  <c r="BA72" i="13"/>
  <c r="BA71" i="13"/>
  <c r="BA70" i="13"/>
  <c r="BA69" i="13"/>
  <c r="BA68" i="13"/>
  <c r="BA67" i="13"/>
  <c r="BA66" i="13"/>
  <c r="BA65" i="13"/>
  <c r="BA64" i="13"/>
  <c r="BA63" i="13"/>
  <c r="BA62" i="13"/>
  <c r="BA61" i="13"/>
  <c r="BA60" i="13"/>
  <c r="BA59" i="13"/>
  <c r="BA58" i="13"/>
  <c r="BA57" i="13"/>
  <c r="BA56" i="13"/>
  <c r="BA55" i="13"/>
  <c r="BA54" i="13"/>
  <c r="BA53" i="13"/>
  <c r="BA52" i="13"/>
  <c r="BA51" i="13"/>
  <c r="BA50" i="13"/>
  <c r="BA49" i="13"/>
  <c r="BA48" i="13"/>
  <c r="BA47" i="13"/>
  <c r="BA46" i="13"/>
  <c r="BA45" i="13"/>
  <c r="BA44" i="13"/>
  <c r="BA43" i="13"/>
  <c r="BA42" i="13"/>
  <c r="BA41" i="13"/>
  <c r="BA40" i="13"/>
  <c r="BA39" i="13"/>
  <c r="BA38" i="13"/>
  <c r="BA37" i="13"/>
  <c r="BA36" i="13"/>
  <c r="BA35" i="13"/>
  <c r="BA34" i="13"/>
  <c r="BA33" i="13"/>
  <c r="BA32" i="13"/>
  <c r="BA31" i="13"/>
  <c r="BA30" i="13"/>
  <c r="BA29" i="13"/>
  <c r="BA28" i="13"/>
  <c r="BA27" i="13"/>
  <c r="BA26" i="13"/>
  <c r="BA25" i="13"/>
  <c r="BA24" i="13"/>
  <c r="BA23" i="13"/>
  <c r="BA22" i="13"/>
  <c r="BA21" i="13"/>
  <c r="BA20" i="13"/>
  <c r="BA19" i="13"/>
  <c r="BA18" i="13"/>
  <c r="BA17" i="13"/>
  <c r="BA16" i="13"/>
  <c r="BA15" i="13"/>
  <c r="BA14" i="13"/>
  <c r="BA13" i="13"/>
  <c r="BA12" i="13"/>
  <c r="BA11" i="13"/>
  <c r="BA9" i="13"/>
  <c r="BA8" i="13"/>
  <c r="BA7" i="13"/>
  <c r="BA6" i="13"/>
  <c r="BA5" i="13"/>
  <c r="BA4" i="13"/>
  <c r="AZ231" i="13"/>
  <c r="AZ230" i="13"/>
  <c r="AZ229" i="13"/>
  <c r="AZ227" i="13"/>
  <c r="AZ226" i="13"/>
  <c r="AZ224" i="13"/>
  <c r="AZ223" i="13"/>
  <c r="AZ222" i="13"/>
  <c r="AZ221" i="13"/>
  <c r="AZ220" i="13"/>
  <c r="AZ219" i="13"/>
  <c r="AZ218" i="13"/>
  <c r="AZ217" i="13"/>
  <c r="AZ216" i="13"/>
  <c r="AZ215" i="13"/>
  <c r="AZ214" i="13"/>
  <c r="AZ213" i="13"/>
  <c r="AZ212" i="13"/>
  <c r="AZ211" i="13"/>
  <c r="AZ210" i="13"/>
  <c r="AZ209" i="13"/>
  <c r="AZ208" i="13"/>
  <c r="AZ207" i="13"/>
  <c r="AZ206" i="13"/>
  <c r="AZ205" i="13"/>
  <c r="AZ204" i="13"/>
  <c r="AZ203" i="13"/>
  <c r="AZ202" i="13"/>
  <c r="AZ201" i="13"/>
  <c r="AZ200" i="13"/>
  <c r="AZ199" i="13"/>
  <c r="AZ198" i="13"/>
  <c r="AZ197" i="13"/>
  <c r="AZ196" i="13"/>
  <c r="AZ195" i="13"/>
  <c r="AZ194" i="13"/>
  <c r="AZ193" i="13"/>
  <c r="AZ192" i="13"/>
  <c r="AZ191" i="13"/>
  <c r="AZ190" i="13"/>
  <c r="AZ189" i="13"/>
  <c r="AZ188" i="13"/>
  <c r="AZ187" i="13"/>
  <c r="AZ186" i="13"/>
  <c r="AZ185" i="13"/>
  <c r="AZ184" i="13"/>
  <c r="AZ183" i="13"/>
  <c r="AZ182" i="13"/>
  <c r="AZ181" i="13"/>
  <c r="AZ180" i="13"/>
  <c r="AZ179" i="13"/>
  <c r="AZ178" i="13"/>
  <c r="AZ177" i="13"/>
  <c r="AZ176" i="13"/>
  <c r="AZ175" i="13"/>
  <c r="AZ174" i="13"/>
  <c r="AZ173" i="13"/>
  <c r="AZ172" i="13"/>
  <c r="AZ171" i="13"/>
  <c r="AZ170" i="13"/>
  <c r="AZ169" i="13"/>
  <c r="AZ168" i="13"/>
  <c r="AZ167" i="13"/>
  <c r="AZ166" i="13"/>
  <c r="AZ165" i="13"/>
  <c r="AZ164" i="13"/>
  <c r="AZ163" i="13"/>
  <c r="AZ162" i="13"/>
  <c r="AZ161" i="13"/>
  <c r="AZ160" i="13"/>
  <c r="AZ159" i="13"/>
  <c r="AZ158" i="13"/>
  <c r="AZ157" i="13"/>
  <c r="AZ156" i="13"/>
  <c r="AZ155" i="13"/>
  <c r="AZ154" i="13"/>
  <c r="AZ153" i="13"/>
  <c r="AZ152" i="13"/>
  <c r="AZ151" i="13"/>
  <c r="AZ150" i="13"/>
  <c r="AZ149" i="13"/>
  <c r="AZ148" i="13"/>
  <c r="AZ147" i="13"/>
  <c r="AZ146" i="13"/>
  <c r="AZ145" i="13"/>
  <c r="AZ143" i="13"/>
  <c r="AZ142" i="13"/>
  <c r="AZ141" i="13"/>
  <c r="AZ140" i="13"/>
  <c r="AZ139" i="13"/>
  <c r="AZ138" i="13"/>
  <c r="AZ137" i="13"/>
  <c r="AZ136" i="13"/>
  <c r="AZ135" i="13"/>
  <c r="AZ134" i="13"/>
  <c r="AZ133" i="13"/>
  <c r="AZ132" i="13"/>
  <c r="AZ131" i="13"/>
  <c r="AZ130" i="13"/>
  <c r="AZ129" i="13"/>
  <c r="AZ128" i="13"/>
  <c r="AZ127" i="13"/>
  <c r="AZ126" i="13"/>
  <c r="AZ125" i="13"/>
  <c r="AZ124" i="13"/>
  <c r="AZ123" i="13"/>
  <c r="AZ122" i="13"/>
  <c r="AZ121" i="13"/>
  <c r="AZ120" i="13"/>
  <c r="AZ119" i="13"/>
  <c r="AZ118" i="13"/>
  <c r="AZ117" i="13"/>
  <c r="AZ116" i="13"/>
  <c r="AZ115" i="13"/>
  <c r="AZ114" i="13"/>
  <c r="AZ113" i="13"/>
  <c r="AZ112" i="13"/>
  <c r="AZ111" i="13"/>
  <c r="AZ110" i="13"/>
  <c r="AZ109" i="13"/>
  <c r="AZ108" i="13"/>
  <c r="AZ107" i="13"/>
  <c r="AZ106" i="13"/>
  <c r="AZ105" i="13"/>
  <c r="AZ104" i="13"/>
  <c r="AZ103" i="13"/>
  <c r="AZ102" i="13"/>
  <c r="AZ101" i="13"/>
  <c r="AZ100" i="13"/>
  <c r="AZ99" i="13"/>
  <c r="AZ98" i="13"/>
  <c r="AZ97" i="13"/>
  <c r="AZ96" i="13"/>
  <c r="AZ95" i="13"/>
  <c r="AZ94" i="13"/>
  <c r="AZ93" i="13"/>
  <c r="AZ91" i="13"/>
  <c r="AZ90" i="13"/>
  <c r="AZ89" i="13"/>
  <c r="AZ88" i="13"/>
  <c r="AZ87" i="13"/>
  <c r="AZ86" i="13"/>
  <c r="AZ85" i="13"/>
  <c r="AZ84" i="13"/>
  <c r="AZ83" i="13"/>
  <c r="AZ82" i="13"/>
  <c r="AZ81" i="13"/>
  <c r="AZ80" i="13"/>
  <c r="AZ79" i="13"/>
  <c r="AZ78" i="13"/>
  <c r="AZ77" i="13"/>
  <c r="AZ76" i="13"/>
  <c r="AZ75" i="13"/>
  <c r="AZ74" i="13"/>
  <c r="AZ73" i="13"/>
  <c r="AZ72" i="13"/>
  <c r="AZ71" i="13"/>
  <c r="AZ70" i="13"/>
  <c r="AZ69" i="13"/>
  <c r="AZ68" i="13"/>
  <c r="AZ67" i="13"/>
  <c r="AZ66" i="13"/>
  <c r="AZ65" i="13"/>
  <c r="AZ64" i="13"/>
  <c r="AZ63" i="13"/>
  <c r="AZ62" i="13"/>
  <c r="AZ61" i="13"/>
  <c r="AZ60" i="13"/>
  <c r="AZ59" i="13"/>
  <c r="AZ58" i="13"/>
  <c r="AZ57" i="13"/>
  <c r="AZ56" i="13"/>
  <c r="AZ55" i="13"/>
  <c r="AZ54" i="13"/>
  <c r="AZ53" i="13"/>
  <c r="AZ52" i="13"/>
  <c r="AZ51" i="13"/>
  <c r="AZ50" i="13"/>
  <c r="AZ49" i="13"/>
  <c r="AZ48" i="13"/>
  <c r="AZ47" i="13"/>
  <c r="AZ46" i="13"/>
  <c r="AZ45" i="13"/>
  <c r="AZ44" i="13"/>
  <c r="AZ43" i="13"/>
  <c r="AZ42" i="13"/>
  <c r="AZ41" i="13"/>
  <c r="AZ40" i="13"/>
  <c r="AZ39" i="13"/>
  <c r="AZ38" i="13"/>
  <c r="AZ37" i="13"/>
  <c r="AZ36" i="13"/>
  <c r="AZ35" i="13"/>
  <c r="AZ34" i="13"/>
  <c r="AZ33" i="13"/>
  <c r="AZ32" i="13"/>
  <c r="AZ31" i="13"/>
  <c r="AZ30" i="13"/>
  <c r="AZ29" i="13"/>
  <c r="AZ28" i="13"/>
  <c r="AZ27" i="13"/>
  <c r="AZ26" i="13"/>
  <c r="AZ25" i="13"/>
  <c r="AZ24" i="13"/>
  <c r="AZ23" i="13"/>
  <c r="AZ22" i="13"/>
  <c r="AZ21" i="13"/>
  <c r="AZ20" i="13"/>
  <c r="AZ19" i="13"/>
  <c r="AZ18" i="13"/>
  <c r="AZ17" i="13"/>
  <c r="AZ16" i="13"/>
  <c r="AZ14" i="13"/>
  <c r="AZ13" i="13"/>
  <c r="AZ12" i="13"/>
  <c r="AZ11" i="13"/>
  <c r="AZ10" i="13"/>
  <c r="AZ9" i="13"/>
  <c r="AZ8" i="13"/>
  <c r="AZ7" i="13"/>
  <c r="AZ6" i="13"/>
  <c r="AZ5" i="13"/>
  <c r="AZ4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T4" i="13"/>
  <c r="U4" i="13"/>
  <c r="V4" i="13"/>
  <c r="W4" i="13"/>
  <c r="T5" i="13"/>
  <c r="U5" i="13"/>
  <c r="V5" i="13"/>
  <c r="W5" i="13"/>
  <c r="T6" i="13"/>
  <c r="U6" i="13"/>
  <c r="V6" i="13"/>
  <c r="W6" i="13"/>
  <c r="T7" i="13"/>
  <c r="U7" i="13"/>
  <c r="V7" i="13"/>
  <c r="W7" i="13"/>
  <c r="T8" i="13"/>
  <c r="U8" i="13"/>
  <c r="V8" i="13"/>
  <c r="W8" i="13"/>
  <c r="T9" i="13"/>
  <c r="U9" i="13"/>
  <c r="V9" i="13"/>
  <c r="W9" i="13"/>
  <c r="T10" i="13"/>
  <c r="U10" i="13"/>
  <c r="V10" i="13"/>
  <c r="W10" i="13"/>
  <c r="T11" i="13"/>
  <c r="U11" i="13"/>
  <c r="V11" i="13"/>
  <c r="W11" i="13"/>
  <c r="T12" i="13"/>
  <c r="U12" i="13"/>
  <c r="V12" i="13"/>
  <c r="W12" i="13"/>
  <c r="T13" i="13"/>
  <c r="U13" i="13"/>
  <c r="V13" i="13"/>
  <c r="W13" i="13"/>
  <c r="T14" i="13"/>
  <c r="U14" i="13"/>
  <c r="V14" i="13"/>
  <c r="W14" i="13"/>
  <c r="T15" i="13"/>
  <c r="U15" i="13"/>
  <c r="V15" i="13"/>
  <c r="W15" i="13"/>
  <c r="T16" i="13"/>
  <c r="U16" i="13"/>
  <c r="V16" i="13"/>
  <c r="W16" i="13"/>
  <c r="T17" i="13"/>
  <c r="U17" i="13"/>
  <c r="V17" i="13"/>
  <c r="W17" i="13"/>
  <c r="T18" i="13"/>
  <c r="U18" i="13"/>
  <c r="V18" i="13"/>
  <c r="W18" i="13"/>
  <c r="T19" i="13"/>
  <c r="U19" i="13"/>
  <c r="V19" i="13"/>
  <c r="W19" i="13"/>
  <c r="T20" i="13"/>
  <c r="U20" i="13"/>
  <c r="V20" i="13"/>
  <c r="W20" i="13"/>
  <c r="T21" i="13"/>
  <c r="U21" i="13"/>
  <c r="V21" i="13"/>
  <c r="W21" i="13"/>
  <c r="T22" i="13"/>
  <c r="U22" i="13"/>
  <c r="V22" i="13"/>
  <c r="W22" i="13"/>
  <c r="T23" i="13"/>
  <c r="U23" i="13"/>
  <c r="V23" i="13"/>
  <c r="W23" i="13"/>
  <c r="T24" i="13"/>
  <c r="U24" i="13"/>
  <c r="V24" i="13"/>
  <c r="W24" i="13"/>
  <c r="T25" i="13"/>
  <c r="U25" i="13"/>
  <c r="V25" i="13"/>
  <c r="W25" i="13"/>
  <c r="T26" i="13"/>
  <c r="U26" i="13"/>
  <c r="V26" i="13"/>
  <c r="W26" i="13"/>
  <c r="T27" i="13"/>
  <c r="U27" i="13"/>
  <c r="V27" i="13"/>
  <c r="W27" i="13"/>
  <c r="T28" i="13"/>
  <c r="U28" i="13"/>
  <c r="V28" i="13"/>
  <c r="W28" i="13"/>
  <c r="T29" i="13"/>
  <c r="U29" i="13"/>
  <c r="V29" i="13"/>
  <c r="W29" i="13"/>
  <c r="T30" i="13"/>
  <c r="U30" i="13"/>
  <c r="V30" i="13"/>
  <c r="W30" i="13"/>
  <c r="T31" i="13"/>
  <c r="U31" i="13"/>
  <c r="V31" i="13"/>
  <c r="W31" i="13"/>
  <c r="T32" i="13"/>
  <c r="U32" i="13"/>
  <c r="V32" i="13"/>
  <c r="W32" i="13"/>
  <c r="T33" i="13"/>
  <c r="U33" i="13"/>
  <c r="V33" i="13"/>
  <c r="W33" i="13"/>
  <c r="T34" i="13"/>
  <c r="U34" i="13"/>
  <c r="V34" i="13"/>
  <c r="W34" i="13"/>
  <c r="T35" i="13"/>
  <c r="U35" i="13"/>
  <c r="V35" i="13"/>
  <c r="W35" i="13"/>
  <c r="T36" i="13"/>
  <c r="U36" i="13"/>
  <c r="V36" i="13"/>
  <c r="W36" i="13"/>
  <c r="T37" i="13"/>
  <c r="U37" i="13"/>
  <c r="V37" i="13"/>
  <c r="W37" i="13"/>
  <c r="T38" i="13"/>
  <c r="U38" i="13"/>
  <c r="V38" i="13"/>
  <c r="W38" i="13"/>
  <c r="T39" i="13"/>
  <c r="U39" i="13"/>
  <c r="V39" i="13"/>
  <c r="W39" i="13"/>
  <c r="T40" i="13"/>
  <c r="U40" i="13"/>
  <c r="V40" i="13"/>
  <c r="W40" i="13"/>
  <c r="T41" i="13"/>
  <c r="U41" i="13"/>
  <c r="V41" i="13"/>
  <c r="W41" i="13"/>
  <c r="T42" i="13"/>
  <c r="U42" i="13"/>
  <c r="V42" i="13"/>
  <c r="W42" i="13"/>
  <c r="T43" i="13"/>
  <c r="U43" i="13"/>
  <c r="V43" i="13"/>
  <c r="W43" i="13"/>
  <c r="T44" i="13"/>
  <c r="U44" i="13"/>
  <c r="V44" i="13"/>
  <c r="W44" i="13"/>
  <c r="T45" i="13"/>
  <c r="U45" i="13"/>
  <c r="V45" i="13"/>
  <c r="W45" i="13"/>
  <c r="T46" i="13"/>
  <c r="U46" i="13"/>
  <c r="V46" i="13"/>
  <c r="W46" i="13"/>
  <c r="T47" i="13"/>
  <c r="U47" i="13"/>
  <c r="V47" i="13"/>
  <c r="W47" i="13"/>
  <c r="T48" i="13"/>
  <c r="U48" i="13"/>
  <c r="V48" i="13"/>
  <c r="W48" i="13"/>
  <c r="T49" i="13"/>
  <c r="U49" i="13"/>
  <c r="V49" i="13"/>
  <c r="W49" i="13"/>
  <c r="T50" i="13"/>
  <c r="U50" i="13"/>
  <c r="V50" i="13"/>
  <c r="W50" i="13"/>
  <c r="T51" i="13"/>
  <c r="U51" i="13"/>
  <c r="V51" i="13"/>
  <c r="W51" i="13"/>
  <c r="T52" i="13"/>
  <c r="U52" i="13"/>
  <c r="V52" i="13"/>
  <c r="W52" i="13"/>
  <c r="T53" i="13"/>
  <c r="U53" i="13"/>
  <c r="V53" i="13"/>
  <c r="W53" i="13"/>
  <c r="T54" i="13"/>
  <c r="U54" i="13"/>
  <c r="V54" i="13"/>
  <c r="W54" i="13"/>
  <c r="T55" i="13"/>
  <c r="U55" i="13"/>
  <c r="V55" i="13"/>
  <c r="W55" i="13"/>
  <c r="T56" i="13"/>
  <c r="U56" i="13"/>
  <c r="V56" i="13"/>
  <c r="W56" i="13"/>
  <c r="T57" i="13"/>
  <c r="U57" i="13"/>
  <c r="V57" i="13"/>
  <c r="W57" i="13"/>
  <c r="T58" i="13"/>
  <c r="U58" i="13"/>
  <c r="V58" i="13"/>
  <c r="W58" i="13"/>
  <c r="T59" i="13"/>
  <c r="U59" i="13"/>
  <c r="V59" i="13"/>
  <c r="W59" i="13"/>
  <c r="T60" i="13"/>
  <c r="U60" i="13"/>
  <c r="V60" i="13"/>
  <c r="W60" i="13"/>
  <c r="T61" i="13"/>
  <c r="U61" i="13"/>
  <c r="V61" i="13"/>
  <c r="W61" i="13"/>
  <c r="T62" i="13"/>
  <c r="U62" i="13"/>
  <c r="V62" i="13"/>
  <c r="W62" i="13"/>
  <c r="T63" i="13"/>
  <c r="U63" i="13"/>
  <c r="V63" i="13"/>
  <c r="W63" i="13"/>
  <c r="T64" i="13"/>
  <c r="U64" i="13"/>
  <c r="V64" i="13"/>
  <c r="W64" i="13"/>
  <c r="T65" i="13"/>
  <c r="U65" i="13"/>
  <c r="V65" i="13"/>
  <c r="W65" i="13"/>
  <c r="T66" i="13"/>
  <c r="U66" i="13"/>
  <c r="V66" i="13"/>
  <c r="W66" i="13"/>
  <c r="T67" i="13"/>
  <c r="U67" i="13"/>
  <c r="V67" i="13"/>
  <c r="W67" i="13"/>
  <c r="T68" i="13"/>
  <c r="U68" i="13"/>
  <c r="V68" i="13"/>
  <c r="W68" i="13"/>
  <c r="T69" i="13"/>
  <c r="U69" i="13"/>
  <c r="V69" i="13"/>
  <c r="W69" i="13"/>
  <c r="T70" i="13"/>
  <c r="U70" i="13"/>
  <c r="V70" i="13"/>
  <c r="W70" i="13"/>
  <c r="T71" i="13"/>
  <c r="U71" i="13"/>
  <c r="V71" i="13"/>
  <c r="W71" i="13"/>
  <c r="T72" i="13"/>
  <c r="U72" i="13"/>
  <c r="V72" i="13"/>
  <c r="W72" i="13"/>
  <c r="T73" i="13"/>
  <c r="U73" i="13"/>
  <c r="V73" i="13"/>
  <c r="W73" i="13"/>
  <c r="T74" i="13"/>
  <c r="U74" i="13"/>
  <c r="V74" i="13"/>
  <c r="W74" i="13"/>
  <c r="T75" i="13"/>
  <c r="U75" i="13"/>
  <c r="V75" i="13"/>
  <c r="W75" i="13"/>
  <c r="T76" i="13"/>
  <c r="U76" i="13"/>
  <c r="V76" i="13"/>
  <c r="W76" i="13"/>
  <c r="T77" i="13"/>
  <c r="U77" i="13"/>
  <c r="V77" i="13"/>
  <c r="W77" i="13"/>
  <c r="T78" i="13"/>
  <c r="U78" i="13"/>
  <c r="V78" i="13"/>
  <c r="W78" i="13"/>
  <c r="T79" i="13"/>
  <c r="U79" i="13"/>
  <c r="V79" i="13"/>
  <c r="W79" i="13"/>
  <c r="T80" i="13"/>
  <c r="U80" i="13"/>
  <c r="V80" i="13"/>
  <c r="W80" i="13"/>
  <c r="T81" i="13"/>
  <c r="U81" i="13"/>
  <c r="V81" i="13"/>
  <c r="W81" i="13"/>
  <c r="T82" i="13"/>
  <c r="U82" i="13"/>
  <c r="V82" i="13"/>
  <c r="W82" i="13"/>
  <c r="T83" i="13"/>
  <c r="U83" i="13"/>
  <c r="V83" i="13"/>
  <c r="W83" i="13"/>
  <c r="T84" i="13"/>
  <c r="U84" i="13"/>
  <c r="V84" i="13"/>
  <c r="W84" i="13"/>
  <c r="T85" i="13"/>
  <c r="U85" i="13"/>
  <c r="V85" i="13"/>
  <c r="W85" i="13"/>
  <c r="T86" i="13"/>
  <c r="U86" i="13"/>
  <c r="V86" i="13"/>
  <c r="W86" i="13"/>
  <c r="T87" i="13"/>
  <c r="U87" i="13"/>
  <c r="V87" i="13"/>
  <c r="W87" i="13"/>
  <c r="T88" i="13"/>
  <c r="U88" i="13"/>
  <c r="V88" i="13"/>
  <c r="W88" i="13"/>
  <c r="T89" i="13"/>
  <c r="U89" i="13"/>
  <c r="V89" i="13"/>
  <c r="W89" i="13"/>
  <c r="T90" i="13"/>
  <c r="U90" i="13"/>
  <c r="V90" i="13"/>
  <c r="W90" i="13"/>
  <c r="T91" i="13"/>
  <c r="U91" i="13"/>
  <c r="V91" i="13"/>
  <c r="W91" i="13"/>
  <c r="T92" i="13"/>
  <c r="U92" i="13"/>
  <c r="V92" i="13"/>
  <c r="W92" i="13"/>
  <c r="T93" i="13"/>
  <c r="U93" i="13"/>
  <c r="V93" i="13"/>
  <c r="W93" i="13"/>
  <c r="T94" i="13"/>
  <c r="U94" i="13"/>
  <c r="V94" i="13"/>
  <c r="W94" i="13"/>
  <c r="T95" i="13"/>
  <c r="U95" i="13"/>
  <c r="V95" i="13"/>
  <c r="W95" i="13"/>
  <c r="T96" i="13"/>
  <c r="U96" i="13"/>
  <c r="V96" i="13"/>
  <c r="W96" i="13"/>
  <c r="T97" i="13"/>
  <c r="U97" i="13"/>
  <c r="V97" i="13"/>
  <c r="W97" i="13"/>
  <c r="T98" i="13"/>
  <c r="U98" i="13"/>
  <c r="V98" i="13"/>
  <c r="W98" i="13"/>
  <c r="T99" i="13"/>
  <c r="U99" i="13"/>
  <c r="V99" i="13"/>
  <c r="W99" i="13"/>
  <c r="T100" i="13"/>
  <c r="U100" i="13"/>
  <c r="V100" i="13"/>
  <c r="W100" i="13"/>
  <c r="T101" i="13"/>
  <c r="U101" i="13"/>
  <c r="V101" i="13"/>
  <c r="W101" i="13"/>
  <c r="T102" i="13"/>
  <c r="U102" i="13"/>
  <c r="V102" i="13"/>
  <c r="W102" i="13"/>
  <c r="T103" i="13"/>
  <c r="U103" i="13"/>
  <c r="V103" i="13"/>
  <c r="W103" i="13"/>
  <c r="T104" i="13"/>
  <c r="U104" i="13"/>
  <c r="V104" i="13"/>
  <c r="W104" i="13"/>
  <c r="T105" i="13"/>
  <c r="U105" i="13"/>
  <c r="V105" i="13"/>
  <c r="W105" i="13"/>
  <c r="T106" i="13"/>
  <c r="U106" i="13"/>
  <c r="V106" i="13"/>
  <c r="W106" i="13"/>
  <c r="T107" i="13"/>
  <c r="U107" i="13"/>
  <c r="V107" i="13"/>
  <c r="W107" i="13"/>
  <c r="T108" i="13"/>
  <c r="U108" i="13"/>
  <c r="V108" i="13"/>
  <c r="W108" i="13"/>
  <c r="T109" i="13"/>
  <c r="U109" i="13"/>
  <c r="V109" i="13"/>
  <c r="W109" i="13"/>
  <c r="T110" i="13"/>
  <c r="U110" i="13"/>
  <c r="V110" i="13"/>
  <c r="W110" i="13"/>
  <c r="T111" i="13"/>
  <c r="U111" i="13"/>
  <c r="V111" i="13"/>
  <c r="W111" i="13"/>
  <c r="T112" i="13"/>
  <c r="U112" i="13"/>
  <c r="V112" i="13"/>
  <c r="W112" i="13"/>
  <c r="T113" i="13"/>
  <c r="U113" i="13"/>
  <c r="V113" i="13"/>
  <c r="W113" i="13"/>
  <c r="T114" i="13"/>
  <c r="U114" i="13"/>
  <c r="V114" i="13"/>
  <c r="W114" i="13"/>
  <c r="T115" i="13"/>
  <c r="U115" i="13"/>
  <c r="V115" i="13"/>
  <c r="W115" i="13"/>
  <c r="T116" i="13"/>
  <c r="U116" i="13"/>
  <c r="V116" i="13"/>
  <c r="W116" i="13"/>
  <c r="T117" i="13"/>
  <c r="U117" i="13"/>
  <c r="V117" i="13"/>
  <c r="W117" i="13"/>
  <c r="T118" i="13"/>
  <c r="U118" i="13"/>
  <c r="V118" i="13"/>
  <c r="W118" i="13"/>
  <c r="T119" i="13"/>
  <c r="U119" i="13"/>
  <c r="V119" i="13"/>
  <c r="W119" i="13"/>
  <c r="T120" i="13"/>
  <c r="U120" i="13"/>
  <c r="V120" i="13"/>
  <c r="W120" i="13"/>
  <c r="T121" i="13"/>
  <c r="U121" i="13"/>
  <c r="V121" i="13"/>
  <c r="W121" i="13"/>
  <c r="T122" i="13"/>
  <c r="U122" i="13"/>
  <c r="V122" i="13"/>
  <c r="W122" i="13"/>
  <c r="T123" i="13"/>
  <c r="U123" i="13"/>
  <c r="V123" i="13"/>
  <c r="W123" i="13"/>
  <c r="T124" i="13"/>
  <c r="U124" i="13"/>
  <c r="V124" i="13"/>
  <c r="W124" i="13"/>
  <c r="T125" i="13"/>
  <c r="U125" i="13"/>
  <c r="V125" i="13"/>
  <c r="W125" i="13"/>
  <c r="T126" i="13"/>
  <c r="U126" i="13"/>
  <c r="V126" i="13"/>
  <c r="W126" i="13"/>
  <c r="T127" i="13"/>
  <c r="U127" i="13"/>
  <c r="V127" i="13"/>
  <c r="W127" i="13"/>
  <c r="T128" i="13"/>
  <c r="U128" i="13"/>
  <c r="V128" i="13"/>
  <c r="W128" i="13"/>
  <c r="T129" i="13"/>
  <c r="U129" i="13"/>
  <c r="V129" i="13"/>
  <c r="W129" i="13"/>
  <c r="T130" i="13"/>
  <c r="U130" i="13"/>
  <c r="V130" i="13"/>
  <c r="W130" i="13"/>
  <c r="T131" i="13"/>
  <c r="U131" i="13"/>
  <c r="V131" i="13"/>
  <c r="W131" i="13"/>
  <c r="T132" i="13"/>
  <c r="U132" i="13"/>
  <c r="V132" i="13"/>
  <c r="W132" i="13"/>
  <c r="T133" i="13"/>
  <c r="U133" i="13"/>
  <c r="V133" i="13"/>
  <c r="W133" i="13"/>
  <c r="T134" i="13"/>
  <c r="U134" i="13"/>
  <c r="V134" i="13"/>
  <c r="W134" i="13"/>
  <c r="T135" i="13"/>
  <c r="U135" i="13"/>
  <c r="V135" i="13"/>
  <c r="W135" i="13"/>
  <c r="T136" i="13"/>
  <c r="U136" i="13"/>
  <c r="V136" i="13"/>
  <c r="W136" i="13"/>
  <c r="T137" i="13"/>
  <c r="U137" i="13"/>
  <c r="V137" i="13"/>
  <c r="W137" i="13"/>
  <c r="T138" i="13"/>
  <c r="U138" i="13"/>
  <c r="V138" i="13"/>
  <c r="W138" i="13"/>
  <c r="T139" i="13"/>
  <c r="U139" i="13"/>
  <c r="V139" i="13"/>
  <c r="W139" i="13"/>
  <c r="T140" i="13"/>
  <c r="U140" i="13"/>
  <c r="V140" i="13"/>
  <c r="W140" i="13"/>
  <c r="T141" i="13"/>
  <c r="U141" i="13"/>
  <c r="V141" i="13"/>
  <c r="W141" i="13"/>
  <c r="T142" i="13"/>
  <c r="U142" i="13"/>
  <c r="V142" i="13"/>
  <c r="W142" i="13"/>
  <c r="T143" i="13"/>
  <c r="U143" i="13"/>
  <c r="V143" i="13"/>
  <c r="W143" i="13"/>
  <c r="T144" i="13"/>
  <c r="U144" i="13"/>
  <c r="V144" i="13"/>
  <c r="W144" i="13"/>
  <c r="T145" i="13"/>
  <c r="U145" i="13"/>
  <c r="V145" i="13"/>
  <c r="W145" i="13"/>
  <c r="T146" i="13"/>
  <c r="U146" i="13"/>
  <c r="V146" i="13"/>
  <c r="W146" i="13"/>
  <c r="T147" i="13"/>
  <c r="U147" i="13"/>
  <c r="V147" i="13"/>
  <c r="W147" i="13"/>
  <c r="T148" i="13"/>
  <c r="U148" i="13"/>
  <c r="V148" i="13"/>
  <c r="W148" i="13"/>
  <c r="T149" i="13"/>
  <c r="U149" i="13"/>
  <c r="V149" i="13"/>
  <c r="W149" i="13"/>
  <c r="T150" i="13"/>
  <c r="U150" i="13"/>
  <c r="V150" i="13"/>
  <c r="W150" i="13"/>
  <c r="T151" i="13"/>
  <c r="U151" i="13"/>
  <c r="V151" i="13"/>
  <c r="W151" i="13"/>
  <c r="T152" i="13"/>
  <c r="U152" i="13"/>
  <c r="V152" i="13"/>
  <c r="W152" i="13"/>
  <c r="T153" i="13"/>
  <c r="U153" i="13"/>
  <c r="V153" i="13"/>
  <c r="W153" i="13"/>
  <c r="T154" i="13"/>
  <c r="U154" i="13"/>
  <c r="V154" i="13"/>
  <c r="W154" i="13"/>
  <c r="T155" i="13"/>
  <c r="U155" i="13"/>
  <c r="V155" i="13"/>
  <c r="W155" i="13"/>
  <c r="T156" i="13"/>
  <c r="U156" i="13"/>
  <c r="V156" i="13"/>
  <c r="W156" i="13"/>
  <c r="T157" i="13"/>
  <c r="U157" i="13"/>
  <c r="V157" i="13"/>
  <c r="W157" i="13"/>
  <c r="T158" i="13"/>
  <c r="U158" i="13"/>
  <c r="V158" i="13"/>
  <c r="W158" i="13"/>
  <c r="T159" i="13"/>
  <c r="U159" i="13"/>
  <c r="V159" i="13"/>
  <c r="W159" i="13"/>
  <c r="T160" i="13"/>
  <c r="U160" i="13"/>
  <c r="V160" i="13"/>
  <c r="W160" i="13"/>
  <c r="T161" i="13"/>
  <c r="U161" i="13"/>
  <c r="V161" i="13"/>
  <c r="W161" i="13"/>
  <c r="T162" i="13"/>
  <c r="U162" i="13"/>
  <c r="V162" i="13"/>
  <c r="W162" i="13"/>
  <c r="T163" i="13"/>
  <c r="U163" i="13"/>
  <c r="V163" i="13"/>
  <c r="W163" i="13"/>
  <c r="T164" i="13"/>
  <c r="U164" i="13"/>
  <c r="V164" i="13"/>
  <c r="W164" i="13"/>
  <c r="T165" i="13"/>
  <c r="U165" i="13"/>
  <c r="V165" i="13"/>
  <c r="W165" i="13"/>
  <c r="T166" i="13"/>
  <c r="U166" i="13"/>
  <c r="V166" i="13"/>
  <c r="W166" i="13"/>
  <c r="T167" i="13"/>
  <c r="U167" i="13"/>
  <c r="V167" i="13"/>
  <c r="W167" i="13"/>
  <c r="T168" i="13"/>
  <c r="U168" i="13"/>
  <c r="V168" i="13"/>
  <c r="W168" i="13"/>
  <c r="T169" i="13"/>
  <c r="U169" i="13"/>
  <c r="V169" i="13"/>
  <c r="W169" i="13"/>
  <c r="T170" i="13"/>
  <c r="U170" i="13"/>
  <c r="V170" i="13"/>
  <c r="W170" i="13"/>
  <c r="T171" i="13"/>
  <c r="U171" i="13"/>
  <c r="V171" i="13"/>
  <c r="W171" i="13"/>
  <c r="T172" i="13"/>
  <c r="U172" i="13"/>
  <c r="V172" i="13"/>
  <c r="W172" i="13"/>
  <c r="T173" i="13"/>
  <c r="U173" i="13"/>
  <c r="V173" i="13"/>
  <c r="W173" i="13"/>
  <c r="T174" i="13"/>
  <c r="U174" i="13"/>
  <c r="V174" i="13"/>
  <c r="W174" i="13"/>
  <c r="T175" i="13"/>
  <c r="U175" i="13"/>
  <c r="V175" i="13"/>
  <c r="W175" i="13"/>
  <c r="T176" i="13"/>
  <c r="U176" i="13"/>
  <c r="V176" i="13"/>
  <c r="W176" i="13"/>
  <c r="T177" i="13"/>
  <c r="U177" i="13"/>
  <c r="V177" i="13"/>
  <c r="W177" i="13"/>
  <c r="T178" i="13"/>
  <c r="U178" i="13"/>
  <c r="V178" i="13"/>
  <c r="W178" i="13"/>
  <c r="T179" i="13"/>
  <c r="U179" i="13"/>
  <c r="V179" i="13"/>
  <c r="W179" i="13"/>
  <c r="T180" i="13"/>
  <c r="U180" i="13"/>
  <c r="V180" i="13"/>
  <c r="W180" i="13"/>
  <c r="T181" i="13"/>
  <c r="U181" i="13"/>
  <c r="V181" i="13"/>
  <c r="W181" i="13"/>
  <c r="T182" i="13"/>
  <c r="U182" i="13"/>
  <c r="V182" i="13"/>
  <c r="W182" i="13"/>
  <c r="T183" i="13"/>
  <c r="U183" i="13"/>
  <c r="V183" i="13"/>
  <c r="W183" i="13"/>
  <c r="T184" i="13"/>
  <c r="U184" i="13"/>
  <c r="V184" i="13"/>
  <c r="W184" i="13"/>
  <c r="T185" i="13"/>
  <c r="U185" i="13"/>
  <c r="V185" i="13"/>
  <c r="W185" i="13"/>
  <c r="T186" i="13"/>
  <c r="U186" i="13"/>
  <c r="V186" i="13"/>
  <c r="W186" i="13"/>
  <c r="T187" i="13"/>
  <c r="U187" i="13"/>
  <c r="V187" i="13"/>
  <c r="W187" i="13"/>
  <c r="T188" i="13"/>
  <c r="U188" i="13"/>
  <c r="V188" i="13"/>
  <c r="W188" i="13"/>
  <c r="T189" i="13"/>
  <c r="U189" i="13"/>
  <c r="V189" i="13"/>
  <c r="W189" i="13"/>
  <c r="T190" i="13"/>
  <c r="U190" i="13"/>
  <c r="V190" i="13"/>
  <c r="W190" i="13"/>
  <c r="T191" i="13"/>
  <c r="U191" i="13"/>
  <c r="V191" i="13"/>
  <c r="W191" i="13"/>
  <c r="T192" i="13"/>
  <c r="U192" i="13"/>
  <c r="V192" i="13"/>
  <c r="W192" i="13"/>
  <c r="T193" i="13"/>
  <c r="U193" i="13"/>
  <c r="V193" i="13"/>
  <c r="W193" i="13"/>
  <c r="T194" i="13"/>
  <c r="U194" i="13"/>
  <c r="V194" i="13"/>
  <c r="W194" i="13"/>
  <c r="T195" i="13"/>
  <c r="U195" i="13"/>
  <c r="V195" i="13"/>
  <c r="W195" i="13"/>
  <c r="T196" i="13"/>
  <c r="U196" i="13"/>
  <c r="V196" i="13"/>
  <c r="W196" i="13"/>
  <c r="T197" i="13"/>
  <c r="U197" i="13"/>
  <c r="V197" i="13"/>
  <c r="W197" i="13"/>
  <c r="T198" i="13"/>
  <c r="U198" i="13"/>
  <c r="V198" i="13"/>
  <c r="W198" i="13"/>
  <c r="T199" i="13"/>
  <c r="U199" i="13"/>
  <c r="V199" i="13"/>
  <c r="W199" i="13"/>
  <c r="T200" i="13"/>
  <c r="U200" i="13"/>
  <c r="V200" i="13"/>
  <c r="W200" i="13"/>
  <c r="T201" i="13"/>
  <c r="U201" i="13"/>
  <c r="V201" i="13"/>
  <c r="W201" i="13"/>
  <c r="T202" i="13"/>
  <c r="U202" i="13"/>
  <c r="V202" i="13"/>
  <c r="W202" i="13"/>
  <c r="T203" i="13"/>
  <c r="U203" i="13"/>
  <c r="V203" i="13"/>
  <c r="W203" i="13"/>
  <c r="T204" i="13"/>
  <c r="U204" i="13"/>
  <c r="V204" i="13"/>
  <c r="W204" i="13"/>
  <c r="T205" i="13"/>
  <c r="U205" i="13"/>
  <c r="V205" i="13"/>
  <c r="W205" i="13"/>
  <c r="T206" i="13"/>
  <c r="U206" i="13"/>
  <c r="V206" i="13"/>
  <c r="W206" i="13"/>
  <c r="T207" i="13"/>
  <c r="U207" i="13"/>
  <c r="V207" i="13"/>
  <c r="W207" i="13"/>
  <c r="T208" i="13"/>
  <c r="U208" i="13"/>
  <c r="V208" i="13"/>
  <c r="W208" i="13"/>
  <c r="T209" i="13"/>
  <c r="U209" i="13"/>
  <c r="V209" i="13"/>
  <c r="W209" i="13"/>
  <c r="T210" i="13"/>
  <c r="U210" i="13"/>
  <c r="V210" i="13"/>
  <c r="W210" i="13"/>
  <c r="T211" i="13"/>
  <c r="U211" i="13"/>
  <c r="V211" i="13"/>
  <c r="W211" i="13"/>
  <c r="T212" i="13"/>
  <c r="U212" i="13"/>
  <c r="V212" i="13"/>
  <c r="W212" i="13"/>
  <c r="T213" i="13"/>
  <c r="U213" i="13"/>
  <c r="V213" i="13"/>
  <c r="W213" i="13"/>
  <c r="T214" i="13"/>
  <c r="U214" i="13"/>
  <c r="V214" i="13"/>
  <c r="W214" i="13"/>
  <c r="T215" i="13"/>
  <c r="U215" i="13"/>
  <c r="V215" i="13"/>
  <c r="W215" i="13"/>
  <c r="T216" i="13"/>
  <c r="U216" i="13"/>
  <c r="V216" i="13"/>
  <c r="W216" i="13"/>
  <c r="T217" i="13"/>
  <c r="U217" i="13"/>
  <c r="V217" i="13"/>
  <c r="W217" i="13"/>
  <c r="T218" i="13"/>
  <c r="U218" i="13"/>
  <c r="V218" i="13"/>
  <c r="W218" i="13"/>
  <c r="T219" i="13"/>
  <c r="U219" i="13"/>
  <c r="V219" i="13"/>
  <c r="W219" i="13"/>
  <c r="T220" i="13"/>
  <c r="U220" i="13"/>
  <c r="V220" i="13"/>
  <c r="W220" i="13"/>
  <c r="T221" i="13"/>
  <c r="U221" i="13"/>
  <c r="V221" i="13"/>
  <c r="W221" i="13"/>
  <c r="T222" i="13"/>
  <c r="U222" i="13"/>
  <c r="V222" i="13"/>
  <c r="W222" i="13"/>
  <c r="T223" i="13"/>
  <c r="U223" i="13"/>
  <c r="V223" i="13"/>
  <c r="W223" i="13"/>
  <c r="T224" i="13"/>
  <c r="U224" i="13"/>
  <c r="V224" i="13"/>
  <c r="W224" i="13"/>
  <c r="T225" i="13"/>
  <c r="U225" i="13"/>
  <c r="V225" i="13"/>
  <c r="W225" i="13"/>
  <c r="T226" i="13"/>
  <c r="U226" i="13"/>
  <c r="V226" i="13"/>
  <c r="W226" i="13"/>
  <c r="T227" i="13"/>
  <c r="U227" i="13"/>
  <c r="V227" i="13"/>
  <c r="W227" i="13"/>
  <c r="T228" i="13"/>
  <c r="U228" i="13"/>
  <c r="V228" i="13"/>
  <c r="W228" i="13"/>
  <c r="T229" i="13"/>
  <c r="U229" i="13"/>
  <c r="V229" i="13"/>
  <c r="W229" i="13"/>
  <c r="T230" i="13"/>
  <c r="U230" i="13"/>
  <c r="V230" i="13"/>
  <c r="W230" i="13"/>
  <c r="T231" i="13"/>
  <c r="U231" i="13"/>
  <c r="V231" i="13"/>
  <c r="W231" i="13"/>
  <c r="Y4" i="13"/>
  <c r="AD4" i="13" s="1"/>
  <c r="Z4" i="13"/>
  <c r="AA4" i="13"/>
  <c r="AB4" i="13"/>
  <c r="AC4" i="13"/>
  <c r="Y5" i="13"/>
  <c r="AD5" i="13" s="1"/>
  <c r="Z5" i="13"/>
  <c r="AA5" i="13"/>
  <c r="AB5" i="13"/>
  <c r="AC5" i="13"/>
  <c r="Y6" i="13"/>
  <c r="AD6" i="13" s="1"/>
  <c r="Z6" i="13"/>
  <c r="AA6" i="13"/>
  <c r="AB6" i="13"/>
  <c r="AC6" i="13"/>
  <c r="Y7" i="13"/>
  <c r="AD7" i="13" s="1"/>
  <c r="Z7" i="13"/>
  <c r="AA7" i="13"/>
  <c r="AB7" i="13"/>
  <c r="AC7" i="13"/>
  <c r="Y8" i="13"/>
  <c r="AD8" i="13" s="1"/>
  <c r="Z8" i="13"/>
  <c r="AA8" i="13"/>
  <c r="AB8" i="13"/>
  <c r="AC8" i="13"/>
  <c r="Y9" i="13"/>
  <c r="AD9" i="13" s="1"/>
  <c r="Z9" i="13"/>
  <c r="AA9" i="13"/>
  <c r="AB9" i="13"/>
  <c r="AC9" i="13"/>
  <c r="Y10" i="13"/>
  <c r="AD10" i="13" s="1"/>
  <c r="Z10" i="13"/>
  <c r="AA10" i="13"/>
  <c r="AB10" i="13"/>
  <c r="AC10" i="13"/>
  <c r="Y11" i="13"/>
  <c r="AD11" i="13" s="1"/>
  <c r="Z11" i="13"/>
  <c r="AA11" i="13"/>
  <c r="AB11" i="13"/>
  <c r="AC11" i="13"/>
  <c r="Y12" i="13"/>
  <c r="AD12" i="13" s="1"/>
  <c r="Z12" i="13"/>
  <c r="AA12" i="13"/>
  <c r="AB12" i="13"/>
  <c r="AC12" i="13"/>
  <c r="Y13" i="13"/>
  <c r="AD13" i="13" s="1"/>
  <c r="Z13" i="13"/>
  <c r="AA13" i="13"/>
  <c r="AB13" i="13"/>
  <c r="AC13" i="13"/>
  <c r="Y14" i="13"/>
  <c r="AD14" i="13" s="1"/>
  <c r="Z14" i="13"/>
  <c r="AA14" i="13"/>
  <c r="AB14" i="13"/>
  <c r="AC14" i="13"/>
  <c r="Y15" i="13"/>
  <c r="AD15" i="13" s="1"/>
  <c r="Z15" i="13"/>
  <c r="AA15" i="13"/>
  <c r="AB15" i="13"/>
  <c r="AC15" i="13"/>
  <c r="Y16" i="13"/>
  <c r="AD16" i="13" s="1"/>
  <c r="Z16" i="13"/>
  <c r="AA16" i="13"/>
  <c r="AB16" i="13"/>
  <c r="AC16" i="13"/>
  <c r="Y17" i="13"/>
  <c r="AD17" i="13" s="1"/>
  <c r="Z17" i="13"/>
  <c r="AA17" i="13"/>
  <c r="AB17" i="13"/>
  <c r="AC17" i="13"/>
  <c r="Y18" i="13"/>
  <c r="AD18" i="13" s="1"/>
  <c r="Z18" i="13"/>
  <c r="AA18" i="13"/>
  <c r="AB18" i="13"/>
  <c r="AC18" i="13"/>
  <c r="Y19" i="13"/>
  <c r="AD19" i="13" s="1"/>
  <c r="Z19" i="13"/>
  <c r="AA19" i="13"/>
  <c r="AB19" i="13"/>
  <c r="AC19" i="13"/>
  <c r="Y20" i="13"/>
  <c r="AD20" i="13" s="1"/>
  <c r="Z20" i="13"/>
  <c r="AA20" i="13"/>
  <c r="AB20" i="13"/>
  <c r="AC20" i="13"/>
  <c r="Y21" i="13"/>
  <c r="AD21" i="13" s="1"/>
  <c r="Z21" i="13"/>
  <c r="AA21" i="13"/>
  <c r="AB21" i="13"/>
  <c r="AC21" i="13"/>
  <c r="Y22" i="13"/>
  <c r="AD22" i="13" s="1"/>
  <c r="Z22" i="13"/>
  <c r="AA22" i="13"/>
  <c r="AB22" i="13"/>
  <c r="AC22" i="13"/>
  <c r="Y23" i="13"/>
  <c r="AD23" i="13" s="1"/>
  <c r="Z23" i="13"/>
  <c r="AA23" i="13"/>
  <c r="AB23" i="13"/>
  <c r="AC23" i="13"/>
  <c r="Y24" i="13"/>
  <c r="AD24" i="13" s="1"/>
  <c r="Z24" i="13"/>
  <c r="AA24" i="13"/>
  <c r="AB24" i="13"/>
  <c r="AC24" i="13"/>
  <c r="Y25" i="13"/>
  <c r="AD25" i="13" s="1"/>
  <c r="Z25" i="13"/>
  <c r="AA25" i="13"/>
  <c r="AB25" i="13"/>
  <c r="AC25" i="13"/>
  <c r="Y26" i="13"/>
  <c r="AD26" i="13" s="1"/>
  <c r="Z26" i="13"/>
  <c r="AA26" i="13"/>
  <c r="AB26" i="13"/>
  <c r="AC26" i="13"/>
  <c r="Y27" i="13"/>
  <c r="AD27" i="13" s="1"/>
  <c r="Z27" i="13"/>
  <c r="AA27" i="13"/>
  <c r="AB27" i="13"/>
  <c r="AC27" i="13"/>
  <c r="Y28" i="13"/>
  <c r="AD28" i="13" s="1"/>
  <c r="Z28" i="13"/>
  <c r="AA28" i="13"/>
  <c r="AB28" i="13"/>
  <c r="AC28" i="13"/>
  <c r="Y29" i="13"/>
  <c r="AD29" i="13" s="1"/>
  <c r="Z29" i="13"/>
  <c r="AA29" i="13"/>
  <c r="AB29" i="13"/>
  <c r="AC29" i="13"/>
  <c r="Y30" i="13"/>
  <c r="AD30" i="13" s="1"/>
  <c r="Z30" i="13"/>
  <c r="AA30" i="13"/>
  <c r="AB30" i="13"/>
  <c r="AC30" i="13"/>
  <c r="Y31" i="13"/>
  <c r="AD31" i="13" s="1"/>
  <c r="Z31" i="13"/>
  <c r="AA31" i="13"/>
  <c r="AB31" i="13"/>
  <c r="AC31" i="13"/>
  <c r="Y32" i="13"/>
  <c r="AD32" i="13" s="1"/>
  <c r="Z32" i="13"/>
  <c r="AA32" i="13"/>
  <c r="AB32" i="13"/>
  <c r="AC32" i="13"/>
  <c r="Y33" i="13"/>
  <c r="AD33" i="13" s="1"/>
  <c r="Z33" i="13"/>
  <c r="AA33" i="13"/>
  <c r="AB33" i="13"/>
  <c r="AC33" i="13"/>
  <c r="Y34" i="13"/>
  <c r="AD34" i="13" s="1"/>
  <c r="Z34" i="13"/>
  <c r="AA34" i="13"/>
  <c r="AB34" i="13"/>
  <c r="AC34" i="13"/>
  <c r="Y35" i="13"/>
  <c r="AD35" i="13" s="1"/>
  <c r="Z35" i="13"/>
  <c r="AA35" i="13"/>
  <c r="AB35" i="13"/>
  <c r="AC35" i="13"/>
  <c r="Y36" i="13"/>
  <c r="AD36" i="13" s="1"/>
  <c r="Z36" i="13"/>
  <c r="AA36" i="13"/>
  <c r="AB36" i="13"/>
  <c r="AC36" i="13"/>
  <c r="Y37" i="13"/>
  <c r="AD37" i="13" s="1"/>
  <c r="Z37" i="13"/>
  <c r="AA37" i="13"/>
  <c r="AB37" i="13"/>
  <c r="AC37" i="13"/>
  <c r="Y38" i="13"/>
  <c r="AD38" i="13" s="1"/>
  <c r="Z38" i="13"/>
  <c r="AA38" i="13"/>
  <c r="AB38" i="13"/>
  <c r="AC38" i="13"/>
  <c r="Y39" i="13"/>
  <c r="AD39" i="13" s="1"/>
  <c r="Z39" i="13"/>
  <c r="AA39" i="13"/>
  <c r="AB39" i="13"/>
  <c r="AC39" i="13"/>
  <c r="Y40" i="13"/>
  <c r="AD40" i="13" s="1"/>
  <c r="Z40" i="13"/>
  <c r="AA40" i="13"/>
  <c r="AB40" i="13"/>
  <c r="AC40" i="13"/>
  <c r="Y41" i="13"/>
  <c r="AD41" i="13" s="1"/>
  <c r="Z41" i="13"/>
  <c r="AA41" i="13"/>
  <c r="AB41" i="13"/>
  <c r="AC41" i="13"/>
  <c r="Y42" i="13"/>
  <c r="AD42" i="13" s="1"/>
  <c r="Z42" i="13"/>
  <c r="AA42" i="13"/>
  <c r="AB42" i="13"/>
  <c r="AC42" i="13"/>
  <c r="Y43" i="13"/>
  <c r="AD43" i="13" s="1"/>
  <c r="Z43" i="13"/>
  <c r="AA43" i="13"/>
  <c r="AB43" i="13"/>
  <c r="AC43" i="13"/>
  <c r="Y44" i="13"/>
  <c r="AD44" i="13" s="1"/>
  <c r="Z44" i="13"/>
  <c r="AA44" i="13"/>
  <c r="AB44" i="13"/>
  <c r="AC44" i="13"/>
  <c r="Y45" i="13"/>
  <c r="AD45" i="13" s="1"/>
  <c r="Z45" i="13"/>
  <c r="AA45" i="13"/>
  <c r="AB45" i="13"/>
  <c r="AC45" i="13"/>
  <c r="Y46" i="13"/>
  <c r="AD46" i="13" s="1"/>
  <c r="Z46" i="13"/>
  <c r="AA46" i="13"/>
  <c r="AB46" i="13"/>
  <c r="AC46" i="13"/>
  <c r="Y47" i="13"/>
  <c r="AD47" i="13" s="1"/>
  <c r="Z47" i="13"/>
  <c r="AA47" i="13"/>
  <c r="AB47" i="13"/>
  <c r="AC47" i="13"/>
  <c r="Y48" i="13"/>
  <c r="AD48" i="13" s="1"/>
  <c r="Z48" i="13"/>
  <c r="AA48" i="13"/>
  <c r="AB48" i="13"/>
  <c r="AC48" i="13"/>
  <c r="Y49" i="13"/>
  <c r="AD49" i="13" s="1"/>
  <c r="Z49" i="13"/>
  <c r="AA49" i="13"/>
  <c r="AB49" i="13"/>
  <c r="AC49" i="13"/>
  <c r="Y50" i="13"/>
  <c r="AD50" i="13" s="1"/>
  <c r="Z50" i="13"/>
  <c r="AA50" i="13"/>
  <c r="AB50" i="13"/>
  <c r="AC50" i="13"/>
  <c r="Y51" i="13"/>
  <c r="AD51" i="13" s="1"/>
  <c r="Z51" i="13"/>
  <c r="AA51" i="13"/>
  <c r="AB51" i="13"/>
  <c r="AC51" i="13"/>
  <c r="Y52" i="13"/>
  <c r="AD52" i="13" s="1"/>
  <c r="Z52" i="13"/>
  <c r="AA52" i="13"/>
  <c r="AB52" i="13"/>
  <c r="AC52" i="13"/>
  <c r="Y53" i="13"/>
  <c r="AD53" i="13" s="1"/>
  <c r="Z53" i="13"/>
  <c r="AA53" i="13"/>
  <c r="AB53" i="13"/>
  <c r="AC53" i="13"/>
  <c r="Y54" i="13"/>
  <c r="AD54" i="13" s="1"/>
  <c r="Z54" i="13"/>
  <c r="AA54" i="13"/>
  <c r="AB54" i="13"/>
  <c r="AC54" i="13"/>
  <c r="Y55" i="13"/>
  <c r="AD55" i="13" s="1"/>
  <c r="Z55" i="13"/>
  <c r="AA55" i="13"/>
  <c r="AB55" i="13"/>
  <c r="AC55" i="13"/>
  <c r="Y56" i="13"/>
  <c r="AD56" i="13" s="1"/>
  <c r="Z56" i="13"/>
  <c r="AA56" i="13"/>
  <c r="AB56" i="13"/>
  <c r="AC56" i="13"/>
  <c r="Y57" i="13"/>
  <c r="AD57" i="13" s="1"/>
  <c r="Z57" i="13"/>
  <c r="AA57" i="13"/>
  <c r="AB57" i="13"/>
  <c r="AC57" i="13"/>
  <c r="Y58" i="13"/>
  <c r="AD58" i="13" s="1"/>
  <c r="Z58" i="13"/>
  <c r="AA58" i="13"/>
  <c r="AB58" i="13"/>
  <c r="AC58" i="13"/>
  <c r="Y59" i="13"/>
  <c r="AD59" i="13" s="1"/>
  <c r="Z59" i="13"/>
  <c r="AA59" i="13"/>
  <c r="AB59" i="13"/>
  <c r="AC59" i="13"/>
  <c r="Y60" i="13"/>
  <c r="AD60" i="13" s="1"/>
  <c r="Z60" i="13"/>
  <c r="AA60" i="13"/>
  <c r="AB60" i="13"/>
  <c r="AC60" i="13"/>
  <c r="Y61" i="13"/>
  <c r="AD61" i="13" s="1"/>
  <c r="Z61" i="13"/>
  <c r="AA61" i="13"/>
  <c r="AB61" i="13"/>
  <c r="AC61" i="13"/>
  <c r="Y62" i="13"/>
  <c r="AD62" i="13" s="1"/>
  <c r="Z62" i="13"/>
  <c r="AA62" i="13"/>
  <c r="AB62" i="13"/>
  <c r="AC62" i="13"/>
  <c r="Y63" i="13"/>
  <c r="AD63" i="13" s="1"/>
  <c r="Z63" i="13"/>
  <c r="AA63" i="13"/>
  <c r="AB63" i="13"/>
  <c r="AC63" i="13"/>
  <c r="Y64" i="13"/>
  <c r="AD64" i="13" s="1"/>
  <c r="Z64" i="13"/>
  <c r="AA64" i="13"/>
  <c r="AB64" i="13"/>
  <c r="AC64" i="13"/>
  <c r="Y65" i="13"/>
  <c r="AD65" i="13" s="1"/>
  <c r="Z65" i="13"/>
  <c r="AA65" i="13"/>
  <c r="AB65" i="13"/>
  <c r="AC65" i="13"/>
  <c r="Y66" i="13"/>
  <c r="AD66" i="13" s="1"/>
  <c r="Z66" i="13"/>
  <c r="AA66" i="13"/>
  <c r="AB66" i="13"/>
  <c r="AC66" i="13"/>
  <c r="Y67" i="13"/>
  <c r="AD67" i="13" s="1"/>
  <c r="Z67" i="13"/>
  <c r="AA67" i="13"/>
  <c r="AB67" i="13"/>
  <c r="AC67" i="13"/>
  <c r="Y68" i="13"/>
  <c r="AD68" i="13" s="1"/>
  <c r="Z68" i="13"/>
  <c r="AA68" i="13"/>
  <c r="AB68" i="13"/>
  <c r="AC68" i="13"/>
  <c r="Y69" i="13"/>
  <c r="AD69" i="13" s="1"/>
  <c r="Z69" i="13"/>
  <c r="AA69" i="13"/>
  <c r="AB69" i="13"/>
  <c r="AC69" i="13"/>
  <c r="Y70" i="13"/>
  <c r="AD70" i="13" s="1"/>
  <c r="Z70" i="13"/>
  <c r="AA70" i="13"/>
  <c r="AB70" i="13"/>
  <c r="AC70" i="13"/>
  <c r="Y71" i="13"/>
  <c r="AD71" i="13" s="1"/>
  <c r="Z71" i="13"/>
  <c r="AA71" i="13"/>
  <c r="AB71" i="13"/>
  <c r="AC71" i="13"/>
  <c r="Y72" i="13"/>
  <c r="AD72" i="13" s="1"/>
  <c r="Z72" i="13"/>
  <c r="AA72" i="13"/>
  <c r="AB72" i="13"/>
  <c r="AC72" i="13"/>
  <c r="Y73" i="13"/>
  <c r="AD73" i="13" s="1"/>
  <c r="Z73" i="13"/>
  <c r="AA73" i="13"/>
  <c r="AB73" i="13"/>
  <c r="AC73" i="13"/>
  <c r="Y74" i="13"/>
  <c r="AD74" i="13" s="1"/>
  <c r="Z74" i="13"/>
  <c r="AA74" i="13"/>
  <c r="AB74" i="13"/>
  <c r="AC74" i="13"/>
  <c r="Y75" i="13"/>
  <c r="AD75" i="13" s="1"/>
  <c r="Z75" i="13"/>
  <c r="AA75" i="13"/>
  <c r="AB75" i="13"/>
  <c r="AC75" i="13"/>
  <c r="Y76" i="13"/>
  <c r="AD76" i="13" s="1"/>
  <c r="Z76" i="13"/>
  <c r="AA76" i="13"/>
  <c r="AB76" i="13"/>
  <c r="AC76" i="13"/>
  <c r="Y77" i="13"/>
  <c r="AD77" i="13" s="1"/>
  <c r="Z77" i="13"/>
  <c r="AA77" i="13"/>
  <c r="AB77" i="13"/>
  <c r="AC77" i="13"/>
  <c r="Y78" i="13"/>
  <c r="AD78" i="13" s="1"/>
  <c r="Z78" i="13"/>
  <c r="AA78" i="13"/>
  <c r="AB78" i="13"/>
  <c r="AC78" i="13"/>
  <c r="Y79" i="13"/>
  <c r="AD79" i="13" s="1"/>
  <c r="Z79" i="13"/>
  <c r="AA79" i="13"/>
  <c r="AB79" i="13"/>
  <c r="AC79" i="13"/>
  <c r="Y80" i="13"/>
  <c r="AD80" i="13" s="1"/>
  <c r="Z80" i="13"/>
  <c r="AA80" i="13"/>
  <c r="AB80" i="13"/>
  <c r="AC80" i="13"/>
  <c r="Y81" i="13"/>
  <c r="AD81" i="13" s="1"/>
  <c r="Z81" i="13"/>
  <c r="AA81" i="13"/>
  <c r="AB81" i="13"/>
  <c r="AC81" i="13"/>
  <c r="Y82" i="13"/>
  <c r="AD82" i="13" s="1"/>
  <c r="Z82" i="13"/>
  <c r="AA82" i="13"/>
  <c r="AB82" i="13"/>
  <c r="AC82" i="13"/>
  <c r="Y83" i="13"/>
  <c r="AD83" i="13" s="1"/>
  <c r="Z83" i="13"/>
  <c r="AA83" i="13"/>
  <c r="AB83" i="13"/>
  <c r="AC83" i="13"/>
  <c r="Y84" i="13"/>
  <c r="AD84" i="13" s="1"/>
  <c r="Z84" i="13"/>
  <c r="AA84" i="13"/>
  <c r="AB84" i="13"/>
  <c r="AC84" i="13"/>
  <c r="Y85" i="13"/>
  <c r="AD85" i="13" s="1"/>
  <c r="Z85" i="13"/>
  <c r="AA85" i="13"/>
  <c r="AB85" i="13"/>
  <c r="AC85" i="13"/>
  <c r="Y86" i="13"/>
  <c r="AD86" i="13" s="1"/>
  <c r="Z86" i="13"/>
  <c r="AA86" i="13"/>
  <c r="AB86" i="13"/>
  <c r="AC86" i="13"/>
  <c r="Y87" i="13"/>
  <c r="AD87" i="13" s="1"/>
  <c r="Z87" i="13"/>
  <c r="AA87" i="13"/>
  <c r="AB87" i="13"/>
  <c r="AC87" i="13"/>
  <c r="Y88" i="13"/>
  <c r="AD88" i="13" s="1"/>
  <c r="Z88" i="13"/>
  <c r="AA88" i="13"/>
  <c r="AB88" i="13"/>
  <c r="AC88" i="13"/>
  <c r="Y89" i="13"/>
  <c r="AD89" i="13" s="1"/>
  <c r="Z89" i="13"/>
  <c r="AA89" i="13"/>
  <c r="AB89" i="13"/>
  <c r="AC89" i="13"/>
  <c r="Y90" i="13"/>
  <c r="AD90" i="13" s="1"/>
  <c r="Z90" i="13"/>
  <c r="AA90" i="13"/>
  <c r="AB90" i="13"/>
  <c r="AC90" i="13"/>
  <c r="Y91" i="13"/>
  <c r="AD91" i="13" s="1"/>
  <c r="Z91" i="13"/>
  <c r="AA91" i="13"/>
  <c r="AB91" i="13"/>
  <c r="AC91" i="13"/>
  <c r="Y92" i="13"/>
  <c r="AD92" i="13" s="1"/>
  <c r="Z92" i="13"/>
  <c r="AA92" i="13"/>
  <c r="AB92" i="13"/>
  <c r="AC92" i="13"/>
  <c r="Y93" i="13"/>
  <c r="AD93" i="13" s="1"/>
  <c r="Z93" i="13"/>
  <c r="AA93" i="13"/>
  <c r="AB93" i="13"/>
  <c r="AC93" i="13"/>
  <c r="Y94" i="13"/>
  <c r="AD94" i="13" s="1"/>
  <c r="Z94" i="13"/>
  <c r="AA94" i="13"/>
  <c r="AB94" i="13"/>
  <c r="AC94" i="13"/>
  <c r="Y95" i="13"/>
  <c r="AD95" i="13" s="1"/>
  <c r="Z95" i="13"/>
  <c r="AA95" i="13"/>
  <c r="AB95" i="13"/>
  <c r="AC95" i="13"/>
  <c r="Y96" i="13"/>
  <c r="AD96" i="13" s="1"/>
  <c r="Z96" i="13"/>
  <c r="AA96" i="13"/>
  <c r="AB96" i="13"/>
  <c r="AC96" i="13"/>
  <c r="Y97" i="13"/>
  <c r="AD97" i="13" s="1"/>
  <c r="Z97" i="13"/>
  <c r="AA97" i="13"/>
  <c r="AB97" i="13"/>
  <c r="AC97" i="13"/>
  <c r="Y98" i="13"/>
  <c r="AD98" i="13" s="1"/>
  <c r="Z98" i="13"/>
  <c r="AA98" i="13"/>
  <c r="AB98" i="13"/>
  <c r="AC98" i="13"/>
  <c r="Y99" i="13"/>
  <c r="AD99" i="13" s="1"/>
  <c r="Z99" i="13"/>
  <c r="AA99" i="13"/>
  <c r="AB99" i="13"/>
  <c r="AC99" i="13"/>
  <c r="Y100" i="13"/>
  <c r="AD100" i="13" s="1"/>
  <c r="Z100" i="13"/>
  <c r="AA100" i="13"/>
  <c r="AB100" i="13"/>
  <c r="AC100" i="13"/>
  <c r="Y101" i="13"/>
  <c r="AD101" i="13" s="1"/>
  <c r="Z101" i="13"/>
  <c r="AA101" i="13"/>
  <c r="AB101" i="13"/>
  <c r="AC101" i="13"/>
  <c r="Y102" i="13"/>
  <c r="AD102" i="13" s="1"/>
  <c r="Z102" i="13"/>
  <c r="AA102" i="13"/>
  <c r="AB102" i="13"/>
  <c r="AC102" i="13"/>
  <c r="Y103" i="13"/>
  <c r="AD103" i="13" s="1"/>
  <c r="Z103" i="13"/>
  <c r="AA103" i="13"/>
  <c r="AB103" i="13"/>
  <c r="AC103" i="13"/>
  <c r="Y104" i="13"/>
  <c r="AD104" i="13" s="1"/>
  <c r="Z104" i="13"/>
  <c r="AA104" i="13"/>
  <c r="AB104" i="13"/>
  <c r="AC104" i="13"/>
  <c r="Y105" i="13"/>
  <c r="AD105" i="13" s="1"/>
  <c r="Z105" i="13"/>
  <c r="AA105" i="13"/>
  <c r="AB105" i="13"/>
  <c r="AC105" i="13"/>
  <c r="Y106" i="13"/>
  <c r="AD106" i="13" s="1"/>
  <c r="Z106" i="13"/>
  <c r="AA106" i="13"/>
  <c r="AB106" i="13"/>
  <c r="AC106" i="13"/>
  <c r="Y107" i="13"/>
  <c r="AD107" i="13" s="1"/>
  <c r="Z107" i="13"/>
  <c r="AA107" i="13"/>
  <c r="AB107" i="13"/>
  <c r="AC107" i="13"/>
  <c r="Y108" i="13"/>
  <c r="AD108" i="13" s="1"/>
  <c r="Z108" i="13"/>
  <c r="AA108" i="13"/>
  <c r="AB108" i="13"/>
  <c r="AC108" i="13"/>
  <c r="Y109" i="13"/>
  <c r="AD109" i="13" s="1"/>
  <c r="Z109" i="13"/>
  <c r="AA109" i="13"/>
  <c r="AB109" i="13"/>
  <c r="AC109" i="13"/>
  <c r="Y110" i="13"/>
  <c r="AD110" i="13" s="1"/>
  <c r="Z110" i="13"/>
  <c r="AA110" i="13"/>
  <c r="AB110" i="13"/>
  <c r="AC110" i="13"/>
  <c r="Y111" i="13"/>
  <c r="AD111" i="13" s="1"/>
  <c r="Z111" i="13"/>
  <c r="AA111" i="13"/>
  <c r="AB111" i="13"/>
  <c r="AC111" i="13"/>
  <c r="Y112" i="13"/>
  <c r="AD112" i="13" s="1"/>
  <c r="Z112" i="13"/>
  <c r="AA112" i="13"/>
  <c r="AB112" i="13"/>
  <c r="AC112" i="13"/>
  <c r="Y113" i="13"/>
  <c r="AD113" i="13" s="1"/>
  <c r="Z113" i="13"/>
  <c r="AA113" i="13"/>
  <c r="AB113" i="13"/>
  <c r="AC113" i="13"/>
  <c r="Y114" i="13"/>
  <c r="AD114" i="13" s="1"/>
  <c r="Z114" i="13"/>
  <c r="AA114" i="13"/>
  <c r="AB114" i="13"/>
  <c r="AC114" i="13"/>
  <c r="Y115" i="13"/>
  <c r="AD115" i="13" s="1"/>
  <c r="Z115" i="13"/>
  <c r="AA115" i="13"/>
  <c r="AB115" i="13"/>
  <c r="AC115" i="13"/>
  <c r="Y116" i="13"/>
  <c r="AD116" i="13" s="1"/>
  <c r="Z116" i="13"/>
  <c r="AA116" i="13"/>
  <c r="AB116" i="13"/>
  <c r="AC116" i="13"/>
  <c r="Y117" i="13"/>
  <c r="AD117" i="13" s="1"/>
  <c r="Z117" i="13"/>
  <c r="AA117" i="13"/>
  <c r="AB117" i="13"/>
  <c r="AC117" i="13"/>
  <c r="Y118" i="13"/>
  <c r="AD118" i="13" s="1"/>
  <c r="Z118" i="13"/>
  <c r="AA118" i="13"/>
  <c r="AB118" i="13"/>
  <c r="AC118" i="13"/>
  <c r="Y119" i="13"/>
  <c r="AD119" i="13" s="1"/>
  <c r="Z119" i="13"/>
  <c r="AA119" i="13"/>
  <c r="AB119" i="13"/>
  <c r="AC119" i="13"/>
  <c r="Y120" i="13"/>
  <c r="AD120" i="13" s="1"/>
  <c r="Z120" i="13"/>
  <c r="AA120" i="13"/>
  <c r="AB120" i="13"/>
  <c r="AC120" i="13"/>
  <c r="Y121" i="13"/>
  <c r="AD121" i="13" s="1"/>
  <c r="Z121" i="13"/>
  <c r="AA121" i="13"/>
  <c r="AB121" i="13"/>
  <c r="AC121" i="13"/>
  <c r="Y122" i="13"/>
  <c r="AD122" i="13" s="1"/>
  <c r="Z122" i="13"/>
  <c r="AA122" i="13"/>
  <c r="AB122" i="13"/>
  <c r="AC122" i="13"/>
  <c r="Y123" i="13"/>
  <c r="AD123" i="13" s="1"/>
  <c r="Z123" i="13"/>
  <c r="AA123" i="13"/>
  <c r="AB123" i="13"/>
  <c r="AC123" i="13"/>
  <c r="Y124" i="13"/>
  <c r="AD124" i="13" s="1"/>
  <c r="Z124" i="13"/>
  <c r="AA124" i="13"/>
  <c r="AB124" i="13"/>
  <c r="AC124" i="13"/>
  <c r="Y125" i="13"/>
  <c r="AD125" i="13" s="1"/>
  <c r="Z125" i="13"/>
  <c r="AA125" i="13"/>
  <c r="AB125" i="13"/>
  <c r="AC125" i="13"/>
  <c r="Y126" i="13"/>
  <c r="AD126" i="13" s="1"/>
  <c r="Z126" i="13"/>
  <c r="AA126" i="13"/>
  <c r="AB126" i="13"/>
  <c r="AC126" i="13"/>
  <c r="Y127" i="13"/>
  <c r="AD127" i="13" s="1"/>
  <c r="Z127" i="13"/>
  <c r="AA127" i="13"/>
  <c r="AB127" i="13"/>
  <c r="AC127" i="13"/>
  <c r="Y128" i="13"/>
  <c r="AD128" i="13" s="1"/>
  <c r="Z128" i="13"/>
  <c r="AA128" i="13"/>
  <c r="AB128" i="13"/>
  <c r="AC128" i="13"/>
  <c r="Y129" i="13"/>
  <c r="AD129" i="13" s="1"/>
  <c r="Z129" i="13"/>
  <c r="AA129" i="13"/>
  <c r="AB129" i="13"/>
  <c r="AC129" i="13"/>
  <c r="Y130" i="13"/>
  <c r="AD130" i="13" s="1"/>
  <c r="Z130" i="13"/>
  <c r="AA130" i="13"/>
  <c r="AB130" i="13"/>
  <c r="AC130" i="13"/>
  <c r="Y131" i="13"/>
  <c r="AD131" i="13" s="1"/>
  <c r="Z131" i="13"/>
  <c r="AA131" i="13"/>
  <c r="AB131" i="13"/>
  <c r="AC131" i="13"/>
  <c r="Y132" i="13"/>
  <c r="AD132" i="13" s="1"/>
  <c r="Z132" i="13"/>
  <c r="AA132" i="13"/>
  <c r="AB132" i="13"/>
  <c r="AC132" i="13"/>
  <c r="Y133" i="13"/>
  <c r="AD133" i="13" s="1"/>
  <c r="Z133" i="13"/>
  <c r="AA133" i="13"/>
  <c r="AB133" i="13"/>
  <c r="AC133" i="13"/>
  <c r="Y134" i="13"/>
  <c r="AD134" i="13" s="1"/>
  <c r="Z134" i="13"/>
  <c r="AA134" i="13"/>
  <c r="AB134" i="13"/>
  <c r="AC134" i="13"/>
  <c r="Y135" i="13"/>
  <c r="AD135" i="13" s="1"/>
  <c r="Z135" i="13"/>
  <c r="AA135" i="13"/>
  <c r="AB135" i="13"/>
  <c r="AC135" i="13"/>
  <c r="Y136" i="13"/>
  <c r="AD136" i="13" s="1"/>
  <c r="Z136" i="13"/>
  <c r="AA136" i="13"/>
  <c r="AB136" i="13"/>
  <c r="AC136" i="13"/>
  <c r="Y137" i="13"/>
  <c r="AD137" i="13" s="1"/>
  <c r="Z137" i="13"/>
  <c r="AA137" i="13"/>
  <c r="AB137" i="13"/>
  <c r="AC137" i="13"/>
  <c r="Y138" i="13"/>
  <c r="AD138" i="13" s="1"/>
  <c r="Z138" i="13"/>
  <c r="AA138" i="13"/>
  <c r="AB138" i="13"/>
  <c r="AC138" i="13"/>
  <c r="Y139" i="13"/>
  <c r="AD139" i="13" s="1"/>
  <c r="Z139" i="13"/>
  <c r="AA139" i="13"/>
  <c r="AB139" i="13"/>
  <c r="AC139" i="13"/>
  <c r="Y140" i="13"/>
  <c r="AD140" i="13" s="1"/>
  <c r="Z140" i="13"/>
  <c r="AA140" i="13"/>
  <c r="AB140" i="13"/>
  <c r="AC140" i="13"/>
  <c r="Y141" i="13"/>
  <c r="AD141" i="13" s="1"/>
  <c r="Z141" i="13"/>
  <c r="AA141" i="13"/>
  <c r="AB141" i="13"/>
  <c r="AC141" i="13"/>
  <c r="Y142" i="13"/>
  <c r="AD142" i="13" s="1"/>
  <c r="Z142" i="13"/>
  <c r="AA142" i="13"/>
  <c r="AB142" i="13"/>
  <c r="AC142" i="13"/>
  <c r="Y143" i="13"/>
  <c r="AD143" i="13" s="1"/>
  <c r="Z143" i="13"/>
  <c r="AA143" i="13"/>
  <c r="AB143" i="13"/>
  <c r="AC143" i="13"/>
  <c r="Y144" i="13"/>
  <c r="AD144" i="13" s="1"/>
  <c r="Z144" i="13"/>
  <c r="AA144" i="13"/>
  <c r="AB144" i="13"/>
  <c r="AC144" i="13"/>
  <c r="Y145" i="13"/>
  <c r="AD145" i="13" s="1"/>
  <c r="Z145" i="13"/>
  <c r="AA145" i="13"/>
  <c r="AB145" i="13"/>
  <c r="AC145" i="13"/>
  <c r="Y146" i="13"/>
  <c r="AD146" i="13" s="1"/>
  <c r="Z146" i="13"/>
  <c r="AA146" i="13"/>
  <c r="AB146" i="13"/>
  <c r="AC146" i="13"/>
  <c r="Y147" i="13"/>
  <c r="AD147" i="13" s="1"/>
  <c r="Z147" i="13"/>
  <c r="AA147" i="13"/>
  <c r="AB147" i="13"/>
  <c r="AC147" i="13"/>
  <c r="Y148" i="13"/>
  <c r="AD148" i="13" s="1"/>
  <c r="Z148" i="13"/>
  <c r="AA148" i="13"/>
  <c r="AB148" i="13"/>
  <c r="AC148" i="13"/>
  <c r="Y149" i="13"/>
  <c r="AD149" i="13" s="1"/>
  <c r="Z149" i="13"/>
  <c r="AA149" i="13"/>
  <c r="AB149" i="13"/>
  <c r="AC149" i="13"/>
  <c r="Y150" i="13"/>
  <c r="AD150" i="13" s="1"/>
  <c r="Z150" i="13"/>
  <c r="AA150" i="13"/>
  <c r="AB150" i="13"/>
  <c r="AC150" i="13"/>
  <c r="Y151" i="13"/>
  <c r="AD151" i="13" s="1"/>
  <c r="Z151" i="13"/>
  <c r="AA151" i="13"/>
  <c r="AB151" i="13"/>
  <c r="AC151" i="13"/>
  <c r="Y152" i="13"/>
  <c r="AD152" i="13" s="1"/>
  <c r="Z152" i="13"/>
  <c r="AA152" i="13"/>
  <c r="AB152" i="13"/>
  <c r="AC152" i="13"/>
  <c r="Y153" i="13"/>
  <c r="AD153" i="13" s="1"/>
  <c r="Z153" i="13"/>
  <c r="AA153" i="13"/>
  <c r="AB153" i="13"/>
  <c r="AC153" i="13"/>
  <c r="Y154" i="13"/>
  <c r="AD154" i="13" s="1"/>
  <c r="Z154" i="13"/>
  <c r="AA154" i="13"/>
  <c r="AB154" i="13"/>
  <c r="AC154" i="13"/>
  <c r="Y155" i="13"/>
  <c r="AD155" i="13" s="1"/>
  <c r="Z155" i="13"/>
  <c r="AA155" i="13"/>
  <c r="AB155" i="13"/>
  <c r="AC155" i="13"/>
  <c r="Y156" i="13"/>
  <c r="AD156" i="13" s="1"/>
  <c r="Z156" i="13"/>
  <c r="AA156" i="13"/>
  <c r="AB156" i="13"/>
  <c r="AC156" i="13"/>
  <c r="Y157" i="13"/>
  <c r="AD157" i="13" s="1"/>
  <c r="Z157" i="13"/>
  <c r="AA157" i="13"/>
  <c r="AB157" i="13"/>
  <c r="AC157" i="13"/>
  <c r="Y158" i="13"/>
  <c r="AD158" i="13" s="1"/>
  <c r="Z158" i="13"/>
  <c r="AA158" i="13"/>
  <c r="AB158" i="13"/>
  <c r="AC158" i="13"/>
  <c r="Y159" i="13"/>
  <c r="AD159" i="13" s="1"/>
  <c r="Z159" i="13"/>
  <c r="AA159" i="13"/>
  <c r="AB159" i="13"/>
  <c r="AC159" i="13"/>
  <c r="Y160" i="13"/>
  <c r="AD160" i="13" s="1"/>
  <c r="Z160" i="13"/>
  <c r="AA160" i="13"/>
  <c r="AB160" i="13"/>
  <c r="AC160" i="13"/>
  <c r="Y161" i="13"/>
  <c r="AD161" i="13" s="1"/>
  <c r="Z161" i="13"/>
  <c r="AA161" i="13"/>
  <c r="AB161" i="13"/>
  <c r="AC161" i="13"/>
  <c r="Y162" i="13"/>
  <c r="AD162" i="13" s="1"/>
  <c r="Z162" i="13"/>
  <c r="AA162" i="13"/>
  <c r="AB162" i="13"/>
  <c r="AC162" i="13"/>
  <c r="Y163" i="13"/>
  <c r="AD163" i="13" s="1"/>
  <c r="Z163" i="13"/>
  <c r="AA163" i="13"/>
  <c r="AB163" i="13"/>
  <c r="AC163" i="13"/>
  <c r="Y164" i="13"/>
  <c r="AD164" i="13" s="1"/>
  <c r="Z164" i="13"/>
  <c r="AA164" i="13"/>
  <c r="AB164" i="13"/>
  <c r="AC164" i="13"/>
  <c r="Y165" i="13"/>
  <c r="AD165" i="13" s="1"/>
  <c r="Z165" i="13"/>
  <c r="AA165" i="13"/>
  <c r="AB165" i="13"/>
  <c r="AC165" i="13"/>
  <c r="Y166" i="13"/>
  <c r="AD166" i="13" s="1"/>
  <c r="Z166" i="13"/>
  <c r="AA166" i="13"/>
  <c r="AB166" i="13"/>
  <c r="AC166" i="13"/>
  <c r="Y167" i="13"/>
  <c r="AD167" i="13" s="1"/>
  <c r="Z167" i="13"/>
  <c r="AA167" i="13"/>
  <c r="AB167" i="13"/>
  <c r="AC167" i="13"/>
  <c r="Y168" i="13"/>
  <c r="AD168" i="13" s="1"/>
  <c r="Z168" i="13"/>
  <c r="AA168" i="13"/>
  <c r="AB168" i="13"/>
  <c r="AC168" i="13"/>
  <c r="Y169" i="13"/>
  <c r="AD169" i="13" s="1"/>
  <c r="Z169" i="13"/>
  <c r="AA169" i="13"/>
  <c r="AB169" i="13"/>
  <c r="AC169" i="13"/>
  <c r="Y170" i="13"/>
  <c r="AD170" i="13" s="1"/>
  <c r="Z170" i="13"/>
  <c r="AA170" i="13"/>
  <c r="AB170" i="13"/>
  <c r="AC170" i="13"/>
  <c r="Y171" i="13"/>
  <c r="AD171" i="13" s="1"/>
  <c r="Z171" i="13"/>
  <c r="AA171" i="13"/>
  <c r="AB171" i="13"/>
  <c r="AC171" i="13"/>
  <c r="Y172" i="13"/>
  <c r="AD172" i="13" s="1"/>
  <c r="Z172" i="13"/>
  <c r="AA172" i="13"/>
  <c r="AB172" i="13"/>
  <c r="AC172" i="13"/>
  <c r="Y173" i="13"/>
  <c r="AD173" i="13" s="1"/>
  <c r="Z173" i="13"/>
  <c r="AA173" i="13"/>
  <c r="AB173" i="13"/>
  <c r="AC173" i="13"/>
  <c r="Y174" i="13"/>
  <c r="AD174" i="13" s="1"/>
  <c r="Z174" i="13"/>
  <c r="AA174" i="13"/>
  <c r="AB174" i="13"/>
  <c r="AC174" i="13"/>
  <c r="Y175" i="13"/>
  <c r="AD175" i="13" s="1"/>
  <c r="Z175" i="13"/>
  <c r="AA175" i="13"/>
  <c r="AB175" i="13"/>
  <c r="AC175" i="13"/>
  <c r="Y176" i="13"/>
  <c r="AD176" i="13" s="1"/>
  <c r="Z176" i="13"/>
  <c r="AA176" i="13"/>
  <c r="AB176" i="13"/>
  <c r="AC176" i="13"/>
  <c r="Y177" i="13"/>
  <c r="AD177" i="13" s="1"/>
  <c r="Z177" i="13"/>
  <c r="AA177" i="13"/>
  <c r="AB177" i="13"/>
  <c r="AC177" i="13"/>
  <c r="Y178" i="13"/>
  <c r="AD178" i="13" s="1"/>
  <c r="Z178" i="13"/>
  <c r="AA178" i="13"/>
  <c r="AB178" i="13"/>
  <c r="AC178" i="13"/>
  <c r="Y179" i="13"/>
  <c r="AD179" i="13" s="1"/>
  <c r="Z179" i="13"/>
  <c r="AA179" i="13"/>
  <c r="AB179" i="13"/>
  <c r="AC179" i="13"/>
  <c r="Y180" i="13"/>
  <c r="AD180" i="13" s="1"/>
  <c r="Z180" i="13"/>
  <c r="AA180" i="13"/>
  <c r="AB180" i="13"/>
  <c r="AC180" i="13"/>
  <c r="Y181" i="13"/>
  <c r="AD181" i="13" s="1"/>
  <c r="Z181" i="13"/>
  <c r="AA181" i="13"/>
  <c r="AB181" i="13"/>
  <c r="AC181" i="13"/>
  <c r="Y182" i="13"/>
  <c r="AD182" i="13" s="1"/>
  <c r="Z182" i="13"/>
  <c r="AA182" i="13"/>
  <c r="AB182" i="13"/>
  <c r="AC182" i="13"/>
  <c r="Y183" i="13"/>
  <c r="AD183" i="13" s="1"/>
  <c r="Z183" i="13"/>
  <c r="AA183" i="13"/>
  <c r="AB183" i="13"/>
  <c r="AC183" i="13"/>
  <c r="Y184" i="13"/>
  <c r="AD184" i="13" s="1"/>
  <c r="Z184" i="13"/>
  <c r="AA184" i="13"/>
  <c r="AB184" i="13"/>
  <c r="AC184" i="13"/>
  <c r="Y185" i="13"/>
  <c r="AD185" i="13" s="1"/>
  <c r="Z185" i="13"/>
  <c r="AA185" i="13"/>
  <c r="AB185" i="13"/>
  <c r="AC185" i="13"/>
  <c r="Y186" i="13"/>
  <c r="AD186" i="13" s="1"/>
  <c r="Z186" i="13"/>
  <c r="AA186" i="13"/>
  <c r="AB186" i="13"/>
  <c r="AC186" i="13"/>
  <c r="Y187" i="13"/>
  <c r="AD187" i="13" s="1"/>
  <c r="Z187" i="13"/>
  <c r="AA187" i="13"/>
  <c r="AB187" i="13"/>
  <c r="AC187" i="13"/>
  <c r="Y188" i="13"/>
  <c r="AD188" i="13" s="1"/>
  <c r="Z188" i="13"/>
  <c r="AA188" i="13"/>
  <c r="AB188" i="13"/>
  <c r="AC188" i="13"/>
  <c r="Y189" i="13"/>
  <c r="AD189" i="13" s="1"/>
  <c r="Z189" i="13"/>
  <c r="AA189" i="13"/>
  <c r="AB189" i="13"/>
  <c r="AC189" i="13"/>
  <c r="Y190" i="13"/>
  <c r="AD190" i="13" s="1"/>
  <c r="Z190" i="13"/>
  <c r="AA190" i="13"/>
  <c r="AB190" i="13"/>
  <c r="AC190" i="13"/>
  <c r="Y191" i="13"/>
  <c r="AD191" i="13" s="1"/>
  <c r="Z191" i="13"/>
  <c r="AA191" i="13"/>
  <c r="AB191" i="13"/>
  <c r="AC191" i="13"/>
  <c r="Y192" i="13"/>
  <c r="AD192" i="13" s="1"/>
  <c r="Z192" i="13"/>
  <c r="AA192" i="13"/>
  <c r="AB192" i="13"/>
  <c r="AC192" i="13"/>
  <c r="Y193" i="13"/>
  <c r="AD193" i="13" s="1"/>
  <c r="Z193" i="13"/>
  <c r="AA193" i="13"/>
  <c r="AB193" i="13"/>
  <c r="AC193" i="13"/>
  <c r="Y194" i="13"/>
  <c r="AD194" i="13" s="1"/>
  <c r="Z194" i="13"/>
  <c r="AA194" i="13"/>
  <c r="AB194" i="13"/>
  <c r="AC194" i="13"/>
  <c r="Y195" i="13"/>
  <c r="AD195" i="13" s="1"/>
  <c r="Z195" i="13"/>
  <c r="AA195" i="13"/>
  <c r="AB195" i="13"/>
  <c r="AC195" i="13"/>
  <c r="Y196" i="13"/>
  <c r="AD196" i="13" s="1"/>
  <c r="Z196" i="13"/>
  <c r="AA196" i="13"/>
  <c r="AB196" i="13"/>
  <c r="AC196" i="13"/>
  <c r="Y197" i="13"/>
  <c r="AD197" i="13" s="1"/>
  <c r="Z197" i="13"/>
  <c r="AA197" i="13"/>
  <c r="AB197" i="13"/>
  <c r="AC197" i="13"/>
  <c r="Y198" i="13"/>
  <c r="AD198" i="13" s="1"/>
  <c r="Z198" i="13"/>
  <c r="AA198" i="13"/>
  <c r="AB198" i="13"/>
  <c r="AC198" i="13"/>
  <c r="Y199" i="13"/>
  <c r="AD199" i="13" s="1"/>
  <c r="Z199" i="13"/>
  <c r="AA199" i="13"/>
  <c r="AB199" i="13"/>
  <c r="AC199" i="13"/>
  <c r="Y200" i="13"/>
  <c r="AD200" i="13" s="1"/>
  <c r="Z200" i="13"/>
  <c r="AA200" i="13"/>
  <c r="AB200" i="13"/>
  <c r="AC200" i="13"/>
  <c r="Y201" i="13"/>
  <c r="AD201" i="13" s="1"/>
  <c r="Z201" i="13"/>
  <c r="AA201" i="13"/>
  <c r="AB201" i="13"/>
  <c r="AC201" i="13"/>
  <c r="Y202" i="13"/>
  <c r="AD202" i="13" s="1"/>
  <c r="Z202" i="13"/>
  <c r="AA202" i="13"/>
  <c r="AB202" i="13"/>
  <c r="AC202" i="13"/>
  <c r="Y203" i="13"/>
  <c r="AD203" i="13" s="1"/>
  <c r="Z203" i="13"/>
  <c r="AA203" i="13"/>
  <c r="AB203" i="13"/>
  <c r="AC203" i="13"/>
  <c r="Y204" i="13"/>
  <c r="AD204" i="13" s="1"/>
  <c r="Z204" i="13"/>
  <c r="AA204" i="13"/>
  <c r="AB204" i="13"/>
  <c r="AC204" i="13"/>
  <c r="Y205" i="13"/>
  <c r="AD205" i="13" s="1"/>
  <c r="Z205" i="13"/>
  <c r="AA205" i="13"/>
  <c r="AB205" i="13"/>
  <c r="AC205" i="13"/>
  <c r="Y206" i="13"/>
  <c r="AD206" i="13" s="1"/>
  <c r="Z206" i="13"/>
  <c r="AA206" i="13"/>
  <c r="AB206" i="13"/>
  <c r="AC206" i="13"/>
  <c r="Y207" i="13"/>
  <c r="AD207" i="13" s="1"/>
  <c r="Z207" i="13"/>
  <c r="AA207" i="13"/>
  <c r="AB207" i="13"/>
  <c r="AC207" i="13"/>
  <c r="Y208" i="13"/>
  <c r="AD208" i="13" s="1"/>
  <c r="Z208" i="13"/>
  <c r="AA208" i="13"/>
  <c r="AB208" i="13"/>
  <c r="AC208" i="13"/>
  <c r="Y209" i="13"/>
  <c r="AD209" i="13" s="1"/>
  <c r="Z209" i="13"/>
  <c r="AA209" i="13"/>
  <c r="AB209" i="13"/>
  <c r="AC209" i="13"/>
  <c r="Y210" i="13"/>
  <c r="AD210" i="13" s="1"/>
  <c r="Z210" i="13"/>
  <c r="AA210" i="13"/>
  <c r="AB210" i="13"/>
  <c r="AC210" i="13"/>
  <c r="Y211" i="13"/>
  <c r="AD211" i="13" s="1"/>
  <c r="Z211" i="13"/>
  <c r="AA211" i="13"/>
  <c r="AB211" i="13"/>
  <c r="AC211" i="13"/>
  <c r="Y212" i="13"/>
  <c r="AD212" i="13" s="1"/>
  <c r="Z212" i="13"/>
  <c r="AA212" i="13"/>
  <c r="AB212" i="13"/>
  <c r="AC212" i="13"/>
  <c r="Y213" i="13"/>
  <c r="AD213" i="13" s="1"/>
  <c r="Z213" i="13"/>
  <c r="AA213" i="13"/>
  <c r="AB213" i="13"/>
  <c r="AC213" i="13"/>
  <c r="Y214" i="13"/>
  <c r="AD214" i="13" s="1"/>
  <c r="Z214" i="13"/>
  <c r="AA214" i="13"/>
  <c r="AB214" i="13"/>
  <c r="AC214" i="13"/>
  <c r="Y215" i="13"/>
  <c r="AD215" i="13" s="1"/>
  <c r="Z215" i="13"/>
  <c r="AA215" i="13"/>
  <c r="AB215" i="13"/>
  <c r="AC215" i="13"/>
  <c r="Y216" i="13"/>
  <c r="AD216" i="13" s="1"/>
  <c r="Z216" i="13"/>
  <c r="AA216" i="13"/>
  <c r="AB216" i="13"/>
  <c r="AC216" i="13"/>
  <c r="Y217" i="13"/>
  <c r="AD217" i="13" s="1"/>
  <c r="Z217" i="13"/>
  <c r="AA217" i="13"/>
  <c r="AB217" i="13"/>
  <c r="AC217" i="13"/>
  <c r="Y218" i="13"/>
  <c r="AD218" i="13" s="1"/>
  <c r="Z218" i="13"/>
  <c r="AA218" i="13"/>
  <c r="AB218" i="13"/>
  <c r="AC218" i="13"/>
  <c r="Y219" i="13"/>
  <c r="AD219" i="13" s="1"/>
  <c r="Z219" i="13"/>
  <c r="AA219" i="13"/>
  <c r="AB219" i="13"/>
  <c r="AC219" i="13"/>
  <c r="Y220" i="13"/>
  <c r="AD220" i="13" s="1"/>
  <c r="Z220" i="13"/>
  <c r="AA220" i="13"/>
  <c r="AB220" i="13"/>
  <c r="AC220" i="13"/>
  <c r="Y221" i="13"/>
  <c r="AD221" i="13" s="1"/>
  <c r="Z221" i="13"/>
  <c r="AA221" i="13"/>
  <c r="AB221" i="13"/>
  <c r="AC221" i="13"/>
  <c r="Y222" i="13"/>
  <c r="AD222" i="13" s="1"/>
  <c r="Z222" i="13"/>
  <c r="AA222" i="13"/>
  <c r="AB222" i="13"/>
  <c r="AC222" i="13"/>
  <c r="Y223" i="13"/>
  <c r="AD223" i="13" s="1"/>
  <c r="Z223" i="13"/>
  <c r="AA223" i="13"/>
  <c r="AB223" i="13"/>
  <c r="AC223" i="13"/>
  <c r="Y224" i="13"/>
  <c r="AD224" i="13" s="1"/>
  <c r="Z224" i="13"/>
  <c r="AA224" i="13"/>
  <c r="AB224" i="13"/>
  <c r="AC224" i="13"/>
  <c r="Y225" i="13"/>
  <c r="AD225" i="13" s="1"/>
  <c r="Z225" i="13"/>
  <c r="AA225" i="13"/>
  <c r="AB225" i="13"/>
  <c r="AC225" i="13"/>
  <c r="Y226" i="13"/>
  <c r="AD226" i="13" s="1"/>
  <c r="Z226" i="13"/>
  <c r="AA226" i="13"/>
  <c r="AB226" i="13"/>
  <c r="AC226" i="13"/>
  <c r="Y227" i="13"/>
  <c r="AD227" i="13" s="1"/>
  <c r="Z227" i="13"/>
  <c r="AA227" i="13"/>
  <c r="AB227" i="13"/>
  <c r="AC227" i="13"/>
  <c r="Z228" i="13"/>
  <c r="AA228" i="13"/>
  <c r="AB228" i="13"/>
  <c r="AC228" i="13"/>
  <c r="Y229" i="13"/>
  <c r="AD229" i="13" s="1"/>
  <c r="Z229" i="13"/>
  <c r="AA229" i="13"/>
  <c r="AB229" i="13"/>
  <c r="AC229" i="13"/>
  <c r="Y230" i="13"/>
  <c r="AD230" i="13" s="1"/>
  <c r="Z230" i="13"/>
  <c r="AA230" i="13"/>
  <c r="AB230" i="13"/>
  <c r="AC230" i="13"/>
  <c r="Y231" i="13"/>
  <c r="AD231" i="13" s="1"/>
  <c r="Z231" i="13"/>
  <c r="AA231" i="13"/>
  <c r="AB231" i="13"/>
  <c r="AC231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5" i="13"/>
  <c r="AY186" i="13"/>
  <c r="AY187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200" i="13"/>
  <c r="AY201" i="13"/>
  <c r="AY202" i="13"/>
  <c r="AY203" i="13"/>
  <c r="AY204" i="13"/>
  <c r="AY205" i="13"/>
  <c r="AY206" i="13"/>
  <c r="AY207" i="13"/>
  <c r="AY208" i="13"/>
  <c r="AY209" i="13"/>
  <c r="AY210" i="13"/>
  <c r="AY211" i="13"/>
  <c r="AY212" i="13"/>
  <c r="AY213" i="13"/>
  <c r="AY214" i="13"/>
  <c r="AY215" i="13"/>
  <c r="AY216" i="13"/>
  <c r="AY217" i="13"/>
  <c r="AY218" i="13"/>
  <c r="AY219" i="13"/>
  <c r="AY220" i="13"/>
  <c r="AY221" i="13"/>
  <c r="AY222" i="13"/>
  <c r="AY223" i="13"/>
  <c r="AY224" i="13"/>
  <c r="AY225" i="13"/>
  <c r="AY226" i="13"/>
  <c r="AY227" i="13"/>
  <c r="AY228" i="13"/>
  <c r="AY229" i="13"/>
  <c r="AY230" i="13"/>
  <c r="AY231" i="13"/>
  <c r="AX4" i="13"/>
  <c r="AX5" i="13"/>
  <c r="AX6" i="13"/>
  <c r="AX7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0" i="13"/>
  <c r="AX81" i="13"/>
  <c r="AX82" i="13"/>
  <c r="AX83" i="13"/>
  <c r="AX84" i="13"/>
  <c r="AX85" i="13"/>
  <c r="AX86" i="13"/>
  <c r="AX87" i="13"/>
  <c r="AX88" i="13"/>
  <c r="AX89" i="13"/>
  <c r="AX90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7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69" i="13"/>
  <c r="AX170" i="13"/>
  <c r="AX171" i="13"/>
  <c r="AX172" i="13"/>
  <c r="AX173" i="13"/>
  <c r="AX174" i="13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7" i="13"/>
  <c r="AX188" i="13"/>
  <c r="AX189" i="13"/>
  <c r="AX190" i="13"/>
  <c r="AX191" i="13"/>
  <c r="AX192" i="13"/>
  <c r="AX193" i="13"/>
  <c r="AX194" i="13"/>
  <c r="AX195" i="13"/>
  <c r="AX196" i="13"/>
  <c r="AX197" i="13"/>
  <c r="AX198" i="13"/>
  <c r="AX199" i="13"/>
  <c r="AX200" i="13"/>
  <c r="AX201" i="13"/>
  <c r="AX202" i="13"/>
  <c r="AX203" i="13"/>
  <c r="AX204" i="13"/>
  <c r="AX205" i="13"/>
  <c r="AX206" i="13"/>
  <c r="AX207" i="13"/>
  <c r="AX208" i="13"/>
  <c r="AX209" i="13"/>
  <c r="AX210" i="13"/>
  <c r="AX211" i="13"/>
  <c r="AX212" i="13"/>
  <c r="AX213" i="13"/>
  <c r="AX214" i="13"/>
  <c r="AX215" i="13"/>
  <c r="AX216" i="13"/>
  <c r="AX217" i="13"/>
  <c r="AX218" i="13"/>
  <c r="AX219" i="13"/>
  <c r="AX220" i="13"/>
  <c r="AX221" i="13"/>
  <c r="AX222" i="13"/>
  <c r="AX223" i="13"/>
  <c r="AX224" i="13"/>
  <c r="AX225" i="13"/>
  <c r="AX226" i="13"/>
  <c r="AX227" i="13"/>
  <c r="AX228" i="13"/>
  <c r="AX229" i="13"/>
  <c r="AX230" i="13"/>
  <c r="AX231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207" i="13"/>
  <c r="AW208" i="13"/>
  <c r="AW209" i="13"/>
  <c r="AW210" i="13"/>
  <c r="AW211" i="13"/>
  <c r="AW212" i="13"/>
  <c r="AW213" i="13"/>
  <c r="AW214" i="13"/>
  <c r="AW215" i="13"/>
  <c r="AW216" i="13"/>
  <c r="AW217" i="13"/>
  <c r="AW218" i="13"/>
  <c r="AW219" i="13"/>
  <c r="AW220" i="13"/>
  <c r="AW221" i="13"/>
  <c r="AW222" i="13"/>
  <c r="AW223" i="13"/>
  <c r="AW224" i="13"/>
  <c r="AW225" i="13"/>
  <c r="AW226" i="13"/>
  <c r="AW227" i="13"/>
  <c r="AW228" i="13"/>
  <c r="AW229" i="13"/>
  <c r="AW230" i="13"/>
  <c r="AW231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U168" i="13"/>
  <c r="AU169" i="13"/>
  <c r="AU170" i="13"/>
  <c r="AU171" i="13"/>
  <c r="AU172" i="13"/>
  <c r="AU173" i="13"/>
  <c r="AU174" i="13"/>
  <c r="AU175" i="13"/>
  <c r="AU176" i="13"/>
  <c r="AU177" i="13"/>
  <c r="AU178" i="13"/>
  <c r="AU179" i="13"/>
  <c r="AU180" i="13"/>
  <c r="AU181" i="13"/>
  <c r="AU182" i="13"/>
  <c r="AU183" i="13"/>
  <c r="AU184" i="13"/>
  <c r="AU185" i="13"/>
  <c r="AU186" i="13"/>
  <c r="AU187" i="13"/>
  <c r="AU188" i="13"/>
  <c r="AU189" i="13"/>
  <c r="AU190" i="13"/>
  <c r="AU191" i="13"/>
  <c r="AU192" i="13"/>
  <c r="AU193" i="13"/>
  <c r="AU194" i="13"/>
  <c r="AU195" i="13"/>
  <c r="AU196" i="13"/>
  <c r="AU197" i="13"/>
  <c r="AU198" i="13"/>
  <c r="AU199" i="13"/>
  <c r="AU200" i="13"/>
  <c r="AU201" i="13"/>
  <c r="AU202" i="13"/>
  <c r="AU203" i="13"/>
  <c r="AU204" i="13"/>
  <c r="AU205" i="13"/>
  <c r="AU206" i="13"/>
  <c r="AU207" i="13"/>
  <c r="AU208" i="13"/>
  <c r="AU209" i="13"/>
  <c r="AU210" i="13"/>
  <c r="AU211" i="13"/>
  <c r="AU212" i="13"/>
  <c r="AU213" i="13"/>
  <c r="AU214" i="13"/>
  <c r="AU215" i="13"/>
  <c r="AU216" i="13"/>
  <c r="AU217" i="13"/>
  <c r="AU218" i="13"/>
  <c r="AU219" i="13"/>
  <c r="AU220" i="13"/>
  <c r="AU221" i="13"/>
  <c r="AU222" i="13"/>
  <c r="AU223" i="13"/>
  <c r="AU224" i="13"/>
  <c r="AU225" i="13"/>
  <c r="AU226" i="13"/>
  <c r="AU227" i="13"/>
  <c r="AU228" i="13"/>
  <c r="AU229" i="13"/>
  <c r="AU230" i="13"/>
  <c r="AU231" i="13"/>
  <c r="AT4" i="13"/>
  <c r="AT5" i="13"/>
  <c r="AT6" i="13"/>
  <c r="AT7" i="13"/>
  <c r="AT8" i="13"/>
  <c r="AT9" i="13"/>
  <c r="AT10" i="13"/>
  <c r="AT11" i="13"/>
  <c r="AT12" i="13"/>
  <c r="AT13" i="13"/>
  <c r="AT14" i="13"/>
  <c r="AT15" i="13"/>
  <c r="AT16" i="13"/>
  <c r="AT17" i="13"/>
  <c r="AT18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1" i="13"/>
  <c r="AT62" i="13"/>
  <c r="AT63" i="13"/>
  <c r="AT64" i="13"/>
  <c r="AT65" i="13"/>
  <c r="AT66" i="13"/>
  <c r="AT67" i="13"/>
  <c r="AT68" i="13"/>
  <c r="AT69" i="13"/>
  <c r="AT70" i="13"/>
  <c r="AT71" i="13"/>
  <c r="AT72" i="13"/>
  <c r="AT73" i="13"/>
  <c r="AT74" i="13"/>
  <c r="AT75" i="13"/>
  <c r="AT76" i="13"/>
  <c r="AT77" i="13"/>
  <c r="AT78" i="13"/>
  <c r="AT79" i="13"/>
  <c r="AT80" i="13"/>
  <c r="AT81" i="13"/>
  <c r="AT82" i="13"/>
  <c r="AT83" i="13"/>
  <c r="AT84" i="13"/>
  <c r="AT85" i="13"/>
  <c r="AT86" i="13"/>
  <c r="AT87" i="13"/>
  <c r="AT88" i="13"/>
  <c r="AT89" i="13"/>
  <c r="AT90" i="13"/>
  <c r="AT91" i="13"/>
  <c r="AT92" i="13"/>
  <c r="AT93" i="13"/>
  <c r="AT94" i="13"/>
  <c r="AT95" i="13"/>
  <c r="AT96" i="13"/>
  <c r="AT97" i="13"/>
  <c r="AT98" i="13"/>
  <c r="AT99" i="13"/>
  <c r="AT100" i="13"/>
  <c r="AT101" i="13"/>
  <c r="AT102" i="13"/>
  <c r="AT103" i="13"/>
  <c r="AT104" i="13"/>
  <c r="AT105" i="13"/>
  <c r="AT106" i="13"/>
  <c r="AT107" i="13"/>
  <c r="AT108" i="13"/>
  <c r="AT109" i="13"/>
  <c r="AT110" i="13"/>
  <c r="AT111" i="13"/>
  <c r="AT112" i="13"/>
  <c r="AT113" i="13"/>
  <c r="AT114" i="13"/>
  <c r="AT115" i="13"/>
  <c r="AT116" i="13"/>
  <c r="AT117" i="13"/>
  <c r="AT118" i="13"/>
  <c r="AT119" i="13"/>
  <c r="AT120" i="13"/>
  <c r="AT121" i="13"/>
  <c r="AT122" i="13"/>
  <c r="AT123" i="13"/>
  <c r="AT124" i="13"/>
  <c r="AT125" i="13"/>
  <c r="AT126" i="13"/>
  <c r="AT127" i="13"/>
  <c r="AT128" i="13"/>
  <c r="AT129" i="13"/>
  <c r="AT130" i="13"/>
  <c r="AT131" i="13"/>
  <c r="AT132" i="13"/>
  <c r="AT133" i="13"/>
  <c r="AT134" i="13"/>
  <c r="AT135" i="13"/>
  <c r="AT136" i="13"/>
  <c r="AT137" i="13"/>
  <c r="AT138" i="13"/>
  <c r="AT139" i="13"/>
  <c r="AT140" i="13"/>
  <c r="AT141" i="13"/>
  <c r="AT142" i="13"/>
  <c r="AT143" i="13"/>
  <c r="AT144" i="13"/>
  <c r="AT145" i="13"/>
  <c r="AT146" i="13"/>
  <c r="AT147" i="13"/>
  <c r="AT148" i="13"/>
  <c r="AT149" i="13"/>
  <c r="AT150" i="13"/>
  <c r="AT151" i="13"/>
  <c r="AT152" i="13"/>
  <c r="AT153" i="13"/>
  <c r="AT154" i="13"/>
  <c r="AT155" i="13"/>
  <c r="AT156" i="13"/>
  <c r="AT157" i="13"/>
  <c r="AT158" i="13"/>
  <c r="AT159" i="13"/>
  <c r="AT160" i="13"/>
  <c r="AT161" i="13"/>
  <c r="AT162" i="13"/>
  <c r="AT163" i="13"/>
  <c r="AT164" i="13"/>
  <c r="AT165" i="13"/>
  <c r="AT166" i="13"/>
  <c r="AT167" i="13"/>
  <c r="AT168" i="13"/>
  <c r="AT169" i="13"/>
  <c r="AT170" i="13"/>
  <c r="AT171" i="13"/>
  <c r="AT172" i="13"/>
  <c r="AT173" i="13"/>
  <c r="AT174" i="13"/>
  <c r="AT175" i="13"/>
  <c r="AT176" i="13"/>
  <c r="AT177" i="13"/>
  <c r="AT178" i="13"/>
  <c r="AT179" i="13"/>
  <c r="AT180" i="13"/>
  <c r="AT181" i="13"/>
  <c r="AT182" i="13"/>
  <c r="AT183" i="13"/>
  <c r="AT184" i="13"/>
  <c r="AT185" i="13"/>
  <c r="AT186" i="13"/>
  <c r="AT187" i="13"/>
  <c r="AT188" i="13"/>
  <c r="AT189" i="13"/>
  <c r="AT190" i="13"/>
  <c r="AT191" i="13"/>
  <c r="AT192" i="13"/>
  <c r="AT193" i="13"/>
  <c r="AT194" i="13"/>
  <c r="AT195" i="13"/>
  <c r="AT196" i="13"/>
  <c r="AT197" i="13"/>
  <c r="AT198" i="13"/>
  <c r="AT199" i="13"/>
  <c r="AT200" i="13"/>
  <c r="AT201" i="13"/>
  <c r="AT202" i="13"/>
  <c r="AT203" i="13"/>
  <c r="AT204" i="13"/>
  <c r="AT205" i="13"/>
  <c r="AT206" i="13"/>
  <c r="AT207" i="13"/>
  <c r="AT208" i="13"/>
  <c r="AT209" i="13"/>
  <c r="AT210" i="13"/>
  <c r="AT211" i="13"/>
  <c r="AT212" i="13"/>
  <c r="AT213" i="13"/>
  <c r="AT214" i="13"/>
  <c r="AT215" i="13"/>
  <c r="AT216" i="13"/>
  <c r="AT217" i="13"/>
  <c r="AT218" i="13"/>
  <c r="AT219" i="13"/>
  <c r="AT220" i="13"/>
  <c r="AT221" i="13"/>
  <c r="AT222" i="13"/>
  <c r="AT223" i="13"/>
  <c r="AT224" i="13"/>
  <c r="AT225" i="13"/>
  <c r="AT226" i="13"/>
  <c r="AT227" i="13"/>
  <c r="AT228" i="13"/>
  <c r="AT229" i="13"/>
  <c r="AT230" i="13"/>
  <c r="AT231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178" i="13"/>
  <c r="AS179" i="13"/>
  <c r="AS180" i="13"/>
  <c r="AS181" i="13"/>
  <c r="AS182" i="13"/>
  <c r="AS183" i="13"/>
  <c r="AS184" i="13"/>
  <c r="AS185" i="13"/>
  <c r="AS186" i="13"/>
  <c r="AS187" i="13"/>
  <c r="AS188" i="13"/>
  <c r="AS189" i="13"/>
  <c r="AS190" i="13"/>
  <c r="AS191" i="13"/>
  <c r="AS192" i="13"/>
  <c r="AS193" i="13"/>
  <c r="AS194" i="13"/>
  <c r="AS195" i="13"/>
  <c r="AS196" i="13"/>
  <c r="AS197" i="13"/>
  <c r="AS198" i="13"/>
  <c r="AS199" i="13"/>
  <c r="AS200" i="13"/>
  <c r="AS201" i="13"/>
  <c r="AS202" i="13"/>
  <c r="AS203" i="13"/>
  <c r="AS204" i="13"/>
  <c r="AS205" i="13"/>
  <c r="AS206" i="13"/>
  <c r="AS207" i="13"/>
  <c r="AS208" i="13"/>
  <c r="AS209" i="13"/>
  <c r="AS210" i="13"/>
  <c r="AS211" i="13"/>
  <c r="AS212" i="13"/>
  <c r="AS213" i="13"/>
  <c r="AS214" i="13"/>
  <c r="AS215" i="13"/>
  <c r="AS216" i="13"/>
  <c r="AS217" i="13"/>
  <c r="AS218" i="13"/>
  <c r="AS219" i="13"/>
  <c r="AS220" i="13"/>
  <c r="AS221" i="13"/>
  <c r="AS222" i="13"/>
  <c r="AS223" i="13"/>
  <c r="AS224" i="13"/>
  <c r="AS225" i="13"/>
  <c r="AS226" i="13"/>
  <c r="AS227" i="13"/>
  <c r="AS228" i="13"/>
  <c r="AS229" i="13"/>
  <c r="AS230" i="13"/>
  <c r="AS231" i="13"/>
  <c r="AR4" i="13"/>
  <c r="AR5" i="13"/>
  <c r="AR6" i="13"/>
  <c r="AR7" i="13"/>
  <c r="AR8" i="13"/>
  <c r="AR9" i="13"/>
  <c r="AR10" i="13"/>
  <c r="AR11" i="13"/>
  <c r="AR12" i="13"/>
  <c r="AR13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64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2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95" i="13"/>
  <c r="AR96" i="13"/>
  <c r="AR97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3" i="13"/>
  <c r="AR114" i="13"/>
  <c r="AR115" i="13"/>
  <c r="AR116" i="13"/>
  <c r="AR117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2" i="13"/>
  <c r="AR143" i="13"/>
  <c r="AR144" i="13"/>
  <c r="AR145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185" i="13"/>
  <c r="AR186" i="13"/>
  <c r="AR187" i="13"/>
  <c r="AR188" i="13"/>
  <c r="AR189" i="13"/>
  <c r="AR190" i="13"/>
  <c r="AR191" i="13"/>
  <c r="AR192" i="13"/>
  <c r="AR193" i="13"/>
  <c r="AR194" i="13"/>
  <c r="AR195" i="13"/>
  <c r="AR196" i="13"/>
  <c r="AR197" i="13"/>
  <c r="AR198" i="13"/>
  <c r="AR199" i="13"/>
  <c r="AR200" i="13"/>
  <c r="AR201" i="13"/>
  <c r="AR202" i="13"/>
  <c r="AR203" i="13"/>
  <c r="AR204" i="13"/>
  <c r="AR205" i="13"/>
  <c r="AR206" i="13"/>
  <c r="AR207" i="13"/>
  <c r="AR208" i="13"/>
  <c r="AR209" i="13"/>
  <c r="AR210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2" i="13"/>
  <c r="AR223" i="13"/>
  <c r="AR224" i="13"/>
  <c r="AR225" i="13"/>
  <c r="AR226" i="13"/>
  <c r="AR227" i="13"/>
  <c r="AR228" i="13"/>
  <c r="AR229" i="13"/>
  <c r="AR230" i="13"/>
  <c r="AR231" i="13"/>
  <c r="AQ4" i="13"/>
  <c r="AV4" i="13" s="1"/>
  <c r="AQ5" i="13"/>
  <c r="AV5" i="13" s="1"/>
  <c r="AQ6" i="13"/>
  <c r="AV6" i="13" s="1"/>
  <c r="AQ7" i="13"/>
  <c r="AV7" i="13" s="1"/>
  <c r="AQ8" i="13"/>
  <c r="AV8" i="13" s="1"/>
  <c r="AQ9" i="13"/>
  <c r="AV9" i="13" s="1"/>
  <c r="AQ10" i="13"/>
  <c r="AV10" i="13" s="1"/>
  <c r="AQ11" i="13"/>
  <c r="AV11" i="13" s="1"/>
  <c r="AQ12" i="13"/>
  <c r="AV12" i="13" s="1"/>
  <c r="AQ13" i="13"/>
  <c r="AV13" i="13" s="1"/>
  <c r="AQ14" i="13"/>
  <c r="AV14" i="13" s="1"/>
  <c r="AQ15" i="13"/>
  <c r="AV15" i="13" s="1"/>
  <c r="AQ16" i="13"/>
  <c r="AV16" i="13" s="1"/>
  <c r="AQ17" i="13"/>
  <c r="AV17" i="13" s="1"/>
  <c r="AQ18" i="13"/>
  <c r="AV18" i="13" s="1"/>
  <c r="AQ19" i="13"/>
  <c r="AV19" i="13" s="1"/>
  <c r="AQ20" i="13"/>
  <c r="AV20" i="13" s="1"/>
  <c r="AQ21" i="13"/>
  <c r="AV21" i="13" s="1"/>
  <c r="AQ22" i="13"/>
  <c r="AV22" i="13" s="1"/>
  <c r="AQ23" i="13"/>
  <c r="AV23" i="13" s="1"/>
  <c r="AQ24" i="13"/>
  <c r="AV24" i="13" s="1"/>
  <c r="AQ25" i="13"/>
  <c r="AV25" i="13" s="1"/>
  <c r="AQ26" i="13"/>
  <c r="AV26" i="13" s="1"/>
  <c r="AQ27" i="13"/>
  <c r="AV27" i="13" s="1"/>
  <c r="AQ28" i="13"/>
  <c r="AV28" i="13" s="1"/>
  <c r="AQ29" i="13"/>
  <c r="AV29" i="13" s="1"/>
  <c r="AQ30" i="13"/>
  <c r="AV30" i="13" s="1"/>
  <c r="AQ31" i="13"/>
  <c r="AV31" i="13" s="1"/>
  <c r="AQ32" i="13"/>
  <c r="AV32" i="13" s="1"/>
  <c r="AQ33" i="13"/>
  <c r="AV33" i="13" s="1"/>
  <c r="AQ34" i="13"/>
  <c r="AV34" i="13" s="1"/>
  <c r="AQ35" i="13"/>
  <c r="AV35" i="13" s="1"/>
  <c r="AQ36" i="13"/>
  <c r="AV36" i="13" s="1"/>
  <c r="AQ37" i="13"/>
  <c r="AV37" i="13" s="1"/>
  <c r="AQ38" i="13"/>
  <c r="AV38" i="13" s="1"/>
  <c r="AQ39" i="13"/>
  <c r="AV39" i="13" s="1"/>
  <c r="AQ40" i="13"/>
  <c r="AV40" i="13" s="1"/>
  <c r="AQ41" i="13"/>
  <c r="AV41" i="13" s="1"/>
  <c r="AQ42" i="13"/>
  <c r="AV42" i="13" s="1"/>
  <c r="AQ43" i="13"/>
  <c r="AV43" i="13" s="1"/>
  <c r="AQ44" i="13"/>
  <c r="AV44" i="13" s="1"/>
  <c r="AQ45" i="13"/>
  <c r="AV45" i="13" s="1"/>
  <c r="AQ46" i="13"/>
  <c r="AV46" i="13" s="1"/>
  <c r="AQ47" i="13"/>
  <c r="AV47" i="13" s="1"/>
  <c r="AQ48" i="13"/>
  <c r="AV48" i="13" s="1"/>
  <c r="AQ49" i="13"/>
  <c r="AV49" i="13" s="1"/>
  <c r="AQ50" i="13"/>
  <c r="AV50" i="13" s="1"/>
  <c r="AQ51" i="13"/>
  <c r="AV51" i="13" s="1"/>
  <c r="AQ52" i="13"/>
  <c r="AV52" i="13" s="1"/>
  <c r="AQ53" i="13"/>
  <c r="AV53" i="13" s="1"/>
  <c r="AQ54" i="13"/>
  <c r="AV54" i="13" s="1"/>
  <c r="AQ55" i="13"/>
  <c r="AV55" i="13" s="1"/>
  <c r="AQ56" i="13"/>
  <c r="AV56" i="13" s="1"/>
  <c r="AQ57" i="13"/>
  <c r="AV57" i="13" s="1"/>
  <c r="AQ58" i="13"/>
  <c r="AV58" i="13" s="1"/>
  <c r="AQ59" i="13"/>
  <c r="AV59" i="13" s="1"/>
  <c r="AQ60" i="13"/>
  <c r="AV60" i="13" s="1"/>
  <c r="AQ61" i="13"/>
  <c r="AV61" i="13" s="1"/>
  <c r="AQ62" i="13"/>
  <c r="AV62" i="13" s="1"/>
  <c r="AQ63" i="13"/>
  <c r="AV63" i="13" s="1"/>
  <c r="AQ64" i="13"/>
  <c r="AV64" i="13" s="1"/>
  <c r="AQ65" i="13"/>
  <c r="AV65" i="13" s="1"/>
  <c r="AQ66" i="13"/>
  <c r="AV66" i="13" s="1"/>
  <c r="AQ67" i="13"/>
  <c r="AV67" i="13" s="1"/>
  <c r="AQ68" i="13"/>
  <c r="AV68" i="13" s="1"/>
  <c r="AQ69" i="13"/>
  <c r="AV69" i="13" s="1"/>
  <c r="AQ70" i="13"/>
  <c r="AV70" i="13" s="1"/>
  <c r="AQ71" i="13"/>
  <c r="AV71" i="13" s="1"/>
  <c r="AQ72" i="13"/>
  <c r="AV72" i="13" s="1"/>
  <c r="AQ73" i="13"/>
  <c r="AV73" i="13" s="1"/>
  <c r="AQ74" i="13"/>
  <c r="AV74" i="13" s="1"/>
  <c r="AQ75" i="13"/>
  <c r="AV75" i="13" s="1"/>
  <c r="AQ76" i="13"/>
  <c r="AV76" i="13" s="1"/>
  <c r="AQ77" i="13"/>
  <c r="AV77" i="13" s="1"/>
  <c r="AQ78" i="13"/>
  <c r="AV78" i="13" s="1"/>
  <c r="AQ79" i="13"/>
  <c r="AV79" i="13" s="1"/>
  <c r="AQ80" i="13"/>
  <c r="AV80" i="13" s="1"/>
  <c r="AQ81" i="13"/>
  <c r="AV81" i="13" s="1"/>
  <c r="AQ82" i="13"/>
  <c r="AV82" i="13" s="1"/>
  <c r="AQ83" i="13"/>
  <c r="AV83" i="13" s="1"/>
  <c r="AQ84" i="13"/>
  <c r="AV84" i="13" s="1"/>
  <c r="AQ85" i="13"/>
  <c r="AV85" i="13" s="1"/>
  <c r="AQ86" i="13"/>
  <c r="AV86" i="13" s="1"/>
  <c r="AQ87" i="13"/>
  <c r="AV87" i="13" s="1"/>
  <c r="AQ88" i="13"/>
  <c r="AV88" i="13" s="1"/>
  <c r="AQ89" i="13"/>
  <c r="AV89" i="13" s="1"/>
  <c r="AQ90" i="13"/>
  <c r="AV90" i="13" s="1"/>
  <c r="AQ91" i="13"/>
  <c r="AV91" i="13" s="1"/>
  <c r="AQ92" i="13"/>
  <c r="AV92" i="13" s="1"/>
  <c r="AQ93" i="13"/>
  <c r="AV93" i="13" s="1"/>
  <c r="AQ94" i="13"/>
  <c r="AV94" i="13" s="1"/>
  <c r="AQ95" i="13"/>
  <c r="AV95" i="13" s="1"/>
  <c r="AQ96" i="13"/>
  <c r="AV96" i="13" s="1"/>
  <c r="AQ97" i="13"/>
  <c r="AV97" i="13" s="1"/>
  <c r="AQ98" i="13"/>
  <c r="AV98" i="13" s="1"/>
  <c r="AQ99" i="13"/>
  <c r="AV99" i="13" s="1"/>
  <c r="AQ100" i="13"/>
  <c r="AV100" i="13" s="1"/>
  <c r="AQ101" i="13"/>
  <c r="AV101" i="13" s="1"/>
  <c r="AQ102" i="13"/>
  <c r="AV102" i="13" s="1"/>
  <c r="AQ103" i="13"/>
  <c r="AV103" i="13" s="1"/>
  <c r="AQ104" i="13"/>
  <c r="AV104" i="13" s="1"/>
  <c r="AQ105" i="13"/>
  <c r="AV105" i="13" s="1"/>
  <c r="AQ106" i="13"/>
  <c r="AV106" i="13" s="1"/>
  <c r="AQ107" i="13"/>
  <c r="AV107" i="13" s="1"/>
  <c r="AQ108" i="13"/>
  <c r="AV108" i="13" s="1"/>
  <c r="AQ109" i="13"/>
  <c r="AV109" i="13" s="1"/>
  <c r="AQ110" i="13"/>
  <c r="AV110" i="13" s="1"/>
  <c r="AQ111" i="13"/>
  <c r="AV111" i="13" s="1"/>
  <c r="AQ112" i="13"/>
  <c r="AV112" i="13" s="1"/>
  <c r="AQ113" i="13"/>
  <c r="AV113" i="13" s="1"/>
  <c r="AQ114" i="13"/>
  <c r="AV114" i="13" s="1"/>
  <c r="AQ115" i="13"/>
  <c r="AV115" i="13" s="1"/>
  <c r="AQ116" i="13"/>
  <c r="AV116" i="13" s="1"/>
  <c r="AQ117" i="13"/>
  <c r="AV117" i="13" s="1"/>
  <c r="AQ118" i="13"/>
  <c r="AV118" i="13" s="1"/>
  <c r="AQ119" i="13"/>
  <c r="AV119" i="13" s="1"/>
  <c r="AQ120" i="13"/>
  <c r="AV120" i="13" s="1"/>
  <c r="AQ121" i="13"/>
  <c r="AV121" i="13" s="1"/>
  <c r="AQ122" i="13"/>
  <c r="AV122" i="13" s="1"/>
  <c r="AQ123" i="13"/>
  <c r="AV123" i="13" s="1"/>
  <c r="AQ124" i="13"/>
  <c r="AV124" i="13" s="1"/>
  <c r="AQ125" i="13"/>
  <c r="AV125" i="13" s="1"/>
  <c r="AQ126" i="13"/>
  <c r="AV126" i="13" s="1"/>
  <c r="AQ127" i="13"/>
  <c r="AV127" i="13" s="1"/>
  <c r="AQ128" i="13"/>
  <c r="AV128" i="13" s="1"/>
  <c r="AQ129" i="13"/>
  <c r="AV129" i="13" s="1"/>
  <c r="AQ130" i="13"/>
  <c r="AV130" i="13" s="1"/>
  <c r="AQ131" i="13"/>
  <c r="AV131" i="13" s="1"/>
  <c r="AQ132" i="13"/>
  <c r="AV132" i="13" s="1"/>
  <c r="AQ133" i="13"/>
  <c r="AV133" i="13" s="1"/>
  <c r="AQ134" i="13"/>
  <c r="AV134" i="13" s="1"/>
  <c r="AQ135" i="13"/>
  <c r="AV135" i="13" s="1"/>
  <c r="AQ136" i="13"/>
  <c r="AV136" i="13" s="1"/>
  <c r="AQ137" i="13"/>
  <c r="AV137" i="13" s="1"/>
  <c r="AQ138" i="13"/>
  <c r="AV138" i="13" s="1"/>
  <c r="AQ139" i="13"/>
  <c r="AV139" i="13" s="1"/>
  <c r="AQ140" i="13"/>
  <c r="AV140" i="13" s="1"/>
  <c r="AQ141" i="13"/>
  <c r="AV141" i="13" s="1"/>
  <c r="AQ142" i="13"/>
  <c r="AV142" i="13" s="1"/>
  <c r="AQ143" i="13"/>
  <c r="AV143" i="13" s="1"/>
  <c r="AQ144" i="13"/>
  <c r="AV144" i="13" s="1"/>
  <c r="AQ145" i="13"/>
  <c r="AV145" i="13" s="1"/>
  <c r="AQ146" i="13"/>
  <c r="AV146" i="13" s="1"/>
  <c r="AQ147" i="13"/>
  <c r="AV147" i="13" s="1"/>
  <c r="AQ148" i="13"/>
  <c r="AV148" i="13" s="1"/>
  <c r="AQ149" i="13"/>
  <c r="AV149" i="13" s="1"/>
  <c r="AQ150" i="13"/>
  <c r="AV150" i="13" s="1"/>
  <c r="AQ151" i="13"/>
  <c r="AV151" i="13" s="1"/>
  <c r="AQ152" i="13"/>
  <c r="AV152" i="13" s="1"/>
  <c r="AQ153" i="13"/>
  <c r="AV153" i="13" s="1"/>
  <c r="AQ154" i="13"/>
  <c r="AV154" i="13" s="1"/>
  <c r="AQ155" i="13"/>
  <c r="AV155" i="13" s="1"/>
  <c r="AQ156" i="13"/>
  <c r="AV156" i="13" s="1"/>
  <c r="AQ157" i="13"/>
  <c r="AV157" i="13" s="1"/>
  <c r="AQ158" i="13"/>
  <c r="AV158" i="13" s="1"/>
  <c r="AQ159" i="13"/>
  <c r="AV159" i="13" s="1"/>
  <c r="AQ160" i="13"/>
  <c r="AV160" i="13" s="1"/>
  <c r="AQ161" i="13"/>
  <c r="AV161" i="13" s="1"/>
  <c r="AQ162" i="13"/>
  <c r="AV162" i="13" s="1"/>
  <c r="AQ163" i="13"/>
  <c r="AV163" i="13" s="1"/>
  <c r="AQ164" i="13"/>
  <c r="AV164" i="13" s="1"/>
  <c r="AQ165" i="13"/>
  <c r="AV165" i="13" s="1"/>
  <c r="AQ166" i="13"/>
  <c r="AV166" i="13" s="1"/>
  <c r="AQ167" i="13"/>
  <c r="AV167" i="13" s="1"/>
  <c r="AQ168" i="13"/>
  <c r="AV168" i="13" s="1"/>
  <c r="AQ169" i="13"/>
  <c r="AV169" i="13" s="1"/>
  <c r="AQ170" i="13"/>
  <c r="AV170" i="13" s="1"/>
  <c r="AQ171" i="13"/>
  <c r="AV171" i="13" s="1"/>
  <c r="AQ172" i="13"/>
  <c r="AV172" i="13" s="1"/>
  <c r="AQ173" i="13"/>
  <c r="AV173" i="13" s="1"/>
  <c r="AQ174" i="13"/>
  <c r="AV174" i="13" s="1"/>
  <c r="AQ175" i="13"/>
  <c r="AV175" i="13" s="1"/>
  <c r="AQ176" i="13"/>
  <c r="AV176" i="13" s="1"/>
  <c r="AQ177" i="13"/>
  <c r="AV177" i="13" s="1"/>
  <c r="AQ178" i="13"/>
  <c r="AV178" i="13" s="1"/>
  <c r="AQ179" i="13"/>
  <c r="AV179" i="13" s="1"/>
  <c r="AQ180" i="13"/>
  <c r="AV180" i="13" s="1"/>
  <c r="AQ181" i="13"/>
  <c r="AV181" i="13" s="1"/>
  <c r="AQ182" i="13"/>
  <c r="AV182" i="13" s="1"/>
  <c r="AQ183" i="13"/>
  <c r="AV183" i="13" s="1"/>
  <c r="AQ184" i="13"/>
  <c r="AV184" i="13" s="1"/>
  <c r="AQ185" i="13"/>
  <c r="AV185" i="13" s="1"/>
  <c r="AQ186" i="13"/>
  <c r="AV186" i="13" s="1"/>
  <c r="AQ187" i="13"/>
  <c r="AV187" i="13" s="1"/>
  <c r="AQ188" i="13"/>
  <c r="AV188" i="13" s="1"/>
  <c r="AQ189" i="13"/>
  <c r="AV189" i="13" s="1"/>
  <c r="AQ190" i="13"/>
  <c r="AV190" i="13" s="1"/>
  <c r="AQ191" i="13"/>
  <c r="AV191" i="13" s="1"/>
  <c r="AQ192" i="13"/>
  <c r="AV192" i="13" s="1"/>
  <c r="AQ193" i="13"/>
  <c r="AV193" i="13" s="1"/>
  <c r="AQ194" i="13"/>
  <c r="AV194" i="13" s="1"/>
  <c r="AQ195" i="13"/>
  <c r="AV195" i="13" s="1"/>
  <c r="AQ196" i="13"/>
  <c r="AV196" i="13" s="1"/>
  <c r="AQ197" i="13"/>
  <c r="AV197" i="13" s="1"/>
  <c r="AQ198" i="13"/>
  <c r="AV198" i="13" s="1"/>
  <c r="AQ199" i="13"/>
  <c r="AV199" i="13" s="1"/>
  <c r="AQ200" i="13"/>
  <c r="AV200" i="13" s="1"/>
  <c r="AQ201" i="13"/>
  <c r="AV201" i="13" s="1"/>
  <c r="AQ202" i="13"/>
  <c r="AV202" i="13" s="1"/>
  <c r="AQ203" i="13"/>
  <c r="AV203" i="13" s="1"/>
  <c r="AQ204" i="13"/>
  <c r="AV204" i="13" s="1"/>
  <c r="AQ205" i="13"/>
  <c r="AV205" i="13" s="1"/>
  <c r="AQ206" i="13"/>
  <c r="AV206" i="13" s="1"/>
  <c r="AQ207" i="13"/>
  <c r="AV207" i="13" s="1"/>
  <c r="AQ208" i="13"/>
  <c r="AV208" i="13" s="1"/>
  <c r="AQ209" i="13"/>
  <c r="AV209" i="13" s="1"/>
  <c r="AQ210" i="13"/>
  <c r="AV210" i="13" s="1"/>
  <c r="AQ211" i="13"/>
  <c r="AV211" i="13" s="1"/>
  <c r="AQ212" i="13"/>
  <c r="AV212" i="13" s="1"/>
  <c r="AQ213" i="13"/>
  <c r="AV213" i="13" s="1"/>
  <c r="AQ214" i="13"/>
  <c r="AV214" i="13" s="1"/>
  <c r="AQ215" i="13"/>
  <c r="AV215" i="13" s="1"/>
  <c r="AQ216" i="13"/>
  <c r="AV216" i="13" s="1"/>
  <c r="AQ217" i="13"/>
  <c r="AV217" i="13" s="1"/>
  <c r="AQ218" i="13"/>
  <c r="AV218" i="13" s="1"/>
  <c r="AQ219" i="13"/>
  <c r="AV219" i="13" s="1"/>
  <c r="AQ220" i="13"/>
  <c r="AV220" i="13" s="1"/>
  <c r="AQ221" i="13"/>
  <c r="AV221" i="13" s="1"/>
  <c r="AQ222" i="13"/>
  <c r="AV222" i="13" s="1"/>
  <c r="AQ223" i="13"/>
  <c r="AV223" i="13" s="1"/>
  <c r="AQ224" i="13"/>
  <c r="AV224" i="13" s="1"/>
  <c r="AQ225" i="13"/>
  <c r="AV225" i="13" s="1"/>
  <c r="AQ226" i="13"/>
  <c r="AV226" i="13" s="1"/>
  <c r="AQ227" i="13"/>
  <c r="AV227" i="13" s="1"/>
  <c r="AQ228" i="13"/>
  <c r="AV228" i="13" s="1"/>
  <c r="AQ229" i="13"/>
  <c r="AV229" i="13" s="1"/>
  <c r="AQ230" i="13"/>
  <c r="AV230" i="13" s="1"/>
  <c r="AQ231" i="13"/>
  <c r="AV231" i="13" s="1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N4" i="13"/>
  <c r="AN5" i="13"/>
  <c r="AN6" i="13"/>
  <c r="AN7" i="13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48" i="13"/>
  <c r="AN49" i="13"/>
  <c r="AN50" i="13"/>
  <c r="AN51" i="13"/>
  <c r="AN52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81" i="13"/>
  <c r="AN82" i="13"/>
  <c r="AN83" i="13"/>
  <c r="AN84" i="13"/>
  <c r="AN85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N103" i="13"/>
  <c r="AN104" i="13"/>
  <c r="AN105" i="13"/>
  <c r="AN106" i="13"/>
  <c r="AN107" i="13"/>
  <c r="AN108" i="13"/>
  <c r="AN109" i="13"/>
  <c r="AN110" i="13"/>
  <c r="AN111" i="13"/>
  <c r="AN112" i="13"/>
  <c r="AN113" i="13"/>
  <c r="AN114" i="13"/>
  <c r="AN115" i="13"/>
  <c r="AN116" i="13"/>
  <c r="AN117" i="13"/>
  <c r="AN118" i="13"/>
  <c r="AN119" i="13"/>
  <c r="AN120" i="13"/>
  <c r="AN121" i="13"/>
  <c r="AN122" i="13"/>
  <c r="AN123" i="13"/>
  <c r="AN124" i="13"/>
  <c r="AN125" i="13"/>
  <c r="AN126" i="13"/>
  <c r="AN127" i="13"/>
  <c r="AN128" i="13"/>
  <c r="AN129" i="13"/>
  <c r="AN130" i="13"/>
  <c r="AN131" i="13"/>
  <c r="AN132" i="13"/>
  <c r="AN133" i="13"/>
  <c r="AN134" i="13"/>
  <c r="AN135" i="13"/>
  <c r="AN136" i="13"/>
  <c r="AN137" i="13"/>
  <c r="AN138" i="13"/>
  <c r="AN139" i="13"/>
  <c r="AN140" i="13"/>
  <c r="AN141" i="13"/>
  <c r="AN142" i="13"/>
  <c r="AN143" i="13"/>
  <c r="AN144" i="13"/>
  <c r="AN145" i="13"/>
  <c r="AN146" i="13"/>
  <c r="AN147" i="13"/>
  <c r="AN148" i="13"/>
  <c r="AN149" i="13"/>
  <c r="AN150" i="13"/>
  <c r="AN151" i="13"/>
  <c r="AN152" i="13"/>
  <c r="AN153" i="13"/>
  <c r="AN154" i="13"/>
  <c r="AN155" i="13"/>
  <c r="AN156" i="13"/>
  <c r="AN157" i="13"/>
  <c r="AN158" i="13"/>
  <c r="AN159" i="13"/>
  <c r="AN160" i="13"/>
  <c r="AN161" i="13"/>
  <c r="AN162" i="13"/>
  <c r="AN163" i="13"/>
  <c r="AN164" i="13"/>
  <c r="AN165" i="13"/>
  <c r="AN166" i="13"/>
  <c r="AN167" i="13"/>
  <c r="AN168" i="13"/>
  <c r="AN169" i="13"/>
  <c r="AN170" i="13"/>
  <c r="AN171" i="13"/>
  <c r="AN172" i="13"/>
  <c r="AN173" i="13"/>
  <c r="AN174" i="13"/>
  <c r="AN175" i="13"/>
  <c r="AN176" i="13"/>
  <c r="AN177" i="13"/>
  <c r="AN178" i="13"/>
  <c r="AN179" i="13"/>
  <c r="AN180" i="13"/>
  <c r="AN181" i="13"/>
  <c r="AN182" i="13"/>
  <c r="AN183" i="13"/>
  <c r="AN184" i="13"/>
  <c r="AN185" i="13"/>
  <c r="AN186" i="13"/>
  <c r="AN187" i="13"/>
  <c r="AN188" i="13"/>
  <c r="AN189" i="13"/>
  <c r="AN190" i="13"/>
  <c r="AN191" i="13"/>
  <c r="AN192" i="13"/>
  <c r="AN193" i="13"/>
  <c r="AN194" i="13"/>
  <c r="AN195" i="13"/>
  <c r="AN196" i="13"/>
  <c r="AN197" i="13"/>
  <c r="AN198" i="13"/>
  <c r="AN199" i="13"/>
  <c r="AN200" i="13"/>
  <c r="AN201" i="13"/>
  <c r="AN202" i="13"/>
  <c r="AN203" i="13"/>
  <c r="AN204" i="13"/>
  <c r="AN205" i="13"/>
  <c r="AN206" i="13"/>
  <c r="AN207" i="13"/>
  <c r="AN208" i="13"/>
  <c r="AN209" i="13"/>
  <c r="AN210" i="13"/>
  <c r="AN211" i="13"/>
  <c r="AN212" i="13"/>
  <c r="AN213" i="13"/>
  <c r="AN214" i="13"/>
  <c r="AN215" i="13"/>
  <c r="AN216" i="13"/>
  <c r="AN217" i="13"/>
  <c r="AN218" i="13"/>
  <c r="AN219" i="13"/>
  <c r="AN220" i="13"/>
  <c r="AN221" i="13"/>
  <c r="AN222" i="13"/>
  <c r="AN223" i="13"/>
  <c r="AN224" i="13"/>
  <c r="AN225" i="13"/>
  <c r="AN226" i="13"/>
  <c r="AN227" i="13"/>
  <c r="AN228" i="13"/>
  <c r="AN229" i="13"/>
  <c r="AN230" i="13"/>
  <c r="AN231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2" i="13"/>
  <c r="AM183" i="13"/>
  <c r="AM184" i="13"/>
  <c r="AM185" i="13"/>
  <c r="AM186" i="13"/>
  <c r="AM187" i="13"/>
  <c r="AM188" i="13"/>
  <c r="AM189" i="13"/>
  <c r="AM190" i="13"/>
  <c r="AM191" i="13"/>
  <c r="AM192" i="13"/>
  <c r="AM193" i="13"/>
  <c r="AM194" i="13"/>
  <c r="AM195" i="13"/>
  <c r="AM196" i="13"/>
  <c r="AM197" i="13"/>
  <c r="AM198" i="13"/>
  <c r="AM199" i="13"/>
  <c r="AM200" i="13"/>
  <c r="AM201" i="13"/>
  <c r="AM202" i="13"/>
  <c r="AM203" i="13"/>
  <c r="AM204" i="13"/>
  <c r="AM205" i="13"/>
  <c r="AM206" i="13"/>
  <c r="AM207" i="13"/>
  <c r="AM208" i="13"/>
  <c r="AM209" i="13"/>
  <c r="AM210" i="13"/>
  <c r="AM211" i="13"/>
  <c r="AM212" i="13"/>
  <c r="AM213" i="13"/>
  <c r="AM214" i="13"/>
  <c r="AM215" i="13"/>
  <c r="AM216" i="13"/>
  <c r="AM217" i="13"/>
  <c r="AM218" i="13"/>
  <c r="AM219" i="13"/>
  <c r="AM220" i="13"/>
  <c r="AM221" i="13"/>
  <c r="AM222" i="13"/>
  <c r="AM223" i="13"/>
  <c r="AM224" i="13"/>
  <c r="AM225" i="13"/>
  <c r="AM226" i="13"/>
  <c r="AM227" i="13"/>
  <c r="AM228" i="13"/>
  <c r="AM229" i="13"/>
  <c r="AM230" i="13"/>
  <c r="AM231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L124" i="13"/>
  <c r="AL125" i="13"/>
  <c r="AL126" i="13"/>
  <c r="AL127" i="13"/>
  <c r="AL128" i="13"/>
  <c r="AL129" i="13"/>
  <c r="AL130" i="13"/>
  <c r="AL131" i="13"/>
  <c r="AL132" i="13"/>
  <c r="AL133" i="13"/>
  <c r="AL134" i="13"/>
  <c r="AL135" i="13"/>
  <c r="AL136" i="13"/>
  <c r="AL137" i="13"/>
  <c r="AL138" i="13"/>
  <c r="AL139" i="13"/>
  <c r="AL140" i="13"/>
  <c r="AL141" i="13"/>
  <c r="AL142" i="13"/>
  <c r="AL143" i="13"/>
  <c r="AL144" i="13"/>
  <c r="AL145" i="13"/>
  <c r="AL146" i="13"/>
  <c r="AL147" i="13"/>
  <c r="AL148" i="13"/>
  <c r="AL149" i="13"/>
  <c r="AL150" i="13"/>
  <c r="AL151" i="13"/>
  <c r="AL152" i="13"/>
  <c r="AL153" i="13"/>
  <c r="AL154" i="13"/>
  <c r="AL155" i="13"/>
  <c r="AL156" i="13"/>
  <c r="AL157" i="13"/>
  <c r="AL158" i="13"/>
  <c r="AL159" i="13"/>
  <c r="AL160" i="13"/>
  <c r="AL161" i="13"/>
  <c r="AL162" i="13"/>
  <c r="AL163" i="13"/>
  <c r="AL164" i="13"/>
  <c r="AL165" i="13"/>
  <c r="AL166" i="13"/>
  <c r="AL167" i="13"/>
  <c r="AL168" i="13"/>
  <c r="AL169" i="13"/>
  <c r="AL170" i="13"/>
  <c r="AL171" i="13"/>
  <c r="AL172" i="13"/>
  <c r="AL173" i="13"/>
  <c r="AL174" i="13"/>
  <c r="AL175" i="13"/>
  <c r="AL176" i="13"/>
  <c r="AL177" i="13"/>
  <c r="AL178" i="13"/>
  <c r="AL179" i="13"/>
  <c r="AL180" i="13"/>
  <c r="AL181" i="13"/>
  <c r="AL182" i="13"/>
  <c r="AL183" i="13"/>
  <c r="AL184" i="13"/>
  <c r="AL185" i="13"/>
  <c r="AL186" i="13"/>
  <c r="AL187" i="13"/>
  <c r="AL188" i="13"/>
  <c r="AL189" i="13"/>
  <c r="AL190" i="13"/>
  <c r="AL191" i="13"/>
  <c r="AL192" i="13"/>
  <c r="AL193" i="13"/>
  <c r="AL194" i="13"/>
  <c r="AL195" i="13"/>
  <c r="AL196" i="13"/>
  <c r="AL197" i="13"/>
  <c r="AL198" i="13"/>
  <c r="AL199" i="13"/>
  <c r="AL200" i="13"/>
  <c r="AL201" i="13"/>
  <c r="AL202" i="13"/>
  <c r="AL203" i="13"/>
  <c r="AL204" i="13"/>
  <c r="AL205" i="13"/>
  <c r="AL206" i="13"/>
  <c r="AL207" i="13"/>
  <c r="AL208" i="13"/>
  <c r="AL209" i="13"/>
  <c r="AL210" i="13"/>
  <c r="AL211" i="13"/>
  <c r="AL212" i="13"/>
  <c r="AL213" i="13"/>
  <c r="AL214" i="13"/>
  <c r="AL215" i="13"/>
  <c r="AL216" i="13"/>
  <c r="AL217" i="13"/>
  <c r="AL218" i="13"/>
  <c r="AL219" i="13"/>
  <c r="AL220" i="13"/>
  <c r="AL221" i="13"/>
  <c r="AL222" i="13"/>
  <c r="AL223" i="13"/>
  <c r="AL224" i="13"/>
  <c r="AL225" i="13"/>
  <c r="AL226" i="13"/>
  <c r="AL227" i="13"/>
  <c r="AL228" i="13"/>
  <c r="AL229" i="13"/>
  <c r="AL230" i="13"/>
  <c r="AL231" i="13"/>
  <c r="AK4" i="13"/>
  <c r="AK5" i="13"/>
  <c r="AK6" i="13"/>
  <c r="AK7" i="13"/>
  <c r="AP7" i="13" s="1"/>
  <c r="AK8" i="13"/>
  <c r="AK9" i="13"/>
  <c r="AK10" i="13"/>
  <c r="AK11" i="13"/>
  <c r="AK12" i="13"/>
  <c r="AK13" i="13"/>
  <c r="AK14" i="13"/>
  <c r="AK15" i="13"/>
  <c r="AP15" i="13" s="1"/>
  <c r="AK16" i="13"/>
  <c r="AK17" i="13"/>
  <c r="AK18" i="13"/>
  <c r="AK19" i="13"/>
  <c r="AK20" i="13"/>
  <c r="AK21" i="13"/>
  <c r="AK22" i="13"/>
  <c r="AK23" i="13"/>
  <c r="AP23" i="13" s="1"/>
  <c r="AK24" i="13"/>
  <c r="AK25" i="13"/>
  <c r="AK26" i="13"/>
  <c r="AK27" i="13"/>
  <c r="AK28" i="13"/>
  <c r="AK29" i="13"/>
  <c r="AK30" i="13"/>
  <c r="AK31" i="13"/>
  <c r="AP31" i="13" s="1"/>
  <c r="AK32" i="13"/>
  <c r="AK33" i="13"/>
  <c r="AK34" i="13"/>
  <c r="AK35" i="13"/>
  <c r="AK36" i="13"/>
  <c r="AK37" i="13"/>
  <c r="AK38" i="13"/>
  <c r="AK39" i="13"/>
  <c r="AP39" i="13" s="1"/>
  <c r="AK40" i="13"/>
  <c r="AK41" i="13"/>
  <c r="AK42" i="13"/>
  <c r="AK43" i="13"/>
  <c r="AK44" i="13"/>
  <c r="AK45" i="13"/>
  <c r="AK46" i="13"/>
  <c r="AK47" i="13"/>
  <c r="AP47" i="13" s="1"/>
  <c r="AK48" i="13"/>
  <c r="AK49" i="13"/>
  <c r="AK50" i="13"/>
  <c r="AK51" i="13"/>
  <c r="AK52" i="13"/>
  <c r="AK53" i="13"/>
  <c r="AK54" i="13"/>
  <c r="AK55" i="13"/>
  <c r="AP55" i="13" s="1"/>
  <c r="AK56" i="13"/>
  <c r="AK57" i="13"/>
  <c r="AK58" i="13"/>
  <c r="AK59" i="13"/>
  <c r="AK60" i="13"/>
  <c r="AK61" i="13"/>
  <c r="AK62" i="13"/>
  <c r="AK63" i="13"/>
  <c r="AP63" i="13" s="1"/>
  <c r="AK64" i="13"/>
  <c r="AK65" i="13"/>
  <c r="AK66" i="13"/>
  <c r="AK67" i="13"/>
  <c r="AK68" i="13"/>
  <c r="AK69" i="13"/>
  <c r="AK70" i="13"/>
  <c r="AK71" i="13"/>
  <c r="AP71" i="13" s="1"/>
  <c r="AK72" i="13"/>
  <c r="AK73" i="13"/>
  <c r="AK74" i="13"/>
  <c r="AK75" i="13"/>
  <c r="AK76" i="13"/>
  <c r="AK77" i="13"/>
  <c r="AK78" i="13"/>
  <c r="AK79" i="13"/>
  <c r="AP79" i="13" s="1"/>
  <c r="AK80" i="13"/>
  <c r="AK81" i="13"/>
  <c r="AK82" i="13"/>
  <c r="AK83" i="13"/>
  <c r="AK84" i="13"/>
  <c r="AK85" i="13"/>
  <c r="AK86" i="13"/>
  <c r="AK87" i="13"/>
  <c r="AP87" i="13" s="1"/>
  <c r="AK88" i="13"/>
  <c r="AK89" i="13"/>
  <c r="AK90" i="13"/>
  <c r="AK91" i="13"/>
  <c r="AK92" i="13"/>
  <c r="AK93" i="13"/>
  <c r="AK94" i="13"/>
  <c r="AK95" i="13"/>
  <c r="AP95" i="13" s="1"/>
  <c r="AK96" i="13"/>
  <c r="AK97" i="13"/>
  <c r="AK98" i="13"/>
  <c r="AK99" i="13"/>
  <c r="AK100" i="13"/>
  <c r="AK101" i="13"/>
  <c r="AK102" i="13"/>
  <c r="AK103" i="13"/>
  <c r="AP103" i="13" s="1"/>
  <c r="AK104" i="13"/>
  <c r="AK105" i="13"/>
  <c r="AK106" i="13"/>
  <c r="AK107" i="13"/>
  <c r="AK108" i="13"/>
  <c r="AK109" i="13"/>
  <c r="AK110" i="13"/>
  <c r="AK111" i="13"/>
  <c r="AP111" i="13" s="1"/>
  <c r="AK112" i="13"/>
  <c r="AK113" i="13"/>
  <c r="AK114" i="13"/>
  <c r="AK115" i="13"/>
  <c r="AK116" i="13"/>
  <c r="AK117" i="13"/>
  <c r="AK118" i="13"/>
  <c r="AK119" i="13"/>
  <c r="AP119" i="13" s="1"/>
  <c r="AK120" i="13"/>
  <c r="AK121" i="13"/>
  <c r="AK122" i="13"/>
  <c r="AK123" i="13"/>
  <c r="AK124" i="13"/>
  <c r="AK125" i="13"/>
  <c r="AK126" i="13"/>
  <c r="AK127" i="13"/>
  <c r="AP127" i="13" s="1"/>
  <c r="AK128" i="13"/>
  <c r="AK129" i="13"/>
  <c r="AK130" i="13"/>
  <c r="AK131" i="13"/>
  <c r="AK132" i="13"/>
  <c r="AK133" i="13"/>
  <c r="AK134" i="13"/>
  <c r="AK135" i="13"/>
  <c r="AP135" i="13" s="1"/>
  <c r="AK136" i="13"/>
  <c r="AK137" i="13"/>
  <c r="AK138" i="13"/>
  <c r="AK139" i="13"/>
  <c r="AK140" i="13"/>
  <c r="AK141" i="13"/>
  <c r="AK142" i="13"/>
  <c r="AK143" i="13"/>
  <c r="AP143" i="13" s="1"/>
  <c r="AK144" i="13"/>
  <c r="AK145" i="13"/>
  <c r="AK146" i="13"/>
  <c r="AK147" i="13"/>
  <c r="AK148" i="13"/>
  <c r="AK149" i="13"/>
  <c r="AK150" i="13"/>
  <c r="AK151" i="13"/>
  <c r="AP151" i="13" s="1"/>
  <c r="AK152" i="13"/>
  <c r="AK153" i="13"/>
  <c r="AK154" i="13"/>
  <c r="AK155" i="13"/>
  <c r="AK156" i="13"/>
  <c r="AK157" i="13"/>
  <c r="AK158" i="13"/>
  <c r="AK159" i="13"/>
  <c r="AP159" i="13" s="1"/>
  <c r="AK160" i="13"/>
  <c r="AK161" i="13"/>
  <c r="AK162" i="13"/>
  <c r="AK163" i="13"/>
  <c r="AK164" i="13"/>
  <c r="AK165" i="13"/>
  <c r="AK166" i="13"/>
  <c r="AK167" i="13"/>
  <c r="AP167" i="13" s="1"/>
  <c r="AK168" i="13"/>
  <c r="AK169" i="13"/>
  <c r="AK170" i="13"/>
  <c r="AK171" i="13"/>
  <c r="AK172" i="13"/>
  <c r="AK173" i="13"/>
  <c r="AK174" i="13"/>
  <c r="AK175" i="13"/>
  <c r="AP175" i="13" s="1"/>
  <c r="AK176" i="13"/>
  <c r="AK177" i="13"/>
  <c r="AK178" i="13"/>
  <c r="AK179" i="13"/>
  <c r="AK180" i="13"/>
  <c r="AK181" i="13"/>
  <c r="AK182" i="13"/>
  <c r="AK183" i="13"/>
  <c r="AP183" i="13" s="1"/>
  <c r="AK184" i="13"/>
  <c r="AK185" i="13"/>
  <c r="AK186" i="13"/>
  <c r="AK187" i="13"/>
  <c r="AK188" i="13"/>
  <c r="AK189" i="13"/>
  <c r="AK190" i="13"/>
  <c r="AK191" i="13"/>
  <c r="AP191" i="13" s="1"/>
  <c r="AK192" i="13"/>
  <c r="AK193" i="13"/>
  <c r="AK194" i="13"/>
  <c r="AK195" i="13"/>
  <c r="AK196" i="13"/>
  <c r="AK197" i="13"/>
  <c r="AK198" i="13"/>
  <c r="AK199" i="13"/>
  <c r="AP199" i="13" s="1"/>
  <c r="AK200" i="13"/>
  <c r="AK201" i="13"/>
  <c r="AK202" i="13"/>
  <c r="AK203" i="13"/>
  <c r="AK204" i="13"/>
  <c r="AK205" i="13"/>
  <c r="AK206" i="13"/>
  <c r="AK207" i="13"/>
  <c r="AP207" i="13" s="1"/>
  <c r="AK208" i="13"/>
  <c r="AK209" i="13"/>
  <c r="AK210" i="13"/>
  <c r="AK211" i="13"/>
  <c r="AK212" i="13"/>
  <c r="AK213" i="13"/>
  <c r="AK214" i="13"/>
  <c r="AK215" i="13"/>
  <c r="AP215" i="13" s="1"/>
  <c r="AK216" i="13"/>
  <c r="AK217" i="13"/>
  <c r="AK218" i="13"/>
  <c r="AK219" i="13"/>
  <c r="AK220" i="13"/>
  <c r="AK221" i="13"/>
  <c r="AK222" i="13"/>
  <c r="AK223" i="13"/>
  <c r="AP223" i="13" s="1"/>
  <c r="AK224" i="13"/>
  <c r="AK225" i="13"/>
  <c r="AK226" i="13"/>
  <c r="AK227" i="13"/>
  <c r="AK228" i="13"/>
  <c r="AK229" i="13"/>
  <c r="AK230" i="13"/>
  <c r="AK231" i="13"/>
  <c r="AP231" i="13" s="1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I169" i="13"/>
  <c r="AI170" i="13"/>
  <c r="AI171" i="13"/>
  <c r="AI172" i="13"/>
  <c r="AI173" i="13"/>
  <c r="AI174" i="13"/>
  <c r="AI175" i="13"/>
  <c r="AI176" i="13"/>
  <c r="AI177" i="13"/>
  <c r="AI178" i="13"/>
  <c r="AI179" i="13"/>
  <c r="AI180" i="13"/>
  <c r="AI181" i="13"/>
  <c r="AI182" i="13"/>
  <c r="AI183" i="13"/>
  <c r="AI184" i="13"/>
  <c r="AI185" i="13"/>
  <c r="AI186" i="13"/>
  <c r="AI187" i="13"/>
  <c r="AI188" i="13"/>
  <c r="AI189" i="13"/>
  <c r="AI190" i="13"/>
  <c r="AI191" i="13"/>
  <c r="AI192" i="13"/>
  <c r="AI193" i="13"/>
  <c r="AI194" i="13"/>
  <c r="AI195" i="13"/>
  <c r="AI196" i="13"/>
  <c r="AI197" i="13"/>
  <c r="AI198" i="13"/>
  <c r="AI200" i="13"/>
  <c r="AI201" i="13"/>
  <c r="AI202" i="13"/>
  <c r="AI203" i="13"/>
  <c r="AI204" i="13"/>
  <c r="AI205" i="13"/>
  <c r="AI206" i="13"/>
  <c r="AI207" i="13"/>
  <c r="AI208" i="13"/>
  <c r="AI209" i="13"/>
  <c r="AI210" i="13"/>
  <c r="AI211" i="13"/>
  <c r="AI212" i="13"/>
  <c r="AI213" i="13"/>
  <c r="AI214" i="13"/>
  <c r="AI215" i="13"/>
  <c r="AI216" i="13"/>
  <c r="AI217" i="13"/>
  <c r="AI218" i="13"/>
  <c r="AI219" i="13"/>
  <c r="AI220" i="13"/>
  <c r="AI221" i="13"/>
  <c r="AI222" i="13"/>
  <c r="AI223" i="13"/>
  <c r="AI224" i="13"/>
  <c r="AI225" i="13"/>
  <c r="AI226" i="13"/>
  <c r="AI227" i="13"/>
  <c r="AI228" i="13"/>
  <c r="AI229" i="13"/>
  <c r="AI230" i="13"/>
  <c r="AI231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G4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G89" i="13"/>
  <c r="AG90" i="13"/>
  <c r="AG91" i="13"/>
  <c r="AG92" i="13"/>
  <c r="AG93" i="13"/>
  <c r="AG94" i="13"/>
  <c r="AG95" i="13"/>
  <c r="AG96" i="13"/>
  <c r="AG97" i="13"/>
  <c r="AG98" i="13"/>
  <c r="AG99" i="13"/>
  <c r="AG100" i="13"/>
  <c r="AG101" i="13"/>
  <c r="AG102" i="13"/>
  <c r="AG103" i="13"/>
  <c r="AG104" i="13"/>
  <c r="AG105" i="13"/>
  <c r="AG106" i="13"/>
  <c r="AG107" i="13"/>
  <c r="AG108" i="13"/>
  <c r="AG109" i="13"/>
  <c r="AG110" i="13"/>
  <c r="AG111" i="13"/>
  <c r="AG112" i="13"/>
  <c r="AG113" i="13"/>
  <c r="AG114" i="13"/>
  <c r="AG115" i="13"/>
  <c r="AG116" i="13"/>
  <c r="AG117" i="13"/>
  <c r="AG118" i="13"/>
  <c r="AG119" i="13"/>
  <c r="AG120" i="13"/>
  <c r="AG121" i="13"/>
  <c r="AG122" i="13"/>
  <c r="AG123" i="13"/>
  <c r="AG124" i="13"/>
  <c r="AG125" i="13"/>
  <c r="AG126" i="13"/>
  <c r="AG127" i="13"/>
  <c r="AG128" i="13"/>
  <c r="AG129" i="13"/>
  <c r="AG130" i="13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AG168" i="13"/>
  <c r="AG169" i="13"/>
  <c r="AG170" i="13"/>
  <c r="AG171" i="13"/>
  <c r="AG172" i="13"/>
  <c r="AG173" i="13"/>
  <c r="AG174" i="13"/>
  <c r="AG175" i="13"/>
  <c r="AG176" i="13"/>
  <c r="AG177" i="13"/>
  <c r="AG178" i="13"/>
  <c r="AG179" i="13"/>
  <c r="AG180" i="13"/>
  <c r="AG181" i="13"/>
  <c r="AG182" i="13"/>
  <c r="AG183" i="13"/>
  <c r="AG184" i="13"/>
  <c r="AG185" i="13"/>
  <c r="AG186" i="13"/>
  <c r="AG187" i="13"/>
  <c r="AG188" i="13"/>
  <c r="AG189" i="13"/>
  <c r="AG190" i="13"/>
  <c r="AG191" i="13"/>
  <c r="AG192" i="13"/>
  <c r="AG193" i="13"/>
  <c r="AG194" i="13"/>
  <c r="AG195" i="13"/>
  <c r="AG196" i="13"/>
  <c r="AG197" i="13"/>
  <c r="AG198" i="13"/>
  <c r="AG199" i="13"/>
  <c r="AG200" i="13"/>
  <c r="AG201" i="13"/>
  <c r="AG202" i="13"/>
  <c r="AG203" i="13"/>
  <c r="AG204" i="13"/>
  <c r="AG205" i="13"/>
  <c r="AG206" i="13"/>
  <c r="AG207" i="13"/>
  <c r="AG208" i="13"/>
  <c r="AG209" i="13"/>
  <c r="AG210" i="13"/>
  <c r="AG211" i="13"/>
  <c r="AG212" i="13"/>
  <c r="AG213" i="13"/>
  <c r="AG214" i="13"/>
  <c r="AG215" i="13"/>
  <c r="AG216" i="13"/>
  <c r="AG217" i="13"/>
  <c r="AG218" i="13"/>
  <c r="AG219" i="13"/>
  <c r="AG220" i="13"/>
  <c r="AG221" i="13"/>
  <c r="AG222" i="13"/>
  <c r="AG223" i="13"/>
  <c r="AG224" i="13"/>
  <c r="AG225" i="13"/>
  <c r="AG226" i="13"/>
  <c r="AG227" i="13"/>
  <c r="AG228" i="13"/>
  <c r="AG229" i="13"/>
  <c r="AG230" i="13"/>
  <c r="AG231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E178" i="13"/>
  <c r="AE179" i="13"/>
  <c r="AE180" i="13"/>
  <c r="AE181" i="13"/>
  <c r="AE182" i="13"/>
  <c r="AE183" i="13"/>
  <c r="AE184" i="13"/>
  <c r="AE185" i="13"/>
  <c r="AE186" i="13"/>
  <c r="AE187" i="13"/>
  <c r="AE188" i="13"/>
  <c r="AE189" i="13"/>
  <c r="AE190" i="13"/>
  <c r="AE191" i="13"/>
  <c r="AE192" i="13"/>
  <c r="AE193" i="13"/>
  <c r="AE194" i="13"/>
  <c r="AE195" i="13"/>
  <c r="AE196" i="13"/>
  <c r="AE197" i="13"/>
  <c r="AE198" i="13"/>
  <c r="AE200" i="13"/>
  <c r="AJ200" i="13" s="1"/>
  <c r="AE201" i="13"/>
  <c r="AE202" i="13"/>
  <c r="AE203" i="13"/>
  <c r="AE204" i="13"/>
  <c r="AE205" i="13"/>
  <c r="AE206" i="13"/>
  <c r="AE207" i="13"/>
  <c r="AE208" i="13"/>
  <c r="AJ208" i="13" s="1"/>
  <c r="AE209" i="13"/>
  <c r="AE210" i="13"/>
  <c r="AE211" i="13"/>
  <c r="AE212" i="13"/>
  <c r="AE213" i="13"/>
  <c r="AE214" i="13"/>
  <c r="AE215" i="13"/>
  <c r="AE216" i="13"/>
  <c r="AJ216" i="13" s="1"/>
  <c r="AE217" i="13"/>
  <c r="AE218" i="13"/>
  <c r="AE219" i="13"/>
  <c r="AE220" i="13"/>
  <c r="AE221" i="13"/>
  <c r="AE222" i="13"/>
  <c r="AE223" i="13"/>
  <c r="AE224" i="13"/>
  <c r="AJ224" i="13" s="1"/>
  <c r="AE225" i="13"/>
  <c r="AE226" i="13"/>
  <c r="AE227" i="13"/>
  <c r="AE228" i="13"/>
  <c r="AE229" i="13"/>
  <c r="AE230" i="13"/>
  <c r="AE231" i="13"/>
  <c r="S4" i="13"/>
  <c r="X4" i="13" s="1"/>
  <c r="S5" i="13"/>
  <c r="X5" i="13" s="1"/>
  <c r="S6" i="13"/>
  <c r="X6" i="13" s="1"/>
  <c r="S7" i="13"/>
  <c r="X7" i="13" s="1"/>
  <c r="S8" i="13"/>
  <c r="X8" i="13" s="1"/>
  <c r="S9" i="13"/>
  <c r="X9" i="13" s="1"/>
  <c r="S10" i="13"/>
  <c r="X10" i="13" s="1"/>
  <c r="S11" i="13"/>
  <c r="X11" i="13" s="1"/>
  <c r="S12" i="13"/>
  <c r="X12" i="13" s="1"/>
  <c r="S13" i="13"/>
  <c r="X13" i="13" s="1"/>
  <c r="S14" i="13"/>
  <c r="X14" i="13" s="1"/>
  <c r="S15" i="13"/>
  <c r="X15" i="13" s="1"/>
  <c r="S16" i="13"/>
  <c r="X16" i="13" s="1"/>
  <c r="S17" i="13"/>
  <c r="X17" i="13" s="1"/>
  <c r="S18" i="13"/>
  <c r="X18" i="13" s="1"/>
  <c r="S19" i="13"/>
  <c r="X19" i="13" s="1"/>
  <c r="S20" i="13"/>
  <c r="X20" i="13" s="1"/>
  <c r="S21" i="13"/>
  <c r="X21" i="13" s="1"/>
  <c r="S22" i="13"/>
  <c r="X22" i="13" s="1"/>
  <c r="S23" i="13"/>
  <c r="X23" i="13" s="1"/>
  <c r="S24" i="13"/>
  <c r="X24" i="13" s="1"/>
  <c r="S25" i="13"/>
  <c r="X25" i="13" s="1"/>
  <c r="S26" i="13"/>
  <c r="X26" i="13" s="1"/>
  <c r="S27" i="13"/>
  <c r="X27" i="13" s="1"/>
  <c r="S28" i="13"/>
  <c r="X28" i="13" s="1"/>
  <c r="S29" i="13"/>
  <c r="X29" i="13" s="1"/>
  <c r="S30" i="13"/>
  <c r="X30" i="13" s="1"/>
  <c r="S31" i="13"/>
  <c r="X31" i="13" s="1"/>
  <c r="S32" i="13"/>
  <c r="X32" i="13" s="1"/>
  <c r="S33" i="13"/>
  <c r="X33" i="13" s="1"/>
  <c r="S34" i="13"/>
  <c r="X34" i="13" s="1"/>
  <c r="S35" i="13"/>
  <c r="X35" i="13" s="1"/>
  <c r="S36" i="13"/>
  <c r="X36" i="13" s="1"/>
  <c r="S37" i="13"/>
  <c r="X37" i="13" s="1"/>
  <c r="S38" i="13"/>
  <c r="X38" i="13" s="1"/>
  <c r="S39" i="13"/>
  <c r="X39" i="13" s="1"/>
  <c r="S40" i="13"/>
  <c r="X40" i="13" s="1"/>
  <c r="S41" i="13"/>
  <c r="X41" i="13" s="1"/>
  <c r="S42" i="13"/>
  <c r="X42" i="13" s="1"/>
  <c r="S43" i="13"/>
  <c r="X43" i="13" s="1"/>
  <c r="S44" i="13"/>
  <c r="X44" i="13" s="1"/>
  <c r="S45" i="13"/>
  <c r="X45" i="13" s="1"/>
  <c r="S46" i="13"/>
  <c r="X46" i="13" s="1"/>
  <c r="S47" i="13"/>
  <c r="X47" i="13" s="1"/>
  <c r="S48" i="13"/>
  <c r="X48" i="13" s="1"/>
  <c r="S49" i="13"/>
  <c r="X49" i="13" s="1"/>
  <c r="S50" i="13"/>
  <c r="X50" i="13" s="1"/>
  <c r="S51" i="13"/>
  <c r="X51" i="13" s="1"/>
  <c r="S52" i="13"/>
  <c r="X52" i="13" s="1"/>
  <c r="S53" i="13"/>
  <c r="X53" i="13" s="1"/>
  <c r="S54" i="13"/>
  <c r="X54" i="13" s="1"/>
  <c r="S55" i="13"/>
  <c r="X55" i="13" s="1"/>
  <c r="S56" i="13"/>
  <c r="X56" i="13" s="1"/>
  <c r="S57" i="13"/>
  <c r="X57" i="13" s="1"/>
  <c r="S58" i="13"/>
  <c r="X58" i="13" s="1"/>
  <c r="S59" i="13"/>
  <c r="X59" i="13" s="1"/>
  <c r="S60" i="13"/>
  <c r="X60" i="13" s="1"/>
  <c r="S61" i="13"/>
  <c r="X61" i="13" s="1"/>
  <c r="S62" i="13"/>
  <c r="X62" i="13" s="1"/>
  <c r="S63" i="13"/>
  <c r="X63" i="13" s="1"/>
  <c r="S64" i="13"/>
  <c r="X64" i="13" s="1"/>
  <c r="S65" i="13"/>
  <c r="X65" i="13" s="1"/>
  <c r="S66" i="13"/>
  <c r="X66" i="13" s="1"/>
  <c r="S67" i="13"/>
  <c r="X67" i="13" s="1"/>
  <c r="S68" i="13"/>
  <c r="X68" i="13" s="1"/>
  <c r="S69" i="13"/>
  <c r="X69" i="13" s="1"/>
  <c r="S70" i="13"/>
  <c r="X70" i="13" s="1"/>
  <c r="S71" i="13"/>
  <c r="X71" i="13" s="1"/>
  <c r="S72" i="13"/>
  <c r="X72" i="13" s="1"/>
  <c r="S73" i="13"/>
  <c r="X73" i="13" s="1"/>
  <c r="S74" i="13"/>
  <c r="X74" i="13" s="1"/>
  <c r="S75" i="13"/>
  <c r="X75" i="13" s="1"/>
  <c r="S76" i="13"/>
  <c r="X76" i="13" s="1"/>
  <c r="S77" i="13"/>
  <c r="X77" i="13" s="1"/>
  <c r="S78" i="13"/>
  <c r="X78" i="13" s="1"/>
  <c r="S79" i="13"/>
  <c r="X79" i="13" s="1"/>
  <c r="S80" i="13"/>
  <c r="X80" i="13" s="1"/>
  <c r="S81" i="13"/>
  <c r="X81" i="13" s="1"/>
  <c r="S82" i="13"/>
  <c r="X82" i="13" s="1"/>
  <c r="S83" i="13"/>
  <c r="X83" i="13" s="1"/>
  <c r="S84" i="13"/>
  <c r="X84" i="13" s="1"/>
  <c r="S85" i="13"/>
  <c r="X85" i="13" s="1"/>
  <c r="S86" i="13"/>
  <c r="X86" i="13" s="1"/>
  <c r="S87" i="13"/>
  <c r="X87" i="13" s="1"/>
  <c r="S88" i="13"/>
  <c r="X88" i="13" s="1"/>
  <c r="S89" i="13"/>
  <c r="X89" i="13" s="1"/>
  <c r="S90" i="13"/>
  <c r="X90" i="13" s="1"/>
  <c r="S91" i="13"/>
  <c r="X91" i="13" s="1"/>
  <c r="S92" i="13"/>
  <c r="X92" i="13" s="1"/>
  <c r="S93" i="13"/>
  <c r="X93" i="13" s="1"/>
  <c r="S94" i="13"/>
  <c r="X94" i="13" s="1"/>
  <c r="S95" i="13"/>
  <c r="X95" i="13" s="1"/>
  <c r="S96" i="13"/>
  <c r="X96" i="13" s="1"/>
  <c r="S97" i="13"/>
  <c r="X97" i="13" s="1"/>
  <c r="S98" i="13"/>
  <c r="X98" i="13" s="1"/>
  <c r="S99" i="13"/>
  <c r="X99" i="13" s="1"/>
  <c r="S100" i="13"/>
  <c r="X100" i="13" s="1"/>
  <c r="S101" i="13"/>
  <c r="X101" i="13" s="1"/>
  <c r="S102" i="13"/>
  <c r="X102" i="13" s="1"/>
  <c r="S103" i="13"/>
  <c r="X103" i="13" s="1"/>
  <c r="S104" i="13"/>
  <c r="X104" i="13" s="1"/>
  <c r="S105" i="13"/>
  <c r="X105" i="13" s="1"/>
  <c r="S106" i="13"/>
  <c r="X106" i="13" s="1"/>
  <c r="S107" i="13"/>
  <c r="X107" i="13" s="1"/>
  <c r="S108" i="13"/>
  <c r="X108" i="13" s="1"/>
  <c r="S109" i="13"/>
  <c r="X109" i="13" s="1"/>
  <c r="S110" i="13"/>
  <c r="X110" i="13" s="1"/>
  <c r="S111" i="13"/>
  <c r="X111" i="13" s="1"/>
  <c r="S112" i="13"/>
  <c r="X112" i="13" s="1"/>
  <c r="S113" i="13"/>
  <c r="X113" i="13" s="1"/>
  <c r="S114" i="13"/>
  <c r="X114" i="13" s="1"/>
  <c r="S115" i="13"/>
  <c r="X115" i="13" s="1"/>
  <c r="S116" i="13"/>
  <c r="X116" i="13" s="1"/>
  <c r="S117" i="13"/>
  <c r="X117" i="13" s="1"/>
  <c r="S118" i="13"/>
  <c r="X118" i="13" s="1"/>
  <c r="S119" i="13"/>
  <c r="X119" i="13" s="1"/>
  <c r="S120" i="13"/>
  <c r="X120" i="13" s="1"/>
  <c r="S121" i="13"/>
  <c r="X121" i="13" s="1"/>
  <c r="S122" i="13"/>
  <c r="X122" i="13" s="1"/>
  <c r="S123" i="13"/>
  <c r="X123" i="13" s="1"/>
  <c r="S124" i="13"/>
  <c r="X124" i="13" s="1"/>
  <c r="S125" i="13"/>
  <c r="X125" i="13" s="1"/>
  <c r="S126" i="13"/>
  <c r="X126" i="13" s="1"/>
  <c r="S127" i="13"/>
  <c r="X127" i="13" s="1"/>
  <c r="S128" i="13"/>
  <c r="X128" i="13" s="1"/>
  <c r="S129" i="13"/>
  <c r="X129" i="13" s="1"/>
  <c r="S130" i="13"/>
  <c r="X130" i="13" s="1"/>
  <c r="S131" i="13"/>
  <c r="X131" i="13" s="1"/>
  <c r="S132" i="13"/>
  <c r="X132" i="13" s="1"/>
  <c r="S133" i="13"/>
  <c r="X133" i="13" s="1"/>
  <c r="S134" i="13"/>
  <c r="X134" i="13" s="1"/>
  <c r="S135" i="13"/>
  <c r="X135" i="13" s="1"/>
  <c r="S136" i="13"/>
  <c r="X136" i="13" s="1"/>
  <c r="S137" i="13"/>
  <c r="X137" i="13" s="1"/>
  <c r="S138" i="13"/>
  <c r="X138" i="13" s="1"/>
  <c r="S139" i="13"/>
  <c r="X139" i="13" s="1"/>
  <c r="S140" i="13"/>
  <c r="X140" i="13" s="1"/>
  <c r="S141" i="13"/>
  <c r="X141" i="13" s="1"/>
  <c r="S142" i="13"/>
  <c r="X142" i="13" s="1"/>
  <c r="S143" i="13"/>
  <c r="X143" i="13" s="1"/>
  <c r="S144" i="13"/>
  <c r="X144" i="13" s="1"/>
  <c r="S145" i="13"/>
  <c r="X145" i="13" s="1"/>
  <c r="S146" i="13"/>
  <c r="X146" i="13" s="1"/>
  <c r="S147" i="13"/>
  <c r="X147" i="13" s="1"/>
  <c r="S148" i="13"/>
  <c r="X148" i="13" s="1"/>
  <c r="S149" i="13"/>
  <c r="X149" i="13" s="1"/>
  <c r="S150" i="13"/>
  <c r="X150" i="13" s="1"/>
  <c r="S151" i="13"/>
  <c r="X151" i="13" s="1"/>
  <c r="S152" i="13"/>
  <c r="X152" i="13" s="1"/>
  <c r="S153" i="13"/>
  <c r="X153" i="13" s="1"/>
  <c r="S154" i="13"/>
  <c r="X154" i="13" s="1"/>
  <c r="S155" i="13"/>
  <c r="X155" i="13" s="1"/>
  <c r="S156" i="13"/>
  <c r="X156" i="13" s="1"/>
  <c r="S157" i="13"/>
  <c r="X157" i="13" s="1"/>
  <c r="S158" i="13"/>
  <c r="X158" i="13" s="1"/>
  <c r="S159" i="13"/>
  <c r="X159" i="13" s="1"/>
  <c r="S160" i="13"/>
  <c r="X160" i="13" s="1"/>
  <c r="S161" i="13"/>
  <c r="X161" i="13" s="1"/>
  <c r="S162" i="13"/>
  <c r="X162" i="13" s="1"/>
  <c r="S163" i="13"/>
  <c r="X163" i="13" s="1"/>
  <c r="S164" i="13"/>
  <c r="X164" i="13" s="1"/>
  <c r="S165" i="13"/>
  <c r="X165" i="13" s="1"/>
  <c r="S166" i="13"/>
  <c r="X166" i="13" s="1"/>
  <c r="S167" i="13"/>
  <c r="X167" i="13" s="1"/>
  <c r="S168" i="13"/>
  <c r="X168" i="13" s="1"/>
  <c r="S169" i="13"/>
  <c r="X169" i="13" s="1"/>
  <c r="S170" i="13"/>
  <c r="X170" i="13" s="1"/>
  <c r="S171" i="13"/>
  <c r="X171" i="13" s="1"/>
  <c r="S172" i="13"/>
  <c r="X172" i="13" s="1"/>
  <c r="S173" i="13"/>
  <c r="X173" i="13" s="1"/>
  <c r="S174" i="13"/>
  <c r="X174" i="13" s="1"/>
  <c r="S175" i="13"/>
  <c r="X175" i="13" s="1"/>
  <c r="S176" i="13"/>
  <c r="X176" i="13" s="1"/>
  <c r="S177" i="13"/>
  <c r="X177" i="13" s="1"/>
  <c r="S178" i="13"/>
  <c r="X178" i="13" s="1"/>
  <c r="S179" i="13"/>
  <c r="X179" i="13" s="1"/>
  <c r="S180" i="13"/>
  <c r="X180" i="13" s="1"/>
  <c r="S181" i="13"/>
  <c r="X181" i="13" s="1"/>
  <c r="S182" i="13"/>
  <c r="X182" i="13" s="1"/>
  <c r="S183" i="13"/>
  <c r="X183" i="13" s="1"/>
  <c r="S184" i="13"/>
  <c r="X184" i="13" s="1"/>
  <c r="S185" i="13"/>
  <c r="X185" i="13" s="1"/>
  <c r="S186" i="13"/>
  <c r="X186" i="13" s="1"/>
  <c r="S187" i="13"/>
  <c r="X187" i="13" s="1"/>
  <c r="S188" i="13"/>
  <c r="X188" i="13" s="1"/>
  <c r="S189" i="13"/>
  <c r="X189" i="13" s="1"/>
  <c r="S190" i="13"/>
  <c r="X190" i="13" s="1"/>
  <c r="S191" i="13"/>
  <c r="X191" i="13" s="1"/>
  <c r="S192" i="13"/>
  <c r="X192" i="13" s="1"/>
  <c r="S193" i="13"/>
  <c r="X193" i="13" s="1"/>
  <c r="S194" i="13"/>
  <c r="X194" i="13" s="1"/>
  <c r="S195" i="13"/>
  <c r="X195" i="13" s="1"/>
  <c r="S196" i="13"/>
  <c r="X196" i="13" s="1"/>
  <c r="S197" i="13"/>
  <c r="X197" i="13" s="1"/>
  <c r="S198" i="13"/>
  <c r="X198" i="13" s="1"/>
  <c r="S199" i="13"/>
  <c r="X199" i="13" s="1"/>
  <c r="S200" i="13"/>
  <c r="X200" i="13" s="1"/>
  <c r="S201" i="13"/>
  <c r="X201" i="13" s="1"/>
  <c r="S202" i="13"/>
  <c r="X202" i="13" s="1"/>
  <c r="S203" i="13"/>
  <c r="X203" i="13" s="1"/>
  <c r="S204" i="13"/>
  <c r="X204" i="13" s="1"/>
  <c r="S205" i="13"/>
  <c r="X205" i="13" s="1"/>
  <c r="S206" i="13"/>
  <c r="X206" i="13" s="1"/>
  <c r="S207" i="13"/>
  <c r="X207" i="13" s="1"/>
  <c r="S208" i="13"/>
  <c r="X208" i="13" s="1"/>
  <c r="S209" i="13"/>
  <c r="X209" i="13" s="1"/>
  <c r="S210" i="13"/>
  <c r="X210" i="13" s="1"/>
  <c r="S211" i="13"/>
  <c r="X211" i="13" s="1"/>
  <c r="S212" i="13"/>
  <c r="X212" i="13" s="1"/>
  <c r="S213" i="13"/>
  <c r="X213" i="13" s="1"/>
  <c r="S214" i="13"/>
  <c r="X214" i="13" s="1"/>
  <c r="S215" i="13"/>
  <c r="X215" i="13" s="1"/>
  <c r="S216" i="13"/>
  <c r="X216" i="13" s="1"/>
  <c r="S217" i="13"/>
  <c r="X217" i="13" s="1"/>
  <c r="S218" i="13"/>
  <c r="X218" i="13" s="1"/>
  <c r="S219" i="13"/>
  <c r="X219" i="13" s="1"/>
  <c r="S220" i="13"/>
  <c r="X220" i="13" s="1"/>
  <c r="S221" i="13"/>
  <c r="X221" i="13" s="1"/>
  <c r="S222" i="13"/>
  <c r="X222" i="13" s="1"/>
  <c r="S223" i="13"/>
  <c r="X223" i="13" s="1"/>
  <c r="S224" i="13"/>
  <c r="X224" i="13" s="1"/>
  <c r="S225" i="13"/>
  <c r="X225" i="13" s="1"/>
  <c r="S226" i="13"/>
  <c r="X226" i="13" s="1"/>
  <c r="S227" i="13"/>
  <c r="X227" i="13" s="1"/>
  <c r="S228" i="13"/>
  <c r="X228" i="13" s="1"/>
  <c r="S229" i="13"/>
  <c r="X229" i="13" s="1"/>
  <c r="S230" i="13"/>
  <c r="X230" i="13" s="1"/>
  <c r="S231" i="13"/>
  <c r="X231" i="13" s="1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N4" i="13"/>
  <c r="N5" i="13"/>
  <c r="N6" i="13"/>
  <c r="N7" i="13"/>
  <c r="N8" i="13"/>
  <c r="R8" i="13" s="1"/>
  <c r="N9" i="13"/>
  <c r="N10" i="13"/>
  <c r="N11" i="13"/>
  <c r="N12" i="13"/>
  <c r="N13" i="13"/>
  <c r="N14" i="13"/>
  <c r="N15" i="13"/>
  <c r="N16" i="13"/>
  <c r="R16" i="13" s="1"/>
  <c r="N17" i="13"/>
  <c r="N18" i="13"/>
  <c r="N19" i="13"/>
  <c r="N20" i="13"/>
  <c r="N21" i="13"/>
  <c r="N22" i="13"/>
  <c r="N23" i="13"/>
  <c r="N24" i="13"/>
  <c r="R24" i="13" s="1"/>
  <c r="N25" i="13"/>
  <c r="N26" i="13"/>
  <c r="N27" i="13"/>
  <c r="N28" i="13"/>
  <c r="N29" i="13"/>
  <c r="N30" i="13"/>
  <c r="N31" i="13"/>
  <c r="N32" i="13"/>
  <c r="R32" i="13" s="1"/>
  <c r="N33" i="13"/>
  <c r="N34" i="13"/>
  <c r="N35" i="13"/>
  <c r="N36" i="13"/>
  <c r="N37" i="13"/>
  <c r="N38" i="13"/>
  <c r="N39" i="13"/>
  <c r="N40" i="13"/>
  <c r="R40" i="13" s="1"/>
  <c r="N41" i="13"/>
  <c r="N42" i="13"/>
  <c r="N43" i="13"/>
  <c r="N44" i="13"/>
  <c r="N45" i="13"/>
  <c r="N46" i="13"/>
  <c r="N47" i="13"/>
  <c r="N48" i="13"/>
  <c r="R48" i="13" s="1"/>
  <c r="N49" i="13"/>
  <c r="N50" i="13"/>
  <c r="N51" i="13"/>
  <c r="N52" i="13"/>
  <c r="N53" i="13"/>
  <c r="N54" i="13"/>
  <c r="N55" i="13"/>
  <c r="N56" i="13"/>
  <c r="R56" i="13" s="1"/>
  <c r="N57" i="13"/>
  <c r="N58" i="13"/>
  <c r="N59" i="13"/>
  <c r="N60" i="13"/>
  <c r="N61" i="13"/>
  <c r="N62" i="13"/>
  <c r="N63" i="13"/>
  <c r="N64" i="13"/>
  <c r="R64" i="13" s="1"/>
  <c r="N65" i="13"/>
  <c r="N66" i="13"/>
  <c r="N67" i="13"/>
  <c r="N68" i="13"/>
  <c r="N69" i="13"/>
  <c r="N70" i="13"/>
  <c r="N71" i="13"/>
  <c r="N72" i="13"/>
  <c r="R72" i="13" s="1"/>
  <c r="N73" i="13"/>
  <c r="N74" i="13"/>
  <c r="N75" i="13"/>
  <c r="N76" i="13"/>
  <c r="N77" i="13"/>
  <c r="N78" i="13"/>
  <c r="N79" i="13"/>
  <c r="N80" i="13"/>
  <c r="R80" i="13" s="1"/>
  <c r="N81" i="13"/>
  <c r="N82" i="13"/>
  <c r="N83" i="13"/>
  <c r="N84" i="13"/>
  <c r="N85" i="13"/>
  <c r="N86" i="13"/>
  <c r="N87" i="13"/>
  <c r="N88" i="13"/>
  <c r="R88" i="13" s="1"/>
  <c r="N89" i="13"/>
  <c r="N90" i="13"/>
  <c r="N91" i="13"/>
  <c r="N92" i="13"/>
  <c r="N93" i="13"/>
  <c r="N94" i="13"/>
  <c r="N95" i="13"/>
  <c r="N96" i="13"/>
  <c r="R96" i="13" s="1"/>
  <c r="N97" i="13"/>
  <c r="N98" i="13"/>
  <c r="N99" i="13"/>
  <c r="N100" i="13"/>
  <c r="N101" i="13"/>
  <c r="N102" i="13"/>
  <c r="N103" i="13"/>
  <c r="N104" i="13"/>
  <c r="R104" i="13" s="1"/>
  <c r="N105" i="13"/>
  <c r="N106" i="13"/>
  <c r="N107" i="13"/>
  <c r="N108" i="13"/>
  <c r="N109" i="13"/>
  <c r="N110" i="13"/>
  <c r="N111" i="13"/>
  <c r="N112" i="13"/>
  <c r="R112" i="13" s="1"/>
  <c r="N113" i="13"/>
  <c r="N114" i="13"/>
  <c r="N115" i="13"/>
  <c r="N116" i="13"/>
  <c r="N117" i="13"/>
  <c r="N118" i="13"/>
  <c r="N119" i="13"/>
  <c r="N120" i="13"/>
  <c r="R120" i="13" s="1"/>
  <c r="N121" i="13"/>
  <c r="N122" i="13"/>
  <c r="N123" i="13"/>
  <c r="N124" i="13"/>
  <c r="N125" i="13"/>
  <c r="N126" i="13"/>
  <c r="N127" i="13"/>
  <c r="N128" i="13"/>
  <c r="R128" i="13" s="1"/>
  <c r="N129" i="13"/>
  <c r="N130" i="13"/>
  <c r="N131" i="13"/>
  <c r="N132" i="13"/>
  <c r="N133" i="13"/>
  <c r="N134" i="13"/>
  <c r="N135" i="13"/>
  <c r="N136" i="13"/>
  <c r="R136" i="13" s="1"/>
  <c r="N137" i="13"/>
  <c r="N138" i="13"/>
  <c r="N139" i="13"/>
  <c r="N140" i="13"/>
  <c r="N141" i="13"/>
  <c r="N142" i="13"/>
  <c r="N143" i="13"/>
  <c r="N144" i="13"/>
  <c r="R144" i="13" s="1"/>
  <c r="N145" i="13"/>
  <c r="N146" i="13"/>
  <c r="N147" i="13"/>
  <c r="N148" i="13"/>
  <c r="N149" i="13"/>
  <c r="N150" i="13"/>
  <c r="N151" i="13"/>
  <c r="N152" i="13"/>
  <c r="R152" i="13" s="1"/>
  <c r="N153" i="13"/>
  <c r="N154" i="13"/>
  <c r="N155" i="13"/>
  <c r="N156" i="13"/>
  <c r="N157" i="13"/>
  <c r="N158" i="13"/>
  <c r="N159" i="13"/>
  <c r="N160" i="13"/>
  <c r="R160" i="13" s="1"/>
  <c r="N161" i="13"/>
  <c r="N162" i="13"/>
  <c r="N163" i="13"/>
  <c r="N164" i="13"/>
  <c r="N165" i="13"/>
  <c r="N166" i="13"/>
  <c r="N167" i="13"/>
  <c r="N168" i="13"/>
  <c r="R168" i="13" s="1"/>
  <c r="N169" i="13"/>
  <c r="N170" i="13"/>
  <c r="N171" i="13"/>
  <c r="N172" i="13"/>
  <c r="N173" i="13"/>
  <c r="N174" i="13"/>
  <c r="N175" i="13"/>
  <c r="N176" i="13"/>
  <c r="R176" i="13" s="1"/>
  <c r="N177" i="13"/>
  <c r="N178" i="13"/>
  <c r="N179" i="13"/>
  <c r="N180" i="13"/>
  <c r="N181" i="13"/>
  <c r="N182" i="13"/>
  <c r="N183" i="13"/>
  <c r="N184" i="13"/>
  <c r="R184" i="13" s="1"/>
  <c r="N185" i="13"/>
  <c r="N186" i="13"/>
  <c r="N187" i="13"/>
  <c r="N188" i="13"/>
  <c r="N189" i="13"/>
  <c r="N190" i="13"/>
  <c r="N191" i="13"/>
  <c r="N192" i="13"/>
  <c r="R192" i="13" s="1"/>
  <c r="N193" i="13"/>
  <c r="N194" i="13"/>
  <c r="N195" i="13"/>
  <c r="N196" i="13"/>
  <c r="N197" i="13"/>
  <c r="N198" i="13"/>
  <c r="N199" i="13"/>
  <c r="N200" i="13"/>
  <c r="R200" i="13" s="1"/>
  <c r="N201" i="13"/>
  <c r="N202" i="13"/>
  <c r="N203" i="13"/>
  <c r="N204" i="13"/>
  <c r="N205" i="13"/>
  <c r="N206" i="13"/>
  <c r="N207" i="13"/>
  <c r="N208" i="13"/>
  <c r="R208" i="13" s="1"/>
  <c r="N209" i="13"/>
  <c r="N210" i="13"/>
  <c r="N211" i="13"/>
  <c r="N212" i="13"/>
  <c r="N213" i="13"/>
  <c r="N214" i="13"/>
  <c r="N215" i="13"/>
  <c r="N216" i="13"/>
  <c r="R216" i="13" s="1"/>
  <c r="N217" i="13"/>
  <c r="N218" i="13"/>
  <c r="N219" i="13"/>
  <c r="N220" i="13"/>
  <c r="N221" i="13"/>
  <c r="N222" i="13"/>
  <c r="N223" i="13"/>
  <c r="N224" i="13"/>
  <c r="R224" i="13" s="1"/>
  <c r="N225" i="13"/>
  <c r="N226" i="13"/>
  <c r="N227" i="13"/>
  <c r="N228" i="13"/>
  <c r="N229" i="13"/>
  <c r="N230" i="13"/>
  <c r="N231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I4" i="13"/>
  <c r="I5" i="13"/>
  <c r="L5" i="13" s="1"/>
  <c r="I6" i="13"/>
  <c r="L6" i="13" s="1"/>
  <c r="I7" i="13"/>
  <c r="L7" i="13" s="1"/>
  <c r="I8" i="13"/>
  <c r="L8" i="13" s="1"/>
  <c r="I9" i="13"/>
  <c r="L9" i="13" s="1"/>
  <c r="I10" i="13"/>
  <c r="L10" i="13" s="1"/>
  <c r="I11" i="13"/>
  <c r="L11" i="13" s="1"/>
  <c r="I12" i="13"/>
  <c r="L12" i="13" s="1"/>
  <c r="I13" i="13"/>
  <c r="L13" i="13" s="1"/>
  <c r="I14" i="13"/>
  <c r="L14" i="13" s="1"/>
  <c r="I15" i="13"/>
  <c r="L15" i="13" s="1"/>
  <c r="I16" i="13"/>
  <c r="L16" i="13" s="1"/>
  <c r="I17" i="13"/>
  <c r="L17" i="13" s="1"/>
  <c r="I18" i="13"/>
  <c r="L18" i="13" s="1"/>
  <c r="I19" i="13"/>
  <c r="L19" i="13" s="1"/>
  <c r="I20" i="13"/>
  <c r="L20" i="13" s="1"/>
  <c r="I21" i="13"/>
  <c r="L21" i="13" s="1"/>
  <c r="I22" i="13"/>
  <c r="L22" i="13" s="1"/>
  <c r="I23" i="13"/>
  <c r="L23" i="13" s="1"/>
  <c r="I24" i="13"/>
  <c r="L24" i="13" s="1"/>
  <c r="I25" i="13"/>
  <c r="L25" i="13" s="1"/>
  <c r="I26" i="13"/>
  <c r="L26" i="13" s="1"/>
  <c r="I27" i="13"/>
  <c r="L27" i="13" s="1"/>
  <c r="I28" i="13"/>
  <c r="L28" i="13" s="1"/>
  <c r="I29" i="13"/>
  <c r="L29" i="13" s="1"/>
  <c r="I30" i="13"/>
  <c r="L30" i="13" s="1"/>
  <c r="I31" i="13"/>
  <c r="L31" i="13" s="1"/>
  <c r="I32" i="13"/>
  <c r="L32" i="13" s="1"/>
  <c r="I33" i="13"/>
  <c r="L33" i="13" s="1"/>
  <c r="I34" i="13"/>
  <c r="L34" i="13" s="1"/>
  <c r="I35" i="13"/>
  <c r="L35" i="13" s="1"/>
  <c r="I36" i="13"/>
  <c r="L36" i="13" s="1"/>
  <c r="I37" i="13"/>
  <c r="L37" i="13" s="1"/>
  <c r="I38" i="13"/>
  <c r="L38" i="13" s="1"/>
  <c r="I39" i="13"/>
  <c r="L39" i="13" s="1"/>
  <c r="I40" i="13"/>
  <c r="L40" i="13" s="1"/>
  <c r="I41" i="13"/>
  <c r="L41" i="13" s="1"/>
  <c r="I42" i="13"/>
  <c r="L42" i="13" s="1"/>
  <c r="I43" i="13"/>
  <c r="L43" i="13" s="1"/>
  <c r="I44" i="13"/>
  <c r="L44" i="13" s="1"/>
  <c r="I45" i="13"/>
  <c r="L45" i="13" s="1"/>
  <c r="I46" i="13"/>
  <c r="L46" i="13" s="1"/>
  <c r="I47" i="13"/>
  <c r="L47" i="13" s="1"/>
  <c r="I48" i="13"/>
  <c r="L48" i="13" s="1"/>
  <c r="I49" i="13"/>
  <c r="L49" i="13" s="1"/>
  <c r="I50" i="13"/>
  <c r="L50" i="13" s="1"/>
  <c r="I51" i="13"/>
  <c r="L51" i="13" s="1"/>
  <c r="I52" i="13"/>
  <c r="L52" i="13" s="1"/>
  <c r="I53" i="13"/>
  <c r="L53" i="13" s="1"/>
  <c r="I54" i="13"/>
  <c r="L54" i="13" s="1"/>
  <c r="I55" i="13"/>
  <c r="L55" i="13" s="1"/>
  <c r="I56" i="13"/>
  <c r="L56" i="13" s="1"/>
  <c r="I57" i="13"/>
  <c r="L57" i="13" s="1"/>
  <c r="I58" i="13"/>
  <c r="L58" i="13" s="1"/>
  <c r="I59" i="13"/>
  <c r="L59" i="13" s="1"/>
  <c r="I60" i="13"/>
  <c r="L60" i="13" s="1"/>
  <c r="I61" i="13"/>
  <c r="L61" i="13" s="1"/>
  <c r="I62" i="13"/>
  <c r="L62" i="13" s="1"/>
  <c r="I63" i="13"/>
  <c r="L63" i="13" s="1"/>
  <c r="I64" i="13"/>
  <c r="L64" i="13" s="1"/>
  <c r="I65" i="13"/>
  <c r="L65" i="13" s="1"/>
  <c r="I66" i="13"/>
  <c r="L66" i="13" s="1"/>
  <c r="I67" i="13"/>
  <c r="L67" i="13" s="1"/>
  <c r="I68" i="13"/>
  <c r="L68" i="13" s="1"/>
  <c r="I69" i="13"/>
  <c r="L69" i="13" s="1"/>
  <c r="I70" i="13"/>
  <c r="L70" i="13" s="1"/>
  <c r="I71" i="13"/>
  <c r="L71" i="13" s="1"/>
  <c r="I72" i="13"/>
  <c r="L72" i="13" s="1"/>
  <c r="I73" i="13"/>
  <c r="L73" i="13" s="1"/>
  <c r="I74" i="13"/>
  <c r="L74" i="13" s="1"/>
  <c r="I75" i="13"/>
  <c r="L75" i="13" s="1"/>
  <c r="I76" i="13"/>
  <c r="L76" i="13" s="1"/>
  <c r="I77" i="13"/>
  <c r="L77" i="13" s="1"/>
  <c r="I78" i="13"/>
  <c r="L78" i="13" s="1"/>
  <c r="I79" i="13"/>
  <c r="L79" i="13" s="1"/>
  <c r="I80" i="13"/>
  <c r="L80" i="13" s="1"/>
  <c r="I81" i="13"/>
  <c r="L81" i="13" s="1"/>
  <c r="I82" i="13"/>
  <c r="L82" i="13" s="1"/>
  <c r="I83" i="13"/>
  <c r="L83" i="13" s="1"/>
  <c r="I84" i="13"/>
  <c r="L84" i="13" s="1"/>
  <c r="I85" i="13"/>
  <c r="L85" i="13" s="1"/>
  <c r="I86" i="13"/>
  <c r="L86" i="13" s="1"/>
  <c r="I87" i="13"/>
  <c r="L87" i="13" s="1"/>
  <c r="I88" i="13"/>
  <c r="L88" i="13" s="1"/>
  <c r="I89" i="13"/>
  <c r="L89" i="13" s="1"/>
  <c r="I90" i="13"/>
  <c r="L90" i="13" s="1"/>
  <c r="I91" i="13"/>
  <c r="L91" i="13" s="1"/>
  <c r="I92" i="13"/>
  <c r="L92" i="13" s="1"/>
  <c r="I93" i="13"/>
  <c r="L93" i="13" s="1"/>
  <c r="I94" i="13"/>
  <c r="L94" i="13" s="1"/>
  <c r="I95" i="13"/>
  <c r="L95" i="13" s="1"/>
  <c r="I96" i="13"/>
  <c r="L96" i="13" s="1"/>
  <c r="I97" i="13"/>
  <c r="L97" i="13" s="1"/>
  <c r="I98" i="13"/>
  <c r="L98" i="13" s="1"/>
  <c r="I99" i="13"/>
  <c r="L99" i="13" s="1"/>
  <c r="I100" i="13"/>
  <c r="L100" i="13" s="1"/>
  <c r="I101" i="13"/>
  <c r="L101" i="13" s="1"/>
  <c r="I102" i="13"/>
  <c r="L102" i="13" s="1"/>
  <c r="I103" i="13"/>
  <c r="L103" i="13" s="1"/>
  <c r="I104" i="13"/>
  <c r="L104" i="13" s="1"/>
  <c r="I105" i="13"/>
  <c r="L105" i="13" s="1"/>
  <c r="I106" i="13"/>
  <c r="L106" i="13" s="1"/>
  <c r="I107" i="13"/>
  <c r="L107" i="13" s="1"/>
  <c r="I108" i="13"/>
  <c r="L108" i="13" s="1"/>
  <c r="I109" i="13"/>
  <c r="L109" i="13" s="1"/>
  <c r="I110" i="13"/>
  <c r="L110" i="13" s="1"/>
  <c r="I111" i="13"/>
  <c r="L111" i="13" s="1"/>
  <c r="I112" i="13"/>
  <c r="L112" i="13" s="1"/>
  <c r="I113" i="13"/>
  <c r="L113" i="13" s="1"/>
  <c r="I114" i="13"/>
  <c r="L114" i="13" s="1"/>
  <c r="I115" i="13"/>
  <c r="L115" i="13" s="1"/>
  <c r="I116" i="13"/>
  <c r="L116" i="13" s="1"/>
  <c r="I117" i="13"/>
  <c r="L117" i="13" s="1"/>
  <c r="I118" i="13"/>
  <c r="L118" i="13" s="1"/>
  <c r="I119" i="13"/>
  <c r="L119" i="13" s="1"/>
  <c r="I120" i="13"/>
  <c r="L120" i="13" s="1"/>
  <c r="I121" i="13"/>
  <c r="L121" i="13" s="1"/>
  <c r="I122" i="13"/>
  <c r="L122" i="13" s="1"/>
  <c r="I123" i="13"/>
  <c r="L123" i="13" s="1"/>
  <c r="I124" i="13"/>
  <c r="L124" i="13" s="1"/>
  <c r="I125" i="13"/>
  <c r="L125" i="13" s="1"/>
  <c r="I126" i="13"/>
  <c r="L126" i="13" s="1"/>
  <c r="I127" i="13"/>
  <c r="L127" i="13" s="1"/>
  <c r="I128" i="13"/>
  <c r="L128" i="13" s="1"/>
  <c r="I129" i="13"/>
  <c r="L129" i="13" s="1"/>
  <c r="I130" i="13"/>
  <c r="L130" i="13" s="1"/>
  <c r="I131" i="13"/>
  <c r="L131" i="13" s="1"/>
  <c r="I132" i="13"/>
  <c r="L132" i="13" s="1"/>
  <c r="I133" i="13"/>
  <c r="L133" i="13" s="1"/>
  <c r="I134" i="13"/>
  <c r="L134" i="13" s="1"/>
  <c r="I135" i="13"/>
  <c r="L135" i="13" s="1"/>
  <c r="I136" i="13"/>
  <c r="L136" i="13" s="1"/>
  <c r="I137" i="13"/>
  <c r="L137" i="13" s="1"/>
  <c r="I138" i="13"/>
  <c r="L138" i="13" s="1"/>
  <c r="I139" i="13"/>
  <c r="L139" i="13" s="1"/>
  <c r="I140" i="13"/>
  <c r="L140" i="13" s="1"/>
  <c r="I141" i="13"/>
  <c r="L141" i="13" s="1"/>
  <c r="I142" i="13"/>
  <c r="L142" i="13" s="1"/>
  <c r="I143" i="13"/>
  <c r="L143" i="13" s="1"/>
  <c r="I144" i="13"/>
  <c r="L144" i="13" s="1"/>
  <c r="I145" i="13"/>
  <c r="L145" i="13" s="1"/>
  <c r="I146" i="13"/>
  <c r="L146" i="13" s="1"/>
  <c r="I147" i="13"/>
  <c r="L147" i="13" s="1"/>
  <c r="I148" i="13"/>
  <c r="L148" i="13" s="1"/>
  <c r="I149" i="13"/>
  <c r="L149" i="13" s="1"/>
  <c r="I150" i="13"/>
  <c r="L150" i="13" s="1"/>
  <c r="I151" i="13"/>
  <c r="L151" i="13" s="1"/>
  <c r="I152" i="13"/>
  <c r="L152" i="13" s="1"/>
  <c r="I153" i="13"/>
  <c r="L153" i="13" s="1"/>
  <c r="I154" i="13"/>
  <c r="L154" i="13" s="1"/>
  <c r="I155" i="13"/>
  <c r="L155" i="13" s="1"/>
  <c r="I156" i="13"/>
  <c r="L156" i="13" s="1"/>
  <c r="I157" i="13"/>
  <c r="L157" i="13" s="1"/>
  <c r="I158" i="13"/>
  <c r="L158" i="13" s="1"/>
  <c r="I159" i="13"/>
  <c r="L159" i="13" s="1"/>
  <c r="I160" i="13"/>
  <c r="L160" i="13" s="1"/>
  <c r="I161" i="13"/>
  <c r="L161" i="13" s="1"/>
  <c r="I162" i="13"/>
  <c r="L162" i="13" s="1"/>
  <c r="I163" i="13"/>
  <c r="L163" i="13" s="1"/>
  <c r="I164" i="13"/>
  <c r="L164" i="13" s="1"/>
  <c r="I165" i="13"/>
  <c r="L165" i="13" s="1"/>
  <c r="I166" i="13"/>
  <c r="L166" i="13" s="1"/>
  <c r="I167" i="13"/>
  <c r="L167" i="13" s="1"/>
  <c r="I168" i="13"/>
  <c r="L168" i="13" s="1"/>
  <c r="I169" i="13"/>
  <c r="L169" i="13" s="1"/>
  <c r="I170" i="13"/>
  <c r="L170" i="13" s="1"/>
  <c r="I171" i="13"/>
  <c r="L171" i="13" s="1"/>
  <c r="I172" i="13"/>
  <c r="L172" i="13" s="1"/>
  <c r="I173" i="13"/>
  <c r="L173" i="13" s="1"/>
  <c r="I174" i="13"/>
  <c r="L174" i="13" s="1"/>
  <c r="I175" i="13"/>
  <c r="L175" i="13" s="1"/>
  <c r="I176" i="13"/>
  <c r="L176" i="13" s="1"/>
  <c r="I177" i="13"/>
  <c r="L177" i="13" s="1"/>
  <c r="I178" i="13"/>
  <c r="L178" i="13" s="1"/>
  <c r="I179" i="13"/>
  <c r="L179" i="13" s="1"/>
  <c r="I180" i="13"/>
  <c r="L180" i="13" s="1"/>
  <c r="I181" i="13"/>
  <c r="L181" i="13" s="1"/>
  <c r="I182" i="13"/>
  <c r="L182" i="13" s="1"/>
  <c r="I183" i="13"/>
  <c r="L183" i="13" s="1"/>
  <c r="I184" i="13"/>
  <c r="L184" i="13" s="1"/>
  <c r="I185" i="13"/>
  <c r="L185" i="13" s="1"/>
  <c r="I186" i="13"/>
  <c r="L186" i="13" s="1"/>
  <c r="I187" i="13"/>
  <c r="L187" i="13" s="1"/>
  <c r="I188" i="13"/>
  <c r="L188" i="13" s="1"/>
  <c r="I189" i="13"/>
  <c r="L189" i="13" s="1"/>
  <c r="I190" i="13"/>
  <c r="L190" i="13" s="1"/>
  <c r="I191" i="13"/>
  <c r="L191" i="13" s="1"/>
  <c r="I192" i="13"/>
  <c r="L192" i="13" s="1"/>
  <c r="I193" i="13"/>
  <c r="L193" i="13" s="1"/>
  <c r="I194" i="13"/>
  <c r="L194" i="13" s="1"/>
  <c r="I195" i="13"/>
  <c r="L195" i="13" s="1"/>
  <c r="I196" i="13"/>
  <c r="L196" i="13" s="1"/>
  <c r="I197" i="13"/>
  <c r="L197" i="13" s="1"/>
  <c r="I198" i="13"/>
  <c r="L198" i="13" s="1"/>
  <c r="I199" i="13"/>
  <c r="L199" i="13" s="1"/>
  <c r="I200" i="13"/>
  <c r="L200" i="13" s="1"/>
  <c r="I201" i="13"/>
  <c r="L201" i="13" s="1"/>
  <c r="I202" i="13"/>
  <c r="L202" i="13" s="1"/>
  <c r="I203" i="13"/>
  <c r="L203" i="13" s="1"/>
  <c r="I204" i="13"/>
  <c r="L204" i="13" s="1"/>
  <c r="I205" i="13"/>
  <c r="L205" i="13" s="1"/>
  <c r="I206" i="13"/>
  <c r="L206" i="13" s="1"/>
  <c r="I207" i="13"/>
  <c r="L207" i="13" s="1"/>
  <c r="I208" i="13"/>
  <c r="L208" i="13" s="1"/>
  <c r="I209" i="13"/>
  <c r="L209" i="13" s="1"/>
  <c r="I210" i="13"/>
  <c r="L210" i="13" s="1"/>
  <c r="I211" i="13"/>
  <c r="L211" i="13" s="1"/>
  <c r="I212" i="13"/>
  <c r="L212" i="13" s="1"/>
  <c r="I213" i="13"/>
  <c r="L213" i="13" s="1"/>
  <c r="I214" i="13"/>
  <c r="L214" i="13" s="1"/>
  <c r="I215" i="13"/>
  <c r="L215" i="13" s="1"/>
  <c r="I216" i="13"/>
  <c r="L216" i="13" s="1"/>
  <c r="I217" i="13"/>
  <c r="L217" i="13" s="1"/>
  <c r="I218" i="13"/>
  <c r="L218" i="13" s="1"/>
  <c r="I219" i="13"/>
  <c r="L219" i="13" s="1"/>
  <c r="I220" i="13"/>
  <c r="L220" i="13" s="1"/>
  <c r="I221" i="13"/>
  <c r="L221" i="13" s="1"/>
  <c r="I222" i="13"/>
  <c r="L222" i="13" s="1"/>
  <c r="I223" i="13"/>
  <c r="L223" i="13" s="1"/>
  <c r="I224" i="13"/>
  <c r="L224" i="13" s="1"/>
  <c r="I225" i="13"/>
  <c r="L225" i="13" s="1"/>
  <c r="I226" i="13"/>
  <c r="L226" i="13" s="1"/>
  <c r="I227" i="13"/>
  <c r="L227" i="13" s="1"/>
  <c r="I228" i="13"/>
  <c r="L228" i="13" s="1"/>
  <c r="I229" i="13"/>
  <c r="L229" i="13" s="1"/>
  <c r="I230" i="13"/>
  <c r="L230" i="13" s="1"/>
  <c r="I231" i="13"/>
  <c r="L231" i="13" s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5" i="3"/>
  <c r="R225" i="13" l="1"/>
  <c r="R217" i="13"/>
  <c r="R209" i="13"/>
  <c r="R201" i="13"/>
  <c r="R193" i="13"/>
  <c r="R185" i="13"/>
  <c r="R177" i="13"/>
  <c r="R169" i="13"/>
  <c r="R161" i="13"/>
  <c r="R153" i="13"/>
  <c r="R145" i="13"/>
  <c r="R137" i="13"/>
  <c r="R129" i="13"/>
  <c r="R121" i="13"/>
  <c r="R113" i="13"/>
  <c r="R105" i="13"/>
  <c r="R97" i="13"/>
  <c r="R89" i="13"/>
  <c r="R81" i="13"/>
  <c r="R73" i="13"/>
  <c r="R65" i="13"/>
  <c r="R57" i="13"/>
  <c r="R49" i="13"/>
  <c r="R41" i="13"/>
  <c r="R33" i="13"/>
  <c r="R25" i="13"/>
  <c r="R17" i="13"/>
  <c r="R9" i="13"/>
  <c r="AJ192" i="13"/>
  <c r="AJ184" i="13"/>
  <c r="AJ176" i="13"/>
  <c r="AJ168" i="13"/>
  <c r="AJ160" i="13"/>
  <c r="AJ152" i="13"/>
  <c r="AJ144" i="13"/>
  <c r="AJ136" i="13"/>
  <c r="AJ128" i="13"/>
  <c r="AJ120" i="13"/>
  <c r="AJ112" i="13"/>
  <c r="AJ104" i="13"/>
  <c r="AJ96" i="13"/>
  <c r="AJ88" i="13"/>
  <c r="AJ80" i="13"/>
  <c r="AJ72" i="13"/>
  <c r="AJ64" i="13"/>
  <c r="AJ56" i="13"/>
  <c r="AJ48" i="13"/>
  <c r="AJ40" i="13"/>
  <c r="AJ32" i="13"/>
  <c r="AJ24" i="13"/>
  <c r="AJ16" i="13"/>
  <c r="AJ8" i="13"/>
  <c r="BB230" i="13"/>
  <c r="AP229" i="13"/>
  <c r="AP221" i="13"/>
  <c r="AP213" i="13"/>
  <c r="AP205" i="13"/>
  <c r="AP197" i="13"/>
  <c r="AP189" i="13"/>
  <c r="AP181" i="13"/>
  <c r="AP173" i="13"/>
  <c r="AP165" i="13"/>
  <c r="AP157" i="13"/>
  <c r="AP149" i="13"/>
  <c r="AP141" i="13"/>
  <c r="AP133" i="13"/>
  <c r="AP125" i="13"/>
  <c r="AP117" i="13"/>
  <c r="AP109" i="13"/>
  <c r="AP101" i="13"/>
  <c r="AP93" i="13"/>
  <c r="AP85" i="13"/>
  <c r="AP77" i="13"/>
  <c r="AP69" i="13"/>
  <c r="AP61" i="13"/>
  <c r="AP53" i="13"/>
  <c r="AP45" i="13"/>
  <c r="AP37" i="13"/>
  <c r="AP29" i="13"/>
  <c r="AP21" i="13"/>
  <c r="AP13" i="13"/>
  <c r="AP5" i="13"/>
  <c r="R227" i="13"/>
  <c r="R219" i="13"/>
  <c r="R211" i="13"/>
  <c r="R203" i="13"/>
  <c r="R195" i="13"/>
  <c r="R187" i="13"/>
  <c r="R179" i="13"/>
  <c r="R171" i="13"/>
  <c r="R163" i="13"/>
  <c r="R155" i="13"/>
  <c r="R147" i="13"/>
  <c r="R139" i="13"/>
  <c r="R131" i="13"/>
  <c r="R123" i="13"/>
  <c r="R115" i="13"/>
  <c r="R107" i="13"/>
  <c r="R99" i="13"/>
  <c r="R91" i="13"/>
  <c r="R83" i="13"/>
  <c r="R75" i="13"/>
  <c r="R67" i="13"/>
  <c r="R59" i="13"/>
  <c r="R51" i="13"/>
  <c r="R43" i="13"/>
  <c r="R35" i="13"/>
  <c r="R27" i="13"/>
  <c r="R19" i="13"/>
  <c r="R11" i="13"/>
  <c r="AP228" i="13"/>
  <c r="AP220" i="13"/>
  <c r="AP212" i="13"/>
  <c r="AP204" i="13"/>
  <c r="AP196" i="13"/>
  <c r="AP188" i="13"/>
  <c r="AP180" i="13"/>
  <c r="AP172" i="13"/>
  <c r="AP164" i="13"/>
  <c r="AP156" i="13"/>
  <c r="AP148" i="13"/>
  <c r="AP140" i="13"/>
  <c r="AP132" i="13"/>
  <c r="AP124" i="13"/>
  <c r="AP116" i="13"/>
  <c r="AP108" i="13"/>
  <c r="AP100" i="13"/>
  <c r="AP92" i="13"/>
  <c r="AP84" i="13"/>
  <c r="AP76" i="13"/>
  <c r="AP68" i="13"/>
  <c r="AP60" i="13"/>
  <c r="AP52" i="13"/>
  <c r="AP44" i="13"/>
  <c r="AP36" i="13"/>
  <c r="AP28" i="13"/>
  <c r="AP20" i="13"/>
  <c r="AP12" i="13"/>
  <c r="AE199" i="13"/>
  <c r="R228" i="13"/>
  <c r="R220" i="13"/>
  <c r="R212" i="13"/>
  <c r="R204" i="13"/>
  <c r="R196" i="13"/>
  <c r="R188" i="13"/>
  <c r="R180" i="13"/>
  <c r="R172" i="13"/>
  <c r="R164" i="13"/>
  <c r="R156" i="13"/>
  <c r="R148" i="13"/>
  <c r="R140" i="13"/>
  <c r="R132" i="13"/>
  <c r="R124" i="13"/>
  <c r="R116" i="13"/>
  <c r="R108" i="13"/>
  <c r="R100" i="13"/>
  <c r="R92" i="13"/>
  <c r="R84" i="13"/>
  <c r="R76" i="13"/>
  <c r="R68" i="13"/>
  <c r="R60" i="13"/>
  <c r="R52" i="13"/>
  <c r="R44" i="13"/>
  <c r="R36" i="13"/>
  <c r="R28" i="13"/>
  <c r="AP224" i="13"/>
  <c r="AP216" i="13"/>
  <c r="AP208" i="13"/>
  <c r="AP200" i="13"/>
  <c r="AP192" i="13"/>
  <c r="AP184" i="13"/>
  <c r="AP176" i="13"/>
  <c r="AP168" i="13"/>
  <c r="AP160" i="13"/>
  <c r="AP152" i="13"/>
  <c r="AP144" i="13"/>
  <c r="AP136" i="13"/>
  <c r="AP128" i="13"/>
  <c r="AP120" i="13"/>
  <c r="AP112" i="13"/>
  <c r="AP104" i="13"/>
  <c r="AP96" i="13"/>
  <c r="AP88" i="13"/>
  <c r="AP80" i="13"/>
  <c r="AP72" i="13"/>
  <c r="AP64" i="13"/>
  <c r="AP56" i="13"/>
  <c r="AP48" i="13"/>
  <c r="AP40" i="13"/>
  <c r="AP32" i="13"/>
  <c r="AP24" i="13"/>
  <c r="AP16" i="13"/>
  <c r="AP8" i="13"/>
  <c r="R226" i="13"/>
  <c r="R218" i="13"/>
  <c r="R210" i="13"/>
  <c r="R202" i="13"/>
  <c r="R194" i="13"/>
  <c r="R186" i="13"/>
  <c r="R178" i="13"/>
  <c r="R170" i="13"/>
  <c r="R162" i="13"/>
  <c r="R154" i="13"/>
  <c r="R146" i="13"/>
  <c r="R138" i="13"/>
  <c r="R130" i="13"/>
  <c r="R122" i="13"/>
  <c r="R114" i="13"/>
  <c r="R106" i="13"/>
  <c r="R98" i="13"/>
  <c r="R90" i="13"/>
  <c r="R82" i="13"/>
  <c r="R74" i="13"/>
  <c r="R66" i="13"/>
  <c r="R58" i="13"/>
  <c r="R50" i="13"/>
  <c r="R42" i="13"/>
  <c r="R34" i="13"/>
  <c r="R26" i="13"/>
  <c r="R18" i="13"/>
  <c r="R10" i="13"/>
  <c r="AP230" i="13"/>
  <c r="AP222" i="13"/>
  <c r="AP214" i="13"/>
  <c r="AP206" i="13"/>
  <c r="AP198" i="13"/>
  <c r="AP190" i="13"/>
  <c r="AP182" i="13"/>
  <c r="AP174" i="13"/>
  <c r="AP166" i="13"/>
  <c r="AP158" i="13"/>
  <c r="AP150" i="13"/>
  <c r="AP142" i="13"/>
  <c r="AP134" i="13"/>
  <c r="AP126" i="13"/>
  <c r="AP118" i="13"/>
  <c r="AP110" i="13"/>
  <c r="AP102" i="13"/>
  <c r="AP94" i="13"/>
  <c r="AP86" i="13"/>
  <c r="AP78" i="13"/>
  <c r="AP70" i="13"/>
  <c r="AP62" i="13"/>
  <c r="AP54" i="13"/>
  <c r="AP46" i="13"/>
  <c r="AP38" i="13"/>
  <c r="AP30" i="13"/>
  <c r="AP22" i="13"/>
  <c r="AP14" i="13"/>
  <c r="AP6" i="13"/>
  <c r="BB231" i="13"/>
  <c r="AP227" i="13"/>
  <c r="AP219" i="13"/>
  <c r="AP211" i="13"/>
  <c r="AP203" i="13"/>
  <c r="AP195" i="13"/>
  <c r="AP187" i="13"/>
  <c r="AP179" i="13"/>
  <c r="AP171" i="13"/>
  <c r="AP163" i="13"/>
  <c r="AP155" i="13"/>
  <c r="AP147" i="13"/>
  <c r="AP139" i="13"/>
  <c r="AP131" i="13"/>
  <c r="AP123" i="13"/>
  <c r="AP115" i="13"/>
  <c r="AP107" i="13"/>
  <c r="AP99" i="13"/>
  <c r="AP91" i="13"/>
  <c r="AP83" i="13"/>
  <c r="AP75" i="13"/>
  <c r="AP67" i="13"/>
  <c r="AP59" i="13"/>
  <c r="AP51" i="13"/>
  <c r="AP43" i="13"/>
  <c r="AP35" i="13"/>
  <c r="AP27" i="13"/>
  <c r="AP19" i="13"/>
  <c r="AP11" i="13"/>
  <c r="R231" i="13"/>
  <c r="R223" i="13"/>
  <c r="R215" i="13"/>
  <c r="R207" i="13"/>
  <c r="R199" i="13"/>
  <c r="R191" i="13"/>
  <c r="R183" i="13"/>
  <c r="R175" i="13"/>
  <c r="R167" i="13"/>
  <c r="R159" i="13"/>
  <c r="R151" i="13"/>
  <c r="R143" i="13"/>
  <c r="R135" i="13"/>
  <c r="R127" i="13"/>
  <c r="R119" i="13"/>
  <c r="R111" i="13"/>
  <c r="R103" i="13"/>
  <c r="R95" i="13"/>
  <c r="R87" i="13"/>
  <c r="R79" i="13"/>
  <c r="R71" i="13"/>
  <c r="R63" i="13"/>
  <c r="R55" i="13"/>
  <c r="R47" i="13"/>
  <c r="R39" i="13"/>
  <c r="R31" i="13"/>
  <c r="R23" i="13"/>
  <c r="R15" i="13"/>
  <c r="R7" i="13"/>
  <c r="R230" i="13"/>
  <c r="R222" i="13"/>
  <c r="R214" i="13"/>
  <c r="R206" i="13"/>
  <c r="R198" i="13"/>
  <c r="R190" i="13"/>
  <c r="R182" i="13"/>
  <c r="R174" i="13"/>
  <c r="R166" i="13"/>
  <c r="R158" i="13"/>
  <c r="R150" i="13"/>
  <c r="R142" i="13"/>
  <c r="R134" i="13"/>
  <c r="R126" i="13"/>
  <c r="R118" i="13"/>
  <c r="R110" i="13"/>
  <c r="R102" i="13"/>
  <c r="R94" i="13"/>
  <c r="R86" i="13"/>
  <c r="R78" i="13"/>
  <c r="R70" i="13"/>
  <c r="R62" i="13"/>
  <c r="R54" i="13"/>
  <c r="R46" i="13"/>
  <c r="R38" i="13"/>
  <c r="R30" i="13"/>
  <c r="R22" i="13"/>
  <c r="R14" i="13"/>
  <c r="R6" i="13"/>
  <c r="AP226" i="13"/>
  <c r="AP202" i="13"/>
  <c r="AP186" i="13"/>
  <c r="AP170" i="13"/>
  <c r="AP154" i="13"/>
  <c r="AP106" i="13"/>
  <c r="AP98" i="13"/>
  <c r="AP82" i="13"/>
  <c r="AP34" i="13"/>
  <c r="AP26" i="13"/>
  <c r="R229" i="13"/>
  <c r="R221" i="13"/>
  <c r="R213" i="13"/>
  <c r="R205" i="13"/>
  <c r="R197" i="13"/>
  <c r="R189" i="13"/>
  <c r="R181" i="13"/>
  <c r="R173" i="13"/>
  <c r="R165" i="13"/>
  <c r="R157" i="13"/>
  <c r="R149" i="13"/>
  <c r="R141" i="13"/>
  <c r="R133" i="13"/>
  <c r="R125" i="13"/>
  <c r="R117" i="13"/>
  <c r="R109" i="13"/>
  <c r="R101" i="13"/>
  <c r="R93" i="13"/>
  <c r="R85" i="13"/>
  <c r="R77" i="13"/>
  <c r="R69" i="13"/>
  <c r="R61" i="13"/>
  <c r="R53" i="13"/>
  <c r="R45" i="13"/>
  <c r="R37" i="13"/>
  <c r="R29" i="13"/>
  <c r="R21" i="13"/>
  <c r="R13" i="13"/>
  <c r="R5" i="13"/>
  <c r="AP225" i="13"/>
  <c r="AP217" i="13"/>
  <c r="AP209" i="13"/>
  <c r="AP201" i="13"/>
  <c r="AP193" i="13"/>
  <c r="AP185" i="13"/>
  <c r="AP177" i="13"/>
  <c r="AP169" i="13"/>
  <c r="AP161" i="13"/>
  <c r="AP153" i="13"/>
  <c r="R20" i="13"/>
  <c r="R12" i="13"/>
  <c r="BA10" i="13"/>
  <c r="AP218" i="13"/>
  <c r="AP210" i="13"/>
  <c r="AP194" i="13"/>
  <c r="AP178" i="13"/>
  <c r="AP162" i="13"/>
  <c r="AP146" i="13"/>
  <c r="AP138" i="13"/>
  <c r="AP130" i="13"/>
  <c r="AP122" i="13"/>
  <c r="AP114" i="13"/>
  <c r="AP90" i="13"/>
  <c r="AP74" i="13"/>
  <c r="AP66" i="13"/>
  <c r="AP58" i="13"/>
  <c r="AP50" i="13"/>
  <c r="AP42" i="13"/>
  <c r="AP18" i="13"/>
  <c r="AP10" i="13"/>
  <c r="AP145" i="13"/>
  <c r="AP137" i="13"/>
  <c r="AP129" i="13"/>
  <c r="AP121" i="13"/>
  <c r="AP113" i="13"/>
  <c r="AP105" i="13"/>
  <c r="AP97" i="13"/>
  <c r="AP89" i="13"/>
  <c r="AP81" i="13"/>
  <c r="AP73" i="13"/>
  <c r="AP65" i="13"/>
  <c r="AP57" i="13"/>
  <c r="AP49" i="13"/>
  <c r="AP41" i="13"/>
  <c r="AP33" i="13"/>
  <c r="AP25" i="13"/>
  <c r="AP17" i="13"/>
  <c r="AP9" i="13"/>
  <c r="Y228" i="13"/>
  <c r="AD228" i="13" s="1"/>
  <c r="AZ15" i="13"/>
  <c r="BB15" i="13" s="1"/>
  <c r="AZ225" i="13"/>
  <c r="BB225" i="13" s="1"/>
  <c r="AJ227" i="13"/>
  <c r="AJ219" i="13"/>
  <c r="AJ211" i="13"/>
  <c r="AJ203" i="13"/>
  <c r="AJ195" i="13"/>
  <c r="AJ187" i="13"/>
  <c r="AJ179" i="13"/>
  <c r="AJ171" i="13"/>
  <c r="AJ163" i="13"/>
  <c r="AJ155" i="13"/>
  <c r="AJ147" i="13"/>
  <c r="AJ139" i="13"/>
  <c r="AJ131" i="13"/>
  <c r="AJ123" i="13"/>
  <c r="AJ115" i="13"/>
  <c r="AJ107" i="13"/>
  <c r="AJ99" i="13"/>
  <c r="AJ91" i="13"/>
  <c r="AJ83" i="13"/>
  <c r="AJ75" i="13"/>
  <c r="AJ67" i="13"/>
  <c r="AJ59" i="13"/>
  <c r="AJ51" i="13"/>
  <c r="AJ43" i="13"/>
  <c r="AJ35" i="13"/>
  <c r="AJ27" i="13"/>
  <c r="AJ19" i="13"/>
  <c r="AJ11" i="13"/>
  <c r="BB147" i="13"/>
  <c r="BB155" i="13"/>
  <c r="BB163" i="13"/>
  <c r="BB171" i="13"/>
  <c r="BB99" i="13"/>
  <c r="BB107" i="13"/>
  <c r="BB115" i="13"/>
  <c r="BB123" i="13"/>
  <c r="BB131" i="13"/>
  <c r="BB139" i="13"/>
  <c r="BB180" i="13"/>
  <c r="BB188" i="13"/>
  <c r="BB196" i="13"/>
  <c r="BB204" i="13"/>
  <c r="BB212" i="13"/>
  <c r="BB11" i="13"/>
  <c r="BB19" i="13"/>
  <c r="BB27" i="13"/>
  <c r="BB35" i="13"/>
  <c r="BB43" i="13"/>
  <c r="BB51" i="13"/>
  <c r="BB59" i="13"/>
  <c r="BB67" i="13"/>
  <c r="BB75" i="13"/>
  <c r="BB83" i="13"/>
  <c r="BB91" i="13"/>
  <c r="BB221" i="13"/>
  <c r="AJ226" i="13"/>
  <c r="AJ218" i="13"/>
  <c r="AJ210" i="13"/>
  <c r="AJ202" i="13"/>
  <c r="AJ194" i="13"/>
  <c r="AJ186" i="13"/>
  <c r="AJ178" i="13"/>
  <c r="AJ170" i="13"/>
  <c r="AJ162" i="13"/>
  <c r="AJ154" i="13"/>
  <c r="AJ146" i="13"/>
  <c r="AJ138" i="13"/>
  <c r="AJ130" i="13"/>
  <c r="AJ122" i="13"/>
  <c r="AJ114" i="13"/>
  <c r="AJ106" i="13"/>
  <c r="AJ98" i="13"/>
  <c r="AJ90" i="13"/>
  <c r="AJ82" i="13"/>
  <c r="AJ74" i="13"/>
  <c r="AJ66" i="13"/>
  <c r="AJ58" i="13"/>
  <c r="AJ50" i="13"/>
  <c r="AJ42" i="13"/>
  <c r="AJ34" i="13"/>
  <c r="AJ26" i="13"/>
  <c r="AJ18" i="13"/>
  <c r="AJ10" i="13"/>
  <c r="AJ231" i="13"/>
  <c r="AJ223" i="13"/>
  <c r="AJ215" i="13"/>
  <c r="AJ207" i="13"/>
  <c r="AJ199" i="13"/>
  <c r="AJ191" i="13"/>
  <c r="AJ183" i="13"/>
  <c r="AJ175" i="13"/>
  <c r="AJ167" i="13"/>
  <c r="AJ159" i="13"/>
  <c r="AJ151" i="13"/>
  <c r="AJ143" i="13"/>
  <c r="AJ135" i="13"/>
  <c r="AJ127" i="13"/>
  <c r="AJ119" i="13"/>
  <c r="AJ111" i="13"/>
  <c r="AJ103" i="13"/>
  <c r="AJ95" i="13"/>
  <c r="AJ87" i="13"/>
  <c r="AJ79" i="13"/>
  <c r="AJ71" i="13"/>
  <c r="AJ63" i="13"/>
  <c r="AJ55" i="13"/>
  <c r="AJ47" i="13"/>
  <c r="AJ39" i="13"/>
  <c r="AJ31" i="13"/>
  <c r="AJ23" i="13"/>
  <c r="AJ15" i="13"/>
  <c r="AJ7" i="13"/>
  <c r="AJ230" i="13"/>
  <c r="AJ222" i="13"/>
  <c r="AJ214" i="13"/>
  <c r="AJ206" i="13"/>
  <c r="AJ198" i="13"/>
  <c r="AJ190" i="13"/>
  <c r="AJ182" i="13"/>
  <c r="AJ174" i="13"/>
  <c r="AJ166" i="13"/>
  <c r="AJ158" i="13"/>
  <c r="AJ150" i="13"/>
  <c r="AJ142" i="13"/>
  <c r="AJ134" i="13"/>
  <c r="AJ126" i="13"/>
  <c r="AJ118" i="13"/>
  <c r="AJ110" i="13"/>
  <c r="AJ102" i="13"/>
  <c r="AJ94" i="13"/>
  <c r="AJ86" i="13"/>
  <c r="AJ78" i="13"/>
  <c r="AJ70" i="13"/>
  <c r="AJ62" i="13"/>
  <c r="AJ54" i="13"/>
  <c r="AJ46" i="13"/>
  <c r="AJ38" i="13"/>
  <c r="AJ30" i="13"/>
  <c r="AJ22" i="13"/>
  <c r="AJ14" i="13"/>
  <c r="AJ6" i="13"/>
  <c r="AJ229" i="13"/>
  <c r="AJ221" i="13"/>
  <c r="AJ213" i="13"/>
  <c r="AJ205" i="13"/>
  <c r="AJ197" i="13"/>
  <c r="AJ189" i="13"/>
  <c r="AJ181" i="13"/>
  <c r="AJ173" i="13"/>
  <c r="AJ165" i="13"/>
  <c r="AJ157" i="13"/>
  <c r="AJ149" i="13"/>
  <c r="AJ141" i="13"/>
  <c r="AJ133" i="13"/>
  <c r="AJ125" i="13"/>
  <c r="AJ117" i="13"/>
  <c r="AJ109" i="13"/>
  <c r="AJ101" i="13"/>
  <c r="AJ93" i="13"/>
  <c r="AJ85" i="13"/>
  <c r="AJ77" i="13"/>
  <c r="AJ69" i="13"/>
  <c r="AJ61" i="13"/>
  <c r="AJ53" i="13"/>
  <c r="AJ45" i="13"/>
  <c r="AJ37" i="13"/>
  <c r="AJ29" i="13"/>
  <c r="AJ21" i="13"/>
  <c r="AJ13" i="13"/>
  <c r="AJ5" i="13"/>
  <c r="AJ228" i="13"/>
  <c r="AJ220" i="13"/>
  <c r="AJ212" i="13"/>
  <c r="AJ204" i="13"/>
  <c r="AJ196" i="13"/>
  <c r="AJ188" i="13"/>
  <c r="AJ180" i="13"/>
  <c r="AJ172" i="13"/>
  <c r="AJ164" i="13"/>
  <c r="AJ156" i="13"/>
  <c r="AJ148" i="13"/>
  <c r="AJ140" i="13"/>
  <c r="AJ132" i="13"/>
  <c r="AJ124" i="13"/>
  <c r="AJ116" i="13"/>
  <c r="AJ108" i="13"/>
  <c r="AJ100" i="13"/>
  <c r="AJ92" i="13"/>
  <c r="AJ84" i="13"/>
  <c r="AJ76" i="13"/>
  <c r="AJ68" i="13"/>
  <c r="AJ60" i="13"/>
  <c r="AJ52" i="13"/>
  <c r="AJ44" i="13"/>
  <c r="AJ36" i="13"/>
  <c r="AJ28" i="13"/>
  <c r="AJ20" i="13"/>
  <c r="AJ12" i="13"/>
  <c r="AJ4" i="13"/>
  <c r="AJ225" i="13"/>
  <c r="AJ217" i="13"/>
  <c r="AJ209" i="13"/>
  <c r="AJ201" i="13"/>
  <c r="AJ193" i="13"/>
  <c r="AJ185" i="13"/>
  <c r="AJ177" i="13"/>
  <c r="AJ169" i="13"/>
  <c r="AJ161" i="13"/>
  <c r="AJ153" i="13"/>
  <c r="AJ145" i="13"/>
  <c r="AJ137" i="13"/>
  <c r="AJ129" i="13"/>
  <c r="AJ121" i="13"/>
  <c r="AJ113" i="13"/>
  <c r="AJ105" i="13"/>
  <c r="AJ97" i="13"/>
  <c r="AJ89" i="13"/>
  <c r="AJ81" i="13"/>
  <c r="AJ73" i="13"/>
  <c r="AJ65" i="13"/>
  <c r="AJ57" i="13"/>
  <c r="AJ49" i="13"/>
  <c r="AJ41" i="13"/>
  <c r="AJ33" i="13"/>
  <c r="AJ25" i="13"/>
  <c r="AJ17" i="13"/>
  <c r="AJ9" i="13"/>
  <c r="BB6" i="13"/>
  <c r="BB14" i="13"/>
  <c r="BB22" i="13"/>
  <c r="BB30" i="13"/>
  <c r="BB38" i="13"/>
  <c r="BB46" i="13"/>
  <c r="BB54" i="13"/>
  <c r="BB62" i="13"/>
  <c r="BB70" i="13"/>
  <c r="BB78" i="13"/>
  <c r="BB86" i="13"/>
  <c r="BB95" i="13"/>
  <c r="BB103" i="13"/>
  <c r="BB111" i="13"/>
  <c r="BB119" i="13"/>
  <c r="BB127" i="13"/>
  <c r="BB135" i="13"/>
  <c r="BB143" i="13"/>
  <c r="BB184" i="13"/>
  <c r="BB192" i="13"/>
  <c r="BB200" i="13"/>
  <c r="BB208" i="13"/>
  <c r="BB216" i="13"/>
  <c r="BB224" i="13"/>
  <c r="BB7" i="13"/>
  <c r="BB23" i="13"/>
  <c r="BB31" i="13"/>
  <c r="BB39" i="13"/>
  <c r="BB47" i="13"/>
  <c r="BB55" i="13"/>
  <c r="BB63" i="13"/>
  <c r="BB71" i="13"/>
  <c r="BB79" i="13"/>
  <c r="BB87" i="13"/>
  <c r="BB174" i="13"/>
  <c r="BB94" i="13"/>
  <c r="BB151" i="13"/>
  <c r="BB159" i="13"/>
  <c r="BB167" i="13"/>
  <c r="BB175" i="13"/>
  <c r="BB183" i="13"/>
  <c r="BB191" i="13"/>
  <c r="BB199" i="13"/>
  <c r="BB207" i="13"/>
  <c r="BB215" i="13"/>
  <c r="BB206" i="13"/>
  <c r="BB214" i="13"/>
  <c r="BB223" i="13"/>
  <c r="BB9" i="13"/>
  <c r="BB17" i="13"/>
  <c r="BB25" i="13"/>
  <c r="BB33" i="13"/>
  <c r="BB41" i="13"/>
  <c r="BB49" i="13"/>
  <c r="BB57" i="13"/>
  <c r="BB65" i="13"/>
  <c r="BB73" i="13"/>
  <c r="BB81" i="13"/>
  <c r="BB89" i="13"/>
  <c r="BB226" i="13"/>
  <c r="BB100" i="13"/>
  <c r="BB108" i="13"/>
  <c r="BB116" i="13"/>
  <c r="BB124" i="13"/>
  <c r="BB132" i="13"/>
  <c r="BB140" i="13"/>
  <c r="BB181" i="13"/>
  <c r="BB189" i="13"/>
  <c r="BB197" i="13"/>
  <c r="BB205" i="13"/>
  <c r="BB213" i="13"/>
  <c r="BB12" i="13"/>
  <c r="BB20" i="13"/>
  <c r="BB28" i="13"/>
  <c r="BB36" i="13"/>
  <c r="BB44" i="13"/>
  <c r="BB52" i="13"/>
  <c r="BB60" i="13"/>
  <c r="BB68" i="13"/>
  <c r="BB76" i="13"/>
  <c r="BB84" i="13"/>
  <c r="BB222" i="13"/>
  <c r="BB161" i="13"/>
  <c r="BB169" i="13"/>
  <c r="BB178" i="13"/>
  <c r="BB186" i="13"/>
  <c r="BB194" i="13"/>
  <c r="BB202" i="13"/>
  <c r="BB210" i="13"/>
  <c r="BB218" i="13"/>
  <c r="BB149" i="13"/>
  <c r="BB157" i="13"/>
  <c r="BB165" i="13"/>
  <c r="BB173" i="13"/>
  <c r="BB93" i="13"/>
  <c r="BB101" i="13"/>
  <c r="BB109" i="13"/>
  <c r="BB117" i="13"/>
  <c r="BB125" i="13"/>
  <c r="BB133" i="13"/>
  <c r="BB141" i="13"/>
  <c r="BB150" i="13"/>
  <c r="BB158" i="13"/>
  <c r="BB166" i="13"/>
  <c r="BB182" i="13"/>
  <c r="BB190" i="13"/>
  <c r="BB198" i="13"/>
  <c r="BB5" i="13"/>
  <c r="BB13" i="13"/>
  <c r="BB21" i="13"/>
  <c r="BB29" i="13"/>
  <c r="BB37" i="13"/>
  <c r="BB45" i="13"/>
  <c r="BB53" i="13"/>
  <c r="BB61" i="13"/>
  <c r="BB69" i="13"/>
  <c r="BB77" i="13"/>
  <c r="BB85" i="13"/>
  <c r="BB102" i="13"/>
  <c r="BB110" i="13"/>
  <c r="BB118" i="13"/>
  <c r="BB126" i="13"/>
  <c r="BB134" i="13"/>
  <c r="BB142" i="13"/>
  <c r="BB10" i="13"/>
  <c r="BB18" i="13"/>
  <c r="BB26" i="13"/>
  <c r="BB34" i="13"/>
  <c r="BB42" i="13"/>
  <c r="BB50" i="13"/>
  <c r="BB58" i="13"/>
  <c r="BB66" i="13"/>
  <c r="BB74" i="13"/>
  <c r="BB82" i="13"/>
  <c r="BB90" i="13"/>
  <c r="BB98" i="13"/>
  <c r="BB106" i="13"/>
  <c r="BB114" i="13"/>
  <c r="BB122" i="13"/>
  <c r="BB130" i="13"/>
  <c r="BB138" i="13"/>
  <c r="BB146" i="13"/>
  <c r="BB154" i="13"/>
  <c r="BB162" i="13"/>
  <c r="BB170" i="13"/>
  <c r="BB177" i="13"/>
  <c r="BB152" i="13"/>
  <c r="BB160" i="13"/>
  <c r="BB168" i="13"/>
  <c r="BB176" i="13"/>
  <c r="BB96" i="13"/>
  <c r="BB104" i="13"/>
  <c r="BB112" i="13"/>
  <c r="BB120" i="13"/>
  <c r="BB128" i="13"/>
  <c r="BB136" i="13"/>
  <c r="BB145" i="13"/>
  <c r="BB153" i="13"/>
  <c r="BB185" i="13"/>
  <c r="BB193" i="13"/>
  <c r="BB201" i="13"/>
  <c r="BB209" i="13"/>
  <c r="BB217" i="13"/>
  <c r="BB8" i="13"/>
  <c r="BB16" i="13"/>
  <c r="BB24" i="13"/>
  <c r="BB32" i="13"/>
  <c r="BB40" i="13"/>
  <c r="BB48" i="13"/>
  <c r="BB56" i="13"/>
  <c r="BB64" i="13"/>
  <c r="BB72" i="13"/>
  <c r="BB80" i="13"/>
  <c r="BB88" i="13"/>
  <c r="BB97" i="13"/>
  <c r="BB105" i="13"/>
  <c r="BB113" i="13"/>
  <c r="BB121" i="13"/>
  <c r="BB129" i="13"/>
  <c r="BB137" i="13"/>
  <c r="BB179" i="13"/>
  <c r="BB187" i="13"/>
  <c r="BB195" i="13"/>
  <c r="BB203" i="13"/>
  <c r="BB211" i="13"/>
  <c r="BB219" i="13"/>
  <c r="BB227" i="13"/>
  <c r="BB148" i="13"/>
  <c r="BB156" i="13"/>
  <c r="BB164" i="13"/>
  <c r="BB172" i="13"/>
  <c r="BB220" i="13"/>
  <c r="AZ228" i="13"/>
  <c r="BB228" i="13" s="1"/>
  <c r="BB229" i="13"/>
  <c r="AZ144" i="13"/>
  <c r="BB144" i="13" s="1"/>
  <c r="AZ92" i="13"/>
  <c r="BB92" i="13" s="1"/>
  <c r="F232" i="3" l="1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</calcChain>
</file>

<file path=xl/sharedStrings.xml><?xml version="1.0" encoding="utf-8"?>
<sst xmlns="http://schemas.openxmlformats.org/spreadsheetml/2006/main" count="12080" uniqueCount="641">
  <si>
    <t>Sr#</t>
  </si>
  <si>
    <t>Program Level</t>
  </si>
  <si>
    <t>Activity / Workshops Name</t>
  </si>
  <si>
    <t>Interventions (Name)</t>
  </si>
  <si>
    <t>Institution</t>
  </si>
  <si>
    <t>Program / Course</t>
  </si>
  <si>
    <t>Batch</t>
  </si>
  <si>
    <t>Term / Semester</t>
  </si>
  <si>
    <t>No: of Session Planned</t>
  </si>
  <si>
    <t>No: of Session Conducted</t>
  </si>
  <si>
    <t>Micro - Competencies</t>
  </si>
  <si>
    <t>Link to Update Score</t>
  </si>
  <si>
    <t>JAGSoM</t>
  </si>
  <si>
    <t>PGDM</t>
  </si>
  <si>
    <t>2024 -26</t>
  </si>
  <si>
    <t>D4</t>
  </si>
  <si>
    <t>D5</t>
  </si>
  <si>
    <t>T1</t>
  </si>
  <si>
    <t>C2</t>
  </si>
  <si>
    <t>C3</t>
  </si>
  <si>
    <t>A4</t>
  </si>
  <si>
    <t>C5</t>
  </si>
  <si>
    <t>L1</t>
  </si>
  <si>
    <t>P4</t>
  </si>
  <si>
    <t>Intervention Name :</t>
  </si>
  <si>
    <t>Section</t>
  </si>
  <si>
    <t>Roll Number</t>
  </si>
  <si>
    <t>Name</t>
  </si>
  <si>
    <t xml:space="preserve">Total </t>
  </si>
  <si>
    <t>Discipline</t>
  </si>
  <si>
    <t>D 1</t>
  </si>
  <si>
    <t>D 2</t>
  </si>
  <si>
    <t>D 3</t>
  </si>
  <si>
    <t>D 4</t>
  </si>
  <si>
    <t>D 5</t>
  </si>
  <si>
    <t>A</t>
  </si>
  <si>
    <t>2024JULB00001</t>
  </si>
  <si>
    <t>A Divya Sree</t>
  </si>
  <si>
    <t>2024JULB00110</t>
  </si>
  <si>
    <t>Prachi Chauhan</t>
  </si>
  <si>
    <t>2024JULB00037</t>
  </si>
  <si>
    <t>Bhavik Puri</t>
  </si>
  <si>
    <t>2024JULB00075</t>
  </si>
  <si>
    <t>Kartheek Surya Devarapalli</t>
  </si>
  <si>
    <t>2024JULB00221</t>
  </si>
  <si>
    <t>Dhruban Talukdar</t>
  </si>
  <si>
    <t>2024JULB00184</t>
  </si>
  <si>
    <t>Yash Sen</t>
  </si>
  <si>
    <t>2024JULB00201</t>
  </si>
  <si>
    <t>Varun Thampi</t>
  </si>
  <si>
    <t>2024JULB00024</t>
  </si>
  <si>
    <t>Apoorwa Mishra</t>
  </si>
  <si>
    <t>2024JULB00216</t>
  </si>
  <si>
    <t>Vanshita Bali</t>
  </si>
  <si>
    <t>2024JULB00152</t>
  </si>
  <si>
    <t>Snehith Samala</t>
  </si>
  <si>
    <t>2024JULB00158</t>
  </si>
  <si>
    <t>Sree Nithish</t>
  </si>
  <si>
    <t>2024JULB00027</t>
  </si>
  <si>
    <t>Aryan Atreya</t>
  </si>
  <si>
    <t>2024JULB00078</t>
  </si>
  <si>
    <t>Keshav Dhoot</t>
  </si>
  <si>
    <t>2024JULB00109</t>
  </si>
  <si>
    <t>Poulami Sarkar</t>
  </si>
  <si>
    <t>2024JULB00003</t>
  </si>
  <si>
    <t>Aanchal Sapra</t>
  </si>
  <si>
    <t>2024JULB00033</t>
  </si>
  <si>
    <t>Ashwin Bhaskar</t>
  </si>
  <si>
    <t>2024JULB00012</t>
  </si>
  <si>
    <t>Akarsh Narain</t>
  </si>
  <si>
    <t>2024JULB00103</t>
  </si>
  <si>
    <t>Nishant Mishra</t>
  </si>
  <si>
    <t>2024JULB00007</t>
  </si>
  <si>
    <t>Adarsh G</t>
  </si>
  <si>
    <t>2024JULB00251</t>
  </si>
  <si>
    <t>2024JULB00002</t>
  </si>
  <si>
    <t>Aaditya K</t>
  </si>
  <si>
    <t>2024JULB00129</t>
  </si>
  <si>
    <t>Prithviraj Srinivasan</t>
  </si>
  <si>
    <t>2024JULB00160</t>
  </si>
  <si>
    <t>Srishti</t>
  </si>
  <si>
    <t>2024JULB00102</t>
  </si>
  <si>
    <t>Niranjana Hari</t>
  </si>
  <si>
    <t>2024JULB00185</t>
  </si>
  <si>
    <t>Souvik Biswas</t>
  </si>
  <si>
    <t>2024JULB00161</t>
  </si>
  <si>
    <t>Subham Kumar Sahana</t>
  </si>
  <si>
    <t>2024JULB00017</t>
  </si>
  <si>
    <t>Anamitra Dutta</t>
  </si>
  <si>
    <t>2024JULB00049</t>
  </si>
  <si>
    <t>Deepak Birthare</t>
  </si>
  <si>
    <t>2024JULB00081</t>
  </si>
  <si>
    <t>Krish Chakraborty</t>
  </si>
  <si>
    <t>2024JULB00187</t>
  </si>
  <si>
    <t>Sejal Negi</t>
  </si>
  <si>
    <t>2024JULB00041</t>
  </si>
  <si>
    <t>C Divyashree</t>
  </si>
  <si>
    <t>2024JULB00116</t>
  </si>
  <si>
    <t>Pushkar Dey</t>
  </si>
  <si>
    <t>2024JULB00004</t>
  </si>
  <si>
    <t>Abhinav B</t>
  </si>
  <si>
    <t>2024JULB00006</t>
  </si>
  <si>
    <t>Abhyuday Tripathi</t>
  </si>
  <si>
    <t>2024JULB00009</t>
  </si>
  <si>
    <t>Aditi Kumari</t>
  </si>
  <si>
    <t>2024JULB00021</t>
  </si>
  <si>
    <t>Aniket Inani</t>
  </si>
  <si>
    <t>2024JULB00023</t>
  </si>
  <si>
    <t>Anushk Goel</t>
  </si>
  <si>
    <t>Aryan Trivedi</t>
  </si>
  <si>
    <t>2024JULB00038</t>
  </si>
  <si>
    <t>Bibek Kumar Muduli</t>
  </si>
  <si>
    <t>2024JULB00044</t>
  </si>
  <si>
    <t>Chirag Bhardwaj</t>
  </si>
  <si>
    <t>2024JULB00055</t>
  </si>
  <si>
    <t>Divyam Sood</t>
  </si>
  <si>
    <t>2024JULB00056</t>
  </si>
  <si>
    <t>Elina Mahanta</t>
  </si>
  <si>
    <t>2024JULB00059</t>
  </si>
  <si>
    <t>G Tharnath Reddy</t>
  </si>
  <si>
    <t>2024JULB00212</t>
  </si>
  <si>
    <t>Rajnish Kumar</t>
  </si>
  <si>
    <t>2024JULB00062</t>
  </si>
  <si>
    <t>Harish Kumar R</t>
  </si>
  <si>
    <t>2024JULB00071</t>
  </si>
  <si>
    <t>Jyoti Sahoo</t>
  </si>
  <si>
    <t>2024JULB00074</t>
  </si>
  <si>
    <t>Karan Kashyap</t>
  </si>
  <si>
    <t>2024JULB00076</t>
  </si>
  <si>
    <t>Karthik Gr</t>
  </si>
  <si>
    <t>2024JULB00086</t>
  </si>
  <si>
    <t>Lakshita Chandak</t>
  </si>
  <si>
    <t>2024JULB00088</t>
  </si>
  <si>
    <t>Leena D</t>
  </si>
  <si>
    <t>2024JULB00105</t>
  </si>
  <si>
    <t>Nithish Yuvaraj</t>
  </si>
  <si>
    <t>2024JULB00108</t>
  </si>
  <si>
    <t>Pooja . S</t>
  </si>
  <si>
    <t>2024JULB00113</t>
  </si>
  <si>
    <t>Prajwal P Kulkarni</t>
  </si>
  <si>
    <t>2024JULB00123</t>
  </si>
  <si>
    <t>Rishik Chandra Pasupuleti</t>
  </si>
  <si>
    <t>2024JULB00126</t>
  </si>
  <si>
    <t>Riya Rose</t>
  </si>
  <si>
    <t>2024JULB00130</t>
  </si>
  <si>
    <t>Sadya Anwar</t>
  </si>
  <si>
    <t>2024JULB00138</t>
  </si>
  <si>
    <t>Shankar Vyas</t>
  </si>
  <si>
    <t>2024JULB00230</t>
  </si>
  <si>
    <t>Jaladi Blessy Susanthika</t>
  </si>
  <si>
    <t>2024JULB00148</t>
  </si>
  <si>
    <t>Shubham Goel</t>
  </si>
  <si>
    <t>2024JULB00171</t>
  </si>
  <si>
    <t>Thribhuvan Gowda</t>
  </si>
  <si>
    <t>2024JULB00179</t>
  </si>
  <si>
    <t>Veeraj Vasu Poojari</t>
  </si>
  <si>
    <t>2024JULB00182</t>
  </si>
  <si>
    <t>2024JULB00195</t>
  </si>
  <si>
    <t>Nikhitha Sriya Pottangi</t>
  </si>
  <si>
    <t>2024JULB00202</t>
  </si>
  <si>
    <t>Arnav Rastogi</t>
  </si>
  <si>
    <t>B</t>
  </si>
  <si>
    <t>2024JULB00013</t>
  </si>
  <si>
    <t>Akshat Singh</t>
  </si>
  <si>
    <t>2024JULB00085</t>
  </si>
  <si>
    <t>Kushal Srivastav</t>
  </si>
  <si>
    <t>2024JULB00090</t>
  </si>
  <si>
    <t>M Maureen Mandy</t>
  </si>
  <si>
    <t>2024JULB00134</t>
  </si>
  <si>
    <t>Sanjay Baliga</t>
  </si>
  <si>
    <t>2024JULB00174</t>
  </si>
  <si>
    <t>Urvi Verma</t>
  </si>
  <si>
    <t>2024JULB00176</t>
  </si>
  <si>
    <t>Vaibhav Pandey</t>
  </si>
  <si>
    <t>2024JULB00189</t>
  </si>
  <si>
    <t>Rahul Kumar Mallick</t>
  </si>
  <si>
    <t>2024JULB00241</t>
  </si>
  <si>
    <t>Anu Kumari</t>
  </si>
  <si>
    <t>2024JULB00014</t>
  </si>
  <si>
    <t>Amal Shibu Balan</t>
  </si>
  <si>
    <t>2024JULB00057</t>
  </si>
  <si>
    <t>Faizulhusen A Niaz</t>
  </si>
  <si>
    <t>2024JULB00091</t>
  </si>
  <si>
    <t>Madhav Sharma</t>
  </si>
  <si>
    <t>2024JULB00120</t>
  </si>
  <si>
    <t>Ramya H</t>
  </si>
  <si>
    <t>2024JULB00135</t>
  </si>
  <si>
    <t>Saqib Kalandar Attar</t>
  </si>
  <si>
    <t>2024JULB00188</t>
  </si>
  <si>
    <t>Jigyasa Singh</t>
  </si>
  <si>
    <t>2024JULB00194</t>
  </si>
  <si>
    <t>Aditya Yuvraj Singh Ranawat</t>
  </si>
  <si>
    <t>2024JULB00203</t>
  </si>
  <si>
    <t>Anshumann Singh Sisodiya</t>
  </si>
  <si>
    <t>2024JULB00019</t>
  </si>
  <si>
    <t>Anantaa Paul</t>
  </si>
  <si>
    <t>2024JULB00025</t>
  </si>
  <si>
    <t>2024JULB00060</t>
  </si>
  <si>
    <t>Gagan C S</t>
  </si>
  <si>
    <t>2024JULB00099</t>
  </si>
  <si>
    <t>Nandan Ganapati Bhat</t>
  </si>
  <si>
    <t>2024JULB00139</t>
  </si>
  <si>
    <t>Shaswat Mishra</t>
  </si>
  <si>
    <t>2024JULB00145</t>
  </si>
  <si>
    <t>Shruti Rajale</t>
  </si>
  <si>
    <t>2024JULB00190</t>
  </si>
  <si>
    <t>Himanshu Mall</t>
  </si>
  <si>
    <t>2024JULB00200</t>
  </si>
  <si>
    <t>Meghana Jaya Satuluri</t>
  </si>
  <si>
    <t>2024JULB00026</t>
  </si>
  <si>
    <t>Arush Mangal</t>
  </si>
  <si>
    <t>2024JULB00040</t>
  </si>
  <si>
    <t>Bonula Pravallika</t>
  </si>
  <si>
    <t>2024JULB00064</t>
  </si>
  <si>
    <t>Hemant Prajapat</t>
  </si>
  <si>
    <t>2024JULB00106</t>
  </si>
  <si>
    <t>O K Srivyshnu</t>
  </si>
  <si>
    <t>2024JULB00140</t>
  </si>
  <si>
    <t>Shatabarta Chanda</t>
  </si>
  <si>
    <t>2024JULB00153</t>
  </si>
  <si>
    <t>Sofia Do Carmo Rodrigues</t>
  </si>
  <si>
    <t>2024JULB00198</t>
  </si>
  <si>
    <t>Suvam Basak</t>
  </si>
  <si>
    <t>2024JULB00205</t>
  </si>
  <si>
    <t>Archa S Lal</t>
  </si>
  <si>
    <t>2024JULB00028</t>
  </si>
  <si>
    <t>Aryan Balapure</t>
  </si>
  <si>
    <t>2024JULB00047</t>
  </si>
  <si>
    <t>Debotree Roy</t>
  </si>
  <si>
    <t>2024JULB00065</t>
  </si>
  <si>
    <t>Himanshu Chahar</t>
  </si>
  <si>
    <t>2024JULB00114</t>
  </si>
  <si>
    <t>Prince Kumar</t>
  </si>
  <si>
    <t>2024JULB00137</t>
  </si>
  <si>
    <t>Saurav Kumar</t>
  </si>
  <si>
    <t>2024JULB00142</t>
  </si>
  <si>
    <t>Shivang Mishra</t>
  </si>
  <si>
    <t>2024JULB00154</t>
  </si>
  <si>
    <t>Somya Sahoo</t>
  </si>
  <si>
    <t>2024JULB00217</t>
  </si>
  <si>
    <t>Vittika Dnyaneshwar Chavhan</t>
  </si>
  <si>
    <t>2024JULB00030</t>
  </si>
  <si>
    <t>Ashish Abraham John</t>
  </si>
  <si>
    <t>2024JULB00039</t>
  </si>
  <si>
    <t>Bipasha Mandal</t>
  </si>
  <si>
    <t>2024JULB00054</t>
  </si>
  <si>
    <t>Divya Ashok</t>
  </si>
  <si>
    <t>2024JULB00069</t>
  </si>
  <si>
    <t>Jay Dwivedi</t>
  </si>
  <si>
    <t>2024JULB00118</t>
  </si>
  <si>
    <t>Rahul Ghosh</t>
  </si>
  <si>
    <t>2024JULB00157</t>
  </si>
  <si>
    <t>Spandana Chandragiri</t>
  </si>
  <si>
    <t>2024JULB00162</t>
  </si>
  <si>
    <t>Subhrojit Ghosh</t>
  </si>
  <si>
    <t>2024JULB00218</t>
  </si>
  <si>
    <t>Yash Kataruka</t>
  </si>
  <si>
    <t>2024JULB00032</t>
  </si>
  <si>
    <t>Ashutosh Sharan</t>
  </si>
  <si>
    <t>2024JULB00063</t>
  </si>
  <si>
    <t>Harshavarthni K S</t>
  </si>
  <si>
    <t>2024JULB00083</t>
  </si>
  <si>
    <t>Kunal Khurana</t>
  </si>
  <si>
    <t>2024JULB00122</t>
  </si>
  <si>
    <t>Riddhiman Saha</t>
  </si>
  <si>
    <t>2024JULB00159</t>
  </si>
  <si>
    <t>Sreya Sivadas</t>
  </si>
  <si>
    <t>2024JULB00167</t>
  </si>
  <si>
    <t>Sukhman Sandhu</t>
  </si>
  <si>
    <t>2024JULB00173</t>
  </si>
  <si>
    <t>Tushar Kant Panda</t>
  </si>
  <si>
    <t>2024JULB00215</t>
  </si>
  <si>
    <t>Sanjib Kumar Bhagabati</t>
  </si>
  <si>
    <t>2024JULB00042</t>
  </si>
  <si>
    <t>Chaitya Swaroop Sahu</t>
  </si>
  <si>
    <t>2024JULB00077</t>
  </si>
  <si>
    <t>V L S Kavya Devarapalli</t>
  </si>
  <si>
    <t>2024JULB00084</t>
  </si>
  <si>
    <t>Kushal Badalia</t>
  </si>
  <si>
    <t>2024JULB00133</t>
  </si>
  <si>
    <t>S Sandeep</t>
  </si>
  <si>
    <t>2024JULB00169</t>
  </si>
  <si>
    <t>Syed Sofia Mehazabeen</t>
  </si>
  <si>
    <t>2024JULB00175</t>
  </si>
  <si>
    <t>Vaibhav Laldas</t>
  </si>
  <si>
    <t>2024JULB00208</t>
  </si>
  <si>
    <t>Garima Sarraf</t>
  </si>
  <si>
    <t>2024JULB00224</t>
  </si>
  <si>
    <t>Aniket Raj</t>
  </si>
  <si>
    <t>D</t>
  </si>
  <si>
    <t>2024JULB00005</t>
  </si>
  <si>
    <t>2024JULB00008</t>
  </si>
  <si>
    <t>Adarsh Raj Barman</t>
  </si>
  <si>
    <t>2024JULB00020</t>
  </si>
  <si>
    <t>Ananya Das</t>
  </si>
  <si>
    <t>2024JULB00022</t>
  </si>
  <si>
    <t>Anupa Maheshwari</t>
  </si>
  <si>
    <t>2024JULB00029</t>
  </si>
  <si>
    <t>2024JULB00031</t>
  </si>
  <si>
    <t xml:space="preserve">Ashita Roshan Kumar </t>
  </si>
  <si>
    <t>2024JULB00034</t>
  </si>
  <si>
    <t>Ayush Anand</t>
  </si>
  <si>
    <t>2024JULB00046</t>
  </si>
  <si>
    <t>Darsh Nimesh Shah</t>
  </si>
  <si>
    <t>2024JULB00048</t>
  </si>
  <si>
    <t>Deekshitha S</t>
  </si>
  <si>
    <t>2024JULB00053</t>
  </si>
  <si>
    <t>Disha Baid</t>
  </si>
  <si>
    <t>2024JULB00058</t>
  </si>
  <si>
    <t>Farheena Taskin Jamadar</t>
  </si>
  <si>
    <t>2024JULB00061</t>
  </si>
  <si>
    <t>Gaurav Gaur</t>
  </si>
  <si>
    <t>2024JULB00066</t>
  </si>
  <si>
    <t>Himanshu Upadhyay</t>
  </si>
  <si>
    <t>2024JULB00072</t>
  </si>
  <si>
    <t>Kajal Choudhary</t>
  </si>
  <si>
    <t>2024JULB00073</t>
  </si>
  <si>
    <t>K Balaji Reddy</t>
  </si>
  <si>
    <t>2024JULB00080</t>
  </si>
  <si>
    <t>Koustav  Biswas</t>
  </si>
  <si>
    <t>2024JULB00087</t>
  </si>
  <si>
    <t>Laxmi Poorvaja S</t>
  </si>
  <si>
    <t>2024JULB00093</t>
  </si>
  <si>
    <t>Akhileswaradu Manikireddy</t>
  </si>
  <si>
    <t>2024JULB00094</t>
  </si>
  <si>
    <t>Megha Prajapati</t>
  </si>
  <si>
    <t>2024JULB00095</t>
  </si>
  <si>
    <t>Melvin Roche. A</t>
  </si>
  <si>
    <t>2024JULB00096</t>
  </si>
  <si>
    <t>Milan Krishna N E</t>
  </si>
  <si>
    <t>2024JULB00098</t>
  </si>
  <si>
    <t>Naitik Roy</t>
  </si>
  <si>
    <t>2024JULB00100</t>
  </si>
  <si>
    <t>Nihal Poojary</t>
  </si>
  <si>
    <t>2024JULB00101</t>
  </si>
  <si>
    <t>Nimisha Baruah</t>
  </si>
  <si>
    <t>2024JULB00104</t>
  </si>
  <si>
    <t>Nitesh Ramniwas Saini</t>
  </si>
  <si>
    <t>2024JULB00107</t>
  </si>
  <si>
    <t>Pavitra V</t>
  </si>
  <si>
    <t>2024JULB00115</t>
  </si>
  <si>
    <t>Pujarchana Nayak</t>
  </si>
  <si>
    <t>2024JULB00119</t>
  </si>
  <si>
    <t>RAHUL LAL P. P</t>
  </si>
  <si>
    <t>2024JULB00121</t>
  </si>
  <si>
    <t>Renukha S</t>
  </si>
  <si>
    <t>2024JULB00124</t>
  </si>
  <si>
    <t>Ritaban Roy</t>
  </si>
  <si>
    <t>2024JULB00125</t>
  </si>
  <si>
    <t>Riya Guliya</t>
  </si>
  <si>
    <t>2024JULB00131</t>
  </si>
  <si>
    <t>Sai Krishna Kaveti</t>
  </si>
  <si>
    <t>2024JULB00132</t>
  </si>
  <si>
    <t>Sakchi Suryavanshi</t>
  </si>
  <si>
    <t>2024JULB00143</t>
  </si>
  <si>
    <t>Shreya Bohre</t>
  </si>
  <si>
    <t>2024JULB00146</t>
  </si>
  <si>
    <t>Shruti Sharma</t>
  </si>
  <si>
    <t>2024JULB00147</t>
  </si>
  <si>
    <t>Shruti Vishamber Buchasia</t>
  </si>
  <si>
    <t>2024JULB00149</t>
  </si>
  <si>
    <t>Shubham  Kumar</t>
  </si>
  <si>
    <t>2024JULB00150</t>
  </si>
  <si>
    <t>Siddharth Singh</t>
  </si>
  <si>
    <t>2024JULB00151</t>
  </si>
  <si>
    <t>Sivaraman S</t>
  </si>
  <si>
    <t>2024JULB00155</t>
  </si>
  <si>
    <t>Sonali Agarwal</t>
  </si>
  <si>
    <t>2024JULB00156</t>
  </si>
  <si>
    <t>Souvik Roy</t>
  </si>
  <si>
    <t>2024JULB00163</t>
  </si>
  <si>
    <t>Sudharsan B</t>
  </si>
  <si>
    <t>2024JULB00165</t>
  </si>
  <si>
    <t>Shristi Prakash</t>
  </si>
  <si>
    <t>2024JULB00172</t>
  </si>
  <si>
    <t>Trinanjan Purkait</t>
  </si>
  <si>
    <t>2024JULB00177</t>
  </si>
  <si>
    <t>Vanshika Bihani</t>
  </si>
  <si>
    <t>2024JULB00178</t>
  </si>
  <si>
    <t>Varsha Saji</t>
  </si>
  <si>
    <t>2024JULB00181</t>
  </si>
  <si>
    <t>Vishal Bhagat</t>
  </si>
  <si>
    <t>Weslin Raj</t>
  </si>
  <si>
    <t>2024JULB00183</t>
  </si>
  <si>
    <t>Yasaswini Reddy Sagili</t>
  </si>
  <si>
    <t>2024JULB00186</t>
  </si>
  <si>
    <t>Pasumurty Vineeth Kumar</t>
  </si>
  <si>
    <t>2024JULB00191</t>
  </si>
  <si>
    <t>Jayant Pal</t>
  </si>
  <si>
    <t>2024JULB00196</t>
  </si>
  <si>
    <t>Piyush Kumar</t>
  </si>
  <si>
    <t>2024JULB00197</t>
  </si>
  <si>
    <t>Deewanshu Ukey</t>
  </si>
  <si>
    <t>2024JULB00206</t>
  </si>
  <si>
    <t>Arpit Katiyar</t>
  </si>
  <si>
    <t>2024JULB00207</t>
  </si>
  <si>
    <t>Ayushi Mohanty</t>
  </si>
  <si>
    <t>2024JULB00209</t>
  </si>
  <si>
    <t>2024JULB00210</t>
  </si>
  <si>
    <t>Nikita Soni</t>
  </si>
  <si>
    <t>2024JULB00211</t>
  </si>
  <si>
    <t>Purnita Gupta</t>
  </si>
  <si>
    <t>2024JULB00213</t>
  </si>
  <si>
    <t>Govinda Rajulu Boya</t>
  </si>
  <si>
    <t>2024JULB00220</t>
  </si>
  <si>
    <t>Rohan Agrawal</t>
  </si>
  <si>
    <t>2024JULB00223</t>
  </si>
  <si>
    <t>Preethish Mesa</t>
  </si>
  <si>
    <t>2024JULB00225</t>
  </si>
  <si>
    <t>Abhishek KumarNema</t>
  </si>
  <si>
    <t>2024JULB00227</t>
  </si>
  <si>
    <t>Sumit Sharma</t>
  </si>
  <si>
    <t>2024JULB00229</t>
  </si>
  <si>
    <t>Malvika</t>
  </si>
  <si>
    <t>2024JULB00231</t>
  </si>
  <si>
    <t>Sanskar Dixit</t>
  </si>
  <si>
    <t>2024JULB00232</t>
  </si>
  <si>
    <t>Ankita Anand</t>
  </si>
  <si>
    <t>2024JULB00233</t>
  </si>
  <si>
    <t>Riya Batra</t>
  </si>
  <si>
    <t>2024JULB00234</t>
  </si>
  <si>
    <t>Pratheek Bhat</t>
  </si>
  <si>
    <t>2024JULB00235</t>
  </si>
  <si>
    <t>Abhinav  Dubey</t>
  </si>
  <si>
    <t>2024JULB00236</t>
  </si>
  <si>
    <t>Prachi Pandey</t>
  </si>
  <si>
    <t>2024JULB00238</t>
  </si>
  <si>
    <t>Krishna Kumar Singh</t>
  </si>
  <si>
    <t>2024JULB00239</t>
  </si>
  <si>
    <t>Abhishek Nanda</t>
  </si>
  <si>
    <t>2024JULB00240</t>
  </si>
  <si>
    <t>Prabhansha Vyas</t>
  </si>
  <si>
    <t>2024JULB00242</t>
  </si>
  <si>
    <t>Shreya Sethi</t>
  </si>
  <si>
    <t>2024JULB00243</t>
  </si>
  <si>
    <t>Sahil Gupta</t>
  </si>
  <si>
    <t>2024JULB00244</t>
  </si>
  <si>
    <t>Harshita Chauhan</t>
  </si>
  <si>
    <t>2024JULB00245</t>
  </si>
  <si>
    <t>Harshvardhan Patidar</t>
  </si>
  <si>
    <t>2024JULB00246</t>
  </si>
  <si>
    <t>Badhul B Pillai</t>
  </si>
  <si>
    <t>2024JULB00247</t>
  </si>
  <si>
    <t>Md ArsalanSiddiqui</t>
  </si>
  <si>
    <t>2024JULB00248</t>
  </si>
  <si>
    <t>Shivam Ratnani</t>
  </si>
  <si>
    <t>2024JULB00249</t>
  </si>
  <si>
    <t>Kartik Garg</t>
  </si>
  <si>
    <t>2024JULB00250</t>
  </si>
  <si>
    <t>Sanjana ManishkumarKapadia</t>
  </si>
  <si>
    <t>Male</t>
  </si>
  <si>
    <t>2024JULB00252</t>
  </si>
  <si>
    <t>Ronak  Agarwal</t>
  </si>
  <si>
    <t>2024JULB00253</t>
  </si>
  <si>
    <t>Pritam RajuShet</t>
  </si>
  <si>
    <t>2024JULB00254</t>
  </si>
  <si>
    <t>Reshu Sharma</t>
  </si>
  <si>
    <t>2024JULB00255</t>
  </si>
  <si>
    <t>Saisrita Rao</t>
  </si>
  <si>
    <t>2024JULB00256</t>
  </si>
  <si>
    <t>Riya Kumari</t>
  </si>
  <si>
    <t>2024JULB00257</t>
  </si>
  <si>
    <t>Saurav Singh</t>
  </si>
  <si>
    <t>2024JULB00258</t>
  </si>
  <si>
    <t>Animesh Tiwari</t>
  </si>
  <si>
    <t>2024JULB00260</t>
  </si>
  <si>
    <t>Vishal Durga RaoGandu</t>
  </si>
  <si>
    <t>2024JULB00261</t>
  </si>
  <si>
    <t>Ananya Raj</t>
  </si>
  <si>
    <t>2024JULB00262</t>
  </si>
  <si>
    <t>Aman Kumar</t>
  </si>
  <si>
    <t>2024JULB00263</t>
  </si>
  <si>
    <t>Soumya  Roy</t>
  </si>
  <si>
    <t>2024JULB00264</t>
  </si>
  <si>
    <t>Nikita Sehgal</t>
  </si>
  <si>
    <t>2024JULB00265</t>
  </si>
  <si>
    <t>Srijan Dobhal</t>
  </si>
  <si>
    <t>2024JULB00266</t>
  </si>
  <si>
    <t>Musaddik Kurundwad</t>
  </si>
  <si>
    <t>2024JULB00267</t>
  </si>
  <si>
    <t>Kushal Raj</t>
  </si>
  <si>
    <t>2024JULB00268</t>
  </si>
  <si>
    <t xml:space="preserve">Soumya </t>
  </si>
  <si>
    <t>2024JULB00269</t>
  </si>
  <si>
    <t>2024JULB00270</t>
  </si>
  <si>
    <t>Rahul Gupta</t>
  </si>
  <si>
    <t>2024JULB00272</t>
  </si>
  <si>
    <t>Vikash Kumar</t>
  </si>
  <si>
    <t>Harshit  Gopawat</t>
  </si>
  <si>
    <t>Gender</t>
  </si>
  <si>
    <t>Column1</t>
  </si>
  <si>
    <t>Column11</t>
  </si>
  <si>
    <t>Story Telling</t>
  </si>
  <si>
    <t>C</t>
  </si>
  <si>
    <t>Rishi Raj Yadav</t>
  </si>
  <si>
    <t>Analytical &amp; Critical Thinking ( A )</t>
  </si>
  <si>
    <t>Communication ( C )</t>
  </si>
  <si>
    <t>Empathy  ( E )</t>
  </si>
  <si>
    <t xml:space="preserve"> Leadership(  L )</t>
  </si>
  <si>
    <t>Negotiation ( N )</t>
  </si>
  <si>
    <t>Problem Solving ( P )</t>
  </si>
  <si>
    <t>Team Work ( T)</t>
  </si>
  <si>
    <t>A 1</t>
  </si>
  <si>
    <t>A 2</t>
  </si>
  <si>
    <t>A 3</t>
  </si>
  <si>
    <t>A 4</t>
  </si>
  <si>
    <t>A 5</t>
  </si>
  <si>
    <t>C 1</t>
  </si>
  <si>
    <t>C 2</t>
  </si>
  <si>
    <t>C 3</t>
  </si>
  <si>
    <t>C 4</t>
  </si>
  <si>
    <t>C 5</t>
  </si>
  <si>
    <t>E  1</t>
  </si>
  <si>
    <t>E  2</t>
  </si>
  <si>
    <t>E  3</t>
  </si>
  <si>
    <t>E  4</t>
  </si>
  <si>
    <t>E  5</t>
  </si>
  <si>
    <t>L 1</t>
  </si>
  <si>
    <t>L 2</t>
  </si>
  <si>
    <t>L 3</t>
  </si>
  <si>
    <t>L 4</t>
  </si>
  <si>
    <t>L 5</t>
  </si>
  <si>
    <t>N 1</t>
  </si>
  <si>
    <t>N 2</t>
  </si>
  <si>
    <t>N 3</t>
  </si>
  <si>
    <t>N 4</t>
  </si>
  <si>
    <t>N 5</t>
  </si>
  <si>
    <t>P 1</t>
  </si>
  <si>
    <t>P 2</t>
  </si>
  <si>
    <t>P 3</t>
  </si>
  <si>
    <t>P 4</t>
  </si>
  <si>
    <t>P 5</t>
  </si>
  <si>
    <t>T  1</t>
  </si>
  <si>
    <t>T  2</t>
  </si>
  <si>
    <t>T  3</t>
  </si>
  <si>
    <t>T  4</t>
  </si>
  <si>
    <t>T  5</t>
  </si>
  <si>
    <t>Arit Roy</t>
  </si>
  <si>
    <t>Abhirup Choudhury</t>
  </si>
  <si>
    <t>Isha Gera</t>
  </si>
  <si>
    <t>Vrijendra Balaji</t>
  </si>
  <si>
    <t xml:space="preserve">2024JULB00273 </t>
  </si>
  <si>
    <t>Female</t>
  </si>
  <si>
    <t>MALE</t>
  </si>
  <si>
    <t>FEMALE</t>
  </si>
  <si>
    <t>MAle</t>
  </si>
  <si>
    <t>Column2</t>
  </si>
  <si>
    <t>Column3</t>
  </si>
  <si>
    <t>Column4</t>
  </si>
  <si>
    <t>Column5</t>
  </si>
  <si>
    <t>Column6</t>
  </si>
  <si>
    <t>#DIV/0!</t>
  </si>
  <si>
    <t>Column7</t>
  </si>
  <si>
    <t>Art of Storytelling</t>
  </si>
  <si>
    <t>Storytelling Presentation</t>
  </si>
  <si>
    <t>C1</t>
  </si>
  <si>
    <t>E1</t>
  </si>
  <si>
    <t>E3</t>
  </si>
  <si>
    <t>A1</t>
  </si>
  <si>
    <t>A2</t>
  </si>
  <si>
    <t>A3</t>
  </si>
  <si>
    <t>P1</t>
  </si>
  <si>
    <t>P2</t>
  </si>
  <si>
    <t>P3</t>
  </si>
  <si>
    <t>Book Review Presentation</t>
  </si>
  <si>
    <t>Interpersonal Effectivness</t>
  </si>
  <si>
    <t>Interpersonal Role Play</t>
  </si>
  <si>
    <t>T4</t>
  </si>
  <si>
    <t>T5</t>
  </si>
  <si>
    <t>Problem Solving</t>
  </si>
  <si>
    <t>Case Study Analysis</t>
  </si>
  <si>
    <t>Business Proposal Writing</t>
  </si>
  <si>
    <t>Business Proposal Report</t>
  </si>
  <si>
    <t>Email Writing</t>
  </si>
  <si>
    <t>C4</t>
  </si>
  <si>
    <t>Art of Argumentation</t>
  </si>
  <si>
    <t>Debating</t>
  </si>
  <si>
    <t>Level 1</t>
  </si>
  <si>
    <t>D3</t>
  </si>
  <si>
    <t>Column8</t>
  </si>
  <si>
    <t>Column9</t>
  </si>
  <si>
    <t>Column10</t>
  </si>
  <si>
    <t>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</si>
  <si>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</si>
  <si>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</si>
  <si>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</si>
  <si>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</si>
  <si>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</si>
  <si>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</si>
  <si>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</si>
  <si>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</si>
  <si>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</si>
  <si>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</si>
  <si>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</si>
  <si>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</si>
  <si>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</si>
  <si>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</si>
  <si>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</si>
  <si>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</si>
  <si>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</si>
  <si>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</si>
  <si>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</si>
  <si>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</si>
  <si>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</si>
  <si>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</si>
  <si>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</si>
  <si>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</si>
  <si>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</si>
  <si>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</si>
  <si>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</si>
  <si>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</si>
  <si>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</si>
  <si>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</si>
  <si>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</si>
  <si>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</si>
  <si>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</si>
  <si>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</si>
  <si>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</si>
  <si>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</si>
  <si>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</si>
  <si>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</si>
  <si>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</si>
  <si>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</si>
  <si>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</si>
  <si>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</si>
  <si>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</si>
  <si>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E</t>
  </si>
  <si>
    <t>L</t>
  </si>
  <si>
    <t>N</t>
  </si>
  <si>
    <t>P</t>
  </si>
  <si>
    <t>T</t>
  </si>
  <si>
    <t>Capstone</t>
  </si>
  <si>
    <t>Term Rating (Internal)</t>
  </si>
  <si>
    <t>Review Presentation 1</t>
  </si>
  <si>
    <t>Review Presentation 2</t>
  </si>
  <si>
    <t>Review Presentation 3</t>
  </si>
  <si>
    <t>Review Presentation 4</t>
  </si>
  <si>
    <t>Reflection 1</t>
  </si>
  <si>
    <t>Reflect  4</t>
  </si>
  <si>
    <t>Reflection  2</t>
  </si>
  <si>
    <t>Reflect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</si>
</sst>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6" borderId="1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2" fillId="10" borderId="0" xfId="0" applyFont="1" applyFill="1" applyAlignment="1">
      <alignment horizontal="center" vertical="center"/>
    </xf>
    <xf numFmtId="0" fontId="0" fillId="10" borderId="0" xfId="0" applyFill="1"/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2" fillId="0" borderId="6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2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1" fontId="15" fillId="10" borderId="1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2" fontId="15" fillId="10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12" fillId="12" borderId="1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1" fontId="15" fillId="10" borderId="11" xfId="0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7" fillId="13" borderId="1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" fontId="15" fillId="10" borderId="3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2" xfId="0" applyFont="1" applyBorder="1"/>
    <xf numFmtId="0" fontId="0" fillId="5" borderId="0" xfId="0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5" borderId="0" xfId="0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9" borderId="13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44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ont>
        <b/>
        <i val="0"/>
        <sz val="14"/>
        <color theme="0"/>
        <name val="Aptos Display"/>
        <family val="2"/>
        <scheme val="major"/>
      </font>
      <fill>
        <patternFill>
          <bgColor theme="8" tint="-0.24994659260841701"/>
        </patternFill>
      </fill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b/>
        <i val="0"/>
        <sz val="16"/>
        <color theme="1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</dxfs>
  <tableStyles count="2" defaultTableStyle="TableStyleMedium2" defaultPivotStyle="PivotStyleLight16">
    <tableStyle name="Custom 1" pivot="0" table="0" count="10" xr9:uid="{4F7AEEC9-936F-450F-8311-0B007933BCBB}">
      <tableStyleElement type="wholeTable" dxfId="446"/>
      <tableStyleElement type="headerRow" dxfId="445"/>
    </tableStyle>
    <tableStyle name="Slicer Style 1" pivot="0" table="0" count="3" xr9:uid="{FCB1411C-06F7-418B-9E23-186AD969D8E3}">
      <tableStyleElement type="wholeTable" dxfId="444"/>
      <tableStyleElement type="headerRow" dxfId="443"/>
    </tableStyle>
  </tableStyles>
  <extLst>
    <ext xmlns:x14="http://schemas.microsoft.com/office/spreadsheetml/2009/9/main" uri="{46F421CA-312F-682f-3DD2-61675219B42D}">
      <x14:dxfs count="9">
        <dxf>
          <fill>
            <patternFill>
              <bgColor theme="9" tint="-0.24994659260841701"/>
            </patternFill>
          </fill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 1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Slicer Style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fimbschool-my.sharepoint.com/personal/ajith_kumar_jagsom_edu_in/Documents/Level%202%20-%202024%20Batch.xlsx" TargetMode="External"/><Relationship Id="rId1" Type="http://schemas.openxmlformats.org/officeDocument/2006/relationships/externalLinkPath" Target="https://ifimbschool-my.sharepoint.com/personal/ajith_kumar_jagsom_edu_in/Documents/Level%202%20-%202024%20Ba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ventions"/>
      <sheetName val="Working"/>
      <sheetName val="Sheet5"/>
      <sheetName val="R P -1"/>
      <sheetName val="R P- 2"/>
      <sheetName val="R P - 3"/>
      <sheetName val="R P -4"/>
      <sheetName val="Reflection -1 "/>
      <sheetName val="Reflection -2"/>
      <sheetName val="Reflection -3"/>
      <sheetName val="Reflection - 4"/>
      <sheetName val="DW -1"/>
      <sheetName val="D W 2"/>
      <sheetName val="DW -3"/>
      <sheetName val="D W-4"/>
      <sheetName val="Inter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2024JULB00013</v>
          </cell>
          <cell r="C4" t="str">
            <v>Akshat Singh</v>
          </cell>
          <cell r="D4">
            <v>3</v>
          </cell>
          <cell r="E4">
            <v>3</v>
          </cell>
          <cell r="F4">
            <v>2</v>
          </cell>
          <cell r="G4">
            <v>5</v>
          </cell>
          <cell r="H4">
            <v>0</v>
          </cell>
          <cell r="I4">
            <v>2</v>
          </cell>
        </row>
        <row r="5">
          <cell r="B5" t="str">
            <v>2024JULB00014</v>
          </cell>
          <cell r="C5" t="str">
            <v>Amal Shibu Balan</v>
          </cell>
          <cell r="D5">
            <v>4</v>
          </cell>
          <cell r="E5">
            <v>4</v>
          </cell>
          <cell r="F5">
            <v>4</v>
          </cell>
          <cell r="G5">
            <v>5</v>
          </cell>
          <cell r="H5">
            <v>0</v>
          </cell>
          <cell r="I5">
            <v>4</v>
          </cell>
        </row>
        <row r="6">
          <cell r="B6" t="str">
            <v>2024JULB00019</v>
          </cell>
          <cell r="C6" t="str">
            <v>Anantaa Paul</v>
          </cell>
          <cell r="D6">
            <v>4</v>
          </cell>
          <cell r="E6">
            <v>4</v>
          </cell>
          <cell r="F6">
            <v>3</v>
          </cell>
          <cell r="G6">
            <v>5</v>
          </cell>
          <cell r="H6">
            <v>0</v>
          </cell>
          <cell r="I6">
            <v>3</v>
          </cell>
        </row>
        <row r="7">
          <cell r="B7" t="str">
            <v>2024JULB00025</v>
          </cell>
          <cell r="C7" t="str">
            <v>Arit Roy</v>
          </cell>
          <cell r="D7">
            <v>3</v>
          </cell>
          <cell r="E7">
            <v>3</v>
          </cell>
          <cell r="F7">
            <v>3</v>
          </cell>
          <cell r="G7">
            <v>5</v>
          </cell>
          <cell r="H7">
            <v>0</v>
          </cell>
          <cell r="I7">
            <v>3</v>
          </cell>
        </row>
        <row r="8">
          <cell r="B8" t="str">
            <v>2024JULB00026</v>
          </cell>
          <cell r="C8" t="str">
            <v>Arush Mangal</v>
          </cell>
          <cell r="D8">
            <v>3</v>
          </cell>
          <cell r="E8">
            <v>3</v>
          </cell>
          <cell r="F8">
            <v>2</v>
          </cell>
          <cell r="G8">
            <v>5</v>
          </cell>
          <cell r="H8">
            <v>0</v>
          </cell>
          <cell r="I8">
            <v>2</v>
          </cell>
        </row>
        <row r="9">
          <cell r="B9" t="str">
            <v>2024JULB00028</v>
          </cell>
          <cell r="C9" t="str">
            <v>Aryan Balapure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2024JULB00030</v>
          </cell>
          <cell r="C10" t="str">
            <v>Ashish Abraham John</v>
          </cell>
          <cell r="D10">
            <v>3</v>
          </cell>
          <cell r="E10">
            <v>3</v>
          </cell>
          <cell r="F10">
            <v>2</v>
          </cell>
          <cell r="G10">
            <v>5</v>
          </cell>
          <cell r="H10">
            <v>0</v>
          </cell>
          <cell r="I10">
            <v>2</v>
          </cell>
        </row>
        <row r="11">
          <cell r="B11" t="str">
            <v>2024JULB00032</v>
          </cell>
          <cell r="C11" t="str">
            <v>Ashutosh Sharan</v>
          </cell>
          <cell r="D11">
            <v>3</v>
          </cell>
          <cell r="E11">
            <v>2</v>
          </cell>
          <cell r="F11">
            <v>2</v>
          </cell>
          <cell r="G11">
            <v>5</v>
          </cell>
          <cell r="H11">
            <v>0</v>
          </cell>
          <cell r="I11">
            <v>2</v>
          </cell>
        </row>
        <row r="12">
          <cell r="B12" t="str">
            <v>2024JULB00039</v>
          </cell>
          <cell r="C12" t="str">
            <v>Bipasha Mandal</v>
          </cell>
          <cell r="D12">
            <v>3</v>
          </cell>
          <cell r="E12">
            <v>4</v>
          </cell>
          <cell r="F12">
            <v>4</v>
          </cell>
          <cell r="G12">
            <v>5</v>
          </cell>
          <cell r="H12">
            <v>0</v>
          </cell>
          <cell r="I12">
            <v>4</v>
          </cell>
        </row>
        <row r="13">
          <cell r="B13" t="str">
            <v>2024JULB00040</v>
          </cell>
          <cell r="C13" t="str">
            <v>Bonula Pravallika</v>
          </cell>
          <cell r="D13">
            <v>3</v>
          </cell>
          <cell r="E13">
            <v>3</v>
          </cell>
          <cell r="F13">
            <v>3</v>
          </cell>
          <cell r="G13">
            <v>5</v>
          </cell>
          <cell r="H13">
            <v>0</v>
          </cell>
          <cell r="I13">
            <v>3</v>
          </cell>
        </row>
        <row r="14">
          <cell r="B14" t="str">
            <v>2024JULB00042</v>
          </cell>
          <cell r="C14" t="str">
            <v>Chaitya Swaroop Sahu</v>
          </cell>
          <cell r="D14">
            <v>3</v>
          </cell>
          <cell r="E14">
            <v>3</v>
          </cell>
          <cell r="F14">
            <v>2</v>
          </cell>
          <cell r="G14">
            <v>5</v>
          </cell>
          <cell r="H14">
            <v>0</v>
          </cell>
          <cell r="I14">
            <v>2</v>
          </cell>
        </row>
        <row r="15">
          <cell r="B15" t="str">
            <v>2024JULB00047</v>
          </cell>
          <cell r="C15" t="str">
            <v>Debotree Roy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</row>
        <row r="16">
          <cell r="B16" t="str">
            <v>2024JULB00054</v>
          </cell>
          <cell r="C16" t="str">
            <v>Divya Ashok</v>
          </cell>
          <cell r="D16">
            <v>3</v>
          </cell>
          <cell r="E16">
            <v>2</v>
          </cell>
          <cell r="F16">
            <v>2</v>
          </cell>
          <cell r="G16">
            <v>5</v>
          </cell>
          <cell r="H16">
            <v>0</v>
          </cell>
          <cell r="I16">
            <v>2</v>
          </cell>
        </row>
        <row r="17">
          <cell r="B17" t="str">
            <v>2024JULB00057</v>
          </cell>
          <cell r="C17" t="str">
            <v>Faizulhusen A Niaz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1</v>
          </cell>
        </row>
        <row r="18">
          <cell r="B18" t="str">
            <v>2024JULB00060</v>
          </cell>
          <cell r="C18" t="str">
            <v>Gagan C S</v>
          </cell>
          <cell r="D18">
            <v>3</v>
          </cell>
          <cell r="E18">
            <v>3</v>
          </cell>
          <cell r="F18">
            <v>2</v>
          </cell>
          <cell r="G18">
            <v>5</v>
          </cell>
          <cell r="H18">
            <v>0</v>
          </cell>
          <cell r="I18">
            <v>2</v>
          </cell>
        </row>
        <row r="19">
          <cell r="B19" t="str">
            <v>2024JULB00063</v>
          </cell>
          <cell r="C19" t="str">
            <v>Harshavarthni K S</v>
          </cell>
          <cell r="D19">
            <v>3</v>
          </cell>
          <cell r="E19">
            <v>2</v>
          </cell>
          <cell r="F19">
            <v>2</v>
          </cell>
          <cell r="G19">
            <v>5</v>
          </cell>
          <cell r="H19">
            <v>0</v>
          </cell>
          <cell r="I19">
            <v>2</v>
          </cell>
        </row>
        <row r="20">
          <cell r="B20" t="str">
            <v>2024JULB00064</v>
          </cell>
          <cell r="C20" t="str">
            <v>Hemant Prajapat</v>
          </cell>
          <cell r="D20">
            <v>3</v>
          </cell>
          <cell r="E20">
            <v>3</v>
          </cell>
          <cell r="F20">
            <v>4</v>
          </cell>
          <cell r="G20">
            <v>5</v>
          </cell>
          <cell r="H20">
            <v>0</v>
          </cell>
          <cell r="I20">
            <v>4</v>
          </cell>
        </row>
        <row r="21">
          <cell r="B21" t="str">
            <v>2024JULB00065</v>
          </cell>
          <cell r="C21" t="str">
            <v>Himanshu Chahar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 t="str">
            <v>2024JULB00069</v>
          </cell>
          <cell r="C22" t="str">
            <v>Jay Dwivedi</v>
          </cell>
          <cell r="D22">
            <v>4</v>
          </cell>
          <cell r="E22">
            <v>4</v>
          </cell>
          <cell r="F22">
            <v>4</v>
          </cell>
          <cell r="G22">
            <v>5</v>
          </cell>
          <cell r="H22">
            <v>0</v>
          </cell>
          <cell r="I22">
            <v>4</v>
          </cell>
        </row>
        <row r="23">
          <cell r="B23" t="str">
            <v>2024JULB00077</v>
          </cell>
          <cell r="C23" t="str">
            <v>V L S Kavya Devarapalli</v>
          </cell>
          <cell r="D23">
            <v>3</v>
          </cell>
          <cell r="E23">
            <v>3</v>
          </cell>
          <cell r="F23">
            <v>1</v>
          </cell>
          <cell r="G23">
            <v>5</v>
          </cell>
          <cell r="H23">
            <v>0</v>
          </cell>
          <cell r="I23">
            <v>1</v>
          </cell>
        </row>
        <row r="24">
          <cell r="B24" t="str">
            <v>2024JULB00083</v>
          </cell>
          <cell r="C24" t="str">
            <v>Kunal Khurana</v>
          </cell>
          <cell r="D24">
            <v>3</v>
          </cell>
          <cell r="E24">
            <v>2</v>
          </cell>
          <cell r="F24">
            <v>2</v>
          </cell>
          <cell r="G24">
            <v>5</v>
          </cell>
          <cell r="H24">
            <v>0</v>
          </cell>
          <cell r="I24">
            <v>2</v>
          </cell>
        </row>
        <row r="25">
          <cell r="B25" t="str">
            <v>2024JULB00084</v>
          </cell>
          <cell r="C25" t="str">
            <v>Kushal Badalia</v>
          </cell>
          <cell r="D25">
            <v>3</v>
          </cell>
          <cell r="E25">
            <v>4</v>
          </cell>
          <cell r="F25">
            <v>4</v>
          </cell>
          <cell r="G25">
            <v>5</v>
          </cell>
          <cell r="H25">
            <v>0</v>
          </cell>
          <cell r="I25">
            <v>4</v>
          </cell>
        </row>
        <row r="26">
          <cell r="B26" t="str">
            <v>2024JULB00085</v>
          </cell>
          <cell r="C26" t="str">
            <v>Kushal Srivastav</v>
          </cell>
          <cell r="D26">
            <v>3</v>
          </cell>
          <cell r="E26">
            <v>4</v>
          </cell>
          <cell r="F26">
            <v>4</v>
          </cell>
          <cell r="G26">
            <v>5</v>
          </cell>
          <cell r="H26">
            <v>0</v>
          </cell>
          <cell r="I26">
            <v>4</v>
          </cell>
        </row>
        <row r="27">
          <cell r="B27" t="str">
            <v>2024JULB00090</v>
          </cell>
          <cell r="C27" t="str">
            <v>M Maureen Mandy</v>
          </cell>
          <cell r="D27">
            <v>3</v>
          </cell>
          <cell r="E27">
            <v>4</v>
          </cell>
          <cell r="F27">
            <v>4</v>
          </cell>
          <cell r="G27">
            <v>5</v>
          </cell>
          <cell r="H27">
            <v>0</v>
          </cell>
          <cell r="I27">
            <v>4</v>
          </cell>
        </row>
        <row r="28">
          <cell r="B28" t="str">
            <v>2024JULB00091</v>
          </cell>
          <cell r="C28" t="str">
            <v>Madhav Sharma</v>
          </cell>
          <cell r="D28">
            <v>3</v>
          </cell>
          <cell r="E28">
            <v>2</v>
          </cell>
          <cell r="F28">
            <v>3</v>
          </cell>
          <cell r="G28">
            <v>5</v>
          </cell>
          <cell r="H28">
            <v>0</v>
          </cell>
          <cell r="I28">
            <v>3</v>
          </cell>
        </row>
        <row r="29">
          <cell r="B29" t="str">
            <v>2024JULB00099</v>
          </cell>
          <cell r="C29" t="str">
            <v>Nandan Ganapati Bhat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2024JULB00106</v>
          </cell>
          <cell r="C30" t="str">
            <v>O K Srivyshnu</v>
          </cell>
          <cell r="D30">
            <v>3</v>
          </cell>
          <cell r="E30">
            <v>2</v>
          </cell>
          <cell r="F30">
            <v>2</v>
          </cell>
          <cell r="G30">
            <v>5</v>
          </cell>
          <cell r="H30">
            <v>0</v>
          </cell>
          <cell r="I30">
            <v>2</v>
          </cell>
        </row>
        <row r="31">
          <cell r="B31" t="str">
            <v>2024JULB00114</v>
          </cell>
          <cell r="C31" t="str">
            <v>Prince Kumar</v>
          </cell>
          <cell r="D31">
            <v>5</v>
          </cell>
          <cell r="E31">
            <v>4</v>
          </cell>
          <cell r="F31">
            <v>4</v>
          </cell>
          <cell r="G31">
            <v>5</v>
          </cell>
          <cell r="H31">
            <v>0</v>
          </cell>
          <cell r="I31">
            <v>4</v>
          </cell>
        </row>
        <row r="32">
          <cell r="B32" t="str">
            <v>2024JULB00118</v>
          </cell>
          <cell r="C32" t="str">
            <v>Rahul Ghosh</v>
          </cell>
          <cell r="D32">
            <v>3</v>
          </cell>
          <cell r="E32">
            <v>3</v>
          </cell>
          <cell r="F32">
            <v>3</v>
          </cell>
          <cell r="G32">
            <v>5</v>
          </cell>
          <cell r="H32">
            <v>0</v>
          </cell>
          <cell r="I32">
            <v>3</v>
          </cell>
        </row>
        <row r="33">
          <cell r="B33" t="str">
            <v>2024JULB00120</v>
          </cell>
          <cell r="C33" t="str">
            <v>Ramya H</v>
          </cell>
          <cell r="D33">
            <v>3</v>
          </cell>
          <cell r="E33">
            <v>3</v>
          </cell>
          <cell r="F33">
            <v>4</v>
          </cell>
          <cell r="G33">
            <v>5</v>
          </cell>
          <cell r="H33">
            <v>0</v>
          </cell>
          <cell r="I33">
            <v>4</v>
          </cell>
        </row>
        <row r="34">
          <cell r="B34" t="str">
            <v>2024JULB00122</v>
          </cell>
          <cell r="C34" t="str">
            <v>Riddhiman Saha</v>
          </cell>
          <cell r="D34">
            <v>3</v>
          </cell>
          <cell r="E34">
            <v>3</v>
          </cell>
          <cell r="F34">
            <v>4</v>
          </cell>
          <cell r="G34">
            <v>5</v>
          </cell>
          <cell r="H34">
            <v>0</v>
          </cell>
          <cell r="I34">
            <v>3</v>
          </cell>
        </row>
        <row r="35">
          <cell r="B35" t="str">
            <v>2024JULB00133</v>
          </cell>
          <cell r="C35" t="str">
            <v>S Sandeep</v>
          </cell>
          <cell r="D35">
            <v>3</v>
          </cell>
          <cell r="E35">
            <v>3</v>
          </cell>
          <cell r="F35">
            <v>4</v>
          </cell>
          <cell r="G35">
            <v>5</v>
          </cell>
          <cell r="H35">
            <v>0</v>
          </cell>
          <cell r="I35">
            <v>3</v>
          </cell>
        </row>
        <row r="36">
          <cell r="B36" t="str">
            <v>2024JULB00134</v>
          </cell>
          <cell r="C36" t="str">
            <v>Sanjay Baliga</v>
          </cell>
          <cell r="D36">
            <v>4</v>
          </cell>
          <cell r="E36">
            <v>3</v>
          </cell>
          <cell r="F36">
            <v>3</v>
          </cell>
          <cell r="G36">
            <v>5</v>
          </cell>
          <cell r="H36">
            <v>0</v>
          </cell>
          <cell r="I36">
            <v>3</v>
          </cell>
        </row>
        <row r="37">
          <cell r="B37" t="str">
            <v>2024JULB00135</v>
          </cell>
          <cell r="C37" t="str">
            <v>Saqib Kalandar Attar</v>
          </cell>
          <cell r="D37">
            <v>2</v>
          </cell>
          <cell r="E37">
            <v>2</v>
          </cell>
          <cell r="F37">
            <v>1</v>
          </cell>
          <cell r="G37">
            <v>5</v>
          </cell>
          <cell r="H37">
            <v>0</v>
          </cell>
          <cell r="I37">
            <v>1</v>
          </cell>
        </row>
        <row r="38">
          <cell r="B38" t="str">
            <v>2024JULB00137</v>
          </cell>
          <cell r="C38" t="str">
            <v>Saurav Kumar</v>
          </cell>
          <cell r="D38">
            <v>3</v>
          </cell>
          <cell r="E38">
            <v>4</v>
          </cell>
          <cell r="F38">
            <v>2</v>
          </cell>
          <cell r="G38">
            <v>5</v>
          </cell>
          <cell r="H38">
            <v>0</v>
          </cell>
          <cell r="I38">
            <v>2</v>
          </cell>
        </row>
        <row r="39">
          <cell r="B39" t="str">
            <v>2024JULB00139</v>
          </cell>
          <cell r="C39" t="str">
            <v>Shaswat Mishra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 t="str">
            <v>2024JULB00140</v>
          </cell>
          <cell r="C40" t="str">
            <v>Shatabarta Chanda</v>
          </cell>
          <cell r="D40">
            <v>3</v>
          </cell>
          <cell r="E40">
            <v>2</v>
          </cell>
          <cell r="F40">
            <v>3</v>
          </cell>
          <cell r="G40">
            <v>5</v>
          </cell>
          <cell r="H40">
            <v>0</v>
          </cell>
          <cell r="I40">
            <v>3</v>
          </cell>
        </row>
        <row r="41">
          <cell r="B41" t="str">
            <v>2024JULB00142</v>
          </cell>
          <cell r="C41" t="str">
            <v>Shivang Mishra</v>
          </cell>
          <cell r="D41">
            <v>2</v>
          </cell>
          <cell r="E41">
            <v>2</v>
          </cell>
          <cell r="F41">
            <v>2</v>
          </cell>
          <cell r="G41">
            <v>5</v>
          </cell>
          <cell r="H41">
            <v>0</v>
          </cell>
          <cell r="I41">
            <v>2</v>
          </cell>
        </row>
        <row r="42">
          <cell r="B42" t="str">
            <v>2024JULB00145</v>
          </cell>
          <cell r="C42" t="str">
            <v>Shruti Rajale</v>
          </cell>
          <cell r="D42">
            <v>3</v>
          </cell>
          <cell r="E42">
            <v>3</v>
          </cell>
          <cell r="F42">
            <v>4</v>
          </cell>
          <cell r="G42">
            <v>4</v>
          </cell>
          <cell r="H42">
            <v>0</v>
          </cell>
          <cell r="I42">
            <v>4</v>
          </cell>
        </row>
        <row r="43">
          <cell r="B43" t="str">
            <v>2024JULB00153</v>
          </cell>
          <cell r="C43" t="str">
            <v>Sofia Do Carmo Rodrigues</v>
          </cell>
          <cell r="D43">
            <v>4</v>
          </cell>
          <cell r="E43">
            <v>4</v>
          </cell>
          <cell r="F43">
            <v>4</v>
          </cell>
          <cell r="G43">
            <v>5</v>
          </cell>
          <cell r="H43">
            <v>0</v>
          </cell>
          <cell r="I43">
            <v>4</v>
          </cell>
        </row>
        <row r="44">
          <cell r="B44" t="str">
            <v>2024JULB00154</v>
          </cell>
          <cell r="C44" t="str">
            <v>Somya Sahoo</v>
          </cell>
          <cell r="D44">
            <v>3</v>
          </cell>
          <cell r="E44">
            <v>2</v>
          </cell>
          <cell r="F44">
            <v>2</v>
          </cell>
          <cell r="G44">
            <v>5</v>
          </cell>
          <cell r="H44">
            <v>0</v>
          </cell>
          <cell r="I44">
            <v>2</v>
          </cell>
        </row>
        <row r="45">
          <cell r="B45" t="str">
            <v>2024JULB00157</v>
          </cell>
          <cell r="C45" t="str">
            <v>Spandana Chandragiri</v>
          </cell>
          <cell r="D45">
            <v>3</v>
          </cell>
          <cell r="E45">
            <v>3</v>
          </cell>
          <cell r="F45">
            <v>4</v>
          </cell>
          <cell r="G45">
            <v>5</v>
          </cell>
          <cell r="H45">
            <v>0</v>
          </cell>
          <cell r="I45">
            <v>4</v>
          </cell>
        </row>
        <row r="46">
          <cell r="B46" t="str">
            <v>2024JULB00159</v>
          </cell>
          <cell r="C46" t="str">
            <v>Sreya Sivadas</v>
          </cell>
          <cell r="D46">
            <v>3</v>
          </cell>
          <cell r="E46">
            <v>3</v>
          </cell>
          <cell r="F46">
            <v>2</v>
          </cell>
          <cell r="G46">
            <v>5</v>
          </cell>
          <cell r="H46">
            <v>0</v>
          </cell>
          <cell r="I46">
            <v>2</v>
          </cell>
        </row>
        <row r="47">
          <cell r="B47" t="str">
            <v>2024JULB00162</v>
          </cell>
          <cell r="C47" t="str">
            <v>Subhrojit Ghosh</v>
          </cell>
          <cell r="D47">
            <v>4</v>
          </cell>
          <cell r="E47">
            <v>2</v>
          </cell>
          <cell r="F47">
            <v>3</v>
          </cell>
          <cell r="G47">
            <v>5</v>
          </cell>
          <cell r="H47">
            <v>0</v>
          </cell>
          <cell r="I47">
            <v>3</v>
          </cell>
        </row>
        <row r="48">
          <cell r="B48" t="str">
            <v>2024JULB00167</v>
          </cell>
          <cell r="C48" t="str">
            <v>Sukhman Sandhu</v>
          </cell>
          <cell r="D48">
            <v>4</v>
          </cell>
          <cell r="E48">
            <v>4</v>
          </cell>
          <cell r="F48">
            <v>4</v>
          </cell>
          <cell r="G48">
            <v>5</v>
          </cell>
          <cell r="H48">
            <v>0</v>
          </cell>
          <cell r="I48">
            <v>4</v>
          </cell>
        </row>
        <row r="49">
          <cell r="B49" t="str">
            <v>2024JULB00169</v>
          </cell>
          <cell r="C49" t="str">
            <v>Syed Sofia Mehazabeen</v>
          </cell>
          <cell r="D49">
            <v>2</v>
          </cell>
          <cell r="E49">
            <v>2</v>
          </cell>
          <cell r="F49">
            <v>1</v>
          </cell>
          <cell r="G49">
            <v>5</v>
          </cell>
          <cell r="H49">
            <v>0</v>
          </cell>
          <cell r="I49">
            <v>1</v>
          </cell>
        </row>
        <row r="50">
          <cell r="B50" t="str">
            <v>2024JULB00173</v>
          </cell>
          <cell r="C50" t="str">
            <v>Tushar Kant Panda</v>
          </cell>
          <cell r="D50">
            <v>3</v>
          </cell>
          <cell r="E50">
            <v>2</v>
          </cell>
          <cell r="F50">
            <v>3</v>
          </cell>
          <cell r="G50">
            <v>5</v>
          </cell>
          <cell r="H50">
            <v>0</v>
          </cell>
          <cell r="I50">
            <v>3</v>
          </cell>
        </row>
        <row r="51">
          <cell r="B51" t="str">
            <v>2024JULB00174</v>
          </cell>
          <cell r="C51" t="str">
            <v>Urvi Verma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B52" t="str">
            <v>2024JULB00175</v>
          </cell>
          <cell r="C52" t="str">
            <v>Vaibhav Laldas</v>
          </cell>
          <cell r="D52">
            <v>3</v>
          </cell>
          <cell r="E52">
            <v>4</v>
          </cell>
          <cell r="F52">
            <v>3</v>
          </cell>
          <cell r="G52">
            <v>5</v>
          </cell>
          <cell r="H52">
            <v>0</v>
          </cell>
          <cell r="I52">
            <v>2</v>
          </cell>
        </row>
        <row r="53">
          <cell r="B53" t="str">
            <v>2024JULB00176</v>
          </cell>
          <cell r="C53" t="str">
            <v>Vaibhav Pandey</v>
          </cell>
          <cell r="D53">
            <v>3</v>
          </cell>
          <cell r="E53">
            <v>4</v>
          </cell>
          <cell r="F53">
            <v>4</v>
          </cell>
          <cell r="G53">
            <v>5</v>
          </cell>
          <cell r="H53">
            <v>0</v>
          </cell>
          <cell r="I53">
            <v>4</v>
          </cell>
        </row>
        <row r="54">
          <cell r="B54" t="str">
            <v>2024JULB00188</v>
          </cell>
          <cell r="C54" t="str">
            <v>Jigyasa Singh</v>
          </cell>
          <cell r="D54">
            <v>4</v>
          </cell>
          <cell r="E54">
            <v>4</v>
          </cell>
          <cell r="F54">
            <v>4</v>
          </cell>
          <cell r="G54">
            <v>5</v>
          </cell>
          <cell r="H54">
            <v>0</v>
          </cell>
          <cell r="I54">
            <v>4</v>
          </cell>
        </row>
        <row r="55">
          <cell r="B55" t="str">
            <v>2024JULB00189</v>
          </cell>
          <cell r="C55" t="str">
            <v>Rahul Kumar Mallick</v>
          </cell>
          <cell r="D55">
            <v>3</v>
          </cell>
          <cell r="E55">
            <v>4</v>
          </cell>
          <cell r="F55">
            <v>2</v>
          </cell>
          <cell r="G55">
            <v>5</v>
          </cell>
          <cell r="H55">
            <v>0</v>
          </cell>
          <cell r="I55">
            <v>2</v>
          </cell>
        </row>
        <row r="56">
          <cell r="B56" t="str">
            <v>2024JULB00190</v>
          </cell>
          <cell r="C56" t="str">
            <v>Himanshu Mall</v>
          </cell>
          <cell r="D56">
            <v>3</v>
          </cell>
          <cell r="E56">
            <v>2</v>
          </cell>
          <cell r="F56">
            <v>3</v>
          </cell>
          <cell r="G56">
            <v>5</v>
          </cell>
          <cell r="H56">
            <v>0</v>
          </cell>
          <cell r="I56">
            <v>2</v>
          </cell>
        </row>
        <row r="57">
          <cell r="B57" t="str">
            <v>2024JULB00194</v>
          </cell>
          <cell r="C57" t="str">
            <v>Aditya Yuvraj Singh Ranawat</v>
          </cell>
          <cell r="D57">
            <v>3</v>
          </cell>
          <cell r="E57">
            <v>3</v>
          </cell>
          <cell r="F57">
            <v>3</v>
          </cell>
          <cell r="G57">
            <v>5</v>
          </cell>
          <cell r="H57">
            <v>0</v>
          </cell>
          <cell r="I57">
            <v>2</v>
          </cell>
        </row>
        <row r="58">
          <cell r="B58" t="str">
            <v>2024JULB00198</v>
          </cell>
          <cell r="C58" t="str">
            <v>Suvam Basak</v>
          </cell>
          <cell r="D58">
            <v>3</v>
          </cell>
          <cell r="E58">
            <v>3</v>
          </cell>
          <cell r="F58">
            <v>2</v>
          </cell>
          <cell r="G58">
            <v>5</v>
          </cell>
          <cell r="H58">
            <v>0</v>
          </cell>
          <cell r="I58">
            <v>2</v>
          </cell>
        </row>
        <row r="59">
          <cell r="B59" t="str">
            <v>2024JULB00200</v>
          </cell>
          <cell r="C59" t="str">
            <v>Meghana Jaya Satuluri</v>
          </cell>
          <cell r="D59">
            <v>2</v>
          </cell>
          <cell r="E59">
            <v>2</v>
          </cell>
          <cell r="F59">
            <v>2</v>
          </cell>
          <cell r="G59">
            <v>5</v>
          </cell>
          <cell r="H59">
            <v>0</v>
          </cell>
          <cell r="I59">
            <v>2</v>
          </cell>
        </row>
        <row r="60">
          <cell r="B60" t="str">
            <v>2024JULB00203</v>
          </cell>
          <cell r="C60" t="str">
            <v>Anshumann Singh Sisodiya</v>
          </cell>
          <cell r="D60">
            <v>3</v>
          </cell>
          <cell r="E60">
            <v>3</v>
          </cell>
          <cell r="F60">
            <v>3</v>
          </cell>
          <cell r="G60">
            <v>5</v>
          </cell>
          <cell r="H60">
            <v>0</v>
          </cell>
          <cell r="I60">
            <v>3</v>
          </cell>
        </row>
        <row r="61">
          <cell r="B61" t="str">
            <v>2024JULB00205</v>
          </cell>
          <cell r="C61" t="str">
            <v>Archa S Lal</v>
          </cell>
          <cell r="D61">
            <v>3</v>
          </cell>
          <cell r="E61">
            <v>3</v>
          </cell>
          <cell r="F61">
            <v>3</v>
          </cell>
          <cell r="G61">
            <v>5</v>
          </cell>
          <cell r="H61">
            <v>0</v>
          </cell>
          <cell r="I61">
            <v>3</v>
          </cell>
        </row>
        <row r="62">
          <cell r="B62" t="str">
            <v>2024JULB00208</v>
          </cell>
          <cell r="C62" t="str">
            <v>Garima Sarraf</v>
          </cell>
          <cell r="D62">
            <v>3</v>
          </cell>
          <cell r="E62">
            <v>4</v>
          </cell>
          <cell r="F62">
            <v>3</v>
          </cell>
          <cell r="G62">
            <v>5</v>
          </cell>
          <cell r="H62">
            <v>0</v>
          </cell>
          <cell r="I62">
            <v>4</v>
          </cell>
        </row>
        <row r="63">
          <cell r="B63" t="str">
            <v>2024JULB00215</v>
          </cell>
          <cell r="C63" t="str">
            <v>Sanjib Kumar Bhagabati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0</v>
          </cell>
          <cell r="I63">
            <v>1</v>
          </cell>
        </row>
        <row r="64">
          <cell r="B64" t="str">
            <v>2024JULB00217</v>
          </cell>
          <cell r="C64" t="str">
            <v>Vittika Dnyaneshwar Chavhan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2024JULB00218</v>
          </cell>
          <cell r="C65" t="str">
            <v>Yash Kataruka</v>
          </cell>
          <cell r="D65">
            <v>5</v>
          </cell>
          <cell r="E65">
            <v>4</v>
          </cell>
          <cell r="F65">
            <v>5</v>
          </cell>
          <cell r="G65">
            <v>5</v>
          </cell>
          <cell r="H65">
            <v>0</v>
          </cell>
          <cell r="I65">
            <v>5</v>
          </cell>
        </row>
        <row r="66">
          <cell r="B66" t="str">
            <v>2024JULB00224</v>
          </cell>
          <cell r="C66" t="str">
            <v>Aniket Raj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 t="str">
            <v>2024JULB00241</v>
          </cell>
          <cell r="C67" t="str">
            <v>Anu Kumari</v>
          </cell>
          <cell r="D67">
            <v>3</v>
          </cell>
          <cell r="E67">
            <v>3</v>
          </cell>
          <cell r="F67">
            <v>2</v>
          </cell>
          <cell r="G67">
            <v>5</v>
          </cell>
          <cell r="H67">
            <v>0</v>
          </cell>
          <cell r="I67">
            <v>2</v>
          </cell>
        </row>
        <row r="68">
          <cell r="B68" t="str">
            <v>2024JULB00008</v>
          </cell>
          <cell r="C68" t="str">
            <v>Adarsh Raj Barman</v>
          </cell>
          <cell r="D68">
            <v>3</v>
          </cell>
          <cell r="E68">
            <v>3</v>
          </cell>
          <cell r="F68">
            <v>2</v>
          </cell>
          <cell r="G68">
            <v>5</v>
          </cell>
          <cell r="H68">
            <v>2</v>
          </cell>
          <cell r="I68">
            <v>2</v>
          </cell>
        </row>
        <row r="69">
          <cell r="B69" t="str">
            <v>2024JULB00020</v>
          </cell>
          <cell r="C69" t="str">
            <v>Ananya Das</v>
          </cell>
          <cell r="D69">
            <v>4</v>
          </cell>
          <cell r="E69">
            <v>4</v>
          </cell>
          <cell r="F69">
            <v>4</v>
          </cell>
          <cell r="G69">
            <v>5</v>
          </cell>
          <cell r="H69">
            <v>2</v>
          </cell>
          <cell r="I69">
            <v>4</v>
          </cell>
        </row>
        <row r="70">
          <cell r="B70" t="str">
            <v>2024JULB00022</v>
          </cell>
          <cell r="C70" t="str">
            <v>Anupa Maheshwari</v>
          </cell>
          <cell r="D70">
            <v>4</v>
          </cell>
          <cell r="E70">
            <v>4</v>
          </cell>
          <cell r="F70">
            <v>3</v>
          </cell>
          <cell r="G70">
            <v>5</v>
          </cell>
          <cell r="H70">
            <v>2</v>
          </cell>
          <cell r="I70">
            <v>3</v>
          </cell>
        </row>
        <row r="71">
          <cell r="B71" t="str">
            <v>2024JULB00031</v>
          </cell>
          <cell r="C71" t="str">
            <v>Ashita</v>
          </cell>
          <cell r="D71">
            <v>3</v>
          </cell>
          <cell r="E71">
            <v>3</v>
          </cell>
          <cell r="F71">
            <v>3</v>
          </cell>
          <cell r="G71">
            <v>5</v>
          </cell>
          <cell r="H71">
            <v>2</v>
          </cell>
          <cell r="I71">
            <v>3</v>
          </cell>
        </row>
        <row r="72">
          <cell r="B72" t="str">
            <v>2024JULB00034</v>
          </cell>
          <cell r="C72" t="str">
            <v>Ayush Anand</v>
          </cell>
          <cell r="D72">
            <v>3</v>
          </cell>
          <cell r="E72">
            <v>3</v>
          </cell>
          <cell r="F72">
            <v>2</v>
          </cell>
          <cell r="G72">
            <v>5</v>
          </cell>
          <cell r="H72">
            <v>2</v>
          </cell>
          <cell r="I72">
            <v>2</v>
          </cell>
        </row>
        <row r="73">
          <cell r="B73" t="str">
            <v>2024JULB00046</v>
          </cell>
          <cell r="C73" t="str">
            <v>Darsh Nimesh Shah</v>
          </cell>
          <cell r="D73">
            <v>2</v>
          </cell>
          <cell r="E73">
            <v>2</v>
          </cell>
          <cell r="F73">
            <v>2</v>
          </cell>
          <cell r="G73">
            <v>2</v>
          </cell>
          <cell r="H73">
            <v>2</v>
          </cell>
          <cell r="I73">
            <v>2</v>
          </cell>
        </row>
        <row r="74">
          <cell r="B74" t="str">
            <v>2024JULB00048</v>
          </cell>
          <cell r="C74" t="str">
            <v>Deekshitha S</v>
          </cell>
          <cell r="D74">
            <v>3</v>
          </cell>
          <cell r="E74">
            <v>3</v>
          </cell>
          <cell r="F74">
            <v>2</v>
          </cell>
          <cell r="G74">
            <v>5</v>
          </cell>
          <cell r="H74">
            <v>2</v>
          </cell>
          <cell r="I74">
            <v>2</v>
          </cell>
        </row>
        <row r="75">
          <cell r="B75" t="str">
            <v>2024JULB00053</v>
          </cell>
          <cell r="C75" t="str">
            <v>Disha Baid</v>
          </cell>
          <cell r="D75">
            <v>3</v>
          </cell>
          <cell r="E75">
            <v>2</v>
          </cell>
          <cell r="F75">
            <v>2</v>
          </cell>
          <cell r="G75">
            <v>5</v>
          </cell>
          <cell r="H75">
            <v>2</v>
          </cell>
          <cell r="I75">
            <v>2</v>
          </cell>
        </row>
        <row r="76">
          <cell r="B76" t="str">
            <v>2024JULB00058</v>
          </cell>
          <cell r="C76" t="str">
            <v>Farheena Taskin Jamadar</v>
          </cell>
          <cell r="D76">
            <v>3</v>
          </cell>
          <cell r="E76">
            <v>4</v>
          </cell>
          <cell r="F76">
            <v>4</v>
          </cell>
          <cell r="G76">
            <v>5</v>
          </cell>
          <cell r="H76">
            <v>2</v>
          </cell>
          <cell r="I76">
            <v>4</v>
          </cell>
        </row>
        <row r="77">
          <cell r="B77" t="str">
            <v>2024JULB00061</v>
          </cell>
          <cell r="C77" t="str">
            <v>Gaurav Gaur</v>
          </cell>
          <cell r="D77">
            <v>3</v>
          </cell>
          <cell r="E77">
            <v>3</v>
          </cell>
          <cell r="F77">
            <v>3</v>
          </cell>
          <cell r="G77">
            <v>5</v>
          </cell>
          <cell r="H77">
            <v>2</v>
          </cell>
          <cell r="I77">
            <v>3</v>
          </cell>
        </row>
        <row r="78">
          <cell r="B78" t="str">
            <v>2024JULB00066</v>
          </cell>
          <cell r="C78" t="str">
            <v>Himanshu Upadhyay</v>
          </cell>
          <cell r="D78">
            <v>3</v>
          </cell>
          <cell r="E78">
            <v>3</v>
          </cell>
          <cell r="F78">
            <v>2</v>
          </cell>
          <cell r="G78">
            <v>5</v>
          </cell>
          <cell r="H78">
            <v>2</v>
          </cell>
          <cell r="I78">
            <v>2</v>
          </cell>
        </row>
        <row r="79">
          <cell r="B79" t="str">
            <v>2024JULB00072</v>
          </cell>
          <cell r="C79" t="str">
            <v>Kajal Choudhary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2</v>
          </cell>
          <cell r="I79">
            <v>1</v>
          </cell>
        </row>
        <row r="80">
          <cell r="B80" t="str">
            <v>2024JULB00073</v>
          </cell>
          <cell r="C80" t="str">
            <v>K Balaji Reddy</v>
          </cell>
          <cell r="D80">
            <v>3</v>
          </cell>
          <cell r="E80">
            <v>2</v>
          </cell>
          <cell r="F80">
            <v>2</v>
          </cell>
          <cell r="G80">
            <v>5</v>
          </cell>
          <cell r="H80">
            <v>2</v>
          </cell>
          <cell r="I80">
            <v>2</v>
          </cell>
        </row>
        <row r="81">
          <cell r="B81" t="str">
            <v>2024JULB00080</v>
          </cell>
          <cell r="C81" t="str">
            <v>Koustav  Biswas</v>
          </cell>
          <cell r="D81">
            <v>1</v>
          </cell>
          <cell r="E81">
            <v>1</v>
          </cell>
          <cell r="F81">
            <v>1</v>
          </cell>
          <cell r="G81">
            <v>1</v>
          </cell>
          <cell r="H81">
            <v>2</v>
          </cell>
          <cell r="I81">
            <v>1</v>
          </cell>
        </row>
        <row r="82">
          <cell r="B82" t="str">
            <v>2024JULB00087</v>
          </cell>
          <cell r="C82" t="str">
            <v>Laxmi Poorvaja S</v>
          </cell>
          <cell r="D82">
            <v>3</v>
          </cell>
          <cell r="E82">
            <v>3</v>
          </cell>
          <cell r="F82">
            <v>2</v>
          </cell>
          <cell r="G82">
            <v>5</v>
          </cell>
          <cell r="H82">
            <v>2</v>
          </cell>
          <cell r="I82">
            <v>2</v>
          </cell>
        </row>
        <row r="83">
          <cell r="B83" t="str">
            <v>2024JULB00093</v>
          </cell>
          <cell r="C83" t="str">
            <v>Akhileswaradu Manikireddy</v>
          </cell>
          <cell r="D83">
            <v>3</v>
          </cell>
          <cell r="E83">
            <v>2</v>
          </cell>
          <cell r="F83">
            <v>2</v>
          </cell>
          <cell r="G83">
            <v>5</v>
          </cell>
          <cell r="H83">
            <v>2</v>
          </cell>
          <cell r="I83">
            <v>2</v>
          </cell>
        </row>
        <row r="84">
          <cell r="B84" t="str">
            <v>2024JULB00094</v>
          </cell>
          <cell r="C84" t="str">
            <v>Megha Prajapati</v>
          </cell>
          <cell r="D84">
            <v>3</v>
          </cell>
          <cell r="E84">
            <v>3</v>
          </cell>
          <cell r="F84">
            <v>4</v>
          </cell>
          <cell r="G84">
            <v>5</v>
          </cell>
          <cell r="H84">
            <v>2</v>
          </cell>
          <cell r="I84">
            <v>4</v>
          </cell>
        </row>
        <row r="85">
          <cell r="B85" t="str">
            <v>2024JULB00095</v>
          </cell>
          <cell r="C85" t="str">
            <v>Melvin Roche. A</v>
          </cell>
          <cell r="D85">
            <v>2</v>
          </cell>
          <cell r="E85">
            <v>2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86">
          <cell r="B86" t="str">
            <v>2024JULB00096</v>
          </cell>
          <cell r="C86" t="str">
            <v>Milan Krishna N E</v>
          </cell>
          <cell r="D86">
            <v>4</v>
          </cell>
          <cell r="E86">
            <v>4</v>
          </cell>
          <cell r="F86">
            <v>4</v>
          </cell>
          <cell r="G86">
            <v>5</v>
          </cell>
          <cell r="H86">
            <v>2</v>
          </cell>
          <cell r="I86">
            <v>4</v>
          </cell>
        </row>
        <row r="87">
          <cell r="B87" t="str">
            <v>2024JULB00098</v>
          </cell>
          <cell r="C87" t="str">
            <v>Naitik Roy</v>
          </cell>
          <cell r="D87">
            <v>3</v>
          </cell>
          <cell r="E87">
            <v>3</v>
          </cell>
          <cell r="F87">
            <v>1</v>
          </cell>
          <cell r="G87">
            <v>5</v>
          </cell>
          <cell r="H87">
            <v>2</v>
          </cell>
          <cell r="I87">
            <v>1</v>
          </cell>
        </row>
        <row r="88">
          <cell r="B88" t="str">
            <v>2024JULB00100</v>
          </cell>
          <cell r="C88" t="str">
            <v>Nihal Poojary</v>
          </cell>
          <cell r="D88">
            <v>3</v>
          </cell>
          <cell r="E88">
            <v>2</v>
          </cell>
          <cell r="F88">
            <v>2</v>
          </cell>
          <cell r="G88">
            <v>5</v>
          </cell>
          <cell r="H88">
            <v>2</v>
          </cell>
          <cell r="I88">
            <v>2</v>
          </cell>
        </row>
        <row r="89">
          <cell r="B89" t="str">
            <v>2024JULB00101</v>
          </cell>
          <cell r="C89" t="str">
            <v>Nimisha Baruah</v>
          </cell>
          <cell r="D89">
            <v>3</v>
          </cell>
          <cell r="E89">
            <v>4</v>
          </cell>
          <cell r="F89">
            <v>4</v>
          </cell>
          <cell r="G89">
            <v>5</v>
          </cell>
          <cell r="H89">
            <v>2</v>
          </cell>
          <cell r="I89">
            <v>4</v>
          </cell>
        </row>
        <row r="90">
          <cell r="B90" t="str">
            <v>2024JULB00104</v>
          </cell>
          <cell r="C90" t="str">
            <v>Nitesh Ramniwas Saini</v>
          </cell>
          <cell r="D90">
            <v>3</v>
          </cell>
          <cell r="E90">
            <v>4</v>
          </cell>
          <cell r="F90">
            <v>4</v>
          </cell>
          <cell r="G90">
            <v>5</v>
          </cell>
          <cell r="H90">
            <v>2</v>
          </cell>
          <cell r="I90">
            <v>4</v>
          </cell>
        </row>
        <row r="91">
          <cell r="B91" t="str">
            <v>2024JULB00107</v>
          </cell>
          <cell r="C91" t="str">
            <v>Pavitra V</v>
          </cell>
          <cell r="D91">
            <v>3</v>
          </cell>
          <cell r="E91">
            <v>4</v>
          </cell>
          <cell r="F91">
            <v>4</v>
          </cell>
          <cell r="G91">
            <v>5</v>
          </cell>
          <cell r="H91">
            <v>2</v>
          </cell>
          <cell r="I91">
            <v>4</v>
          </cell>
        </row>
        <row r="92">
          <cell r="B92" t="str">
            <v>2024JULB00115</v>
          </cell>
          <cell r="C92" t="str">
            <v>Pujarchana Nayak</v>
          </cell>
          <cell r="D92">
            <v>3</v>
          </cell>
          <cell r="E92">
            <v>2</v>
          </cell>
          <cell r="F92">
            <v>3</v>
          </cell>
          <cell r="G92">
            <v>5</v>
          </cell>
          <cell r="H92">
            <v>2</v>
          </cell>
          <cell r="I92">
            <v>3</v>
          </cell>
        </row>
        <row r="93">
          <cell r="B93" t="str">
            <v>2024JULB00119</v>
          </cell>
          <cell r="C93" t="str">
            <v>RAHUL LAL P. P</v>
          </cell>
          <cell r="D93">
            <v>2</v>
          </cell>
          <cell r="E93">
            <v>2</v>
          </cell>
          <cell r="F93">
            <v>2</v>
          </cell>
          <cell r="G93">
            <v>2</v>
          </cell>
          <cell r="H93">
            <v>2</v>
          </cell>
          <cell r="I93">
            <v>2</v>
          </cell>
        </row>
        <row r="94">
          <cell r="B94" t="str">
            <v>2024JULB00121</v>
          </cell>
          <cell r="C94" t="str">
            <v>Renukha S</v>
          </cell>
          <cell r="D94">
            <v>3</v>
          </cell>
          <cell r="E94">
            <v>2</v>
          </cell>
          <cell r="F94">
            <v>2</v>
          </cell>
          <cell r="G94">
            <v>5</v>
          </cell>
          <cell r="H94">
            <v>2</v>
          </cell>
          <cell r="I94">
            <v>2</v>
          </cell>
        </row>
        <row r="95">
          <cell r="B95" t="str">
            <v>2024JULB00124</v>
          </cell>
          <cell r="C95" t="str">
            <v>Ritaban Roy</v>
          </cell>
          <cell r="D95">
            <v>5</v>
          </cell>
          <cell r="E95">
            <v>4</v>
          </cell>
          <cell r="F95">
            <v>4</v>
          </cell>
          <cell r="G95">
            <v>5</v>
          </cell>
          <cell r="H95">
            <v>2</v>
          </cell>
          <cell r="I95">
            <v>4</v>
          </cell>
        </row>
        <row r="96">
          <cell r="B96" t="str">
            <v>2024JULB00125</v>
          </cell>
          <cell r="C96" t="str">
            <v>Riya Guliya</v>
          </cell>
          <cell r="D96">
            <v>3</v>
          </cell>
          <cell r="E96">
            <v>3</v>
          </cell>
          <cell r="F96">
            <v>3</v>
          </cell>
          <cell r="G96">
            <v>5</v>
          </cell>
          <cell r="H96">
            <v>2</v>
          </cell>
          <cell r="I96">
            <v>3</v>
          </cell>
        </row>
        <row r="97">
          <cell r="B97" t="str">
            <v>2024JULB00131</v>
          </cell>
          <cell r="C97" t="str">
            <v>Sai Krishna Kaveti</v>
          </cell>
          <cell r="D97">
            <v>3</v>
          </cell>
          <cell r="E97">
            <v>3</v>
          </cell>
          <cell r="F97">
            <v>4</v>
          </cell>
          <cell r="G97">
            <v>5</v>
          </cell>
          <cell r="H97">
            <v>2</v>
          </cell>
          <cell r="I97">
            <v>4</v>
          </cell>
        </row>
        <row r="98">
          <cell r="B98" t="str">
            <v>2024JULB00132</v>
          </cell>
          <cell r="C98" t="str">
            <v>Sakchi Suryavanshi</v>
          </cell>
          <cell r="D98">
            <v>3</v>
          </cell>
          <cell r="E98">
            <v>3</v>
          </cell>
          <cell r="F98">
            <v>4</v>
          </cell>
          <cell r="G98">
            <v>5</v>
          </cell>
          <cell r="H98">
            <v>2</v>
          </cell>
          <cell r="I98">
            <v>3</v>
          </cell>
        </row>
        <row r="99">
          <cell r="B99" t="str">
            <v>2024JULB00143</v>
          </cell>
          <cell r="C99" t="str">
            <v>Shreya Bohre</v>
          </cell>
          <cell r="D99">
            <v>3</v>
          </cell>
          <cell r="E99">
            <v>3</v>
          </cell>
          <cell r="F99">
            <v>4</v>
          </cell>
          <cell r="G99">
            <v>5</v>
          </cell>
          <cell r="H99">
            <v>2</v>
          </cell>
          <cell r="I99">
            <v>3</v>
          </cell>
        </row>
        <row r="100">
          <cell r="B100" t="str">
            <v>2024JULB00146</v>
          </cell>
          <cell r="C100" t="str">
            <v>Shruti Sharma</v>
          </cell>
          <cell r="D100">
            <v>4</v>
          </cell>
          <cell r="E100">
            <v>3</v>
          </cell>
          <cell r="F100">
            <v>3</v>
          </cell>
          <cell r="G100">
            <v>5</v>
          </cell>
          <cell r="H100">
            <v>2</v>
          </cell>
          <cell r="I100">
            <v>3</v>
          </cell>
        </row>
        <row r="101">
          <cell r="B101" t="str">
            <v>2024JULB00147</v>
          </cell>
          <cell r="C101" t="str">
            <v>Shruti Vishamber Buchasia</v>
          </cell>
          <cell r="D101">
            <v>2</v>
          </cell>
          <cell r="E101">
            <v>2</v>
          </cell>
          <cell r="F101">
            <v>1</v>
          </cell>
          <cell r="G101">
            <v>5</v>
          </cell>
          <cell r="H101">
            <v>2</v>
          </cell>
          <cell r="I101">
            <v>1</v>
          </cell>
        </row>
        <row r="102">
          <cell r="B102" t="str">
            <v>2024JULB00149</v>
          </cell>
          <cell r="C102" t="str">
            <v>Shubham  Kumar</v>
          </cell>
          <cell r="D102">
            <v>3</v>
          </cell>
          <cell r="E102">
            <v>4</v>
          </cell>
          <cell r="F102">
            <v>2</v>
          </cell>
          <cell r="G102">
            <v>5</v>
          </cell>
          <cell r="H102">
            <v>2</v>
          </cell>
          <cell r="I102">
            <v>2</v>
          </cell>
        </row>
        <row r="103">
          <cell r="B103" t="str">
            <v>2024JULB00150</v>
          </cell>
          <cell r="C103" t="str">
            <v>Siddharth Singh</v>
          </cell>
          <cell r="D103">
            <v>2</v>
          </cell>
          <cell r="E103">
            <v>2</v>
          </cell>
          <cell r="F103">
            <v>2</v>
          </cell>
          <cell r="G103">
            <v>2</v>
          </cell>
          <cell r="H103">
            <v>2</v>
          </cell>
          <cell r="I103">
            <v>2</v>
          </cell>
        </row>
        <row r="104">
          <cell r="B104" t="str">
            <v>2024JULB00151</v>
          </cell>
          <cell r="C104" t="str">
            <v>Sivaraman S</v>
          </cell>
          <cell r="D104">
            <v>3</v>
          </cell>
          <cell r="E104">
            <v>2</v>
          </cell>
          <cell r="F104">
            <v>3</v>
          </cell>
          <cell r="G104">
            <v>5</v>
          </cell>
          <cell r="H104">
            <v>2</v>
          </cell>
          <cell r="I104">
            <v>3</v>
          </cell>
        </row>
        <row r="105">
          <cell r="B105" t="str">
            <v>2024JULB00155</v>
          </cell>
          <cell r="C105" t="str">
            <v>Sonali Agarwal</v>
          </cell>
          <cell r="D105">
            <v>2</v>
          </cell>
          <cell r="E105">
            <v>2</v>
          </cell>
          <cell r="F105">
            <v>2</v>
          </cell>
          <cell r="G105">
            <v>5</v>
          </cell>
          <cell r="H105">
            <v>2</v>
          </cell>
          <cell r="I105">
            <v>2</v>
          </cell>
        </row>
        <row r="106">
          <cell r="B106" t="str">
            <v>2024JULB00156</v>
          </cell>
          <cell r="C106" t="str">
            <v>Souvik Roy</v>
          </cell>
          <cell r="D106">
            <v>3</v>
          </cell>
          <cell r="E106">
            <v>3</v>
          </cell>
          <cell r="F106">
            <v>4</v>
          </cell>
          <cell r="G106">
            <v>4</v>
          </cell>
          <cell r="H106">
            <v>2</v>
          </cell>
          <cell r="I106">
            <v>4</v>
          </cell>
        </row>
        <row r="107">
          <cell r="B107" t="str">
            <v>2024JULB00163</v>
          </cell>
          <cell r="C107" t="str">
            <v>Sudharsan B</v>
          </cell>
          <cell r="D107">
            <v>4</v>
          </cell>
          <cell r="E107">
            <v>4</v>
          </cell>
          <cell r="F107">
            <v>4</v>
          </cell>
          <cell r="G107">
            <v>5</v>
          </cell>
          <cell r="H107">
            <v>2</v>
          </cell>
          <cell r="I107">
            <v>4</v>
          </cell>
        </row>
        <row r="108">
          <cell r="B108" t="str">
            <v>2024JULB00165</v>
          </cell>
          <cell r="C108" t="str">
            <v>Shristi Prakash</v>
          </cell>
          <cell r="D108">
            <v>3</v>
          </cell>
          <cell r="E108">
            <v>2</v>
          </cell>
          <cell r="F108">
            <v>2</v>
          </cell>
          <cell r="G108">
            <v>5</v>
          </cell>
          <cell r="H108">
            <v>2</v>
          </cell>
          <cell r="I108">
            <v>2</v>
          </cell>
        </row>
        <row r="109">
          <cell r="B109" t="str">
            <v>2024JULB00172</v>
          </cell>
          <cell r="C109" t="str">
            <v>Trinanjan Purkait</v>
          </cell>
          <cell r="D109">
            <v>3</v>
          </cell>
          <cell r="E109">
            <v>3</v>
          </cell>
          <cell r="F109">
            <v>4</v>
          </cell>
          <cell r="G109">
            <v>5</v>
          </cell>
          <cell r="H109">
            <v>2</v>
          </cell>
          <cell r="I109">
            <v>4</v>
          </cell>
        </row>
        <row r="110">
          <cell r="B110" t="str">
            <v>2024JULB00177</v>
          </cell>
          <cell r="C110" t="str">
            <v>Vanshika Bihani</v>
          </cell>
          <cell r="D110">
            <v>3</v>
          </cell>
          <cell r="E110">
            <v>3</v>
          </cell>
          <cell r="F110">
            <v>2</v>
          </cell>
          <cell r="G110">
            <v>5</v>
          </cell>
          <cell r="H110">
            <v>2</v>
          </cell>
          <cell r="I110">
            <v>2</v>
          </cell>
        </row>
        <row r="111">
          <cell r="B111" t="str">
            <v>2024JULB00178</v>
          </cell>
          <cell r="C111" t="str">
            <v>Varsha Saji</v>
          </cell>
          <cell r="D111">
            <v>4</v>
          </cell>
          <cell r="E111">
            <v>2</v>
          </cell>
          <cell r="F111">
            <v>3</v>
          </cell>
          <cell r="G111">
            <v>5</v>
          </cell>
          <cell r="H111">
            <v>2</v>
          </cell>
          <cell r="I111">
            <v>3</v>
          </cell>
        </row>
        <row r="112">
          <cell r="B112" t="str">
            <v>2024JULB00181</v>
          </cell>
          <cell r="C112" t="str">
            <v>Vishal Bhagat</v>
          </cell>
          <cell r="D112">
            <v>4</v>
          </cell>
          <cell r="E112">
            <v>4</v>
          </cell>
          <cell r="F112">
            <v>4</v>
          </cell>
          <cell r="G112">
            <v>5</v>
          </cell>
          <cell r="H112">
            <v>2</v>
          </cell>
          <cell r="I112">
            <v>4</v>
          </cell>
        </row>
        <row r="113">
          <cell r="B113" t="str">
            <v>2024JULB00183</v>
          </cell>
          <cell r="C113" t="str">
            <v>Yasaswini Reddy Sagili</v>
          </cell>
          <cell r="D113">
            <v>2</v>
          </cell>
          <cell r="E113">
            <v>2</v>
          </cell>
          <cell r="F113">
            <v>1</v>
          </cell>
          <cell r="G113">
            <v>5</v>
          </cell>
          <cell r="H113">
            <v>2</v>
          </cell>
          <cell r="I113">
            <v>1</v>
          </cell>
        </row>
        <row r="114">
          <cell r="B114" t="str">
            <v>2024JULB00186</v>
          </cell>
          <cell r="C114" t="str">
            <v>Pasumurty Vineeth Kumar</v>
          </cell>
          <cell r="D114">
            <v>3</v>
          </cell>
          <cell r="E114">
            <v>2</v>
          </cell>
          <cell r="F114">
            <v>3</v>
          </cell>
          <cell r="G114">
            <v>5</v>
          </cell>
          <cell r="H114">
            <v>2</v>
          </cell>
          <cell r="I114">
            <v>3</v>
          </cell>
        </row>
        <row r="115">
          <cell r="B115" t="str">
            <v>2024JULB00191</v>
          </cell>
          <cell r="C115" t="str">
            <v>Jayant Pal</v>
          </cell>
          <cell r="D115">
            <v>2</v>
          </cell>
          <cell r="E115">
            <v>2</v>
          </cell>
          <cell r="F115">
            <v>2</v>
          </cell>
          <cell r="G115">
            <v>2</v>
          </cell>
          <cell r="H115">
            <v>2</v>
          </cell>
          <cell r="I115">
            <v>2</v>
          </cell>
        </row>
        <row r="116">
          <cell r="B116" t="str">
            <v>2024JULB00196</v>
          </cell>
          <cell r="C116" t="str">
            <v>Piyush Kumar</v>
          </cell>
          <cell r="D116">
            <v>3</v>
          </cell>
          <cell r="E116">
            <v>4</v>
          </cell>
          <cell r="F116">
            <v>3</v>
          </cell>
          <cell r="G116">
            <v>5</v>
          </cell>
          <cell r="H116">
            <v>2</v>
          </cell>
          <cell r="I116">
            <v>2</v>
          </cell>
        </row>
        <row r="117">
          <cell r="B117" t="str">
            <v>2024JULB00197</v>
          </cell>
          <cell r="C117" t="str">
            <v>Deewanshu Ukey</v>
          </cell>
          <cell r="D117">
            <v>3</v>
          </cell>
          <cell r="E117">
            <v>4</v>
          </cell>
          <cell r="F117">
            <v>4</v>
          </cell>
          <cell r="G117">
            <v>5</v>
          </cell>
          <cell r="H117">
            <v>2</v>
          </cell>
          <cell r="I117">
            <v>4</v>
          </cell>
        </row>
        <row r="118">
          <cell r="B118" t="str">
            <v>2024JULB00206</v>
          </cell>
          <cell r="C118" t="str">
            <v>Arpit Katiyar</v>
          </cell>
          <cell r="D118">
            <v>4</v>
          </cell>
          <cell r="E118">
            <v>4</v>
          </cell>
          <cell r="F118">
            <v>4</v>
          </cell>
          <cell r="G118">
            <v>5</v>
          </cell>
          <cell r="H118">
            <v>2</v>
          </cell>
          <cell r="I118">
            <v>4</v>
          </cell>
        </row>
        <row r="119">
          <cell r="B119" t="str">
            <v>2024JULB00207</v>
          </cell>
          <cell r="C119" t="str">
            <v>Ayushi Mohanty</v>
          </cell>
          <cell r="D119">
            <v>3</v>
          </cell>
          <cell r="E119">
            <v>4</v>
          </cell>
          <cell r="F119">
            <v>2</v>
          </cell>
          <cell r="G119">
            <v>5</v>
          </cell>
          <cell r="H119">
            <v>2</v>
          </cell>
          <cell r="I119">
            <v>2</v>
          </cell>
        </row>
        <row r="120">
          <cell r="B120" t="str">
            <v>2024JULB00209</v>
          </cell>
          <cell r="C120" t="str">
            <v>Isha Gera</v>
          </cell>
          <cell r="D120">
            <v>3</v>
          </cell>
          <cell r="E120">
            <v>2</v>
          </cell>
          <cell r="F120">
            <v>3</v>
          </cell>
          <cell r="G120">
            <v>5</v>
          </cell>
          <cell r="H120">
            <v>2</v>
          </cell>
          <cell r="I120">
            <v>2</v>
          </cell>
        </row>
        <row r="121">
          <cell r="B121" t="str">
            <v>2024JULB00210</v>
          </cell>
          <cell r="C121" t="str">
            <v>Nikita Soni</v>
          </cell>
          <cell r="D121">
            <v>3</v>
          </cell>
          <cell r="E121">
            <v>3</v>
          </cell>
          <cell r="F121">
            <v>3</v>
          </cell>
          <cell r="G121">
            <v>5</v>
          </cell>
          <cell r="H121">
            <v>2</v>
          </cell>
          <cell r="I121">
            <v>2</v>
          </cell>
        </row>
        <row r="122">
          <cell r="B122" t="str">
            <v>2024JULB00211</v>
          </cell>
          <cell r="C122" t="str">
            <v>Purnita Gupta</v>
          </cell>
          <cell r="D122">
            <v>3</v>
          </cell>
          <cell r="E122">
            <v>3</v>
          </cell>
          <cell r="F122">
            <v>2</v>
          </cell>
          <cell r="G122">
            <v>5</v>
          </cell>
          <cell r="H122">
            <v>2</v>
          </cell>
          <cell r="I122">
            <v>2</v>
          </cell>
        </row>
        <row r="123">
          <cell r="B123" t="str">
            <v>2024JULB00213</v>
          </cell>
          <cell r="C123" t="str">
            <v>Govinda Rajulu Boya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2024JULB00220</v>
          </cell>
          <cell r="C124" t="str">
            <v>Rohan Agrawal</v>
          </cell>
          <cell r="D124">
            <v>3</v>
          </cell>
          <cell r="E124">
            <v>3</v>
          </cell>
          <cell r="F124">
            <v>3</v>
          </cell>
          <cell r="G124">
            <v>5</v>
          </cell>
          <cell r="H124">
            <v>2</v>
          </cell>
          <cell r="I124">
            <v>3</v>
          </cell>
        </row>
        <row r="125">
          <cell r="B125" t="str">
            <v>2024JULB00223</v>
          </cell>
          <cell r="C125" t="str">
            <v>Preethish Mesa</v>
          </cell>
          <cell r="D125">
            <v>3</v>
          </cell>
          <cell r="E125">
            <v>3</v>
          </cell>
          <cell r="F125">
            <v>3</v>
          </cell>
          <cell r="G125">
            <v>5</v>
          </cell>
          <cell r="H125">
            <v>2</v>
          </cell>
          <cell r="I125">
            <v>3</v>
          </cell>
        </row>
        <row r="126">
          <cell r="B126" t="str">
            <v>2024JULB00225</v>
          </cell>
          <cell r="C126" t="str">
            <v>Abhishek KumarNema</v>
          </cell>
          <cell r="D126">
            <v>3</v>
          </cell>
          <cell r="E126">
            <v>4</v>
          </cell>
          <cell r="F126">
            <v>3</v>
          </cell>
          <cell r="G126">
            <v>5</v>
          </cell>
          <cell r="H126">
            <v>2</v>
          </cell>
          <cell r="I126">
            <v>4</v>
          </cell>
        </row>
        <row r="127">
          <cell r="B127" t="str">
            <v>2024JULB00227</v>
          </cell>
          <cell r="C127" t="str">
            <v>Sumit Sharma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2</v>
          </cell>
          <cell r="I127">
            <v>1</v>
          </cell>
        </row>
        <row r="128">
          <cell r="B128" t="str">
            <v>2024JULB00229</v>
          </cell>
          <cell r="C128" t="str">
            <v>Malvika</v>
          </cell>
          <cell r="D128">
            <v>2</v>
          </cell>
          <cell r="E128">
            <v>2</v>
          </cell>
          <cell r="F128">
            <v>2</v>
          </cell>
          <cell r="G128">
            <v>2</v>
          </cell>
          <cell r="H128">
            <v>2</v>
          </cell>
          <cell r="I128">
            <v>2</v>
          </cell>
        </row>
        <row r="129">
          <cell r="B129" t="str">
            <v>2024JULB00231</v>
          </cell>
          <cell r="C129" t="str">
            <v>Sanskar Dixit</v>
          </cell>
          <cell r="D129">
            <v>5</v>
          </cell>
          <cell r="E129">
            <v>4</v>
          </cell>
          <cell r="F129">
            <v>5</v>
          </cell>
          <cell r="G129">
            <v>5</v>
          </cell>
          <cell r="H129">
            <v>2</v>
          </cell>
          <cell r="I129">
            <v>5</v>
          </cell>
        </row>
        <row r="130">
          <cell r="B130" t="str">
            <v>2024JULB00233</v>
          </cell>
          <cell r="C130" t="str">
            <v>Riya Batra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2</v>
          </cell>
          <cell r="I130">
            <v>2</v>
          </cell>
        </row>
        <row r="131">
          <cell r="B131" t="str">
            <v>2024JULB00234</v>
          </cell>
          <cell r="C131" t="str">
            <v>Pratheek Bhat</v>
          </cell>
          <cell r="D131">
            <v>3</v>
          </cell>
          <cell r="E131">
            <v>3</v>
          </cell>
          <cell r="F131">
            <v>2</v>
          </cell>
          <cell r="G131">
            <v>5</v>
          </cell>
          <cell r="H131">
            <v>2</v>
          </cell>
          <cell r="I131">
            <v>2</v>
          </cell>
        </row>
        <row r="132">
          <cell r="B132" t="str">
            <v>2024JULB00235</v>
          </cell>
          <cell r="C132" t="str">
            <v>Abhinav  Dubey</v>
          </cell>
          <cell r="D132">
            <v>3</v>
          </cell>
          <cell r="E132">
            <v>2</v>
          </cell>
          <cell r="F132">
            <v>3</v>
          </cell>
          <cell r="G132">
            <v>5</v>
          </cell>
          <cell r="H132">
            <v>2</v>
          </cell>
          <cell r="I132">
            <v>2</v>
          </cell>
        </row>
        <row r="133">
          <cell r="B133" t="str">
            <v>2024JULB00236</v>
          </cell>
          <cell r="C133" t="str">
            <v>Prachi Pandey</v>
          </cell>
          <cell r="D133">
            <v>3</v>
          </cell>
          <cell r="E133">
            <v>3</v>
          </cell>
          <cell r="F133">
            <v>3</v>
          </cell>
          <cell r="G133">
            <v>5</v>
          </cell>
          <cell r="H133">
            <v>2</v>
          </cell>
          <cell r="I133">
            <v>4</v>
          </cell>
        </row>
        <row r="134">
          <cell r="B134" t="str">
            <v>2024JULB00239</v>
          </cell>
          <cell r="C134" t="str">
            <v>Abhishek Nanda</v>
          </cell>
          <cell r="D134">
            <v>3</v>
          </cell>
          <cell r="E134">
            <v>3</v>
          </cell>
          <cell r="F134">
            <v>2</v>
          </cell>
          <cell r="G134">
            <v>5</v>
          </cell>
          <cell r="H134">
            <v>2</v>
          </cell>
          <cell r="I134">
            <v>3</v>
          </cell>
        </row>
        <row r="135">
          <cell r="B135" t="str">
            <v>2024JULB00240</v>
          </cell>
          <cell r="C135" t="str">
            <v>Prabhansha Vyas</v>
          </cell>
          <cell r="D135">
            <v>2</v>
          </cell>
          <cell r="E135">
            <v>2</v>
          </cell>
          <cell r="F135">
            <v>2</v>
          </cell>
          <cell r="G135">
            <v>5</v>
          </cell>
          <cell r="H135">
            <v>2</v>
          </cell>
          <cell r="I135">
            <v>3</v>
          </cell>
        </row>
        <row r="136">
          <cell r="B136" t="str">
            <v>2024JULB00243</v>
          </cell>
          <cell r="C136" t="str">
            <v>Sahil Gupta</v>
          </cell>
          <cell r="D136">
            <v>3</v>
          </cell>
          <cell r="E136">
            <v>3</v>
          </cell>
          <cell r="F136">
            <v>3</v>
          </cell>
          <cell r="G136">
            <v>5</v>
          </cell>
          <cell r="H136">
            <v>2</v>
          </cell>
          <cell r="I136">
            <v>2</v>
          </cell>
        </row>
        <row r="137">
          <cell r="B137" t="str">
            <v>2024JULB00244</v>
          </cell>
          <cell r="C137" t="str">
            <v>Harshita Chauhan</v>
          </cell>
          <cell r="D137">
            <v>3</v>
          </cell>
          <cell r="E137">
            <v>3</v>
          </cell>
          <cell r="F137">
            <v>3</v>
          </cell>
          <cell r="G137">
            <v>2</v>
          </cell>
          <cell r="H137">
            <v>2</v>
          </cell>
          <cell r="I137">
            <v>2</v>
          </cell>
        </row>
        <row r="138">
          <cell r="B138" t="str">
            <v>2024JULB00252</v>
          </cell>
          <cell r="C138" t="str">
            <v>Ronak Agarwal</v>
          </cell>
          <cell r="D138">
            <v>3</v>
          </cell>
          <cell r="E138">
            <v>4</v>
          </cell>
          <cell r="F138">
            <v>3</v>
          </cell>
          <cell r="G138">
            <v>5</v>
          </cell>
          <cell r="H138">
            <v>2</v>
          </cell>
          <cell r="I138">
            <v>2</v>
          </cell>
        </row>
        <row r="139">
          <cell r="B139" t="str">
            <v>2024JULB00005</v>
          </cell>
          <cell r="C139" t="str">
            <v>Abhirup Choudhury</v>
          </cell>
          <cell r="D139">
            <v>3</v>
          </cell>
          <cell r="E139">
            <v>3</v>
          </cell>
          <cell r="F139">
            <v>2</v>
          </cell>
          <cell r="G139">
            <v>4</v>
          </cell>
          <cell r="H139">
            <v>2</v>
          </cell>
          <cell r="I139">
            <v>2</v>
          </cell>
        </row>
        <row r="140">
          <cell r="B140" t="str">
            <v>2024JULB00232</v>
          </cell>
          <cell r="C140" t="str">
            <v>ANKITA ANAND</v>
          </cell>
          <cell r="D140">
            <v>4</v>
          </cell>
          <cell r="E140">
            <v>4</v>
          </cell>
          <cell r="F140">
            <v>4</v>
          </cell>
          <cell r="G140">
            <v>4</v>
          </cell>
          <cell r="H140">
            <v>2</v>
          </cell>
          <cell r="I140">
            <v>4</v>
          </cell>
        </row>
        <row r="141">
          <cell r="B141" t="str">
            <v>2024JULB00238</v>
          </cell>
          <cell r="C141" t="str">
            <v>KRISHNA KUMAR SINGH</v>
          </cell>
          <cell r="D141">
            <v>4</v>
          </cell>
          <cell r="E141">
            <v>4</v>
          </cell>
          <cell r="F141">
            <v>3</v>
          </cell>
          <cell r="G141">
            <v>4</v>
          </cell>
          <cell r="H141">
            <v>2</v>
          </cell>
          <cell r="I141">
            <v>3</v>
          </cell>
        </row>
        <row r="142">
          <cell r="B142" t="str">
            <v>2024JULB00242</v>
          </cell>
          <cell r="C142" t="str">
            <v>SHREYA SETHI</v>
          </cell>
          <cell r="D142">
            <v>3</v>
          </cell>
          <cell r="E142">
            <v>3</v>
          </cell>
          <cell r="F142">
            <v>3</v>
          </cell>
          <cell r="G142">
            <v>4</v>
          </cell>
          <cell r="H142">
            <v>2</v>
          </cell>
          <cell r="I142">
            <v>3</v>
          </cell>
        </row>
        <row r="143">
          <cell r="B143" t="str">
            <v>2024JULB00245</v>
          </cell>
          <cell r="C143" t="str">
            <v>HARSHVARDHAN PATIDAR</v>
          </cell>
          <cell r="D143">
            <v>3</v>
          </cell>
          <cell r="E143">
            <v>3</v>
          </cell>
          <cell r="F143">
            <v>2</v>
          </cell>
          <cell r="G143">
            <v>4</v>
          </cell>
          <cell r="H143">
            <v>2</v>
          </cell>
          <cell r="I143">
            <v>2</v>
          </cell>
        </row>
        <row r="144">
          <cell r="B144" t="str">
            <v>2024JULB00246</v>
          </cell>
          <cell r="C144" t="str">
            <v>BADHUL B PILLAI</v>
          </cell>
          <cell r="D144">
            <v>2</v>
          </cell>
          <cell r="E144">
            <v>2</v>
          </cell>
          <cell r="F144">
            <v>2</v>
          </cell>
          <cell r="G144">
            <v>2</v>
          </cell>
          <cell r="H144">
            <v>2</v>
          </cell>
          <cell r="I144">
            <v>2</v>
          </cell>
        </row>
        <row r="145">
          <cell r="B145" t="str">
            <v>2024JULB00247</v>
          </cell>
          <cell r="C145" t="str">
            <v>MD ARSALAN SIDDIQUI</v>
          </cell>
          <cell r="D145">
            <v>3</v>
          </cell>
          <cell r="E145">
            <v>3</v>
          </cell>
          <cell r="F145">
            <v>2</v>
          </cell>
          <cell r="G145">
            <v>4</v>
          </cell>
          <cell r="H145">
            <v>2</v>
          </cell>
          <cell r="I145">
            <v>2</v>
          </cell>
        </row>
        <row r="146">
          <cell r="B146" t="str">
            <v>2024JULB00249</v>
          </cell>
          <cell r="C146" t="str">
            <v>SHIVAM RATNANI</v>
          </cell>
          <cell r="D146">
            <v>3</v>
          </cell>
          <cell r="E146">
            <v>2</v>
          </cell>
          <cell r="F146">
            <v>2</v>
          </cell>
          <cell r="G146">
            <v>4</v>
          </cell>
          <cell r="H146">
            <v>2</v>
          </cell>
          <cell r="I146">
            <v>2</v>
          </cell>
        </row>
        <row r="147">
          <cell r="B147" t="str">
            <v>2024JULB00249</v>
          </cell>
          <cell r="C147" t="str">
            <v>KARTIK GARG</v>
          </cell>
          <cell r="D147">
            <v>3</v>
          </cell>
          <cell r="E147">
            <v>4</v>
          </cell>
          <cell r="F147">
            <v>4</v>
          </cell>
          <cell r="G147">
            <v>4</v>
          </cell>
          <cell r="H147">
            <v>2</v>
          </cell>
          <cell r="I147">
            <v>4</v>
          </cell>
        </row>
        <row r="148">
          <cell r="B148" t="str">
            <v>2024JULB00250</v>
          </cell>
          <cell r="C148" t="str">
            <v>SANJANA KAPADIA</v>
          </cell>
          <cell r="D148">
            <v>3</v>
          </cell>
          <cell r="E148">
            <v>3</v>
          </cell>
          <cell r="F148">
            <v>3</v>
          </cell>
          <cell r="G148">
            <v>4</v>
          </cell>
          <cell r="H148">
            <v>2</v>
          </cell>
          <cell r="I148">
            <v>3</v>
          </cell>
        </row>
        <row r="149">
          <cell r="B149" t="str">
            <v>2024JULB00253</v>
          </cell>
          <cell r="C149" t="str">
            <v>PRITAM RAJU SHET</v>
          </cell>
          <cell r="D149">
            <v>3</v>
          </cell>
          <cell r="E149">
            <v>3</v>
          </cell>
          <cell r="F149">
            <v>2</v>
          </cell>
          <cell r="G149">
            <v>4</v>
          </cell>
          <cell r="H149">
            <v>2</v>
          </cell>
          <cell r="I149">
            <v>2</v>
          </cell>
        </row>
        <row r="150">
          <cell r="B150" t="str">
            <v>2024JULB00255</v>
          </cell>
          <cell r="C150" t="str">
            <v>RESHU SHARMA</v>
          </cell>
          <cell r="D150">
            <v>1</v>
          </cell>
          <cell r="E150">
            <v>1</v>
          </cell>
          <cell r="F150">
            <v>1</v>
          </cell>
          <cell r="G150">
            <v>1</v>
          </cell>
          <cell r="H150">
            <v>2</v>
          </cell>
          <cell r="I150">
            <v>1</v>
          </cell>
        </row>
        <row r="151">
          <cell r="B151" t="str">
            <v>2024JULB00256</v>
          </cell>
          <cell r="C151" t="str">
            <v>SAISRITA RAO</v>
          </cell>
          <cell r="D151">
            <v>3</v>
          </cell>
          <cell r="E151">
            <v>2</v>
          </cell>
          <cell r="F151">
            <v>2</v>
          </cell>
          <cell r="G151">
            <v>4</v>
          </cell>
          <cell r="H151">
            <v>2</v>
          </cell>
          <cell r="I151">
            <v>2</v>
          </cell>
        </row>
        <row r="152">
          <cell r="B152" t="str">
            <v>2024JULB00257</v>
          </cell>
          <cell r="C152" t="str">
            <v>RIYA KUMARI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2</v>
          </cell>
          <cell r="I152">
            <v>1</v>
          </cell>
        </row>
        <row r="153">
          <cell r="B153" t="str">
            <v>2024JULB00258</v>
          </cell>
          <cell r="C153" t="str">
            <v>SAURAV SINGH</v>
          </cell>
          <cell r="D153">
            <v>3</v>
          </cell>
          <cell r="E153">
            <v>3</v>
          </cell>
          <cell r="F153">
            <v>2</v>
          </cell>
          <cell r="G153">
            <v>4</v>
          </cell>
          <cell r="H153">
            <v>2</v>
          </cell>
          <cell r="I153">
            <v>2</v>
          </cell>
        </row>
        <row r="154">
          <cell r="B154" t="str">
            <v>2024JULB00248</v>
          </cell>
          <cell r="C154" t="str">
            <v>ANIMESH TIWARI</v>
          </cell>
          <cell r="D154">
            <v>3</v>
          </cell>
          <cell r="E154">
            <v>2</v>
          </cell>
          <cell r="F154">
            <v>2</v>
          </cell>
          <cell r="G154">
            <v>4</v>
          </cell>
          <cell r="H154">
            <v>2</v>
          </cell>
          <cell r="I154">
            <v>2</v>
          </cell>
        </row>
        <row r="155">
          <cell r="B155" t="str">
            <v>2024JULB00260</v>
          </cell>
          <cell r="C155" t="str">
            <v>VISHAL DURGA RAO GANDU</v>
          </cell>
          <cell r="D155">
            <v>3</v>
          </cell>
          <cell r="E155">
            <v>3</v>
          </cell>
          <cell r="F155">
            <v>4</v>
          </cell>
          <cell r="G155">
            <v>4</v>
          </cell>
          <cell r="H155">
            <v>2</v>
          </cell>
          <cell r="I155">
            <v>4</v>
          </cell>
        </row>
        <row r="156">
          <cell r="B156" t="str">
            <v>2024JULB00261</v>
          </cell>
          <cell r="C156" t="str">
            <v>ANANYA</v>
          </cell>
          <cell r="D156">
            <v>2</v>
          </cell>
          <cell r="E156">
            <v>2</v>
          </cell>
          <cell r="F156">
            <v>2</v>
          </cell>
          <cell r="G156">
            <v>2</v>
          </cell>
          <cell r="H156">
            <v>2</v>
          </cell>
          <cell r="I156">
            <v>2</v>
          </cell>
        </row>
        <row r="157">
          <cell r="B157" t="str">
            <v>2024JULB00262</v>
          </cell>
          <cell r="C157" t="str">
            <v>AMAN KUMAR</v>
          </cell>
          <cell r="D157">
            <v>4</v>
          </cell>
          <cell r="E157">
            <v>4</v>
          </cell>
          <cell r="F157">
            <v>4</v>
          </cell>
          <cell r="G157">
            <v>4</v>
          </cell>
          <cell r="H157">
            <v>2</v>
          </cell>
          <cell r="I157">
            <v>4</v>
          </cell>
        </row>
        <row r="158">
          <cell r="B158" t="str">
            <v>2024JULB00263</v>
          </cell>
          <cell r="C158" t="str">
            <v>Soumya Roy</v>
          </cell>
          <cell r="D158">
            <v>3</v>
          </cell>
          <cell r="E158">
            <v>3</v>
          </cell>
          <cell r="F158">
            <v>1</v>
          </cell>
          <cell r="G158">
            <v>4</v>
          </cell>
          <cell r="H158">
            <v>2</v>
          </cell>
          <cell r="I158">
            <v>1</v>
          </cell>
        </row>
        <row r="159">
          <cell r="B159" t="str">
            <v>2024JULB00265</v>
          </cell>
          <cell r="C159" t="str">
            <v>NIKITA SEHGAL</v>
          </cell>
          <cell r="D159">
            <v>3</v>
          </cell>
          <cell r="E159">
            <v>2</v>
          </cell>
          <cell r="F159">
            <v>2</v>
          </cell>
          <cell r="G159">
            <v>4</v>
          </cell>
          <cell r="H159">
            <v>2</v>
          </cell>
          <cell r="I159">
            <v>2</v>
          </cell>
        </row>
        <row r="160">
          <cell r="B160" t="str">
            <v>2024JULB00266</v>
          </cell>
          <cell r="C160" t="str">
            <v>SRIJAN DOBHAL</v>
          </cell>
          <cell r="D160">
            <v>3</v>
          </cell>
          <cell r="E160">
            <v>4</v>
          </cell>
          <cell r="F160">
            <v>4</v>
          </cell>
          <cell r="G160">
            <v>4</v>
          </cell>
          <cell r="H160">
            <v>2</v>
          </cell>
          <cell r="I160">
            <v>4</v>
          </cell>
        </row>
        <row r="161">
          <cell r="B161" t="str">
            <v>2024JULB00267</v>
          </cell>
          <cell r="C161" t="str">
            <v>MUSADDIK KURUNDWAD</v>
          </cell>
          <cell r="D161">
            <v>3</v>
          </cell>
          <cell r="E161">
            <v>4</v>
          </cell>
          <cell r="F161">
            <v>4</v>
          </cell>
          <cell r="G161">
            <v>4</v>
          </cell>
          <cell r="H161">
            <v>2</v>
          </cell>
          <cell r="I161">
            <v>4</v>
          </cell>
        </row>
        <row r="162">
          <cell r="B162" t="str">
            <v>2024JULB00267</v>
          </cell>
          <cell r="C162" t="str">
            <v>KUSHAL RAJ</v>
          </cell>
          <cell r="D162">
            <v>3</v>
          </cell>
          <cell r="E162">
            <v>4</v>
          </cell>
          <cell r="F162">
            <v>4</v>
          </cell>
          <cell r="G162">
            <v>4</v>
          </cell>
          <cell r="H162">
            <v>2</v>
          </cell>
          <cell r="I162">
            <v>4</v>
          </cell>
        </row>
        <row r="163">
          <cell r="B163" t="str">
            <v>2024JULB00268</v>
          </cell>
          <cell r="C163" t="str">
            <v>SOUMYA</v>
          </cell>
          <cell r="D163">
            <v>3</v>
          </cell>
          <cell r="E163">
            <v>2</v>
          </cell>
          <cell r="F163">
            <v>3</v>
          </cell>
          <cell r="G163">
            <v>4</v>
          </cell>
          <cell r="H163">
            <v>2</v>
          </cell>
          <cell r="I163">
            <v>3</v>
          </cell>
        </row>
        <row r="164">
          <cell r="B164" t="str">
            <v>2024JULB00269</v>
          </cell>
          <cell r="C164" t="str">
            <v>Vrijendra Balaji</v>
          </cell>
          <cell r="D164">
            <v>2</v>
          </cell>
          <cell r="E164">
            <v>2</v>
          </cell>
          <cell r="F164">
            <v>2</v>
          </cell>
          <cell r="G164">
            <v>2</v>
          </cell>
          <cell r="H164">
            <v>2</v>
          </cell>
          <cell r="I164">
            <v>2</v>
          </cell>
        </row>
        <row r="165">
          <cell r="B165" t="str">
            <v>2024JULB00270</v>
          </cell>
          <cell r="C165" t="str">
            <v>Rahul Gupta</v>
          </cell>
          <cell r="D165">
            <v>3</v>
          </cell>
          <cell r="E165">
            <v>2</v>
          </cell>
          <cell r="F165">
            <v>2</v>
          </cell>
          <cell r="G165">
            <v>4</v>
          </cell>
          <cell r="H165">
            <v>2</v>
          </cell>
          <cell r="I165">
            <v>2</v>
          </cell>
        </row>
        <row r="166">
          <cell r="B166" t="str">
            <v>2024JULB00272</v>
          </cell>
          <cell r="C166" t="str">
            <v>Vikash Kumar</v>
          </cell>
          <cell r="D166">
            <v>4</v>
          </cell>
          <cell r="E166">
            <v>4</v>
          </cell>
          <cell r="F166">
            <v>4</v>
          </cell>
          <cell r="G166">
            <v>4</v>
          </cell>
          <cell r="H166">
            <v>2</v>
          </cell>
          <cell r="I166">
            <v>4</v>
          </cell>
        </row>
        <row r="167">
          <cell r="B167" t="str">
            <v xml:space="preserve">2024JULB00273 </v>
          </cell>
          <cell r="C167" t="str">
            <v>Harshit  Gopawat</v>
          </cell>
          <cell r="D167">
            <v>3</v>
          </cell>
          <cell r="E167">
            <v>3</v>
          </cell>
          <cell r="F167">
            <v>3</v>
          </cell>
          <cell r="G167">
            <v>4</v>
          </cell>
          <cell r="H167">
            <v>2</v>
          </cell>
          <cell r="I167">
            <v>3</v>
          </cell>
        </row>
        <row r="168">
          <cell r="B168" t="str">
            <v>2024JULB00001</v>
          </cell>
          <cell r="C168" t="str">
            <v>A DivyaSree</v>
          </cell>
          <cell r="D168">
            <v>3</v>
          </cell>
          <cell r="E168">
            <v>3</v>
          </cell>
          <cell r="F168">
            <v>2</v>
          </cell>
          <cell r="G168">
            <v>5</v>
          </cell>
          <cell r="H168">
            <v>0</v>
          </cell>
          <cell r="I168">
            <v>2</v>
          </cell>
        </row>
        <row r="169">
          <cell r="B169" t="str">
            <v>2024JULB00002</v>
          </cell>
          <cell r="C169" t="str">
            <v>Aaditya K</v>
          </cell>
          <cell r="D169">
            <v>4</v>
          </cell>
          <cell r="E169">
            <v>4</v>
          </cell>
          <cell r="F169">
            <v>4</v>
          </cell>
          <cell r="G169">
            <v>5</v>
          </cell>
          <cell r="H169">
            <v>0</v>
          </cell>
          <cell r="I169">
            <v>4</v>
          </cell>
        </row>
        <row r="170">
          <cell r="B170" t="str">
            <v>2024JULB00003</v>
          </cell>
          <cell r="C170" t="str">
            <v>Aanchal Sapra</v>
          </cell>
          <cell r="D170">
            <v>4</v>
          </cell>
          <cell r="E170">
            <v>4</v>
          </cell>
          <cell r="F170">
            <v>3</v>
          </cell>
          <cell r="G170">
            <v>5</v>
          </cell>
          <cell r="H170">
            <v>0</v>
          </cell>
          <cell r="I170">
            <v>3</v>
          </cell>
        </row>
        <row r="171">
          <cell r="B171" t="str">
            <v>2024JULB00004</v>
          </cell>
          <cell r="C171" t="str">
            <v>Abhinav B</v>
          </cell>
          <cell r="D171">
            <v>3</v>
          </cell>
          <cell r="E171">
            <v>3</v>
          </cell>
          <cell r="F171">
            <v>3</v>
          </cell>
          <cell r="G171">
            <v>5</v>
          </cell>
          <cell r="H171">
            <v>0</v>
          </cell>
          <cell r="I171">
            <v>3</v>
          </cell>
        </row>
        <row r="172">
          <cell r="B172" t="str">
            <v>2024JULB00006</v>
          </cell>
          <cell r="C172" t="str">
            <v>Abhyuday Tripathi</v>
          </cell>
          <cell r="D172">
            <v>3</v>
          </cell>
          <cell r="E172">
            <v>3</v>
          </cell>
          <cell r="F172">
            <v>2</v>
          </cell>
          <cell r="G172">
            <v>5</v>
          </cell>
          <cell r="H172">
            <v>0</v>
          </cell>
          <cell r="I172">
            <v>2</v>
          </cell>
        </row>
        <row r="173">
          <cell r="B173" t="str">
            <v>2024JULB00007</v>
          </cell>
          <cell r="C173" t="str">
            <v>Adarsh G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B174" t="str">
            <v>2024JULB00009</v>
          </cell>
          <cell r="C174" t="str">
            <v>Aditi Kumari</v>
          </cell>
          <cell r="D174">
            <v>3</v>
          </cell>
          <cell r="E174">
            <v>3</v>
          </cell>
          <cell r="F174">
            <v>2</v>
          </cell>
          <cell r="G174">
            <v>5</v>
          </cell>
          <cell r="H174">
            <v>0</v>
          </cell>
          <cell r="I174">
            <v>2</v>
          </cell>
        </row>
        <row r="175">
          <cell r="B175" t="str">
            <v>2024JULB00012</v>
          </cell>
          <cell r="C175" t="str">
            <v>Akarsh Narain</v>
          </cell>
          <cell r="D175">
            <v>3</v>
          </cell>
          <cell r="E175">
            <v>2</v>
          </cell>
          <cell r="F175">
            <v>2</v>
          </cell>
          <cell r="G175">
            <v>5</v>
          </cell>
          <cell r="H175">
            <v>0</v>
          </cell>
          <cell r="I175">
            <v>2</v>
          </cell>
        </row>
        <row r="176">
          <cell r="B176" t="str">
            <v>2024JULB00017</v>
          </cell>
          <cell r="C176" t="str">
            <v>Anamitra Dutta</v>
          </cell>
          <cell r="D176">
            <v>3</v>
          </cell>
          <cell r="E176">
            <v>4</v>
          </cell>
          <cell r="F176">
            <v>4</v>
          </cell>
          <cell r="G176">
            <v>5</v>
          </cell>
          <cell r="H176">
            <v>0</v>
          </cell>
          <cell r="I176">
            <v>4</v>
          </cell>
        </row>
        <row r="177">
          <cell r="B177" t="str">
            <v>2024JULB00021</v>
          </cell>
          <cell r="C177" t="str">
            <v>Aniket Inani</v>
          </cell>
          <cell r="D177">
            <v>3</v>
          </cell>
          <cell r="E177">
            <v>3</v>
          </cell>
          <cell r="F177">
            <v>3</v>
          </cell>
          <cell r="G177">
            <v>5</v>
          </cell>
          <cell r="H177">
            <v>0</v>
          </cell>
          <cell r="I177">
            <v>3</v>
          </cell>
        </row>
        <row r="178">
          <cell r="B178" t="str">
            <v>2024JULB00023</v>
          </cell>
          <cell r="C178" t="str">
            <v>Anushk Goel</v>
          </cell>
          <cell r="D178">
            <v>3</v>
          </cell>
          <cell r="E178">
            <v>3</v>
          </cell>
          <cell r="F178">
            <v>2</v>
          </cell>
          <cell r="G178">
            <v>5</v>
          </cell>
          <cell r="H178">
            <v>0</v>
          </cell>
          <cell r="I178">
            <v>2</v>
          </cell>
        </row>
        <row r="179">
          <cell r="B179" t="str">
            <v>2024JULB00024</v>
          </cell>
          <cell r="C179" t="str">
            <v>Apoorwa Mishra</v>
          </cell>
          <cell r="D179">
            <v>1</v>
          </cell>
          <cell r="E179">
            <v>1</v>
          </cell>
          <cell r="F179">
            <v>1</v>
          </cell>
          <cell r="G179">
            <v>1</v>
          </cell>
          <cell r="H179">
            <v>0</v>
          </cell>
          <cell r="I179">
            <v>1</v>
          </cell>
        </row>
        <row r="180">
          <cell r="B180" t="str">
            <v>2024JULB00202</v>
          </cell>
          <cell r="C180" t="str">
            <v>Arnav Rastogi</v>
          </cell>
          <cell r="D180">
            <v>3</v>
          </cell>
          <cell r="E180">
            <v>2</v>
          </cell>
          <cell r="F180">
            <v>2</v>
          </cell>
          <cell r="G180">
            <v>5</v>
          </cell>
          <cell r="H180">
            <v>0</v>
          </cell>
          <cell r="I180">
            <v>2</v>
          </cell>
        </row>
        <row r="181">
          <cell r="B181" t="str">
            <v>2024JULB00027</v>
          </cell>
          <cell r="C181" t="str">
            <v>Aryan Atreya</v>
          </cell>
          <cell r="D181">
            <v>1</v>
          </cell>
          <cell r="E181">
            <v>1</v>
          </cell>
          <cell r="F181">
            <v>1</v>
          </cell>
          <cell r="G181">
            <v>1</v>
          </cell>
          <cell r="H181">
            <v>0</v>
          </cell>
          <cell r="I181">
            <v>1</v>
          </cell>
        </row>
        <row r="182">
          <cell r="B182" t="str">
            <v>2024JULB00029</v>
          </cell>
          <cell r="C182" t="str">
            <v>Aryan Trivedi</v>
          </cell>
          <cell r="D182">
            <v>3</v>
          </cell>
          <cell r="E182">
            <v>3</v>
          </cell>
          <cell r="F182">
            <v>2</v>
          </cell>
          <cell r="G182">
            <v>5</v>
          </cell>
          <cell r="H182">
            <v>0</v>
          </cell>
          <cell r="I182">
            <v>2</v>
          </cell>
        </row>
        <row r="183">
          <cell r="B183" t="str">
            <v>2024JULB00033</v>
          </cell>
          <cell r="C183" t="str">
            <v>Ashwin Bhaskar</v>
          </cell>
          <cell r="D183">
            <v>3</v>
          </cell>
          <cell r="E183">
            <v>2</v>
          </cell>
          <cell r="F183">
            <v>2</v>
          </cell>
          <cell r="G183">
            <v>5</v>
          </cell>
          <cell r="H183">
            <v>0</v>
          </cell>
          <cell r="I183">
            <v>2</v>
          </cell>
        </row>
        <row r="184">
          <cell r="B184" t="str">
            <v>2024JULB00037</v>
          </cell>
          <cell r="C184" t="str">
            <v>Bhavik Puri</v>
          </cell>
          <cell r="D184">
            <v>3</v>
          </cell>
          <cell r="E184">
            <v>3</v>
          </cell>
          <cell r="F184">
            <v>4</v>
          </cell>
          <cell r="G184">
            <v>5</v>
          </cell>
          <cell r="H184">
            <v>0</v>
          </cell>
          <cell r="I184">
            <v>4</v>
          </cell>
        </row>
        <row r="185">
          <cell r="B185" t="str">
            <v>2024JULB00038</v>
          </cell>
          <cell r="C185" t="str">
            <v>Bibek KumarMuduli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B186" t="str">
            <v>2024JULB00041</v>
          </cell>
          <cell r="C186" t="str">
            <v>C Divyashree</v>
          </cell>
          <cell r="D186">
            <v>4</v>
          </cell>
          <cell r="E186">
            <v>4</v>
          </cell>
          <cell r="F186">
            <v>4</v>
          </cell>
          <cell r="G186">
            <v>5</v>
          </cell>
          <cell r="H186">
            <v>0</v>
          </cell>
          <cell r="I186">
            <v>4</v>
          </cell>
        </row>
        <row r="187">
          <cell r="B187" t="str">
            <v>2024JULB00044</v>
          </cell>
          <cell r="C187" t="str">
            <v>Chirag Bhardwaj</v>
          </cell>
          <cell r="D187">
            <v>3</v>
          </cell>
          <cell r="E187">
            <v>3</v>
          </cell>
          <cell r="F187">
            <v>1</v>
          </cell>
          <cell r="G187">
            <v>5</v>
          </cell>
          <cell r="H187">
            <v>0</v>
          </cell>
          <cell r="I187">
            <v>1</v>
          </cell>
        </row>
        <row r="188">
          <cell r="B188" t="str">
            <v>2024JULB00049</v>
          </cell>
          <cell r="C188" t="str">
            <v>Deepak Birthare</v>
          </cell>
          <cell r="D188">
            <v>3</v>
          </cell>
          <cell r="E188">
            <v>2</v>
          </cell>
          <cell r="F188">
            <v>2</v>
          </cell>
          <cell r="G188">
            <v>5</v>
          </cell>
          <cell r="H188">
            <v>0</v>
          </cell>
          <cell r="I188">
            <v>2</v>
          </cell>
        </row>
        <row r="189">
          <cell r="B189" t="str">
            <v>2024JULB00221</v>
          </cell>
          <cell r="C189" t="str">
            <v>Dhruban Talukdar</v>
          </cell>
          <cell r="D189">
            <v>3</v>
          </cell>
          <cell r="E189">
            <v>4</v>
          </cell>
          <cell r="F189">
            <v>4</v>
          </cell>
          <cell r="G189">
            <v>5</v>
          </cell>
          <cell r="H189">
            <v>0</v>
          </cell>
          <cell r="I189">
            <v>4</v>
          </cell>
        </row>
        <row r="190">
          <cell r="B190" t="str">
            <v>2024JULB00055</v>
          </cell>
          <cell r="C190" t="str">
            <v>Divyam Sood</v>
          </cell>
          <cell r="D190">
            <v>3</v>
          </cell>
          <cell r="E190">
            <v>4</v>
          </cell>
          <cell r="F190">
            <v>4</v>
          </cell>
          <cell r="G190">
            <v>5</v>
          </cell>
          <cell r="H190">
            <v>0</v>
          </cell>
          <cell r="I190">
            <v>4</v>
          </cell>
        </row>
        <row r="191">
          <cell r="B191" t="str">
            <v>2024JULB00056</v>
          </cell>
          <cell r="C191" t="str">
            <v>Elina Mahanta</v>
          </cell>
          <cell r="D191">
            <v>3</v>
          </cell>
          <cell r="E191">
            <v>4</v>
          </cell>
          <cell r="F191">
            <v>4</v>
          </cell>
          <cell r="G191">
            <v>5</v>
          </cell>
          <cell r="H191">
            <v>0</v>
          </cell>
          <cell r="I191">
            <v>4</v>
          </cell>
        </row>
        <row r="192">
          <cell r="B192" t="str">
            <v>2024JULB00059</v>
          </cell>
          <cell r="C192" t="str">
            <v>G TharnathReddy</v>
          </cell>
          <cell r="D192">
            <v>3</v>
          </cell>
          <cell r="E192">
            <v>2</v>
          </cell>
          <cell r="F192">
            <v>3</v>
          </cell>
          <cell r="G192">
            <v>5</v>
          </cell>
          <cell r="H192">
            <v>0</v>
          </cell>
          <cell r="I192">
            <v>3</v>
          </cell>
        </row>
        <row r="193">
          <cell r="B193" t="str">
            <v>2024JULB00062</v>
          </cell>
          <cell r="C193" t="str">
            <v>Harish KumarR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 t="str">
            <v>2024JULB00230</v>
          </cell>
          <cell r="C194" t="str">
            <v>Jaladi BlessySusanthika</v>
          </cell>
          <cell r="D194">
            <v>3</v>
          </cell>
          <cell r="E194">
            <v>2</v>
          </cell>
          <cell r="F194">
            <v>2</v>
          </cell>
          <cell r="G194">
            <v>5</v>
          </cell>
          <cell r="H194">
            <v>0</v>
          </cell>
          <cell r="I194">
            <v>2</v>
          </cell>
        </row>
        <row r="195">
          <cell r="B195" t="str">
            <v>2024JULB00071</v>
          </cell>
          <cell r="C195" t="str">
            <v>Jyoti Sahoo</v>
          </cell>
          <cell r="D195">
            <v>5</v>
          </cell>
          <cell r="E195">
            <v>4</v>
          </cell>
          <cell r="F195">
            <v>4</v>
          </cell>
          <cell r="G195">
            <v>5</v>
          </cell>
          <cell r="H195">
            <v>0</v>
          </cell>
          <cell r="I195">
            <v>4</v>
          </cell>
        </row>
        <row r="196">
          <cell r="B196" t="str">
            <v>2024JULB00074</v>
          </cell>
          <cell r="C196" t="str">
            <v>Karan Kashyap</v>
          </cell>
          <cell r="D196">
            <v>3</v>
          </cell>
          <cell r="E196">
            <v>3</v>
          </cell>
          <cell r="F196">
            <v>3</v>
          </cell>
          <cell r="G196">
            <v>5</v>
          </cell>
          <cell r="H196">
            <v>0</v>
          </cell>
          <cell r="I196">
            <v>3</v>
          </cell>
        </row>
        <row r="197">
          <cell r="B197" t="str">
            <v>2024JULB00075</v>
          </cell>
          <cell r="C197" t="str">
            <v>Kartheek SuryaDevarapalli</v>
          </cell>
          <cell r="D197">
            <v>3</v>
          </cell>
          <cell r="E197">
            <v>3</v>
          </cell>
          <cell r="F197">
            <v>4</v>
          </cell>
          <cell r="G197">
            <v>5</v>
          </cell>
          <cell r="H197">
            <v>0</v>
          </cell>
          <cell r="I197">
            <v>4</v>
          </cell>
        </row>
        <row r="198">
          <cell r="B198" t="str">
            <v>2024JULB00076</v>
          </cell>
          <cell r="C198" t="str">
            <v>Karthik Gr</v>
          </cell>
          <cell r="D198">
            <v>3</v>
          </cell>
          <cell r="E198">
            <v>3</v>
          </cell>
          <cell r="F198">
            <v>4</v>
          </cell>
          <cell r="G198">
            <v>5</v>
          </cell>
          <cell r="H198">
            <v>0</v>
          </cell>
          <cell r="I198">
            <v>3</v>
          </cell>
        </row>
        <row r="199">
          <cell r="B199" t="str">
            <v>2024JULB00078</v>
          </cell>
          <cell r="C199" t="str">
            <v>Keshav Dhoot</v>
          </cell>
          <cell r="D199">
            <v>3</v>
          </cell>
          <cell r="E199">
            <v>3</v>
          </cell>
          <cell r="F199">
            <v>4</v>
          </cell>
          <cell r="G199">
            <v>5</v>
          </cell>
          <cell r="H199">
            <v>0</v>
          </cell>
          <cell r="I199">
            <v>3</v>
          </cell>
        </row>
        <row r="200">
          <cell r="B200" t="str">
            <v>2024JULB00081</v>
          </cell>
          <cell r="C200" t="str">
            <v>Krish Chakraborty</v>
          </cell>
          <cell r="D200">
            <v>4</v>
          </cell>
          <cell r="E200">
            <v>3</v>
          </cell>
          <cell r="F200">
            <v>3</v>
          </cell>
          <cell r="G200">
            <v>5</v>
          </cell>
          <cell r="H200">
            <v>0</v>
          </cell>
          <cell r="I200">
            <v>3</v>
          </cell>
        </row>
        <row r="201">
          <cell r="B201" t="str">
            <v>2024JULB00086</v>
          </cell>
          <cell r="C201" t="str">
            <v>Lakshita Chandak</v>
          </cell>
          <cell r="D201">
            <v>2</v>
          </cell>
          <cell r="E201">
            <v>2</v>
          </cell>
          <cell r="F201">
            <v>1</v>
          </cell>
          <cell r="G201">
            <v>5</v>
          </cell>
          <cell r="H201">
            <v>0</v>
          </cell>
          <cell r="I201">
            <v>1</v>
          </cell>
        </row>
        <row r="202">
          <cell r="B202" t="str">
            <v>2024JULB00088</v>
          </cell>
          <cell r="C202" t="str">
            <v>Leena D</v>
          </cell>
          <cell r="D202">
            <v>3</v>
          </cell>
          <cell r="E202">
            <v>4</v>
          </cell>
          <cell r="F202">
            <v>2</v>
          </cell>
          <cell r="G202">
            <v>5</v>
          </cell>
          <cell r="H202">
            <v>0</v>
          </cell>
          <cell r="I202">
            <v>2</v>
          </cell>
        </row>
        <row r="203">
          <cell r="B203" t="str">
            <v>2024JULB00195</v>
          </cell>
          <cell r="C203" t="str">
            <v>Nikhitha SriyaPottangi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B204" t="str">
            <v>2024JULB00102</v>
          </cell>
          <cell r="C204" t="str">
            <v>Niranjana Hari</v>
          </cell>
          <cell r="D204">
            <v>3</v>
          </cell>
          <cell r="E204">
            <v>2</v>
          </cell>
          <cell r="F204">
            <v>3</v>
          </cell>
          <cell r="G204">
            <v>5</v>
          </cell>
          <cell r="H204">
            <v>0</v>
          </cell>
          <cell r="I204">
            <v>3</v>
          </cell>
        </row>
        <row r="205">
          <cell r="B205" t="str">
            <v>2024JULB00103</v>
          </cell>
          <cell r="C205" t="str">
            <v>Nishant Mishra</v>
          </cell>
          <cell r="D205">
            <v>2</v>
          </cell>
          <cell r="E205">
            <v>2</v>
          </cell>
          <cell r="F205">
            <v>2</v>
          </cell>
          <cell r="G205">
            <v>5</v>
          </cell>
          <cell r="H205">
            <v>0</v>
          </cell>
          <cell r="I205">
            <v>2</v>
          </cell>
        </row>
        <row r="206">
          <cell r="B206" t="str">
            <v>2024JULB00105</v>
          </cell>
          <cell r="C206" t="str">
            <v>Nithish Yuvaraj</v>
          </cell>
          <cell r="D206">
            <v>3</v>
          </cell>
          <cell r="E206">
            <v>3</v>
          </cell>
          <cell r="F206">
            <v>4</v>
          </cell>
          <cell r="G206">
            <v>4</v>
          </cell>
          <cell r="H206">
            <v>0</v>
          </cell>
          <cell r="I206">
            <v>4</v>
          </cell>
        </row>
        <row r="207">
          <cell r="B207" t="str">
            <v>2024JULB00108</v>
          </cell>
          <cell r="C207" t="str">
            <v>Pooja .S</v>
          </cell>
          <cell r="D207">
            <v>4</v>
          </cell>
          <cell r="E207">
            <v>4</v>
          </cell>
          <cell r="F207">
            <v>4</v>
          </cell>
          <cell r="G207">
            <v>5</v>
          </cell>
          <cell r="H207">
            <v>0</v>
          </cell>
          <cell r="I207">
            <v>4</v>
          </cell>
        </row>
        <row r="208">
          <cell r="B208" t="str">
            <v>2024JULB00109</v>
          </cell>
          <cell r="C208" t="str">
            <v>Poulami Sarkar</v>
          </cell>
          <cell r="D208">
            <v>3</v>
          </cell>
          <cell r="E208">
            <v>2</v>
          </cell>
          <cell r="F208">
            <v>2</v>
          </cell>
          <cell r="G208">
            <v>5</v>
          </cell>
          <cell r="H208">
            <v>0</v>
          </cell>
          <cell r="I208">
            <v>2</v>
          </cell>
        </row>
        <row r="209">
          <cell r="B209" t="str">
            <v>2024JULB00110</v>
          </cell>
          <cell r="C209" t="str">
            <v>Prachi Chauhan</v>
          </cell>
          <cell r="D209">
            <v>3</v>
          </cell>
          <cell r="E209">
            <v>3</v>
          </cell>
          <cell r="F209">
            <v>4</v>
          </cell>
          <cell r="G209">
            <v>5</v>
          </cell>
          <cell r="H209">
            <v>0</v>
          </cell>
          <cell r="I209">
            <v>4</v>
          </cell>
        </row>
        <row r="210">
          <cell r="B210" t="str">
            <v>2024JULB00113</v>
          </cell>
          <cell r="C210" t="str">
            <v>Prajwal PKulkarni</v>
          </cell>
          <cell r="D210">
            <v>3</v>
          </cell>
          <cell r="E210">
            <v>3</v>
          </cell>
          <cell r="F210">
            <v>2</v>
          </cell>
          <cell r="G210">
            <v>5</v>
          </cell>
          <cell r="H210">
            <v>0</v>
          </cell>
          <cell r="I210">
            <v>2</v>
          </cell>
        </row>
        <row r="211">
          <cell r="B211" t="str">
            <v>2024JULB00129</v>
          </cell>
          <cell r="C211" t="str">
            <v>Prithviraj Srinivasan</v>
          </cell>
          <cell r="D211">
            <v>4</v>
          </cell>
          <cell r="E211">
            <v>2</v>
          </cell>
          <cell r="F211">
            <v>3</v>
          </cell>
          <cell r="G211">
            <v>5</v>
          </cell>
          <cell r="H211">
            <v>0</v>
          </cell>
          <cell r="I211">
            <v>3</v>
          </cell>
        </row>
        <row r="212">
          <cell r="B212" t="str">
            <v>2024JULB00116</v>
          </cell>
          <cell r="C212" t="str">
            <v>Pushkar Dey</v>
          </cell>
          <cell r="D212">
            <v>4</v>
          </cell>
          <cell r="E212">
            <v>4</v>
          </cell>
          <cell r="F212">
            <v>4</v>
          </cell>
          <cell r="G212">
            <v>5</v>
          </cell>
          <cell r="H212">
            <v>0</v>
          </cell>
          <cell r="I212">
            <v>4</v>
          </cell>
        </row>
        <row r="213">
          <cell r="B213" t="str">
            <v>2024JULB00212</v>
          </cell>
          <cell r="C213" t="str">
            <v>Rajnish Kumar</v>
          </cell>
          <cell r="D213">
            <v>2</v>
          </cell>
          <cell r="E213">
            <v>2</v>
          </cell>
          <cell r="F213">
            <v>1</v>
          </cell>
          <cell r="G213">
            <v>5</v>
          </cell>
          <cell r="H213">
            <v>0</v>
          </cell>
          <cell r="I213">
            <v>1</v>
          </cell>
        </row>
        <row r="214">
          <cell r="B214" t="str">
            <v>2024JULB00251</v>
          </cell>
          <cell r="C214" t="str">
            <v>Rishi RajYadav</v>
          </cell>
          <cell r="D214">
            <v>3</v>
          </cell>
          <cell r="E214">
            <v>2</v>
          </cell>
          <cell r="F214">
            <v>3</v>
          </cell>
          <cell r="G214">
            <v>5</v>
          </cell>
          <cell r="H214">
            <v>0</v>
          </cell>
          <cell r="I214">
            <v>3</v>
          </cell>
        </row>
        <row r="215">
          <cell r="B215" t="str">
            <v>2024JULB00123</v>
          </cell>
          <cell r="C215" t="str">
            <v>Rishik ChandraPasupuleti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B216" t="str">
            <v>2024JULB00126</v>
          </cell>
          <cell r="C216" t="str">
            <v>Riya Rose</v>
          </cell>
          <cell r="D216">
            <v>3</v>
          </cell>
          <cell r="E216">
            <v>4</v>
          </cell>
          <cell r="F216">
            <v>3</v>
          </cell>
          <cell r="G216">
            <v>5</v>
          </cell>
          <cell r="H216">
            <v>0</v>
          </cell>
          <cell r="I216">
            <v>2</v>
          </cell>
        </row>
        <row r="217">
          <cell r="B217" t="str">
            <v>2024JULB00130</v>
          </cell>
          <cell r="C217" t="str">
            <v>Sadya Anwar</v>
          </cell>
          <cell r="D217">
            <v>3</v>
          </cell>
          <cell r="E217">
            <v>4</v>
          </cell>
          <cell r="F217">
            <v>4</v>
          </cell>
          <cell r="G217">
            <v>5</v>
          </cell>
          <cell r="H217">
            <v>0</v>
          </cell>
          <cell r="I217">
            <v>4</v>
          </cell>
        </row>
        <row r="218">
          <cell r="B218" t="str">
            <v>2024JULB00187</v>
          </cell>
          <cell r="C218" t="str">
            <v>Sejal Negi</v>
          </cell>
          <cell r="D218">
            <v>4</v>
          </cell>
          <cell r="E218">
            <v>4</v>
          </cell>
          <cell r="F218">
            <v>4</v>
          </cell>
          <cell r="G218">
            <v>5</v>
          </cell>
          <cell r="H218">
            <v>0</v>
          </cell>
          <cell r="I218">
            <v>4</v>
          </cell>
        </row>
        <row r="219">
          <cell r="B219" t="str">
            <v>2024JULB00138</v>
          </cell>
          <cell r="C219" t="str">
            <v>Shankar Vyas</v>
          </cell>
          <cell r="D219">
            <v>3</v>
          </cell>
          <cell r="E219">
            <v>4</v>
          </cell>
          <cell r="F219">
            <v>2</v>
          </cell>
          <cell r="G219">
            <v>5</v>
          </cell>
          <cell r="H219">
            <v>0</v>
          </cell>
          <cell r="I219">
            <v>2</v>
          </cell>
        </row>
        <row r="220">
          <cell r="B220" t="str">
            <v>2024JULB00148</v>
          </cell>
          <cell r="C220" t="str">
            <v>Shubham Goel</v>
          </cell>
          <cell r="D220">
            <v>3</v>
          </cell>
          <cell r="E220">
            <v>2</v>
          </cell>
          <cell r="F220">
            <v>3</v>
          </cell>
          <cell r="G220">
            <v>5</v>
          </cell>
          <cell r="H220">
            <v>0</v>
          </cell>
          <cell r="I220">
            <v>2</v>
          </cell>
        </row>
        <row r="221">
          <cell r="B221" t="str">
            <v>2024JULB00152</v>
          </cell>
          <cell r="C221" t="str">
            <v>Snehith Samala</v>
          </cell>
          <cell r="D221">
            <v>3</v>
          </cell>
          <cell r="E221">
            <v>3</v>
          </cell>
          <cell r="F221">
            <v>3</v>
          </cell>
          <cell r="G221">
            <v>5</v>
          </cell>
          <cell r="H221">
            <v>0</v>
          </cell>
          <cell r="I221">
            <v>2</v>
          </cell>
        </row>
        <row r="222">
          <cell r="B222" t="str">
            <v>2024JULB00185</v>
          </cell>
          <cell r="C222" t="str">
            <v>Souvik Biswas</v>
          </cell>
          <cell r="D222">
            <v>3</v>
          </cell>
          <cell r="E222">
            <v>3</v>
          </cell>
          <cell r="F222">
            <v>2</v>
          </cell>
          <cell r="G222">
            <v>5</v>
          </cell>
          <cell r="H222">
            <v>0</v>
          </cell>
          <cell r="I222">
            <v>2</v>
          </cell>
        </row>
        <row r="223">
          <cell r="B223" t="str">
            <v>2024JULB00158</v>
          </cell>
          <cell r="C223" t="str">
            <v>Sree Nithish</v>
          </cell>
          <cell r="D223">
            <v>2</v>
          </cell>
          <cell r="E223">
            <v>2</v>
          </cell>
          <cell r="F223">
            <v>2</v>
          </cell>
          <cell r="G223">
            <v>5</v>
          </cell>
          <cell r="H223">
            <v>0</v>
          </cell>
          <cell r="I223">
            <v>2</v>
          </cell>
        </row>
        <row r="224">
          <cell r="B224" t="str">
            <v>2024JULB00160</v>
          </cell>
          <cell r="C224" t="str">
            <v>Srishti</v>
          </cell>
          <cell r="D224">
            <v>3</v>
          </cell>
          <cell r="E224">
            <v>3</v>
          </cell>
          <cell r="F224">
            <v>3</v>
          </cell>
          <cell r="G224">
            <v>5</v>
          </cell>
          <cell r="H224">
            <v>0</v>
          </cell>
          <cell r="I224">
            <v>3</v>
          </cell>
        </row>
        <row r="225">
          <cell r="B225" t="str">
            <v>2024JULB00161</v>
          </cell>
          <cell r="C225" t="str">
            <v>Subham KumarSahana</v>
          </cell>
          <cell r="D225">
            <v>3</v>
          </cell>
          <cell r="E225">
            <v>3</v>
          </cell>
          <cell r="F225">
            <v>3</v>
          </cell>
          <cell r="G225">
            <v>5</v>
          </cell>
          <cell r="H225">
            <v>0</v>
          </cell>
          <cell r="I225">
            <v>3</v>
          </cell>
        </row>
        <row r="226">
          <cell r="B226" t="str">
            <v>2024JULB00171</v>
          </cell>
          <cell r="C226" t="str">
            <v>Thribhuvan Gowda</v>
          </cell>
          <cell r="D226">
            <v>3</v>
          </cell>
          <cell r="E226">
            <v>4</v>
          </cell>
          <cell r="F226">
            <v>3</v>
          </cell>
          <cell r="G226">
            <v>5</v>
          </cell>
          <cell r="H226">
            <v>0</v>
          </cell>
          <cell r="I226">
            <v>4</v>
          </cell>
        </row>
        <row r="227">
          <cell r="B227" t="str">
            <v>2024JULB00216</v>
          </cell>
          <cell r="C227" t="str">
            <v>Vanshita Bali</v>
          </cell>
          <cell r="D227">
            <v>1</v>
          </cell>
          <cell r="E227">
            <v>1</v>
          </cell>
          <cell r="F227">
            <v>1</v>
          </cell>
          <cell r="G227">
            <v>1</v>
          </cell>
          <cell r="H227">
            <v>0</v>
          </cell>
          <cell r="I227">
            <v>1</v>
          </cell>
        </row>
        <row r="228">
          <cell r="B228" t="str">
            <v>2024JULB00201</v>
          </cell>
          <cell r="C228" t="str">
            <v>Varun Thampi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B229" t="str">
            <v>2024JULB00179</v>
          </cell>
          <cell r="C229" t="str">
            <v>Veeraj VasuPoojari</v>
          </cell>
          <cell r="D229">
            <v>5</v>
          </cell>
          <cell r="E229">
            <v>4</v>
          </cell>
          <cell r="F229">
            <v>5</v>
          </cell>
          <cell r="G229">
            <v>5</v>
          </cell>
          <cell r="H229">
            <v>0</v>
          </cell>
          <cell r="I229">
            <v>5</v>
          </cell>
        </row>
        <row r="230">
          <cell r="B230" t="str">
            <v>2024JULB00182</v>
          </cell>
          <cell r="C230" t="str">
            <v>Weslinraj WeslinRaj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B231" t="str">
            <v>2024JULB00184</v>
          </cell>
          <cell r="C231" t="str">
            <v>Yash Sen</v>
          </cell>
          <cell r="D231">
            <v>3</v>
          </cell>
          <cell r="E231">
            <v>3</v>
          </cell>
          <cell r="F231">
            <v>2</v>
          </cell>
          <cell r="G231">
            <v>5</v>
          </cell>
          <cell r="H231">
            <v>0</v>
          </cell>
          <cell r="I231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F81F3B-C07B-4562-A149-10E0DE417EE5}" name="Table12" displayName="Table12" ref="A4:BB232" totalsRowShown="0" tableBorderDxfId="442">
  <autoFilter ref="A4:BB232" xr:uid="{60F81F3B-C07B-4562-A149-10E0DE417EE5}"/>
  <tableColumns count="54">
    <tableColumn id="1" xr3:uid="{B54EBAF0-009D-4232-A154-4FB7199A6998}" name="Column1" dataDxfId="441"/>
    <tableColumn id="2" xr3:uid="{8556817A-C7F9-4CA0-8645-99E3FD9C1A71}" name="Column2" dataDxfId="440"/>
    <tableColumn id="3" xr3:uid="{784CBA96-7C37-4866-A223-C18F1F02DF3B}" name="Column3" dataDxfId="439"/>
    <tableColumn id="4" xr3:uid="{B0F4F612-7D13-489F-854B-6A701CC2827F}" name="Column4" dataDxfId="438"/>
    <tableColumn id="5" xr3:uid="{C84D0906-B332-4783-B764-F094F47D72EB}" name="Column5" dataDxfId="437"/>
    <tableColumn id="6" xr3:uid="{5E092FC5-E363-4DC0-8A7C-D722326F68FA}" name="Column6" dataDxfId="436">
      <calculatedColumnFormula>REPT(CHAR(160),10)&amp;Working!$E5</calculatedColumnFormula>
    </tableColumn>
    <tableColumn id="7" xr3:uid="{03C7900B-8AFB-4E9C-BC18-711A1A6E4DA6}" name="Column7" dataDxfId="435"/>
    <tableColumn id="8" xr3:uid="{2AF304D9-D628-446E-AC72-E4239AA0A268}" name="Column8" dataDxfId="434"/>
    <tableColumn id="9" xr3:uid="{8243B10B-7844-4A3D-AFE7-330B446B89E3}" name="Column9" dataDxfId="433"/>
    <tableColumn id="10" xr3:uid="{EEA502D9-6051-4CEC-BEF2-68792677EB34}" name="Column10" dataDxfId="432"/>
    <tableColumn id="11" xr3:uid="{E3BD5360-A409-4CC8-9F15-D924505DD359}" name="Column11" dataDxfId="431"/>
    <tableColumn id="12" xr3:uid="{69BB0B50-28D6-4E4B-9A96-DCB6DD09B55C}" name="Column12" dataDxfId="430"/>
    <tableColumn id="13" xr3:uid="{27AB8E2F-38C2-411C-BBFE-69E58A4CAFC3}" name="Column13" dataDxfId="429"/>
    <tableColumn id="14" xr3:uid="{A1B655D3-2810-47F2-BBCC-93384BE11F31}" name="Column14" dataDxfId="428"/>
    <tableColumn id="15" xr3:uid="{963E3A0C-AA6B-459B-AC0B-4F057CB62D1F}" name="Column15" dataDxfId="427"/>
    <tableColumn id="16" xr3:uid="{03480696-0039-422A-9208-E2E2E947CBFD}" name="Column16"/>
    <tableColumn id="17" xr3:uid="{AEB814D7-BAC9-4809-BBCB-C57E51D4FE0B}" name="Column17"/>
    <tableColumn id="18" xr3:uid="{E93D94EF-6666-4E23-92D7-2F5CF9D4AAF7}" name="Column18" dataDxfId="426"/>
    <tableColumn id="19" xr3:uid="{8E2A2719-8DE0-4A6F-887F-27CC4C7AF1A3}" name="Column19" dataDxfId="425"/>
    <tableColumn id="20" xr3:uid="{37A4DDE5-56CD-4984-A64E-C59A3AA2752A}" name="Column20" dataDxfId="424"/>
    <tableColumn id="21" xr3:uid="{37E1028B-FA34-4447-8EDF-B03047DF49CF}" name="Column21"/>
    <tableColumn id="22" xr3:uid="{DDA4D9F0-5FCC-48DE-A187-08E25C92AE8F}" name="Column22" dataDxfId="423"/>
    <tableColumn id="23" xr3:uid="{ADC0798E-634C-47ED-B39B-52CD0DDC74F9}" name="Column23" dataDxfId="422"/>
    <tableColumn id="24" xr3:uid="{8ECCBCA2-464F-4221-B8A2-EE2BA5469BA0}" name="Column24" dataDxfId="421"/>
    <tableColumn id="25" xr3:uid="{7A1B94E5-0327-4073-9480-1FA172B082F1}" name="Column25" dataDxfId="420"/>
    <tableColumn id="26" xr3:uid="{EC622CC3-F52E-4638-829A-5057D2DF7060}" name="Column26" dataDxfId="419"/>
    <tableColumn id="27" xr3:uid="{D0D8F2DC-54A4-42A5-B2E0-DD76423D61EC}" name="Column27" dataDxfId="418"/>
    <tableColumn id="28" xr3:uid="{1260B3C0-7F88-445A-BF6F-C08424A926F8}" name="Column28" dataDxfId="417"/>
    <tableColumn id="29" xr3:uid="{24E2FCD1-0A87-4035-B276-11E6ABBBD089}" name="Column29" dataDxfId="416"/>
    <tableColumn id="30" xr3:uid="{B7D26A37-4303-4B7E-9D17-7D90DC9038B4}" name="Column30" dataDxfId="415"/>
    <tableColumn id="31" xr3:uid="{E0AFD206-A035-4FA3-B73B-ACCEE2ABA35F}" name="Column31" dataDxfId="414"/>
    <tableColumn id="32" xr3:uid="{CB40B812-4C4D-403B-83FC-31A99D578A2D}" name="Column32" dataDxfId="413"/>
    <tableColumn id="33" xr3:uid="{0AE76675-7804-4248-A1B8-35CC685EAD97}" name="Column33" dataDxfId="412"/>
    <tableColumn id="34" xr3:uid="{297806DC-7199-4172-97FA-06EA9FDCA712}" name="Column34" dataDxfId="411"/>
    <tableColumn id="35" xr3:uid="{6B9541B5-CF52-4700-A3FE-DB3D85F9F834}" name="Column35" dataDxfId="410"/>
    <tableColumn id="36" xr3:uid="{2A073D3E-B0FD-4576-9A98-6AE17E35841B}" name="Column36" dataDxfId="409"/>
    <tableColumn id="37" xr3:uid="{829D8C0F-15AE-4D5F-A9CA-1BAD929A18F1}" name="Column37"/>
    <tableColumn id="38" xr3:uid="{FDEDA4D3-FF7F-46AE-B05F-8FDFC11609B9}" name="Column38"/>
    <tableColumn id="39" xr3:uid="{5EA96100-D20A-47BD-B275-B5680D599563}" name="Column39"/>
    <tableColumn id="40" xr3:uid="{654C9A4A-0A8A-4049-9917-06B16341D17D}" name="Column40"/>
    <tableColumn id="41" xr3:uid="{720170FA-5F3E-4E88-9C99-727205073356}" name="Column41" dataDxfId="408"/>
    <tableColumn id="42" xr3:uid="{2DB44771-CCF0-4396-8D2A-340ADB7E4711}" name="Column42" dataDxfId="407"/>
    <tableColumn id="43" xr3:uid="{64A83597-4AE8-40A2-A6A0-E16334913679}" name="Column43" dataDxfId="406"/>
    <tableColumn id="44" xr3:uid="{C790E9A7-4F7F-49BA-B380-5C928A6A3423}" name="Column44" dataDxfId="405"/>
    <tableColumn id="45" xr3:uid="{FEC02759-39FB-4CD9-B271-71CBF1D1E1BE}" name="Column45"/>
    <tableColumn id="46" xr3:uid="{278BDB8E-CF26-4A40-B2A7-6EF2B616ABAE}" name="Column46" dataDxfId="404"/>
    <tableColumn id="47" xr3:uid="{CCDED007-F67B-484A-A056-E08869FEA0C8}" name="Column47" dataDxfId="403"/>
    <tableColumn id="48" xr3:uid="{F1DB528B-E697-4BD1-883B-6899DCFA9ACC}" name="Column48" dataDxfId="402"/>
    <tableColumn id="49" xr3:uid="{6C44CA68-4E5F-4F2C-AF3F-33F7A4AA7A7A}" name="Column49" dataDxfId="401"/>
    <tableColumn id="50" xr3:uid="{B05CDF65-1F58-4341-A4D2-EEB13984D7AA}" name="Column50" dataDxfId="400"/>
    <tableColumn id="51" xr3:uid="{AAD3BEAF-2DF8-4BD9-965A-C554EC4E0421}" name="Column51" dataDxfId="399"/>
    <tableColumn id="52" xr3:uid="{6EB20A7D-A0EC-4881-BB40-204D32B4838A}" name="Column52" dataDxfId="398"/>
    <tableColumn id="53" xr3:uid="{2B31051D-1F91-4CF5-BAA2-633C92E4AB27}" name="Column53" dataDxfId="397"/>
    <tableColumn id="54" xr3:uid="{58637CC3-A797-45AF-B113-77419BAEAD13}" name="Column54" dataDxfId="3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9168F7-171D-4B06-B38E-8AF610AAB9D7}" name="Table1215" displayName="Table1215" ref="A4:BB231" headerRowCount="0" totalsRowShown="0" tableBorderDxfId="395">
  <tableColumns count="54">
    <tableColumn id="1" xr3:uid="{E9EA9B0D-25FE-4E79-8240-06349C8E6B14}" name="Column1" headerRowDxfId="394" dataDxfId="393"/>
    <tableColumn id="2" xr3:uid="{72992594-651A-43DD-A464-837CD3EE4BC8}" name="Column2" headerRowDxfId="392" dataDxfId="391"/>
    <tableColumn id="3" xr3:uid="{C711EE01-77D8-4F18-9016-E78B26EF6F9D}" name="Column3" headerRowDxfId="390" dataDxfId="389"/>
    <tableColumn id="4" xr3:uid="{AE96C249-F62C-4F16-BE04-A10105770642}" name="Column4" headerRowDxfId="388" dataDxfId="387"/>
    <tableColumn id="5" xr3:uid="{2E4CF2EF-9062-4B35-9F32-35EF3699686D}" name="Column5" headerRowDxfId="386" dataDxfId="385"/>
    <tableColumn id="6" xr3:uid="{6934C686-FE13-4FDF-AE88-AC70140E47FF}" name="Column6" headerRowDxfId="384" dataDxfId="383">
      <calculatedColumnFormula>REPT(CHAR(160),10)&amp;Working!$E5</calculatedColumnFormula>
    </tableColumn>
    <tableColumn id="7" xr3:uid="{23793982-4C0D-4D69-9C77-CD5C51E55E0C}" name="Column7" headerRowDxfId="382" dataDxfId="381">
      <calculatedColumnFormula>IFERROR(VLOOKUP(Table1215[[#This Row],[Column2]],Table12[[Column2]:[Column54]],6,FALSE),"0")</calculatedColumnFormula>
    </tableColumn>
    <tableColumn id="8" xr3:uid="{C0701E64-F561-4EDF-8BE1-FEAE87912112}" name="Column8" headerRowDxfId="380" dataDxfId="379">
      <calculatedColumnFormula>IFERROR(VLOOKUP(Table1215[[#This Row],[Column2]],Table12[[Column2]:[Column54]],7,FALSE),"0")</calculatedColumnFormula>
    </tableColumn>
    <tableColumn id="9" xr3:uid="{4A3DFEEE-E042-4181-9DCC-3AD0545AB118}" name="Column9" headerRowDxfId="378" dataDxfId="377">
      <calculatedColumnFormula>IFERROR(VLOOKUP(Table1215[[#This Row],[Column2]],Table12[[Column2]:[Column54]],8,FALSE),"0")</calculatedColumnFormula>
    </tableColumn>
    <tableColumn id="10" xr3:uid="{A9EAACCF-E087-46E7-92EE-858F626EE22A}" name="Column10" headerRowDxfId="376" dataDxfId="375">
      <calculatedColumnFormula>IFERROR(VLOOKUP(Table1215[[#This Row],[Column2]],Table12[[Column2]:[Column54]],9,FALSE),"0")</calculatedColumnFormula>
    </tableColumn>
    <tableColumn id="11" xr3:uid="{47A9B7B9-1491-4498-A7A3-1599E7137033}" name="Column11" headerRowDxfId="374" dataDxfId="373">
      <calculatedColumnFormula>IFERROR(VLOOKUP(Table1215[[#This Row],[Column2]],Table12[[Column2]:[Column54]],10,FALSE),"0")</calculatedColumnFormula>
    </tableColumn>
    <tableColumn id="12" xr3:uid="{0855C7EC-C136-470F-9808-7221B4B79D2B}" name="Column12" headerRowDxfId="372" dataDxfId="371">
      <calculatedColumnFormula>Table1215[[#This Row],[Column9]]</calculatedColumnFormula>
    </tableColumn>
    <tableColumn id="13" xr3:uid="{A8B472AC-F015-41C8-959C-783BA48A8290}" name="Column13" headerRowDxfId="370" dataDxfId="369">
      <calculatedColumnFormula>IFERROR(VLOOKUP(Table1215[[#This Row],[Column2]],Table12[[Column2]:[Column54]],12,FALSE),"0")</calculatedColumnFormula>
    </tableColumn>
    <tableColumn id="14" xr3:uid="{1C5F3A9E-7067-4302-8C70-F992C719D755}" name="Column14" headerRowDxfId="368" dataDxfId="367">
      <calculatedColumnFormula>IFERROR(VLOOKUP(Table1215[[#This Row],[Column2]],Table12[[Column2]:[Column54]],13,FALSE),"0")</calculatedColumnFormula>
    </tableColumn>
    <tableColumn id="15" xr3:uid="{6954F36A-5549-4262-94D4-4B3600DFDAC5}" name="Column15" headerRowDxfId="366" dataDxfId="365">
      <calculatedColumnFormula>IFERROR(VLOOKUP(Table1215[[#This Row],[Column2]],Table12[[Column2]:[Column54]],14,FALSE),"0")</calculatedColumnFormula>
    </tableColumn>
    <tableColumn id="16" xr3:uid="{10B3FBDA-FDFB-4D03-853D-3A4559B72139}" name="Column16" headerRowDxfId="364" dataDxfId="363">
      <calculatedColumnFormula>IFERROR(VLOOKUP(Table1215[[#This Row],[Column2]],Table12[[Column2]:[Column54]],10,FALSE),"0")</calculatedColumnFormula>
    </tableColumn>
    <tableColumn id="17" xr3:uid="{902EEEBE-AEDD-46CF-820A-1B913FC396E1}" name="Column17" headerRowDxfId="362" dataDxfId="361">
      <calculatedColumnFormula>IFERROR(VLOOKUP(Table1215[[#This Row],[Column2]],Table12[[Column2]:[Column54]],16,FALSE),"0")</calculatedColumnFormula>
    </tableColumn>
    <tableColumn id="18" xr3:uid="{7473679F-ECC1-4171-B87B-7FA3D9A9041A}" name="Column18" headerRowDxfId="360" dataDxfId="359">
      <calculatedColumnFormula>AVERAGE(Table1215[[#This Row],[Column14]],Table1215[[#This Row],[Column15]],Table1215[[#This Row],[Column17]])</calculatedColumnFormula>
    </tableColumn>
    <tableColumn id="19" xr3:uid="{8E22DDC5-D11B-4CA3-812C-DC1F77FA3976}" name="Column19" headerRowDxfId="358" dataDxfId="357">
      <calculatedColumnFormula>IFERROR(VLOOKUP(Table1215[[#This Row],[Column2]],Table12[[Column2]:[Column54]],18,FALSE),"0")</calculatedColumnFormula>
    </tableColumn>
    <tableColumn id="20" xr3:uid="{2AA62DE0-65BB-4065-BCD8-625A01EB8ED6}" name="Column20" headerRowDxfId="356" dataDxfId="355">
      <calculatedColumnFormula>IFERROR(VLOOKUP(Table1215[[#This Row],[Column2]],Table12[[Column2]:[Column54]],19,FALSE),"0")</calculatedColumnFormula>
    </tableColumn>
    <tableColumn id="21" xr3:uid="{268F52E9-AA81-4191-A96B-D8902EBB2F14}" name="Column21" headerRowDxfId="354" dataDxfId="353">
      <calculatedColumnFormula>IFERROR(VLOOKUP(Table1215[[#This Row],[Column2]],Table12[[Column2]:[Column54]],20,FALSE),"0")</calculatedColumnFormula>
    </tableColumn>
    <tableColumn id="22" xr3:uid="{5CDE5926-150C-4930-AC97-AEB569D84C0A}" name="Column22" headerRowDxfId="352" dataDxfId="351">
      <calculatedColumnFormula>IFERROR(VLOOKUP(Table1215[[#This Row],[Column2]],Table12[[Column2]:[Column54]],21,FALSE),"0")</calculatedColumnFormula>
    </tableColumn>
    <tableColumn id="23" xr3:uid="{1A4FF297-1D18-4FC9-BB2B-758907F959E2}" name="Column23" headerRowDxfId="350" dataDxfId="349">
      <calculatedColumnFormula>IFERROR(VLOOKUP(Table1215[[#This Row],[Column2]],Table12[[Column2]:[Column54]],22,FALSE),"0")</calculatedColumnFormula>
    </tableColumn>
    <tableColumn id="24" xr3:uid="{DC67741E-E3B9-4938-BD00-2C276B7DBC49}" name="Column24" headerRowDxfId="348" dataDxfId="347">
      <calculatedColumnFormula>Table1215[[#This Row],[Column19]]</calculatedColumnFormula>
    </tableColumn>
    <tableColumn id="25" xr3:uid="{E60BF953-CDBB-461E-9F89-5DE503626954}" name="Column25" headerRowDxfId="346" dataDxfId="345">
      <calculatedColumnFormula>IFERROR(VLOOKUP(Table1215[[#This Row],[Column2]],Table12[[Column2]:[Column54]],24,FALSE),"0")</calculatedColumnFormula>
    </tableColumn>
    <tableColumn id="26" xr3:uid="{C1D80860-34AB-4256-8BB7-4D015E147749}" name="Column26" headerRowDxfId="344" dataDxfId="343">
      <calculatedColumnFormula>IFERROR(VLOOKUP(Table1215[[#This Row],[Column2]],Table12[[Column2]:[Column54]],25,FALSE),"0")</calculatedColumnFormula>
    </tableColumn>
    <tableColumn id="27" xr3:uid="{0FEF6F58-4417-4B8F-8E36-1AF727CF08D0}" name="Column27" headerRowDxfId="342" dataDxfId="341">
      <calculatedColumnFormula>IFERROR(VLOOKUP(Table1215[[#This Row],[Column2]],Table12[[Column2]:[Column54]],26,FALSE),"0")</calculatedColumnFormula>
    </tableColumn>
    <tableColumn id="28" xr3:uid="{A617DEE8-B0BE-49F5-A2AC-1165AB5A606B}" name="Column28" headerRowDxfId="340" dataDxfId="339">
      <calculatedColumnFormula>IFERROR(VLOOKUP(Table1215[[#This Row],[Column2]],Table12[[Column2]:[Column54]],27,FALSE),"0")</calculatedColumnFormula>
    </tableColumn>
    <tableColumn id="29" xr3:uid="{5B4C8C5B-4431-4EF6-A67F-CCF4CFFC4738}" name="Column29" headerRowDxfId="338" dataDxfId="337">
      <calculatedColumnFormula>IFERROR(VLOOKUP(Table1215[[#This Row],[Column2]],Table12[[Column2]:[Column54]],28,FALSE),"0")</calculatedColumnFormula>
    </tableColumn>
    <tableColumn id="30" xr3:uid="{F9778F56-8DDD-4C85-A1A9-1B076088726D}" name="Column30" headerRowDxfId="336" dataDxfId="335">
      <calculatedColumnFormula>Table1215[[#This Row],[Column25]]</calculatedColumnFormula>
    </tableColumn>
    <tableColumn id="31" xr3:uid="{889F2D47-04F3-40C9-AFA9-3BF2F55111A8}" name="Column31" headerRowDxfId="334" dataDxfId="333">
      <calculatedColumnFormula>IFERROR(VLOOKUP(Table1215[[#This Row],[Column2]],Table12[[Column2]:[Column54]],30,FALSE),"0")</calculatedColumnFormula>
    </tableColumn>
    <tableColumn id="32" xr3:uid="{4B8A9C0A-9634-403B-897E-4C7F645C7042}" name="Column32" headerRowDxfId="332" dataDxfId="331">
      <calculatedColumnFormula>IFERROR(VLOOKUP(Table1215[[#This Row],[Column2]],Table12[[Column2]:[Column54]],31,FALSE),"0")</calculatedColumnFormula>
    </tableColumn>
    <tableColumn id="33" xr3:uid="{BD1B6C09-5006-436D-A086-53C453A1A36A}" name="Column33" headerRowDxfId="330" dataDxfId="329">
      <calculatedColumnFormula>IFERROR(VLOOKUP(Table1215[[#This Row],[Column2]],Table12[[Column2]:[Column54]],32,FALSE),"0")</calculatedColumnFormula>
    </tableColumn>
    <tableColumn id="34" xr3:uid="{E31823FD-6A99-440B-B5A0-ABC28A95D7FE}" name="Column34" headerRowDxfId="328" dataDxfId="327">
      <calculatedColumnFormula>IFERROR(VLOOKUP(Table1215[[#This Row],[Column2]],Table12[[Column2]:[Column54]],33,FALSE),"0")</calculatedColumnFormula>
    </tableColumn>
    <tableColumn id="35" xr3:uid="{D5488D73-6AA0-4DC9-AE6B-2B8E3ADF6A43}" name="Column35" headerRowDxfId="326" dataDxfId="325">
      <calculatedColumnFormula>IFERROR(VLOOKUP(Table1215[[#This Row],[Column2]],Table12[[Column2]:[Column54]],34,FALSE),"0")</calculatedColumnFormula>
    </tableColumn>
    <tableColumn id="36" xr3:uid="{9D8E6948-02BF-42C4-A8FD-80A14E77E02A}" name="Column36" headerRowDxfId="324" dataDxfId="323">
      <calculatedColumnFormula>AVERAGE(Table1215[[#This Row],[Column31]],Table1215[[#This Row],[Column32]],Table1215[[#This Row],[Column33]])</calculatedColumnFormula>
    </tableColumn>
    <tableColumn id="37" xr3:uid="{E908292B-B3EA-45D0-B82D-40F268D996F3}" name="Column37" headerRowDxfId="322" dataDxfId="321">
      <calculatedColumnFormula>IFERROR(VLOOKUP(Table1215[[#This Row],[Column2]],Table12[[Column2]:[Column54]],36,FALSE),"0")</calculatedColumnFormula>
    </tableColumn>
    <tableColumn id="38" xr3:uid="{EC4B4777-ED1A-40A4-9349-667D29231315}" name="Column38" headerRowDxfId="320" dataDxfId="319">
      <calculatedColumnFormula>IFERROR(VLOOKUP(Table1215[[#This Row],[Column2]],Table12[[Column2]:[Column54]],37,FALSE),"0")</calculatedColumnFormula>
    </tableColumn>
    <tableColumn id="39" xr3:uid="{CD322653-479C-4605-A92E-26642A403331}" name="Column39" headerRowDxfId="318" dataDxfId="317">
      <calculatedColumnFormula>IFERROR(VLOOKUP(Table1215[[#This Row],[Column2]],Table12[[Column2]:[Column54]],38,FALSE),"0")</calculatedColumnFormula>
    </tableColumn>
    <tableColumn id="40" xr3:uid="{C44C475C-97C0-4EAC-A24D-B87F65DF6294}" name="Column40" headerRowDxfId="316" dataDxfId="315">
      <calculatedColumnFormula>IFERROR(VLOOKUP(Table1215[[#This Row],[Column2]],Table12[[Column2]:[Column54]],39,FALSE),"0")</calculatedColumnFormula>
    </tableColumn>
    <tableColumn id="41" xr3:uid="{CC8F8642-F48D-4F09-8256-5ECFC255733B}" name="Column41" headerRowDxfId="314" dataDxfId="313">
      <calculatedColumnFormula>IFERROR(VLOOKUP(Table1215[[#This Row],[Column2]],Table12[[Column2]:[Column54]],40,FALSE),"0")</calculatedColumnFormula>
    </tableColumn>
    <tableColumn id="42" xr3:uid="{885CEC16-20F3-40FD-8896-2800D1959493}" name="Column42" headerRowDxfId="312" dataDxfId="311">
      <calculatedColumnFormula>AVERAGE(Table1215[[#This Row],[Column37]],Table1215[[#This Row],[Column38]],Table1215[[#This Row],[Column40]])</calculatedColumnFormula>
    </tableColumn>
    <tableColumn id="43" xr3:uid="{B0808D6C-312F-4692-9976-03BA9545E43A}" name="Column43" headerRowDxfId="310" dataDxfId="309">
      <calculatedColumnFormula>IFERROR(VLOOKUP(Table1215[[#This Row],[Column2]],Table12[[Column2]:[Column54]],42,FALSE),"0")</calculatedColumnFormula>
    </tableColumn>
    <tableColumn id="44" xr3:uid="{E9BB857A-6BF2-4FA9-ADD5-AE99AABEA748}" name="Column44" headerRowDxfId="308" dataDxfId="307">
      <calculatedColumnFormula>IFERROR(VLOOKUP(Table1215[[#This Row],[Column2]],Table12[[Column2]:[Column54]],43,FALSE),"0")</calculatedColumnFormula>
    </tableColumn>
    <tableColumn id="45" xr3:uid="{0A1833B8-BD52-447F-B11F-40A7E9108A57}" name="Column45" headerRowDxfId="306" dataDxfId="305">
      <calculatedColumnFormula>IFERROR(VLOOKUP(Table1215[[#This Row],[Column2]],Table12[[Column2]:[Column54]],44,FALSE),"0")</calculatedColumnFormula>
    </tableColumn>
    <tableColumn id="46" xr3:uid="{8B387C50-C1F4-462D-B758-9D96C9A9DB32}" name="Column46" headerRowDxfId="304" dataDxfId="303">
      <calculatedColumnFormula>IFERROR(VLOOKUP(Table1215[[#This Row],[Column2]],Table12[[Column2]:[Column54]],45,FALSE),"0")</calculatedColumnFormula>
    </tableColumn>
    <tableColumn id="47" xr3:uid="{EE3BD0C0-545D-4039-B61F-191490D8E156}" name="Column47" headerRowDxfId="302" dataDxfId="301">
      <calculatedColumnFormula>IFERROR(VLOOKUP(Table1215[[#This Row],[Column2]],Table12[[Column2]:[Column54]],46,FALSE),"0")</calculatedColumnFormula>
    </tableColumn>
    <tableColumn id="48" xr3:uid="{42C0EE9F-1AFA-4BAF-A822-414D74DF42E7}" name="Column48" headerRowDxfId="300" dataDxfId="299">
      <calculatedColumnFormula>Table1215[[#This Row],[Column43]]</calculatedColumnFormula>
    </tableColumn>
    <tableColumn id="49" xr3:uid="{A08A8B1E-82D6-4129-B9E0-EE1D6454C743}" name="Column49" headerRowDxfId="298" dataDxfId="297">
      <calculatedColumnFormula>IFERROR(VLOOKUP(Table1215[[#This Row],[Column2]],Table12[[Column2]:[Column54]],48,FALSE),"0")</calculatedColumnFormula>
    </tableColumn>
    <tableColumn id="50" xr3:uid="{9CC67929-3C55-4348-B412-2434D62694C5}" name="Column50" headerRowDxfId="296" dataDxfId="295">
      <calculatedColumnFormula>IFERROR(VLOOKUP(Table1215[[#This Row],[Column2]],Table12[[Column2]:[Column54]],49,FALSE),"0")</calculatedColumnFormula>
    </tableColumn>
    <tableColumn id="51" xr3:uid="{5EE7C8EE-BE66-4376-BAC5-71D9BD066BA8}" name="Column51" headerRowDxfId="294" dataDxfId="293">
      <calculatedColumnFormula>IFERROR(VLOOKUP(Table1215[[#This Row],[Column2]],Table12[[Column2]:[Column54]],50,FALSE),"0")</calculatedColumnFormula>
    </tableColumn>
    <tableColumn id="52" xr3:uid="{F073918C-1E8D-4893-A717-7206958549A7}" name="Column52" headerRowDxfId="292" dataDxfId="291">
      <calculatedColumnFormula>IFERROR(VLOOKUP(Table1215[[#This Row],[Column2]],Table12[[Column2]:[Column54]],51,FALSE),"0")</calculatedColumnFormula>
    </tableColumn>
    <tableColumn id="53" xr3:uid="{74D2C1C9-6CDC-4B81-A107-C7FD373B7F5C}" name="Column53" headerRowDxfId="290" dataDxfId="289">
      <calculatedColumnFormula>IFERROR(VLOOKUP(Table1215[[#This Row],[Column2]],Table12[[Column2]:[Column54]],52,FALSE),"0")</calculatedColumnFormula>
    </tableColumn>
    <tableColumn id="54" xr3:uid="{7CC68837-AAC4-4259-88A1-680FD2D216E6}" name="Column54" headerRowDxfId="288" dataDxfId="287">
      <calculatedColumnFormula>AVERAGE(Table1215[[#This Row],[Column52]],Table1215[[#This Row],[Column53]])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A36B12-95F4-41EF-8222-0B9E39FBF75A}" name="Table110461117" displayName="Table110461117" ref="A3:CJ230" headerRowCount="0" headerRowDxfId="286" dataDxfId="284" headerRowBorderDxfId="285" tableBorderDxfId="283">
  <tableColumns count="88">
    <tableColumn id="1" xr3:uid="{A63090A2-9220-409A-9F3F-297BC12B97C2}" name="Sr#" totalsRowLabel="Total" headerRowDxfId="282" dataDxfId="281"/>
    <tableColumn id="2" xr3:uid="{BC840D94-13CB-40CE-9D35-B963E0A145F5}" name="Roll Number" headerRowDxfId="280" dataDxfId="279"/>
    <tableColumn id="3" xr3:uid="{DFBEBFCB-2DE0-473E-99DC-D452FF1D2A83}" name="Name" headerRowDxfId="278" dataDxfId="277"/>
    <tableColumn id="4" xr3:uid="{78FA2D9D-3809-4663-AF15-BDEE94E01C0C}" name="Gender" headerRowDxfId="276" dataDxfId="275"/>
    <tableColumn id="12" xr3:uid="{3A70F502-29E4-45C2-8A3D-254F7854897D}" name="Column1" headerRowDxfId="274" dataDxfId="273"/>
    <tableColumn id="6" xr3:uid="{C6361F18-8187-4587-A3CA-1A292BFC8B6E}" name="Column2" headerRowDxfId="272" dataDxfId="271"/>
    <tableColumn id="7" xr3:uid="{9F4D31A5-DD8A-4235-A4A0-3DC900A6FC84}" name="Column3" headerRowDxfId="270" dataDxfId="269">
      <calculatedColumnFormula>'Review 1'!Q3</calculatedColumnFormula>
    </tableColumn>
    <tableColumn id="8" xr3:uid="{6EF77134-C352-47F4-8B08-FCBC1B0B377D}" name="Column4" headerRowDxfId="268" dataDxfId="267">
      <calculatedColumnFormula>'Review 1'!W3</calculatedColumnFormula>
    </tableColumn>
    <tableColumn id="9" xr3:uid="{5070EC3A-133B-40E4-BD06-D743286DCA0F}" name="Column5" headerRowDxfId="266" dataDxfId="265">
      <calculatedColumnFormula>'Review 1'!AC3</calculatedColumnFormula>
    </tableColumn>
    <tableColumn id="10" xr3:uid="{CD3722C1-0953-46B3-A61D-0A9A0B12F406}" name="Column6" headerRowDxfId="264" dataDxfId="263">
      <calculatedColumnFormula>'Review 1'!AI3</calculatedColumnFormula>
    </tableColumn>
    <tableColumn id="11" xr3:uid="{D140AB9F-4B44-440F-B359-04C25ABAE7E2}" name="Column7" headerRowDxfId="262" dataDxfId="261"/>
    <tableColumn id="13" xr3:uid="{0BB68C32-8841-474D-8785-686B727D860C}" name="Column8" headerRowDxfId="260" dataDxfId="259">
      <calculatedColumnFormula>'Review 1'!AU3</calculatedColumnFormula>
    </tableColumn>
    <tableColumn id="15" xr3:uid="{E35DB3F0-7B5F-4AF6-B36E-5DA186D9ED9F}" name="Column10" headerRowDxfId="258" dataDxfId="257"/>
    <tableColumn id="16" xr3:uid="{0F8A221A-279B-46DD-87DB-F21445481809}" name="Column11" headerRowDxfId="256" dataDxfId="255"/>
    <tableColumn id="17" xr3:uid="{0CFDB70A-AC00-464D-8705-85721F819753}" name="Column12" headerRowDxfId="254" dataDxfId="253">
      <calculatedColumnFormula>'Review 2'!Q3</calculatedColumnFormula>
    </tableColumn>
    <tableColumn id="18" xr3:uid="{230A3DCA-56D7-422D-BA3F-81920CCCB868}" name="Column13" headerRowDxfId="252" dataDxfId="251">
      <calculatedColumnFormula>'Review 2'!W3</calculatedColumnFormula>
    </tableColumn>
    <tableColumn id="19" xr3:uid="{CB422E39-8010-4BC8-9C0D-5845C7C40F83}" name="Column14" headerRowDxfId="250" dataDxfId="249">
      <calculatedColumnFormula>'Review 2'!AC3</calculatedColumnFormula>
    </tableColumn>
    <tableColumn id="20" xr3:uid="{33A8E727-141F-45BF-A330-D9A395B0095A}" name="Column15" headerRowDxfId="248" dataDxfId="247">
      <calculatedColumnFormula>'Review 2'!AI3</calculatedColumnFormula>
    </tableColumn>
    <tableColumn id="21" xr3:uid="{C0267558-7A6F-4FB4-8B20-D0AA6C3316C8}" name="Column16" headerRowDxfId="246" dataDxfId="245"/>
    <tableColumn id="22" xr3:uid="{05CC1F8D-2EE4-41DC-BC9F-2202E9310F4C}" name="Column17" headerRowDxfId="244" dataDxfId="243">
      <calculatedColumnFormula>'Review 2'!AU3</calculatedColumnFormula>
    </tableColumn>
    <tableColumn id="24" xr3:uid="{B119E8B3-5873-49C6-AA75-175C1AE0B0F9}" name="Column19" headerRowDxfId="242" dataDxfId="241"/>
    <tableColumn id="25" xr3:uid="{2AE8EDC3-BFE8-4D9F-9A3F-347BD4FE1161}" name="Column20" headerRowDxfId="240" dataDxfId="239"/>
    <tableColumn id="26" xr3:uid="{E99D9A4E-178E-4024-9F85-1E23DE94EFC3}" name="Column21" headerRowDxfId="238" dataDxfId="237">
      <calculatedColumnFormula>'Review 3'!Q3</calculatedColumnFormula>
    </tableColumn>
    <tableColumn id="27" xr3:uid="{B84ECF9E-A507-47EE-8959-E23A26F0C4F3}" name="Column22" headerRowDxfId="236" dataDxfId="235">
      <calculatedColumnFormula>'Review 3'!W3</calculatedColumnFormula>
    </tableColumn>
    <tableColumn id="28" xr3:uid="{AD004EF5-19FB-4C98-B021-8426C7554B12}" name="Column23" headerRowDxfId="234" dataDxfId="233">
      <calculatedColumnFormula>'Review 3'!AC3</calculatedColumnFormula>
    </tableColumn>
    <tableColumn id="29" xr3:uid="{0CA1E3DD-24DB-448C-A644-EC84B6AB94C0}" name="Column24" headerRowDxfId="232" dataDxfId="231">
      <calculatedColumnFormula>'Review 3'!AI3</calculatedColumnFormula>
    </tableColumn>
    <tableColumn id="30" xr3:uid="{37359A73-B1BE-4BCD-9677-A95E1D3E5E99}" name="Column25" headerRowDxfId="230" dataDxfId="229"/>
    <tableColumn id="31" xr3:uid="{FD527538-967E-46E5-BB73-05B2FCFAD85F}" name="Column26" headerRowDxfId="228" dataDxfId="227">
      <calculatedColumnFormula>'Review 3'!AU3</calculatedColumnFormula>
    </tableColumn>
    <tableColumn id="33" xr3:uid="{2FA3D2F5-0922-4C1E-B918-AB8F113344DA}" name="Column28" headerRowDxfId="226" dataDxfId="225"/>
    <tableColumn id="34" xr3:uid="{16F52E9A-572A-4B44-8798-EB85D395F261}" name="Column29" headerRowDxfId="224" dataDxfId="223"/>
    <tableColumn id="35" xr3:uid="{1F706800-1EDF-4BF7-8083-EA5DEAAE5F5E}" name="Column30" headerRowDxfId="222" dataDxfId="221">
      <calculatedColumnFormula>'Review 4'!Q3</calculatedColumnFormula>
    </tableColumn>
    <tableColumn id="36" xr3:uid="{20193C32-8E7B-4375-ABED-B1DA4C3F6705}" name="Column31" headerRowDxfId="220" dataDxfId="219">
      <calculatedColumnFormula>'Review 4'!W3</calculatedColumnFormula>
    </tableColumn>
    <tableColumn id="37" xr3:uid="{1F49B09F-ED4F-4D70-B727-2300EACCB08D}" name="Column32" headerRowDxfId="218" dataDxfId="217">
      <calculatedColumnFormula>'Review 4'!AC3</calculatedColumnFormula>
    </tableColumn>
    <tableColumn id="38" xr3:uid="{E392EAA6-1545-4280-BE93-B971290EC7D5}" name="Column33" headerRowDxfId="216" dataDxfId="215">
      <calculatedColumnFormula>'Review 4'!AI3</calculatedColumnFormula>
    </tableColumn>
    <tableColumn id="39" xr3:uid="{0DB346C6-8D29-4AAF-855E-2543E86BF54F}" name="Column34" headerRowDxfId="214" dataDxfId="213"/>
    <tableColumn id="40" xr3:uid="{52BDCBC1-E9B2-4CED-84AE-D92B2068D440}" name="Column35" headerRowDxfId="212" dataDxfId="211">
      <calculatedColumnFormula>'Review 4'!AU3</calculatedColumnFormula>
    </tableColumn>
    <tableColumn id="42" xr3:uid="{EBAD37A5-5C4F-4A1C-BD11-25BB780EA342}" name="Column37" headerRowDxfId="210" dataDxfId="209"/>
    <tableColumn id="43" xr3:uid="{2E07ABC7-8B58-4F67-A15D-32FF0EB2A39A}" name="Column38" headerRowDxfId="208" dataDxfId="207"/>
    <tableColumn id="44" xr3:uid="{D98E0071-9C1B-4AB8-8512-926A124BD177}" name="Column39" headerRowDxfId="206" dataDxfId="205">
      <calculatedColumnFormula>'Reflection -1 '!Q3</calculatedColumnFormula>
    </tableColumn>
    <tableColumn id="45" xr3:uid="{663175A4-A7FF-4D4F-BE3D-2A945FD67FC7}" name="Column40" headerRowDxfId="204" dataDxfId="203"/>
    <tableColumn id="46" xr3:uid="{AE8FCF08-E7A3-4DF5-B582-FA8634A73AB1}" name="Column41" headerRowDxfId="202" dataDxfId="201"/>
    <tableColumn id="47" xr3:uid="{C6F42D08-143D-481D-BB47-787FC1C78D2B}" name="Column42" headerRowDxfId="200" dataDxfId="199"/>
    <tableColumn id="48" xr3:uid="{F68C1DC8-6D77-4593-9837-BDA562525AAF}" name="Column43" headerRowDxfId="198" dataDxfId="197"/>
    <tableColumn id="49" xr3:uid="{47B05041-0BCB-4733-985D-71E16D5007C1}" name="Column44" headerRowDxfId="196" dataDxfId="195"/>
    <tableColumn id="51" xr3:uid="{2F317758-463A-4C2E-A675-C25568BCBCE5}" name="Column46" headerRowDxfId="194" dataDxfId="193"/>
    <tableColumn id="52" xr3:uid="{70D3521C-5B6C-49B1-94BA-72D8026141C1}" name="Column47" headerRowDxfId="192" dataDxfId="191"/>
    <tableColumn id="53" xr3:uid="{9D461DA3-B3A5-43A0-8155-0B69A5187410}" name="Column48" headerRowDxfId="190" dataDxfId="189">
      <calculatedColumnFormula>'Reflection -2'!Q3</calculatedColumnFormula>
    </tableColumn>
    <tableColumn id="54" xr3:uid="{00BD252A-82EE-4ABC-BE11-BB151B6387B4}" name="Column49" headerRowDxfId="188" dataDxfId="187" totalsRowDxfId="186"/>
    <tableColumn id="55" xr3:uid="{A3E6D9E9-21ED-4CBC-8109-FE4DE295BF83}" name="Column50" headerRowDxfId="185" dataDxfId="184" totalsRowDxfId="183"/>
    <tableColumn id="56" xr3:uid="{C0034BF2-D9F9-4687-B06A-359FEFDC1AC5}" name="Column51" headerRowDxfId="182" dataDxfId="181" totalsRowDxfId="180"/>
    <tableColumn id="57" xr3:uid="{AFD818E9-BACA-42BB-9448-C28988FB0D39}" name="Column52" headerRowDxfId="179" dataDxfId="178" totalsRowDxfId="177"/>
    <tableColumn id="58" xr3:uid="{3279A592-7FCC-4189-87BF-9AFBAB571FF6}" name="Column53" headerRowDxfId="176" dataDxfId="175" totalsRowDxfId="174"/>
    <tableColumn id="60" xr3:uid="{648C78E9-345B-437D-AA45-563AB667A842}" name="Column55" headerRowDxfId="173" dataDxfId="172" totalsRowDxfId="171"/>
    <tableColumn id="5" xr3:uid="{ABC72EA4-A627-4EFC-A144-BE340C1B72C4}" name="Column9" headerRowDxfId="170" dataDxfId="169" totalsRowDxfId="168"/>
    <tableColumn id="14" xr3:uid="{E153A8B9-A2CA-4BC3-B90A-F622A66B3464}" name="Column18" headerRowDxfId="167" dataDxfId="166" totalsRowDxfId="165">
      <calculatedColumnFormula>'Reflection -3'!Q3</calculatedColumnFormula>
    </tableColumn>
    <tableColumn id="23" xr3:uid="{5E5A37B2-CF87-4C01-9DBC-D7F69616FC45}" name="Column27" headerRowDxfId="164" dataDxfId="163" totalsRowDxfId="162"/>
    <tableColumn id="32" xr3:uid="{AB416FD8-E6FD-46BD-8B39-1F8E1B33C33F}" name="Column36" headerRowDxfId="161" dataDxfId="160" totalsRowDxfId="159"/>
    <tableColumn id="41" xr3:uid="{D31C1F3D-89F8-4AAE-8078-F87811967951}" name="Column45" headerRowDxfId="158" dataDxfId="157" totalsRowDxfId="156"/>
    <tableColumn id="68" xr3:uid="{BF697003-7427-48BD-A9B1-8FD892A71164}" name="Column72" headerRowDxfId="155" dataDxfId="154" totalsRowDxfId="153"/>
    <tableColumn id="50" xr3:uid="{9E5857AD-6006-4A5E-A021-5276C17576FE}" name="Column54" headerRowDxfId="152" dataDxfId="151" totalsRowDxfId="150"/>
    <tableColumn id="59" xr3:uid="{D698CAF0-5E3D-45BE-9900-88B3DEFAB747}" name="Column63" headerRowDxfId="149" dataDxfId="148" totalsRowDxfId="147"/>
    <tableColumn id="61" xr3:uid="{CFB2BF1E-7E1E-4579-8AD4-2F0EEE2E93A3}" name="Column56" headerRowDxfId="146" dataDxfId="145" totalsRowDxfId="144"/>
    <tableColumn id="62" xr3:uid="{3A34B866-F83A-422B-91FE-BC51D8A76902}" name="Column57" headerRowDxfId="143" dataDxfId="142" totalsRowDxfId="141">
      <calculatedColumnFormula>'Reflection -3'!Q3</calculatedColumnFormula>
    </tableColumn>
    <tableColumn id="63" xr3:uid="{A27F9831-94C2-4C57-9108-4639C80EE042}" name="Column58" headerRowDxfId="140" dataDxfId="139"/>
    <tableColumn id="64" xr3:uid="{257AACBF-AD94-4275-AABF-90229512178E}" name="Column59" headerRowDxfId="138" dataDxfId="137"/>
    <tableColumn id="65" xr3:uid="{36C205F0-AEFC-4A1C-8313-704B75258445}" name="Column60" headerRowDxfId="136" dataDxfId="135" totalsRowDxfId="134"/>
    <tableColumn id="66" xr3:uid="{BE62E695-CEC8-446A-9A4E-D1D6D1B6891D}" name="Column61" headerRowDxfId="133" dataDxfId="132" totalsRowDxfId="131"/>
    <tableColumn id="67" xr3:uid="{41A638D3-06A3-4EDA-A46C-CE9726753424}" name="Column62" headerRowDxfId="130" dataDxfId="129" totalsRowDxfId="128"/>
    <tableColumn id="69" xr3:uid="{386D1691-AC10-49D2-AD50-81A03A3867B6}" name="Column64" headerRowDxfId="127" dataDxfId="126" totalsRowDxfId="125"/>
    <tableColumn id="70" xr3:uid="{81A58D3B-2FA4-4519-AF87-FF74346CA4D9}" name="Column65" headerRowDxfId="124" dataDxfId="123" totalsRowDxfId="122"/>
    <tableColumn id="71" xr3:uid="{A9F0A416-D7E8-4349-8ADC-DF586A1CA211}" name="Column66" headerRowDxfId="121" dataDxfId="120" totalsRowDxfId="119">
      <calculatedColumnFormula>Capstone!Q4</calculatedColumnFormula>
    </tableColumn>
    <tableColumn id="72" xr3:uid="{EE01925E-C303-419F-8FF1-25B03B28CEDC}" name="Column67" headerRowDxfId="118" dataDxfId="117" totalsRowDxfId="116">
      <calculatedColumnFormula>Capstone!W4</calculatedColumnFormula>
    </tableColumn>
    <tableColumn id="73" xr3:uid="{C9AC9E2E-8E49-4AF7-9019-6459E5E45663}" name="Column68" headerRowDxfId="115" dataDxfId="114" totalsRowDxfId="113">
      <calculatedColumnFormula>Capstone!AC4</calculatedColumnFormula>
    </tableColumn>
    <tableColumn id="74" xr3:uid="{D9F6F8BE-F58D-47C7-A530-7F695CD1784B}" name="Column69" headerRowDxfId="112" dataDxfId="111" totalsRowDxfId="110">
      <calculatedColumnFormula>Capstone!AI4</calculatedColumnFormula>
    </tableColumn>
    <tableColumn id="75" xr3:uid="{641C444A-FB8A-43FE-9696-8332E51250C1}" name="Column70" headerRowDxfId="109" dataDxfId="108" totalsRowDxfId="107">
      <calculatedColumnFormula>Capstone!AO4</calculatedColumnFormula>
    </tableColumn>
    <tableColumn id="76" xr3:uid="{D42DD66F-6994-400B-8A25-69413B6FEDA9}" name="Column71" headerRowDxfId="106" dataDxfId="105" totalsRowDxfId="104">
      <calculatedColumnFormula>Capstone!AU4</calculatedColumnFormula>
    </tableColumn>
    <tableColumn id="78" xr3:uid="{2FC52248-CC4D-4EE5-8289-B8F13DDB1D36}" name="Column73" headerRowDxfId="103" dataDxfId="102" totalsRowDxfId="101"/>
    <tableColumn id="79" xr3:uid="{7787925D-7BD2-41A2-84F3-D71476199CF4}" name="Column74" headerRowDxfId="100" dataDxfId="99" totalsRowDxfId="98"/>
    <tableColumn id="80" xr3:uid="{E53A210F-9763-4CBB-A7E1-123EFE58846D}" name="Column75" headerRowDxfId="97" dataDxfId="96" totalsRowDxfId="95">
      <calculatedColumnFormula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calculatedColumnFormula>
    </tableColumn>
    <tableColumn id="81" xr3:uid="{74520944-D800-4335-8A77-FEB2454FFEAF}" name="Column76" headerRowDxfId="94" dataDxfId="93" totalsRowDxfId="92">
      <calculatedColumnFormula>IFERROR(AVERAGE(Table110461117[[#This Row],[Column31]],Table110461117[[#This Row],[Column13]],Table110461117[[#This Row],[Column4]],Table110461117[[#This Row],[Column22]],),"A")</calculatedColumnFormula>
    </tableColumn>
    <tableColumn id="82" xr3:uid="{4A9DE722-FDCD-4B2C-91C2-A32FEFC4C2E8}" name="Column77" headerRowDxfId="91" dataDxfId="90" totalsRowDxfId="89">
      <calculatedColumnFormula>IFERROR(AVERAGE(Table110461117[[#This Row],[Column5]],Table110461117[[#This Row],[Column14]],Table110461117[[#This Row],[Column23]],Table110461117[[#This Row],[Column32]]),"A")</calculatedColumnFormula>
    </tableColumn>
    <tableColumn id="83" xr3:uid="{D2B28415-10C6-44F9-8B77-8893AA2E5B65}" name="Column78" headerRowDxfId="88" dataDxfId="87" totalsRowDxfId="86">
      <calculatedColumnFormula>IFERROR(AVERAGE(Table110461117[[#This Row],[Column6]],Table110461117[[#This Row],[Column15]],Table110461117[[#This Row],[Column24]],Table110461117[[#This Row],[Column33]]),"A")</calculatedColumnFormula>
    </tableColumn>
    <tableColumn id="84" xr3:uid="{4EEFED86-96F3-4B75-B8B9-59E0FEC626B2}" name="Column79" headerRowDxfId="85" dataDxfId="84" totalsRowDxfId="83">
      <calculatedColumnFormula>IFERROR(AVERAGE(Table110461117[[#This Row],[Column61]],Table110461117[[#This Row],[Column52]],Table110461117[[#This Row],[Column34]],Table110461117[[#This Row],[Column16]],Table110461117[[#This Row],[Column7]]),"A")</calculatedColumnFormula>
    </tableColumn>
    <tableColumn id="85" xr3:uid="{6A14C6FC-2475-4357-BD87-F9C76EE3625E}" name="Column80" headerRowDxfId="82" dataDxfId="81" totalsRowDxfId="80">
      <calculatedColumnFormula>IFERROR(AVERAGE(Table110461117[[#This Row],[Column26]],Table110461117[[#This Row],[Column35]],Table110461117[[#This Row],[Column17]],Table110461117[[#This Row],[Column8]]),"A")</calculatedColumnFormula>
    </tableColumn>
    <tableColumn id="87" xr3:uid="{9615B317-FE88-4380-AAD5-88546841CB5F}" name="Column82" headerRowDxfId="79" dataDxfId="78" totalsRowDxfId="77"/>
    <tableColumn id="90" xr3:uid="{68D68BDD-AD3F-4BA6-AB08-AA522E075017}" name="Column85" headerRowDxfId="76" dataDxfId="75" totalsRowDxfId="74">
      <calculatedColumnFormula>IFERROR(AVERAGE('Review 1'!AX3,'Review 2'!AX3,'Review 3'!AX3,'Review 4'!AX3,'Reflection -1 '!AX3,'Reflection -2'!AX3,'Reflection -3'!AX3,'Reflection -4'!AX3),"A")</calculatedColumnFormula>
    </tableColumn>
    <tableColumn id="88" xr3:uid="{736EF468-8AFA-4A4F-9F10-19ABFEA0A15B}" name="Column83" headerRowDxfId="73" dataDxfId="72" totalsRowDxfId="71">
      <calculatedColumnFormula>IFERROR(AVERAGE('Review 1'!AY3,'Review 2'!AY3,'Review 3'!AY3,'Review 4'!AY3,'Reflection -1 '!AY3,'Reflection -2'!AY3,'Reflection -3'!AY3,'Reflection -4'!AY3,Capstone!AY4),"A")</calculatedColumnFormula>
    </tableColumn>
    <tableColumn id="89" xr3:uid="{4A4CA263-FF4B-4819-B284-7F86C87F1438}" name="Column84" headerRowDxfId="70" dataDxfId="69">
      <calculatedColumnFormula>IFERROR(AVERAGE('Review 1'!AZ3,'Review 2'!AZ3,'Review 3'!AZ3,'Review 4'!AZ3,'Reflection -1 '!AZ3,'Reflection -2'!AZ3,'Reflection -3'!AZ3,'Reflection -4'!AZ3),"A")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2D00-BC75-4C03-B237-31C34B279B7E}">
  <dimension ref="A1:AC30"/>
  <sheetViews>
    <sheetView zoomScale="9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AO14" sqref="AO14"/>
    </sheetView>
  </sheetViews>
  <sheetFormatPr defaultRowHeight="14.4" x14ac:dyDescent="0.3"/>
  <cols>
    <col min="1" max="1" width="6.5546875" customWidth="1"/>
    <col min="2" max="2" width="19.109375" style="11" customWidth="1"/>
    <col min="3" max="3" width="31.109375" style="11" customWidth="1"/>
    <col min="4" max="4" width="21.88671875" style="11" bestFit="1" customWidth="1"/>
    <col min="5" max="7" width="16.88671875" customWidth="1"/>
    <col min="8" max="8" width="16.88671875" style="12" customWidth="1"/>
    <col min="9" max="9" width="14.88671875" style="12" customWidth="1"/>
    <col min="10" max="10" width="17.109375" style="11" customWidth="1"/>
    <col min="11" max="27" width="8.88671875" style="12"/>
    <col min="29" max="29" width="26.6640625" customWidth="1"/>
  </cols>
  <sheetData>
    <row r="1" spans="1:29" s="3" customFormat="1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2" t="s">
        <v>10</v>
      </c>
      <c r="L1" s="142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2" t="s">
        <v>11</v>
      </c>
    </row>
    <row r="2" spans="1:29" ht="23.1" customHeight="1" x14ac:dyDescent="0.3">
      <c r="A2" s="4"/>
      <c r="B2" s="5" t="s">
        <v>577</v>
      </c>
      <c r="C2" s="11" t="s">
        <v>553</v>
      </c>
      <c r="D2" s="23" t="s">
        <v>554</v>
      </c>
      <c r="E2" s="35" t="s">
        <v>12</v>
      </c>
      <c r="F2" s="10" t="s">
        <v>13</v>
      </c>
      <c r="G2" s="10" t="s">
        <v>14</v>
      </c>
      <c r="H2" s="27">
        <v>2</v>
      </c>
      <c r="I2" s="27">
        <v>3</v>
      </c>
      <c r="J2" s="36">
        <v>3</v>
      </c>
      <c r="K2" s="8" t="s">
        <v>555</v>
      </c>
      <c r="L2" s="8" t="s">
        <v>18</v>
      </c>
      <c r="M2" s="8" t="s">
        <v>19</v>
      </c>
      <c r="N2" s="8" t="s">
        <v>21</v>
      </c>
      <c r="O2" s="8" t="s">
        <v>556</v>
      </c>
      <c r="P2" s="8" t="s">
        <v>557</v>
      </c>
      <c r="Q2" s="8" t="s">
        <v>558</v>
      </c>
      <c r="R2" s="8" t="s">
        <v>559</v>
      </c>
      <c r="S2" s="8" t="s">
        <v>560</v>
      </c>
      <c r="T2" s="8" t="s">
        <v>20</v>
      </c>
      <c r="U2" s="12" t="s">
        <v>561</v>
      </c>
      <c r="V2" s="8" t="s">
        <v>562</v>
      </c>
      <c r="W2" s="8" t="s">
        <v>563</v>
      </c>
      <c r="X2" s="8" t="s">
        <v>23</v>
      </c>
      <c r="Y2" s="8" t="s">
        <v>17</v>
      </c>
      <c r="Z2" s="8" t="s">
        <v>578</v>
      </c>
      <c r="AA2" s="8" t="s">
        <v>15</v>
      </c>
      <c r="AB2" s="4" t="s">
        <v>16</v>
      </c>
      <c r="AC2" s="4"/>
    </row>
    <row r="3" spans="1:29" ht="23.1" customHeight="1" x14ac:dyDescent="0.3">
      <c r="A3" s="4"/>
      <c r="B3" s="5" t="s">
        <v>577</v>
      </c>
      <c r="C3" s="11" t="s">
        <v>553</v>
      </c>
      <c r="D3" s="7" t="s">
        <v>564</v>
      </c>
      <c r="E3" s="35" t="s">
        <v>12</v>
      </c>
      <c r="F3" s="10" t="s">
        <v>13</v>
      </c>
      <c r="G3" s="10" t="s">
        <v>14</v>
      </c>
      <c r="H3" s="36">
        <v>2</v>
      </c>
      <c r="I3" s="36">
        <v>3</v>
      </c>
      <c r="J3" s="36">
        <v>3</v>
      </c>
      <c r="K3" s="38" t="s">
        <v>555</v>
      </c>
      <c r="L3" s="38" t="s">
        <v>18</v>
      </c>
      <c r="M3" s="8" t="s">
        <v>19</v>
      </c>
      <c r="N3" s="8" t="s">
        <v>21</v>
      </c>
      <c r="O3" s="8" t="s">
        <v>556</v>
      </c>
      <c r="P3" s="8" t="s">
        <v>557</v>
      </c>
      <c r="Q3" s="8" t="s">
        <v>558</v>
      </c>
      <c r="R3" s="8" t="s">
        <v>559</v>
      </c>
      <c r="S3" s="8" t="s">
        <v>560</v>
      </c>
      <c r="T3" s="8" t="s">
        <v>20</v>
      </c>
      <c r="U3" s="12" t="s">
        <v>561</v>
      </c>
      <c r="V3" s="8" t="s">
        <v>562</v>
      </c>
      <c r="W3" s="8" t="s">
        <v>563</v>
      </c>
      <c r="X3" s="8" t="s">
        <v>23</v>
      </c>
      <c r="Y3" s="8" t="s">
        <v>17</v>
      </c>
      <c r="Z3" s="8" t="s">
        <v>578</v>
      </c>
      <c r="AA3" s="8" t="s">
        <v>15</v>
      </c>
      <c r="AB3" s="4" t="s">
        <v>16</v>
      </c>
      <c r="AC3" s="4"/>
    </row>
    <row r="4" spans="1:29" ht="23.1" customHeight="1" x14ac:dyDescent="0.3">
      <c r="A4" s="4"/>
      <c r="B4" s="5" t="s">
        <v>577</v>
      </c>
      <c r="C4" s="7" t="s">
        <v>565</v>
      </c>
      <c r="D4" s="35"/>
      <c r="E4" s="35" t="s">
        <v>12</v>
      </c>
      <c r="F4" s="10" t="s">
        <v>13</v>
      </c>
      <c r="G4" s="10" t="s">
        <v>14</v>
      </c>
      <c r="H4" s="36">
        <v>2</v>
      </c>
      <c r="I4" s="36">
        <v>2</v>
      </c>
      <c r="J4" s="39">
        <v>2</v>
      </c>
      <c r="K4" s="9"/>
      <c r="L4" s="9"/>
      <c r="M4" s="4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4"/>
      <c r="AC4" s="4"/>
    </row>
    <row r="5" spans="1:29" ht="23.1" customHeight="1" x14ac:dyDescent="0.3">
      <c r="A5" s="4"/>
      <c r="B5" s="5" t="s">
        <v>577</v>
      </c>
      <c r="C5" s="7" t="s">
        <v>566</v>
      </c>
      <c r="D5" s="37"/>
      <c r="E5" s="35" t="s">
        <v>12</v>
      </c>
      <c r="F5" s="10" t="s">
        <v>13</v>
      </c>
      <c r="G5" s="10" t="s">
        <v>14</v>
      </c>
      <c r="H5" s="36">
        <v>2</v>
      </c>
      <c r="I5" s="36">
        <v>2</v>
      </c>
      <c r="J5" s="36">
        <v>1</v>
      </c>
      <c r="K5" s="41" t="s">
        <v>567</v>
      </c>
      <c r="L5" s="41" t="s">
        <v>568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578</v>
      </c>
      <c r="AA5" s="8" t="s">
        <v>15</v>
      </c>
      <c r="AB5" s="4" t="s">
        <v>16</v>
      </c>
      <c r="AC5" s="4"/>
    </row>
    <row r="6" spans="1:29" ht="23.1" customHeight="1" x14ac:dyDescent="0.3">
      <c r="A6" s="4"/>
      <c r="B6" s="5" t="s">
        <v>577</v>
      </c>
      <c r="C6" s="7" t="s">
        <v>569</v>
      </c>
      <c r="D6" s="37"/>
      <c r="E6" s="35" t="s">
        <v>12</v>
      </c>
      <c r="F6" s="10" t="s">
        <v>13</v>
      </c>
      <c r="G6" s="10" t="s">
        <v>14</v>
      </c>
      <c r="H6" s="36">
        <v>2</v>
      </c>
      <c r="I6" s="36">
        <v>4</v>
      </c>
      <c r="J6" s="36">
        <v>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4"/>
      <c r="AC6" s="4"/>
    </row>
    <row r="7" spans="1:29" ht="23.1" customHeight="1" x14ac:dyDescent="0.3">
      <c r="A7" s="4"/>
      <c r="B7" s="5" t="s">
        <v>577</v>
      </c>
      <c r="D7" s="7" t="s">
        <v>570</v>
      </c>
      <c r="E7" s="35" t="s">
        <v>12</v>
      </c>
      <c r="F7" s="10" t="s">
        <v>13</v>
      </c>
      <c r="G7" s="10" t="s">
        <v>14</v>
      </c>
      <c r="H7" s="27">
        <v>2</v>
      </c>
      <c r="I7" s="27">
        <v>0</v>
      </c>
      <c r="J7" s="36">
        <v>0</v>
      </c>
      <c r="K7" s="12" t="s">
        <v>561</v>
      </c>
      <c r="L7" s="8" t="s">
        <v>562</v>
      </c>
      <c r="M7" s="8" t="s">
        <v>563</v>
      </c>
      <c r="N7" s="8" t="s">
        <v>23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578</v>
      </c>
      <c r="AA7" s="8" t="s">
        <v>15</v>
      </c>
      <c r="AB7" s="4" t="s">
        <v>16</v>
      </c>
      <c r="AC7" s="4"/>
    </row>
    <row r="8" spans="1:29" ht="23.1" customHeight="1" x14ac:dyDescent="0.3">
      <c r="A8" s="4"/>
      <c r="B8" s="5" t="s">
        <v>577</v>
      </c>
      <c r="C8" s="7" t="s">
        <v>571</v>
      </c>
      <c r="D8" s="37"/>
      <c r="E8" s="35" t="s">
        <v>12</v>
      </c>
      <c r="F8" s="10" t="s">
        <v>13</v>
      </c>
      <c r="G8" s="10" t="s">
        <v>14</v>
      </c>
      <c r="H8" s="36">
        <v>2</v>
      </c>
      <c r="I8" s="36">
        <v>1</v>
      </c>
      <c r="J8" s="36">
        <v>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"/>
      <c r="AC8" s="4"/>
    </row>
    <row r="9" spans="1:29" ht="23.1" customHeight="1" x14ac:dyDescent="0.3">
      <c r="A9" s="4"/>
      <c r="B9" s="5" t="s">
        <v>577</v>
      </c>
      <c r="C9" s="37"/>
      <c r="D9" s="7" t="s">
        <v>572</v>
      </c>
      <c r="E9" s="35" t="s">
        <v>12</v>
      </c>
      <c r="F9" s="10" t="s">
        <v>13</v>
      </c>
      <c r="G9" s="10" t="s">
        <v>14</v>
      </c>
      <c r="H9" s="36">
        <v>2</v>
      </c>
      <c r="I9" s="36">
        <v>2</v>
      </c>
      <c r="J9" s="36">
        <v>2</v>
      </c>
      <c r="K9" s="8" t="s">
        <v>555</v>
      </c>
      <c r="L9" s="8" t="s">
        <v>558</v>
      </c>
      <c r="M9" s="8" t="s">
        <v>559</v>
      </c>
      <c r="N9" s="8" t="s">
        <v>560</v>
      </c>
      <c r="O9" s="8" t="s">
        <v>20</v>
      </c>
      <c r="P9" s="8" t="s">
        <v>556</v>
      </c>
      <c r="Q9" s="8" t="s">
        <v>561</v>
      </c>
      <c r="R9" s="8" t="s">
        <v>562</v>
      </c>
      <c r="S9" s="8" t="s">
        <v>563</v>
      </c>
      <c r="T9" s="8" t="s">
        <v>23</v>
      </c>
      <c r="U9" s="8"/>
      <c r="V9" s="8"/>
      <c r="W9" s="8"/>
      <c r="X9" s="8"/>
      <c r="Y9" s="8"/>
      <c r="Z9" s="8" t="s">
        <v>578</v>
      </c>
      <c r="AA9" s="8" t="s">
        <v>15</v>
      </c>
      <c r="AB9" s="4" t="s">
        <v>16</v>
      </c>
      <c r="AC9" s="4"/>
    </row>
    <row r="10" spans="1:29" ht="23.1" customHeight="1" x14ac:dyDescent="0.3">
      <c r="A10" s="4"/>
      <c r="B10" s="5" t="s">
        <v>577</v>
      </c>
      <c r="C10" s="7" t="s">
        <v>573</v>
      </c>
      <c r="D10" s="37"/>
      <c r="E10" s="35" t="s">
        <v>12</v>
      </c>
      <c r="F10" s="10" t="s">
        <v>13</v>
      </c>
      <c r="G10" s="10" t="s">
        <v>14</v>
      </c>
      <c r="H10" s="27">
        <v>2</v>
      </c>
      <c r="I10" s="27">
        <v>1</v>
      </c>
      <c r="J10" s="36">
        <v>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4"/>
      <c r="AC10" s="4"/>
    </row>
    <row r="11" spans="1:29" ht="23.1" customHeight="1" x14ac:dyDescent="0.3">
      <c r="A11" s="4"/>
      <c r="B11" s="5" t="s">
        <v>577</v>
      </c>
      <c r="C11" s="37"/>
      <c r="D11" s="7" t="s">
        <v>573</v>
      </c>
      <c r="E11" s="35" t="s">
        <v>12</v>
      </c>
      <c r="F11" s="10" t="s">
        <v>13</v>
      </c>
      <c r="G11" s="10" t="s">
        <v>14</v>
      </c>
      <c r="H11" s="27">
        <v>2</v>
      </c>
      <c r="I11" s="27">
        <v>2</v>
      </c>
      <c r="J11" s="36">
        <v>2</v>
      </c>
      <c r="K11" s="8" t="s">
        <v>574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 t="s">
        <v>578</v>
      </c>
      <c r="AA11" s="8" t="s">
        <v>15</v>
      </c>
      <c r="AB11" s="4" t="s">
        <v>16</v>
      </c>
      <c r="AC11" s="4"/>
    </row>
    <row r="12" spans="1:29" ht="23.1" customHeight="1" x14ac:dyDescent="0.3">
      <c r="A12" s="4"/>
      <c r="B12" s="5" t="s">
        <v>577</v>
      </c>
      <c r="C12" s="13" t="s">
        <v>575</v>
      </c>
      <c r="D12" s="13"/>
      <c r="E12" s="35" t="s">
        <v>12</v>
      </c>
      <c r="F12" s="10" t="s">
        <v>13</v>
      </c>
      <c r="G12" s="10" t="s">
        <v>14</v>
      </c>
      <c r="H12" s="14">
        <v>2</v>
      </c>
      <c r="I12" s="14">
        <v>1</v>
      </c>
      <c r="J12" s="13">
        <v>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4"/>
      <c r="AC12" s="4"/>
    </row>
    <row r="13" spans="1:29" ht="23.1" customHeight="1" x14ac:dyDescent="0.3">
      <c r="A13" s="4"/>
      <c r="B13" s="7"/>
      <c r="C13" s="13"/>
      <c r="D13" s="13" t="s">
        <v>576</v>
      </c>
      <c r="E13" s="35" t="s">
        <v>12</v>
      </c>
      <c r="F13" s="10" t="s">
        <v>13</v>
      </c>
      <c r="G13" s="10" t="s">
        <v>14</v>
      </c>
      <c r="H13" s="14">
        <v>2</v>
      </c>
      <c r="I13" s="14">
        <v>3</v>
      </c>
      <c r="J13" s="13">
        <v>3</v>
      </c>
      <c r="K13" s="8" t="s">
        <v>555</v>
      </c>
      <c r="L13" s="8" t="s">
        <v>18</v>
      </c>
      <c r="M13" s="8" t="s">
        <v>19</v>
      </c>
      <c r="N13" s="8" t="s">
        <v>21</v>
      </c>
      <c r="O13" s="8" t="s">
        <v>558</v>
      </c>
      <c r="P13" s="8" t="s">
        <v>559</v>
      </c>
      <c r="Q13" s="8" t="s">
        <v>560</v>
      </c>
      <c r="R13" s="8" t="s">
        <v>20</v>
      </c>
      <c r="S13" s="8" t="s">
        <v>22</v>
      </c>
      <c r="T13" s="8" t="s">
        <v>17</v>
      </c>
      <c r="U13" s="8"/>
      <c r="V13" s="8"/>
      <c r="W13" s="8"/>
      <c r="X13" s="8"/>
      <c r="Y13" s="8"/>
      <c r="Z13" s="8" t="s">
        <v>578</v>
      </c>
      <c r="AA13" s="8" t="s">
        <v>15</v>
      </c>
      <c r="AB13" s="4" t="s">
        <v>16</v>
      </c>
      <c r="AC13" s="4"/>
    </row>
    <row r="14" spans="1:29" ht="23.1" customHeight="1" x14ac:dyDescent="0.3">
      <c r="A14" s="4"/>
      <c r="B14" s="7"/>
      <c r="C14" s="13"/>
      <c r="D14" s="13"/>
      <c r="E14" s="15"/>
      <c r="F14" s="15"/>
      <c r="G14" s="15"/>
      <c r="H14" s="14"/>
      <c r="I14" s="14"/>
      <c r="J14" s="1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4"/>
      <c r="AC14" s="4"/>
    </row>
    <row r="15" spans="1:29" ht="23.1" customHeight="1" x14ac:dyDescent="0.3">
      <c r="A15" s="4"/>
      <c r="B15" s="7"/>
      <c r="C15" s="13"/>
      <c r="D15" s="13"/>
      <c r="E15" s="15"/>
      <c r="F15" s="15"/>
      <c r="G15" s="15"/>
      <c r="H15" s="14"/>
      <c r="I15" s="14"/>
      <c r="J15" s="1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4"/>
      <c r="AC15" s="4"/>
    </row>
    <row r="16" spans="1:29" ht="23.1" customHeight="1" x14ac:dyDescent="0.3">
      <c r="A16" s="4"/>
      <c r="B16" s="7"/>
      <c r="C16" s="13"/>
      <c r="D16" s="13"/>
      <c r="E16" s="15"/>
      <c r="F16" s="15"/>
      <c r="G16" s="15"/>
      <c r="H16" s="14"/>
      <c r="I16" s="14"/>
      <c r="J16" s="1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4"/>
      <c r="AC16" s="4"/>
    </row>
    <row r="17" spans="1:29" ht="23.1" customHeight="1" x14ac:dyDescent="0.3">
      <c r="A17" s="4"/>
      <c r="B17" s="7"/>
      <c r="C17" s="7"/>
      <c r="D17" s="7"/>
      <c r="E17" s="4"/>
      <c r="F17" s="4"/>
      <c r="G17" s="4"/>
      <c r="H17" s="8"/>
      <c r="I17" s="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4"/>
      <c r="AC17" s="4"/>
    </row>
    <row r="18" spans="1:29" ht="23.1" customHeight="1" x14ac:dyDescent="0.3">
      <c r="A18" s="4"/>
      <c r="B18" s="7"/>
      <c r="C18" s="7"/>
      <c r="D18" s="7"/>
      <c r="E18" s="4"/>
      <c r="F18" s="4"/>
      <c r="G18" s="4"/>
      <c r="H18" s="8"/>
      <c r="I18" s="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4"/>
      <c r="AC18" s="4"/>
    </row>
    <row r="19" spans="1:29" ht="23.1" customHeight="1" x14ac:dyDescent="0.3">
      <c r="A19" s="4"/>
      <c r="B19" s="7"/>
      <c r="C19" s="7"/>
      <c r="D19" s="7"/>
      <c r="E19" s="4"/>
      <c r="F19" s="4"/>
      <c r="G19" s="4"/>
      <c r="H19" s="8"/>
      <c r="I19" s="8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4"/>
      <c r="AC19" s="4"/>
    </row>
    <row r="20" spans="1:29" ht="23.1" customHeight="1" x14ac:dyDescent="0.3">
      <c r="A20" s="4"/>
      <c r="B20" s="7"/>
      <c r="C20" s="7"/>
      <c r="D20" s="7"/>
      <c r="E20" s="4"/>
      <c r="F20" s="4"/>
      <c r="G20" s="4"/>
      <c r="H20" s="8"/>
      <c r="I20" s="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4"/>
      <c r="AC20" s="4"/>
    </row>
    <row r="21" spans="1:29" ht="23.1" customHeight="1" x14ac:dyDescent="0.3">
      <c r="A21" s="4"/>
      <c r="B21" s="7"/>
      <c r="C21" s="7"/>
      <c r="D21" s="7"/>
      <c r="E21" s="4"/>
      <c r="F21" s="4"/>
      <c r="G21" s="4"/>
      <c r="H21" s="8"/>
      <c r="I21" s="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4"/>
      <c r="AC21" s="4"/>
    </row>
    <row r="22" spans="1:29" ht="23.1" customHeight="1" x14ac:dyDescent="0.3">
      <c r="A22" s="4"/>
      <c r="B22" s="7"/>
      <c r="C22" s="7"/>
      <c r="D22" s="7"/>
      <c r="E22" s="4"/>
      <c r="F22" s="4"/>
      <c r="G22" s="4"/>
      <c r="H22" s="8"/>
      <c r="I22" s="8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4"/>
      <c r="AC22" s="4"/>
    </row>
    <row r="23" spans="1:29" ht="23.1" customHeight="1" x14ac:dyDescent="0.3">
      <c r="A23" s="4"/>
      <c r="B23" s="7"/>
      <c r="C23" s="7"/>
      <c r="D23" s="7"/>
      <c r="E23" s="4"/>
      <c r="F23" s="4"/>
      <c r="G23" s="4"/>
      <c r="H23" s="8"/>
      <c r="I23" s="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4"/>
      <c r="AC23" s="4"/>
    </row>
    <row r="24" spans="1:29" ht="23.1" customHeight="1" x14ac:dyDescent="0.3">
      <c r="A24" s="4"/>
      <c r="B24" s="7"/>
      <c r="C24" s="7"/>
      <c r="D24" s="7"/>
      <c r="E24" s="4"/>
      <c r="F24" s="4"/>
      <c r="G24" s="4"/>
      <c r="H24" s="8"/>
      <c r="I24" s="8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4"/>
      <c r="AC24" s="4"/>
    </row>
    <row r="25" spans="1:29" ht="23.1" customHeight="1" x14ac:dyDescent="0.3">
      <c r="A25" s="4"/>
      <c r="B25" s="7"/>
      <c r="C25" s="7"/>
      <c r="D25" s="7"/>
      <c r="E25" s="4"/>
      <c r="F25" s="4"/>
      <c r="G25" s="4"/>
      <c r="H25" s="8"/>
      <c r="I25" s="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4"/>
      <c r="AC25" s="4"/>
    </row>
    <row r="26" spans="1:29" ht="23.1" customHeight="1" x14ac:dyDescent="0.3">
      <c r="A26" s="4"/>
      <c r="B26" s="7"/>
      <c r="C26" s="7"/>
      <c r="D26" s="7"/>
      <c r="E26" s="4"/>
      <c r="F26" s="4"/>
      <c r="G26" s="4"/>
      <c r="H26" s="8"/>
      <c r="I26" s="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4"/>
      <c r="AC26" s="4"/>
    </row>
    <row r="27" spans="1:29" ht="23.1" customHeight="1" x14ac:dyDescent="0.3">
      <c r="A27" s="4"/>
      <c r="B27" s="7"/>
      <c r="C27" s="7"/>
      <c r="D27" s="7"/>
      <c r="E27" s="4"/>
      <c r="F27" s="4"/>
      <c r="G27" s="4"/>
      <c r="H27" s="8"/>
      <c r="I27" s="8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4"/>
      <c r="AC27" s="4"/>
    </row>
    <row r="28" spans="1:29" ht="23.1" customHeight="1" x14ac:dyDescent="0.3">
      <c r="A28" s="4"/>
      <c r="B28" s="7"/>
      <c r="C28" s="7"/>
      <c r="D28" s="7"/>
      <c r="E28" s="4"/>
      <c r="F28" s="4"/>
      <c r="G28" s="4"/>
      <c r="H28" s="8"/>
      <c r="I28" s="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4"/>
      <c r="AC28" s="4"/>
    </row>
    <row r="29" spans="1:29" ht="23.1" customHeight="1" x14ac:dyDescent="0.3">
      <c r="A29" s="4"/>
      <c r="B29" s="7"/>
      <c r="C29" s="7"/>
      <c r="D29" s="7"/>
      <c r="E29" s="4"/>
      <c r="F29" s="4"/>
      <c r="G29" s="4"/>
      <c r="H29" s="8"/>
      <c r="I29" s="8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4"/>
      <c r="AC29" s="4"/>
    </row>
    <row r="30" spans="1:29" ht="23.1" customHeight="1" x14ac:dyDescent="0.3">
      <c r="A30" s="4"/>
      <c r="B30" s="7"/>
      <c r="C30" s="7"/>
      <c r="D30" s="7"/>
      <c r="E30" s="4"/>
      <c r="F30" s="4"/>
      <c r="G30" s="4"/>
      <c r="H30" s="8"/>
      <c r="I30" s="8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4"/>
      <c r="AC30" s="4"/>
    </row>
  </sheetData>
  <mergeCells count="1">
    <mergeCell ref="K1:AB1"/>
  </mergeCells>
  <phoneticPr fontId="9" type="noConversion"/>
  <dataValidations count="2">
    <dataValidation type="list" allowBlank="1" showInputMessage="1" showErrorMessage="1" sqref="E1:E1048576" xr:uid="{6BCA972C-DE68-4E1D-910A-6B834A7ACBDF}">
      <formula1>"JAGSoM,IFIM College,IFIM Law School,VU"</formula1>
    </dataValidation>
    <dataValidation type="list" allowBlank="1" showInputMessage="1" showErrorMessage="1" sqref="B1:B1048576" xr:uid="{3C55E49D-14E7-46C2-A9F8-B880C40DC0BF}">
      <formula1>"Level 0,Level 1,Level 2,Level 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A694-8601-45EA-A30B-1B5C163B944E}">
  <dimension ref="A1:BB380"/>
  <sheetViews>
    <sheetView zoomScale="90" zoomScaleNormal="90" workbookViewId="0">
      <pane xSplit="6" ySplit="3" topLeftCell="P4" activePane="bottomRight" state="frozen"/>
      <selection pane="topRight" activeCell="G1" sqref="G1"/>
      <selection pane="bottomLeft" activeCell="A5" sqref="A5"/>
      <selection pane="bottomRight" activeCell="G15" sqref="G15"/>
    </sheetView>
  </sheetViews>
  <sheetFormatPr defaultRowHeight="15.6" x14ac:dyDescent="0.3"/>
  <cols>
    <col min="1" max="1" width="11.109375" style="11" customWidth="1"/>
    <col min="2" max="2" width="21.6640625" style="11" customWidth="1"/>
    <col min="3" max="3" width="22.77734375" style="3" customWidth="1"/>
    <col min="4" max="5" width="12.44140625" style="11" customWidth="1"/>
    <col min="6" max="6" width="12.109375" style="11" customWidth="1"/>
    <col min="7" max="9" width="11.109375" style="11" customWidth="1"/>
    <col min="10" max="11" width="12.21875" customWidth="1"/>
    <col min="12" max="12" width="12.77734375" style="45" customWidth="1"/>
    <col min="13" max="13" width="13" customWidth="1"/>
    <col min="14" max="54" width="12.21875" customWidth="1"/>
  </cols>
  <sheetData>
    <row r="1" spans="1:54" ht="36.6" customHeight="1" x14ac:dyDescent="0.3">
      <c r="A1" s="149" t="s">
        <v>24</v>
      </c>
      <c r="B1" s="149"/>
      <c r="C1" s="150" t="s">
        <v>492</v>
      </c>
      <c r="D1" s="150"/>
      <c r="E1" s="18"/>
      <c r="F1" s="151"/>
      <c r="G1" s="151"/>
      <c r="H1" s="151"/>
      <c r="I1" s="151"/>
      <c r="J1" s="151"/>
      <c r="K1" s="151"/>
      <c r="L1" s="151"/>
      <c r="M1" s="19"/>
      <c r="O1" s="47" t="s">
        <v>555</v>
      </c>
      <c r="P1" s="47" t="s">
        <v>18</v>
      </c>
      <c r="Q1" s="47" t="s">
        <v>19</v>
      </c>
      <c r="R1" s="47" t="s">
        <v>21</v>
      </c>
      <c r="S1" s="48" t="s">
        <v>556</v>
      </c>
      <c r="T1" s="49" t="s">
        <v>558</v>
      </c>
      <c r="U1" s="49" t="s">
        <v>559</v>
      </c>
      <c r="V1" s="49" t="s">
        <v>560</v>
      </c>
      <c r="W1" s="49" t="s">
        <v>20</v>
      </c>
      <c r="X1" s="50" t="s">
        <v>561</v>
      </c>
      <c r="Y1" s="50" t="s">
        <v>562</v>
      </c>
      <c r="Z1" s="50" t="s">
        <v>23</v>
      </c>
      <c r="AA1" s="51" t="s">
        <v>17</v>
      </c>
      <c r="AB1" s="52" t="s">
        <v>15</v>
      </c>
      <c r="AC1" s="53" t="s">
        <v>16</v>
      </c>
    </row>
    <row r="2" spans="1:54" s="3" customFormat="1" ht="21.6" customHeight="1" x14ac:dyDescent="0.3">
      <c r="A2" s="152" t="s">
        <v>0</v>
      </c>
      <c r="B2" s="152" t="s">
        <v>26</v>
      </c>
      <c r="C2" s="154" t="s">
        <v>27</v>
      </c>
      <c r="D2" s="152" t="s">
        <v>489</v>
      </c>
      <c r="E2" s="152" t="s">
        <v>25</v>
      </c>
      <c r="F2" s="152" t="s">
        <v>25</v>
      </c>
      <c r="G2" s="146" t="s">
        <v>495</v>
      </c>
      <c r="H2" s="146"/>
      <c r="I2" s="146"/>
      <c r="J2" s="146"/>
      <c r="K2" s="146"/>
      <c r="L2" s="147" t="s">
        <v>28</v>
      </c>
      <c r="M2" s="146" t="s">
        <v>496</v>
      </c>
      <c r="N2" s="146"/>
      <c r="O2" s="146"/>
      <c r="P2" s="146"/>
      <c r="Q2" s="146"/>
      <c r="R2" s="144" t="s">
        <v>28</v>
      </c>
      <c r="S2" s="146" t="s">
        <v>497</v>
      </c>
      <c r="T2" s="146"/>
      <c r="U2" s="146"/>
      <c r="V2" s="146"/>
      <c r="W2" s="146"/>
      <c r="X2" s="144" t="s">
        <v>28</v>
      </c>
      <c r="Y2" s="146" t="s">
        <v>498</v>
      </c>
      <c r="Z2" s="146"/>
      <c r="AA2" s="146"/>
      <c r="AB2" s="146"/>
      <c r="AC2" s="146"/>
      <c r="AD2" s="144" t="s">
        <v>28</v>
      </c>
      <c r="AE2" s="146" t="s">
        <v>499</v>
      </c>
      <c r="AF2" s="146"/>
      <c r="AG2" s="146"/>
      <c r="AH2" s="146"/>
      <c r="AI2" s="146"/>
      <c r="AJ2" s="144" t="s">
        <v>28</v>
      </c>
      <c r="AK2" s="146" t="s">
        <v>500</v>
      </c>
      <c r="AL2" s="146"/>
      <c r="AM2" s="146"/>
      <c r="AN2" s="146"/>
      <c r="AO2" s="146"/>
      <c r="AP2" s="144" t="s">
        <v>28</v>
      </c>
      <c r="AQ2" s="146" t="s">
        <v>501</v>
      </c>
      <c r="AR2" s="146"/>
      <c r="AS2" s="146"/>
      <c r="AT2" s="146"/>
      <c r="AU2" s="146"/>
      <c r="AV2" s="144" t="s">
        <v>28</v>
      </c>
      <c r="AW2" s="146" t="s">
        <v>29</v>
      </c>
      <c r="AX2" s="146"/>
      <c r="AY2" s="146"/>
      <c r="AZ2" s="146"/>
      <c r="BA2" s="146"/>
      <c r="BB2" s="144" t="s">
        <v>28</v>
      </c>
    </row>
    <row r="3" spans="1:54" s="3" customFormat="1" ht="20.100000000000001" customHeight="1" x14ac:dyDescent="0.3">
      <c r="A3" s="153"/>
      <c r="B3" s="153"/>
      <c r="C3" s="155"/>
      <c r="D3" s="153"/>
      <c r="E3" s="153"/>
      <c r="F3" s="153"/>
      <c r="G3" s="112" t="s">
        <v>502</v>
      </c>
      <c r="H3" s="112" t="s">
        <v>503</v>
      </c>
      <c r="I3" s="112" t="s">
        <v>504</v>
      </c>
      <c r="J3" s="112" t="s">
        <v>505</v>
      </c>
      <c r="K3" s="113" t="s">
        <v>506</v>
      </c>
      <c r="L3" s="148"/>
      <c r="M3" s="109" t="s">
        <v>507</v>
      </c>
      <c r="N3" s="109" t="s">
        <v>508</v>
      </c>
      <c r="O3" s="109" t="s">
        <v>509</v>
      </c>
      <c r="P3" s="112" t="s">
        <v>510</v>
      </c>
      <c r="Q3" s="109" t="s">
        <v>511</v>
      </c>
      <c r="R3" s="145"/>
      <c r="S3" s="112" t="s">
        <v>512</v>
      </c>
      <c r="T3" s="113" t="s">
        <v>513</v>
      </c>
      <c r="U3" s="113" t="s">
        <v>514</v>
      </c>
      <c r="V3" s="113" t="s">
        <v>515</v>
      </c>
      <c r="W3" s="113" t="s">
        <v>516</v>
      </c>
      <c r="X3" s="145"/>
      <c r="Y3" s="113" t="s">
        <v>517</v>
      </c>
      <c r="Z3" s="113" t="s">
        <v>518</v>
      </c>
      <c r="AA3" s="113" t="s">
        <v>519</v>
      </c>
      <c r="AB3" s="113" t="s">
        <v>520</v>
      </c>
      <c r="AC3" s="113" t="s">
        <v>521</v>
      </c>
      <c r="AD3" s="145"/>
      <c r="AE3" s="113" t="s">
        <v>522</v>
      </c>
      <c r="AF3" s="113" t="s">
        <v>523</v>
      </c>
      <c r="AG3" s="113" t="s">
        <v>524</v>
      </c>
      <c r="AH3" s="113" t="s">
        <v>525</v>
      </c>
      <c r="AI3" s="113" t="s">
        <v>526</v>
      </c>
      <c r="AJ3" s="145"/>
      <c r="AK3" s="112" t="s">
        <v>527</v>
      </c>
      <c r="AL3" s="112" t="s">
        <v>528</v>
      </c>
      <c r="AM3" s="113" t="s">
        <v>529</v>
      </c>
      <c r="AN3" s="112" t="s">
        <v>530</v>
      </c>
      <c r="AO3" s="113" t="s">
        <v>531</v>
      </c>
      <c r="AP3" s="145"/>
      <c r="AQ3" s="112" t="s">
        <v>532</v>
      </c>
      <c r="AR3" s="113" t="s">
        <v>533</v>
      </c>
      <c r="AS3" s="113" t="s">
        <v>534</v>
      </c>
      <c r="AT3" s="113" t="s">
        <v>535</v>
      </c>
      <c r="AU3" s="113" t="s">
        <v>536</v>
      </c>
      <c r="AV3" s="145"/>
      <c r="AW3" s="113" t="s">
        <v>30</v>
      </c>
      <c r="AX3" s="113" t="s">
        <v>31</v>
      </c>
      <c r="AY3" s="113" t="s">
        <v>32</v>
      </c>
      <c r="AZ3" s="112" t="s">
        <v>33</v>
      </c>
      <c r="BA3" s="112" t="s">
        <v>34</v>
      </c>
      <c r="BB3" s="145"/>
    </row>
    <row r="4" spans="1:54" s="3" customFormat="1" ht="20.100000000000001" customHeight="1" x14ac:dyDescent="0.3">
      <c r="A4" s="110" t="s">
        <v>490</v>
      </c>
      <c r="B4" s="104" t="s">
        <v>546</v>
      </c>
      <c r="C4" s="105" t="s">
        <v>547</v>
      </c>
      <c r="D4" s="104" t="s">
        <v>548</v>
      </c>
      <c r="E4" s="104" t="s">
        <v>549</v>
      </c>
      <c r="F4" s="104" t="s">
        <v>550</v>
      </c>
      <c r="G4" s="106" t="s">
        <v>552</v>
      </c>
      <c r="H4" s="106" t="s">
        <v>579</v>
      </c>
      <c r="I4" s="106" t="s">
        <v>580</v>
      </c>
      <c r="J4" s="106" t="s">
        <v>581</v>
      </c>
      <c r="K4" s="107" t="s">
        <v>491</v>
      </c>
      <c r="L4" s="75" t="s">
        <v>583</v>
      </c>
      <c r="M4" s="108" t="s">
        <v>584</v>
      </c>
      <c r="N4" s="108" t="s">
        <v>585</v>
      </c>
      <c r="O4" s="108" t="s">
        <v>586</v>
      </c>
      <c r="P4" s="106" t="s">
        <v>587</v>
      </c>
      <c r="Q4" s="109" t="s">
        <v>588</v>
      </c>
      <c r="R4" s="46" t="s">
        <v>589</v>
      </c>
      <c r="S4" s="54" t="s">
        <v>590</v>
      </c>
      <c r="T4" s="20" t="s">
        <v>591</v>
      </c>
      <c r="U4" s="20" t="s">
        <v>592</v>
      </c>
      <c r="V4" s="20" t="s">
        <v>593</v>
      </c>
      <c r="W4" s="20" t="s">
        <v>594</v>
      </c>
      <c r="X4" s="46" t="s">
        <v>595</v>
      </c>
      <c r="Y4" s="20" t="s">
        <v>596</v>
      </c>
      <c r="Z4" s="20" t="s">
        <v>597</v>
      </c>
      <c r="AA4" s="20" t="s">
        <v>598</v>
      </c>
      <c r="AB4" s="20" t="s">
        <v>599</v>
      </c>
      <c r="AC4" s="20" t="s">
        <v>600</v>
      </c>
      <c r="AD4" s="46" t="s">
        <v>601</v>
      </c>
      <c r="AE4" s="20" t="s">
        <v>602</v>
      </c>
      <c r="AF4" s="20" t="s">
        <v>603</v>
      </c>
      <c r="AG4" s="20" t="s">
        <v>604</v>
      </c>
      <c r="AH4" s="20" t="s">
        <v>605</v>
      </c>
      <c r="AI4" s="20" t="s">
        <v>606</v>
      </c>
      <c r="AJ4" s="46" t="s">
        <v>607</v>
      </c>
      <c r="AK4" s="54" t="s">
        <v>608</v>
      </c>
      <c r="AL4" s="54" t="s">
        <v>609</v>
      </c>
      <c r="AM4" s="20" t="s">
        <v>610</v>
      </c>
      <c r="AN4" s="54" t="s">
        <v>611</v>
      </c>
      <c r="AO4" s="20" t="s">
        <v>612</v>
      </c>
      <c r="AP4" s="46" t="s">
        <v>613</v>
      </c>
      <c r="AQ4" s="54" t="s">
        <v>614</v>
      </c>
      <c r="AR4" s="20" t="s">
        <v>615</v>
      </c>
      <c r="AS4" s="20" t="s">
        <v>616</v>
      </c>
      <c r="AT4" s="20" t="s">
        <v>617</v>
      </c>
      <c r="AU4" s="20" t="s">
        <v>618</v>
      </c>
      <c r="AV4" s="46" t="s">
        <v>619</v>
      </c>
      <c r="AW4" s="20" t="s">
        <v>620</v>
      </c>
      <c r="AX4" s="20" t="s">
        <v>621</v>
      </c>
      <c r="AY4" s="20" t="s">
        <v>622</v>
      </c>
      <c r="AZ4" s="54" t="s">
        <v>623</v>
      </c>
      <c r="BA4" s="54" t="s">
        <v>624</v>
      </c>
      <c r="BB4" s="111" t="s">
        <v>625</v>
      </c>
    </row>
    <row r="5" spans="1:54" ht="23.1" customHeight="1" x14ac:dyDescent="0.3">
      <c r="A5" s="99">
        <v>1</v>
      </c>
      <c r="B5" s="76" t="s">
        <v>36</v>
      </c>
      <c r="C5" s="77" t="s">
        <v>37</v>
      </c>
      <c r="D5" s="76" t="s">
        <v>542</v>
      </c>
      <c r="E5" s="76" t="s">
        <v>35</v>
      </c>
      <c r="F5" s="76" t="str">
        <f>REPT(CHAR(160),10)&amp;Working!$E5</f>
        <v>          A</v>
      </c>
      <c r="G5" s="78">
        <v>0</v>
      </c>
      <c r="H5" s="78">
        <v>0</v>
      </c>
      <c r="I5" s="78">
        <v>5</v>
      </c>
      <c r="J5" s="78">
        <v>0</v>
      </c>
      <c r="K5" s="79">
        <v>0</v>
      </c>
      <c r="L5" s="80">
        <v>5</v>
      </c>
      <c r="M5" s="78">
        <v>0</v>
      </c>
      <c r="N5" s="78">
        <v>4</v>
      </c>
      <c r="O5" s="78">
        <v>4</v>
      </c>
      <c r="P5" s="81">
        <v>0</v>
      </c>
      <c r="Q5" s="82">
        <v>4</v>
      </c>
      <c r="R5" s="43">
        <v>4</v>
      </c>
      <c r="S5" s="32">
        <v>0</v>
      </c>
      <c r="T5" s="34">
        <v>0</v>
      </c>
      <c r="U5" s="63">
        <v>0</v>
      </c>
      <c r="V5" s="34">
        <v>0</v>
      </c>
      <c r="W5" s="34">
        <v>0</v>
      </c>
      <c r="X5" s="42">
        <v>0</v>
      </c>
      <c r="Y5" s="34">
        <v>4</v>
      </c>
      <c r="Z5" s="34">
        <v>0</v>
      </c>
      <c r="AA5" s="34">
        <v>0</v>
      </c>
      <c r="AB5" s="34">
        <v>0</v>
      </c>
      <c r="AC5" s="34">
        <v>0</v>
      </c>
      <c r="AD5" s="42">
        <v>4</v>
      </c>
      <c r="AE5" s="34">
        <v>0</v>
      </c>
      <c r="AF5" s="34">
        <v>0</v>
      </c>
      <c r="AG5" s="34">
        <v>0</v>
      </c>
      <c r="AH5" s="34">
        <v>0</v>
      </c>
      <c r="AI5" s="34">
        <v>4</v>
      </c>
      <c r="AJ5" s="42">
        <v>0</v>
      </c>
      <c r="AK5" s="32">
        <v>5</v>
      </c>
      <c r="AL5" s="32">
        <v>5</v>
      </c>
      <c r="AM5" s="63">
        <v>0</v>
      </c>
      <c r="AN5" s="32">
        <v>5</v>
      </c>
      <c r="AO5" s="34">
        <v>0</v>
      </c>
      <c r="AP5" s="43">
        <v>5</v>
      </c>
      <c r="AQ5" s="32">
        <v>5</v>
      </c>
      <c r="AR5" s="34">
        <v>0</v>
      </c>
      <c r="AS5" s="34">
        <v>0</v>
      </c>
      <c r="AT5" s="34">
        <v>0</v>
      </c>
      <c r="AU5" s="34">
        <v>0</v>
      </c>
      <c r="AV5" s="42">
        <v>5</v>
      </c>
      <c r="AW5" s="34">
        <v>0</v>
      </c>
      <c r="AX5" s="34">
        <v>0</v>
      </c>
      <c r="AY5" s="34">
        <v>0</v>
      </c>
      <c r="AZ5" s="32">
        <v>4</v>
      </c>
      <c r="BA5" s="70">
        <v>5</v>
      </c>
      <c r="BB5" s="98">
        <v>4.5</v>
      </c>
    </row>
    <row r="6" spans="1:54" ht="23.1" customHeight="1" x14ac:dyDescent="0.3">
      <c r="A6" s="100">
        <v>2</v>
      </c>
      <c r="B6" s="83" t="s">
        <v>75</v>
      </c>
      <c r="C6" s="84" t="s">
        <v>76</v>
      </c>
      <c r="D6" s="83" t="s">
        <v>450</v>
      </c>
      <c r="E6" s="83" t="s">
        <v>35</v>
      </c>
      <c r="F6" s="83" t="str">
        <f>REPT(CHAR(160),10)&amp;Working!$E6</f>
        <v>          A</v>
      </c>
      <c r="G6" s="74">
        <v>0</v>
      </c>
      <c r="H6" s="74">
        <v>0</v>
      </c>
      <c r="I6" s="74">
        <v>4</v>
      </c>
      <c r="J6" s="74">
        <v>0</v>
      </c>
      <c r="K6" s="85">
        <v>0</v>
      </c>
      <c r="L6" s="80">
        <v>4</v>
      </c>
      <c r="M6" s="74">
        <v>0</v>
      </c>
      <c r="N6" s="74">
        <v>4</v>
      </c>
      <c r="O6" s="74">
        <v>4</v>
      </c>
      <c r="P6" s="86">
        <v>0</v>
      </c>
      <c r="Q6" s="87">
        <v>4</v>
      </c>
      <c r="R6" s="43">
        <v>4</v>
      </c>
      <c r="S6" s="32">
        <v>0</v>
      </c>
      <c r="T6" s="16">
        <v>0</v>
      </c>
      <c r="U6" s="64">
        <v>0</v>
      </c>
      <c r="V6" s="16">
        <v>0</v>
      </c>
      <c r="W6" s="16">
        <v>0</v>
      </c>
      <c r="X6" s="42">
        <v>0</v>
      </c>
      <c r="Y6" s="16">
        <v>5</v>
      </c>
      <c r="Z6" s="16">
        <v>0</v>
      </c>
      <c r="AA6" s="16">
        <v>0</v>
      </c>
      <c r="AB6" s="16">
        <v>0</v>
      </c>
      <c r="AC6" s="16">
        <v>0</v>
      </c>
      <c r="AD6" s="42">
        <v>5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42">
        <v>0</v>
      </c>
      <c r="AK6" s="24">
        <v>4</v>
      </c>
      <c r="AL6" s="24">
        <v>4</v>
      </c>
      <c r="AM6" s="64">
        <v>0</v>
      </c>
      <c r="AN6" s="24">
        <v>4</v>
      </c>
      <c r="AO6" s="16">
        <v>0</v>
      </c>
      <c r="AP6" s="43">
        <v>4</v>
      </c>
      <c r="AQ6" s="32">
        <v>4</v>
      </c>
      <c r="AR6" s="16">
        <v>0</v>
      </c>
      <c r="AS6" s="16">
        <v>0</v>
      </c>
      <c r="AT6" s="16">
        <v>0</v>
      </c>
      <c r="AU6" s="16">
        <v>0</v>
      </c>
      <c r="AV6" s="42">
        <v>4</v>
      </c>
      <c r="AW6" s="16">
        <v>0</v>
      </c>
      <c r="AX6" s="16">
        <v>0</v>
      </c>
      <c r="AY6" s="34">
        <v>0</v>
      </c>
      <c r="AZ6" s="32">
        <v>4</v>
      </c>
      <c r="BA6" s="70">
        <v>4</v>
      </c>
      <c r="BB6" s="98">
        <v>4</v>
      </c>
    </row>
    <row r="7" spans="1:54" ht="23.1" customHeight="1" x14ac:dyDescent="0.3">
      <c r="A7" s="99">
        <v>3</v>
      </c>
      <c r="B7" s="76" t="s">
        <v>64</v>
      </c>
      <c r="C7" s="77" t="s">
        <v>65</v>
      </c>
      <c r="D7" s="76" t="s">
        <v>542</v>
      </c>
      <c r="E7" s="76" t="s">
        <v>35</v>
      </c>
      <c r="F7" s="76" t="str">
        <f>REPT(CHAR(160),10)&amp;Working!$E7</f>
        <v>          A</v>
      </c>
      <c r="G7" s="78">
        <v>0</v>
      </c>
      <c r="H7" s="78">
        <v>0</v>
      </c>
      <c r="I7" s="78">
        <v>4</v>
      </c>
      <c r="J7" s="78">
        <v>0</v>
      </c>
      <c r="K7" s="79">
        <v>0</v>
      </c>
      <c r="L7" s="80">
        <v>4</v>
      </c>
      <c r="M7" s="78">
        <v>0</v>
      </c>
      <c r="N7" s="78">
        <v>4</v>
      </c>
      <c r="O7" s="78">
        <v>4</v>
      </c>
      <c r="P7" s="81">
        <v>0</v>
      </c>
      <c r="Q7" s="82">
        <v>4</v>
      </c>
      <c r="R7" s="43">
        <v>4</v>
      </c>
      <c r="S7" s="32">
        <v>0</v>
      </c>
      <c r="T7" s="34">
        <v>0</v>
      </c>
      <c r="U7" s="65">
        <v>0</v>
      </c>
      <c r="V7" s="34">
        <v>0</v>
      </c>
      <c r="W7" s="34">
        <v>0</v>
      </c>
      <c r="X7" s="42">
        <v>0</v>
      </c>
      <c r="Y7" s="34">
        <v>4</v>
      </c>
      <c r="Z7" s="34">
        <v>0</v>
      </c>
      <c r="AA7" s="34">
        <v>0</v>
      </c>
      <c r="AB7" s="34">
        <v>0</v>
      </c>
      <c r="AC7" s="34">
        <v>0</v>
      </c>
      <c r="AD7" s="42">
        <v>4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42">
        <v>0</v>
      </c>
      <c r="AK7" s="33">
        <v>4</v>
      </c>
      <c r="AL7" s="33">
        <v>4</v>
      </c>
      <c r="AM7" s="65">
        <v>0</v>
      </c>
      <c r="AN7" s="33">
        <v>4</v>
      </c>
      <c r="AO7" s="34">
        <v>0</v>
      </c>
      <c r="AP7" s="43">
        <v>4</v>
      </c>
      <c r="AQ7" s="32">
        <v>4</v>
      </c>
      <c r="AR7" s="34">
        <v>0</v>
      </c>
      <c r="AS7" s="70">
        <v>0</v>
      </c>
      <c r="AT7" s="34">
        <v>0</v>
      </c>
      <c r="AU7" s="34">
        <v>0</v>
      </c>
      <c r="AV7" s="42">
        <v>4</v>
      </c>
      <c r="AW7" s="34">
        <v>0</v>
      </c>
      <c r="AX7" s="34">
        <v>0</v>
      </c>
      <c r="AY7" s="34">
        <v>0</v>
      </c>
      <c r="AZ7" s="32">
        <v>4</v>
      </c>
      <c r="BA7" s="70">
        <v>4</v>
      </c>
      <c r="BB7" s="98">
        <v>4</v>
      </c>
    </row>
    <row r="8" spans="1:54" ht="23.1" customHeight="1" x14ac:dyDescent="0.3">
      <c r="A8" s="100">
        <v>4</v>
      </c>
      <c r="B8" s="83" t="s">
        <v>99</v>
      </c>
      <c r="C8" s="84" t="s">
        <v>100</v>
      </c>
      <c r="D8" s="83" t="s">
        <v>450</v>
      </c>
      <c r="E8" s="83" t="s">
        <v>35</v>
      </c>
      <c r="F8" s="83" t="str">
        <f>REPT(CHAR(160),10)&amp;Working!$E8</f>
        <v>          A</v>
      </c>
      <c r="G8" s="74">
        <v>0</v>
      </c>
      <c r="H8" s="74">
        <v>0</v>
      </c>
      <c r="I8" s="74">
        <v>4</v>
      </c>
      <c r="J8" s="74">
        <v>0</v>
      </c>
      <c r="K8" s="85">
        <v>0</v>
      </c>
      <c r="L8" s="80">
        <v>4</v>
      </c>
      <c r="M8" s="74">
        <v>0</v>
      </c>
      <c r="N8" s="74">
        <v>4</v>
      </c>
      <c r="O8" s="74">
        <v>5</v>
      </c>
      <c r="P8" s="88">
        <v>0</v>
      </c>
      <c r="Q8" s="89">
        <v>5</v>
      </c>
      <c r="R8" s="43">
        <v>4.666666666666667</v>
      </c>
      <c r="S8" s="32">
        <v>0</v>
      </c>
      <c r="T8" s="16">
        <v>0</v>
      </c>
      <c r="U8" s="66">
        <v>0</v>
      </c>
      <c r="V8" s="16">
        <v>0</v>
      </c>
      <c r="W8" s="16">
        <v>0</v>
      </c>
      <c r="X8" s="42">
        <v>0</v>
      </c>
      <c r="Y8" s="16">
        <v>4</v>
      </c>
      <c r="Z8" s="16">
        <v>0</v>
      </c>
      <c r="AA8" s="16">
        <v>0</v>
      </c>
      <c r="AB8" s="16">
        <v>0</v>
      </c>
      <c r="AC8" s="16">
        <v>0</v>
      </c>
      <c r="AD8" s="42">
        <v>4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42">
        <v>0</v>
      </c>
      <c r="AK8" s="29">
        <v>5</v>
      </c>
      <c r="AL8" s="29">
        <v>4</v>
      </c>
      <c r="AM8" s="66">
        <v>0</v>
      </c>
      <c r="AN8" s="29">
        <v>4</v>
      </c>
      <c r="AO8" s="16">
        <v>0</v>
      </c>
      <c r="AP8" s="43">
        <v>4.333333333333333</v>
      </c>
      <c r="AQ8" s="32">
        <v>5</v>
      </c>
      <c r="AR8" s="16">
        <v>0</v>
      </c>
      <c r="AS8" s="30">
        <v>0</v>
      </c>
      <c r="AT8" s="16">
        <v>0</v>
      </c>
      <c r="AU8" s="16">
        <v>0</v>
      </c>
      <c r="AV8" s="42">
        <v>5</v>
      </c>
      <c r="AW8" s="16">
        <v>0</v>
      </c>
      <c r="AX8" s="16">
        <v>0</v>
      </c>
      <c r="AY8" s="34">
        <v>0</v>
      </c>
      <c r="AZ8" s="32">
        <v>4</v>
      </c>
      <c r="BA8" s="70">
        <v>4</v>
      </c>
      <c r="BB8" s="98">
        <v>4</v>
      </c>
    </row>
    <row r="9" spans="1:54" ht="23.1" customHeight="1" x14ac:dyDescent="0.3">
      <c r="A9" s="99">
        <v>5</v>
      </c>
      <c r="B9" s="76" t="s">
        <v>290</v>
      </c>
      <c r="C9" s="77" t="s">
        <v>538</v>
      </c>
      <c r="D9" s="76" t="s">
        <v>450</v>
      </c>
      <c r="E9" s="76" t="s">
        <v>289</v>
      </c>
      <c r="F9" s="76" t="str">
        <f>REPT(CHAR(160),10)&amp;Working!$E9</f>
        <v>          D</v>
      </c>
      <c r="G9" s="78">
        <v>0</v>
      </c>
      <c r="H9" s="78">
        <v>0</v>
      </c>
      <c r="I9" s="78" t="s">
        <v>35</v>
      </c>
      <c r="J9" s="78">
        <v>0</v>
      </c>
      <c r="K9" s="79">
        <v>0</v>
      </c>
      <c r="L9" s="80" t="s">
        <v>35</v>
      </c>
      <c r="M9" s="78">
        <v>0</v>
      </c>
      <c r="N9" s="78" t="s">
        <v>582</v>
      </c>
      <c r="O9" s="78" t="s">
        <v>582</v>
      </c>
      <c r="P9" s="81">
        <v>0</v>
      </c>
      <c r="Q9" s="82" t="s">
        <v>582</v>
      </c>
      <c r="R9" s="43">
        <v>0</v>
      </c>
      <c r="S9" s="32">
        <v>0</v>
      </c>
      <c r="T9" s="34">
        <v>0</v>
      </c>
      <c r="U9" s="65">
        <v>0</v>
      </c>
      <c r="V9" s="34">
        <v>0</v>
      </c>
      <c r="W9" s="34">
        <v>0</v>
      </c>
      <c r="X9" s="42">
        <v>0</v>
      </c>
      <c r="Y9" s="34" t="s">
        <v>582</v>
      </c>
      <c r="Z9" s="34">
        <v>0</v>
      </c>
      <c r="AA9" s="34">
        <v>0</v>
      </c>
      <c r="AB9" s="34">
        <v>0</v>
      </c>
      <c r="AC9" s="34">
        <v>0</v>
      </c>
      <c r="AD9" s="42" t="s">
        <v>582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42">
        <v>0</v>
      </c>
      <c r="AK9" s="33" t="s">
        <v>582</v>
      </c>
      <c r="AL9" s="33" t="s">
        <v>582</v>
      </c>
      <c r="AM9" s="65">
        <v>0</v>
      </c>
      <c r="AN9" s="33" t="s">
        <v>582</v>
      </c>
      <c r="AO9" s="34">
        <v>0</v>
      </c>
      <c r="AP9" s="43" t="e">
        <v>#DIV/0!</v>
      </c>
      <c r="AQ9" s="32" t="s">
        <v>582</v>
      </c>
      <c r="AR9" s="34">
        <v>0</v>
      </c>
      <c r="AS9" s="71">
        <v>0</v>
      </c>
      <c r="AT9" s="34">
        <v>0</v>
      </c>
      <c r="AU9" s="34">
        <v>0</v>
      </c>
      <c r="AV9" s="42" t="s">
        <v>582</v>
      </c>
      <c r="AW9" s="34">
        <v>0</v>
      </c>
      <c r="AX9" s="34">
        <v>0</v>
      </c>
      <c r="AY9" s="34">
        <v>0</v>
      </c>
      <c r="AZ9" s="32" t="s">
        <v>582</v>
      </c>
      <c r="BA9" s="70" t="s">
        <v>582</v>
      </c>
      <c r="BB9" s="98" t="e">
        <v>#DIV/0!</v>
      </c>
    </row>
    <row r="10" spans="1:54" ht="23.1" customHeight="1" x14ac:dyDescent="0.3">
      <c r="A10" s="100">
        <v>6</v>
      </c>
      <c r="B10" s="83" t="s">
        <v>101</v>
      </c>
      <c r="C10" s="84" t="s">
        <v>102</v>
      </c>
      <c r="D10" s="83" t="s">
        <v>450</v>
      </c>
      <c r="E10" s="83" t="s">
        <v>35</v>
      </c>
      <c r="F10" s="83" t="str">
        <f>REPT(CHAR(160),10)&amp;Working!$E10</f>
        <v>          A</v>
      </c>
      <c r="G10" s="74">
        <v>0</v>
      </c>
      <c r="H10" s="74">
        <v>0</v>
      </c>
      <c r="I10" s="74">
        <v>4</v>
      </c>
      <c r="J10" s="74">
        <v>0</v>
      </c>
      <c r="K10" s="85">
        <v>0</v>
      </c>
      <c r="L10" s="80">
        <v>4</v>
      </c>
      <c r="M10" s="74">
        <v>0</v>
      </c>
      <c r="N10" s="74">
        <v>5</v>
      </c>
      <c r="O10" s="74">
        <v>4</v>
      </c>
      <c r="P10" s="86">
        <v>0</v>
      </c>
      <c r="Q10" s="87">
        <v>4</v>
      </c>
      <c r="R10" s="43">
        <v>4.333333333333333</v>
      </c>
      <c r="S10" s="32">
        <v>0</v>
      </c>
      <c r="T10" s="16">
        <v>0</v>
      </c>
      <c r="U10" s="64">
        <v>0</v>
      </c>
      <c r="V10" s="16">
        <v>0</v>
      </c>
      <c r="W10" s="16">
        <v>0</v>
      </c>
      <c r="X10" s="42">
        <v>0</v>
      </c>
      <c r="Y10" s="16">
        <v>5</v>
      </c>
      <c r="Z10" s="16">
        <v>0</v>
      </c>
      <c r="AA10" s="16">
        <v>0</v>
      </c>
      <c r="AB10" s="16">
        <v>0</v>
      </c>
      <c r="AC10" s="16">
        <v>0</v>
      </c>
      <c r="AD10" s="42">
        <v>5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42">
        <v>0</v>
      </c>
      <c r="AK10" s="24">
        <v>5</v>
      </c>
      <c r="AL10" s="24">
        <v>5</v>
      </c>
      <c r="AM10" s="64">
        <v>0</v>
      </c>
      <c r="AN10" s="24">
        <v>5</v>
      </c>
      <c r="AO10" s="16">
        <v>0</v>
      </c>
      <c r="AP10" s="43">
        <v>5</v>
      </c>
      <c r="AQ10" s="32">
        <v>5</v>
      </c>
      <c r="AR10" s="16">
        <v>0</v>
      </c>
      <c r="AS10" s="31">
        <v>0</v>
      </c>
      <c r="AT10" s="16">
        <v>0</v>
      </c>
      <c r="AU10" s="16">
        <v>0</v>
      </c>
      <c r="AV10" s="42">
        <v>5</v>
      </c>
      <c r="AW10" s="16">
        <v>0</v>
      </c>
      <c r="AX10" s="16">
        <v>0</v>
      </c>
      <c r="AY10" s="34">
        <v>0</v>
      </c>
      <c r="AZ10" s="32">
        <v>5</v>
      </c>
      <c r="BA10" s="70">
        <v>5</v>
      </c>
      <c r="BB10" s="98">
        <v>5</v>
      </c>
    </row>
    <row r="11" spans="1:54" ht="23.1" customHeight="1" x14ac:dyDescent="0.3">
      <c r="A11" s="99">
        <v>7</v>
      </c>
      <c r="B11" s="76" t="s">
        <v>72</v>
      </c>
      <c r="C11" s="77" t="s">
        <v>73</v>
      </c>
      <c r="D11" s="76" t="s">
        <v>450</v>
      </c>
      <c r="E11" s="76" t="s">
        <v>35</v>
      </c>
      <c r="F11" s="76" t="str">
        <f>REPT(CHAR(160),10)&amp;Working!$E11</f>
        <v>          A</v>
      </c>
      <c r="G11" s="78">
        <v>0</v>
      </c>
      <c r="H11" s="78">
        <v>0</v>
      </c>
      <c r="I11" s="78">
        <v>5</v>
      </c>
      <c r="J11" s="78">
        <v>0</v>
      </c>
      <c r="K11" s="79">
        <v>0</v>
      </c>
      <c r="L11" s="80">
        <v>5</v>
      </c>
      <c r="M11" s="78">
        <v>0</v>
      </c>
      <c r="N11" s="78">
        <v>5</v>
      </c>
      <c r="O11" s="78">
        <v>5</v>
      </c>
      <c r="P11" s="81">
        <v>0</v>
      </c>
      <c r="Q11" s="82">
        <v>5</v>
      </c>
      <c r="R11" s="43">
        <v>5</v>
      </c>
      <c r="S11" s="32">
        <v>0</v>
      </c>
      <c r="T11" s="34">
        <v>0</v>
      </c>
      <c r="U11" s="65">
        <v>0</v>
      </c>
      <c r="V11" s="34">
        <v>0</v>
      </c>
      <c r="W11" s="34">
        <v>0</v>
      </c>
      <c r="X11" s="42">
        <v>0</v>
      </c>
      <c r="Y11" s="34">
        <v>5</v>
      </c>
      <c r="Z11" s="34">
        <v>0</v>
      </c>
      <c r="AA11" s="34">
        <v>0</v>
      </c>
      <c r="AB11" s="34">
        <v>0</v>
      </c>
      <c r="AC11" s="34">
        <v>0</v>
      </c>
      <c r="AD11" s="42">
        <v>5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42">
        <v>0</v>
      </c>
      <c r="AK11" s="33">
        <v>4</v>
      </c>
      <c r="AL11" s="33">
        <v>5</v>
      </c>
      <c r="AM11" s="65">
        <v>0</v>
      </c>
      <c r="AN11" s="33">
        <v>5</v>
      </c>
      <c r="AO11" s="34">
        <v>0</v>
      </c>
      <c r="AP11" s="43">
        <v>4.666666666666667</v>
      </c>
      <c r="AQ11" s="32">
        <v>5</v>
      </c>
      <c r="AR11" s="34">
        <v>0</v>
      </c>
      <c r="AS11" s="71">
        <v>0</v>
      </c>
      <c r="AT11" s="34">
        <v>0</v>
      </c>
      <c r="AU11" s="34">
        <v>0</v>
      </c>
      <c r="AV11" s="42">
        <v>5</v>
      </c>
      <c r="AW11" s="34">
        <v>0</v>
      </c>
      <c r="AX11" s="34">
        <v>0</v>
      </c>
      <c r="AY11" s="34">
        <v>0</v>
      </c>
      <c r="AZ11" s="32">
        <v>5</v>
      </c>
      <c r="BA11" s="70">
        <v>4</v>
      </c>
      <c r="BB11" s="98">
        <v>4.5</v>
      </c>
    </row>
    <row r="12" spans="1:54" ht="23.1" customHeight="1" x14ac:dyDescent="0.3">
      <c r="A12" s="100">
        <v>8</v>
      </c>
      <c r="B12" s="83" t="s">
        <v>291</v>
      </c>
      <c r="C12" s="84" t="s">
        <v>292</v>
      </c>
      <c r="D12" s="83" t="s">
        <v>450</v>
      </c>
      <c r="E12" s="83" t="s">
        <v>493</v>
      </c>
      <c r="F12" s="83" t="str">
        <f>REPT(CHAR(160),10)&amp;Working!$E12</f>
        <v>          C</v>
      </c>
      <c r="G12" s="74">
        <v>0</v>
      </c>
      <c r="H12" s="74">
        <v>0</v>
      </c>
      <c r="I12" s="74">
        <v>4</v>
      </c>
      <c r="J12" s="74">
        <v>0</v>
      </c>
      <c r="K12" s="85">
        <v>0</v>
      </c>
      <c r="L12" s="80">
        <v>4</v>
      </c>
      <c r="M12" s="74">
        <v>0</v>
      </c>
      <c r="N12" s="74">
        <v>4</v>
      </c>
      <c r="O12" s="74">
        <v>4</v>
      </c>
      <c r="P12" s="86">
        <v>0</v>
      </c>
      <c r="Q12" s="87">
        <v>4</v>
      </c>
      <c r="R12" s="43">
        <v>4</v>
      </c>
      <c r="S12" s="32">
        <v>0</v>
      </c>
      <c r="T12" s="16">
        <v>0</v>
      </c>
      <c r="U12" s="64">
        <v>0</v>
      </c>
      <c r="V12" s="16">
        <v>0</v>
      </c>
      <c r="W12" s="16">
        <v>0</v>
      </c>
      <c r="X12" s="42">
        <v>0</v>
      </c>
      <c r="Y12" s="16">
        <v>4</v>
      </c>
      <c r="Z12" s="16">
        <v>0</v>
      </c>
      <c r="AA12" s="16">
        <v>0</v>
      </c>
      <c r="AB12" s="16">
        <v>0</v>
      </c>
      <c r="AC12" s="16">
        <v>0</v>
      </c>
      <c r="AD12" s="42">
        <v>4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42">
        <v>0</v>
      </c>
      <c r="AK12" s="24">
        <v>4</v>
      </c>
      <c r="AL12" s="24">
        <v>5</v>
      </c>
      <c r="AM12" s="64">
        <v>0</v>
      </c>
      <c r="AN12" s="24">
        <v>5</v>
      </c>
      <c r="AO12" s="16">
        <v>0</v>
      </c>
      <c r="AP12" s="43">
        <v>4.666666666666667</v>
      </c>
      <c r="AQ12" s="32">
        <v>4</v>
      </c>
      <c r="AR12" s="16">
        <v>0</v>
      </c>
      <c r="AS12" s="30">
        <v>0</v>
      </c>
      <c r="AT12" s="16">
        <v>0</v>
      </c>
      <c r="AU12" s="16">
        <v>0</v>
      </c>
      <c r="AV12" s="42">
        <v>4</v>
      </c>
      <c r="AW12" s="16">
        <v>0</v>
      </c>
      <c r="AX12" s="16">
        <v>0</v>
      </c>
      <c r="AY12" s="34">
        <v>0</v>
      </c>
      <c r="AZ12" s="32">
        <v>4</v>
      </c>
      <c r="BA12" s="70">
        <v>4</v>
      </c>
      <c r="BB12" s="98">
        <v>4</v>
      </c>
    </row>
    <row r="13" spans="1:54" ht="23.1" customHeight="1" x14ac:dyDescent="0.3">
      <c r="A13" s="99">
        <v>9</v>
      </c>
      <c r="B13" s="76" t="s">
        <v>103</v>
      </c>
      <c r="C13" s="77" t="s">
        <v>104</v>
      </c>
      <c r="D13" s="76" t="s">
        <v>542</v>
      </c>
      <c r="E13" s="76" t="s">
        <v>35</v>
      </c>
      <c r="F13" s="76" t="str">
        <f>REPT(CHAR(160),10)&amp;Working!$E13</f>
        <v>          A</v>
      </c>
      <c r="G13" s="78">
        <v>0</v>
      </c>
      <c r="H13" s="78">
        <v>0</v>
      </c>
      <c r="I13" s="78">
        <v>4</v>
      </c>
      <c r="J13" s="78">
        <v>0</v>
      </c>
      <c r="K13" s="79">
        <v>0</v>
      </c>
      <c r="L13" s="80">
        <v>4</v>
      </c>
      <c r="M13" s="78">
        <v>0</v>
      </c>
      <c r="N13" s="78">
        <v>4</v>
      </c>
      <c r="O13" s="78">
        <v>4</v>
      </c>
      <c r="P13" s="81">
        <v>0</v>
      </c>
      <c r="Q13" s="82">
        <v>4</v>
      </c>
      <c r="R13" s="43">
        <v>4</v>
      </c>
      <c r="S13" s="32">
        <v>0</v>
      </c>
      <c r="T13" s="34">
        <v>0</v>
      </c>
      <c r="U13" s="65">
        <v>0</v>
      </c>
      <c r="V13" s="34">
        <v>0</v>
      </c>
      <c r="W13" s="34">
        <v>0</v>
      </c>
      <c r="X13" s="42">
        <v>0</v>
      </c>
      <c r="Y13" s="34">
        <v>4</v>
      </c>
      <c r="Z13" s="34">
        <v>0</v>
      </c>
      <c r="AA13" s="34">
        <v>0</v>
      </c>
      <c r="AB13" s="34">
        <v>0</v>
      </c>
      <c r="AC13" s="34">
        <v>0</v>
      </c>
      <c r="AD13" s="42">
        <v>4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42">
        <v>0</v>
      </c>
      <c r="AK13" s="33">
        <v>4</v>
      </c>
      <c r="AL13" s="33">
        <v>5</v>
      </c>
      <c r="AM13" s="65">
        <v>0</v>
      </c>
      <c r="AN13" s="33">
        <v>4</v>
      </c>
      <c r="AO13" s="34">
        <v>0</v>
      </c>
      <c r="AP13" s="43">
        <v>4.333333333333333</v>
      </c>
      <c r="AQ13" s="32">
        <v>5</v>
      </c>
      <c r="AR13" s="34">
        <v>0</v>
      </c>
      <c r="AS13" s="71">
        <v>0</v>
      </c>
      <c r="AT13" s="34">
        <v>0</v>
      </c>
      <c r="AU13" s="34">
        <v>0</v>
      </c>
      <c r="AV13" s="42">
        <v>5</v>
      </c>
      <c r="AW13" s="34">
        <v>0</v>
      </c>
      <c r="AX13" s="34">
        <v>0</v>
      </c>
      <c r="AY13" s="34">
        <v>0</v>
      </c>
      <c r="AZ13" s="32">
        <v>4</v>
      </c>
      <c r="BA13" s="70">
        <v>4</v>
      </c>
      <c r="BB13" s="98">
        <v>4</v>
      </c>
    </row>
    <row r="14" spans="1:54" ht="23.1" customHeight="1" x14ac:dyDescent="0.3">
      <c r="A14" s="100">
        <v>10</v>
      </c>
      <c r="B14" s="83" t="s">
        <v>68</v>
      </c>
      <c r="C14" s="84" t="s">
        <v>69</v>
      </c>
      <c r="D14" s="83" t="s">
        <v>450</v>
      </c>
      <c r="E14" s="83" t="s">
        <v>35</v>
      </c>
      <c r="F14" s="83" t="str">
        <f>REPT(CHAR(160),10)&amp;Working!$E14</f>
        <v>          A</v>
      </c>
      <c r="G14" s="74">
        <v>0</v>
      </c>
      <c r="H14" s="74">
        <v>0</v>
      </c>
      <c r="I14" s="74">
        <v>4</v>
      </c>
      <c r="J14" s="74">
        <v>0</v>
      </c>
      <c r="K14" s="85">
        <v>0</v>
      </c>
      <c r="L14" s="80">
        <v>4</v>
      </c>
      <c r="M14" s="74">
        <v>0</v>
      </c>
      <c r="N14" s="74">
        <v>4</v>
      </c>
      <c r="O14" s="74">
        <v>5</v>
      </c>
      <c r="P14" s="86">
        <v>0</v>
      </c>
      <c r="Q14" s="87">
        <v>5</v>
      </c>
      <c r="R14" s="43">
        <v>4.666666666666667</v>
      </c>
      <c r="S14" s="32">
        <v>0</v>
      </c>
      <c r="T14" s="16">
        <v>0</v>
      </c>
      <c r="U14" s="64">
        <v>0</v>
      </c>
      <c r="V14" s="16">
        <v>0</v>
      </c>
      <c r="W14" s="16">
        <v>0</v>
      </c>
      <c r="X14" s="42">
        <v>0</v>
      </c>
      <c r="Y14" s="16">
        <v>4</v>
      </c>
      <c r="Z14" s="16">
        <v>0</v>
      </c>
      <c r="AA14" s="16">
        <v>0</v>
      </c>
      <c r="AB14" s="16">
        <v>0</v>
      </c>
      <c r="AC14" s="16">
        <v>0</v>
      </c>
      <c r="AD14" s="42">
        <v>4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42">
        <v>0</v>
      </c>
      <c r="AK14" s="24">
        <v>5</v>
      </c>
      <c r="AL14" s="24">
        <v>4</v>
      </c>
      <c r="AM14" s="64">
        <v>0</v>
      </c>
      <c r="AN14" s="24">
        <v>5</v>
      </c>
      <c r="AO14" s="16">
        <v>0</v>
      </c>
      <c r="AP14" s="43">
        <v>4.666666666666667</v>
      </c>
      <c r="AQ14" s="32">
        <v>5</v>
      </c>
      <c r="AR14" s="16">
        <v>0</v>
      </c>
      <c r="AS14" s="30">
        <v>0</v>
      </c>
      <c r="AT14" s="16">
        <v>0</v>
      </c>
      <c r="AU14" s="16">
        <v>0</v>
      </c>
      <c r="AV14" s="42">
        <v>5</v>
      </c>
      <c r="AW14" s="16">
        <v>0</v>
      </c>
      <c r="AX14" s="16">
        <v>0</v>
      </c>
      <c r="AY14" s="34">
        <v>0</v>
      </c>
      <c r="AZ14" s="32">
        <v>4</v>
      </c>
      <c r="BA14" s="70">
        <v>5</v>
      </c>
      <c r="BB14" s="98">
        <v>4.5</v>
      </c>
    </row>
    <row r="15" spans="1:54" ht="23.1" customHeight="1" x14ac:dyDescent="0.3">
      <c r="A15" s="99">
        <v>11</v>
      </c>
      <c r="B15" s="76" t="s">
        <v>162</v>
      </c>
      <c r="C15" s="77" t="s">
        <v>163</v>
      </c>
      <c r="D15" s="76" t="s">
        <v>450</v>
      </c>
      <c r="E15" s="76" t="s">
        <v>161</v>
      </c>
      <c r="F15" s="76" t="str">
        <f>REPT(CHAR(160),10)&amp;Working!$E15</f>
        <v>          B</v>
      </c>
      <c r="G15" s="78">
        <v>0</v>
      </c>
      <c r="H15" s="78">
        <v>0</v>
      </c>
      <c r="I15" s="78">
        <v>4</v>
      </c>
      <c r="J15" s="78">
        <v>0</v>
      </c>
      <c r="K15" s="79">
        <v>0</v>
      </c>
      <c r="L15" s="80">
        <v>4</v>
      </c>
      <c r="M15" s="78">
        <v>0</v>
      </c>
      <c r="N15" s="78">
        <v>4</v>
      </c>
      <c r="O15" s="78">
        <v>5</v>
      </c>
      <c r="P15" s="81">
        <v>0</v>
      </c>
      <c r="Q15" s="82">
        <v>5</v>
      </c>
      <c r="R15" s="43">
        <v>4.666666666666667</v>
      </c>
      <c r="S15" s="32">
        <v>0</v>
      </c>
      <c r="T15" s="34">
        <v>0</v>
      </c>
      <c r="U15" s="65">
        <v>0</v>
      </c>
      <c r="V15" s="34">
        <v>0</v>
      </c>
      <c r="W15" s="34">
        <v>0</v>
      </c>
      <c r="X15" s="42">
        <v>0</v>
      </c>
      <c r="Y15" s="34">
        <v>5</v>
      </c>
      <c r="Z15" s="34">
        <v>0</v>
      </c>
      <c r="AA15" s="34">
        <v>0</v>
      </c>
      <c r="AB15" s="34">
        <v>0</v>
      </c>
      <c r="AC15" s="34">
        <v>0</v>
      </c>
      <c r="AD15" s="42">
        <v>5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42">
        <v>0</v>
      </c>
      <c r="AK15" s="33">
        <v>4</v>
      </c>
      <c r="AL15" s="33">
        <v>4</v>
      </c>
      <c r="AM15" s="65">
        <v>0</v>
      </c>
      <c r="AN15" s="33">
        <v>4</v>
      </c>
      <c r="AO15" s="34">
        <v>0</v>
      </c>
      <c r="AP15" s="43">
        <v>4</v>
      </c>
      <c r="AQ15" s="32">
        <v>3</v>
      </c>
      <c r="AR15" s="34">
        <v>0</v>
      </c>
      <c r="AS15" s="71">
        <v>0</v>
      </c>
      <c r="AT15" s="34">
        <v>0</v>
      </c>
      <c r="AU15" s="34">
        <v>0</v>
      </c>
      <c r="AV15" s="42">
        <v>3</v>
      </c>
      <c r="AW15" s="34">
        <v>0</v>
      </c>
      <c r="AX15" s="34">
        <v>0</v>
      </c>
      <c r="AY15" s="34">
        <v>0</v>
      </c>
      <c r="AZ15" s="32">
        <v>4</v>
      </c>
      <c r="BA15" s="70">
        <v>4</v>
      </c>
      <c r="BB15" s="98">
        <v>4</v>
      </c>
    </row>
    <row r="16" spans="1:54" ht="23.1" customHeight="1" x14ac:dyDescent="0.3">
      <c r="A16" s="100">
        <v>12</v>
      </c>
      <c r="B16" s="83" t="s">
        <v>178</v>
      </c>
      <c r="C16" s="84" t="s">
        <v>179</v>
      </c>
      <c r="D16" s="83" t="s">
        <v>450</v>
      </c>
      <c r="E16" s="83" t="s">
        <v>161</v>
      </c>
      <c r="F16" s="83" t="str">
        <f>REPT(CHAR(160),10)&amp;Working!$E16</f>
        <v>          B</v>
      </c>
      <c r="G16" s="74">
        <v>0</v>
      </c>
      <c r="H16" s="74">
        <v>0</v>
      </c>
      <c r="I16" s="74">
        <v>5</v>
      </c>
      <c r="J16" s="74">
        <v>0</v>
      </c>
      <c r="K16" s="85">
        <v>0</v>
      </c>
      <c r="L16" s="80">
        <v>5</v>
      </c>
      <c r="M16" s="74">
        <v>0</v>
      </c>
      <c r="N16" s="74">
        <v>4</v>
      </c>
      <c r="O16" s="74">
        <v>5</v>
      </c>
      <c r="P16" s="86">
        <v>0</v>
      </c>
      <c r="Q16" s="87">
        <v>5</v>
      </c>
      <c r="R16" s="43">
        <v>4.666666666666667</v>
      </c>
      <c r="S16" s="32">
        <v>0</v>
      </c>
      <c r="T16" s="16">
        <v>0</v>
      </c>
      <c r="U16" s="64">
        <v>0</v>
      </c>
      <c r="V16" s="16">
        <v>0</v>
      </c>
      <c r="W16" s="16">
        <v>0</v>
      </c>
      <c r="X16" s="42">
        <v>0</v>
      </c>
      <c r="Y16" s="16">
        <v>4</v>
      </c>
      <c r="Z16" s="16">
        <v>0</v>
      </c>
      <c r="AA16" s="16">
        <v>0</v>
      </c>
      <c r="AB16" s="16">
        <v>0</v>
      </c>
      <c r="AC16" s="16">
        <v>0</v>
      </c>
      <c r="AD16" s="42">
        <v>4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42">
        <v>0</v>
      </c>
      <c r="AK16" s="24">
        <v>4</v>
      </c>
      <c r="AL16" s="24">
        <v>3</v>
      </c>
      <c r="AM16" s="64">
        <v>0</v>
      </c>
      <c r="AN16" s="24">
        <v>4</v>
      </c>
      <c r="AO16" s="16">
        <v>0</v>
      </c>
      <c r="AP16" s="43">
        <v>3.6666666666666665</v>
      </c>
      <c r="AQ16" s="32">
        <v>4</v>
      </c>
      <c r="AR16" s="16">
        <v>0</v>
      </c>
      <c r="AS16" s="30">
        <v>0</v>
      </c>
      <c r="AT16" s="16">
        <v>0</v>
      </c>
      <c r="AU16" s="16">
        <v>0</v>
      </c>
      <c r="AV16" s="42">
        <v>4</v>
      </c>
      <c r="AW16" s="16">
        <v>0</v>
      </c>
      <c r="AX16" s="16">
        <v>0</v>
      </c>
      <c r="AY16" s="34">
        <v>0</v>
      </c>
      <c r="AZ16" s="32">
        <v>4</v>
      </c>
      <c r="BA16" s="70">
        <v>4</v>
      </c>
      <c r="BB16" s="98">
        <v>4</v>
      </c>
    </row>
    <row r="17" spans="1:54" ht="23.1" customHeight="1" x14ac:dyDescent="0.3">
      <c r="A17" s="99">
        <v>13</v>
      </c>
      <c r="B17" s="76" t="s">
        <v>87</v>
      </c>
      <c r="C17" s="77" t="s">
        <v>88</v>
      </c>
      <c r="D17" s="76" t="s">
        <v>450</v>
      </c>
      <c r="E17" s="76" t="s">
        <v>35</v>
      </c>
      <c r="F17" s="76" t="str">
        <f>REPT(CHAR(160),10)&amp;Working!$E17</f>
        <v>          A</v>
      </c>
      <c r="G17" s="78">
        <v>0</v>
      </c>
      <c r="H17" s="78">
        <v>0</v>
      </c>
      <c r="I17" s="78">
        <v>4</v>
      </c>
      <c r="J17" s="78">
        <v>0</v>
      </c>
      <c r="K17" s="79">
        <v>0</v>
      </c>
      <c r="L17" s="80">
        <v>4</v>
      </c>
      <c r="M17" s="78">
        <v>0</v>
      </c>
      <c r="N17" s="78">
        <v>4</v>
      </c>
      <c r="O17" s="78">
        <v>4</v>
      </c>
      <c r="P17" s="81">
        <v>0</v>
      </c>
      <c r="Q17" s="82">
        <v>4</v>
      </c>
      <c r="R17" s="43">
        <v>4</v>
      </c>
      <c r="S17" s="32">
        <v>0</v>
      </c>
      <c r="T17" s="34">
        <v>0</v>
      </c>
      <c r="U17" s="65">
        <v>0</v>
      </c>
      <c r="V17" s="34">
        <v>0</v>
      </c>
      <c r="W17" s="34">
        <v>0</v>
      </c>
      <c r="X17" s="42">
        <v>0</v>
      </c>
      <c r="Y17" s="34">
        <v>4</v>
      </c>
      <c r="Z17" s="34">
        <v>0</v>
      </c>
      <c r="AA17" s="34">
        <v>0</v>
      </c>
      <c r="AB17" s="34">
        <v>0</v>
      </c>
      <c r="AC17" s="34">
        <v>0</v>
      </c>
      <c r="AD17" s="42">
        <v>4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42">
        <v>0</v>
      </c>
      <c r="AK17" s="33">
        <v>4</v>
      </c>
      <c r="AL17" s="33">
        <v>4</v>
      </c>
      <c r="AM17" s="65">
        <v>0</v>
      </c>
      <c r="AN17" s="33">
        <v>4</v>
      </c>
      <c r="AO17" s="34">
        <v>0</v>
      </c>
      <c r="AP17" s="43">
        <v>4</v>
      </c>
      <c r="AQ17" s="32">
        <v>4</v>
      </c>
      <c r="AR17" s="34">
        <v>0</v>
      </c>
      <c r="AS17" s="71">
        <v>0</v>
      </c>
      <c r="AT17" s="34">
        <v>0</v>
      </c>
      <c r="AU17" s="34">
        <v>0</v>
      </c>
      <c r="AV17" s="42">
        <v>4</v>
      </c>
      <c r="AW17" s="34">
        <v>0</v>
      </c>
      <c r="AX17" s="34">
        <v>0</v>
      </c>
      <c r="AY17" s="34">
        <v>0</v>
      </c>
      <c r="AZ17" s="32">
        <v>4</v>
      </c>
      <c r="BA17" s="70">
        <v>4</v>
      </c>
      <c r="BB17" s="98">
        <v>4</v>
      </c>
    </row>
    <row r="18" spans="1:54" ht="23.1" customHeight="1" x14ac:dyDescent="0.3">
      <c r="A18" s="100">
        <v>14</v>
      </c>
      <c r="B18" s="83" t="s">
        <v>194</v>
      </c>
      <c r="C18" s="84" t="s">
        <v>195</v>
      </c>
      <c r="D18" s="83" t="s">
        <v>542</v>
      </c>
      <c r="E18" s="83" t="s">
        <v>161</v>
      </c>
      <c r="F18" s="83" t="str">
        <f>REPT(CHAR(160),10)&amp;Working!$E18</f>
        <v>          B</v>
      </c>
      <c r="G18" s="74">
        <v>0</v>
      </c>
      <c r="H18" s="74">
        <v>0</v>
      </c>
      <c r="I18" s="74">
        <v>4</v>
      </c>
      <c r="J18" s="74">
        <v>0</v>
      </c>
      <c r="K18" s="85">
        <v>0</v>
      </c>
      <c r="L18" s="80">
        <v>4</v>
      </c>
      <c r="M18" s="74">
        <v>0</v>
      </c>
      <c r="N18" s="74">
        <v>4</v>
      </c>
      <c r="O18" s="74">
        <v>4</v>
      </c>
      <c r="P18" s="86">
        <v>0</v>
      </c>
      <c r="Q18" s="87">
        <v>4</v>
      </c>
      <c r="R18" s="43">
        <v>4</v>
      </c>
      <c r="S18" s="32">
        <v>0</v>
      </c>
      <c r="T18" s="16">
        <v>0</v>
      </c>
      <c r="U18" s="64">
        <v>0</v>
      </c>
      <c r="V18" s="16">
        <v>0</v>
      </c>
      <c r="W18" s="16">
        <v>0</v>
      </c>
      <c r="X18" s="42">
        <v>0</v>
      </c>
      <c r="Y18" s="16">
        <v>5</v>
      </c>
      <c r="Z18" s="16">
        <v>0</v>
      </c>
      <c r="AA18" s="16">
        <v>0</v>
      </c>
      <c r="AB18" s="16">
        <v>0</v>
      </c>
      <c r="AC18" s="16">
        <v>0</v>
      </c>
      <c r="AD18" s="42">
        <v>5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42">
        <v>0</v>
      </c>
      <c r="AK18" s="24">
        <v>5</v>
      </c>
      <c r="AL18" s="24">
        <v>5</v>
      </c>
      <c r="AM18" s="64">
        <v>0</v>
      </c>
      <c r="AN18" s="24">
        <v>5</v>
      </c>
      <c r="AO18" s="16">
        <v>0</v>
      </c>
      <c r="AP18" s="43">
        <v>5</v>
      </c>
      <c r="AQ18" s="32">
        <v>0</v>
      </c>
      <c r="AR18" s="16">
        <v>0</v>
      </c>
      <c r="AS18" s="30">
        <v>0</v>
      </c>
      <c r="AT18" s="16">
        <v>0</v>
      </c>
      <c r="AU18" s="16">
        <v>0</v>
      </c>
      <c r="AV18" s="42">
        <v>0</v>
      </c>
      <c r="AW18" s="16">
        <v>0</v>
      </c>
      <c r="AX18" s="16">
        <v>0</v>
      </c>
      <c r="AY18" s="34">
        <v>0</v>
      </c>
      <c r="AZ18" s="32">
        <v>4</v>
      </c>
      <c r="BA18" s="70">
        <v>4</v>
      </c>
      <c r="BB18" s="98">
        <v>4</v>
      </c>
    </row>
    <row r="19" spans="1:54" ht="23.1" customHeight="1" x14ac:dyDescent="0.3">
      <c r="A19" s="99">
        <v>15</v>
      </c>
      <c r="B19" s="76" t="s">
        <v>293</v>
      </c>
      <c r="C19" s="77" t="s">
        <v>294</v>
      </c>
      <c r="D19" s="76" t="s">
        <v>542</v>
      </c>
      <c r="E19" s="76" t="s">
        <v>493</v>
      </c>
      <c r="F19" s="76" t="str">
        <f>REPT(CHAR(160),10)&amp;Working!$E19</f>
        <v>          C</v>
      </c>
      <c r="G19" s="78">
        <v>0</v>
      </c>
      <c r="H19" s="78">
        <v>0</v>
      </c>
      <c r="I19" s="78">
        <v>4</v>
      </c>
      <c r="J19" s="78">
        <v>0</v>
      </c>
      <c r="K19" s="79">
        <v>0</v>
      </c>
      <c r="L19" s="80">
        <v>4</v>
      </c>
      <c r="M19" s="78">
        <v>0</v>
      </c>
      <c r="N19" s="78">
        <v>4</v>
      </c>
      <c r="O19" s="78">
        <v>4</v>
      </c>
      <c r="P19" s="81">
        <v>0</v>
      </c>
      <c r="Q19" s="82">
        <v>4</v>
      </c>
      <c r="R19" s="43">
        <v>4</v>
      </c>
      <c r="S19" s="32">
        <v>0</v>
      </c>
      <c r="T19" s="34">
        <v>0</v>
      </c>
      <c r="U19" s="65">
        <v>0</v>
      </c>
      <c r="V19" s="34">
        <v>0</v>
      </c>
      <c r="W19" s="34">
        <v>0</v>
      </c>
      <c r="X19" s="42">
        <v>0</v>
      </c>
      <c r="Y19" s="34">
        <v>4</v>
      </c>
      <c r="Z19" s="34">
        <v>0</v>
      </c>
      <c r="AA19" s="34">
        <v>0</v>
      </c>
      <c r="AB19" s="34">
        <v>0</v>
      </c>
      <c r="AC19" s="34">
        <v>0</v>
      </c>
      <c r="AD19" s="42">
        <v>4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42">
        <v>0</v>
      </c>
      <c r="AK19" s="33">
        <v>4</v>
      </c>
      <c r="AL19" s="33">
        <v>4</v>
      </c>
      <c r="AM19" s="65">
        <v>0</v>
      </c>
      <c r="AN19" s="33">
        <v>4</v>
      </c>
      <c r="AO19" s="34">
        <v>0</v>
      </c>
      <c r="AP19" s="43">
        <v>4</v>
      </c>
      <c r="AQ19" s="32">
        <v>3</v>
      </c>
      <c r="AR19" s="34">
        <v>0</v>
      </c>
      <c r="AS19" s="71">
        <v>0</v>
      </c>
      <c r="AT19" s="34">
        <v>0</v>
      </c>
      <c r="AU19" s="34">
        <v>0</v>
      </c>
      <c r="AV19" s="42">
        <v>3</v>
      </c>
      <c r="AW19" s="34">
        <v>0</v>
      </c>
      <c r="AX19" s="34">
        <v>0</v>
      </c>
      <c r="AY19" s="34">
        <v>0</v>
      </c>
      <c r="AZ19" s="32">
        <v>4</v>
      </c>
      <c r="BA19" s="70">
        <v>4</v>
      </c>
      <c r="BB19" s="98">
        <v>4</v>
      </c>
    </row>
    <row r="20" spans="1:54" ht="23.1" customHeight="1" x14ac:dyDescent="0.3">
      <c r="A20" s="100">
        <v>16</v>
      </c>
      <c r="B20" s="83" t="s">
        <v>105</v>
      </c>
      <c r="C20" s="84" t="s">
        <v>106</v>
      </c>
      <c r="D20" s="83" t="s">
        <v>450</v>
      </c>
      <c r="E20" s="83" t="s">
        <v>35</v>
      </c>
      <c r="F20" s="83" t="str">
        <f>REPT(CHAR(160),10)&amp;Working!$E20</f>
        <v>          A</v>
      </c>
      <c r="G20" s="74">
        <v>0</v>
      </c>
      <c r="H20" s="74">
        <v>0</v>
      </c>
      <c r="I20" s="74">
        <v>4</v>
      </c>
      <c r="J20" s="74">
        <v>0</v>
      </c>
      <c r="K20" s="85">
        <v>0</v>
      </c>
      <c r="L20" s="80">
        <v>4</v>
      </c>
      <c r="M20" s="74">
        <v>0</v>
      </c>
      <c r="N20" s="74">
        <v>4</v>
      </c>
      <c r="O20" s="74">
        <v>4</v>
      </c>
      <c r="P20" s="86">
        <v>0</v>
      </c>
      <c r="Q20" s="87">
        <v>4</v>
      </c>
      <c r="R20" s="43">
        <v>4</v>
      </c>
      <c r="S20" s="32">
        <v>0</v>
      </c>
      <c r="T20" s="16">
        <v>0</v>
      </c>
      <c r="U20" s="64">
        <v>0</v>
      </c>
      <c r="V20" s="16">
        <v>0</v>
      </c>
      <c r="W20" s="16">
        <v>0</v>
      </c>
      <c r="X20" s="42">
        <v>0</v>
      </c>
      <c r="Y20" s="16">
        <v>3</v>
      </c>
      <c r="Z20" s="16">
        <v>0</v>
      </c>
      <c r="AA20" s="16">
        <v>0</v>
      </c>
      <c r="AB20" s="16">
        <v>0</v>
      </c>
      <c r="AC20" s="16">
        <v>0</v>
      </c>
      <c r="AD20" s="42">
        <v>3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42">
        <v>0</v>
      </c>
      <c r="AK20" s="24">
        <v>4</v>
      </c>
      <c r="AL20" s="24">
        <v>3</v>
      </c>
      <c r="AM20" s="64">
        <v>0</v>
      </c>
      <c r="AN20" s="24">
        <v>4</v>
      </c>
      <c r="AO20" s="16">
        <v>0</v>
      </c>
      <c r="AP20" s="43">
        <v>3.6666666666666665</v>
      </c>
      <c r="AQ20" s="32">
        <v>4</v>
      </c>
      <c r="AR20" s="16">
        <v>0</v>
      </c>
      <c r="AS20" s="30">
        <v>0</v>
      </c>
      <c r="AT20" s="16">
        <v>0</v>
      </c>
      <c r="AU20" s="16">
        <v>0</v>
      </c>
      <c r="AV20" s="42">
        <v>4</v>
      </c>
      <c r="AW20" s="16">
        <v>0</v>
      </c>
      <c r="AX20" s="16">
        <v>0</v>
      </c>
      <c r="AY20" s="34">
        <v>0</v>
      </c>
      <c r="AZ20" s="32">
        <v>4</v>
      </c>
      <c r="BA20" s="70">
        <v>4</v>
      </c>
      <c r="BB20" s="98">
        <v>4</v>
      </c>
    </row>
    <row r="21" spans="1:54" ht="23.1" customHeight="1" x14ac:dyDescent="0.3">
      <c r="A21" s="99">
        <v>17</v>
      </c>
      <c r="B21" s="76" t="s">
        <v>295</v>
      </c>
      <c r="C21" s="77" t="s">
        <v>296</v>
      </c>
      <c r="D21" s="76" t="s">
        <v>542</v>
      </c>
      <c r="E21" s="76" t="s">
        <v>493</v>
      </c>
      <c r="F21" s="76" t="str">
        <f>REPT(CHAR(160),10)&amp;Working!$E21</f>
        <v>          C</v>
      </c>
      <c r="G21" s="78">
        <v>0</v>
      </c>
      <c r="H21" s="78">
        <v>0</v>
      </c>
      <c r="I21" s="78">
        <v>4</v>
      </c>
      <c r="J21" s="78">
        <v>0</v>
      </c>
      <c r="K21" s="79">
        <v>0</v>
      </c>
      <c r="L21" s="80">
        <v>4</v>
      </c>
      <c r="M21" s="78">
        <v>0</v>
      </c>
      <c r="N21" s="78">
        <v>4</v>
      </c>
      <c r="O21" s="78">
        <v>4</v>
      </c>
      <c r="P21" s="81">
        <v>0</v>
      </c>
      <c r="Q21" s="82">
        <v>4</v>
      </c>
      <c r="R21" s="43">
        <v>4</v>
      </c>
      <c r="S21" s="32">
        <v>0</v>
      </c>
      <c r="T21" s="34">
        <v>0</v>
      </c>
      <c r="U21" s="65">
        <v>0</v>
      </c>
      <c r="V21" s="34">
        <v>0</v>
      </c>
      <c r="W21" s="34">
        <v>0</v>
      </c>
      <c r="X21" s="42">
        <v>0</v>
      </c>
      <c r="Y21" s="34">
        <v>4</v>
      </c>
      <c r="Z21" s="34">
        <v>0</v>
      </c>
      <c r="AA21" s="34">
        <v>0</v>
      </c>
      <c r="AB21" s="34">
        <v>0</v>
      </c>
      <c r="AC21" s="34">
        <v>0</v>
      </c>
      <c r="AD21" s="42">
        <v>4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42">
        <v>0</v>
      </c>
      <c r="AK21" s="33">
        <v>4</v>
      </c>
      <c r="AL21" s="33">
        <v>5</v>
      </c>
      <c r="AM21" s="65">
        <v>0</v>
      </c>
      <c r="AN21" s="33">
        <v>5</v>
      </c>
      <c r="AO21" s="34">
        <v>0</v>
      </c>
      <c r="AP21" s="43">
        <v>4.666666666666667</v>
      </c>
      <c r="AQ21" s="32">
        <v>5</v>
      </c>
      <c r="AR21" s="34">
        <v>0</v>
      </c>
      <c r="AS21" s="71">
        <v>0</v>
      </c>
      <c r="AT21" s="34">
        <v>0</v>
      </c>
      <c r="AU21" s="34">
        <v>0</v>
      </c>
      <c r="AV21" s="42">
        <v>5</v>
      </c>
      <c r="AW21" s="34">
        <v>0</v>
      </c>
      <c r="AX21" s="34">
        <v>0</v>
      </c>
      <c r="AY21" s="34">
        <v>0</v>
      </c>
      <c r="AZ21" s="32">
        <v>4</v>
      </c>
      <c r="BA21" s="70">
        <v>4</v>
      </c>
      <c r="BB21" s="98">
        <v>4</v>
      </c>
    </row>
    <row r="22" spans="1:54" ht="23.1" customHeight="1" x14ac:dyDescent="0.3">
      <c r="A22" s="100">
        <v>18</v>
      </c>
      <c r="B22" s="83" t="s">
        <v>107</v>
      </c>
      <c r="C22" s="84" t="s">
        <v>108</v>
      </c>
      <c r="D22" s="83" t="s">
        <v>543</v>
      </c>
      <c r="E22" s="83" t="s">
        <v>35</v>
      </c>
      <c r="F22" s="83" t="str">
        <f>REPT(CHAR(160),10)&amp;Working!$E22</f>
        <v>          A</v>
      </c>
      <c r="G22" s="74">
        <v>0</v>
      </c>
      <c r="H22" s="74">
        <v>0</v>
      </c>
      <c r="I22" s="74">
        <v>4</v>
      </c>
      <c r="J22" s="74">
        <v>0</v>
      </c>
      <c r="K22" s="85">
        <v>0</v>
      </c>
      <c r="L22" s="80">
        <v>4</v>
      </c>
      <c r="M22" s="74">
        <v>0</v>
      </c>
      <c r="N22" s="74">
        <v>5</v>
      </c>
      <c r="O22" s="74">
        <v>4</v>
      </c>
      <c r="P22" s="86">
        <v>0</v>
      </c>
      <c r="Q22" s="87">
        <v>4</v>
      </c>
      <c r="R22" s="43">
        <v>4.333333333333333</v>
      </c>
      <c r="S22" s="32">
        <v>0</v>
      </c>
      <c r="T22" s="16">
        <v>0</v>
      </c>
      <c r="U22" s="64">
        <v>0</v>
      </c>
      <c r="V22" s="16">
        <v>0</v>
      </c>
      <c r="W22" s="16">
        <v>0</v>
      </c>
      <c r="X22" s="42">
        <v>0</v>
      </c>
      <c r="Y22" s="16">
        <v>4</v>
      </c>
      <c r="Z22" s="16">
        <v>0</v>
      </c>
      <c r="AA22" s="16">
        <v>0</v>
      </c>
      <c r="AB22" s="16">
        <v>0</v>
      </c>
      <c r="AC22" s="16">
        <v>0</v>
      </c>
      <c r="AD22" s="42">
        <v>4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42">
        <v>0</v>
      </c>
      <c r="AK22" s="24">
        <v>4</v>
      </c>
      <c r="AL22" s="24">
        <v>4</v>
      </c>
      <c r="AM22" s="64">
        <v>0</v>
      </c>
      <c r="AN22" s="24">
        <v>4</v>
      </c>
      <c r="AO22" s="16">
        <v>0</v>
      </c>
      <c r="AP22" s="43">
        <v>4</v>
      </c>
      <c r="AQ22" s="32">
        <v>4</v>
      </c>
      <c r="AR22" s="16">
        <v>0</v>
      </c>
      <c r="AS22" s="30">
        <v>0</v>
      </c>
      <c r="AT22" s="16">
        <v>0</v>
      </c>
      <c r="AU22" s="16">
        <v>0</v>
      </c>
      <c r="AV22" s="42">
        <v>4</v>
      </c>
      <c r="AW22" s="16">
        <v>0</v>
      </c>
      <c r="AX22" s="16">
        <v>0</v>
      </c>
      <c r="AY22" s="34">
        <v>0</v>
      </c>
      <c r="AZ22" s="32">
        <v>4</v>
      </c>
      <c r="BA22" s="70">
        <v>4</v>
      </c>
      <c r="BB22" s="98">
        <v>4</v>
      </c>
    </row>
    <row r="23" spans="1:54" ht="23.1" customHeight="1" x14ac:dyDescent="0.3">
      <c r="A23" s="99">
        <v>19</v>
      </c>
      <c r="B23" s="76" t="s">
        <v>50</v>
      </c>
      <c r="C23" s="77" t="s">
        <v>51</v>
      </c>
      <c r="D23" s="76" t="s">
        <v>542</v>
      </c>
      <c r="E23" s="76" t="s">
        <v>35</v>
      </c>
      <c r="F23" s="76" t="str">
        <f>REPT(CHAR(160),10)&amp;Working!$E23</f>
        <v>          A</v>
      </c>
      <c r="G23" s="78">
        <v>0</v>
      </c>
      <c r="H23" s="78">
        <v>0</v>
      </c>
      <c r="I23" s="78">
        <v>5</v>
      </c>
      <c r="J23" s="78">
        <v>0</v>
      </c>
      <c r="K23" s="79">
        <v>0</v>
      </c>
      <c r="L23" s="80">
        <v>5</v>
      </c>
      <c r="M23" s="78">
        <v>0</v>
      </c>
      <c r="N23" s="78">
        <v>4</v>
      </c>
      <c r="O23" s="78">
        <v>5</v>
      </c>
      <c r="P23" s="81">
        <v>0</v>
      </c>
      <c r="Q23" s="82">
        <v>5</v>
      </c>
      <c r="R23" s="43">
        <v>4.666666666666667</v>
      </c>
      <c r="S23" s="32">
        <v>0</v>
      </c>
      <c r="T23" s="34">
        <v>0</v>
      </c>
      <c r="U23" s="65">
        <v>0</v>
      </c>
      <c r="V23" s="34">
        <v>0</v>
      </c>
      <c r="W23" s="34">
        <v>0</v>
      </c>
      <c r="X23" s="42">
        <v>0</v>
      </c>
      <c r="Y23" s="34">
        <v>5</v>
      </c>
      <c r="Z23" s="34">
        <v>0</v>
      </c>
      <c r="AA23" s="34">
        <v>0</v>
      </c>
      <c r="AB23" s="34">
        <v>0</v>
      </c>
      <c r="AC23" s="34">
        <v>0</v>
      </c>
      <c r="AD23" s="42">
        <v>5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42">
        <v>0</v>
      </c>
      <c r="AK23" s="33">
        <v>4</v>
      </c>
      <c r="AL23" s="33">
        <v>5</v>
      </c>
      <c r="AM23" s="65">
        <v>0</v>
      </c>
      <c r="AN23" s="33">
        <v>5</v>
      </c>
      <c r="AO23" s="34">
        <v>0</v>
      </c>
      <c r="AP23" s="43">
        <v>4.666666666666667</v>
      </c>
      <c r="AQ23" s="32">
        <v>5</v>
      </c>
      <c r="AR23" s="34">
        <v>0</v>
      </c>
      <c r="AS23" s="71">
        <v>0</v>
      </c>
      <c r="AT23" s="34">
        <v>0</v>
      </c>
      <c r="AU23" s="34">
        <v>0</v>
      </c>
      <c r="AV23" s="42">
        <v>5</v>
      </c>
      <c r="AW23" s="34">
        <v>0</v>
      </c>
      <c r="AX23" s="34">
        <v>0</v>
      </c>
      <c r="AY23" s="34">
        <v>0</v>
      </c>
      <c r="AZ23" s="32">
        <v>5</v>
      </c>
      <c r="BA23" s="70">
        <v>4</v>
      </c>
      <c r="BB23" s="98">
        <v>4.5</v>
      </c>
    </row>
    <row r="24" spans="1:54" ht="23.1" customHeight="1" x14ac:dyDescent="0.3">
      <c r="A24" s="100">
        <v>20</v>
      </c>
      <c r="B24" s="83" t="s">
        <v>196</v>
      </c>
      <c r="C24" s="84" t="s">
        <v>537</v>
      </c>
      <c r="D24" s="83" t="s">
        <v>450</v>
      </c>
      <c r="E24" s="83" t="s">
        <v>161</v>
      </c>
      <c r="F24" s="83" t="str">
        <f>REPT(CHAR(160),10)&amp;Working!$E24</f>
        <v>          B</v>
      </c>
      <c r="G24" s="74">
        <v>0</v>
      </c>
      <c r="H24" s="74">
        <v>0</v>
      </c>
      <c r="I24" s="74">
        <v>4</v>
      </c>
      <c r="J24" s="74">
        <v>0</v>
      </c>
      <c r="K24" s="85">
        <v>0</v>
      </c>
      <c r="L24" s="80">
        <v>4</v>
      </c>
      <c r="M24" s="74">
        <v>0</v>
      </c>
      <c r="N24" s="74">
        <v>4</v>
      </c>
      <c r="O24" s="74">
        <v>4</v>
      </c>
      <c r="P24" s="86">
        <v>0</v>
      </c>
      <c r="Q24" s="87">
        <v>4</v>
      </c>
      <c r="R24" s="43">
        <v>4</v>
      </c>
      <c r="S24" s="32">
        <v>0</v>
      </c>
      <c r="T24" s="16">
        <v>0</v>
      </c>
      <c r="U24" s="64">
        <v>0</v>
      </c>
      <c r="V24" s="16">
        <v>0</v>
      </c>
      <c r="W24" s="16">
        <v>0</v>
      </c>
      <c r="X24" s="42">
        <v>0</v>
      </c>
      <c r="Y24" s="16">
        <v>4</v>
      </c>
      <c r="Z24" s="16">
        <v>0</v>
      </c>
      <c r="AA24" s="16">
        <v>0</v>
      </c>
      <c r="AB24" s="16">
        <v>0</v>
      </c>
      <c r="AC24" s="16">
        <v>0</v>
      </c>
      <c r="AD24" s="42">
        <v>4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42">
        <v>0</v>
      </c>
      <c r="AK24" s="24">
        <v>5</v>
      </c>
      <c r="AL24" s="24">
        <v>4</v>
      </c>
      <c r="AM24" s="64">
        <v>0</v>
      </c>
      <c r="AN24" s="24">
        <v>5</v>
      </c>
      <c r="AO24" s="16">
        <v>0</v>
      </c>
      <c r="AP24" s="43">
        <v>4.666666666666667</v>
      </c>
      <c r="AQ24" s="32">
        <v>4</v>
      </c>
      <c r="AR24" s="16">
        <v>0</v>
      </c>
      <c r="AS24" s="30">
        <v>0</v>
      </c>
      <c r="AT24" s="16">
        <v>0</v>
      </c>
      <c r="AU24" s="16">
        <v>0</v>
      </c>
      <c r="AV24" s="42">
        <v>4</v>
      </c>
      <c r="AW24" s="16">
        <v>0</v>
      </c>
      <c r="AX24" s="16">
        <v>0</v>
      </c>
      <c r="AY24" s="34">
        <v>0</v>
      </c>
      <c r="AZ24" s="32">
        <v>4</v>
      </c>
      <c r="BA24" s="70">
        <v>4</v>
      </c>
      <c r="BB24" s="98">
        <v>4</v>
      </c>
    </row>
    <row r="25" spans="1:54" ht="23.1" customHeight="1" x14ac:dyDescent="0.3">
      <c r="A25" s="99">
        <v>21</v>
      </c>
      <c r="B25" s="76" t="s">
        <v>209</v>
      </c>
      <c r="C25" s="77" t="s">
        <v>210</v>
      </c>
      <c r="D25" s="76" t="s">
        <v>450</v>
      </c>
      <c r="E25" s="76" t="s">
        <v>161</v>
      </c>
      <c r="F25" s="76" t="str">
        <f>REPT(CHAR(160),10)&amp;Working!$E25</f>
        <v>          B</v>
      </c>
      <c r="G25" s="78">
        <v>0</v>
      </c>
      <c r="H25" s="78">
        <v>0</v>
      </c>
      <c r="I25" s="78">
        <v>4</v>
      </c>
      <c r="J25" s="78">
        <v>0</v>
      </c>
      <c r="K25" s="79">
        <v>0</v>
      </c>
      <c r="L25" s="80">
        <v>4</v>
      </c>
      <c r="M25" s="78">
        <v>0</v>
      </c>
      <c r="N25" s="78">
        <v>4</v>
      </c>
      <c r="O25" s="78">
        <v>4</v>
      </c>
      <c r="P25" s="81">
        <v>0</v>
      </c>
      <c r="Q25" s="82">
        <v>4</v>
      </c>
      <c r="R25" s="43">
        <v>4</v>
      </c>
      <c r="S25" s="32">
        <v>0</v>
      </c>
      <c r="T25" s="34">
        <v>0</v>
      </c>
      <c r="U25" s="65">
        <v>0</v>
      </c>
      <c r="V25" s="34">
        <v>0</v>
      </c>
      <c r="W25" s="34">
        <v>0</v>
      </c>
      <c r="X25" s="42">
        <v>0</v>
      </c>
      <c r="Y25" s="34">
        <v>4</v>
      </c>
      <c r="Z25" s="34">
        <v>0</v>
      </c>
      <c r="AA25" s="34">
        <v>0</v>
      </c>
      <c r="AB25" s="34">
        <v>0</v>
      </c>
      <c r="AC25" s="34">
        <v>0</v>
      </c>
      <c r="AD25" s="42">
        <v>4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42">
        <v>0</v>
      </c>
      <c r="AK25" s="33">
        <v>4</v>
      </c>
      <c r="AL25" s="33">
        <v>5</v>
      </c>
      <c r="AM25" s="65">
        <v>0</v>
      </c>
      <c r="AN25" s="33">
        <v>5</v>
      </c>
      <c r="AO25" s="34">
        <v>0</v>
      </c>
      <c r="AP25" s="43">
        <v>4.666666666666667</v>
      </c>
      <c r="AQ25" s="32">
        <v>4</v>
      </c>
      <c r="AR25" s="34">
        <v>0</v>
      </c>
      <c r="AS25" s="71">
        <v>0</v>
      </c>
      <c r="AT25" s="34">
        <v>0</v>
      </c>
      <c r="AU25" s="34">
        <v>0</v>
      </c>
      <c r="AV25" s="42">
        <v>4</v>
      </c>
      <c r="AW25" s="34">
        <v>0</v>
      </c>
      <c r="AX25" s="34">
        <v>0</v>
      </c>
      <c r="AY25" s="34">
        <v>0</v>
      </c>
      <c r="AZ25" s="32">
        <v>4</v>
      </c>
      <c r="BA25" s="70">
        <v>4</v>
      </c>
      <c r="BB25" s="98">
        <v>4</v>
      </c>
    </row>
    <row r="26" spans="1:54" ht="23.1" customHeight="1" x14ac:dyDescent="0.3">
      <c r="A26" s="100">
        <v>22</v>
      </c>
      <c r="B26" s="83" t="s">
        <v>58</v>
      </c>
      <c r="C26" s="84" t="s">
        <v>59</v>
      </c>
      <c r="D26" s="83" t="s">
        <v>450</v>
      </c>
      <c r="E26" s="83" t="s">
        <v>35</v>
      </c>
      <c r="F26" s="83" t="str">
        <f>REPT(CHAR(160),10)&amp;Working!$E26</f>
        <v>          A</v>
      </c>
      <c r="G26" s="74">
        <v>0</v>
      </c>
      <c r="H26" s="74">
        <v>0</v>
      </c>
      <c r="I26" s="74">
        <v>5</v>
      </c>
      <c r="J26" s="74">
        <v>0</v>
      </c>
      <c r="K26" s="85">
        <v>0</v>
      </c>
      <c r="L26" s="80">
        <v>5</v>
      </c>
      <c r="M26" s="74">
        <v>0</v>
      </c>
      <c r="N26" s="74">
        <v>4</v>
      </c>
      <c r="O26" s="74">
        <v>4</v>
      </c>
      <c r="P26" s="86">
        <v>0</v>
      </c>
      <c r="Q26" s="87">
        <v>4</v>
      </c>
      <c r="R26" s="43">
        <v>4</v>
      </c>
      <c r="S26" s="32">
        <v>0</v>
      </c>
      <c r="T26" s="16">
        <v>0</v>
      </c>
      <c r="U26" s="64">
        <v>0</v>
      </c>
      <c r="V26" s="16">
        <v>0</v>
      </c>
      <c r="W26" s="16">
        <v>0</v>
      </c>
      <c r="X26" s="42">
        <v>0</v>
      </c>
      <c r="Y26" s="16">
        <v>4</v>
      </c>
      <c r="Z26" s="16">
        <v>0</v>
      </c>
      <c r="AA26" s="16">
        <v>0</v>
      </c>
      <c r="AB26" s="16">
        <v>0</v>
      </c>
      <c r="AC26" s="16">
        <v>0</v>
      </c>
      <c r="AD26" s="42">
        <v>4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42">
        <v>0</v>
      </c>
      <c r="AK26" s="24">
        <v>4</v>
      </c>
      <c r="AL26" s="24">
        <v>4</v>
      </c>
      <c r="AM26" s="64">
        <v>0</v>
      </c>
      <c r="AN26" s="24">
        <v>4</v>
      </c>
      <c r="AO26" s="16">
        <v>0</v>
      </c>
      <c r="AP26" s="43">
        <v>4</v>
      </c>
      <c r="AQ26" s="32">
        <v>5</v>
      </c>
      <c r="AR26" s="16">
        <v>0</v>
      </c>
      <c r="AS26" s="30">
        <v>0</v>
      </c>
      <c r="AT26" s="16">
        <v>0</v>
      </c>
      <c r="AU26" s="16">
        <v>0</v>
      </c>
      <c r="AV26" s="42">
        <v>5</v>
      </c>
      <c r="AW26" s="16">
        <v>0</v>
      </c>
      <c r="AX26" s="16">
        <v>0</v>
      </c>
      <c r="AY26" s="34">
        <v>0</v>
      </c>
      <c r="AZ26" s="32">
        <v>4</v>
      </c>
      <c r="BA26" s="70">
        <v>4</v>
      </c>
      <c r="BB26" s="98">
        <v>4</v>
      </c>
    </row>
    <row r="27" spans="1:54" ht="23.1" customHeight="1" x14ac:dyDescent="0.3">
      <c r="A27" s="99">
        <v>23</v>
      </c>
      <c r="B27" s="76" t="s">
        <v>225</v>
      </c>
      <c r="C27" s="77" t="s">
        <v>226</v>
      </c>
      <c r="D27" s="76" t="s">
        <v>450</v>
      </c>
      <c r="E27" s="76" t="s">
        <v>161</v>
      </c>
      <c r="F27" s="76" t="str">
        <f>REPT(CHAR(160),10)&amp;Working!$E27</f>
        <v>          B</v>
      </c>
      <c r="G27" s="78">
        <v>0</v>
      </c>
      <c r="H27" s="78">
        <v>0</v>
      </c>
      <c r="I27" s="78">
        <v>3</v>
      </c>
      <c r="J27" s="78">
        <v>0</v>
      </c>
      <c r="K27" s="79">
        <v>0</v>
      </c>
      <c r="L27" s="80">
        <v>3</v>
      </c>
      <c r="M27" s="78">
        <v>0</v>
      </c>
      <c r="N27" s="78">
        <v>3</v>
      </c>
      <c r="O27" s="78">
        <v>3</v>
      </c>
      <c r="P27" s="81">
        <v>0</v>
      </c>
      <c r="Q27" s="82">
        <v>3</v>
      </c>
      <c r="R27" s="43">
        <v>3</v>
      </c>
      <c r="S27" s="32">
        <v>0</v>
      </c>
      <c r="T27" s="34">
        <v>0</v>
      </c>
      <c r="U27" s="65">
        <v>0</v>
      </c>
      <c r="V27" s="34">
        <v>0</v>
      </c>
      <c r="W27" s="34">
        <v>0</v>
      </c>
      <c r="X27" s="42">
        <v>0</v>
      </c>
      <c r="Y27" s="34">
        <v>3</v>
      </c>
      <c r="Z27" s="34">
        <v>0</v>
      </c>
      <c r="AA27" s="34">
        <v>0</v>
      </c>
      <c r="AB27" s="34">
        <v>0</v>
      </c>
      <c r="AC27" s="34">
        <v>0</v>
      </c>
      <c r="AD27" s="42">
        <v>3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42">
        <v>0</v>
      </c>
      <c r="AK27" s="33">
        <v>3</v>
      </c>
      <c r="AL27" s="33">
        <v>3</v>
      </c>
      <c r="AM27" s="65">
        <v>0</v>
      </c>
      <c r="AN27" s="33">
        <v>3</v>
      </c>
      <c r="AO27" s="34">
        <v>0</v>
      </c>
      <c r="AP27" s="43">
        <v>3</v>
      </c>
      <c r="AQ27" s="32">
        <v>3</v>
      </c>
      <c r="AR27" s="34">
        <v>0</v>
      </c>
      <c r="AS27" s="71">
        <v>0</v>
      </c>
      <c r="AT27" s="34">
        <v>0</v>
      </c>
      <c r="AU27" s="34">
        <v>0</v>
      </c>
      <c r="AV27" s="42">
        <v>3</v>
      </c>
      <c r="AW27" s="34">
        <v>0</v>
      </c>
      <c r="AX27" s="34">
        <v>0</v>
      </c>
      <c r="AY27" s="34">
        <v>0</v>
      </c>
      <c r="AZ27" s="32">
        <v>3</v>
      </c>
      <c r="BA27" s="70">
        <v>3</v>
      </c>
      <c r="BB27" s="98">
        <v>3</v>
      </c>
    </row>
    <row r="28" spans="1:54" ht="23.1" customHeight="1" x14ac:dyDescent="0.3">
      <c r="A28" s="100">
        <v>24</v>
      </c>
      <c r="B28" s="83" t="s">
        <v>297</v>
      </c>
      <c r="C28" s="84" t="s">
        <v>109</v>
      </c>
      <c r="D28" s="83" t="s">
        <v>450</v>
      </c>
      <c r="E28" s="83" t="s">
        <v>35</v>
      </c>
      <c r="F28" s="83" t="str">
        <f>REPT(CHAR(160),10)&amp;Working!$E28</f>
        <v>          A</v>
      </c>
      <c r="G28" s="74">
        <v>0</v>
      </c>
      <c r="H28" s="74">
        <v>0</v>
      </c>
      <c r="I28" s="74">
        <v>4</v>
      </c>
      <c r="J28" s="74">
        <v>0</v>
      </c>
      <c r="K28" s="85">
        <v>0</v>
      </c>
      <c r="L28" s="80">
        <v>4</v>
      </c>
      <c r="M28" s="74">
        <v>0</v>
      </c>
      <c r="N28" s="74">
        <v>4</v>
      </c>
      <c r="O28" s="74">
        <v>4</v>
      </c>
      <c r="P28" s="86">
        <v>0</v>
      </c>
      <c r="Q28" s="87">
        <v>4</v>
      </c>
      <c r="R28" s="43">
        <v>4</v>
      </c>
      <c r="S28" s="32">
        <v>0</v>
      </c>
      <c r="T28" s="16">
        <v>0</v>
      </c>
      <c r="U28" s="64">
        <v>0</v>
      </c>
      <c r="V28" s="16">
        <v>0</v>
      </c>
      <c r="W28" s="16">
        <v>0</v>
      </c>
      <c r="X28" s="42">
        <v>0</v>
      </c>
      <c r="Y28" s="16">
        <v>4</v>
      </c>
      <c r="Z28" s="16">
        <v>0</v>
      </c>
      <c r="AA28" s="16">
        <v>0</v>
      </c>
      <c r="AB28" s="16">
        <v>0</v>
      </c>
      <c r="AC28" s="16">
        <v>0</v>
      </c>
      <c r="AD28" s="42">
        <v>4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42">
        <v>0</v>
      </c>
      <c r="AK28" s="24">
        <v>5</v>
      </c>
      <c r="AL28" s="24">
        <v>4</v>
      </c>
      <c r="AM28" s="64">
        <v>0</v>
      </c>
      <c r="AN28" s="24">
        <v>4</v>
      </c>
      <c r="AO28" s="16">
        <v>0</v>
      </c>
      <c r="AP28" s="43">
        <v>4.333333333333333</v>
      </c>
      <c r="AQ28" s="32">
        <v>4</v>
      </c>
      <c r="AR28" s="16">
        <v>0</v>
      </c>
      <c r="AS28" s="30">
        <v>0</v>
      </c>
      <c r="AT28" s="16">
        <v>0</v>
      </c>
      <c r="AU28" s="16">
        <v>0</v>
      </c>
      <c r="AV28" s="42">
        <v>4</v>
      </c>
      <c r="AW28" s="16">
        <v>0</v>
      </c>
      <c r="AX28" s="16">
        <v>0</v>
      </c>
      <c r="AY28" s="34">
        <v>0</v>
      </c>
      <c r="AZ28" s="32">
        <v>4</v>
      </c>
      <c r="BA28" s="70">
        <v>4</v>
      </c>
      <c r="BB28" s="98">
        <v>4</v>
      </c>
    </row>
    <row r="29" spans="1:54" ht="23.1" customHeight="1" x14ac:dyDescent="0.3">
      <c r="A29" s="99">
        <v>25</v>
      </c>
      <c r="B29" s="76" t="s">
        <v>241</v>
      </c>
      <c r="C29" s="77" t="s">
        <v>242</v>
      </c>
      <c r="D29" s="76" t="s">
        <v>450</v>
      </c>
      <c r="E29" s="76" t="s">
        <v>161</v>
      </c>
      <c r="F29" s="76" t="str">
        <f>REPT(CHAR(160),10)&amp;Working!$E29</f>
        <v>          B</v>
      </c>
      <c r="G29" s="78">
        <v>0</v>
      </c>
      <c r="H29" s="78">
        <v>0</v>
      </c>
      <c r="I29" s="78">
        <v>4</v>
      </c>
      <c r="J29" s="78">
        <v>0</v>
      </c>
      <c r="K29" s="79">
        <v>0</v>
      </c>
      <c r="L29" s="80">
        <v>4</v>
      </c>
      <c r="M29" s="78">
        <v>0</v>
      </c>
      <c r="N29" s="78">
        <v>4</v>
      </c>
      <c r="O29" s="78">
        <v>4</v>
      </c>
      <c r="P29" s="81">
        <v>0</v>
      </c>
      <c r="Q29" s="82">
        <v>4</v>
      </c>
      <c r="R29" s="43">
        <v>4</v>
      </c>
      <c r="S29" s="32">
        <v>0</v>
      </c>
      <c r="T29" s="34">
        <v>0</v>
      </c>
      <c r="U29" s="65">
        <v>0</v>
      </c>
      <c r="V29" s="34">
        <v>0</v>
      </c>
      <c r="W29" s="34">
        <v>0</v>
      </c>
      <c r="X29" s="42">
        <v>0</v>
      </c>
      <c r="Y29" s="34">
        <v>4</v>
      </c>
      <c r="Z29" s="34">
        <v>0</v>
      </c>
      <c r="AA29" s="34">
        <v>0</v>
      </c>
      <c r="AB29" s="34">
        <v>0</v>
      </c>
      <c r="AC29" s="34">
        <v>0</v>
      </c>
      <c r="AD29" s="42">
        <v>4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42">
        <v>0</v>
      </c>
      <c r="AK29" s="33">
        <v>4</v>
      </c>
      <c r="AL29" s="33">
        <v>4</v>
      </c>
      <c r="AM29" s="65">
        <v>0</v>
      </c>
      <c r="AN29" s="33">
        <v>4</v>
      </c>
      <c r="AO29" s="34">
        <v>0</v>
      </c>
      <c r="AP29" s="43">
        <v>4</v>
      </c>
      <c r="AQ29" s="32">
        <v>4</v>
      </c>
      <c r="AR29" s="34">
        <v>0</v>
      </c>
      <c r="AS29" s="71">
        <v>0</v>
      </c>
      <c r="AT29" s="34">
        <v>0</v>
      </c>
      <c r="AU29" s="34">
        <v>0</v>
      </c>
      <c r="AV29" s="42">
        <v>4</v>
      </c>
      <c r="AW29" s="34">
        <v>0</v>
      </c>
      <c r="AX29" s="34">
        <v>0</v>
      </c>
      <c r="AY29" s="34">
        <v>0</v>
      </c>
      <c r="AZ29" s="32">
        <v>4</v>
      </c>
      <c r="BA29" s="70">
        <v>4</v>
      </c>
      <c r="BB29" s="98">
        <v>4</v>
      </c>
    </row>
    <row r="30" spans="1:54" ht="23.1" customHeight="1" x14ac:dyDescent="0.3">
      <c r="A30" s="100">
        <v>26</v>
      </c>
      <c r="B30" s="83" t="s">
        <v>298</v>
      </c>
      <c r="C30" s="84" t="s">
        <v>299</v>
      </c>
      <c r="D30" s="83" t="s">
        <v>542</v>
      </c>
      <c r="E30" s="83" t="s">
        <v>493</v>
      </c>
      <c r="F30" s="83" t="str">
        <f>REPT(CHAR(160),10)&amp;Working!$E30</f>
        <v>          C</v>
      </c>
      <c r="G30" s="74">
        <v>0</v>
      </c>
      <c r="H30" s="74">
        <v>0</v>
      </c>
      <c r="I30" s="74">
        <v>4</v>
      </c>
      <c r="J30" s="74">
        <v>0</v>
      </c>
      <c r="K30" s="85">
        <v>0</v>
      </c>
      <c r="L30" s="80">
        <v>4</v>
      </c>
      <c r="M30" s="74">
        <v>0</v>
      </c>
      <c r="N30" s="74">
        <v>5</v>
      </c>
      <c r="O30" s="74">
        <v>5</v>
      </c>
      <c r="P30" s="86">
        <v>0</v>
      </c>
      <c r="Q30" s="87">
        <v>5</v>
      </c>
      <c r="R30" s="43">
        <v>5</v>
      </c>
      <c r="S30" s="32">
        <v>0</v>
      </c>
      <c r="T30" s="16">
        <v>0</v>
      </c>
      <c r="U30" s="64">
        <v>0</v>
      </c>
      <c r="V30" s="16">
        <v>0</v>
      </c>
      <c r="W30" s="16">
        <v>0</v>
      </c>
      <c r="X30" s="42">
        <v>0</v>
      </c>
      <c r="Y30" s="16">
        <v>5</v>
      </c>
      <c r="Z30" s="16">
        <v>0</v>
      </c>
      <c r="AA30" s="16">
        <v>0</v>
      </c>
      <c r="AB30" s="16">
        <v>0</v>
      </c>
      <c r="AC30" s="16">
        <v>0</v>
      </c>
      <c r="AD30" s="42">
        <v>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42">
        <v>0</v>
      </c>
      <c r="AK30" s="24">
        <v>5</v>
      </c>
      <c r="AL30" s="24">
        <v>4</v>
      </c>
      <c r="AM30" s="64">
        <v>0</v>
      </c>
      <c r="AN30" s="24">
        <v>4</v>
      </c>
      <c r="AO30" s="16">
        <v>0</v>
      </c>
      <c r="AP30" s="43">
        <v>4.333333333333333</v>
      </c>
      <c r="AQ30" s="32">
        <v>4</v>
      </c>
      <c r="AR30" s="16">
        <v>0</v>
      </c>
      <c r="AS30" s="30">
        <v>0</v>
      </c>
      <c r="AT30" s="16">
        <v>0</v>
      </c>
      <c r="AU30" s="16">
        <v>0</v>
      </c>
      <c r="AV30" s="42">
        <v>4</v>
      </c>
      <c r="AW30" s="16">
        <v>0</v>
      </c>
      <c r="AX30" s="16">
        <v>0</v>
      </c>
      <c r="AY30" s="34">
        <v>0</v>
      </c>
      <c r="AZ30" s="32">
        <v>5</v>
      </c>
      <c r="BA30" s="70">
        <v>4</v>
      </c>
      <c r="BB30" s="98">
        <v>4.5</v>
      </c>
    </row>
    <row r="31" spans="1:54" ht="23.1" customHeight="1" x14ac:dyDescent="0.3">
      <c r="A31" s="99">
        <v>27</v>
      </c>
      <c r="B31" s="76" t="s">
        <v>257</v>
      </c>
      <c r="C31" s="77" t="s">
        <v>258</v>
      </c>
      <c r="D31" s="76" t="s">
        <v>450</v>
      </c>
      <c r="E31" s="76" t="s">
        <v>161</v>
      </c>
      <c r="F31" s="76" t="str">
        <f>REPT(CHAR(160),10)&amp;Working!$E31</f>
        <v>          B</v>
      </c>
      <c r="G31" s="78">
        <v>0</v>
      </c>
      <c r="H31" s="78">
        <v>0</v>
      </c>
      <c r="I31" s="78">
        <v>4</v>
      </c>
      <c r="J31" s="78">
        <v>0</v>
      </c>
      <c r="K31" s="79">
        <v>0</v>
      </c>
      <c r="L31" s="80">
        <v>4</v>
      </c>
      <c r="M31" s="78">
        <v>0</v>
      </c>
      <c r="N31" s="78">
        <v>5</v>
      </c>
      <c r="O31" s="78">
        <v>4</v>
      </c>
      <c r="P31" s="81">
        <v>0</v>
      </c>
      <c r="Q31" s="82">
        <v>4</v>
      </c>
      <c r="R31" s="43">
        <v>4.333333333333333</v>
      </c>
      <c r="S31" s="32">
        <v>0</v>
      </c>
      <c r="T31" s="34">
        <v>0</v>
      </c>
      <c r="U31" s="65">
        <v>0</v>
      </c>
      <c r="V31" s="34">
        <v>0</v>
      </c>
      <c r="W31" s="34">
        <v>0</v>
      </c>
      <c r="X31" s="42">
        <v>0</v>
      </c>
      <c r="Y31" s="34">
        <v>5</v>
      </c>
      <c r="Z31" s="34">
        <v>0</v>
      </c>
      <c r="AA31" s="34">
        <v>0</v>
      </c>
      <c r="AB31" s="34">
        <v>0</v>
      </c>
      <c r="AC31" s="34">
        <v>0</v>
      </c>
      <c r="AD31" s="42">
        <v>5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42">
        <v>0</v>
      </c>
      <c r="AK31" s="33">
        <v>5</v>
      </c>
      <c r="AL31" s="33">
        <v>5</v>
      </c>
      <c r="AM31" s="65">
        <v>0</v>
      </c>
      <c r="AN31" s="33">
        <v>5</v>
      </c>
      <c r="AO31" s="34">
        <v>0</v>
      </c>
      <c r="AP31" s="43">
        <v>5</v>
      </c>
      <c r="AQ31" s="32">
        <v>5</v>
      </c>
      <c r="AR31" s="34">
        <v>0</v>
      </c>
      <c r="AS31" s="71">
        <v>0</v>
      </c>
      <c r="AT31" s="34">
        <v>0</v>
      </c>
      <c r="AU31" s="34">
        <v>0</v>
      </c>
      <c r="AV31" s="42">
        <v>5</v>
      </c>
      <c r="AW31" s="34">
        <v>0</v>
      </c>
      <c r="AX31" s="34">
        <v>0</v>
      </c>
      <c r="AY31" s="34">
        <v>0</v>
      </c>
      <c r="AZ31" s="32">
        <v>5</v>
      </c>
      <c r="BA31" s="70">
        <v>4</v>
      </c>
      <c r="BB31" s="98">
        <v>4.5</v>
      </c>
    </row>
    <row r="32" spans="1:54" ht="23.1" customHeight="1" x14ac:dyDescent="0.3">
      <c r="A32" s="100">
        <v>28</v>
      </c>
      <c r="B32" s="83" t="s">
        <v>66</v>
      </c>
      <c r="C32" s="84" t="s">
        <v>67</v>
      </c>
      <c r="D32" s="83" t="s">
        <v>450</v>
      </c>
      <c r="E32" s="83" t="s">
        <v>35</v>
      </c>
      <c r="F32" s="83" t="str">
        <f>REPT(CHAR(160),10)&amp;Working!$E32</f>
        <v>          A</v>
      </c>
      <c r="G32" s="74">
        <v>0</v>
      </c>
      <c r="H32" s="74">
        <v>0</v>
      </c>
      <c r="I32" s="74">
        <v>5</v>
      </c>
      <c r="J32" s="74">
        <v>0</v>
      </c>
      <c r="K32" s="85">
        <v>0</v>
      </c>
      <c r="L32" s="80">
        <v>5</v>
      </c>
      <c r="M32" s="74">
        <v>0</v>
      </c>
      <c r="N32" s="74">
        <v>4</v>
      </c>
      <c r="O32" s="74">
        <v>4</v>
      </c>
      <c r="P32" s="86">
        <v>0</v>
      </c>
      <c r="Q32" s="87">
        <v>4</v>
      </c>
      <c r="R32" s="43">
        <v>4</v>
      </c>
      <c r="S32" s="32">
        <v>0</v>
      </c>
      <c r="T32" s="16">
        <v>0</v>
      </c>
      <c r="U32" s="64">
        <v>0</v>
      </c>
      <c r="V32" s="16">
        <v>0</v>
      </c>
      <c r="W32" s="16">
        <v>0</v>
      </c>
      <c r="X32" s="42">
        <v>0</v>
      </c>
      <c r="Y32" s="16">
        <v>4</v>
      </c>
      <c r="Z32" s="16">
        <v>0</v>
      </c>
      <c r="AA32" s="16">
        <v>0</v>
      </c>
      <c r="AB32" s="16">
        <v>0</v>
      </c>
      <c r="AC32" s="16">
        <v>0</v>
      </c>
      <c r="AD32" s="42">
        <v>4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42">
        <v>0</v>
      </c>
      <c r="AK32" s="24">
        <v>3</v>
      </c>
      <c r="AL32" s="24">
        <v>4</v>
      </c>
      <c r="AM32" s="64">
        <v>0</v>
      </c>
      <c r="AN32" s="24">
        <v>5</v>
      </c>
      <c r="AO32" s="16">
        <v>0</v>
      </c>
      <c r="AP32" s="43">
        <v>4</v>
      </c>
      <c r="AQ32" s="32">
        <v>4</v>
      </c>
      <c r="AR32" s="16">
        <v>0</v>
      </c>
      <c r="AS32" s="30">
        <v>0</v>
      </c>
      <c r="AT32" s="16">
        <v>0</v>
      </c>
      <c r="AU32" s="16">
        <v>0</v>
      </c>
      <c r="AV32" s="42">
        <v>4</v>
      </c>
      <c r="AW32" s="16">
        <v>0</v>
      </c>
      <c r="AX32" s="16">
        <v>0</v>
      </c>
      <c r="AY32" s="34">
        <v>0</v>
      </c>
      <c r="AZ32" s="32">
        <v>4</v>
      </c>
      <c r="BA32" s="70">
        <v>5</v>
      </c>
      <c r="BB32" s="98">
        <v>4.5</v>
      </c>
    </row>
    <row r="33" spans="1:54" ht="23.1" customHeight="1" x14ac:dyDescent="0.3">
      <c r="A33" s="99">
        <v>29</v>
      </c>
      <c r="B33" s="76" t="s">
        <v>300</v>
      </c>
      <c r="C33" s="77" t="s">
        <v>301</v>
      </c>
      <c r="D33" s="76" t="s">
        <v>450</v>
      </c>
      <c r="E33" s="76" t="s">
        <v>493</v>
      </c>
      <c r="F33" s="76" t="str">
        <f>REPT(CHAR(160),10)&amp;Working!$E33</f>
        <v>          C</v>
      </c>
      <c r="G33" s="78">
        <v>0</v>
      </c>
      <c r="H33" s="78">
        <v>0</v>
      </c>
      <c r="I33" s="78">
        <v>2</v>
      </c>
      <c r="J33" s="78">
        <v>0</v>
      </c>
      <c r="K33" s="79">
        <v>0</v>
      </c>
      <c r="L33" s="80">
        <v>2</v>
      </c>
      <c r="M33" s="78">
        <v>0</v>
      </c>
      <c r="N33" s="78">
        <v>3</v>
      </c>
      <c r="O33" s="78">
        <v>3</v>
      </c>
      <c r="P33" s="81">
        <v>0</v>
      </c>
      <c r="Q33" s="82">
        <v>3</v>
      </c>
      <c r="R33" s="43">
        <v>3</v>
      </c>
      <c r="S33" s="32">
        <v>0</v>
      </c>
      <c r="T33" s="34">
        <v>0</v>
      </c>
      <c r="U33" s="65">
        <v>0</v>
      </c>
      <c r="V33" s="34">
        <v>0</v>
      </c>
      <c r="W33" s="34">
        <v>0</v>
      </c>
      <c r="X33" s="42">
        <v>0</v>
      </c>
      <c r="Y33" s="34">
        <v>2</v>
      </c>
      <c r="Z33" s="34">
        <v>0</v>
      </c>
      <c r="AA33" s="34">
        <v>0</v>
      </c>
      <c r="AB33" s="34">
        <v>0</v>
      </c>
      <c r="AC33" s="34">
        <v>0</v>
      </c>
      <c r="AD33" s="42">
        <v>2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42">
        <v>0</v>
      </c>
      <c r="AK33" s="33">
        <v>2</v>
      </c>
      <c r="AL33" s="33">
        <v>2</v>
      </c>
      <c r="AM33" s="65">
        <v>0</v>
      </c>
      <c r="AN33" s="33">
        <v>3</v>
      </c>
      <c r="AO33" s="34">
        <v>0</v>
      </c>
      <c r="AP33" s="43">
        <v>2.3333333333333335</v>
      </c>
      <c r="AQ33" s="32">
        <v>3</v>
      </c>
      <c r="AR33" s="34">
        <v>0</v>
      </c>
      <c r="AS33" s="71">
        <v>0</v>
      </c>
      <c r="AT33" s="34">
        <v>0</v>
      </c>
      <c r="AU33" s="34">
        <v>0</v>
      </c>
      <c r="AV33" s="42">
        <v>3</v>
      </c>
      <c r="AW33" s="34">
        <v>0</v>
      </c>
      <c r="AX33" s="34">
        <v>0</v>
      </c>
      <c r="AY33" s="34">
        <v>0</v>
      </c>
      <c r="AZ33" s="32">
        <v>3</v>
      </c>
      <c r="BA33" s="70">
        <v>3</v>
      </c>
      <c r="BB33" s="98">
        <v>3</v>
      </c>
    </row>
    <row r="34" spans="1:54" ht="23.1" customHeight="1" x14ac:dyDescent="0.3">
      <c r="A34" s="100">
        <v>30</v>
      </c>
      <c r="B34" s="83" t="s">
        <v>40</v>
      </c>
      <c r="C34" s="84" t="s">
        <v>41</v>
      </c>
      <c r="D34" s="83" t="s">
        <v>450</v>
      </c>
      <c r="E34" s="83" t="s">
        <v>35</v>
      </c>
      <c r="F34" s="83" t="str">
        <f>REPT(CHAR(160),10)&amp;Working!$E34</f>
        <v>          A</v>
      </c>
      <c r="G34" s="74">
        <v>0</v>
      </c>
      <c r="H34" s="74">
        <v>0</v>
      </c>
      <c r="I34" s="74">
        <v>4</v>
      </c>
      <c r="J34" s="74">
        <v>0</v>
      </c>
      <c r="K34" s="85">
        <v>0</v>
      </c>
      <c r="L34" s="80">
        <v>4</v>
      </c>
      <c r="M34" s="74">
        <v>0</v>
      </c>
      <c r="N34" s="74">
        <v>4</v>
      </c>
      <c r="O34" s="74">
        <v>4</v>
      </c>
      <c r="P34" s="86">
        <v>0</v>
      </c>
      <c r="Q34" s="87">
        <v>4</v>
      </c>
      <c r="R34" s="43">
        <v>4</v>
      </c>
      <c r="S34" s="32">
        <v>0</v>
      </c>
      <c r="T34" s="16">
        <v>0</v>
      </c>
      <c r="U34" s="64">
        <v>0</v>
      </c>
      <c r="V34" s="16">
        <v>0</v>
      </c>
      <c r="W34" s="16">
        <v>0</v>
      </c>
      <c r="X34" s="42">
        <v>0</v>
      </c>
      <c r="Y34" s="16">
        <v>4</v>
      </c>
      <c r="Z34" s="16">
        <v>0</v>
      </c>
      <c r="AA34" s="16">
        <v>0</v>
      </c>
      <c r="AB34" s="16">
        <v>0</v>
      </c>
      <c r="AC34" s="16">
        <v>0</v>
      </c>
      <c r="AD34" s="42">
        <v>4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42">
        <v>0</v>
      </c>
      <c r="AK34" s="24">
        <v>4</v>
      </c>
      <c r="AL34" s="24">
        <v>4</v>
      </c>
      <c r="AM34" s="64">
        <v>0</v>
      </c>
      <c r="AN34" s="24">
        <v>4</v>
      </c>
      <c r="AO34" s="16">
        <v>0</v>
      </c>
      <c r="AP34" s="43">
        <v>4</v>
      </c>
      <c r="AQ34" s="32">
        <v>3</v>
      </c>
      <c r="AR34" s="16">
        <v>0</v>
      </c>
      <c r="AS34" s="30">
        <v>0</v>
      </c>
      <c r="AT34" s="16">
        <v>0</v>
      </c>
      <c r="AU34" s="16">
        <v>0</v>
      </c>
      <c r="AV34" s="42">
        <v>3</v>
      </c>
      <c r="AW34" s="16">
        <v>0</v>
      </c>
      <c r="AX34" s="16">
        <v>0</v>
      </c>
      <c r="AY34" s="34">
        <v>0</v>
      </c>
      <c r="AZ34" s="32">
        <v>4</v>
      </c>
      <c r="BA34" s="70">
        <v>4</v>
      </c>
      <c r="BB34" s="98">
        <v>4</v>
      </c>
    </row>
    <row r="35" spans="1:54" ht="23.1" customHeight="1" x14ac:dyDescent="0.3">
      <c r="A35" s="99">
        <v>31</v>
      </c>
      <c r="B35" s="76" t="s">
        <v>110</v>
      </c>
      <c r="C35" s="77" t="s">
        <v>111</v>
      </c>
      <c r="D35" s="76" t="s">
        <v>450</v>
      </c>
      <c r="E35" s="76" t="s">
        <v>35</v>
      </c>
      <c r="F35" s="76" t="str">
        <f>REPT(CHAR(160),10)&amp;Working!$E35</f>
        <v>          A</v>
      </c>
      <c r="G35" s="78">
        <v>0</v>
      </c>
      <c r="H35" s="78">
        <v>0</v>
      </c>
      <c r="I35" s="78">
        <v>4</v>
      </c>
      <c r="J35" s="78">
        <v>0</v>
      </c>
      <c r="K35" s="79">
        <v>0</v>
      </c>
      <c r="L35" s="80">
        <v>4</v>
      </c>
      <c r="M35" s="78">
        <v>0</v>
      </c>
      <c r="N35" s="78">
        <v>4</v>
      </c>
      <c r="O35" s="78">
        <v>4</v>
      </c>
      <c r="P35" s="81">
        <v>0</v>
      </c>
      <c r="Q35" s="82">
        <v>4</v>
      </c>
      <c r="R35" s="43">
        <v>4</v>
      </c>
      <c r="S35" s="32">
        <v>0</v>
      </c>
      <c r="T35" s="34">
        <v>0</v>
      </c>
      <c r="U35" s="65">
        <v>0</v>
      </c>
      <c r="V35" s="34">
        <v>0</v>
      </c>
      <c r="W35" s="34">
        <v>0</v>
      </c>
      <c r="X35" s="42">
        <v>0</v>
      </c>
      <c r="Y35" s="34">
        <v>4</v>
      </c>
      <c r="Z35" s="34">
        <v>0</v>
      </c>
      <c r="AA35" s="34">
        <v>0</v>
      </c>
      <c r="AB35" s="34">
        <v>0</v>
      </c>
      <c r="AC35" s="34">
        <v>0</v>
      </c>
      <c r="AD35" s="42">
        <v>4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42">
        <v>0</v>
      </c>
      <c r="AK35" s="33">
        <v>4</v>
      </c>
      <c r="AL35" s="33">
        <v>4</v>
      </c>
      <c r="AM35" s="65">
        <v>0</v>
      </c>
      <c r="AN35" s="33">
        <v>4</v>
      </c>
      <c r="AO35" s="34">
        <v>0</v>
      </c>
      <c r="AP35" s="43">
        <v>4</v>
      </c>
      <c r="AQ35" s="32">
        <v>3</v>
      </c>
      <c r="AR35" s="34">
        <v>0</v>
      </c>
      <c r="AS35" s="71">
        <v>0</v>
      </c>
      <c r="AT35" s="34">
        <v>0</v>
      </c>
      <c r="AU35" s="34">
        <v>0</v>
      </c>
      <c r="AV35" s="42">
        <v>3</v>
      </c>
      <c r="AW35" s="34">
        <v>0</v>
      </c>
      <c r="AX35" s="34">
        <v>0</v>
      </c>
      <c r="AY35" s="34">
        <v>0</v>
      </c>
      <c r="AZ35" s="32">
        <v>4</v>
      </c>
      <c r="BA35" s="70">
        <v>4</v>
      </c>
      <c r="BB35" s="98">
        <v>4</v>
      </c>
    </row>
    <row r="36" spans="1:54" ht="23.1" customHeight="1" x14ac:dyDescent="0.3">
      <c r="A36" s="100">
        <v>32</v>
      </c>
      <c r="B36" s="83" t="s">
        <v>243</v>
      </c>
      <c r="C36" s="84" t="s">
        <v>244</v>
      </c>
      <c r="D36" s="83" t="s">
        <v>542</v>
      </c>
      <c r="E36" s="83" t="s">
        <v>161</v>
      </c>
      <c r="F36" s="83" t="str">
        <f>REPT(CHAR(160),10)&amp;Working!$E36</f>
        <v>          B</v>
      </c>
      <c r="G36" s="74">
        <v>0</v>
      </c>
      <c r="H36" s="74">
        <v>0</v>
      </c>
      <c r="I36" s="74">
        <v>4</v>
      </c>
      <c r="J36" s="74">
        <v>0</v>
      </c>
      <c r="K36" s="85">
        <v>0</v>
      </c>
      <c r="L36" s="80">
        <v>4</v>
      </c>
      <c r="M36" s="74">
        <v>0</v>
      </c>
      <c r="N36" s="74">
        <v>4</v>
      </c>
      <c r="O36" s="74">
        <v>4</v>
      </c>
      <c r="P36" s="86">
        <v>0</v>
      </c>
      <c r="Q36" s="87">
        <v>4</v>
      </c>
      <c r="R36" s="43">
        <v>4</v>
      </c>
      <c r="S36" s="32">
        <v>0</v>
      </c>
      <c r="T36" s="16">
        <v>0</v>
      </c>
      <c r="U36" s="64">
        <v>0</v>
      </c>
      <c r="V36" s="16">
        <v>0</v>
      </c>
      <c r="W36" s="16">
        <v>0</v>
      </c>
      <c r="X36" s="42">
        <v>0</v>
      </c>
      <c r="Y36" s="16">
        <v>4</v>
      </c>
      <c r="Z36" s="16">
        <v>0</v>
      </c>
      <c r="AA36" s="16">
        <v>0</v>
      </c>
      <c r="AB36" s="16">
        <v>0</v>
      </c>
      <c r="AC36" s="16">
        <v>0</v>
      </c>
      <c r="AD36" s="42">
        <v>4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42">
        <v>0</v>
      </c>
      <c r="AK36" s="24">
        <v>5</v>
      </c>
      <c r="AL36" s="24">
        <v>4</v>
      </c>
      <c r="AM36" s="64">
        <v>0</v>
      </c>
      <c r="AN36" s="24">
        <v>5</v>
      </c>
      <c r="AO36" s="16">
        <v>0</v>
      </c>
      <c r="AP36" s="43">
        <v>4.666666666666667</v>
      </c>
      <c r="AQ36" s="32">
        <v>4</v>
      </c>
      <c r="AR36" s="16">
        <v>0</v>
      </c>
      <c r="AS36" s="30">
        <v>0</v>
      </c>
      <c r="AT36" s="16">
        <v>0</v>
      </c>
      <c r="AU36" s="16">
        <v>0</v>
      </c>
      <c r="AV36" s="42">
        <v>4</v>
      </c>
      <c r="AW36" s="16">
        <v>0</v>
      </c>
      <c r="AX36" s="16">
        <v>0</v>
      </c>
      <c r="AY36" s="34">
        <v>0</v>
      </c>
      <c r="AZ36" s="32">
        <v>5</v>
      </c>
      <c r="BA36" s="70">
        <v>4</v>
      </c>
      <c r="BB36" s="98">
        <v>4.5</v>
      </c>
    </row>
    <row r="37" spans="1:54" ht="23.1" customHeight="1" x14ac:dyDescent="0.3">
      <c r="A37" s="99">
        <v>33</v>
      </c>
      <c r="B37" s="76" t="s">
        <v>211</v>
      </c>
      <c r="C37" s="77" t="s">
        <v>212</v>
      </c>
      <c r="D37" s="76" t="s">
        <v>542</v>
      </c>
      <c r="E37" s="76" t="s">
        <v>161</v>
      </c>
      <c r="F37" s="76" t="str">
        <f>REPT(CHAR(160),10)&amp;Working!$E37</f>
        <v>          B</v>
      </c>
      <c r="G37" s="78">
        <v>0</v>
      </c>
      <c r="H37" s="78">
        <v>0</v>
      </c>
      <c r="I37" s="78">
        <v>4</v>
      </c>
      <c r="J37" s="78">
        <v>0</v>
      </c>
      <c r="K37" s="79">
        <v>0</v>
      </c>
      <c r="L37" s="80">
        <v>4</v>
      </c>
      <c r="M37" s="78">
        <v>0</v>
      </c>
      <c r="N37" s="78">
        <v>4</v>
      </c>
      <c r="O37" s="78">
        <v>4</v>
      </c>
      <c r="P37" s="81">
        <v>0</v>
      </c>
      <c r="Q37" s="82">
        <v>4</v>
      </c>
      <c r="R37" s="43">
        <v>4</v>
      </c>
      <c r="S37" s="32">
        <v>0</v>
      </c>
      <c r="T37" s="34">
        <v>0</v>
      </c>
      <c r="U37" s="65">
        <v>0</v>
      </c>
      <c r="V37" s="34">
        <v>0</v>
      </c>
      <c r="W37" s="34">
        <v>0</v>
      </c>
      <c r="X37" s="42">
        <v>0</v>
      </c>
      <c r="Y37" s="34">
        <v>4</v>
      </c>
      <c r="Z37" s="34">
        <v>0</v>
      </c>
      <c r="AA37" s="34">
        <v>0</v>
      </c>
      <c r="AB37" s="34">
        <v>0</v>
      </c>
      <c r="AC37" s="34">
        <v>0</v>
      </c>
      <c r="AD37" s="42">
        <v>4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42">
        <v>0</v>
      </c>
      <c r="AK37" s="33">
        <v>4</v>
      </c>
      <c r="AL37" s="33">
        <v>4</v>
      </c>
      <c r="AM37" s="65">
        <v>0</v>
      </c>
      <c r="AN37" s="33">
        <v>4</v>
      </c>
      <c r="AO37" s="34">
        <v>0</v>
      </c>
      <c r="AP37" s="43">
        <v>4</v>
      </c>
      <c r="AQ37" s="32">
        <v>4</v>
      </c>
      <c r="AR37" s="34">
        <v>0</v>
      </c>
      <c r="AS37" s="71">
        <v>0</v>
      </c>
      <c r="AT37" s="34">
        <v>0</v>
      </c>
      <c r="AU37" s="34">
        <v>0</v>
      </c>
      <c r="AV37" s="42">
        <v>4</v>
      </c>
      <c r="AW37" s="34">
        <v>0</v>
      </c>
      <c r="AX37" s="34">
        <v>0</v>
      </c>
      <c r="AY37" s="34">
        <v>0</v>
      </c>
      <c r="AZ37" s="32">
        <v>4</v>
      </c>
      <c r="BA37" s="70">
        <v>4</v>
      </c>
      <c r="BB37" s="98">
        <v>4</v>
      </c>
    </row>
    <row r="38" spans="1:54" ht="23.1" customHeight="1" x14ac:dyDescent="0.3">
      <c r="A38" s="100">
        <v>34</v>
      </c>
      <c r="B38" s="83" t="s">
        <v>95</v>
      </c>
      <c r="C38" s="84" t="s">
        <v>96</v>
      </c>
      <c r="D38" s="83" t="s">
        <v>542</v>
      </c>
      <c r="E38" s="83" t="s">
        <v>35</v>
      </c>
      <c r="F38" s="83" t="str">
        <f>REPT(CHAR(160),10)&amp;Working!$E38</f>
        <v>          A</v>
      </c>
      <c r="G38" s="74">
        <v>0</v>
      </c>
      <c r="H38" s="74">
        <v>0</v>
      </c>
      <c r="I38" s="74">
        <v>4</v>
      </c>
      <c r="J38" s="74">
        <v>0</v>
      </c>
      <c r="K38" s="85">
        <v>0</v>
      </c>
      <c r="L38" s="80">
        <v>4</v>
      </c>
      <c r="M38" s="74">
        <v>0</v>
      </c>
      <c r="N38" s="74">
        <v>5</v>
      </c>
      <c r="O38" s="74">
        <v>4</v>
      </c>
      <c r="P38" s="86">
        <v>0</v>
      </c>
      <c r="Q38" s="87">
        <v>4</v>
      </c>
      <c r="R38" s="43">
        <v>4.333333333333333</v>
      </c>
      <c r="S38" s="32">
        <v>0</v>
      </c>
      <c r="T38" s="16">
        <v>0</v>
      </c>
      <c r="U38" s="64">
        <v>0</v>
      </c>
      <c r="V38" s="16">
        <v>0</v>
      </c>
      <c r="W38" s="16">
        <v>0</v>
      </c>
      <c r="X38" s="42">
        <v>0</v>
      </c>
      <c r="Y38" s="16">
        <v>5</v>
      </c>
      <c r="Z38" s="16">
        <v>0</v>
      </c>
      <c r="AA38" s="16">
        <v>0</v>
      </c>
      <c r="AB38" s="16">
        <v>0</v>
      </c>
      <c r="AC38" s="16">
        <v>0</v>
      </c>
      <c r="AD38" s="42">
        <v>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42">
        <v>0</v>
      </c>
      <c r="AK38" s="24">
        <v>5</v>
      </c>
      <c r="AL38" s="24">
        <v>5</v>
      </c>
      <c r="AM38" s="64">
        <v>0</v>
      </c>
      <c r="AN38" s="24">
        <v>5</v>
      </c>
      <c r="AO38" s="16">
        <v>0</v>
      </c>
      <c r="AP38" s="43">
        <v>5</v>
      </c>
      <c r="AQ38" s="32">
        <v>5</v>
      </c>
      <c r="AR38" s="16">
        <v>0</v>
      </c>
      <c r="AS38" s="30">
        <v>0</v>
      </c>
      <c r="AT38" s="16">
        <v>0</v>
      </c>
      <c r="AU38" s="16">
        <v>0</v>
      </c>
      <c r="AV38" s="42">
        <v>5</v>
      </c>
      <c r="AW38" s="16">
        <v>0</v>
      </c>
      <c r="AX38" s="16">
        <v>0</v>
      </c>
      <c r="AY38" s="34">
        <v>0</v>
      </c>
      <c r="AZ38" s="32">
        <v>5</v>
      </c>
      <c r="BA38" s="70">
        <v>5</v>
      </c>
      <c r="BB38" s="98">
        <v>5</v>
      </c>
    </row>
    <row r="39" spans="1:54" ht="23.1" customHeight="1" x14ac:dyDescent="0.3">
      <c r="A39" s="99">
        <v>35</v>
      </c>
      <c r="B39" s="76" t="s">
        <v>273</v>
      </c>
      <c r="C39" s="77" t="s">
        <v>274</v>
      </c>
      <c r="D39" s="76" t="s">
        <v>450</v>
      </c>
      <c r="E39" s="76" t="s">
        <v>161</v>
      </c>
      <c r="F39" s="76" t="str">
        <f>REPT(CHAR(160),10)&amp;Working!$E39</f>
        <v>          B</v>
      </c>
      <c r="G39" s="78">
        <v>0</v>
      </c>
      <c r="H39" s="78">
        <v>0</v>
      </c>
      <c r="I39" s="78">
        <v>4</v>
      </c>
      <c r="J39" s="78">
        <v>0</v>
      </c>
      <c r="K39" s="79">
        <v>0</v>
      </c>
      <c r="L39" s="80">
        <v>4</v>
      </c>
      <c r="M39" s="78">
        <v>0</v>
      </c>
      <c r="N39" s="78">
        <v>4</v>
      </c>
      <c r="O39" s="78">
        <v>4</v>
      </c>
      <c r="P39" s="81">
        <v>0</v>
      </c>
      <c r="Q39" s="82">
        <v>4</v>
      </c>
      <c r="R39" s="43">
        <v>4</v>
      </c>
      <c r="S39" s="32">
        <v>0</v>
      </c>
      <c r="T39" s="34">
        <v>0</v>
      </c>
      <c r="U39" s="65">
        <v>0</v>
      </c>
      <c r="V39" s="34">
        <v>0</v>
      </c>
      <c r="W39" s="34">
        <v>0</v>
      </c>
      <c r="X39" s="42">
        <v>0</v>
      </c>
      <c r="Y39" s="34">
        <v>4</v>
      </c>
      <c r="Z39" s="34">
        <v>0</v>
      </c>
      <c r="AA39" s="34">
        <v>0</v>
      </c>
      <c r="AB39" s="34">
        <v>0</v>
      </c>
      <c r="AC39" s="34">
        <v>0</v>
      </c>
      <c r="AD39" s="42">
        <v>4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42">
        <v>0</v>
      </c>
      <c r="AK39" s="33">
        <v>5</v>
      </c>
      <c r="AL39" s="33">
        <v>4</v>
      </c>
      <c r="AM39" s="65">
        <v>0</v>
      </c>
      <c r="AN39" s="33">
        <v>4</v>
      </c>
      <c r="AO39" s="34">
        <v>0</v>
      </c>
      <c r="AP39" s="43">
        <v>4.333333333333333</v>
      </c>
      <c r="AQ39" s="32">
        <v>4</v>
      </c>
      <c r="AR39" s="34">
        <v>0</v>
      </c>
      <c r="AS39" s="71">
        <v>0</v>
      </c>
      <c r="AT39" s="34">
        <v>0</v>
      </c>
      <c r="AU39" s="34">
        <v>0</v>
      </c>
      <c r="AV39" s="42">
        <v>4</v>
      </c>
      <c r="AW39" s="34">
        <v>0</v>
      </c>
      <c r="AX39" s="34">
        <v>0</v>
      </c>
      <c r="AY39" s="34">
        <v>0</v>
      </c>
      <c r="AZ39" s="32">
        <v>4</v>
      </c>
      <c r="BA39" s="70">
        <v>4</v>
      </c>
      <c r="BB39" s="98">
        <v>4</v>
      </c>
    </row>
    <row r="40" spans="1:54" ht="23.1" customHeight="1" x14ac:dyDescent="0.3">
      <c r="A40" s="100">
        <v>36</v>
      </c>
      <c r="B40" s="83" t="s">
        <v>112</v>
      </c>
      <c r="C40" s="84" t="s">
        <v>113</v>
      </c>
      <c r="D40" s="83" t="s">
        <v>450</v>
      </c>
      <c r="E40" s="83" t="s">
        <v>35</v>
      </c>
      <c r="F40" s="83" t="str">
        <f>REPT(CHAR(160),10)&amp;Working!$E40</f>
        <v>          A</v>
      </c>
      <c r="G40" s="74">
        <v>0</v>
      </c>
      <c r="H40" s="74">
        <v>0</v>
      </c>
      <c r="I40" s="74">
        <v>2</v>
      </c>
      <c r="J40" s="74">
        <v>0</v>
      </c>
      <c r="K40" s="85">
        <v>0</v>
      </c>
      <c r="L40" s="80">
        <v>2</v>
      </c>
      <c r="M40" s="74">
        <v>0</v>
      </c>
      <c r="N40" s="74">
        <v>2</v>
      </c>
      <c r="O40" s="74">
        <v>3</v>
      </c>
      <c r="P40" s="86">
        <v>0</v>
      </c>
      <c r="Q40" s="87">
        <v>3</v>
      </c>
      <c r="R40" s="43">
        <v>2.6666666666666665</v>
      </c>
      <c r="S40" s="32">
        <v>0</v>
      </c>
      <c r="T40" s="16">
        <v>0</v>
      </c>
      <c r="U40" s="64">
        <v>0</v>
      </c>
      <c r="V40" s="16">
        <v>0</v>
      </c>
      <c r="W40" s="16">
        <v>0</v>
      </c>
      <c r="X40" s="42">
        <v>0</v>
      </c>
      <c r="Y40" s="16">
        <v>3</v>
      </c>
      <c r="Z40" s="16">
        <v>0</v>
      </c>
      <c r="AA40" s="16">
        <v>0</v>
      </c>
      <c r="AB40" s="16">
        <v>0</v>
      </c>
      <c r="AC40" s="16">
        <v>0</v>
      </c>
      <c r="AD40" s="42">
        <v>3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42">
        <v>0</v>
      </c>
      <c r="AK40" s="24">
        <v>3</v>
      </c>
      <c r="AL40" s="24">
        <v>3</v>
      </c>
      <c r="AM40" s="64">
        <v>0</v>
      </c>
      <c r="AN40" s="24">
        <v>3</v>
      </c>
      <c r="AO40" s="16">
        <v>0</v>
      </c>
      <c r="AP40" s="43">
        <v>3</v>
      </c>
      <c r="AQ40" s="32">
        <v>3</v>
      </c>
      <c r="AR40" s="16">
        <v>0</v>
      </c>
      <c r="AS40" s="30">
        <v>0</v>
      </c>
      <c r="AT40" s="16">
        <v>0</v>
      </c>
      <c r="AU40" s="16">
        <v>0</v>
      </c>
      <c r="AV40" s="42">
        <v>3</v>
      </c>
      <c r="AW40" s="16">
        <v>0</v>
      </c>
      <c r="AX40" s="16">
        <v>0</v>
      </c>
      <c r="AY40" s="34">
        <v>0</v>
      </c>
      <c r="AZ40" s="32">
        <v>2</v>
      </c>
      <c r="BA40" s="70">
        <v>3</v>
      </c>
      <c r="BB40" s="98">
        <v>2.5</v>
      </c>
    </row>
    <row r="41" spans="1:54" ht="23.1" customHeight="1" x14ac:dyDescent="0.3">
      <c r="A41" s="99">
        <v>37</v>
      </c>
      <c r="B41" s="76" t="s">
        <v>302</v>
      </c>
      <c r="C41" s="77" t="s">
        <v>303</v>
      </c>
      <c r="D41" s="76" t="s">
        <v>450</v>
      </c>
      <c r="E41" s="76" t="s">
        <v>493</v>
      </c>
      <c r="F41" s="76" t="str">
        <f>REPT(CHAR(160),10)&amp;Working!$E41</f>
        <v>          C</v>
      </c>
      <c r="G41" s="78">
        <v>0</v>
      </c>
      <c r="H41" s="78">
        <v>0</v>
      </c>
      <c r="I41" s="78">
        <v>4</v>
      </c>
      <c r="J41" s="78">
        <v>0</v>
      </c>
      <c r="K41" s="79">
        <v>0</v>
      </c>
      <c r="L41" s="80">
        <v>4</v>
      </c>
      <c r="M41" s="78">
        <v>0</v>
      </c>
      <c r="N41" s="78">
        <v>4</v>
      </c>
      <c r="O41" s="78">
        <v>4</v>
      </c>
      <c r="P41" s="81">
        <v>0</v>
      </c>
      <c r="Q41" s="82">
        <v>4</v>
      </c>
      <c r="R41" s="43">
        <v>4</v>
      </c>
      <c r="S41" s="32">
        <v>0</v>
      </c>
      <c r="T41" s="34">
        <v>0</v>
      </c>
      <c r="U41" s="65">
        <v>0</v>
      </c>
      <c r="V41" s="34">
        <v>0</v>
      </c>
      <c r="W41" s="34">
        <v>0</v>
      </c>
      <c r="X41" s="42">
        <v>0</v>
      </c>
      <c r="Y41" s="34">
        <v>4</v>
      </c>
      <c r="Z41" s="34">
        <v>0</v>
      </c>
      <c r="AA41" s="34">
        <v>0</v>
      </c>
      <c r="AB41" s="34">
        <v>0</v>
      </c>
      <c r="AC41" s="34">
        <v>0</v>
      </c>
      <c r="AD41" s="42">
        <v>4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42">
        <v>0</v>
      </c>
      <c r="AK41" s="33">
        <v>4</v>
      </c>
      <c r="AL41" s="33">
        <v>4</v>
      </c>
      <c r="AM41" s="65">
        <v>0</v>
      </c>
      <c r="AN41" s="33">
        <v>4</v>
      </c>
      <c r="AO41" s="34">
        <v>0</v>
      </c>
      <c r="AP41" s="43">
        <v>4</v>
      </c>
      <c r="AQ41" s="32">
        <v>4</v>
      </c>
      <c r="AR41" s="34">
        <v>0</v>
      </c>
      <c r="AS41" s="71">
        <v>0</v>
      </c>
      <c r="AT41" s="34">
        <v>0</v>
      </c>
      <c r="AU41" s="34">
        <v>0</v>
      </c>
      <c r="AV41" s="42">
        <v>4</v>
      </c>
      <c r="AW41" s="34">
        <v>0</v>
      </c>
      <c r="AX41" s="34">
        <v>0</v>
      </c>
      <c r="AY41" s="34">
        <v>0</v>
      </c>
      <c r="AZ41" s="32">
        <v>4</v>
      </c>
      <c r="BA41" s="70">
        <v>5</v>
      </c>
      <c r="BB41" s="98">
        <v>4.5</v>
      </c>
    </row>
    <row r="42" spans="1:54" ht="23.1" customHeight="1" x14ac:dyDescent="0.3">
      <c r="A42" s="100">
        <v>38</v>
      </c>
      <c r="B42" s="83" t="s">
        <v>227</v>
      </c>
      <c r="C42" s="84" t="s">
        <v>228</v>
      </c>
      <c r="D42" s="83" t="s">
        <v>542</v>
      </c>
      <c r="E42" s="83" t="s">
        <v>161</v>
      </c>
      <c r="F42" s="83" t="str">
        <f>REPT(CHAR(160),10)&amp;Working!$E42</f>
        <v>          B</v>
      </c>
      <c r="G42" s="74">
        <v>0</v>
      </c>
      <c r="H42" s="74">
        <v>0</v>
      </c>
      <c r="I42" s="74">
        <v>4</v>
      </c>
      <c r="J42" s="74">
        <v>0</v>
      </c>
      <c r="K42" s="85">
        <v>0</v>
      </c>
      <c r="L42" s="80">
        <v>4</v>
      </c>
      <c r="M42" s="74">
        <v>0</v>
      </c>
      <c r="N42" s="74">
        <v>4</v>
      </c>
      <c r="O42" s="74">
        <v>4</v>
      </c>
      <c r="P42" s="86">
        <v>0</v>
      </c>
      <c r="Q42" s="87">
        <v>4</v>
      </c>
      <c r="R42" s="43">
        <v>4</v>
      </c>
      <c r="S42" s="32">
        <v>0</v>
      </c>
      <c r="T42" s="16">
        <v>0</v>
      </c>
      <c r="U42" s="64">
        <v>0</v>
      </c>
      <c r="V42" s="16">
        <v>0</v>
      </c>
      <c r="W42" s="16">
        <v>0</v>
      </c>
      <c r="X42" s="42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42">
        <v>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42">
        <v>0</v>
      </c>
      <c r="AK42" s="24">
        <v>4</v>
      </c>
      <c r="AL42" s="24">
        <v>4</v>
      </c>
      <c r="AM42" s="64">
        <v>0</v>
      </c>
      <c r="AN42" s="24">
        <v>4</v>
      </c>
      <c r="AO42" s="16">
        <v>0</v>
      </c>
      <c r="AP42" s="43">
        <v>4</v>
      </c>
      <c r="AQ42" s="32">
        <v>4</v>
      </c>
      <c r="AR42" s="16">
        <v>0</v>
      </c>
      <c r="AS42" s="30">
        <v>0</v>
      </c>
      <c r="AT42" s="16">
        <v>0</v>
      </c>
      <c r="AU42" s="16">
        <v>0</v>
      </c>
      <c r="AV42" s="42">
        <v>4</v>
      </c>
      <c r="AW42" s="16">
        <v>0</v>
      </c>
      <c r="AX42" s="16">
        <v>0</v>
      </c>
      <c r="AY42" s="34">
        <v>0</v>
      </c>
      <c r="AZ42" s="32">
        <v>4</v>
      </c>
      <c r="BA42" s="70">
        <v>5</v>
      </c>
      <c r="BB42" s="98">
        <v>4.5</v>
      </c>
    </row>
    <row r="43" spans="1:54" ht="23.1" customHeight="1" x14ac:dyDescent="0.3">
      <c r="A43" s="99">
        <v>39</v>
      </c>
      <c r="B43" s="76" t="s">
        <v>304</v>
      </c>
      <c r="C43" s="77" t="s">
        <v>305</v>
      </c>
      <c r="D43" s="76" t="s">
        <v>542</v>
      </c>
      <c r="E43" s="76" t="s">
        <v>493</v>
      </c>
      <c r="F43" s="76" t="str">
        <f>REPT(CHAR(160),10)&amp;Working!$E43</f>
        <v>          C</v>
      </c>
      <c r="G43" s="78">
        <v>0</v>
      </c>
      <c r="H43" s="78">
        <v>0</v>
      </c>
      <c r="I43" s="78">
        <v>4</v>
      </c>
      <c r="J43" s="78">
        <v>0</v>
      </c>
      <c r="K43" s="79">
        <v>0</v>
      </c>
      <c r="L43" s="80">
        <v>4</v>
      </c>
      <c r="M43" s="78">
        <v>0</v>
      </c>
      <c r="N43" s="78">
        <v>4</v>
      </c>
      <c r="O43" s="78">
        <v>4</v>
      </c>
      <c r="P43" s="81">
        <v>0</v>
      </c>
      <c r="Q43" s="82">
        <v>4</v>
      </c>
      <c r="R43" s="43">
        <v>4</v>
      </c>
      <c r="S43" s="32">
        <v>0</v>
      </c>
      <c r="T43" s="34">
        <v>0</v>
      </c>
      <c r="U43" s="65">
        <v>0</v>
      </c>
      <c r="V43" s="34">
        <v>0</v>
      </c>
      <c r="W43" s="34">
        <v>0</v>
      </c>
      <c r="X43" s="42">
        <v>0</v>
      </c>
      <c r="Y43" s="34">
        <v>4</v>
      </c>
      <c r="Z43" s="34">
        <v>0</v>
      </c>
      <c r="AA43" s="34">
        <v>0</v>
      </c>
      <c r="AB43" s="34">
        <v>0</v>
      </c>
      <c r="AC43" s="34">
        <v>0</v>
      </c>
      <c r="AD43" s="42">
        <v>4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42">
        <v>0</v>
      </c>
      <c r="AK43" s="33">
        <v>4</v>
      </c>
      <c r="AL43" s="33">
        <v>4</v>
      </c>
      <c r="AM43" s="65">
        <v>0</v>
      </c>
      <c r="AN43" s="33">
        <v>4</v>
      </c>
      <c r="AO43" s="34">
        <v>0</v>
      </c>
      <c r="AP43" s="43">
        <v>4</v>
      </c>
      <c r="AQ43" s="32">
        <v>5</v>
      </c>
      <c r="AR43" s="34">
        <v>0</v>
      </c>
      <c r="AS43" s="71">
        <v>0</v>
      </c>
      <c r="AT43" s="34">
        <v>0</v>
      </c>
      <c r="AU43" s="34">
        <v>0</v>
      </c>
      <c r="AV43" s="42">
        <v>5</v>
      </c>
      <c r="AW43" s="34">
        <v>0</v>
      </c>
      <c r="AX43" s="34">
        <v>0</v>
      </c>
      <c r="AY43" s="34">
        <v>0</v>
      </c>
      <c r="AZ43" s="32">
        <v>4</v>
      </c>
      <c r="BA43" s="70">
        <v>5</v>
      </c>
      <c r="BB43" s="98">
        <v>4.5</v>
      </c>
    </row>
    <row r="44" spans="1:54" ht="23.1" customHeight="1" x14ac:dyDescent="0.3">
      <c r="A44" s="100">
        <v>40</v>
      </c>
      <c r="B44" s="83" t="s">
        <v>89</v>
      </c>
      <c r="C44" s="84" t="s">
        <v>90</v>
      </c>
      <c r="D44" s="83" t="s">
        <v>450</v>
      </c>
      <c r="E44" s="83" t="s">
        <v>35</v>
      </c>
      <c r="F44" s="83" t="str">
        <f>REPT(CHAR(160),10)&amp;Working!$E44</f>
        <v>          A</v>
      </c>
      <c r="G44" s="74">
        <v>0</v>
      </c>
      <c r="H44" s="74">
        <v>0</v>
      </c>
      <c r="I44" s="74">
        <v>4</v>
      </c>
      <c r="J44" s="74">
        <v>0</v>
      </c>
      <c r="K44" s="85">
        <v>0</v>
      </c>
      <c r="L44" s="80">
        <v>4</v>
      </c>
      <c r="M44" s="74">
        <v>0</v>
      </c>
      <c r="N44" s="74">
        <v>4</v>
      </c>
      <c r="O44" s="74">
        <v>4</v>
      </c>
      <c r="P44" s="86">
        <v>0</v>
      </c>
      <c r="Q44" s="87">
        <v>4</v>
      </c>
      <c r="R44" s="43">
        <v>4</v>
      </c>
      <c r="S44" s="32">
        <v>0</v>
      </c>
      <c r="T44" s="16">
        <v>0</v>
      </c>
      <c r="U44" s="64">
        <v>0</v>
      </c>
      <c r="V44" s="16">
        <v>0</v>
      </c>
      <c r="W44" s="16">
        <v>0</v>
      </c>
      <c r="X44" s="42">
        <v>0</v>
      </c>
      <c r="Y44" s="16">
        <v>4</v>
      </c>
      <c r="Z44" s="16">
        <v>0</v>
      </c>
      <c r="AA44" s="16">
        <v>0</v>
      </c>
      <c r="AB44" s="16">
        <v>0</v>
      </c>
      <c r="AC44" s="16">
        <v>0</v>
      </c>
      <c r="AD44" s="42">
        <v>4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42">
        <v>0</v>
      </c>
      <c r="AK44" s="24">
        <v>4</v>
      </c>
      <c r="AL44" s="24">
        <v>4</v>
      </c>
      <c r="AM44" s="64">
        <v>0</v>
      </c>
      <c r="AN44" s="24">
        <v>5</v>
      </c>
      <c r="AO44" s="16">
        <v>0</v>
      </c>
      <c r="AP44" s="43">
        <v>4.333333333333333</v>
      </c>
      <c r="AQ44" s="32">
        <v>4</v>
      </c>
      <c r="AR44" s="16">
        <v>0</v>
      </c>
      <c r="AS44" s="30">
        <v>0</v>
      </c>
      <c r="AT44" s="16">
        <v>0</v>
      </c>
      <c r="AU44" s="16">
        <v>0</v>
      </c>
      <c r="AV44" s="42">
        <v>4</v>
      </c>
      <c r="AW44" s="16">
        <v>0</v>
      </c>
      <c r="AX44" s="16">
        <v>0</v>
      </c>
      <c r="AY44" s="34">
        <v>0</v>
      </c>
      <c r="AZ44" s="32">
        <v>4</v>
      </c>
      <c r="BA44" s="70">
        <v>5</v>
      </c>
      <c r="BB44" s="98">
        <v>4.5</v>
      </c>
    </row>
    <row r="45" spans="1:54" ht="23.1" customHeight="1" x14ac:dyDescent="0.3">
      <c r="A45" s="99">
        <v>41</v>
      </c>
      <c r="B45" s="76" t="s">
        <v>306</v>
      </c>
      <c r="C45" s="77" t="s">
        <v>307</v>
      </c>
      <c r="D45" s="76" t="s">
        <v>542</v>
      </c>
      <c r="E45" s="76" t="s">
        <v>493</v>
      </c>
      <c r="F45" s="76" t="str">
        <f>REPT(CHAR(160),10)&amp;Working!$E45</f>
        <v>          C</v>
      </c>
      <c r="G45" s="78">
        <v>0</v>
      </c>
      <c r="H45" s="78">
        <v>0</v>
      </c>
      <c r="I45" s="78">
        <v>4</v>
      </c>
      <c r="J45" s="78">
        <v>0</v>
      </c>
      <c r="K45" s="79">
        <v>0</v>
      </c>
      <c r="L45" s="80">
        <v>4</v>
      </c>
      <c r="M45" s="78">
        <v>0</v>
      </c>
      <c r="N45" s="78">
        <v>4</v>
      </c>
      <c r="O45" s="78">
        <v>4</v>
      </c>
      <c r="P45" s="81">
        <v>0</v>
      </c>
      <c r="Q45" s="82">
        <v>4</v>
      </c>
      <c r="R45" s="43">
        <v>4</v>
      </c>
      <c r="S45" s="32">
        <v>0</v>
      </c>
      <c r="T45" s="34">
        <v>0</v>
      </c>
      <c r="U45" s="65">
        <v>0</v>
      </c>
      <c r="V45" s="34">
        <v>0</v>
      </c>
      <c r="W45" s="34">
        <v>0</v>
      </c>
      <c r="X45" s="42">
        <v>0</v>
      </c>
      <c r="Y45" s="34">
        <v>4</v>
      </c>
      <c r="Z45" s="34">
        <v>0</v>
      </c>
      <c r="AA45" s="34">
        <v>0</v>
      </c>
      <c r="AB45" s="34">
        <v>0</v>
      </c>
      <c r="AC45" s="34">
        <v>0</v>
      </c>
      <c r="AD45" s="42">
        <v>4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42">
        <v>0</v>
      </c>
      <c r="AK45" s="33">
        <v>4</v>
      </c>
      <c r="AL45" s="33">
        <v>4</v>
      </c>
      <c r="AM45" s="65">
        <v>0</v>
      </c>
      <c r="AN45" s="33">
        <v>4</v>
      </c>
      <c r="AO45" s="34">
        <v>0</v>
      </c>
      <c r="AP45" s="43">
        <v>4</v>
      </c>
      <c r="AQ45" s="32">
        <v>4</v>
      </c>
      <c r="AR45" s="34">
        <v>0</v>
      </c>
      <c r="AS45" s="71">
        <v>0</v>
      </c>
      <c r="AT45" s="34">
        <v>0</v>
      </c>
      <c r="AU45" s="34">
        <v>0</v>
      </c>
      <c r="AV45" s="42">
        <v>4</v>
      </c>
      <c r="AW45" s="34">
        <v>0</v>
      </c>
      <c r="AX45" s="34">
        <v>0</v>
      </c>
      <c r="AY45" s="34">
        <v>0</v>
      </c>
      <c r="AZ45" s="32">
        <v>4</v>
      </c>
      <c r="BA45" s="70">
        <v>5</v>
      </c>
      <c r="BB45" s="98">
        <v>4.5</v>
      </c>
    </row>
    <row r="46" spans="1:54" ht="23.1" customHeight="1" x14ac:dyDescent="0.3">
      <c r="A46" s="100">
        <v>42</v>
      </c>
      <c r="B46" s="83" t="s">
        <v>245</v>
      </c>
      <c r="C46" s="84" t="s">
        <v>246</v>
      </c>
      <c r="D46" s="83" t="s">
        <v>542</v>
      </c>
      <c r="E46" s="83" t="s">
        <v>161</v>
      </c>
      <c r="F46" s="83" t="str">
        <f>REPT(CHAR(160),10)&amp;Working!$E46</f>
        <v>          B</v>
      </c>
      <c r="G46" s="74">
        <v>0</v>
      </c>
      <c r="H46" s="74">
        <v>0</v>
      </c>
      <c r="I46" s="74">
        <v>4</v>
      </c>
      <c r="J46" s="74">
        <v>0</v>
      </c>
      <c r="K46" s="85">
        <v>0</v>
      </c>
      <c r="L46" s="80">
        <v>4</v>
      </c>
      <c r="M46" s="74">
        <v>0</v>
      </c>
      <c r="N46" s="74">
        <v>4</v>
      </c>
      <c r="O46" s="74">
        <v>4</v>
      </c>
      <c r="P46" s="86">
        <v>0</v>
      </c>
      <c r="Q46" s="87">
        <v>4</v>
      </c>
      <c r="R46" s="43">
        <v>4</v>
      </c>
      <c r="S46" s="32">
        <v>0</v>
      </c>
      <c r="T46" s="16">
        <v>0</v>
      </c>
      <c r="U46" s="64">
        <v>0</v>
      </c>
      <c r="V46" s="16">
        <v>0</v>
      </c>
      <c r="W46" s="16">
        <v>0</v>
      </c>
      <c r="X46" s="42">
        <v>0</v>
      </c>
      <c r="Y46" s="16">
        <v>4</v>
      </c>
      <c r="Z46" s="16">
        <v>0</v>
      </c>
      <c r="AA46" s="16">
        <v>0</v>
      </c>
      <c r="AB46" s="16">
        <v>0</v>
      </c>
      <c r="AC46" s="16">
        <v>0</v>
      </c>
      <c r="AD46" s="42">
        <v>4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42">
        <v>0</v>
      </c>
      <c r="AK46" s="24">
        <v>4</v>
      </c>
      <c r="AL46" s="24">
        <v>4</v>
      </c>
      <c r="AM46" s="64">
        <v>0</v>
      </c>
      <c r="AN46" s="24">
        <v>5</v>
      </c>
      <c r="AO46" s="16">
        <v>0</v>
      </c>
      <c r="AP46" s="43">
        <v>4.333333333333333</v>
      </c>
      <c r="AQ46" s="32">
        <v>4</v>
      </c>
      <c r="AR46" s="16">
        <v>0</v>
      </c>
      <c r="AS46" s="30">
        <v>0</v>
      </c>
      <c r="AT46" s="16">
        <v>0</v>
      </c>
      <c r="AU46" s="16">
        <v>0</v>
      </c>
      <c r="AV46" s="42">
        <v>4</v>
      </c>
      <c r="AW46" s="16">
        <v>0</v>
      </c>
      <c r="AX46" s="16">
        <v>0</v>
      </c>
      <c r="AY46" s="34">
        <v>0</v>
      </c>
      <c r="AZ46" s="32">
        <v>4</v>
      </c>
      <c r="BA46" s="70">
        <v>4</v>
      </c>
      <c r="BB46" s="98">
        <v>4</v>
      </c>
    </row>
    <row r="47" spans="1:54" ht="23.1" customHeight="1" x14ac:dyDescent="0.3">
      <c r="A47" s="99">
        <v>43</v>
      </c>
      <c r="B47" s="76" t="s">
        <v>114</v>
      </c>
      <c r="C47" s="77" t="s">
        <v>115</v>
      </c>
      <c r="D47" s="76" t="s">
        <v>450</v>
      </c>
      <c r="E47" s="76" t="s">
        <v>35</v>
      </c>
      <c r="F47" s="76" t="str">
        <f>REPT(CHAR(160),10)&amp;Working!$E47</f>
        <v>          A</v>
      </c>
      <c r="G47" s="78">
        <v>0</v>
      </c>
      <c r="H47" s="78">
        <v>0</v>
      </c>
      <c r="I47" s="78">
        <v>4</v>
      </c>
      <c r="J47" s="78">
        <v>0</v>
      </c>
      <c r="K47" s="79">
        <v>0</v>
      </c>
      <c r="L47" s="80">
        <v>4</v>
      </c>
      <c r="M47" s="78">
        <v>0</v>
      </c>
      <c r="N47" s="78">
        <v>4</v>
      </c>
      <c r="O47" s="78">
        <v>4</v>
      </c>
      <c r="P47" s="81">
        <v>0</v>
      </c>
      <c r="Q47" s="82">
        <v>4</v>
      </c>
      <c r="R47" s="43">
        <v>4</v>
      </c>
      <c r="S47" s="32">
        <v>0</v>
      </c>
      <c r="T47" s="34">
        <v>0</v>
      </c>
      <c r="U47" s="65">
        <v>0</v>
      </c>
      <c r="V47" s="34">
        <v>0</v>
      </c>
      <c r="W47" s="34">
        <v>0</v>
      </c>
      <c r="X47" s="42">
        <v>0</v>
      </c>
      <c r="Y47" s="34">
        <v>3</v>
      </c>
      <c r="Z47" s="34">
        <v>0</v>
      </c>
      <c r="AA47" s="34">
        <v>0</v>
      </c>
      <c r="AB47" s="34">
        <v>0</v>
      </c>
      <c r="AC47" s="34">
        <v>0</v>
      </c>
      <c r="AD47" s="42">
        <v>3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42">
        <v>0</v>
      </c>
      <c r="AK47" s="33">
        <v>4</v>
      </c>
      <c r="AL47" s="33">
        <v>3</v>
      </c>
      <c r="AM47" s="65">
        <v>0</v>
      </c>
      <c r="AN47" s="33">
        <v>4</v>
      </c>
      <c r="AO47" s="34">
        <v>0</v>
      </c>
      <c r="AP47" s="43">
        <v>3.6666666666666665</v>
      </c>
      <c r="AQ47" s="32">
        <v>4</v>
      </c>
      <c r="AR47" s="34">
        <v>0</v>
      </c>
      <c r="AS47" s="71">
        <v>0</v>
      </c>
      <c r="AT47" s="34">
        <v>0</v>
      </c>
      <c r="AU47" s="34">
        <v>0</v>
      </c>
      <c r="AV47" s="42">
        <v>4</v>
      </c>
      <c r="AW47" s="34">
        <v>0</v>
      </c>
      <c r="AX47" s="34">
        <v>0</v>
      </c>
      <c r="AY47" s="34">
        <v>0</v>
      </c>
      <c r="AZ47" s="32">
        <v>4</v>
      </c>
      <c r="BA47" s="70">
        <v>3</v>
      </c>
      <c r="BB47" s="98">
        <v>3.5</v>
      </c>
    </row>
    <row r="48" spans="1:54" ht="23.1" customHeight="1" x14ac:dyDescent="0.3">
      <c r="A48" s="100">
        <v>44</v>
      </c>
      <c r="B48" s="83" t="s">
        <v>116</v>
      </c>
      <c r="C48" s="84" t="s">
        <v>117</v>
      </c>
      <c r="D48" s="83" t="s">
        <v>542</v>
      </c>
      <c r="E48" s="83" t="s">
        <v>35</v>
      </c>
      <c r="F48" s="83" t="str">
        <f>REPT(CHAR(160),10)&amp;Working!$E48</f>
        <v>          A</v>
      </c>
      <c r="G48" s="74">
        <v>0</v>
      </c>
      <c r="H48" s="74">
        <v>0</v>
      </c>
      <c r="I48" s="74">
        <v>3</v>
      </c>
      <c r="J48" s="74">
        <v>0</v>
      </c>
      <c r="K48" s="85">
        <v>0</v>
      </c>
      <c r="L48" s="80">
        <v>3</v>
      </c>
      <c r="M48" s="74">
        <v>0</v>
      </c>
      <c r="N48" s="74">
        <v>3</v>
      </c>
      <c r="O48" s="74">
        <v>3</v>
      </c>
      <c r="P48" s="86">
        <v>0</v>
      </c>
      <c r="Q48" s="87">
        <v>3</v>
      </c>
      <c r="R48" s="43">
        <v>3</v>
      </c>
      <c r="S48" s="32">
        <v>0</v>
      </c>
      <c r="T48" s="16">
        <v>0</v>
      </c>
      <c r="U48" s="64">
        <v>0</v>
      </c>
      <c r="V48" s="16">
        <v>0</v>
      </c>
      <c r="W48" s="16">
        <v>0</v>
      </c>
      <c r="X48" s="42">
        <v>0</v>
      </c>
      <c r="Y48" s="16">
        <v>4</v>
      </c>
      <c r="Z48" s="16">
        <v>0</v>
      </c>
      <c r="AA48" s="16">
        <v>0</v>
      </c>
      <c r="AB48" s="16">
        <v>0</v>
      </c>
      <c r="AC48" s="16">
        <v>0</v>
      </c>
      <c r="AD48" s="42">
        <v>4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42">
        <v>0</v>
      </c>
      <c r="AK48" s="24">
        <v>3</v>
      </c>
      <c r="AL48" s="24">
        <v>4</v>
      </c>
      <c r="AM48" s="64">
        <v>0</v>
      </c>
      <c r="AN48" s="24">
        <v>3</v>
      </c>
      <c r="AO48" s="16">
        <v>0</v>
      </c>
      <c r="AP48" s="43">
        <v>3.3333333333333335</v>
      </c>
      <c r="AQ48" s="32">
        <v>3</v>
      </c>
      <c r="AR48" s="16">
        <v>0</v>
      </c>
      <c r="AS48" s="30">
        <v>0</v>
      </c>
      <c r="AT48" s="16">
        <v>0</v>
      </c>
      <c r="AU48" s="16">
        <v>0</v>
      </c>
      <c r="AV48" s="42">
        <v>3</v>
      </c>
      <c r="AW48" s="16">
        <v>0</v>
      </c>
      <c r="AX48" s="16">
        <v>0</v>
      </c>
      <c r="AY48" s="34">
        <v>0</v>
      </c>
      <c r="AZ48" s="32">
        <v>3</v>
      </c>
      <c r="BA48" s="70">
        <v>4</v>
      </c>
      <c r="BB48" s="98">
        <v>3.5</v>
      </c>
    </row>
    <row r="49" spans="1:54" ht="23.1" customHeight="1" x14ac:dyDescent="0.3">
      <c r="A49" s="99">
        <v>45</v>
      </c>
      <c r="B49" s="76" t="s">
        <v>180</v>
      </c>
      <c r="C49" s="77" t="s">
        <v>181</v>
      </c>
      <c r="D49" s="76" t="s">
        <v>450</v>
      </c>
      <c r="E49" s="76" t="s">
        <v>161</v>
      </c>
      <c r="F49" s="76" t="str">
        <f>REPT(CHAR(160),10)&amp;Working!$E49</f>
        <v>          B</v>
      </c>
      <c r="G49" s="78">
        <v>0</v>
      </c>
      <c r="H49" s="78">
        <v>0</v>
      </c>
      <c r="I49" s="78">
        <v>3</v>
      </c>
      <c r="J49" s="78">
        <v>0</v>
      </c>
      <c r="K49" s="79">
        <v>0</v>
      </c>
      <c r="L49" s="80">
        <v>3</v>
      </c>
      <c r="M49" s="78">
        <v>0</v>
      </c>
      <c r="N49" s="78">
        <v>3</v>
      </c>
      <c r="O49" s="78">
        <v>4</v>
      </c>
      <c r="P49" s="81">
        <v>0</v>
      </c>
      <c r="Q49" s="82">
        <v>4</v>
      </c>
      <c r="R49" s="43">
        <v>3.6666666666666665</v>
      </c>
      <c r="S49" s="32">
        <v>0</v>
      </c>
      <c r="T49" s="34">
        <v>0</v>
      </c>
      <c r="U49" s="65">
        <v>0</v>
      </c>
      <c r="V49" s="34">
        <v>0</v>
      </c>
      <c r="W49" s="34">
        <v>0</v>
      </c>
      <c r="X49" s="42">
        <v>0</v>
      </c>
      <c r="Y49" s="34">
        <v>4</v>
      </c>
      <c r="Z49" s="34">
        <v>0</v>
      </c>
      <c r="AA49" s="34">
        <v>0</v>
      </c>
      <c r="AB49" s="34">
        <v>0</v>
      </c>
      <c r="AC49" s="34">
        <v>0</v>
      </c>
      <c r="AD49" s="42">
        <v>4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42">
        <v>0</v>
      </c>
      <c r="AK49" s="33">
        <v>4</v>
      </c>
      <c r="AL49" s="33">
        <v>3</v>
      </c>
      <c r="AM49" s="65">
        <v>0</v>
      </c>
      <c r="AN49" s="33">
        <v>4</v>
      </c>
      <c r="AO49" s="34">
        <v>0</v>
      </c>
      <c r="AP49" s="43">
        <v>3.6666666666666665</v>
      </c>
      <c r="AQ49" s="32">
        <v>4</v>
      </c>
      <c r="AR49" s="34">
        <v>0</v>
      </c>
      <c r="AS49" s="71">
        <v>0</v>
      </c>
      <c r="AT49" s="34">
        <v>0</v>
      </c>
      <c r="AU49" s="34">
        <v>0</v>
      </c>
      <c r="AV49" s="42">
        <v>4</v>
      </c>
      <c r="AW49" s="34">
        <v>0</v>
      </c>
      <c r="AX49" s="34">
        <v>0</v>
      </c>
      <c r="AY49" s="34">
        <v>0</v>
      </c>
      <c r="AZ49" s="32">
        <v>4</v>
      </c>
      <c r="BA49" s="70">
        <v>4</v>
      </c>
      <c r="BB49" s="98">
        <v>4</v>
      </c>
    </row>
    <row r="50" spans="1:54" ht="23.1" customHeight="1" x14ac:dyDescent="0.3">
      <c r="A50" s="100">
        <v>46</v>
      </c>
      <c r="B50" s="83" t="s">
        <v>308</v>
      </c>
      <c r="C50" s="84" t="s">
        <v>309</v>
      </c>
      <c r="D50" s="83" t="s">
        <v>542</v>
      </c>
      <c r="E50" s="83" t="s">
        <v>493</v>
      </c>
      <c r="F50" s="83" t="str">
        <f>REPT(CHAR(160),10)&amp;Working!$E50</f>
        <v>          C</v>
      </c>
      <c r="G50" s="74">
        <v>0</v>
      </c>
      <c r="H50" s="74">
        <v>0</v>
      </c>
      <c r="I50" s="74">
        <v>4</v>
      </c>
      <c r="J50" s="74">
        <v>0</v>
      </c>
      <c r="K50" s="85">
        <v>0</v>
      </c>
      <c r="L50" s="80">
        <v>4</v>
      </c>
      <c r="M50" s="74">
        <v>0</v>
      </c>
      <c r="N50" s="74">
        <v>4</v>
      </c>
      <c r="O50" s="74">
        <v>4</v>
      </c>
      <c r="P50" s="86">
        <v>0</v>
      </c>
      <c r="Q50" s="87">
        <v>4</v>
      </c>
      <c r="R50" s="43">
        <v>4</v>
      </c>
      <c r="S50" s="32">
        <v>0</v>
      </c>
      <c r="T50" s="16">
        <v>0</v>
      </c>
      <c r="U50" s="64">
        <v>0</v>
      </c>
      <c r="V50" s="16">
        <v>0</v>
      </c>
      <c r="W50" s="16">
        <v>0</v>
      </c>
      <c r="X50" s="42">
        <v>0</v>
      </c>
      <c r="Y50" s="16">
        <v>4</v>
      </c>
      <c r="Z50" s="16">
        <v>0</v>
      </c>
      <c r="AA50" s="16">
        <v>0</v>
      </c>
      <c r="AB50" s="16">
        <v>0</v>
      </c>
      <c r="AC50" s="16">
        <v>0</v>
      </c>
      <c r="AD50" s="42">
        <v>4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42">
        <v>0</v>
      </c>
      <c r="AK50" s="24">
        <v>4</v>
      </c>
      <c r="AL50" s="24">
        <v>4</v>
      </c>
      <c r="AM50" s="64">
        <v>0</v>
      </c>
      <c r="AN50" s="24">
        <v>4</v>
      </c>
      <c r="AO50" s="16">
        <v>0</v>
      </c>
      <c r="AP50" s="43">
        <v>4</v>
      </c>
      <c r="AQ50" s="32">
        <v>4</v>
      </c>
      <c r="AR50" s="16">
        <v>0</v>
      </c>
      <c r="AS50" s="30">
        <v>0</v>
      </c>
      <c r="AT50" s="16">
        <v>0</v>
      </c>
      <c r="AU50" s="16">
        <v>0</v>
      </c>
      <c r="AV50" s="42">
        <v>4</v>
      </c>
      <c r="AW50" s="16">
        <v>0</v>
      </c>
      <c r="AX50" s="16">
        <v>0</v>
      </c>
      <c r="AY50" s="34">
        <v>0</v>
      </c>
      <c r="AZ50" s="32">
        <v>4</v>
      </c>
      <c r="BA50" s="70">
        <v>4</v>
      </c>
      <c r="BB50" s="98">
        <v>4</v>
      </c>
    </row>
    <row r="51" spans="1:54" ht="23.1" customHeight="1" x14ac:dyDescent="0.3">
      <c r="A51" s="99">
        <v>47</v>
      </c>
      <c r="B51" s="76" t="s">
        <v>118</v>
      </c>
      <c r="C51" s="77" t="s">
        <v>119</v>
      </c>
      <c r="D51" s="76" t="s">
        <v>450</v>
      </c>
      <c r="E51" s="76" t="s">
        <v>35</v>
      </c>
      <c r="F51" s="76" t="str">
        <f>REPT(CHAR(160),10)&amp;Working!$E51</f>
        <v>          A</v>
      </c>
      <c r="G51" s="78">
        <v>0</v>
      </c>
      <c r="H51" s="78">
        <v>0</v>
      </c>
      <c r="I51" s="78">
        <v>4</v>
      </c>
      <c r="J51" s="78">
        <v>0</v>
      </c>
      <c r="K51" s="79">
        <v>0</v>
      </c>
      <c r="L51" s="80">
        <v>4</v>
      </c>
      <c r="M51" s="78">
        <v>0</v>
      </c>
      <c r="N51" s="78">
        <v>4</v>
      </c>
      <c r="O51" s="78">
        <v>4</v>
      </c>
      <c r="P51" s="81">
        <v>0</v>
      </c>
      <c r="Q51" s="82">
        <v>4</v>
      </c>
      <c r="R51" s="43">
        <v>4</v>
      </c>
      <c r="S51" s="32">
        <v>0</v>
      </c>
      <c r="T51" s="34">
        <v>0</v>
      </c>
      <c r="U51" s="65">
        <v>0</v>
      </c>
      <c r="V51" s="34">
        <v>0</v>
      </c>
      <c r="W51" s="34">
        <v>0</v>
      </c>
      <c r="X51" s="42">
        <v>0</v>
      </c>
      <c r="Y51" s="34">
        <v>4</v>
      </c>
      <c r="Z51" s="34">
        <v>0</v>
      </c>
      <c r="AA51" s="34">
        <v>0</v>
      </c>
      <c r="AB51" s="34">
        <v>0</v>
      </c>
      <c r="AC51" s="34">
        <v>0</v>
      </c>
      <c r="AD51" s="42">
        <v>4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42">
        <v>0</v>
      </c>
      <c r="AK51" s="33">
        <v>4</v>
      </c>
      <c r="AL51" s="33">
        <v>4</v>
      </c>
      <c r="AM51" s="65">
        <v>0</v>
      </c>
      <c r="AN51" s="33">
        <v>4</v>
      </c>
      <c r="AO51" s="34">
        <v>0</v>
      </c>
      <c r="AP51" s="43">
        <v>4</v>
      </c>
      <c r="AQ51" s="32">
        <v>4</v>
      </c>
      <c r="AR51" s="34">
        <v>0</v>
      </c>
      <c r="AS51" s="71">
        <v>0</v>
      </c>
      <c r="AT51" s="34">
        <v>0</v>
      </c>
      <c r="AU51" s="34">
        <v>0</v>
      </c>
      <c r="AV51" s="42">
        <v>4</v>
      </c>
      <c r="AW51" s="34">
        <v>0</v>
      </c>
      <c r="AX51" s="34">
        <v>0</v>
      </c>
      <c r="AY51" s="34">
        <v>0</v>
      </c>
      <c r="AZ51" s="32">
        <v>4</v>
      </c>
      <c r="BA51" s="70">
        <v>4</v>
      </c>
      <c r="BB51" s="98">
        <v>4</v>
      </c>
    </row>
    <row r="52" spans="1:54" ht="23.1" customHeight="1" x14ac:dyDescent="0.3">
      <c r="A52" s="100">
        <v>48</v>
      </c>
      <c r="B52" s="83" t="s">
        <v>197</v>
      </c>
      <c r="C52" s="84" t="s">
        <v>198</v>
      </c>
      <c r="D52" s="83" t="s">
        <v>450</v>
      </c>
      <c r="E52" s="83" t="s">
        <v>161</v>
      </c>
      <c r="F52" s="83" t="str">
        <f>REPT(CHAR(160),10)&amp;Working!$E52</f>
        <v>          B</v>
      </c>
      <c r="G52" s="74">
        <v>0</v>
      </c>
      <c r="H52" s="74">
        <v>0</v>
      </c>
      <c r="I52" s="74">
        <v>4</v>
      </c>
      <c r="J52" s="74">
        <v>0</v>
      </c>
      <c r="K52" s="85">
        <v>0</v>
      </c>
      <c r="L52" s="80">
        <v>4</v>
      </c>
      <c r="M52" s="74">
        <v>0</v>
      </c>
      <c r="N52" s="74">
        <v>4</v>
      </c>
      <c r="O52" s="74">
        <v>4</v>
      </c>
      <c r="P52" s="86">
        <v>0</v>
      </c>
      <c r="Q52" s="87">
        <v>4</v>
      </c>
      <c r="R52" s="43">
        <v>4</v>
      </c>
      <c r="S52" s="32">
        <v>0</v>
      </c>
      <c r="T52" s="16">
        <v>0</v>
      </c>
      <c r="U52" s="64">
        <v>0</v>
      </c>
      <c r="V52" s="16">
        <v>0</v>
      </c>
      <c r="W52" s="16">
        <v>0</v>
      </c>
      <c r="X52" s="42">
        <v>0</v>
      </c>
      <c r="Y52" s="16">
        <v>4</v>
      </c>
      <c r="Z52" s="16">
        <v>0</v>
      </c>
      <c r="AA52" s="16">
        <v>0</v>
      </c>
      <c r="AB52" s="16">
        <v>0</v>
      </c>
      <c r="AC52" s="16">
        <v>0</v>
      </c>
      <c r="AD52" s="42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42">
        <v>0</v>
      </c>
      <c r="AK52" s="24">
        <v>4</v>
      </c>
      <c r="AL52" s="24">
        <v>3</v>
      </c>
      <c r="AM52" s="64">
        <v>0</v>
      </c>
      <c r="AN52" s="24">
        <v>4</v>
      </c>
      <c r="AO52" s="16">
        <v>0</v>
      </c>
      <c r="AP52" s="43">
        <v>3.6666666666666665</v>
      </c>
      <c r="AQ52" s="32">
        <v>3</v>
      </c>
      <c r="AR52" s="16">
        <v>0</v>
      </c>
      <c r="AS52" s="30">
        <v>0</v>
      </c>
      <c r="AT52" s="16">
        <v>0</v>
      </c>
      <c r="AU52" s="16">
        <v>0</v>
      </c>
      <c r="AV52" s="42">
        <v>3</v>
      </c>
      <c r="AW52" s="16">
        <v>0</v>
      </c>
      <c r="AX52" s="16">
        <v>0</v>
      </c>
      <c r="AY52" s="34">
        <v>0</v>
      </c>
      <c r="AZ52" s="32">
        <v>4</v>
      </c>
      <c r="BA52" s="70">
        <v>4</v>
      </c>
      <c r="BB52" s="98">
        <v>4</v>
      </c>
    </row>
    <row r="53" spans="1:54" ht="23.1" customHeight="1" x14ac:dyDescent="0.3">
      <c r="A53" s="99">
        <v>49</v>
      </c>
      <c r="B53" s="76" t="s">
        <v>310</v>
      </c>
      <c r="C53" s="77" t="s">
        <v>311</v>
      </c>
      <c r="D53" s="76" t="s">
        <v>450</v>
      </c>
      <c r="E53" s="76" t="s">
        <v>493</v>
      </c>
      <c r="F53" s="76" t="str">
        <f>REPT(CHAR(160),10)&amp;Working!$E53</f>
        <v>          C</v>
      </c>
      <c r="G53" s="78">
        <v>0</v>
      </c>
      <c r="H53" s="78">
        <v>0</v>
      </c>
      <c r="I53" s="78">
        <v>4</v>
      </c>
      <c r="J53" s="78">
        <v>0</v>
      </c>
      <c r="K53" s="79">
        <v>0</v>
      </c>
      <c r="L53" s="80">
        <v>4</v>
      </c>
      <c r="M53" s="78">
        <v>0</v>
      </c>
      <c r="N53" s="78">
        <v>5</v>
      </c>
      <c r="O53" s="78">
        <v>4</v>
      </c>
      <c r="P53" s="81">
        <v>0</v>
      </c>
      <c r="Q53" s="82">
        <v>4</v>
      </c>
      <c r="R53" s="43">
        <v>4.333333333333333</v>
      </c>
      <c r="S53" s="32">
        <v>0</v>
      </c>
      <c r="T53" s="34">
        <v>0</v>
      </c>
      <c r="U53" s="65">
        <v>0</v>
      </c>
      <c r="V53" s="34">
        <v>0</v>
      </c>
      <c r="W53" s="34">
        <v>0</v>
      </c>
      <c r="X53" s="42">
        <v>0</v>
      </c>
      <c r="Y53" s="34">
        <v>4</v>
      </c>
      <c r="Z53" s="34">
        <v>0</v>
      </c>
      <c r="AA53" s="34">
        <v>0</v>
      </c>
      <c r="AB53" s="34">
        <v>0</v>
      </c>
      <c r="AC53" s="34">
        <v>0</v>
      </c>
      <c r="AD53" s="42">
        <v>4</v>
      </c>
      <c r="AE53" s="34">
        <v>0</v>
      </c>
      <c r="AF53" s="34">
        <v>0</v>
      </c>
      <c r="AG53" s="34">
        <v>0</v>
      </c>
      <c r="AH53" s="34">
        <v>0</v>
      </c>
      <c r="AI53" s="34">
        <v>0</v>
      </c>
      <c r="AJ53" s="42">
        <v>0</v>
      </c>
      <c r="AK53" s="33">
        <v>4</v>
      </c>
      <c r="AL53" s="33">
        <v>3</v>
      </c>
      <c r="AM53" s="65">
        <v>0</v>
      </c>
      <c r="AN53" s="33">
        <v>4</v>
      </c>
      <c r="AO53" s="34">
        <v>0</v>
      </c>
      <c r="AP53" s="43">
        <v>3.6666666666666665</v>
      </c>
      <c r="AQ53" s="32">
        <v>5</v>
      </c>
      <c r="AR53" s="34">
        <v>0</v>
      </c>
      <c r="AS53" s="71">
        <v>0</v>
      </c>
      <c r="AT53" s="34">
        <v>0</v>
      </c>
      <c r="AU53" s="34">
        <v>0</v>
      </c>
      <c r="AV53" s="42">
        <v>5</v>
      </c>
      <c r="AW53" s="34">
        <v>0</v>
      </c>
      <c r="AX53" s="34">
        <v>0</v>
      </c>
      <c r="AY53" s="34">
        <v>0</v>
      </c>
      <c r="AZ53" s="32">
        <v>4</v>
      </c>
      <c r="BA53" s="70">
        <v>4</v>
      </c>
      <c r="BB53" s="98">
        <v>4</v>
      </c>
    </row>
    <row r="54" spans="1:54" ht="23.1" customHeight="1" x14ac:dyDescent="0.3">
      <c r="A54" s="100">
        <v>50</v>
      </c>
      <c r="B54" s="83" t="s">
        <v>122</v>
      </c>
      <c r="C54" s="84" t="s">
        <v>123</v>
      </c>
      <c r="D54" s="83" t="s">
        <v>450</v>
      </c>
      <c r="E54" s="83" t="s">
        <v>35</v>
      </c>
      <c r="F54" s="83" t="str">
        <f>REPT(CHAR(160),10)&amp;Working!$E54</f>
        <v>          A</v>
      </c>
      <c r="G54" s="74">
        <v>0</v>
      </c>
      <c r="H54" s="74">
        <v>0</v>
      </c>
      <c r="I54" s="74">
        <v>3</v>
      </c>
      <c r="J54" s="74">
        <v>0</v>
      </c>
      <c r="K54" s="85">
        <v>0</v>
      </c>
      <c r="L54" s="80">
        <v>3</v>
      </c>
      <c r="M54" s="74">
        <v>0</v>
      </c>
      <c r="N54" s="74">
        <v>3</v>
      </c>
      <c r="O54" s="74">
        <v>3</v>
      </c>
      <c r="P54" s="86">
        <v>0</v>
      </c>
      <c r="Q54" s="87">
        <v>3</v>
      </c>
      <c r="R54" s="43">
        <v>3</v>
      </c>
      <c r="S54" s="32">
        <v>0</v>
      </c>
      <c r="T54" s="16">
        <v>0</v>
      </c>
      <c r="U54" s="64">
        <v>0</v>
      </c>
      <c r="V54" s="16">
        <v>0</v>
      </c>
      <c r="W54" s="16">
        <v>0</v>
      </c>
      <c r="X54" s="42">
        <v>0</v>
      </c>
      <c r="Y54" s="16">
        <v>2</v>
      </c>
      <c r="Z54" s="16">
        <v>0</v>
      </c>
      <c r="AA54" s="16">
        <v>0</v>
      </c>
      <c r="AB54" s="16">
        <v>0</v>
      </c>
      <c r="AC54" s="16">
        <v>0</v>
      </c>
      <c r="AD54" s="42">
        <v>2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42">
        <v>0</v>
      </c>
      <c r="AK54" s="24">
        <v>3</v>
      </c>
      <c r="AL54" s="24">
        <v>3</v>
      </c>
      <c r="AM54" s="64">
        <v>0</v>
      </c>
      <c r="AN54" s="24">
        <v>3</v>
      </c>
      <c r="AO54" s="16">
        <v>0</v>
      </c>
      <c r="AP54" s="43">
        <v>3</v>
      </c>
      <c r="AQ54" s="32">
        <v>3</v>
      </c>
      <c r="AR54" s="16">
        <v>0</v>
      </c>
      <c r="AS54" s="30">
        <v>0</v>
      </c>
      <c r="AT54" s="16">
        <v>0</v>
      </c>
      <c r="AU54" s="16">
        <v>0</v>
      </c>
      <c r="AV54" s="42">
        <v>3</v>
      </c>
      <c r="AW54" s="16">
        <v>0</v>
      </c>
      <c r="AX54" s="16">
        <v>0</v>
      </c>
      <c r="AY54" s="34">
        <v>0</v>
      </c>
      <c r="AZ54" s="32">
        <v>2</v>
      </c>
      <c r="BA54" s="70">
        <v>3</v>
      </c>
      <c r="BB54" s="98">
        <v>2.5</v>
      </c>
    </row>
    <row r="55" spans="1:54" ht="23.1" customHeight="1" x14ac:dyDescent="0.3">
      <c r="A55" s="99">
        <v>51</v>
      </c>
      <c r="B55" s="76" t="s">
        <v>259</v>
      </c>
      <c r="C55" s="77" t="s">
        <v>260</v>
      </c>
      <c r="D55" s="76" t="s">
        <v>542</v>
      </c>
      <c r="E55" s="76" t="s">
        <v>161</v>
      </c>
      <c r="F55" s="76" t="str">
        <f>REPT(CHAR(160),10)&amp;Working!$E55</f>
        <v>          B</v>
      </c>
      <c r="G55" s="78">
        <v>0</v>
      </c>
      <c r="H55" s="78">
        <v>0</v>
      </c>
      <c r="I55" s="78">
        <v>2</v>
      </c>
      <c r="J55" s="78">
        <v>0</v>
      </c>
      <c r="K55" s="79">
        <v>0</v>
      </c>
      <c r="L55" s="80">
        <v>2</v>
      </c>
      <c r="M55" s="78">
        <v>0</v>
      </c>
      <c r="N55" s="78">
        <v>2</v>
      </c>
      <c r="O55" s="78">
        <v>2</v>
      </c>
      <c r="P55" s="81">
        <v>0</v>
      </c>
      <c r="Q55" s="82">
        <v>2</v>
      </c>
      <c r="R55" s="43">
        <v>2</v>
      </c>
      <c r="S55" s="32">
        <v>0</v>
      </c>
      <c r="T55" s="34">
        <v>0</v>
      </c>
      <c r="U55" s="65">
        <v>0</v>
      </c>
      <c r="V55" s="34">
        <v>0</v>
      </c>
      <c r="W55" s="34">
        <v>0</v>
      </c>
      <c r="X55" s="42">
        <v>0</v>
      </c>
      <c r="Y55" s="34">
        <v>3</v>
      </c>
      <c r="Z55" s="34">
        <v>0</v>
      </c>
      <c r="AA55" s="34">
        <v>0</v>
      </c>
      <c r="AB55" s="34">
        <v>0</v>
      </c>
      <c r="AC55" s="34">
        <v>0</v>
      </c>
      <c r="AD55" s="42">
        <v>3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42">
        <v>0</v>
      </c>
      <c r="AK55" s="33">
        <v>2</v>
      </c>
      <c r="AL55" s="33">
        <v>3</v>
      </c>
      <c r="AM55" s="65">
        <v>0</v>
      </c>
      <c r="AN55" s="33">
        <v>3</v>
      </c>
      <c r="AO55" s="34">
        <v>0</v>
      </c>
      <c r="AP55" s="43">
        <v>2.6666666666666665</v>
      </c>
      <c r="AQ55" s="32">
        <v>2</v>
      </c>
      <c r="AR55" s="34">
        <v>0</v>
      </c>
      <c r="AS55" s="71">
        <v>0</v>
      </c>
      <c r="AT55" s="34">
        <v>0</v>
      </c>
      <c r="AU55" s="34">
        <v>0</v>
      </c>
      <c r="AV55" s="42">
        <v>2</v>
      </c>
      <c r="AW55" s="34">
        <v>0</v>
      </c>
      <c r="AX55" s="34">
        <v>0</v>
      </c>
      <c r="AY55" s="34">
        <v>0</v>
      </c>
      <c r="AZ55" s="32">
        <v>3</v>
      </c>
      <c r="BA55" s="70">
        <v>2</v>
      </c>
      <c r="BB55" s="98">
        <v>2.5</v>
      </c>
    </row>
    <row r="56" spans="1:54" ht="23.1" customHeight="1" x14ac:dyDescent="0.3">
      <c r="A56" s="100">
        <v>52</v>
      </c>
      <c r="B56" s="83" t="s">
        <v>213</v>
      </c>
      <c r="C56" s="84" t="s">
        <v>214</v>
      </c>
      <c r="D56" s="83" t="s">
        <v>450</v>
      </c>
      <c r="E56" s="83" t="s">
        <v>161</v>
      </c>
      <c r="F56" s="83" t="str">
        <f>REPT(CHAR(160),10)&amp;Working!$E56</f>
        <v>          B</v>
      </c>
      <c r="G56" s="74">
        <v>0</v>
      </c>
      <c r="H56" s="74">
        <v>0</v>
      </c>
      <c r="I56" s="74">
        <v>2</v>
      </c>
      <c r="J56" s="74">
        <v>0</v>
      </c>
      <c r="K56" s="85">
        <v>0</v>
      </c>
      <c r="L56" s="80">
        <v>2</v>
      </c>
      <c r="M56" s="74">
        <v>0</v>
      </c>
      <c r="N56" s="74">
        <v>2</v>
      </c>
      <c r="O56" s="74">
        <v>2</v>
      </c>
      <c r="P56" s="86">
        <v>0</v>
      </c>
      <c r="Q56" s="87">
        <v>2</v>
      </c>
      <c r="R56" s="43">
        <v>2</v>
      </c>
      <c r="S56" s="32">
        <v>0</v>
      </c>
      <c r="T56" s="16">
        <v>0</v>
      </c>
      <c r="U56" s="64">
        <v>0</v>
      </c>
      <c r="V56" s="16">
        <v>0</v>
      </c>
      <c r="W56" s="16">
        <v>0</v>
      </c>
      <c r="X56" s="42">
        <v>0</v>
      </c>
      <c r="Y56" s="16">
        <v>2</v>
      </c>
      <c r="Z56" s="16">
        <v>0</v>
      </c>
      <c r="AA56" s="16">
        <v>0</v>
      </c>
      <c r="AB56" s="16">
        <v>0</v>
      </c>
      <c r="AC56" s="16">
        <v>0</v>
      </c>
      <c r="AD56" s="42">
        <v>2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42">
        <v>0</v>
      </c>
      <c r="AK56" s="24">
        <v>3</v>
      </c>
      <c r="AL56" s="24">
        <v>3</v>
      </c>
      <c r="AM56" s="64">
        <v>0</v>
      </c>
      <c r="AN56" s="24">
        <v>2</v>
      </c>
      <c r="AO56" s="16">
        <v>0</v>
      </c>
      <c r="AP56" s="43">
        <v>2.6666666666666665</v>
      </c>
      <c r="AQ56" s="32">
        <v>3</v>
      </c>
      <c r="AR56" s="16">
        <v>0</v>
      </c>
      <c r="AS56" s="30">
        <v>0</v>
      </c>
      <c r="AT56" s="16">
        <v>0</v>
      </c>
      <c r="AU56" s="16">
        <v>0</v>
      </c>
      <c r="AV56" s="42">
        <v>3</v>
      </c>
      <c r="AW56" s="16">
        <v>0</v>
      </c>
      <c r="AX56" s="16">
        <v>0</v>
      </c>
      <c r="AY56" s="34">
        <v>0</v>
      </c>
      <c r="AZ56" s="32">
        <v>3</v>
      </c>
      <c r="BA56" s="70">
        <v>3</v>
      </c>
      <c r="BB56" s="98">
        <v>3</v>
      </c>
    </row>
    <row r="57" spans="1:54" ht="23.1" customHeight="1" x14ac:dyDescent="0.3">
      <c r="A57" s="99">
        <v>53</v>
      </c>
      <c r="B57" s="76" t="s">
        <v>229</v>
      </c>
      <c r="C57" s="77" t="s">
        <v>230</v>
      </c>
      <c r="D57" s="76" t="s">
        <v>450</v>
      </c>
      <c r="E57" s="76" t="s">
        <v>161</v>
      </c>
      <c r="F57" s="76" t="str">
        <f>REPT(CHAR(160),10)&amp;Working!$E57</f>
        <v>          B</v>
      </c>
      <c r="G57" s="78">
        <v>0</v>
      </c>
      <c r="H57" s="78">
        <v>0</v>
      </c>
      <c r="I57" s="78">
        <v>2</v>
      </c>
      <c r="J57" s="78">
        <v>0</v>
      </c>
      <c r="K57" s="79">
        <v>0</v>
      </c>
      <c r="L57" s="80">
        <v>2</v>
      </c>
      <c r="M57" s="78">
        <v>0</v>
      </c>
      <c r="N57" s="78">
        <v>2</v>
      </c>
      <c r="O57" s="78">
        <v>2</v>
      </c>
      <c r="P57" s="81">
        <v>0</v>
      </c>
      <c r="Q57" s="82">
        <v>2</v>
      </c>
      <c r="R57" s="43">
        <v>2</v>
      </c>
      <c r="S57" s="32">
        <v>0</v>
      </c>
      <c r="T57" s="34">
        <v>0</v>
      </c>
      <c r="U57" s="65">
        <v>0</v>
      </c>
      <c r="V57" s="34">
        <v>0</v>
      </c>
      <c r="W57" s="34">
        <v>0</v>
      </c>
      <c r="X57" s="42">
        <v>0</v>
      </c>
      <c r="Y57" s="34">
        <v>2</v>
      </c>
      <c r="Z57" s="34">
        <v>0</v>
      </c>
      <c r="AA57" s="34">
        <v>0</v>
      </c>
      <c r="AB57" s="34">
        <v>0</v>
      </c>
      <c r="AC57" s="34">
        <v>0</v>
      </c>
      <c r="AD57" s="42">
        <v>2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42">
        <v>0</v>
      </c>
      <c r="AK57" s="33">
        <v>2</v>
      </c>
      <c r="AL57" s="33">
        <v>3</v>
      </c>
      <c r="AM57" s="65">
        <v>0</v>
      </c>
      <c r="AN57" s="33">
        <v>3</v>
      </c>
      <c r="AO57" s="34">
        <v>0</v>
      </c>
      <c r="AP57" s="43">
        <v>2.6666666666666665</v>
      </c>
      <c r="AQ57" s="32">
        <v>3</v>
      </c>
      <c r="AR57" s="34">
        <v>0</v>
      </c>
      <c r="AS57" s="71">
        <v>0</v>
      </c>
      <c r="AT57" s="34">
        <v>0</v>
      </c>
      <c r="AU57" s="34">
        <v>0</v>
      </c>
      <c r="AV57" s="42">
        <v>3</v>
      </c>
      <c r="AW57" s="34">
        <v>0</v>
      </c>
      <c r="AX57" s="34">
        <v>0</v>
      </c>
      <c r="AY57" s="34">
        <v>0</v>
      </c>
      <c r="AZ57" s="32">
        <v>3</v>
      </c>
      <c r="BA57" s="70">
        <v>2</v>
      </c>
      <c r="BB57" s="98">
        <v>2.5</v>
      </c>
    </row>
    <row r="58" spans="1:54" ht="23.1" customHeight="1" x14ac:dyDescent="0.3">
      <c r="A58" s="100">
        <v>54</v>
      </c>
      <c r="B58" s="83" t="s">
        <v>312</v>
      </c>
      <c r="C58" s="84" t="s">
        <v>313</v>
      </c>
      <c r="D58" s="83" t="s">
        <v>450</v>
      </c>
      <c r="E58" s="83" t="s">
        <v>493</v>
      </c>
      <c r="F58" s="83" t="str">
        <f>REPT(CHAR(160),10)&amp;Working!$E58</f>
        <v>          C</v>
      </c>
      <c r="G58" s="74">
        <v>0</v>
      </c>
      <c r="H58" s="74">
        <v>0</v>
      </c>
      <c r="I58" s="74">
        <v>4</v>
      </c>
      <c r="J58" s="74">
        <v>0</v>
      </c>
      <c r="K58" s="85">
        <v>0</v>
      </c>
      <c r="L58" s="80">
        <v>4</v>
      </c>
      <c r="M58" s="74">
        <v>0</v>
      </c>
      <c r="N58" s="74">
        <v>3</v>
      </c>
      <c r="O58" s="74">
        <v>3</v>
      </c>
      <c r="P58" s="88">
        <v>0</v>
      </c>
      <c r="Q58" s="89">
        <v>3</v>
      </c>
      <c r="R58" s="43">
        <v>3</v>
      </c>
      <c r="S58" s="32">
        <v>0</v>
      </c>
      <c r="T58" s="16">
        <v>0</v>
      </c>
      <c r="U58" s="66">
        <v>0</v>
      </c>
      <c r="V58" s="16">
        <v>0</v>
      </c>
      <c r="W58" s="16">
        <v>0</v>
      </c>
      <c r="X58" s="42">
        <v>0</v>
      </c>
      <c r="Y58" s="16">
        <v>3</v>
      </c>
      <c r="Z58" s="16">
        <v>0</v>
      </c>
      <c r="AA58" s="16">
        <v>0</v>
      </c>
      <c r="AB58" s="16">
        <v>0</v>
      </c>
      <c r="AC58" s="16">
        <v>0</v>
      </c>
      <c r="AD58" s="42">
        <v>3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42">
        <v>0</v>
      </c>
      <c r="AK58" s="29">
        <v>3</v>
      </c>
      <c r="AL58" s="29">
        <v>3</v>
      </c>
      <c r="AM58" s="66">
        <v>0</v>
      </c>
      <c r="AN58" s="29">
        <v>3</v>
      </c>
      <c r="AO58" s="16">
        <v>0</v>
      </c>
      <c r="AP58" s="43">
        <v>3</v>
      </c>
      <c r="AQ58" s="32">
        <v>5</v>
      </c>
      <c r="AR58" s="16">
        <v>0</v>
      </c>
      <c r="AS58" s="30">
        <v>0</v>
      </c>
      <c r="AT58" s="16">
        <v>0</v>
      </c>
      <c r="AU58" s="16">
        <v>0</v>
      </c>
      <c r="AV58" s="42">
        <v>5</v>
      </c>
      <c r="AW58" s="16">
        <v>0</v>
      </c>
      <c r="AX58" s="16">
        <v>0</v>
      </c>
      <c r="AY58" s="34">
        <v>0</v>
      </c>
      <c r="AZ58" s="32">
        <v>4</v>
      </c>
      <c r="BA58" s="70">
        <v>3</v>
      </c>
      <c r="BB58" s="98">
        <v>3.5</v>
      </c>
    </row>
    <row r="59" spans="1:54" ht="23.1" customHeight="1" x14ac:dyDescent="0.3">
      <c r="A59" s="99">
        <v>55</v>
      </c>
      <c r="B59" s="76" t="s">
        <v>247</v>
      </c>
      <c r="C59" s="77" t="s">
        <v>248</v>
      </c>
      <c r="D59" s="76" t="s">
        <v>450</v>
      </c>
      <c r="E59" s="76" t="s">
        <v>161</v>
      </c>
      <c r="F59" s="76" t="str">
        <f>REPT(CHAR(160),10)&amp;Working!$E59</f>
        <v>          B</v>
      </c>
      <c r="G59" s="78">
        <v>0</v>
      </c>
      <c r="H59" s="78">
        <v>0</v>
      </c>
      <c r="I59" s="78">
        <v>3</v>
      </c>
      <c r="J59" s="78">
        <v>0</v>
      </c>
      <c r="K59" s="79">
        <v>0</v>
      </c>
      <c r="L59" s="80">
        <v>3</v>
      </c>
      <c r="M59" s="78">
        <v>0</v>
      </c>
      <c r="N59" s="78">
        <v>4</v>
      </c>
      <c r="O59" s="78">
        <v>3</v>
      </c>
      <c r="P59" s="81">
        <v>0</v>
      </c>
      <c r="Q59" s="82">
        <v>3</v>
      </c>
      <c r="R59" s="43">
        <v>3.3333333333333335</v>
      </c>
      <c r="S59" s="32">
        <v>0</v>
      </c>
      <c r="T59" s="34">
        <v>0</v>
      </c>
      <c r="U59" s="65">
        <v>0</v>
      </c>
      <c r="V59" s="34">
        <v>0</v>
      </c>
      <c r="W59" s="34">
        <v>0</v>
      </c>
      <c r="X59" s="42">
        <v>0</v>
      </c>
      <c r="Y59" s="34">
        <v>2</v>
      </c>
      <c r="Z59" s="34">
        <v>0</v>
      </c>
      <c r="AA59" s="34">
        <v>0</v>
      </c>
      <c r="AB59" s="34">
        <v>0</v>
      </c>
      <c r="AC59" s="34">
        <v>0</v>
      </c>
      <c r="AD59" s="42">
        <v>2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42">
        <v>0</v>
      </c>
      <c r="AK59" s="33">
        <v>3</v>
      </c>
      <c r="AL59" s="33">
        <v>3</v>
      </c>
      <c r="AM59" s="65">
        <v>0</v>
      </c>
      <c r="AN59" s="33">
        <v>3</v>
      </c>
      <c r="AO59" s="34">
        <v>0</v>
      </c>
      <c r="AP59" s="43">
        <v>3</v>
      </c>
      <c r="AQ59" s="32">
        <v>3</v>
      </c>
      <c r="AR59" s="34">
        <v>0</v>
      </c>
      <c r="AS59" s="71">
        <v>0</v>
      </c>
      <c r="AT59" s="34">
        <v>0</v>
      </c>
      <c r="AU59" s="34">
        <v>0</v>
      </c>
      <c r="AV59" s="42">
        <v>3</v>
      </c>
      <c r="AW59" s="34">
        <v>0</v>
      </c>
      <c r="AX59" s="34">
        <v>0</v>
      </c>
      <c r="AY59" s="34">
        <v>0</v>
      </c>
      <c r="AZ59" s="32">
        <v>3</v>
      </c>
      <c r="BA59" s="70">
        <v>3</v>
      </c>
      <c r="BB59" s="98">
        <v>3</v>
      </c>
    </row>
    <row r="60" spans="1:54" ht="23.1" customHeight="1" x14ac:dyDescent="0.3">
      <c r="A60" s="100">
        <v>56</v>
      </c>
      <c r="B60" s="83" t="s">
        <v>124</v>
      </c>
      <c r="C60" s="84" t="s">
        <v>125</v>
      </c>
      <c r="D60" s="83" t="s">
        <v>542</v>
      </c>
      <c r="E60" s="83" t="s">
        <v>35</v>
      </c>
      <c r="F60" s="83" t="str">
        <f>REPT(CHAR(160),10)&amp;Working!$E60</f>
        <v>          A</v>
      </c>
      <c r="G60" s="74">
        <v>0</v>
      </c>
      <c r="H60" s="74">
        <v>0</v>
      </c>
      <c r="I60" s="74">
        <v>3</v>
      </c>
      <c r="J60" s="74">
        <v>0</v>
      </c>
      <c r="K60" s="85">
        <v>0</v>
      </c>
      <c r="L60" s="80">
        <v>3</v>
      </c>
      <c r="M60" s="74">
        <v>0</v>
      </c>
      <c r="N60" s="74">
        <v>3</v>
      </c>
      <c r="O60" s="74">
        <v>3</v>
      </c>
      <c r="P60" s="86">
        <v>0</v>
      </c>
      <c r="Q60" s="87">
        <v>3</v>
      </c>
      <c r="R60" s="43">
        <v>3</v>
      </c>
      <c r="S60" s="32">
        <v>0</v>
      </c>
      <c r="T60" s="16">
        <v>0</v>
      </c>
      <c r="U60" s="64">
        <v>0</v>
      </c>
      <c r="V60" s="16">
        <v>0</v>
      </c>
      <c r="W60" s="16">
        <v>0</v>
      </c>
      <c r="X60" s="42">
        <v>0</v>
      </c>
      <c r="Y60" s="16">
        <v>3</v>
      </c>
      <c r="Z60" s="16">
        <v>0</v>
      </c>
      <c r="AA60" s="16">
        <v>0</v>
      </c>
      <c r="AB60" s="16">
        <v>0</v>
      </c>
      <c r="AC60" s="16">
        <v>0</v>
      </c>
      <c r="AD60" s="42">
        <v>3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42">
        <v>0</v>
      </c>
      <c r="AK60" s="24">
        <v>3</v>
      </c>
      <c r="AL60" s="24">
        <v>3</v>
      </c>
      <c r="AM60" s="64">
        <v>0</v>
      </c>
      <c r="AN60" s="24">
        <v>3</v>
      </c>
      <c r="AO60" s="16">
        <v>0</v>
      </c>
      <c r="AP60" s="43">
        <v>3</v>
      </c>
      <c r="AQ60" s="32">
        <v>3</v>
      </c>
      <c r="AR60" s="16">
        <v>0</v>
      </c>
      <c r="AS60" s="31">
        <v>0</v>
      </c>
      <c r="AT60" s="16">
        <v>0</v>
      </c>
      <c r="AU60" s="16">
        <v>0</v>
      </c>
      <c r="AV60" s="42">
        <v>3</v>
      </c>
      <c r="AW60" s="16">
        <v>0</v>
      </c>
      <c r="AX60" s="16">
        <v>0</v>
      </c>
      <c r="AY60" s="34">
        <v>0</v>
      </c>
      <c r="AZ60" s="32">
        <v>3</v>
      </c>
      <c r="BA60" s="70">
        <v>3</v>
      </c>
      <c r="BB60" s="98">
        <v>3</v>
      </c>
    </row>
    <row r="61" spans="1:54" ht="23.1" customHeight="1" x14ac:dyDescent="0.3">
      <c r="A61" s="99">
        <v>57</v>
      </c>
      <c r="B61" s="76" t="s">
        <v>314</v>
      </c>
      <c r="C61" s="77" t="s">
        <v>315</v>
      </c>
      <c r="D61" s="76" t="s">
        <v>542</v>
      </c>
      <c r="E61" s="76" t="s">
        <v>493</v>
      </c>
      <c r="F61" s="76" t="str">
        <f>REPT(CHAR(160),10)&amp;Working!$E61</f>
        <v>          C</v>
      </c>
      <c r="G61" s="78">
        <v>0</v>
      </c>
      <c r="H61" s="78">
        <v>0</v>
      </c>
      <c r="I61" s="78">
        <v>2</v>
      </c>
      <c r="J61" s="78">
        <v>0</v>
      </c>
      <c r="K61" s="79">
        <v>0</v>
      </c>
      <c r="L61" s="80">
        <v>2</v>
      </c>
      <c r="M61" s="78">
        <v>0</v>
      </c>
      <c r="N61" s="78">
        <v>2</v>
      </c>
      <c r="O61" s="78">
        <v>2</v>
      </c>
      <c r="P61" s="81">
        <v>0</v>
      </c>
      <c r="Q61" s="82">
        <v>2</v>
      </c>
      <c r="R61" s="43">
        <v>2</v>
      </c>
      <c r="S61" s="32">
        <v>0</v>
      </c>
      <c r="T61" s="34">
        <v>0</v>
      </c>
      <c r="U61" s="65">
        <v>0</v>
      </c>
      <c r="V61" s="34">
        <v>0</v>
      </c>
      <c r="W61" s="34">
        <v>0</v>
      </c>
      <c r="X61" s="42">
        <v>0</v>
      </c>
      <c r="Y61" s="34">
        <v>2</v>
      </c>
      <c r="Z61" s="34">
        <v>0</v>
      </c>
      <c r="AA61" s="34">
        <v>0</v>
      </c>
      <c r="AB61" s="34">
        <v>0</v>
      </c>
      <c r="AC61" s="34">
        <v>0</v>
      </c>
      <c r="AD61" s="42">
        <v>2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42">
        <v>0</v>
      </c>
      <c r="AK61" s="33">
        <v>2</v>
      </c>
      <c r="AL61" s="33">
        <v>3</v>
      </c>
      <c r="AM61" s="65">
        <v>0</v>
      </c>
      <c r="AN61" s="33">
        <v>3</v>
      </c>
      <c r="AO61" s="34">
        <v>0</v>
      </c>
      <c r="AP61" s="43">
        <v>2.6666666666666665</v>
      </c>
      <c r="AQ61" s="32">
        <v>3</v>
      </c>
      <c r="AR61" s="34">
        <v>0</v>
      </c>
      <c r="AS61" s="71">
        <v>0</v>
      </c>
      <c r="AT61" s="34">
        <v>0</v>
      </c>
      <c r="AU61" s="34">
        <v>0</v>
      </c>
      <c r="AV61" s="42">
        <v>3</v>
      </c>
      <c r="AW61" s="34">
        <v>0</v>
      </c>
      <c r="AX61" s="34">
        <v>0</v>
      </c>
      <c r="AY61" s="34">
        <v>0</v>
      </c>
      <c r="AZ61" s="32">
        <v>3</v>
      </c>
      <c r="BA61" s="70">
        <v>2</v>
      </c>
      <c r="BB61" s="98">
        <v>2.5</v>
      </c>
    </row>
    <row r="62" spans="1:54" ht="23.1" customHeight="1" x14ac:dyDescent="0.3">
      <c r="A62" s="100">
        <v>58</v>
      </c>
      <c r="B62" s="83" t="s">
        <v>316</v>
      </c>
      <c r="C62" s="84" t="s">
        <v>317</v>
      </c>
      <c r="D62" s="83" t="s">
        <v>450</v>
      </c>
      <c r="E62" s="83" t="s">
        <v>493</v>
      </c>
      <c r="F62" s="83" t="str">
        <f>REPT(CHAR(160),10)&amp;Working!$E62</f>
        <v>          C</v>
      </c>
      <c r="G62" s="74">
        <v>0</v>
      </c>
      <c r="H62" s="74">
        <v>0</v>
      </c>
      <c r="I62" s="74">
        <v>1</v>
      </c>
      <c r="J62" s="74">
        <v>0</v>
      </c>
      <c r="K62" s="85">
        <v>0</v>
      </c>
      <c r="L62" s="80">
        <v>1</v>
      </c>
      <c r="M62" s="74">
        <v>0</v>
      </c>
      <c r="N62" s="74">
        <v>1</v>
      </c>
      <c r="O62" s="74">
        <v>1</v>
      </c>
      <c r="P62" s="86">
        <v>0</v>
      </c>
      <c r="Q62" s="87">
        <v>1</v>
      </c>
      <c r="R62" s="43">
        <v>1</v>
      </c>
      <c r="S62" s="32">
        <v>0</v>
      </c>
      <c r="T62" s="16">
        <v>0</v>
      </c>
      <c r="U62" s="64">
        <v>0</v>
      </c>
      <c r="V62" s="16">
        <v>0</v>
      </c>
      <c r="W62" s="16">
        <v>0</v>
      </c>
      <c r="X62" s="42">
        <v>0</v>
      </c>
      <c r="Y62" s="16">
        <v>1</v>
      </c>
      <c r="Z62" s="16">
        <v>0</v>
      </c>
      <c r="AA62" s="16">
        <v>0</v>
      </c>
      <c r="AB62" s="16">
        <v>0</v>
      </c>
      <c r="AC62" s="16">
        <v>0</v>
      </c>
      <c r="AD62" s="42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42">
        <v>0</v>
      </c>
      <c r="AK62" s="24">
        <v>1</v>
      </c>
      <c r="AL62" s="24">
        <v>1</v>
      </c>
      <c r="AM62" s="64">
        <v>0</v>
      </c>
      <c r="AN62" s="24">
        <v>1</v>
      </c>
      <c r="AO62" s="16">
        <v>0</v>
      </c>
      <c r="AP62" s="43">
        <v>1</v>
      </c>
      <c r="AQ62" s="32">
        <v>1</v>
      </c>
      <c r="AR62" s="16">
        <v>0</v>
      </c>
      <c r="AS62" s="30">
        <v>0</v>
      </c>
      <c r="AT62" s="16">
        <v>0</v>
      </c>
      <c r="AU62" s="16">
        <v>0</v>
      </c>
      <c r="AV62" s="42">
        <v>1</v>
      </c>
      <c r="AW62" s="16">
        <v>0</v>
      </c>
      <c r="AX62" s="16">
        <v>0</v>
      </c>
      <c r="AY62" s="34">
        <v>0</v>
      </c>
      <c r="AZ62" s="32">
        <v>1</v>
      </c>
      <c r="BA62" s="70">
        <v>1</v>
      </c>
      <c r="BB62" s="98">
        <v>1</v>
      </c>
    </row>
    <row r="63" spans="1:54" ht="23.1" customHeight="1" x14ac:dyDescent="0.3">
      <c r="A63" s="99">
        <v>59</v>
      </c>
      <c r="B63" s="76" t="s">
        <v>126</v>
      </c>
      <c r="C63" s="77" t="s">
        <v>127</v>
      </c>
      <c r="D63" s="76" t="s">
        <v>450</v>
      </c>
      <c r="E63" s="76" t="s">
        <v>35</v>
      </c>
      <c r="F63" s="76" t="str">
        <f>REPT(CHAR(160),10)&amp;Working!$E63</f>
        <v>          A</v>
      </c>
      <c r="G63" s="78">
        <v>0</v>
      </c>
      <c r="H63" s="78">
        <v>0</v>
      </c>
      <c r="I63" s="78">
        <v>3</v>
      </c>
      <c r="J63" s="78">
        <v>0</v>
      </c>
      <c r="K63" s="79">
        <v>0</v>
      </c>
      <c r="L63" s="80">
        <v>3</v>
      </c>
      <c r="M63" s="78">
        <v>0</v>
      </c>
      <c r="N63" s="78">
        <v>4</v>
      </c>
      <c r="O63" s="78">
        <v>3</v>
      </c>
      <c r="P63" s="81">
        <v>0</v>
      </c>
      <c r="Q63" s="82">
        <v>3</v>
      </c>
      <c r="R63" s="43">
        <v>3.3333333333333335</v>
      </c>
      <c r="S63" s="32">
        <v>0</v>
      </c>
      <c r="T63" s="34">
        <v>0</v>
      </c>
      <c r="U63" s="65">
        <v>0</v>
      </c>
      <c r="V63" s="34">
        <v>0</v>
      </c>
      <c r="W63" s="34">
        <v>0</v>
      </c>
      <c r="X63" s="42">
        <v>0</v>
      </c>
      <c r="Y63" s="34">
        <v>3</v>
      </c>
      <c r="Z63" s="34">
        <v>0</v>
      </c>
      <c r="AA63" s="34">
        <v>0</v>
      </c>
      <c r="AB63" s="34">
        <v>0</v>
      </c>
      <c r="AC63" s="34">
        <v>0</v>
      </c>
      <c r="AD63" s="42">
        <v>3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42">
        <v>0</v>
      </c>
      <c r="AK63" s="33">
        <v>3</v>
      </c>
      <c r="AL63" s="33">
        <v>3</v>
      </c>
      <c r="AM63" s="65">
        <v>0</v>
      </c>
      <c r="AN63" s="33">
        <v>4</v>
      </c>
      <c r="AO63" s="34">
        <v>0</v>
      </c>
      <c r="AP63" s="43">
        <v>3.3333333333333335</v>
      </c>
      <c r="AQ63" s="32">
        <v>3</v>
      </c>
      <c r="AR63" s="34">
        <v>0</v>
      </c>
      <c r="AS63" s="71">
        <v>0</v>
      </c>
      <c r="AT63" s="34">
        <v>0</v>
      </c>
      <c r="AU63" s="34">
        <v>0</v>
      </c>
      <c r="AV63" s="42">
        <v>3</v>
      </c>
      <c r="AW63" s="34">
        <v>0</v>
      </c>
      <c r="AX63" s="34">
        <v>0</v>
      </c>
      <c r="AY63" s="34">
        <v>0</v>
      </c>
      <c r="AZ63" s="32">
        <v>4</v>
      </c>
      <c r="BA63" s="70">
        <v>4</v>
      </c>
      <c r="BB63" s="98">
        <v>4</v>
      </c>
    </row>
    <row r="64" spans="1:54" ht="23.1" customHeight="1" x14ac:dyDescent="0.3">
      <c r="A64" s="100">
        <v>60</v>
      </c>
      <c r="B64" s="83" t="s">
        <v>42</v>
      </c>
      <c r="C64" s="84" t="s">
        <v>43</v>
      </c>
      <c r="D64" s="83" t="s">
        <v>450</v>
      </c>
      <c r="E64" s="83" t="s">
        <v>35</v>
      </c>
      <c r="F64" s="83" t="str">
        <f>REPT(CHAR(160),10)&amp;Working!$E64</f>
        <v>          A</v>
      </c>
      <c r="G64" s="74">
        <v>0</v>
      </c>
      <c r="H64" s="74">
        <v>0</v>
      </c>
      <c r="I64" s="74">
        <v>4</v>
      </c>
      <c r="J64" s="74">
        <v>0</v>
      </c>
      <c r="K64" s="85">
        <v>0</v>
      </c>
      <c r="L64" s="80">
        <v>4</v>
      </c>
      <c r="M64" s="74">
        <v>0</v>
      </c>
      <c r="N64" s="74">
        <v>4</v>
      </c>
      <c r="O64" s="74">
        <v>4</v>
      </c>
      <c r="P64" s="86">
        <v>0</v>
      </c>
      <c r="Q64" s="87">
        <v>4</v>
      </c>
      <c r="R64" s="43">
        <v>4</v>
      </c>
      <c r="S64" s="32">
        <v>0</v>
      </c>
      <c r="T64" s="16">
        <v>0</v>
      </c>
      <c r="U64" s="64">
        <v>0</v>
      </c>
      <c r="V64" s="16">
        <v>0</v>
      </c>
      <c r="W64" s="16">
        <v>0</v>
      </c>
      <c r="X64" s="42">
        <v>0</v>
      </c>
      <c r="Y64" s="16">
        <v>4</v>
      </c>
      <c r="Z64" s="16">
        <v>0</v>
      </c>
      <c r="AA64" s="16">
        <v>0</v>
      </c>
      <c r="AB64" s="16">
        <v>0</v>
      </c>
      <c r="AC64" s="16">
        <v>0</v>
      </c>
      <c r="AD64" s="42">
        <v>4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42">
        <v>0</v>
      </c>
      <c r="AK64" s="24">
        <v>4</v>
      </c>
      <c r="AL64" s="24">
        <v>4</v>
      </c>
      <c r="AM64" s="64">
        <v>0</v>
      </c>
      <c r="AN64" s="24">
        <v>4</v>
      </c>
      <c r="AO64" s="16">
        <v>0</v>
      </c>
      <c r="AP64" s="43">
        <v>4</v>
      </c>
      <c r="AQ64" s="32">
        <v>4</v>
      </c>
      <c r="AR64" s="16">
        <v>0</v>
      </c>
      <c r="AS64" s="30">
        <v>0</v>
      </c>
      <c r="AT64" s="16">
        <v>0</v>
      </c>
      <c r="AU64" s="16">
        <v>0</v>
      </c>
      <c r="AV64" s="42">
        <v>4</v>
      </c>
      <c r="AW64" s="16">
        <v>0</v>
      </c>
      <c r="AX64" s="16">
        <v>0</v>
      </c>
      <c r="AY64" s="34">
        <v>0</v>
      </c>
      <c r="AZ64" s="32">
        <v>4</v>
      </c>
      <c r="BA64" s="70">
        <v>4</v>
      </c>
      <c r="BB64" s="98">
        <v>4</v>
      </c>
    </row>
    <row r="65" spans="1:54" ht="23.1" customHeight="1" x14ac:dyDescent="0.3">
      <c r="A65" s="99">
        <v>61</v>
      </c>
      <c r="B65" s="76" t="s">
        <v>128</v>
      </c>
      <c r="C65" s="77" t="s">
        <v>129</v>
      </c>
      <c r="D65" s="76" t="s">
        <v>450</v>
      </c>
      <c r="E65" s="76" t="s">
        <v>35</v>
      </c>
      <c r="F65" s="76" t="str">
        <f>REPT(CHAR(160),10)&amp;Working!$E65</f>
        <v>          A</v>
      </c>
      <c r="G65" s="78">
        <v>0</v>
      </c>
      <c r="H65" s="78">
        <v>0</v>
      </c>
      <c r="I65" s="78">
        <v>4</v>
      </c>
      <c r="J65" s="78">
        <v>0</v>
      </c>
      <c r="K65" s="79">
        <v>0</v>
      </c>
      <c r="L65" s="80">
        <v>4</v>
      </c>
      <c r="M65" s="78">
        <v>0</v>
      </c>
      <c r="N65" s="78">
        <v>3</v>
      </c>
      <c r="O65" s="78">
        <v>4</v>
      </c>
      <c r="P65" s="81">
        <v>0</v>
      </c>
      <c r="Q65" s="82">
        <v>4</v>
      </c>
      <c r="R65" s="43">
        <v>3.6666666666666665</v>
      </c>
      <c r="S65" s="32">
        <v>0</v>
      </c>
      <c r="T65" s="34">
        <v>0</v>
      </c>
      <c r="U65" s="65">
        <v>0</v>
      </c>
      <c r="V65" s="34">
        <v>0</v>
      </c>
      <c r="W65" s="34">
        <v>0</v>
      </c>
      <c r="X65" s="42">
        <v>0</v>
      </c>
      <c r="Y65" s="34">
        <v>4</v>
      </c>
      <c r="Z65" s="34">
        <v>0</v>
      </c>
      <c r="AA65" s="34">
        <v>0</v>
      </c>
      <c r="AB65" s="34">
        <v>0</v>
      </c>
      <c r="AC65" s="34">
        <v>0</v>
      </c>
      <c r="AD65" s="42">
        <v>4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42">
        <v>0</v>
      </c>
      <c r="AK65" s="33">
        <v>3</v>
      </c>
      <c r="AL65" s="33">
        <v>4</v>
      </c>
      <c r="AM65" s="65">
        <v>0</v>
      </c>
      <c r="AN65" s="33">
        <v>4</v>
      </c>
      <c r="AO65" s="34">
        <v>0</v>
      </c>
      <c r="AP65" s="43">
        <v>3.6666666666666665</v>
      </c>
      <c r="AQ65" s="32">
        <v>4</v>
      </c>
      <c r="AR65" s="34">
        <v>0</v>
      </c>
      <c r="AS65" s="71">
        <v>0</v>
      </c>
      <c r="AT65" s="34">
        <v>0</v>
      </c>
      <c r="AU65" s="34">
        <v>0</v>
      </c>
      <c r="AV65" s="42">
        <v>4</v>
      </c>
      <c r="AW65" s="34">
        <v>0</v>
      </c>
      <c r="AX65" s="34">
        <v>0</v>
      </c>
      <c r="AY65" s="34">
        <v>0</v>
      </c>
      <c r="AZ65" s="32">
        <v>4</v>
      </c>
      <c r="BA65" s="70">
        <v>4</v>
      </c>
      <c r="BB65" s="98">
        <v>4</v>
      </c>
    </row>
    <row r="66" spans="1:54" ht="23.1" customHeight="1" x14ac:dyDescent="0.3">
      <c r="A66" s="100">
        <v>62</v>
      </c>
      <c r="B66" s="83" t="s">
        <v>275</v>
      </c>
      <c r="C66" s="84" t="s">
        <v>276</v>
      </c>
      <c r="D66" s="83" t="s">
        <v>542</v>
      </c>
      <c r="E66" s="83" t="s">
        <v>161</v>
      </c>
      <c r="F66" s="83" t="str">
        <f>REPT(CHAR(160),10)&amp;Working!$E66</f>
        <v>          B</v>
      </c>
      <c r="G66" s="74">
        <v>0</v>
      </c>
      <c r="H66" s="74">
        <v>0</v>
      </c>
      <c r="I66" s="74">
        <v>3</v>
      </c>
      <c r="J66" s="74">
        <v>0</v>
      </c>
      <c r="K66" s="85">
        <v>0</v>
      </c>
      <c r="L66" s="80">
        <v>3</v>
      </c>
      <c r="M66" s="74">
        <v>0</v>
      </c>
      <c r="N66" s="74">
        <v>3</v>
      </c>
      <c r="O66" s="74">
        <v>3</v>
      </c>
      <c r="P66" s="86">
        <v>0</v>
      </c>
      <c r="Q66" s="87">
        <v>3</v>
      </c>
      <c r="R66" s="43">
        <v>3</v>
      </c>
      <c r="S66" s="32">
        <v>0</v>
      </c>
      <c r="T66" s="16">
        <v>0</v>
      </c>
      <c r="U66" s="64">
        <v>0</v>
      </c>
      <c r="V66" s="16">
        <v>0</v>
      </c>
      <c r="W66" s="16">
        <v>0</v>
      </c>
      <c r="X66" s="42">
        <v>0</v>
      </c>
      <c r="Y66" s="16">
        <v>3</v>
      </c>
      <c r="Z66" s="16">
        <v>0</v>
      </c>
      <c r="AA66" s="16">
        <v>0</v>
      </c>
      <c r="AB66" s="16">
        <v>0</v>
      </c>
      <c r="AC66" s="16">
        <v>0</v>
      </c>
      <c r="AD66" s="42">
        <v>3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42">
        <v>0</v>
      </c>
      <c r="AK66" s="24">
        <v>3</v>
      </c>
      <c r="AL66" s="24">
        <v>4</v>
      </c>
      <c r="AM66" s="64">
        <v>0</v>
      </c>
      <c r="AN66" s="24">
        <v>4</v>
      </c>
      <c r="AO66" s="16">
        <v>0</v>
      </c>
      <c r="AP66" s="43">
        <v>3.6666666666666665</v>
      </c>
      <c r="AQ66" s="32">
        <v>3</v>
      </c>
      <c r="AR66" s="16">
        <v>0</v>
      </c>
      <c r="AS66" s="30">
        <v>0</v>
      </c>
      <c r="AT66" s="16">
        <v>0</v>
      </c>
      <c r="AU66" s="16">
        <v>0</v>
      </c>
      <c r="AV66" s="42">
        <v>3</v>
      </c>
      <c r="AW66" s="16">
        <v>0</v>
      </c>
      <c r="AX66" s="16">
        <v>0</v>
      </c>
      <c r="AY66" s="34">
        <v>0</v>
      </c>
      <c r="AZ66" s="32">
        <v>3</v>
      </c>
      <c r="BA66" s="70">
        <v>4</v>
      </c>
      <c r="BB66" s="98">
        <v>3.5</v>
      </c>
    </row>
    <row r="67" spans="1:54" ht="23.1" customHeight="1" x14ac:dyDescent="0.3">
      <c r="A67" s="99">
        <v>63</v>
      </c>
      <c r="B67" s="76" t="s">
        <v>60</v>
      </c>
      <c r="C67" s="77" t="s">
        <v>61</v>
      </c>
      <c r="D67" s="76" t="s">
        <v>450</v>
      </c>
      <c r="E67" s="76" t="s">
        <v>35</v>
      </c>
      <c r="F67" s="76" t="str">
        <f>REPT(CHAR(160),10)&amp;Working!$E67</f>
        <v>          A</v>
      </c>
      <c r="G67" s="78">
        <v>0</v>
      </c>
      <c r="H67" s="78">
        <v>0</v>
      </c>
      <c r="I67" s="78">
        <v>3</v>
      </c>
      <c r="J67" s="78">
        <v>0</v>
      </c>
      <c r="K67" s="79">
        <v>0</v>
      </c>
      <c r="L67" s="80">
        <v>3</v>
      </c>
      <c r="M67" s="78">
        <v>0</v>
      </c>
      <c r="N67" s="78">
        <v>3</v>
      </c>
      <c r="O67" s="78">
        <v>3</v>
      </c>
      <c r="P67" s="81">
        <v>0</v>
      </c>
      <c r="Q67" s="82">
        <v>3</v>
      </c>
      <c r="R67" s="43">
        <v>3</v>
      </c>
      <c r="S67" s="32">
        <v>0</v>
      </c>
      <c r="T67" s="34">
        <v>0</v>
      </c>
      <c r="U67" s="65">
        <v>0</v>
      </c>
      <c r="V67" s="34">
        <v>0</v>
      </c>
      <c r="W67" s="34">
        <v>0</v>
      </c>
      <c r="X67" s="42">
        <v>0</v>
      </c>
      <c r="Y67" s="34">
        <v>4</v>
      </c>
      <c r="Z67" s="34">
        <v>0</v>
      </c>
      <c r="AA67" s="34">
        <v>0</v>
      </c>
      <c r="AB67" s="34">
        <v>0</v>
      </c>
      <c r="AC67" s="34">
        <v>0</v>
      </c>
      <c r="AD67" s="42">
        <v>4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42">
        <v>0</v>
      </c>
      <c r="AK67" s="33">
        <v>3</v>
      </c>
      <c r="AL67" s="33">
        <v>4</v>
      </c>
      <c r="AM67" s="65">
        <v>0</v>
      </c>
      <c r="AN67" s="33">
        <v>3</v>
      </c>
      <c r="AO67" s="34">
        <v>0</v>
      </c>
      <c r="AP67" s="43">
        <v>3.3333333333333335</v>
      </c>
      <c r="AQ67" s="32">
        <v>3</v>
      </c>
      <c r="AR67" s="34">
        <v>0</v>
      </c>
      <c r="AS67" s="71">
        <v>0</v>
      </c>
      <c r="AT67" s="34">
        <v>0</v>
      </c>
      <c r="AU67" s="34">
        <v>0</v>
      </c>
      <c r="AV67" s="42">
        <v>3</v>
      </c>
      <c r="AW67" s="34">
        <v>0</v>
      </c>
      <c r="AX67" s="34">
        <v>0</v>
      </c>
      <c r="AY67" s="34">
        <v>0</v>
      </c>
      <c r="AZ67" s="32">
        <v>3</v>
      </c>
      <c r="BA67" s="70">
        <v>3</v>
      </c>
      <c r="BB67" s="98">
        <v>3</v>
      </c>
    </row>
    <row r="68" spans="1:54" ht="23.1" customHeight="1" x14ac:dyDescent="0.3">
      <c r="A68" s="100">
        <v>64</v>
      </c>
      <c r="B68" s="83" t="s">
        <v>318</v>
      </c>
      <c r="C68" s="84" t="s">
        <v>319</v>
      </c>
      <c r="D68" s="83" t="s">
        <v>450</v>
      </c>
      <c r="E68" s="83" t="s">
        <v>493</v>
      </c>
      <c r="F68" s="83" t="str">
        <f>REPT(CHAR(160),10)&amp;Working!$E68</f>
        <v>          C</v>
      </c>
      <c r="G68" s="74">
        <v>0</v>
      </c>
      <c r="H68" s="74">
        <v>0</v>
      </c>
      <c r="I68" s="74">
        <v>0</v>
      </c>
      <c r="J68" s="74">
        <v>0</v>
      </c>
      <c r="K68" s="85">
        <v>0</v>
      </c>
      <c r="L68" s="80">
        <v>0</v>
      </c>
      <c r="M68" s="74">
        <v>0</v>
      </c>
      <c r="N68" s="74">
        <v>0</v>
      </c>
      <c r="O68" s="74">
        <v>0</v>
      </c>
      <c r="P68" s="90">
        <v>0</v>
      </c>
      <c r="Q68" s="91">
        <v>0</v>
      </c>
      <c r="R68" s="43">
        <v>0</v>
      </c>
      <c r="S68" s="32">
        <v>0</v>
      </c>
      <c r="T68" s="16">
        <v>0</v>
      </c>
      <c r="U68" s="67">
        <v>0</v>
      </c>
      <c r="V68" s="16">
        <v>0</v>
      </c>
      <c r="W68" s="16">
        <v>0</v>
      </c>
      <c r="X68" s="42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42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42">
        <v>0</v>
      </c>
      <c r="AK68" s="30">
        <v>0</v>
      </c>
      <c r="AL68" s="30">
        <v>0</v>
      </c>
      <c r="AM68" s="67">
        <v>0</v>
      </c>
      <c r="AN68" s="30" t="s">
        <v>35</v>
      </c>
      <c r="AO68" s="16">
        <v>0</v>
      </c>
      <c r="AP68" s="43">
        <v>0</v>
      </c>
      <c r="AQ68" s="32">
        <v>0</v>
      </c>
      <c r="AR68" s="16">
        <v>0</v>
      </c>
      <c r="AS68" s="30">
        <v>0</v>
      </c>
      <c r="AT68" s="16">
        <v>0</v>
      </c>
      <c r="AU68" s="16">
        <v>0</v>
      </c>
      <c r="AV68" s="42">
        <v>0</v>
      </c>
      <c r="AW68" s="16">
        <v>0</v>
      </c>
      <c r="AX68" s="16">
        <v>0</v>
      </c>
      <c r="AY68" s="34">
        <v>0</v>
      </c>
      <c r="AZ68" s="32">
        <v>0</v>
      </c>
      <c r="BA68" s="70">
        <v>0</v>
      </c>
      <c r="BB68" s="98">
        <v>0</v>
      </c>
    </row>
    <row r="69" spans="1:54" ht="23.1" customHeight="1" x14ac:dyDescent="0.3">
      <c r="A69" s="99">
        <v>65</v>
      </c>
      <c r="B69" s="76" t="s">
        <v>91</v>
      </c>
      <c r="C69" s="77" t="s">
        <v>92</v>
      </c>
      <c r="D69" s="76" t="s">
        <v>450</v>
      </c>
      <c r="E69" s="76" t="s">
        <v>35</v>
      </c>
      <c r="F69" s="76" t="str">
        <f>REPT(CHAR(160),10)&amp;Working!$E69</f>
        <v>          A</v>
      </c>
      <c r="G69" s="78">
        <v>0</v>
      </c>
      <c r="H69" s="78">
        <v>0</v>
      </c>
      <c r="I69" s="78">
        <v>3</v>
      </c>
      <c r="J69" s="78">
        <v>0</v>
      </c>
      <c r="K69" s="79">
        <v>0</v>
      </c>
      <c r="L69" s="80">
        <v>3</v>
      </c>
      <c r="M69" s="78">
        <v>0</v>
      </c>
      <c r="N69" s="78">
        <v>3</v>
      </c>
      <c r="O69" s="78">
        <v>3</v>
      </c>
      <c r="P69" s="81">
        <v>0</v>
      </c>
      <c r="Q69" s="82">
        <v>3</v>
      </c>
      <c r="R69" s="43">
        <v>3</v>
      </c>
      <c r="S69" s="32">
        <v>0</v>
      </c>
      <c r="T69" s="34">
        <v>0</v>
      </c>
      <c r="U69" s="65">
        <v>0</v>
      </c>
      <c r="V69" s="34">
        <v>0</v>
      </c>
      <c r="W69" s="34">
        <v>0</v>
      </c>
      <c r="X69" s="42">
        <v>0</v>
      </c>
      <c r="Y69" s="34">
        <v>3</v>
      </c>
      <c r="Z69" s="34">
        <v>0</v>
      </c>
      <c r="AA69" s="34">
        <v>0</v>
      </c>
      <c r="AB69" s="34">
        <v>0</v>
      </c>
      <c r="AC69" s="34">
        <v>0</v>
      </c>
      <c r="AD69" s="42">
        <v>3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42">
        <v>0</v>
      </c>
      <c r="AK69" s="33">
        <v>4</v>
      </c>
      <c r="AL69" s="33">
        <v>4</v>
      </c>
      <c r="AM69" s="65">
        <v>0</v>
      </c>
      <c r="AN69" s="33">
        <v>4</v>
      </c>
      <c r="AO69" s="34">
        <v>0</v>
      </c>
      <c r="AP69" s="43">
        <v>4</v>
      </c>
      <c r="AQ69" s="32">
        <v>4</v>
      </c>
      <c r="AR69" s="34">
        <v>0</v>
      </c>
      <c r="AS69" s="71">
        <v>0</v>
      </c>
      <c r="AT69" s="34">
        <v>0</v>
      </c>
      <c r="AU69" s="34">
        <v>0</v>
      </c>
      <c r="AV69" s="42">
        <v>4</v>
      </c>
      <c r="AW69" s="34">
        <v>0</v>
      </c>
      <c r="AX69" s="34">
        <v>0</v>
      </c>
      <c r="AY69" s="34">
        <v>0</v>
      </c>
      <c r="AZ69" s="32">
        <v>3</v>
      </c>
      <c r="BA69" s="70">
        <v>3</v>
      </c>
      <c r="BB69" s="98">
        <v>3</v>
      </c>
    </row>
    <row r="70" spans="1:54" ht="23.1" customHeight="1" x14ac:dyDescent="0.3">
      <c r="A70" s="100">
        <v>66</v>
      </c>
      <c r="B70" s="83" t="s">
        <v>261</v>
      </c>
      <c r="C70" s="84" t="s">
        <v>262</v>
      </c>
      <c r="D70" s="83" t="s">
        <v>450</v>
      </c>
      <c r="E70" s="83" t="s">
        <v>161</v>
      </c>
      <c r="F70" s="83" t="str">
        <f>REPT(CHAR(160),10)&amp;Working!$E70</f>
        <v>          B</v>
      </c>
      <c r="G70" s="74">
        <v>0</v>
      </c>
      <c r="H70" s="74">
        <v>0</v>
      </c>
      <c r="I70" s="74">
        <v>0</v>
      </c>
      <c r="J70" s="74">
        <v>0</v>
      </c>
      <c r="K70" s="85">
        <v>0</v>
      </c>
      <c r="L70" s="80">
        <v>0</v>
      </c>
      <c r="M70" s="74">
        <v>0</v>
      </c>
      <c r="N70" s="74">
        <v>0</v>
      </c>
      <c r="O70" s="74">
        <v>0</v>
      </c>
      <c r="P70" s="86">
        <v>0</v>
      </c>
      <c r="Q70" s="87">
        <v>0</v>
      </c>
      <c r="R70" s="43">
        <v>0</v>
      </c>
      <c r="S70" s="32">
        <v>0</v>
      </c>
      <c r="T70" s="16">
        <v>0</v>
      </c>
      <c r="U70" s="64">
        <v>0</v>
      </c>
      <c r="V70" s="16">
        <v>0</v>
      </c>
      <c r="W70" s="16">
        <v>0</v>
      </c>
      <c r="X70" s="42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42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42">
        <v>0</v>
      </c>
      <c r="AK70" s="24">
        <v>0</v>
      </c>
      <c r="AL70" s="24">
        <v>0</v>
      </c>
      <c r="AM70" s="64">
        <v>0</v>
      </c>
      <c r="AN70" s="24" t="s">
        <v>35</v>
      </c>
      <c r="AO70" s="16">
        <v>0</v>
      </c>
      <c r="AP70" s="43">
        <v>0</v>
      </c>
      <c r="AQ70" s="32">
        <v>0</v>
      </c>
      <c r="AR70" s="16">
        <v>0</v>
      </c>
      <c r="AS70" s="30">
        <v>0</v>
      </c>
      <c r="AT70" s="16">
        <v>0</v>
      </c>
      <c r="AU70" s="16">
        <v>0</v>
      </c>
      <c r="AV70" s="42">
        <v>0</v>
      </c>
      <c r="AW70" s="16">
        <v>0</v>
      </c>
      <c r="AX70" s="16">
        <v>0</v>
      </c>
      <c r="AY70" s="34">
        <v>0</v>
      </c>
      <c r="AZ70" s="32">
        <v>0</v>
      </c>
      <c r="BA70" s="70">
        <v>0</v>
      </c>
      <c r="BB70" s="98">
        <v>0</v>
      </c>
    </row>
    <row r="71" spans="1:54" ht="23.1" customHeight="1" x14ac:dyDescent="0.3">
      <c r="A71" s="99">
        <v>67</v>
      </c>
      <c r="B71" s="76" t="s">
        <v>277</v>
      </c>
      <c r="C71" s="77" t="s">
        <v>278</v>
      </c>
      <c r="D71" s="76" t="s">
        <v>450</v>
      </c>
      <c r="E71" s="76" t="s">
        <v>161</v>
      </c>
      <c r="F71" s="76" t="str">
        <f>REPT(CHAR(160),10)&amp;Working!$E71</f>
        <v>          B</v>
      </c>
      <c r="G71" s="78">
        <v>0</v>
      </c>
      <c r="H71" s="78">
        <v>0</v>
      </c>
      <c r="I71" s="78">
        <v>3</v>
      </c>
      <c r="J71" s="78">
        <v>0</v>
      </c>
      <c r="K71" s="79">
        <v>0</v>
      </c>
      <c r="L71" s="80">
        <v>3</v>
      </c>
      <c r="M71" s="78">
        <v>0</v>
      </c>
      <c r="N71" s="78">
        <v>3</v>
      </c>
      <c r="O71" s="78">
        <v>3</v>
      </c>
      <c r="P71" s="81">
        <v>0</v>
      </c>
      <c r="Q71" s="82">
        <v>3</v>
      </c>
      <c r="R71" s="43">
        <v>3</v>
      </c>
      <c r="S71" s="32">
        <v>0</v>
      </c>
      <c r="T71" s="34">
        <v>0</v>
      </c>
      <c r="U71" s="65">
        <v>0</v>
      </c>
      <c r="V71" s="34">
        <v>0</v>
      </c>
      <c r="W71" s="34">
        <v>0</v>
      </c>
      <c r="X71" s="42">
        <v>0</v>
      </c>
      <c r="Y71" s="34">
        <v>3</v>
      </c>
      <c r="Z71" s="34">
        <v>0</v>
      </c>
      <c r="AA71" s="34">
        <v>0</v>
      </c>
      <c r="AB71" s="34">
        <v>0</v>
      </c>
      <c r="AC71" s="34">
        <v>0</v>
      </c>
      <c r="AD71" s="42">
        <v>3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42">
        <v>0</v>
      </c>
      <c r="AK71" s="33">
        <v>4</v>
      </c>
      <c r="AL71" s="33">
        <v>3</v>
      </c>
      <c r="AM71" s="65">
        <v>0</v>
      </c>
      <c r="AN71" s="33">
        <v>3</v>
      </c>
      <c r="AO71" s="34">
        <v>0</v>
      </c>
      <c r="AP71" s="43">
        <v>3.3333333333333335</v>
      </c>
      <c r="AQ71" s="32">
        <v>5</v>
      </c>
      <c r="AR71" s="34">
        <v>0</v>
      </c>
      <c r="AS71" s="71">
        <v>0</v>
      </c>
      <c r="AT71" s="34">
        <v>0</v>
      </c>
      <c r="AU71" s="34">
        <v>0</v>
      </c>
      <c r="AV71" s="42">
        <v>5</v>
      </c>
      <c r="AW71" s="34">
        <v>0</v>
      </c>
      <c r="AX71" s="34">
        <v>0</v>
      </c>
      <c r="AY71" s="34">
        <v>0</v>
      </c>
      <c r="AZ71" s="32">
        <v>3</v>
      </c>
      <c r="BA71" s="70">
        <v>3</v>
      </c>
      <c r="BB71" s="98">
        <v>3</v>
      </c>
    </row>
    <row r="72" spans="1:54" ht="23.1" customHeight="1" x14ac:dyDescent="0.3">
      <c r="A72" s="100">
        <v>68</v>
      </c>
      <c r="B72" s="83" t="s">
        <v>164</v>
      </c>
      <c r="C72" s="84" t="s">
        <v>165</v>
      </c>
      <c r="D72" s="83" t="s">
        <v>450</v>
      </c>
      <c r="E72" s="83" t="s">
        <v>161</v>
      </c>
      <c r="F72" s="83" t="str">
        <f>REPT(CHAR(160),10)&amp;Working!$E72</f>
        <v>          B</v>
      </c>
      <c r="G72" s="74">
        <v>0</v>
      </c>
      <c r="H72" s="74">
        <v>0</v>
      </c>
      <c r="I72" s="74">
        <v>4</v>
      </c>
      <c r="J72" s="74">
        <v>0</v>
      </c>
      <c r="K72" s="85">
        <v>0</v>
      </c>
      <c r="L72" s="80">
        <v>4</v>
      </c>
      <c r="M72" s="74">
        <v>0</v>
      </c>
      <c r="N72" s="74">
        <v>4</v>
      </c>
      <c r="O72" s="74">
        <v>4</v>
      </c>
      <c r="P72" s="88">
        <v>0</v>
      </c>
      <c r="Q72" s="89">
        <v>4</v>
      </c>
      <c r="R72" s="43">
        <v>4</v>
      </c>
      <c r="S72" s="32">
        <v>0</v>
      </c>
      <c r="T72" s="16">
        <v>0</v>
      </c>
      <c r="U72" s="66">
        <v>0</v>
      </c>
      <c r="V72" s="16">
        <v>0</v>
      </c>
      <c r="W72" s="16">
        <v>0</v>
      </c>
      <c r="X72" s="42">
        <v>0</v>
      </c>
      <c r="Y72" s="16">
        <v>4</v>
      </c>
      <c r="Z72" s="16">
        <v>0</v>
      </c>
      <c r="AA72" s="16">
        <v>0</v>
      </c>
      <c r="AB72" s="16">
        <v>0</v>
      </c>
      <c r="AC72" s="16">
        <v>0</v>
      </c>
      <c r="AD72" s="42">
        <v>4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42">
        <v>0</v>
      </c>
      <c r="AK72" s="29">
        <v>3</v>
      </c>
      <c r="AL72" s="29">
        <v>5</v>
      </c>
      <c r="AM72" s="66">
        <v>0</v>
      </c>
      <c r="AN72" s="29">
        <v>5</v>
      </c>
      <c r="AO72" s="16">
        <v>0</v>
      </c>
      <c r="AP72" s="43">
        <v>4.333333333333333</v>
      </c>
      <c r="AQ72" s="32">
        <v>4</v>
      </c>
      <c r="AR72" s="16">
        <v>0</v>
      </c>
      <c r="AS72" s="30">
        <v>0</v>
      </c>
      <c r="AT72" s="16">
        <v>0</v>
      </c>
      <c r="AU72" s="16">
        <v>0</v>
      </c>
      <c r="AV72" s="42">
        <v>4</v>
      </c>
      <c r="AW72" s="16">
        <v>0</v>
      </c>
      <c r="AX72" s="16">
        <v>0</v>
      </c>
      <c r="AY72" s="34">
        <v>0</v>
      </c>
      <c r="AZ72" s="32">
        <v>4</v>
      </c>
      <c r="BA72" s="70">
        <v>5</v>
      </c>
      <c r="BB72" s="98">
        <v>4.5</v>
      </c>
    </row>
    <row r="73" spans="1:54" ht="23.1" customHeight="1" x14ac:dyDescent="0.3">
      <c r="A73" s="99">
        <v>69</v>
      </c>
      <c r="B73" s="76" t="s">
        <v>130</v>
      </c>
      <c r="C73" s="77" t="s">
        <v>131</v>
      </c>
      <c r="D73" s="76" t="s">
        <v>542</v>
      </c>
      <c r="E73" s="76" t="s">
        <v>35</v>
      </c>
      <c r="F73" s="76" t="str">
        <f>REPT(CHAR(160),10)&amp;Working!$E73</f>
        <v>          A</v>
      </c>
      <c r="G73" s="78">
        <v>0</v>
      </c>
      <c r="H73" s="78">
        <v>0</v>
      </c>
      <c r="I73" s="78">
        <v>2</v>
      </c>
      <c r="J73" s="78">
        <v>0</v>
      </c>
      <c r="K73" s="79">
        <v>0</v>
      </c>
      <c r="L73" s="80">
        <v>2</v>
      </c>
      <c r="M73" s="78">
        <v>0</v>
      </c>
      <c r="N73" s="78">
        <v>2</v>
      </c>
      <c r="O73" s="78">
        <v>2</v>
      </c>
      <c r="P73" s="81">
        <v>0</v>
      </c>
      <c r="Q73" s="82">
        <v>2</v>
      </c>
      <c r="R73" s="43">
        <v>2</v>
      </c>
      <c r="S73" s="32">
        <v>0</v>
      </c>
      <c r="T73" s="34">
        <v>0</v>
      </c>
      <c r="U73" s="65">
        <v>0</v>
      </c>
      <c r="V73" s="34">
        <v>0</v>
      </c>
      <c r="W73" s="34">
        <v>0</v>
      </c>
      <c r="X73" s="42">
        <v>0</v>
      </c>
      <c r="Y73" s="34">
        <v>2</v>
      </c>
      <c r="Z73" s="34">
        <v>0</v>
      </c>
      <c r="AA73" s="34">
        <v>0</v>
      </c>
      <c r="AB73" s="34">
        <v>0</v>
      </c>
      <c r="AC73" s="34">
        <v>0</v>
      </c>
      <c r="AD73" s="42">
        <v>2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42">
        <v>0</v>
      </c>
      <c r="AK73" s="33">
        <v>2</v>
      </c>
      <c r="AL73" s="33">
        <v>2</v>
      </c>
      <c r="AM73" s="65">
        <v>0</v>
      </c>
      <c r="AN73" s="33">
        <v>2</v>
      </c>
      <c r="AO73" s="34">
        <v>0</v>
      </c>
      <c r="AP73" s="43">
        <v>2</v>
      </c>
      <c r="AQ73" s="32">
        <v>2</v>
      </c>
      <c r="AR73" s="34">
        <v>0</v>
      </c>
      <c r="AS73" s="71">
        <v>0</v>
      </c>
      <c r="AT73" s="34">
        <v>0</v>
      </c>
      <c r="AU73" s="34">
        <v>0</v>
      </c>
      <c r="AV73" s="42">
        <v>2</v>
      </c>
      <c r="AW73" s="34">
        <v>0</v>
      </c>
      <c r="AX73" s="34">
        <v>0</v>
      </c>
      <c r="AY73" s="34">
        <v>0</v>
      </c>
      <c r="AZ73" s="32">
        <v>2</v>
      </c>
      <c r="BA73" s="70">
        <v>2</v>
      </c>
      <c r="BB73" s="98">
        <v>2</v>
      </c>
    </row>
    <row r="74" spans="1:54" ht="23.1" customHeight="1" x14ac:dyDescent="0.3">
      <c r="A74" s="100">
        <v>70</v>
      </c>
      <c r="B74" s="83" t="s">
        <v>320</v>
      </c>
      <c r="C74" s="84" t="s">
        <v>321</v>
      </c>
      <c r="D74" s="83" t="s">
        <v>542</v>
      </c>
      <c r="E74" s="83" t="s">
        <v>493</v>
      </c>
      <c r="F74" s="83" t="str">
        <f>REPT(CHAR(160),10)&amp;Working!$E74</f>
        <v>          C</v>
      </c>
      <c r="G74" s="74">
        <v>0</v>
      </c>
      <c r="H74" s="74">
        <v>0</v>
      </c>
      <c r="I74" s="74">
        <v>2</v>
      </c>
      <c r="J74" s="74">
        <v>0</v>
      </c>
      <c r="K74" s="85">
        <v>0</v>
      </c>
      <c r="L74" s="80">
        <v>2</v>
      </c>
      <c r="M74" s="74">
        <v>0</v>
      </c>
      <c r="N74" s="74">
        <v>2</v>
      </c>
      <c r="O74" s="74">
        <v>2</v>
      </c>
      <c r="P74" s="86">
        <v>0</v>
      </c>
      <c r="Q74" s="87">
        <v>2</v>
      </c>
      <c r="R74" s="43">
        <v>2</v>
      </c>
      <c r="S74" s="32">
        <v>0</v>
      </c>
      <c r="T74" s="16">
        <v>0</v>
      </c>
      <c r="U74" s="64">
        <v>0</v>
      </c>
      <c r="V74" s="16">
        <v>0</v>
      </c>
      <c r="W74" s="16">
        <v>0</v>
      </c>
      <c r="X74" s="42">
        <v>0</v>
      </c>
      <c r="Y74" s="16">
        <v>2</v>
      </c>
      <c r="Z74" s="16">
        <v>0</v>
      </c>
      <c r="AA74" s="16">
        <v>0</v>
      </c>
      <c r="AB74" s="16">
        <v>0</v>
      </c>
      <c r="AC74" s="16">
        <v>0</v>
      </c>
      <c r="AD74" s="42">
        <v>2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42">
        <v>0</v>
      </c>
      <c r="AK74" s="24">
        <v>2</v>
      </c>
      <c r="AL74" s="24">
        <v>3</v>
      </c>
      <c r="AM74" s="64">
        <v>0</v>
      </c>
      <c r="AN74" s="24">
        <v>3</v>
      </c>
      <c r="AO74" s="16">
        <v>0</v>
      </c>
      <c r="AP74" s="43">
        <v>2.6666666666666665</v>
      </c>
      <c r="AQ74" s="32">
        <v>3</v>
      </c>
      <c r="AR74" s="16">
        <v>0</v>
      </c>
      <c r="AS74" s="31">
        <v>0</v>
      </c>
      <c r="AT74" s="16">
        <v>0</v>
      </c>
      <c r="AU74" s="16">
        <v>0</v>
      </c>
      <c r="AV74" s="42">
        <v>3</v>
      </c>
      <c r="AW74" s="16">
        <v>0</v>
      </c>
      <c r="AX74" s="16">
        <v>0</v>
      </c>
      <c r="AY74" s="34">
        <v>0</v>
      </c>
      <c r="AZ74" s="32">
        <v>3</v>
      </c>
      <c r="BA74" s="70">
        <v>2</v>
      </c>
      <c r="BB74" s="98">
        <v>2.5</v>
      </c>
    </row>
    <row r="75" spans="1:54" ht="23.1" customHeight="1" x14ac:dyDescent="0.3">
      <c r="A75" s="99">
        <v>71</v>
      </c>
      <c r="B75" s="76" t="s">
        <v>132</v>
      </c>
      <c r="C75" s="77" t="s">
        <v>133</v>
      </c>
      <c r="D75" s="76" t="s">
        <v>542</v>
      </c>
      <c r="E75" s="76" t="s">
        <v>35</v>
      </c>
      <c r="F75" s="76" t="str">
        <f>REPT(CHAR(160),10)&amp;Working!$E75</f>
        <v>          A</v>
      </c>
      <c r="G75" s="78">
        <v>0</v>
      </c>
      <c r="H75" s="78">
        <v>0</v>
      </c>
      <c r="I75" s="78">
        <v>3</v>
      </c>
      <c r="J75" s="78">
        <v>0</v>
      </c>
      <c r="K75" s="79">
        <v>0</v>
      </c>
      <c r="L75" s="80">
        <v>3</v>
      </c>
      <c r="M75" s="78">
        <v>0</v>
      </c>
      <c r="N75" s="78">
        <v>2</v>
      </c>
      <c r="O75" s="78">
        <v>2</v>
      </c>
      <c r="P75" s="81">
        <v>0</v>
      </c>
      <c r="Q75" s="82">
        <v>2</v>
      </c>
      <c r="R75" s="43">
        <v>2</v>
      </c>
      <c r="S75" s="32">
        <v>0</v>
      </c>
      <c r="T75" s="34">
        <v>0</v>
      </c>
      <c r="U75" s="65">
        <v>0</v>
      </c>
      <c r="V75" s="34">
        <v>0</v>
      </c>
      <c r="W75" s="34">
        <v>0</v>
      </c>
      <c r="X75" s="42">
        <v>0</v>
      </c>
      <c r="Y75" s="34">
        <v>2</v>
      </c>
      <c r="Z75" s="34">
        <v>0</v>
      </c>
      <c r="AA75" s="34">
        <v>0</v>
      </c>
      <c r="AB75" s="34">
        <v>0</v>
      </c>
      <c r="AC75" s="34">
        <v>0</v>
      </c>
      <c r="AD75" s="42">
        <v>2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42">
        <v>0</v>
      </c>
      <c r="AK75" s="33">
        <v>3</v>
      </c>
      <c r="AL75" s="33">
        <v>3</v>
      </c>
      <c r="AM75" s="65">
        <v>0</v>
      </c>
      <c r="AN75" s="33">
        <v>3</v>
      </c>
      <c r="AO75" s="34">
        <v>0</v>
      </c>
      <c r="AP75" s="43">
        <v>3</v>
      </c>
      <c r="AQ75" s="32">
        <v>3</v>
      </c>
      <c r="AR75" s="34">
        <v>0</v>
      </c>
      <c r="AS75" s="71">
        <v>0</v>
      </c>
      <c r="AT75" s="34">
        <v>0</v>
      </c>
      <c r="AU75" s="34">
        <v>0</v>
      </c>
      <c r="AV75" s="42">
        <v>3</v>
      </c>
      <c r="AW75" s="34">
        <v>0</v>
      </c>
      <c r="AX75" s="34">
        <v>0</v>
      </c>
      <c r="AY75" s="34">
        <v>0</v>
      </c>
      <c r="AZ75" s="32">
        <v>3</v>
      </c>
      <c r="BA75" s="70">
        <v>3</v>
      </c>
      <c r="BB75" s="98">
        <v>3</v>
      </c>
    </row>
    <row r="76" spans="1:54" ht="23.1" customHeight="1" x14ac:dyDescent="0.3">
      <c r="A76" s="100">
        <v>72</v>
      </c>
      <c r="B76" s="83" t="s">
        <v>166</v>
      </c>
      <c r="C76" s="84" t="s">
        <v>167</v>
      </c>
      <c r="D76" s="83" t="s">
        <v>542</v>
      </c>
      <c r="E76" s="83" t="s">
        <v>161</v>
      </c>
      <c r="F76" s="83" t="str">
        <f>REPT(CHAR(160),10)&amp;Working!$E76</f>
        <v>          B</v>
      </c>
      <c r="G76" s="74">
        <v>0</v>
      </c>
      <c r="H76" s="74">
        <v>0</v>
      </c>
      <c r="I76" s="74">
        <v>2</v>
      </c>
      <c r="J76" s="74">
        <v>0</v>
      </c>
      <c r="K76" s="85">
        <v>0</v>
      </c>
      <c r="L76" s="80">
        <v>2</v>
      </c>
      <c r="M76" s="74">
        <v>0</v>
      </c>
      <c r="N76" s="74">
        <v>2</v>
      </c>
      <c r="O76" s="74">
        <v>2</v>
      </c>
      <c r="P76" s="86">
        <v>0</v>
      </c>
      <c r="Q76" s="87">
        <v>2</v>
      </c>
      <c r="R76" s="43">
        <v>2</v>
      </c>
      <c r="S76" s="32">
        <v>0</v>
      </c>
      <c r="T76" s="16">
        <v>0</v>
      </c>
      <c r="U76" s="64">
        <v>0</v>
      </c>
      <c r="V76" s="16">
        <v>0</v>
      </c>
      <c r="W76" s="16">
        <v>0</v>
      </c>
      <c r="X76" s="42">
        <v>0</v>
      </c>
      <c r="Y76" s="16">
        <v>2</v>
      </c>
      <c r="Z76" s="16">
        <v>0</v>
      </c>
      <c r="AA76" s="16">
        <v>0</v>
      </c>
      <c r="AB76" s="16">
        <v>0</v>
      </c>
      <c r="AC76" s="16">
        <v>0</v>
      </c>
      <c r="AD76" s="42">
        <v>2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42">
        <v>0</v>
      </c>
      <c r="AK76" s="24">
        <v>2</v>
      </c>
      <c r="AL76" s="24">
        <v>2</v>
      </c>
      <c r="AM76" s="64">
        <v>0</v>
      </c>
      <c r="AN76" s="24">
        <v>3</v>
      </c>
      <c r="AO76" s="16">
        <v>0</v>
      </c>
      <c r="AP76" s="43">
        <v>2.3333333333333335</v>
      </c>
      <c r="AQ76" s="32">
        <v>2</v>
      </c>
      <c r="AR76" s="16">
        <v>0</v>
      </c>
      <c r="AS76" s="30">
        <v>0</v>
      </c>
      <c r="AT76" s="16">
        <v>0</v>
      </c>
      <c r="AU76" s="16">
        <v>0</v>
      </c>
      <c r="AV76" s="42">
        <v>2</v>
      </c>
      <c r="AW76" s="16">
        <v>0</v>
      </c>
      <c r="AX76" s="16">
        <v>0</v>
      </c>
      <c r="AY76" s="34">
        <v>0</v>
      </c>
      <c r="AZ76" s="32">
        <v>2</v>
      </c>
      <c r="BA76" s="70">
        <v>3</v>
      </c>
      <c r="BB76" s="98">
        <v>2.5</v>
      </c>
    </row>
    <row r="77" spans="1:54" ht="23.1" customHeight="1" x14ac:dyDescent="0.3">
      <c r="A77" s="99">
        <v>73</v>
      </c>
      <c r="B77" s="76" t="s">
        <v>182</v>
      </c>
      <c r="C77" s="77" t="s">
        <v>183</v>
      </c>
      <c r="D77" s="76" t="s">
        <v>450</v>
      </c>
      <c r="E77" s="76" t="s">
        <v>161</v>
      </c>
      <c r="F77" s="76" t="str">
        <f>REPT(CHAR(160),10)&amp;Working!$E77</f>
        <v>          B</v>
      </c>
      <c r="G77" s="78">
        <v>0</v>
      </c>
      <c r="H77" s="78">
        <v>0</v>
      </c>
      <c r="I77" s="78">
        <v>3</v>
      </c>
      <c r="J77" s="78">
        <v>0</v>
      </c>
      <c r="K77" s="79">
        <v>0</v>
      </c>
      <c r="L77" s="80">
        <v>3</v>
      </c>
      <c r="M77" s="78">
        <v>0</v>
      </c>
      <c r="N77" s="78">
        <v>3</v>
      </c>
      <c r="O77" s="78">
        <v>3</v>
      </c>
      <c r="P77" s="81">
        <v>0</v>
      </c>
      <c r="Q77" s="82">
        <v>3</v>
      </c>
      <c r="R77" s="43">
        <v>3</v>
      </c>
      <c r="S77" s="32">
        <v>0</v>
      </c>
      <c r="T77" s="34">
        <v>0</v>
      </c>
      <c r="U77" s="65">
        <v>0</v>
      </c>
      <c r="V77" s="34">
        <v>0</v>
      </c>
      <c r="W77" s="34">
        <v>0</v>
      </c>
      <c r="X77" s="42">
        <v>0</v>
      </c>
      <c r="Y77" s="34">
        <v>3</v>
      </c>
      <c r="Z77" s="34">
        <v>0</v>
      </c>
      <c r="AA77" s="34">
        <v>0</v>
      </c>
      <c r="AB77" s="34">
        <v>0</v>
      </c>
      <c r="AC77" s="34">
        <v>0</v>
      </c>
      <c r="AD77" s="42">
        <v>3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42">
        <v>0</v>
      </c>
      <c r="AK77" s="33">
        <v>3</v>
      </c>
      <c r="AL77" s="33">
        <v>4</v>
      </c>
      <c r="AM77" s="65">
        <v>0</v>
      </c>
      <c r="AN77" s="33">
        <v>4</v>
      </c>
      <c r="AO77" s="34">
        <v>0</v>
      </c>
      <c r="AP77" s="43">
        <v>3.6666666666666665</v>
      </c>
      <c r="AQ77" s="32">
        <v>4</v>
      </c>
      <c r="AR77" s="34">
        <v>0</v>
      </c>
      <c r="AS77" s="71">
        <v>0</v>
      </c>
      <c r="AT77" s="34">
        <v>0</v>
      </c>
      <c r="AU77" s="34">
        <v>0</v>
      </c>
      <c r="AV77" s="42">
        <v>4</v>
      </c>
      <c r="AW77" s="34">
        <v>0</v>
      </c>
      <c r="AX77" s="34">
        <v>0</v>
      </c>
      <c r="AY77" s="34">
        <v>0</v>
      </c>
      <c r="AZ77" s="32">
        <v>3</v>
      </c>
      <c r="BA77" s="70">
        <v>3</v>
      </c>
      <c r="BB77" s="98">
        <v>3</v>
      </c>
    </row>
    <row r="78" spans="1:54" ht="23.1" customHeight="1" x14ac:dyDescent="0.3">
      <c r="A78" s="100">
        <v>74</v>
      </c>
      <c r="B78" s="83" t="s">
        <v>322</v>
      </c>
      <c r="C78" s="84" t="s">
        <v>323</v>
      </c>
      <c r="D78" s="83" t="s">
        <v>450</v>
      </c>
      <c r="E78" s="83" t="s">
        <v>493</v>
      </c>
      <c r="F78" s="83" t="str">
        <f>REPT(CHAR(160),10)&amp;Working!$E78</f>
        <v>          C</v>
      </c>
      <c r="G78" s="74">
        <v>0</v>
      </c>
      <c r="H78" s="74">
        <v>0</v>
      </c>
      <c r="I78" s="74">
        <v>2</v>
      </c>
      <c r="J78" s="74">
        <v>0</v>
      </c>
      <c r="K78" s="85">
        <v>0</v>
      </c>
      <c r="L78" s="80">
        <v>2</v>
      </c>
      <c r="M78" s="74">
        <v>0</v>
      </c>
      <c r="N78" s="74">
        <v>2</v>
      </c>
      <c r="O78" s="74">
        <v>2</v>
      </c>
      <c r="P78" s="86">
        <v>0</v>
      </c>
      <c r="Q78" s="87">
        <v>2</v>
      </c>
      <c r="R78" s="43">
        <v>2</v>
      </c>
      <c r="S78" s="32">
        <v>0</v>
      </c>
      <c r="T78" s="16">
        <v>0</v>
      </c>
      <c r="U78" s="64">
        <v>0</v>
      </c>
      <c r="V78" s="16">
        <v>0</v>
      </c>
      <c r="W78" s="16">
        <v>0</v>
      </c>
      <c r="X78" s="42">
        <v>0</v>
      </c>
      <c r="Y78" s="16">
        <v>2</v>
      </c>
      <c r="Z78" s="16">
        <v>0</v>
      </c>
      <c r="AA78" s="16">
        <v>0</v>
      </c>
      <c r="AB78" s="16">
        <v>0</v>
      </c>
      <c r="AC78" s="16">
        <v>0</v>
      </c>
      <c r="AD78" s="42">
        <v>2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42">
        <v>0</v>
      </c>
      <c r="AK78" s="24">
        <v>3</v>
      </c>
      <c r="AL78" s="24">
        <v>3</v>
      </c>
      <c r="AM78" s="64">
        <v>0</v>
      </c>
      <c r="AN78" s="24">
        <v>3</v>
      </c>
      <c r="AO78" s="16">
        <v>0</v>
      </c>
      <c r="AP78" s="43">
        <v>3</v>
      </c>
      <c r="AQ78" s="32">
        <v>4</v>
      </c>
      <c r="AR78" s="16">
        <v>0</v>
      </c>
      <c r="AS78" s="30">
        <v>0</v>
      </c>
      <c r="AT78" s="16">
        <v>0</v>
      </c>
      <c r="AU78" s="16">
        <v>0</v>
      </c>
      <c r="AV78" s="42">
        <v>4</v>
      </c>
      <c r="AW78" s="16">
        <v>0</v>
      </c>
      <c r="AX78" s="16">
        <v>0</v>
      </c>
      <c r="AY78" s="34">
        <v>0</v>
      </c>
      <c r="AZ78" s="32">
        <v>3</v>
      </c>
      <c r="BA78" s="70">
        <v>3</v>
      </c>
      <c r="BB78" s="98">
        <v>3</v>
      </c>
    </row>
    <row r="79" spans="1:54" ht="23.1" customHeight="1" x14ac:dyDescent="0.3">
      <c r="A79" s="99">
        <v>75</v>
      </c>
      <c r="B79" s="76" t="s">
        <v>324</v>
      </c>
      <c r="C79" s="77" t="s">
        <v>325</v>
      </c>
      <c r="D79" s="76" t="s">
        <v>450</v>
      </c>
      <c r="E79" s="76" t="s">
        <v>493</v>
      </c>
      <c r="F79" s="76" t="str">
        <f>REPT(CHAR(160),10)&amp;Working!$E79</f>
        <v>          C</v>
      </c>
      <c r="G79" s="78">
        <v>0</v>
      </c>
      <c r="H79" s="78">
        <v>0</v>
      </c>
      <c r="I79" s="78">
        <v>2</v>
      </c>
      <c r="J79" s="78">
        <v>0</v>
      </c>
      <c r="K79" s="79">
        <v>0</v>
      </c>
      <c r="L79" s="80">
        <v>2</v>
      </c>
      <c r="M79" s="78">
        <v>0</v>
      </c>
      <c r="N79" s="78">
        <v>2</v>
      </c>
      <c r="O79" s="78">
        <v>2</v>
      </c>
      <c r="P79" s="81">
        <v>0</v>
      </c>
      <c r="Q79" s="82">
        <v>2</v>
      </c>
      <c r="R79" s="43">
        <v>2</v>
      </c>
      <c r="S79" s="32">
        <v>0</v>
      </c>
      <c r="T79" s="34">
        <v>0</v>
      </c>
      <c r="U79" s="65">
        <v>0</v>
      </c>
      <c r="V79" s="34">
        <v>0</v>
      </c>
      <c r="W79" s="34">
        <v>0</v>
      </c>
      <c r="X79" s="42">
        <v>0</v>
      </c>
      <c r="Y79" s="34">
        <v>2</v>
      </c>
      <c r="Z79" s="34">
        <v>0</v>
      </c>
      <c r="AA79" s="34">
        <v>0</v>
      </c>
      <c r="AB79" s="34">
        <v>0</v>
      </c>
      <c r="AC79" s="34">
        <v>0</v>
      </c>
      <c r="AD79" s="42">
        <v>2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42">
        <v>0</v>
      </c>
      <c r="AK79" s="33">
        <v>2</v>
      </c>
      <c r="AL79" s="33">
        <v>2</v>
      </c>
      <c r="AM79" s="65">
        <v>0</v>
      </c>
      <c r="AN79" s="33">
        <v>2</v>
      </c>
      <c r="AO79" s="34">
        <v>0</v>
      </c>
      <c r="AP79" s="43">
        <v>2</v>
      </c>
      <c r="AQ79" s="32">
        <v>2</v>
      </c>
      <c r="AR79" s="34">
        <v>0</v>
      </c>
      <c r="AS79" s="71">
        <v>0</v>
      </c>
      <c r="AT79" s="34">
        <v>0</v>
      </c>
      <c r="AU79" s="34">
        <v>0</v>
      </c>
      <c r="AV79" s="42">
        <v>2</v>
      </c>
      <c r="AW79" s="34">
        <v>0</v>
      </c>
      <c r="AX79" s="34">
        <v>0</v>
      </c>
      <c r="AY79" s="34">
        <v>0</v>
      </c>
      <c r="AZ79" s="32">
        <v>3</v>
      </c>
      <c r="BA79" s="70">
        <v>2</v>
      </c>
      <c r="BB79" s="98">
        <v>2.5</v>
      </c>
    </row>
    <row r="80" spans="1:54" ht="23.1" customHeight="1" x14ac:dyDescent="0.3">
      <c r="A80" s="100">
        <v>76</v>
      </c>
      <c r="B80" s="83" t="s">
        <v>326</v>
      </c>
      <c r="C80" s="84" t="s">
        <v>327</v>
      </c>
      <c r="D80" s="83" t="s">
        <v>450</v>
      </c>
      <c r="E80" s="83" t="s">
        <v>493</v>
      </c>
      <c r="F80" s="83" t="str">
        <f>REPT(CHAR(160),10)&amp;Working!$E80</f>
        <v>          C</v>
      </c>
      <c r="G80" s="74">
        <v>0</v>
      </c>
      <c r="H80" s="74">
        <v>0</v>
      </c>
      <c r="I80" s="74">
        <v>5</v>
      </c>
      <c r="J80" s="74">
        <v>0</v>
      </c>
      <c r="K80" s="85">
        <v>0</v>
      </c>
      <c r="L80" s="80">
        <v>5</v>
      </c>
      <c r="M80" s="74">
        <v>0</v>
      </c>
      <c r="N80" s="74">
        <v>5</v>
      </c>
      <c r="O80" s="74">
        <v>4</v>
      </c>
      <c r="P80" s="86">
        <v>0</v>
      </c>
      <c r="Q80" s="87">
        <v>4</v>
      </c>
      <c r="R80" s="43">
        <v>4.333333333333333</v>
      </c>
      <c r="S80" s="32">
        <v>0</v>
      </c>
      <c r="T80" s="16">
        <v>0</v>
      </c>
      <c r="U80" s="64">
        <v>0</v>
      </c>
      <c r="V80" s="16">
        <v>0</v>
      </c>
      <c r="W80" s="16">
        <v>0</v>
      </c>
      <c r="X80" s="42">
        <v>0</v>
      </c>
      <c r="Y80" s="16">
        <v>5</v>
      </c>
      <c r="Z80" s="16">
        <v>0</v>
      </c>
      <c r="AA80" s="16">
        <v>0</v>
      </c>
      <c r="AB80" s="16">
        <v>0</v>
      </c>
      <c r="AC80" s="16">
        <v>0</v>
      </c>
      <c r="AD80" s="42">
        <v>5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42">
        <v>0</v>
      </c>
      <c r="AK80" s="24">
        <v>5</v>
      </c>
      <c r="AL80" s="24">
        <v>5</v>
      </c>
      <c r="AM80" s="64">
        <v>0</v>
      </c>
      <c r="AN80" s="24">
        <v>5</v>
      </c>
      <c r="AO80" s="16">
        <v>0</v>
      </c>
      <c r="AP80" s="43">
        <v>5</v>
      </c>
      <c r="AQ80" s="32">
        <v>5</v>
      </c>
      <c r="AR80" s="16">
        <v>0</v>
      </c>
      <c r="AS80" s="30">
        <v>0</v>
      </c>
      <c r="AT80" s="16">
        <v>0</v>
      </c>
      <c r="AU80" s="16">
        <v>0</v>
      </c>
      <c r="AV80" s="42">
        <v>5</v>
      </c>
      <c r="AW80" s="16">
        <v>0</v>
      </c>
      <c r="AX80" s="16">
        <v>0</v>
      </c>
      <c r="AY80" s="34">
        <v>0</v>
      </c>
      <c r="AZ80" s="32">
        <v>4</v>
      </c>
      <c r="BA80" s="70">
        <v>5</v>
      </c>
      <c r="BB80" s="98">
        <v>4.5</v>
      </c>
    </row>
    <row r="81" spans="1:54" ht="23.1" customHeight="1" x14ac:dyDescent="0.3">
      <c r="A81" s="99">
        <v>77</v>
      </c>
      <c r="B81" s="76" t="s">
        <v>328</v>
      </c>
      <c r="C81" s="77" t="s">
        <v>329</v>
      </c>
      <c r="D81" s="76" t="s">
        <v>450</v>
      </c>
      <c r="E81" s="76" t="s">
        <v>493</v>
      </c>
      <c r="F81" s="76" t="str">
        <f>REPT(CHAR(160),10)&amp;Working!$E81</f>
        <v>          C</v>
      </c>
      <c r="G81" s="78">
        <v>0</v>
      </c>
      <c r="H81" s="78">
        <v>0</v>
      </c>
      <c r="I81" s="78">
        <v>3</v>
      </c>
      <c r="J81" s="78">
        <v>0</v>
      </c>
      <c r="K81" s="79">
        <v>0</v>
      </c>
      <c r="L81" s="80">
        <v>3</v>
      </c>
      <c r="M81" s="78">
        <v>0</v>
      </c>
      <c r="N81" s="78">
        <v>2</v>
      </c>
      <c r="O81" s="78">
        <v>3</v>
      </c>
      <c r="P81" s="81">
        <v>0</v>
      </c>
      <c r="Q81" s="82">
        <v>3</v>
      </c>
      <c r="R81" s="43">
        <v>2.6666666666666665</v>
      </c>
      <c r="S81" s="32">
        <v>0</v>
      </c>
      <c r="T81" s="34">
        <v>0</v>
      </c>
      <c r="U81" s="65">
        <v>0</v>
      </c>
      <c r="V81" s="34">
        <v>0</v>
      </c>
      <c r="W81" s="34">
        <v>0</v>
      </c>
      <c r="X81" s="42">
        <v>0</v>
      </c>
      <c r="Y81" s="34">
        <v>3</v>
      </c>
      <c r="Z81" s="34">
        <v>0</v>
      </c>
      <c r="AA81" s="34">
        <v>0</v>
      </c>
      <c r="AB81" s="34">
        <v>0</v>
      </c>
      <c r="AC81" s="34">
        <v>0</v>
      </c>
      <c r="AD81" s="42">
        <v>3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42">
        <v>0</v>
      </c>
      <c r="AK81" s="33">
        <v>2</v>
      </c>
      <c r="AL81" s="33">
        <v>3</v>
      </c>
      <c r="AM81" s="65">
        <v>0</v>
      </c>
      <c r="AN81" s="33">
        <v>3</v>
      </c>
      <c r="AO81" s="34">
        <v>0</v>
      </c>
      <c r="AP81" s="43">
        <v>2.6666666666666665</v>
      </c>
      <c r="AQ81" s="32">
        <v>3</v>
      </c>
      <c r="AR81" s="34">
        <v>0</v>
      </c>
      <c r="AS81" s="71">
        <v>0</v>
      </c>
      <c r="AT81" s="34">
        <v>0</v>
      </c>
      <c r="AU81" s="34">
        <v>0</v>
      </c>
      <c r="AV81" s="42">
        <v>3</v>
      </c>
      <c r="AW81" s="34">
        <v>0</v>
      </c>
      <c r="AX81" s="34">
        <v>0</v>
      </c>
      <c r="AY81" s="34">
        <v>0</v>
      </c>
      <c r="AZ81" s="32">
        <v>3</v>
      </c>
      <c r="BA81" s="70">
        <v>3</v>
      </c>
      <c r="BB81" s="98">
        <v>3</v>
      </c>
    </row>
    <row r="82" spans="1:54" ht="23.1" customHeight="1" x14ac:dyDescent="0.3">
      <c r="A82" s="100">
        <v>78</v>
      </c>
      <c r="B82" s="83" t="s">
        <v>330</v>
      </c>
      <c r="C82" s="84" t="s">
        <v>331</v>
      </c>
      <c r="D82" s="83" t="s">
        <v>450</v>
      </c>
      <c r="E82" s="83" t="s">
        <v>493</v>
      </c>
      <c r="F82" s="83" t="str">
        <f>REPT(CHAR(160),10)&amp;Working!$E82</f>
        <v>          C</v>
      </c>
      <c r="G82" s="74">
        <v>0</v>
      </c>
      <c r="H82" s="74">
        <v>0</v>
      </c>
      <c r="I82" s="74">
        <v>2</v>
      </c>
      <c r="J82" s="74">
        <v>0</v>
      </c>
      <c r="K82" s="85">
        <v>0</v>
      </c>
      <c r="L82" s="80">
        <v>2</v>
      </c>
      <c r="M82" s="74">
        <v>0</v>
      </c>
      <c r="N82" s="74">
        <v>2</v>
      </c>
      <c r="O82" s="74">
        <v>2</v>
      </c>
      <c r="P82" s="92">
        <v>0</v>
      </c>
      <c r="Q82" s="93">
        <v>2</v>
      </c>
      <c r="R82" s="43">
        <v>2</v>
      </c>
      <c r="S82" s="32">
        <v>0</v>
      </c>
      <c r="T82" s="16">
        <v>0</v>
      </c>
      <c r="U82" s="68">
        <v>0</v>
      </c>
      <c r="V82" s="16">
        <v>0</v>
      </c>
      <c r="W82" s="16">
        <v>0</v>
      </c>
      <c r="X82" s="42">
        <v>0</v>
      </c>
      <c r="Y82" s="16">
        <v>2</v>
      </c>
      <c r="Z82" s="16">
        <v>0</v>
      </c>
      <c r="AA82" s="16">
        <v>0</v>
      </c>
      <c r="AB82" s="16">
        <v>0</v>
      </c>
      <c r="AC82" s="16">
        <v>0</v>
      </c>
      <c r="AD82" s="42">
        <v>2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42">
        <v>0</v>
      </c>
      <c r="AK82" s="31">
        <v>2</v>
      </c>
      <c r="AL82" s="31">
        <v>3</v>
      </c>
      <c r="AM82" s="68">
        <v>0</v>
      </c>
      <c r="AN82" s="31">
        <v>3</v>
      </c>
      <c r="AO82" s="16">
        <v>0</v>
      </c>
      <c r="AP82" s="43">
        <v>2.6666666666666665</v>
      </c>
      <c r="AQ82" s="32">
        <v>3</v>
      </c>
      <c r="AR82" s="16">
        <v>0</v>
      </c>
      <c r="AS82" s="30">
        <v>0</v>
      </c>
      <c r="AT82" s="16">
        <v>0</v>
      </c>
      <c r="AU82" s="16">
        <v>0</v>
      </c>
      <c r="AV82" s="42">
        <v>3</v>
      </c>
      <c r="AW82" s="16">
        <v>0</v>
      </c>
      <c r="AX82" s="16">
        <v>0</v>
      </c>
      <c r="AY82" s="34">
        <v>0</v>
      </c>
      <c r="AZ82" s="32">
        <v>3</v>
      </c>
      <c r="BA82" s="70">
        <v>2</v>
      </c>
      <c r="BB82" s="98">
        <v>2.5</v>
      </c>
    </row>
    <row r="83" spans="1:54" ht="23.1" customHeight="1" x14ac:dyDescent="0.3">
      <c r="A83" s="99">
        <v>79</v>
      </c>
      <c r="B83" s="76" t="s">
        <v>199</v>
      </c>
      <c r="C83" s="77" t="s">
        <v>200</v>
      </c>
      <c r="D83" s="76" t="s">
        <v>450</v>
      </c>
      <c r="E83" s="76" t="s">
        <v>161</v>
      </c>
      <c r="F83" s="76" t="str">
        <f>REPT(CHAR(160),10)&amp;Working!$E83</f>
        <v>          B</v>
      </c>
      <c r="G83" s="78">
        <v>0</v>
      </c>
      <c r="H83" s="78">
        <v>0</v>
      </c>
      <c r="I83" s="78">
        <v>3</v>
      </c>
      <c r="J83" s="78">
        <v>0</v>
      </c>
      <c r="K83" s="79">
        <v>0</v>
      </c>
      <c r="L83" s="80">
        <v>3</v>
      </c>
      <c r="M83" s="78">
        <v>0</v>
      </c>
      <c r="N83" s="78">
        <v>2</v>
      </c>
      <c r="O83" s="78">
        <v>2</v>
      </c>
      <c r="P83" s="81">
        <v>0</v>
      </c>
      <c r="Q83" s="82">
        <v>2</v>
      </c>
      <c r="R83" s="43">
        <v>2</v>
      </c>
      <c r="S83" s="32">
        <v>0</v>
      </c>
      <c r="T83" s="34">
        <v>0</v>
      </c>
      <c r="U83" s="65">
        <v>0</v>
      </c>
      <c r="V83" s="34">
        <v>0</v>
      </c>
      <c r="W83" s="34">
        <v>0</v>
      </c>
      <c r="X83" s="42">
        <v>0</v>
      </c>
      <c r="Y83" s="34">
        <v>3</v>
      </c>
      <c r="Z83" s="34">
        <v>0</v>
      </c>
      <c r="AA83" s="34">
        <v>0</v>
      </c>
      <c r="AB83" s="34">
        <v>0</v>
      </c>
      <c r="AC83" s="34">
        <v>0</v>
      </c>
      <c r="AD83" s="42">
        <v>3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42">
        <v>0</v>
      </c>
      <c r="AK83" s="33">
        <v>3</v>
      </c>
      <c r="AL83" s="33">
        <v>3</v>
      </c>
      <c r="AM83" s="65">
        <v>0</v>
      </c>
      <c r="AN83" s="33">
        <v>3</v>
      </c>
      <c r="AO83" s="34">
        <v>0</v>
      </c>
      <c r="AP83" s="43">
        <v>3</v>
      </c>
      <c r="AQ83" s="32">
        <v>3</v>
      </c>
      <c r="AR83" s="34">
        <v>0</v>
      </c>
      <c r="AS83" s="71">
        <v>0</v>
      </c>
      <c r="AT83" s="34">
        <v>0</v>
      </c>
      <c r="AU83" s="34">
        <v>0</v>
      </c>
      <c r="AV83" s="42">
        <v>3</v>
      </c>
      <c r="AW83" s="34">
        <v>0</v>
      </c>
      <c r="AX83" s="34">
        <v>0</v>
      </c>
      <c r="AY83" s="34">
        <v>0</v>
      </c>
      <c r="AZ83" s="32">
        <v>3</v>
      </c>
      <c r="BA83" s="70">
        <v>3</v>
      </c>
      <c r="BB83" s="98">
        <v>3</v>
      </c>
    </row>
    <row r="84" spans="1:54" ht="23.1" customHeight="1" x14ac:dyDescent="0.3">
      <c r="A84" s="100">
        <v>80</v>
      </c>
      <c r="B84" s="83" t="s">
        <v>332</v>
      </c>
      <c r="C84" s="84" t="s">
        <v>333</v>
      </c>
      <c r="D84" s="83" t="s">
        <v>450</v>
      </c>
      <c r="E84" s="83" t="s">
        <v>493</v>
      </c>
      <c r="F84" s="83" t="str">
        <f>REPT(CHAR(160),10)&amp;Working!$E84</f>
        <v>          C</v>
      </c>
      <c r="G84" s="74">
        <v>0</v>
      </c>
      <c r="H84" s="74">
        <v>0</v>
      </c>
      <c r="I84" s="74">
        <v>2</v>
      </c>
      <c r="J84" s="74">
        <v>0</v>
      </c>
      <c r="K84" s="85">
        <v>0</v>
      </c>
      <c r="L84" s="80">
        <v>2</v>
      </c>
      <c r="M84" s="74">
        <v>0</v>
      </c>
      <c r="N84" s="74">
        <v>2</v>
      </c>
      <c r="O84" s="74">
        <v>2</v>
      </c>
      <c r="P84" s="86">
        <v>0</v>
      </c>
      <c r="Q84" s="87">
        <v>2</v>
      </c>
      <c r="R84" s="43">
        <v>2</v>
      </c>
      <c r="S84" s="32">
        <v>0</v>
      </c>
      <c r="T84" s="16">
        <v>0</v>
      </c>
      <c r="U84" s="64">
        <v>0</v>
      </c>
      <c r="V84" s="16">
        <v>0</v>
      </c>
      <c r="W84" s="16">
        <v>0</v>
      </c>
      <c r="X84" s="42">
        <v>0</v>
      </c>
      <c r="Y84" s="16">
        <v>2</v>
      </c>
      <c r="Z84" s="16">
        <v>0</v>
      </c>
      <c r="AA84" s="16">
        <v>0</v>
      </c>
      <c r="AB84" s="16">
        <v>0</v>
      </c>
      <c r="AC84" s="16">
        <v>0</v>
      </c>
      <c r="AD84" s="42">
        <v>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42">
        <v>0</v>
      </c>
      <c r="AK84" s="24">
        <v>2</v>
      </c>
      <c r="AL84" s="24">
        <v>3</v>
      </c>
      <c r="AM84" s="64">
        <v>0</v>
      </c>
      <c r="AN84" s="24">
        <v>3</v>
      </c>
      <c r="AO84" s="16">
        <v>0</v>
      </c>
      <c r="AP84" s="43">
        <v>2.6666666666666665</v>
      </c>
      <c r="AQ84" s="32">
        <v>3</v>
      </c>
      <c r="AR84" s="16">
        <v>0</v>
      </c>
      <c r="AS84" s="31">
        <v>0</v>
      </c>
      <c r="AT84" s="16">
        <v>0</v>
      </c>
      <c r="AU84" s="16">
        <v>0</v>
      </c>
      <c r="AV84" s="42">
        <v>3</v>
      </c>
      <c r="AW84" s="16">
        <v>0</v>
      </c>
      <c r="AX84" s="16">
        <v>0</v>
      </c>
      <c r="AY84" s="34">
        <v>0</v>
      </c>
      <c r="AZ84" s="32">
        <v>3</v>
      </c>
      <c r="BA84" s="70">
        <v>3</v>
      </c>
      <c r="BB84" s="98">
        <v>3</v>
      </c>
    </row>
    <row r="85" spans="1:54" ht="23.1" customHeight="1" x14ac:dyDescent="0.3">
      <c r="A85" s="99">
        <v>81</v>
      </c>
      <c r="B85" s="76" t="s">
        <v>334</v>
      </c>
      <c r="C85" s="77" t="s">
        <v>335</v>
      </c>
      <c r="D85" s="76" t="s">
        <v>542</v>
      </c>
      <c r="E85" s="76" t="s">
        <v>493</v>
      </c>
      <c r="F85" s="76" t="str">
        <f>REPT(CHAR(160),10)&amp;Working!$E85</f>
        <v>          C</v>
      </c>
      <c r="G85" s="78">
        <v>0</v>
      </c>
      <c r="H85" s="78">
        <v>0</v>
      </c>
      <c r="I85" s="78">
        <v>3</v>
      </c>
      <c r="J85" s="78">
        <v>0</v>
      </c>
      <c r="K85" s="79">
        <v>0</v>
      </c>
      <c r="L85" s="80">
        <v>3</v>
      </c>
      <c r="M85" s="78">
        <v>0</v>
      </c>
      <c r="N85" s="78">
        <v>3</v>
      </c>
      <c r="O85" s="78">
        <v>2</v>
      </c>
      <c r="P85" s="81">
        <v>0</v>
      </c>
      <c r="Q85" s="82">
        <v>2</v>
      </c>
      <c r="R85" s="43">
        <v>2.3333333333333335</v>
      </c>
      <c r="S85" s="32">
        <v>0</v>
      </c>
      <c r="T85" s="34">
        <v>0</v>
      </c>
      <c r="U85" s="65">
        <v>0</v>
      </c>
      <c r="V85" s="34">
        <v>0</v>
      </c>
      <c r="W85" s="34">
        <v>0</v>
      </c>
      <c r="X85" s="42">
        <v>0</v>
      </c>
      <c r="Y85" s="34">
        <v>2</v>
      </c>
      <c r="Z85" s="34">
        <v>0</v>
      </c>
      <c r="AA85" s="34">
        <v>0</v>
      </c>
      <c r="AB85" s="34">
        <v>0</v>
      </c>
      <c r="AC85" s="34">
        <v>0</v>
      </c>
      <c r="AD85" s="42">
        <v>2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42">
        <v>0</v>
      </c>
      <c r="AK85" s="33">
        <v>2</v>
      </c>
      <c r="AL85" s="33">
        <v>3</v>
      </c>
      <c r="AM85" s="65">
        <v>0</v>
      </c>
      <c r="AN85" s="33">
        <v>3</v>
      </c>
      <c r="AO85" s="34">
        <v>0</v>
      </c>
      <c r="AP85" s="43">
        <v>2.6666666666666665</v>
      </c>
      <c r="AQ85" s="32">
        <v>3</v>
      </c>
      <c r="AR85" s="34">
        <v>0</v>
      </c>
      <c r="AS85" s="71">
        <v>0</v>
      </c>
      <c r="AT85" s="34">
        <v>0</v>
      </c>
      <c r="AU85" s="34">
        <v>0</v>
      </c>
      <c r="AV85" s="42">
        <v>3</v>
      </c>
      <c r="AW85" s="34">
        <v>0</v>
      </c>
      <c r="AX85" s="34">
        <v>0</v>
      </c>
      <c r="AY85" s="34">
        <v>0</v>
      </c>
      <c r="AZ85" s="32">
        <v>3</v>
      </c>
      <c r="BA85" s="70">
        <v>3</v>
      </c>
      <c r="BB85" s="98">
        <v>3</v>
      </c>
    </row>
    <row r="86" spans="1:54" ht="23.1" customHeight="1" x14ac:dyDescent="0.3">
      <c r="A86" s="100">
        <v>82</v>
      </c>
      <c r="B86" s="83" t="s">
        <v>81</v>
      </c>
      <c r="C86" s="84" t="s">
        <v>82</v>
      </c>
      <c r="D86" s="83" t="s">
        <v>542</v>
      </c>
      <c r="E86" s="83" t="s">
        <v>35</v>
      </c>
      <c r="F86" s="83" t="str">
        <f>REPT(CHAR(160),10)&amp;Working!$E86</f>
        <v>          A</v>
      </c>
      <c r="G86" s="74">
        <v>0</v>
      </c>
      <c r="H86" s="74">
        <v>0</v>
      </c>
      <c r="I86" s="74">
        <v>4</v>
      </c>
      <c r="J86" s="74">
        <v>0</v>
      </c>
      <c r="K86" s="85">
        <v>0</v>
      </c>
      <c r="L86" s="80">
        <v>4</v>
      </c>
      <c r="M86" s="74">
        <v>0</v>
      </c>
      <c r="N86" s="74">
        <v>4</v>
      </c>
      <c r="O86" s="74">
        <v>4</v>
      </c>
      <c r="P86" s="88">
        <v>0</v>
      </c>
      <c r="Q86" s="89">
        <v>4</v>
      </c>
      <c r="R86" s="43">
        <v>4</v>
      </c>
      <c r="S86" s="32">
        <v>0</v>
      </c>
      <c r="T86" s="16">
        <v>0</v>
      </c>
      <c r="U86" s="66">
        <v>0</v>
      </c>
      <c r="V86" s="16">
        <v>0</v>
      </c>
      <c r="W86" s="16">
        <v>0</v>
      </c>
      <c r="X86" s="42">
        <v>0</v>
      </c>
      <c r="Y86" s="16">
        <v>4</v>
      </c>
      <c r="Z86" s="16">
        <v>0</v>
      </c>
      <c r="AA86" s="16">
        <v>0</v>
      </c>
      <c r="AB86" s="16">
        <v>0</v>
      </c>
      <c r="AC86" s="16">
        <v>0</v>
      </c>
      <c r="AD86" s="42">
        <v>4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42">
        <v>0</v>
      </c>
      <c r="AK86" s="29">
        <v>4</v>
      </c>
      <c r="AL86" s="29">
        <v>5</v>
      </c>
      <c r="AM86" s="66">
        <v>0</v>
      </c>
      <c r="AN86" s="29">
        <v>5</v>
      </c>
      <c r="AO86" s="16">
        <v>0</v>
      </c>
      <c r="AP86" s="43">
        <v>4.666666666666667</v>
      </c>
      <c r="AQ86" s="32">
        <v>5</v>
      </c>
      <c r="AR86" s="16">
        <v>0</v>
      </c>
      <c r="AS86" s="30">
        <v>0</v>
      </c>
      <c r="AT86" s="16">
        <v>0</v>
      </c>
      <c r="AU86" s="16">
        <v>0</v>
      </c>
      <c r="AV86" s="42">
        <v>5</v>
      </c>
      <c r="AW86" s="16">
        <v>0</v>
      </c>
      <c r="AX86" s="16">
        <v>0</v>
      </c>
      <c r="AY86" s="34">
        <v>0</v>
      </c>
      <c r="AZ86" s="32">
        <v>3</v>
      </c>
      <c r="BA86" s="70">
        <v>4</v>
      </c>
      <c r="BB86" s="98">
        <v>3.5</v>
      </c>
    </row>
    <row r="87" spans="1:54" ht="23.1" customHeight="1" x14ac:dyDescent="0.3">
      <c r="A87" s="99">
        <v>83</v>
      </c>
      <c r="B87" s="76" t="s">
        <v>70</v>
      </c>
      <c r="C87" s="77" t="s">
        <v>71</v>
      </c>
      <c r="D87" s="76" t="s">
        <v>450</v>
      </c>
      <c r="E87" s="76" t="s">
        <v>35</v>
      </c>
      <c r="F87" s="76" t="str">
        <f>REPT(CHAR(160),10)&amp;Working!$E87</f>
        <v>          A</v>
      </c>
      <c r="G87" s="78">
        <v>0</v>
      </c>
      <c r="H87" s="78">
        <v>0</v>
      </c>
      <c r="I87" s="78">
        <v>3</v>
      </c>
      <c r="J87" s="78">
        <v>0</v>
      </c>
      <c r="K87" s="79">
        <v>0</v>
      </c>
      <c r="L87" s="80">
        <v>3</v>
      </c>
      <c r="M87" s="78">
        <v>0</v>
      </c>
      <c r="N87" s="78">
        <v>4</v>
      </c>
      <c r="O87" s="78">
        <v>3</v>
      </c>
      <c r="P87" s="81">
        <v>0</v>
      </c>
      <c r="Q87" s="82">
        <v>3</v>
      </c>
      <c r="R87" s="43">
        <v>3.3333333333333335</v>
      </c>
      <c r="S87" s="32">
        <v>0</v>
      </c>
      <c r="T87" s="34">
        <v>0</v>
      </c>
      <c r="U87" s="65">
        <v>0</v>
      </c>
      <c r="V87" s="34">
        <v>0</v>
      </c>
      <c r="W87" s="34">
        <v>0</v>
      </c>
      <c r="X87" s="42">
        <v>0</v>
      </c>
      <c r="Y87" s="34">
        <v>4</v>
      </c>
      <c r="Z87" s="34">
        <v>0</v>
      </c>
      <c r="AA87" s="34">
        <v>0</v>
      </c>
      <c r="AB87" s="34">
        <v>0</v>
      </c>
      <c r="AC87" s="34">
        <v>0</v>
      </c>
      <c r="AD87" s="42">
        <v>4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42">
        <v>0</v>
      </c>
      <c r="AK87" s="33">
        <v>2</v>
      </c>
      <c r="AL87" s="33">
        <v>3</v>
      </c>
      <c r="AM87" s="65">
        <v>0</v>
      </c>
      <c r="AN87" s="33">
        <v>3</v>
      </c>
      <c r="AO87" s="34">
        <v>0</v>
      </c>
      <c r="AP87" s="43">
        <v>2.6666666666666665</v>
      </c>
      <c r="AQ87" s="32">
        <v>3</v>
      </c>
      <c r="AR87" s="34">
        <v>0</v>
      </c>
      <c r="AS87" s="71">
        <v>0</v>
      </c>
      <c r="AT87" s="34">
        <v>0</v>
      </c>
      <c r="AU87" s="34">
        <v>0</v>
      </c>
      <c r="AV87" s="42">
        <v>3</v>
      </c>
      <c r="AW87" s="34">
        <v>0</v>
      </c>
      <c r="AX87" s="34">
        <v>0</v>
      </c>
      <c r="AY87" s="34">
        <v>0</v>
      </c>
      <c r="AZ87" s="32">
        <v>2</v>
      </c>
      <c r="BA87" s="70">
        <v>4</v>
      </c>
      <c r="BB87" s="98">
        <v>3</v>
      </c>
    </row>
    <row r="88" spans="1:54" ht="23.1" customHeight="1" x14ac:dyDescent="0.3">
      <c r="A88" s="100">
        <v>84</v>
      </c>
      <c r="B88" s="83" t="s">
        <v>336</v>
      </c>
      <c r="C88" s="84" t="s">
        <v>337</v>
      </c>
      <c r="D88" s="83" t="s">
        <v>450</v>
      </c>
      <c r="E88" s="83" t="s">
        <v>493</v>
      </c>
      <c r="F88" s="83" t="str">
        <f>REPT(CHAR(160),10)&amp;Working!$E88</f>
        <v>          C</v>
      </c>
      <c r="G88" s="74">
        <v>0</v>
      </c>
      <c r="H88" s="74">
        <v>0</v>
      </c>
      <c r="I88" s="74">
        <v>4</v>
      </c>
      <c r="J88" s="74">
        <v>0</v>
      </c>
      <c r="K88" s="85">
        <v>0</v>
      </c>
      <c r="L88" s="80">
        <v>4</v>
      </c>
      <c r="M88" s="74">
        <v>0</v>
      </c>
      <c r="N88" s="74">
        <v>3</v>
      </c>
      <c r="O88" s="74">
        <v>3</v>
      </c>
      <c r="P88" s="86">
        <v>0</v>
      </c>
      <c r="Q88" s="87">
        <v>3</v>
      </c>
      <c r="R88" s="43">
        <v>3</v>
      </c>
      <c r="S88" s="32">
        <v>0</v>
      </c>
      <c r="T88" s="16">
        <v>0</v>
      </c>
      <c r="U88" s="64">
        <v>0</v>
      </c>
      <c r="V88" s="16">
        <v>0</v>
      </c>
      <c r="W88" s="16">
        <v>0</v>
      </c>
      <c r="X88" s="42">
        <v>0</v>
      </c>
      <c r="Y88" s="16">
        <v>4</v>
      </c>
      <c r="Z88" s="16">
        <v>0</v>
      </c>
      <c r="AA88" s="16">
        <v>0</v>
      </c>
      <c r="AB88" s="16">
        <v>0</v>
      </c>
      <c r="AC88" s="16">
        <v>0</v>
      </c>
      <c r="AD88" s="42">
        <v>4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42">
        <v>0</v>
      </c>
      <c r="AK88" s="24">
        <v>3</v>
      </c>
      <c r="AL88" s="24">
        <v>4</v>
      </c>
      <c r="AM88" s="64">
        <v>0</v>
      </c>
      <c r="AN88" s="24">
        <v>4</v>
      </c>
      <c r="AO88" s="16">
        <v>0</v>
      </c>
      <c r="AP88" s="43">
        <v>3.6666666666666665</v>
      </c>
      <c r="AQ88" s="32">
        <v>3</v>
      </c>
      <c r="AR88" s="16">
        <v>0</v>
      </c>
      <c r="AS88" s="31">
        <v>0</v>
      </c>
      <c r="AT88" s="16">
        <v>0</v>
      </c>
      <c r="AU88" s="16">
        <v>0</v>
      </c>
      <c r="AV88" s="42">
        <v>3</v>
      </c>
      <c r="AW88" s="16">
        <v>0</v>
      </c>
      <c r="AX88" s="16">
        <v>0</v>
      </c>
      <c r="AY88" s="34">
        <v>0</v>
      </c>
      <c r="AZ88" s="32">
        <v>3</v>
      </c>
      <c r="BA88" s="70">
        <v>4</v>
      </c>
      <c r="BB88" s="98">
        <v>3.5</v>
      </c>
    </row>
    <row r="89" spans="1:54" ht="23.1" customHeight="1" x14ac:dyDescent="0.3">
      <c r="A89" s="99">
        <v>85</v>
      </c>
      <c r="B89" s="76" t="s">
        <v>134</v>
      </c>
      <c r="C89" s="77" t="s">
        <v>135</v>
      </c>
      <c r="D89" s="76" t="s">
        <v>450</v>
      </c>
      <c r="E89" s="76" t="s">
        <v>35</v>
      </c>
      <c r="F89" s="76" t="str">
        <f>REPT(CHAR(160),10)&amp;Working!$E89</f>
        <v>          A</v>
      </c>
      <c r="G89" s="78">
        <v>0</v>
      </c>
      <c r="H89" s="78">
        <v>0</v>
      </c>
      <c r="I89" s="78">
        <v>3</v>
      </c>
      <c r="J89" s="78">
        <v>0</v>
      </c>
      <c r="K89" s="79">
        <v>0</v>
      </c>
      <c r="L89" s="80">
        <v>3</v>
      </c>
      <c r="M89" s="78">
        <v>0</v>
      </c>
      <c r="N89" s="78">
        <v>3</v>
      </c>
      <c r="O89" s="78">
        <v>3</v>
      </c>
      <c r="P89" s="81">
        <v>0</v>
      </c>
      <c r="Q89" s="82">
        <v>3</v>
      </c>
      <c r="R89" s="43">
        <v>3</v>
      </c>
      <c r="S89" s="32">
        <v>0</v>
      </c>
      <c r="T89" s="34">
        <v>0</v>
      </c>
      <c r="U89" s="65">
        <v>0</v>
      </c>
      <c r="V89" s="34">
        <v>0</v>
      </c>
      <c r="W89" s="34">
        <v>0</v>
      </c>
      <c r="X89" s="42">
        <v>0</v>
      </c>
      <c r="Y89" s="34">
        <v>3</v>
      </c>
      <c r="Z89" s="34">
        <v>0</v>
      </c>
      <c r="AA89" s="34">
        <v>0</v>
      </c>
      <c r="AB89" s="34">
        <v>0</v>
      </c>
      <c r="AC89" s="34">
        <v>0</v>
      </c>
      <c r="AD89" s="42">
        <v>3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42">
        <v>0</v>
      </c>
      <c r="AK89" s="33">
        <v>3</v>
      </c>
      <c r="AL89" s="33">
        <v>4</v>
      </c>
      <c r="AM89" s="65">
        <v>0</v>
      </c>
      <c r="AN89" s="33">
        <v>4</v>
      </c>
      <c r="AO89" s="34">
        <v>0</v>
      </c>
      <c r="AP89" s="43">
        <v>3.6666666666666665</v>
      </c>
      <c r="AQ89" s="32">
        <v>4</v>
      </c>
      <c r="AR89" s="34">
        <v>0</v>
      </c>
      <c r="AS89" s="71">
        <v>0</v>
      </c>
      <c r="AT89" s="34">
        <v>0</v>
      </c>
      <c r="AU89" s="34">
        <v>0</v>
      </c>
      <c r="AV89" s="42">
        <v>4</v>
      </c>
      <c r="AW89" s="34">
        <v>0</v>
      </c>
      <c r="AX89" s="34">
        <v>0</v>
      </c>
      <c r="AY89" s="34">
        <v>0</v>
      </c>
      <c r="AZ89" s="32">
        <v>3</v>
      </c>
      <c r="BA89" s="70">
        <v>4</v>
      </c>
      <c r="BB89" s="98">
        <v>3.5</v>
      </c>
    </row>
    <row r="90" spans="1:54" ht="23.1" customHeight="1" x14ac:dyDescent="0.3">
      <c r="A90" s="100">
        <v>86</v>
      </c>
      <c r="B90" s="83" t="s">
        <v>215</v>
      </c>
      <c r="C90" s="84" t="s">
        <v>216</v>
      </c>
      <c r="D90" s="83" t="s">
        <v>450</v>
      </c>
      <c r="E90" s="83" t="s">
        <v>161</v>
      </c>
      <c r="F90" s="83" t="str">
        <f>REPT(CHAR(160),10)&amp;Working!$E90</f>
        <v>          B</v>
      </c>
      <c r="G90" s="74">
        <v>0</v>
      </c>
      <c r="H90" s="74">
        <v>0</v>
      </c>
      <c r="I90" s="74">
        <v>2</v>
      </c>
      <c r="J90" s="74">
        <v>0</v>
      </c>
      <c r="K90" s="85">
        <v>0</v>
      </c>
      <c r="L90" s="80">
        <v>2</v>
      </c>
      <c r="M90" s="74">
        <v>0</v>
      </c>
      <c r="N90" s="74">
        <v>2</v>
      </c>
      <c r="O90" s="74">
        <v>2</v>
      </c>
      <c r="P90" s="86">
        <v>0</v>
      </c>
      <c r="Q90" s="87">
        <v>2</v>
      </c>
      <c r="R90" s="43">
        <v>2</v>
      </c>
      <c r="S90" s="32">
        <v>0</v>
      </c>
      <c r="T90" s="16">
        <v>0</v>
      </c>
      <c r="U90" s="64">
        <v>0</v>
      </c>
      <c r="V90" s="16">
        <v>0</v>
      </c>
      <c r="W90" s="16">
        <v>0</v>
      </c>
      <c r="X90" s="42">
        <v>0</v>
      </c>
      <c r="Y90" s="16">
        <v>2</v>
      </c>
      <c r="Z90" s="16">
        <v>0</v>
      </c>
      <c r="AA90" s="16">
        <v>0</v>
      </c>
      <c r="AB90" s="16">
        <v>0</v>
      </c>
      <c r="AC90" s="16">
        <v>0</v>
      </c>
      <c r="AD90" s="42">
        <v>2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42">
        <v>0</v>
      </c>
      <c r="AK90" s="24">
        <v>2</v>
      </c>
      <c r="AL90" s="24">
        <v>3</v>
      </c>
      <c r="AM90" s="64">
        <v>0</v>
      </c>
      <c r="AN90" s="24">
        <v>3</v>
      </c>
      <c r="AO90" s="16">
        <v>0</v>
      </c>
      <c r="AP90" s="43">
        <v>2.6666666666666665</v>
      </c>
      <c r="AQ90" s="32">
        <v>3</v>
      </c>
      <c r="AR90" s="16">
        <v>0</v>
      </c>
      <c r="AS90" s="30">
        <v>0</v>
      </c>
      <c r="AT90" s="16">
        <v>0</v>
      </c>
      <c r="AU90" s="16">
        <v>0</v>
      </c>
      <c r="AV90" s="42">
        <v>3</v>
      </c>
      <c r="AW90" s="16">
        <v>0</v>
      </c>
      <c r="AX90" s="16">
        <v>0</v>
      </c>
      <c r="AY90" s="34">
        <v>0</v>
      </c>
      <c r="AZ90" s="32">
        <v>3</v>
      </c>
      <c r="BA90" s="70">
        <v>2</v>
      </c>
      <c r="BB90" s="98">
        <v>2.5</v>
      </c>
    </row>
    <row r="91" spans="1:54" ht="23.1" customHeight="1" x14ac:dyDescent="0.3">
      <c r="A91" s="99">
        <v>87</v>
      </c>
      <c r="B91" s="76" t="s">
        <v>338</v>
      </c>
      <c r="C91" s="77" t="s">
        <v>339</v>
      </c>
      <c r="D91" s="76" t="s">
        <v>542</v>
      </c>
      <c r="E91" s="76" t="s">
        <v>493</v>
      </c>
      <c r="F91" s="76" t="str">
        <f>REPT(CHAR(160),10)&amp;Working!$E91</f>
        <v>          C</v>
      </c>
      <c r="G91" s="78">
        <v>0</v>
      </c>
      <c r="H91" s="78">
        <v>0</v>
      </c>
      <c r="I91" s="78">
        <v>3</v>
      </c>
      <c r="J91" s="78">
        <v>0</v>
      </c>
      <c r="K91" s="79">
        <v>0</v>
      </c>
      <c r="L91" s="80">
        <v>3</v>
      </c>
      <c r="M91" s="78">
        <v>0</v>
      </c>
      <c r="N91" s="78">
        <v>3</v>
      </c>
      <c r="O91" s="78">
        <v>3</v>
      </c>
      <c r="P91" s="81">
        <v>0</v>
      </c>
      <c r="Q91" s="82">
        <v>3</v>
      </c>
      <c r="R91" s="43">
        <v>3</v>
      </c>
      <c r="S91" s="32">
        <v>0</v>
      </c>
      <c r="T91" s="34">
        <v>0</v>
      </c>
      <c r="U91" s="65">
        <v>0</v>
      </c>
      <c r="V91" s="34">
        <v>0</v>
      </c>
      <c r="W91" s="34">
        <v>0</v>
      </c>
      <c r="X91" s="42">
        <v>0</v>
      </c>
      <c r="Y91" s="34">
        <v>3</v>
      </c>
      <c r="Z91" s="34">
        <v>0</v>
      </c>
      <c r="AA91" s="34">
        <v>0</v>
      </c>
      <c r="AB91" s="34">
        <v>0</v>
      </c>
      <c r="AC91" s="34">
        <v>0</v>
      </c>
      <c r="AD91" s="42">
        <v>3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42">
        <v>0</v>
      </c>
      <c r="AK91" s="33">
        <v>4</v>
      </c>
      <c r="AL91" s="33">
        <v>3</v>
      </c>
      <c r="AM91" s="65">
        <v>0</v>
      </c>
      <c r="AN91" s="33">
        <v>4</v>
      </c>
      <c r="AO91" s="34">
        <v>0</v>
      </c>
      <c r="AP91" s="43">
        <v>3.6666666666666665</v>
      </c>
      <c r="AQ91" s="32">
        <v>3</v>
      </c>
      <c r="AR91" s="34">
        <v>0</v>
      </c>
      <c r="AS91" s="71">
        <v>0</v>
      </c>
      <c r="AT91" s="34">
        <v>0</v>
      </c>
      <c r="AU91" s="34">
        <v>0</v>
      </c>
      <c r="AV91" s="42">
        <v>3</v>
      </c>
      <c r="AW91" s="34">
        <v>0</v>
      </c>
      <c r="AX91" s="34">
        <v>0</v>
      </c>
      <c r="AY91" s="34">
        <v>0</v>
      </c>
      <c r="AZ91" s="32">
        <v>2</v>
      </c>
      <c r="BA91" s="70">
        <v>4</v>
      </c>
      <c r="BB91" s="98">
        <v>3</v>
      </c>
    </row>
    <row r="92" spans="1:54" ht="23.1" customHeight="1" x14ac:dyDescent="0.3">
      <c r="A92" s="100">
        <v>88</v>
      </c>
      <c r="B92" s="83" t="s">
        <v>136</v>
      </c>
      <c r="C92" s="84" t="s">
        <v>137</v>
      </c>
      <c r="D92" s="83" t="s">
        <v>542</v>
      </c>
      <c r="E92" s="83" t="s">
        <v>35</v>
      </c>
      <c r="F92" s="83" t="str">
        <f>REPT(CHAR(160),10)&amp;Working!$E92</f>
        <v>          A</v>
      </c>
      <c r="G92" s="74">
        <v>0</v>
      </c>
      <c r="H92" s="74">
        <v>0</v>
      </c>
      <c r="I92" s="74">
        <v>3</v>
      </c>
      <c r="J92" s="74">
        <v>0</v>
      </c>
      <c r="K92" s="85">
        <v>0</v>
      </c>
      <c r="L92" s="80">
        <v>3</v>
      </c>
      <c r="M92" s="74">
        <v>0</v>
      </c>
      <c r="N92" s="74">
        <v>3</v>
      </c>
      <c r="O92" s="74">
        <v>3</v>
      </c>
      <c r="P92" s="86">
        <v>0</v>
      </c>
      <c r="Q92" s="87">
        <v>3</v>
      </c>
      <c r="R92" s="43">
        <v>3</v>
      </c>
      <c r="S92" s="32">
        <v>0</v>
      </c>
      <c r="T92" s="16">
        <v>0</v>
      </c>
      <c r="U92" s="64">
        <v>0</v>
      </c>
      <c r="V92" s="16">
        <v>0</v>
      </c>
      <c r="W92" s="16">
        <v>0</v>
      </c>
      <c r="X92" s="42">
        <v>0</v>
      </c>
      <c r="Y92" s="16">
        <v>3</v>
      </c>
      <c r="Z92" s="16">
        <v>0</v>
      </c>
      <c r="AA92" s="16">
        <v>0</v>
      </c>
      <c r="AB92" s="16">
        <v>0</v>
      </c>
      <c r="AC92" s="16">
        <v>0</v>
      </c>
      <c r="AD92" s="42">
        <v>3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42">
        <v>0</v>
      </c>
      <c r="AK92" s="24">
        <v>3</v>
      </c>
      <c r="AL92" s="24">
        <v>4</v>
      </c>
      <c r="AM92" s="64">
        <v>0</v>
      </c>
      <c r="AN92" s="24">
        <v>4</v>
      </c>
      <c r="AO92" s="16">
        <v>0</v>
      </c>
      <c r="AP92" s="43">
        <v>3.6666666666666665</v>
      </c>
      <c r="AQ92" s="32">
        <v>3</v>
      </c>
      <c r="AR92" s="16">
        <v>0</v>
      </c>
      <c r="AS92" s="30">
        <v>0</v>
      </c>
      <c r="AT92" s="16">
        <v>0</v>
      </c>
      <c r="AU92" s="16">
        <v>0</v>
      </c>
      <c r="AV92" s="42">
        <v>3</v>
      </c>
      <c r="AW92" s="16">
        <v>0</v>
      </c>
      <c r="AX92" s="16">
        <v>0</v>
      </c>
      <c r="AY92" s="34">
        <v>0</v>
      </c>
      <c r="AZ92" s="32">
        <v>4</v>
      </c>
      <c r="BA92" s="70">
        <v>3</v>
      </c>
      <c r="BB92" s="98">
        <v>3.5</v>
      </c>
    </row>
    <row r="93" spans="1:54" ht="23.1" customHeight="1" x14ac:dyDescent="0.3">
      <c r="A93" s="99">
        <v>89</v>
      </c>
      <c r="B93" s="76" t="s">
        <v>62</v>
      </c>
      <c r="C93" s="77" t="s">
        <v>63</v>
      </c>
      <c r="D93" s="76" t="s">
        <v>542</v>
      </c>
      <c r="E93" s="76" t="s">
        <v>35</v>
      </c>
      <c r="F93" s="76" t="str">
        <f>REPT(CHAR(160),10)&amp;Working!$E93</f>
        <v>          A</v>
      </c>
      <c r="G93" s="78">
        <v>0</v>
      </c>
      <c r="H93" s="78">
        <v>0</v>
      </c>
      <c r="I93" s="78">
        <v>3</v>
      </c>
      <c r="J93" s="78">
        <v>0</v>
      </c>
      <c r="K93" s="79">
        <v>0</v>
      </c>
      <c r="L93" s="80">
        <v>3</v>
      </c>
      <c r="M93" s="78">
        <v>0</v>
      </c>
      <c r="N93" s="78">
        <v>3</v>
      </c>
      <c r="O93" s="78">
        <v>2</v>
      </c>
      <c r="P93" s="81">
        <v>0</v>
      </c>
      <c r="Q93" s="82">
        <v>2</v>
      </c>
      <c r="R93" s="43">
        <v>2.3333333333333335</v>
      </c>
      <c r="S93" s="32">
        <v>0</v>
      </c>
      <c r="T93" s="34">
        <v>0</v>
      </c>
      <c r="U93" s="65">
        <v>0</v>
      </c>
      <c r="V93" s="34">
        <v>0</v>
      </c>
      <c r="W93" s="34">
        <v>0</v>
      </c>
      <c r="X93" s="42">
        <v>0</v>
      </c>
      <c r="Y93" s="34">
        <v>3</v>
      </c>
      <c r="Z93" s="34">
        <v>0</v>
      </c>
      <c r="AA93" s="34">
        <v>0</v>
      </c>
      <c r="AB93" s="34">
        <v>0</v>
      </c>
      <c r="AC93" s="34">
        <v>0</v>
      </c>
      <c r="AD93" s="42">
        <v>3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42">
        <v>0</v>
      </c>
      <c r="AK93" s="33">
        <v>2</v>
      </c>
      <c r="AL93" s="33">
        <v>3</v>
      </c>
      <c r="AM93" s="65">
        <v>0</v>
      </c>
      <c r="AN93" s="33">
        <v>3</v>
      </c>
      <c r="AO93" s="34">
        <v>0</v>
      </c>
      <c r="AP93" s="43">
        <v>2.6666666666666665</v>
      </c>
      <c r="AQ93" s="32">
        <v>3</v>
      </c>
      <c r="AR93" s="34">
        <v>0</v>
      </c>
      <c r="AS93" s="71">
        <v>0</v>
      </c>
      <c r="AT93" s="34">
        <v>0</v>
      </c>
      <c r="AU93" s="34">
        <v>0</v>
      </c>
      <c r="AV93" s="42">
        <v>3</v>
      </c>
      <c r="AW93" s="34">
        <v>0</v>
      </c>
      <c r="AX93" s="34">
        <v>0</v>
      </c>
      <c r="AY93" s="34">
        <v>0</v>
      </c>
      <c r="AZ93" s="32">
        <v>2</v>
      </c>
      <c r="BA93" s="70">
        <v>2</v>
      </c>
      <c r="BB93" s="98">
        <v>2</v>
      </c>
    </row>
    <row r="94" spans="1:54" ht="23.1" customHeight="1" x14ac:dyDescent="0.3">
      <c r="A94" s="100">
        <v>90</v>
      </c>
      <c r="B94" s="83" t="s">
        <v>38</v>
      </c>
      <c r="C94" s="84" t="s">
        <v>39</v>
      </c>
      <c r="D94" s="83" t="s">
        <v>544</v>
      </c>
      <c r="E94" s="83" t="s">
        <v>35</v>
      </c>
      <c r="F94" s="83" t="str">
        <f>REPT(CHAR(160),10)&amp;Working!$E94</f>
        <v>          A</v>
      </c>
      <c r="G94" s="74">
        <v>0</v>
      </c>
      <c r="H94" s="74">
        <v>0</v>
      </c>
      <c r="I94" s="74">
        <v>3</v>
      </c>
      <c r="J94" s="74">
        <v>0</v>
      </c>
      <c r="K94" s="85">
        <v>0</v>
      </c>
      <c r="L94" s="80">
        <v>3</v>
      </c>
      <c r="M94" s="74">
        <v>0</v>
      </c>
      <c r="N94" s="74">
        <v>4</v>
      </c>
      <c r="O94" s="74">
        <v>3</v>
      </c>
      <c r="P94" s="86">
        <v>0</v>
      </c>
      <c r="Q94" s="87">
        <v>3</v>
      </c>
      <c r="R94" s="43">
        <v>3.3333333333333335</v>
      </c>
      <c r="S94" s="32">
        <v>0</v>
      </c>
      <c r="T94" s="16">
        <v>0</v>
      </c>
      <c r="U94" s="64">
        <v>0</v>
      </c>
      <c r="V94" s="16">
        <v>0</v>
      </c>
      <c r="W94" s="16">
        <v>0</v>
      </c>
      <c r="X94" s="42">
        <v>0</v>
      </c>
      <c r="Y94" s="16">
        <v>4</v>
      </c>
      <c r="Z94" s="16">
        <v>0</v>
      </c>
      <c r="AA94" s="16">
        <v>0</v>
      </c>
      <c r="AB94" s="16">
        <v>0</v>
      </c>
      <c r="AC94" s="16">
        <v>0</v>
      </c>
      <c r="AD94" s="42">
        <v>4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42">
        <v>0</v>
      </c>
      <c r="AK94" s="24">
        <v>4</v>
      </c>
      <c r="AL94" s="24">
        <v>3</v>
      </c>
      <c r="AM94" s="64">
        <v>0</v>
      </c>
      <c r="AN94" s="24">
        <v>3</v>
      </c>
      <c r="AO94" s="16">
        <v>0</v>
      </c>
      <c r="AP94" s="43">
        <v>3.3333333333333335</v>
      </c>
      <c r="AQ94" s="32">
        <v>3</v>
      </c>
      <c r="AR94" s="16">
        <v>0</v>
      </c>
      <c r="AS94" s="30">
        <v>0</v>
      </c>
      <c r="AT94" s="16">
        <v>0</v>
      </c>
      <c r="AU94" s="16">
        <v>0</v>
      </c>
      <c r="AV94" s="42">
        <v>3</v>
      </c>
      <c r="AW94" s="16">
        <v>0</v>
      </c>
      <c r="AX94" s="16">
        <v>0</v>
      </c>
      <c r="AY94" s="34">
        <v>0</v>
      </c>
      <c r="AZ94" s="32">
        <v>2</v>
      </c>
      <c r="BA94" s="70">
        <v>4</v>
      </c>
      <c r="BB94" s="98">
        <v>3</v>
      </c>
    </row>
    <row r="95" spans="1:54" ht="23.1" customHeight="1" x14ac:dyDescent="0.3">
      <c r="A95" s="99">
        <v>91</v>
      </c>
      <c r="B95" s="76" t="s">
        <v>138</v>
      </c>
      <c r="C95" s="77" t="s">
        <v>139</v>
      </c>
      <c r="D95" s="76" t="s">
        <v>450</v>
      </c>
      <c r="E95" s="76" t="s">
        <v>35</v>
      </c>
      <c r="F95" s="76" t="str">
        <f>REPT(CHAR(160),10)&amp;Working!$E95</f>
        <v>          A</v>
      </c>
      <c r="G95" s="78">
        <v>0</v>
      </c>
      <c r="H95" s="78">
        <v>0</v>
      </c>
      <c r="I95" s="78">
        <v>2</v>
      </c>
      <c r="J95" s="78">
        <v>0</v>
      </c>
      <c r="K95" s="79">
        <v>0</v>
      </c>
      <c r="L95" s="80">
        <v>2</v>
      </c>
      <c r="M95" s="78">
        <v>0</v>
      </c>
      <c r="N95" s="78">
        <v>2</v>
      </c>
      <c r="O95" s="78">
        <v>2</v>
      </c>
      <c r="P95" s="81">
        <v>0</v>
      </c>
      <c r="Q95" s="82">
        <v>2</v>
      </c>
      <c r="R95" s="43">
        <v>2</v>
      </c>
      <c r="S95" s="32">
        <v>0</v>
      </c>
      <c r="T95" s="34">
        <v>0</v>
      </c>
      <c r="U95" s="65">
        <v>0</v>
      </c>
      <c r="V95" s="34">
        <v>0</v>
      </c>
      <c r="W95" s="34">
        <v>0</v>
      </c>
      <c r="X95" s="42">
        <v>0</v>
      </c>
      <c r="Y95" s="34">
        <v>2</v>
      </c>
      <c r="Z95" s="34">
        <v>0</v>
      </c>
      <c r="AA95" s="34">
        <v>0</v>
      </c>
      <c r="AB95" s="34">
        <v>0</v>
      </c>
      <c r="AC95" s="34">
        <v>0</v>
      </c>
      <c r="AD95" s="42">
        <v>2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42">
        <v>0</v>
      </c>
      <c r="AK95" s="33">
        <v>2</v>
      </c>
      <c r="AL95" s="33">
        <v>2</v>
      </c>
      <c r="AM95" s="65">
        <v>0</v>
      </c>
      <c r="AN95" s="33">
        <v>2</v>
      </c>
      <c r="AO95" s="34">
        <v>0</v>
      </c>
      <c r="AP95" s="43">
        <v>2</v>
      </c>
      <c r="AQ95" s="32">
        <v>3</v>
      </c>
      <c r="AR95" s="34">
        <v>0</v>
      </c>
      <c r="AS95" s="71">
        <v>0</v>
      </c>
      <c r="AT95" s="34">
        <v>0</v>
      </c>
      <c r="AU95" s="34">
        <v>0</v>
      </c>
      <c r="AV95" s="42">
        <v>3</v>
      </c>
      <c r="AW95" s="34">
        <v>0</v>
      </c>
      <c r="AX95" s="34">
        <v>0</v>
      </c>
      <c r="AY95" s="34">
        <v>0</v>
      </c>
      <c r="AZ95" s="32">
        <v>3</v>
      </c>
      <c r="BA95" s="70">
        <v>2</v>
      </c>
      <c r="BB95" s="98">
        <v>2.5</v>
      </c>
    </row>
    <row r="96" spans="1:54" ht="23.1" customHeight="1" x14ac:dyDescent="0.3">
      <c r="A96" s="100">
        <v>92</v>
      </c>
      <c r="B96" s="83" t="s">
        <v>231</v>
      </c>
      <c r="C96" s="84" t="s">
        <v>232</v>
      </c>
      <c r="D96" s="83" t="s">
        <v>450</v>
      </c>
      <c r="E96" s="83" t="s">
        <v>161</v>
      </c>
      <c r="F96" s="83" t="str">
        <f>REPT(CHAR(160),10)&amp;Working!$E96</f>
        <v>          B</v>
      </c>
      <c r="G96" s="74">
        <v>0</v>
      </c>
      <c r="H96" s="74">
        <v>0</v>
      </c>
      <c r="I96" s="74">
        <v>4</v>
      </c>
      <c r="J96" s="74">
        <v>0</v>
      </c>
      <c r="K96" s="85">
        <v>0</v>
      </c>
      <c r="L96" s="80">
        <v>4</v>
      </c>
      <c r="M96" s="74">
        <v>0</v>
      </c>
      <c r="N96" s="74">
        <v>3</v>
      </c>
      <c r="O96" s="74">
        <v>4</v>
      </c>
      <c r="P96" s="92">
        <v>0</v>
      </c>
      <c r="Q96" s="93">
        <v>4</v>
      </c>
      <c r="R96" s="43">
        <v>3.6666666666666665</v>
      </c>
      <c r="S96" s="32">
        <v>0</v>
      </c>
      <c r="T96" s="16">
        <v>0</v>
      </c>
      <c r="U96" s="68">
        <v>0</v>
      </c>
      <c r="V96" s="16">
        <v>0</v>
      </c>
      <c r="W96" s="16">
        <v>0</v>
      </c>
      <c r="X96" s="42">
        <v>0</v>
      </c>
      <c r="Y96" s="16">
        <v>3</v>
      </c>
      <c r="Z96" s="16">
        <v>0</v>
      </c>
      <c r="AA96" s="16">
        <v>0</v>
      </c>
      <c r="AB96" s="16">
        <v>0</v>
      </c>
      <c r="AC96" s="16">
        <v>0</v>
      </c>
      <c r="AD96" s="42">
        <v>3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42">
        <v>0</v>
      </c>
      <c r="AK96" s="31">
        <v>3</v>
      </c>
      <c r="AL96" s="31">
        <v>3</v>
      </c>
      <c r="AM96" s="68">
        <v>0</v>
      </c>
      <c r="AN96" s="31">
        <v>4</v>
      </c>
      <c r="AO96" s="16">
        <v>0</v>
      </c>
      <c r="AP96" s="43">
        <v>3.3333333333333335</v>
      </c>
      <c r="AQ96" s="32">
        <v>4</v>
      </c>
      <c r="AR96" s="16">
        <v>0</v>
      </c>
      <c r="AS96" s="30">
        <v>0</v>
      </c>
      <c r="AT96" s="16">
        <v>0</v>
      </c>
      <c r="AU96" s="16">
        <v>0</v>
      </c>
      <c r="AV96" s="42">
        <v>4</v>
      </c>
      <c r="AW96" s="16">
        <v>0</v>
      </c>
      <c r="AX96" s="16">
        <v>0</v>
      </c>
      <c r="AY96" s="34">
        <v>0</v>
      </c>
      <c r="AZ96" s="32">
        <v>2</v>
      </c>
      <c r="BA96" s="70">
        <v>4</v>
      </c>
      <c r="BB96" s="98">
        <v>3</v>
      </c>
    </row>
    <row r="97" spans="1:54" ht="23.1" customHeight="1" x14ac:dyDescent="0.3">
      <c r="A97" s="99">
        <v>93</v>
      </c>
      <c r="B97" s="76" t="s">
        <v>340</v>
      </c>
      <c r="C97" s="77" t="s">
        <v>341</v>
      </c>
      <c r="D97" s="76" t="s">
        <v>542</v>
      </c>
      <c r="E97" s="76" t="s">
        <v>493</v>
      </c>
      <c r="F97" s="76" t="str">
        <f>REPT(CHAR(160),10)&amp;Working!$E97</f>
        <v>          C</v>
      </c>
      <c r="G97" s="78">
        <v>0</v>
      </c>
      <c r="H97" s="78">
        <v>0</v>
      </c>
      <c r="I97" s="78">
        <v>2</v>
      </c>
      <c r="J97" s="78">
        <v>0</v>
      </c>
      <c r="K97" s="79">
        <v>0</v>
      </c>
      <c r="L97" s="80">
        <v>2</v>
      </c>
      <c r="M97" s="78">
        <v>0</v>
      </c>
      <c r="N97" s="78">
        <v>2</v>
      </c>
      <c r="O97" s="78">
        <v>2</v>
      </c>
      <c r="P97" s="81">
        <v>0</v>
      </c>
      <c r="Q97" s="82">
        <v>2</v>
      </c>
      <c r="R97" s="43">
        <v>2</v>
      </c>
      <c r="S97" s="32">
        <v>0</v>
      </c>
      <c r="T97" s="34">
        <v>0</v>
      </c>
      <c r="U97" s="65">
        <v>0</v>
      </c>
      <c r="V97" s="34">
        <v>0</v>
      </c>
      <c r="W97" s="34">
        <v>0</v>
      </c>
      <c r="X97" s="42">
        <v>0</v>
      </c>
      <c r="Y97" s="34">
        <v>2</v>
      </c>
      <c r="Z97" s="34">
        <v>0</v>
      </c>
      <c r="AA97" s="34">
        <v>0</v>
      </c>
      <c r="AB97" s="34">
        <v>0</v>
      </c>
      <c r="AC97" s="34">
        <v>0</v>
      </c>
      <c r="AD97" s="42">
        <v>2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42">
        <v>0</v>
      </c>
      <c r="AK97" s="33">
        <v>2</v>
      </c>
      <c r="AL97" s="33">
        <v>2</v>
      </c>
      <c r="AM97" s="65">
        <v>0</v>
      </c>
      <c r="AN97" s="33">
        <v>2</v>
      </c>
      <c r="AO97" s="34">
        <v>0</v>
      </c>
      <c r="AP97" s="43">
        <v>2</v>
      </c>
      <c r="AQ97" s="32">
        <v>2</v>
      </c>
      <c r="AR97" s="34">
        <v>0</v>
      </c>
      <c r="AS97" s="71">
        <v>0</v>
      </c>
      <c r="AT97" s="34">
        <v>0</v>
      </c>
      <c r="AU97" s="34">
        <v>0</v>
      </c>
      <c r="AV97" s="42">
        <v>2</v>
      </c>
      <c r="AW97" s="34">
        <v>0</v>
      </c>
      <c r="AX97" s="34">
        <v>0</v>
      </c>
      <c r="AY97" s="34">
        <v>0</v>
      </c>
      <c r="AZ97" s="32">
        <v>3</v>
      </c>
      <c r="BA97" s="70">
        <v>3</v>
      </c>
      <c r="BB97" s="98">
        <v>3</v>
      </c>
    </row>
    <row r="98" spans="1:54" ht="23.1" customHeight="1" x14ac:dyDescent="0.3">
      <c r="A98" s="100">
        <v>94</v>
      </c>
      <c r="B98" s="83" t="s">
        <v>97</v>
      </c>
      <c r="C98" s="84" t="s">
        <v>98</v>
      </c>
      <c r="D98" s="83" t="s">
        <v>450</v>
      </c>
      <c r="E98" s="83" t="s">
        <v>35</v>
      </c>
      <c r="F98" s="83" t="str">
        <f>REPT(CHAR(160),10)&amp;Working!$E98</f>
        <v>          A</v>
      </c>
      <c r="G98" s="74">
        <v>0</v>
      </c>
      <c r="H98" s="74">
        <v>0</v>
      </c>
      <c r="I98" s="74">
        <v>2</v>
      </c>
      <c r="J98" s="74">
        <v>0</v>
      </c>
      <c r="K98" s="85">
        <v>0</v>
      </c>
      <c r="L98" s="80">
        <v>2</v>
      </c>
      <c r="M98" s="74">
        <v>0</v>
      </c>
      <c r="N98" s="74">
        <v>2</v>
      </c>
      <c r="O98" s="74">
        <v>2</v>
      </c>
      <c r="P98" s="86">
        <v>0</v>
      </c>
      <c r="Q98" s="87">
        <v>2</v>
      </c>
      <c r="R98" s="43">
        <v>2</v>
      </c>
      <c r="S98" s="32">
        <v>0</v>
      </c>
      <c r="T98" s="16">
        <v>0</v>
      </c>
      <c r="U98" s="64">
        <v>0</v>
      </c>
      <c r="V98" s="16">
        <v>0</v>
      </c>
      <c r="W98" s="16">
        <v>0</v>
      </c>
      <c r="X98" s="42">
        <v>0</v>
      </c>
      <c r="Y98" s="16">
        <v>2</v>
      </c>
      <c r="Z98" s="16">
        <v>0</v>
      </c>
      <c r="AA98" s="16">
        <v>0</v>
      </c>
      <c r="AB98" s="16">
        <v>0</v>
      </c>
      <c r="AC98" s="16">
        <v>0</v>
      </c>
      <c r="AD98" s="42">
        <v>2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42">
        <v>0</v>
      </c>
      <c r="AK98" s="24">
        <v>2</v>
      </c>
      <c r="AL98" s="24">
        <v>2</v>
      </c>
      <c r="AM98" s="64">
        <v>0</v>
      </c>
      <c r="AN98" s="24">
        <v>2</v>
      </c>
      <c r="AO98" s="16">
        <v>0</v>
      </c>
      <c r="AP98" s="43">
        <v>2</v>
      </c>
      <c r="AQ98" s="32">
        <v>2</v>
      </c>
      <c r="AR98" s="16">
        <v>0</v>
      </c>
      <c r="AS98" s="31">
        <v>0</v>
      </c>
      <c r="AT98" s="16">
        <v>0</v>
      </c>
      <c r="AU98" s="16">
        <v>0</v>
      </c>
      <c r="AV98" s="42">
        <v>2</v>
      </c>
      <c r="AW98" s="16">
        <v>0</v>
      </c>
      <c r="AX98" s="16">
        <v>0</v>
      </c>
      <c r="AY98" s="34">
        <v>0</v>
      </c>
      <c r="AZ98" s="32">
        <v>3</v>
      </c>
      <c r="BA98" s="70">
        <v>2</v>
      </c>
      <c r="BB98" s="98">
        <v>2.5</v>
      </c>
    </row>
    <row r="99" spans="1:54" ht="23.1" customHeight="1" x14ac:dyDescent="0.3">
      <c r="A99" s="99">
        <v>95</v>
      </c>
      <c r="B99" s="76" t="s">
        <v>249</v>
      </c>
      <c r="C99" s="77" t="s">
        <v>250</v>
      </c>
      <c r="D99" s="76" t="s">
        <v>450</v>
      </c>
      <c r="E99" s="76" t="s">
        <v>161</v>
      </c>
      <c r="F99" s="76" t="str">
        <f>REPT(CHAR(160),10)&amp;Working!$E99</f>
        <v>          B</v>
      </c>
      <c r="G99" s="78">
        <v>0</v>
      </c>
      <c r="H99" s="78">
        <v>0</v>
      </c>
      <c r="I99" s="78">
        <v>3</v>
      </c>
      <c r="J99" s="78">
        <v>0</v>
      </c>
      <c r="K99" s="79">
        <v>0</v>
      </c>
      <c r="L99" s="80">
        <v>3</v>
      </c>
      <c r="M99" s="78">
        <v>0</v>
      </c>
      <c r="N99" s="78">
        <v>3</v>
      </c>
      <c r="O99" s="78">
        <v>4</v>
      </c>
      <c r="P99" s="81">
        <v>0</v>
      </c>
      <c r="Q99" s="82">
        <v>4</v>
      </c>
      <c r="R99" s="43">
        <v>3.6666666666666665</v>
      </c>
      <c r="S99" s="32">
        <v>0</v>
      </c>
      <c r="T99" s="34">
        <v>0</v>
      </c>
      <c r="U99" s="65">
        <v>0</v>
      </c>
      <c r="V99" s="34">
        <v>0</v>
      </c>
      <c r="W99" s="34">
        <v>0</v>
      </c>
      <c r="X99" s="42">
        <v>0</v>
      </c>
      <c r="Y99" s="34">
        <v>2</v>
      </c>
      <c r="Z99" s="34">
        <v>0</v>
      </c>
      <c r="AA99" s="34">
        <v>0</v>
      </c>
      <c r="AB99" s="34">
        <v>0</v>
      </c>
      <c r="AC99" s="34">
        <v>0</v>
      </c>
      <c r="AD99" s="42">
        <v>2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42">
        <v>0</v>
      </c>
      <c r="AK99" s="33">
        <v>2</v>
      </c>
      <c r="AL99" s="33">
        <v>2</v>
      </c>
      <c r="AM99" s="65">
        <v>0</v>
      </c>
      <c r="AN99" s="33">
        <v>3</v>
      </c>
      <c r="AO99" s="34">
        <v>0</v>
      </c>
      <c r="AP99" s="43">
        <v>2.3333333333333335</v>
      </c>
      <c r="AQ99" s="32">
        <v>3</v>
      </c>
      <c r="AR99" s="34">
        <v>0</v>
      </c>
      <c r="AS99" s="71">
        <v>0</v>
      </c>
      <c r="AT99" s="34">
        <v>0</v>
      </c>
      <c r="AU99" s="34">
        <v>0</v>
      </c>
      <c r="AV99" s="42">
        <v>3</v>
      </c>
      <c r="AW99" s="34">
        <v>0</v>
      </c>
      <c r="AX99" s="34">
        <v>0</v>
      </c>
      <c r="AY99" s="34">
        <v>0</v>
      </c>
      <c r="AZ99" s="32">
        <v>2</v>
      </c>
      <c r="BA99" s="70">
        <v>4</v>
      </c>
      <c r="BB99" s="98">
        <v>3</v>
      </c>
    </row>
    <row r="100" spans="1:54" ht="23.1" customHeight="1" x14ac:dyDescent="0.3">
      <c r="A100" s="100">
        <v>96</v>
      </c>
      <c r="B100" s="83" t="s">
        <v>342</v>
      </c>
      <c r="C100" s="84" t="s">
        <v>343</v>
      </c>
      <c r="D100" s="83" t="s">
        <v>450</v>
      </c>
      <c r="E100" s="83" t="s">
        <v>493</v>
      </c>
      <c r="F100" s="83" t="str">
        <f>REPT(CHAR(160),10)&amp;Working!$E100</f>
        <v>          C</v>
      </c>
      <c r="G100" s="74">
        <v>0</v>
      </c>
      <c r="H100" s="74">
        <v>0</v>
      </c>
      <c r="I100" s="74">
        <v>2</v>
      </c>
      <c r="J100" s="74">
        <v>0</v>
      </c>
      <c r="K100" s="85">
        <v>0</v>
      </c>
      <c r="L100" s="80">
        <v>2</v>
      </c>
      <c r="M100" s="74">
        <v>0</v>
      </c>
      <c r="N100" s="74">
        <v>2</v>
      </c>
      <c r="O100" s="74">
        <v>2</v>
      </c>
      <c r="P100" s="88">
        <v>0</v>
      </c>
      <c r="Q100" s="89">
        <v>2</v>
      </c>
      <c r="R100" s="43">
        <v>2</v>
      </c>
      <c r="S100" s="32">
        <v>0</v>
      </c>
      <c r="T100" s="16">
        <v>0</v>
      </c>
      <c r="U100" s="66">
        <v>0</v>
      </c>
      <c r="V100" s="16">
        <v>0</v>
      </c>
      <c r="W100" s="16">
        <v>0</v>
      </c>
      <c r="X100" s="42">
        <v>0</v>
      </c>
      <c r="Y100" s="16">
        <v>2</v>
      </c>
      <c r="Z100" s="16">
        <v>0</v>
      </c>
      <c r="AA100" s="16">
        <v>0</v>
      </c>
      <c r="AB100" s="16">
        <v>0</v>
      </c>
      <c r="AC100" s="16">
        <v>0</v>
      </c>
      <c r="AD100" s="42">
        <v>2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42">
        <v>0</v>
      </c>
      <c r="AK100" s="29">
        <v>2</v>
      </c>
      <c r="AL100" s="29">
        <v>3</v>
      </c>
      <c r="AM100" s="66">
        <v>0</v>
      </c>
      <c r="AN100" s="29">
        <v>3</v>
      </c>
      <c r="AO100" s="16">
        <v>0</v>
      </c>
      <c r="AP100" s="43">
        <v>2.6666666666666665</v>
      </c>
      <c r="AQ100" s="32">
        <v>3</v>
      </c>
      <c r="AR100" s="16">
        <v>0</v>
      </c>
      <c r="AS100" s="30">
        <v>0</v>
      </c>
      <c r="AT100" s="16">
        <v>0</v>
      </c>
      <c r="AU100" s="16">
        <v>0</v>
      </c>
      <c r="AV100" s="42">
        <v>3</v>
      </c>
      <c r="AW100" s="16">
        <v>0</v>
      </c>
      <c r="AX100" s="16">
        <v>0</v>
      </c>
      <c r="AY100" s="34">
        <v>0</v>
      </c>
      <c r="AZ100" s="32">
        <v>3</v>
      </c>
      <c r="BA100" s="70">
        <v>3</v>
      </c>
      <c r="BB100" s="98">
        <v>3</v>
      </c>
    </row>
    <row r="101" spans="1:54" ht="23.1" customHeight="1" x14ac:dyDescent="0.3">
      <c r="A101" s="99">
        <v>97</v>
      </c>
      <c r="B101" s="76" t="s">
        <v>184</v>
      </c>
      <c r="C101" s="77" t="s">
        <v>185</v>
      </c>
      <c r="D101" s="76" t="s">
        <v>542</v>
      </c>
      <c r="E101" s="76" t="s">
        <v>161</v>
      </c>
      <c r="F101" s="76" t="str">
        <f>REPT(CHAR(160),10)&amp;Working!$E101</f>
        <v>          B</v>
      </c>
      <c r="G101" s="78">
        <v>0</v>
      </c>
      <c r="H101" s="78">
        <v>0</v>
      </c>
      <c r="I101" s="78">
        <v>2</v>
      </c>
      <c r="J101" s="78">
        <v>0</v>
      </c>
      <c r="K101" s="79">
        <v>0</v>
      </c>
      <c r="L101" s="80">
        <v>2</v>
      </c>
      <c r="M101" s="78">
        <v>0</v>
      </c>
      <c r="N101" s="78">
        <v>2</v>
      </c>
      <c r="O101" s="78">
        <v>3</v>
      </c>
      <c r="P101" s="81">
        <v>0</v>
      </c>
      <c r="Q101" s="82">
        <v>3</v>
      </c>
      <c r="R101" s="43">
        <v>2.6666666666666665</v>
      </c>
      <c r="S101" s="32">
        <v>0</v>
      </c>
      <c r="T101" s="34">
        <v>0</v>
      </c>
      <c r="U101" s="65">
        <v>0</v>
      </c>
      <c r="V101" s="34">
        <v>0</v>
      </c>
      <c r="W101" s="34">
        <v>0</v>
      </c>
      <c r="X101" s="42">
        <v>0</v>
      </c>
      <c r="Y101" s="34">
        <v>2</v>
      </c>
      <c r="Z101" s="34">
        <v>0</v>
      </c>
      <c r="AA101" s="34">
        <v>0</v>
      </c>
      <c r="AB101" s="34">
        <v>0</v>
      </c>
      <c r="AC101" s="34">
        <v>0</v>
      </c>
      <c r="AD101" s="42">
        <v>2</v>
      </c>
      <c r="AE101" s="34">
        <v>0</v>
      </c>
      <c r="AF101" s="34">
        <v>0</v>
      </c>
      <c r="AG101" s="34">
        <v>0</v>
      </c>
      <c r="AH101" s="34">
        <v>0</v>
      </c>
      <c r="AI101" s="34">
        <v>0</v>
      </c>
      <c r="AJ101" s="42">
        <v>0</v>
      </c>
      <c r="AK101" s="33">
        <v>3</v>
      </c>
      <c r="AL101" s="33">
        <v>4</v>
      </c>
      <c r="AM101" s="65">
        <v>0</v>
      </c>
      <c r="AN101" s="33">
        <v>4</v>
      </c>
      <c r="AO101" s="34">
        <v>0</v>
      </c>
      <c r="AP101" s="43">
        <v>3.6666666666666665</v>
      </c>
      <c r="AQ101" s="32">
        <v>3</v>
      </c>
      <c r="AR101" s="34">
        <v>0</v>
      </c>
      <c r="AS101" s="71">
        <v>0</v>
      </c>
      <c r="AT101" s="34">
        <v>0</v>
      </c>
      <c r="AU101" s="34">
        <v>0</v>
      </c>
      <c r="AV101" s="42">
        <v>3</v>
      </c>
      <c r="AW101" s="34">
        <v>0</v>
      </c>
      <c r="AX101" s="34">
        <v>0</v>
      </c>
      <c r="AY101" s="34">
        <v>0</v>
      </c>
      <c r="AZ101" s="32">
        <v>3</v>
      </c>
      <c r="BA101" s="70">
        <v>3</v>
      </c>
      <c r="BB101" s="98">
        <v>3</v>
      </c>
    </row>
    <row r="102" spans="1:54" ht="23.1" customHeight="1" x14ac:dyDescent="0.3">
      <c r="A102" s="100">
        <v>98</v>
      </c>
      <c r="B102" s="83" t="s">
        <v>344</v>
      </c>
      <c r="C102" s="84" t="s">
        <v>345</v>
      </c>
      <c r="D102" s="83" t="s">
        <v>542</v>
      </c>
      <c r="E102" s="83" t="s">
        <v>493</v>
      </c>
      <c r="F102" s="83" t="str">
        <f>REPT(CHAR(160),10)&amp;Working!$E102</f>
        <v>          C</v>
      </c>
      <c r="G102" s="74">
        <v>0</v>
      </c>
      <c r="H102" s="74">
        <v>0</v>
      </c>
      <c r="I102" s="74">
        <v>3</v>
      </c>
      <c r="J102" s="74">
        <v>0</v>
      </c>
      <c r="K102" s="85">
        <v>0</v>
      </c>
      <c r="L102" s="80">
        <v>3</v>
      </c>
      <c r="M102" s="74">
        <v>0</v>
      </c>
      <c r="N102" s="74">
        <v>3</v>
      </c>
      <c r="O102" s="74">
        <v>3</v>
      </c>
      <c r="P102" s="86">
        <v>0</v>
      </c>
      <c r="Q102" s="87">
        <v>3</v>
      </c>
      <c r="R102" s="43">
        <v>3</v>
      </c>
      <c r="S102" s="32">
        <v>0</v>
      </c>
      <c r="T102" s="16">
        <v>0</v>
      </c>
      <c r="U102" s="64">
        <v>0</v>
      </c>
      <c r="V102" s="16">
        <v>0</v>
      </c>
      <c r="W102" s="16">
        <v>0</v>
      </c>
      <c r="X102" s="42">
        <v>0</v>
      </c>
      <c r="Y102" s="16">
        <v>3</v>
      </c>
      <c r="Z102" s="16">
        <v>0</v>
      </c>
      <c r="AA102" s="16">
        <v>0</v>
      </c>
      <c r="AB102" s="16">
        <v>0</v>
      </c>
      <c r="AC102" s="16">
        <v>0</v>
      </c>
      <c r="AD102" s="42">
        <v>3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42">
        <v>0</v>
      </c>
      <c r="AK102" s="24">
        <v>3</v>
      </c>
      <c r="AL102" s="24">
        <v>3</v>
      </c>
      <c r="AM102" s="64">
        <v>0</v>
      </c>
      <c r="AN102" s="24">
        <v>3</v>
      </c>
      <c r="AO102" s="16">
        <v>0</v>
      </c>
      <c r="AP102" s="43">
        <v>3</v>
      </c>
      <c r="AQ102" s="32">
        <v>3</v>
      </c>
      <c r="AR102" s="16">
        <v>0</v>
      </c>
      <c r="AS102" s="31">
        <v>0</v>
      </c>
      <c r="AT102" s="16">
        <v>0</v>
      </c>
      <c r="AU102" s="16">
        <v>0</v>
      </c>
      <c r="AV102" s="42">
        <v>3</v>
      </c>
      <c r="AW102" s="16">
        <v>0</v>
      </c>
      <c r="AX102" s="16">
        <v>0</v>
      </c>
      <c r="AY102" s="34">
        <v>0</v>
      </c>
      <c r="AZ102" s="32">
        <v>3</v>
      </c>
      <c r="BA102" s="70">
        <v>3</v>
      </c>
      <c r="BB102" s="98">
        <v>3</v>
      </c>
    </row>
    <row r="103" spans="1:54" ht="23.1" customHeight="1" x14ac:dyDescent="0.3">
      <c r="A103" s="99">
        <v>99</v>
      </c>
      <c r="B103" s="76" t="s">
        <v>263</v>
      </c>
      <c r="C103" s="77" t="s">
        <v>264</v>
      </c>
      <c r="D103" s="76" t="s">
        <v>450</v>
      </c>
      <c r="E103" s="76" t="s">
        <v>161</v>
      </c>
      <c r="F103" s="76" t="str">
        <f>REPT(CHAR(160),10)&amp;Working!$E103</f>
        <v>          B</v>
      </c>
      <c r="G103" s="78">
        <v>0</v>
      </c>
      <c r="H103" s="78">
        <v>0</v>
      </c>
      <c r="I103" s="78">
        <v>2</v>
      </c>
      <c r="J103" s="78">
        <v>0</v>
      </c>
      <c r="K103" s="79">
        <v>0</v>
      </c>
      <c r="L103" s="80">
        <v>2</v>
      </c>
      <c r="M103" s="78">
        <v>0</v>
      </c>
      <c r="N103" s="78">
        <v>3</v>
      </c>
      <c r="O103" s="78">
        <v>2</v>
      </c>
      <c r="P103" s="81">
        <v>0</v>
      </c>
      <c r="Q103" s="82">
        <v>2</v>
      </c>
      <c r="R103" s="43">
        <v>2.3333333333333335</v>
      </c>
      <c r="S103" s="32">
        <v>0</v>
      </c>
      <c r="T103" s="34">
        <v>0</v>
      </c>
      <c r="U103" s="65">
        <v>0</v>
      </c>
      <c r="V103" s="34">
        <v>0</v>
      </c>
      <c r="W103" s="34">
        <v>0</v>
      </c>
      <c r="X103" s="42">
        <v>0</v>
      </c>
      <c r="Y103" s="34">
        <v>2</v>
      </c>
      <c r="Z103" s="34">
        <v>0</v>
      </c>
      <c r="AA103" s="34">
        <v>0</v>
      </c>
      <c r="AB103" s="34">
        <v>0</v>
      </c>
      <c r="AC103" s="34">
        <v>0</v>
      </c>
      <c r="AD103" s="42">
        <v>2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42">
        <v>0</v>
      </c>
      <c r="AK103" s="33">
        <v>2</v>
      </c>
      <c r="AL103" s="33">
        <v>3</v>
      </c>
      <c r="AM103" s="65">
        <v>0</v>
      </c>
      <c r="AN103" s="33">
        <v>3</v>
      </c>
      <c r="AO103" s="34">
        <v>0</v>
      </c>
      <c r="AP103" s="43">
        <v>2.6666666666666665</v>
      </c>
      <c r="AQ103" s="32">
        <v>2</v>
      </c>
      <c r="AR103" s="34">
        <v>0</v>
      </c>
      <c r="AS103" s="71">
        <v>0</v>
      </c>
      <c r="AT103" s="34">
        <v>0</v>
      </c>
      <c r="AU103" s="34">
        <v>0</v>
      </c>
      <c r="AV103" s="42">
        <v>2</v>
      </c>
      <c r="AW103" s="34">
        <v>0</v>
      </c>
      <c r="AX103" s="34">
        <v>0</v>
      </c>
      <c r="AY103" s="34">
        <v>0</v>
      </c>
      <c r="AZ103" s="32">
        <v>1</v>
      </c>
      <c r="BA103" s="70">
        <v>3</v>
      </c>
      <c r="BB103" s="98">
        <v>2</v>
      </c>
    </row>
    <row r="104" spans="1:54" ht="23.1" customHeight="1" x14ac:dyDescent="0.3">
      <c r="A104" s="100">
        <v>100</v>
      </c>
      <c r="B104" s="83" t="s">
        <v>140</v>
      </c>
      <c r="C104" s="84" t="s">
        <v>141</v>
      </c>
      <c r="D104" s="83" t="s">
        <v>450</v>
      </c>
      <c r="E104" s="83" t="s">
        <v>35</v>
      </c>
      <c r="F104" s="83" t="str">
        <f>REPT(CHAR(160),10)&amp;Working!$E104</f>
        <v>          A</v>
      </c>
      <c r="G104" s="74">
        <v>0</v>
      </c>
      <c r="H104" s="74">
        <v>0</v>
      </c>
      <c r="I104" s="74">
        <v>2</v>
      </c>
      <c r="J104" s="74">
        <v>0</v>
      </c>
      <c r="K104" s="85">
        <v>0</v>
      </c>
      <c r="L104" s="80">
        <v>2</v>
      </c>
      <c r="M104" s="74">
        <v>0</v>
      </c>
      <c r="N104" s="74">
        <v>2</v>
      </c>
      <c r="O104" s="74">
        <v>2</v>
      </c>
      <c r="P104" s="86">
        <v>0</v>
      </c>
      <c r="Q104" s="87">
        <v>2</v>
      </c>
      <c r="R104" s="43">
        <v>2</v>
      </c>
      <c r="S104" s="32">
        <v>0</v>
      </c>
      <c r="T104" s="16">
        <v>0</v>
      </c>
      <c r="U104" s="64">
        <v>0</v>
      </c>
      <c r="V104" s="16">
        <v>0</v>
      </c>
      <c r="W104" s="16">
        <v>0</v>
      </c>
      <c r="X104" s="42">
        <v>0</v>
      </c>
      <c r="Y104" s="16">
        <v>2</v>
      </c>
      <c r="Z104" s="16">
        <v>0</v>
      </c>
      <c r="AA104" s="16">
        <v>0</v>
      </c>
      <c r="AB104" s="16">
        <v>0</v>
      </c>
      <c r="AC104" s="16">
        <v>0</v>
      </c>
      <c r="AD104" s="42">
        <v>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42">
        <v>0</v>
      </c>
      <c r="AK104" s="24">
        <v>3</v>
      </c>
      <c r="AL104" s="24">
        <v>2</v>
      </c>
      <c r="AM104" s="64">
        <v>0</v>
      </c>
      <c r="AN104" s="24">
        <v>2</v>
      </c>
      <c r="AO104" s="16">
        <v>0</v>
      </c>
      <c r="AP104" s="43">
        <v>2.3333333333333335</v>
      </c>
      <c r="AQ104" s="32">
        <v>3</v>
      </c>
      <c r="AR104" s="16">
        <v>0</v>
      </c>
      <c r="AS104" s="30">
        <v>0</v>
      </c>
      <c r="AT104" s="16">
        <v>0</v>
      </c>
      <c r="AU104" s="16">
        <v>0</v>
      </c>
      <c r="AV104" s="42">
        <v>3</v>
      </c>
      <c r="AW104" s="16">
        <v>0</v>
      </c>
      <c r="AX104" s="16">
        <v>0</v>
      </c>
      <c r="AY104" s="34">
        <v>0</v>
      </c>
      <c r="AZ104" s="32">
        <v>2</v>
      </c>
      <c r="BA104" s="70">
        <v>3</v>
      </c>
      <c r="BB104" s="98">
        <v>2.5</v>
      </c>
    </row>
    <row r="105" spans="1:54" ht="23.1" customHeight="1" x14ac:dyDescent="0.3">
      <c r="A105" s="99">
        <v>101</v>
      </c>
      <c r="B105" s="76" t="s">
        <v>346</v>
      </c>
      <c r="C105" s="77" t="s">
        <v>347</v>
      </c>
      <c r="D105" s="76" t="s">
        <v>450</v>
      </c>
      <c r="E105" s="76" t="s">
        <v>493</v>
      </c>
      <c r="F105" s="76" t="str">
        <f>REPT(CHAR(160),10)&amp;Working!$E105</f>
        <v>          C</v>
      </c>
      <c r="G105" s="78">
        <v>0</v>
      </c>
      <c r="H105" s="78">
        <v>0</v>
      </c>
      <c r="I105" s="78">
        <v>3</v>
      </c>
      <c r="J105" s="78">
        <v>0</v>
      </c>
      <c r="K105" s="79">
        <v>0</v>
      </c>
      <c r="L105" s="80">
        <v>3</v>
      </c>
      <c r="M105" s="78">
        <v>0</v>
      </c>
      <c r="N105" s="78">
        <v>3</v>
      </c>
      <c r="O105" s="78">
        <v>4</v>
      </c>
      <c r="P105" s="81">
        <v>0</v>
      </c>
      <c r="Q105" s="82">
        <v>4</v>
      </c>
      <c r="R105" s="43">
        <v>3.6666666666666665</v>
      </c>
      <c r="S105" s="32">
        <v>0</v>
      </c>
      <c r="T105" s="34">
        <v>0</v>
      </c>
      <c r="U105" s="65">
        <v>0</v>
      </c>
      <c r="V105" s="34">
        <v>0</v>
      </c>
      <c r="W105" s="34">
        <v>0</v>
      </c>
      <c r="X105" s="42">
        <v>0</v>
      </c>
      <c r="Y105" s="34">
        <v>3</v>
      </c>
      <c r="Z105" s="34">
        <v>0</v>
      </c>
      <c r="AA105" s="34">
        <v>0</v>
      </c>
      <c r="AB105" s="34">
        <v>0</v>
      </c>
      <c r="AC105" s="34">
        <v>0</v>
      </c>
      <c r="AD105" s="42">
        <v>3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42">
        <v>0</v>
      </c>
      <c r="AK105" s="33">
        <v>3</v>
      </c>
      <c r="AL105" s="33">
        <v>3</v>
      </c>
      <c r="AM105" s="65">
        <v>0</v>
      </c>
      <c r="AN105" s="33">
        <v>4</v>
      </c>
      <c r="AO105" s="34">
        <v>0</v>
      </c>
      <c r="AP105" s="43">
        <v>3.3333333333333335</v>
      </c>
      <c r="AQ105" s="32">
        <v>3</v>
      </c>
      <c r="AR105" s="34">
        <v>0</v>
      </c>
      <c r="AS105" s="71">
        <v>0</v>
      </c>
      <c r="AT105" s="34">
        <v>0</v>
      </c>
      <c r="AU105" s="34">
        <v>0</v>
      </c>
      <c r="AV105" s="42">
        <v>3</v>
      </c>
      <c r="AW105" s="34">
        <v>0</v>
      </c>
      <c r="AX105" s="34">
        <v>0</v>
      </c>
      <c r="AY105" s="34">
        <v>0</v>
      </c>
      <c r="AZ105" s="32">
        <v>3</v>
      </c>
      <c r="BA105" s="70">
        <v>4</v>
      </c>
      <c r="BB105" s="98">
        <v>3.5</v>
      </c>
    </row>
    <row r="106" spans="1:54" ht="23.1" customHeight="1" x14ac:dyDescent="0.3">
      <c r="A106" s="100">
        <v>102</v>
      </c>
      <c r="B106" s="83" t="s">
        <v>348</v>
      </c>
      <c r="C106" s="84" t="s">
        <v>349</v>
      </c>
      <c r="D106" s="83" t="s">
        <v>542</v>
      </c>
      <c r="E106" s="83" t="s">
        <v>493</v>
      </c>
      <c r="F106" s="83" t="str">
        <f>REPT(CHAR(160),10)&amp;Working!$E106</f>
        <v>          C</v>
      </c>
      <c r="G106" s="74">
        <v>0</v>
      </c>
      <c r="H106" s="74">
        <v>0</v>
      </c>
      <c r="I106" s="74">
        <v>2</v>
      </c>
      <c r="J106" s="74">
        <v>0</v>
      </c>
      <c r="K106" s="85">
        <v>0</v>
      </c>
      <c r="L106" s="80">
        <v>2</v>
      </c>
      <c r="M106" s="74">
        <v>0</v>
      </c>
      <c r="N106" s="74">
        <v>4</v>
      </c>
      <c r="O106" s="74">
        <v>3</v>
      </c>
      <c r="P106" s="86">
        <v>0</v>
      </c>
      <c r="Q106" s="87">
        <v>3</v>
      </c>
      <c r="R106" s="43">
        <v>3.3333333333333335</v>
      </c>
      <c r="S106" s="32">
        <v>0</v>
      </c>
      <c r="T106" s="16">
        <v>0</v>
      </c>
      <c r="U106" s="64">
        <v>0</v>
      </c>
      <c r="V106" s="16">
        <v>0</v>
      </c>
      <c r="W106" s="16">
        <v>0</v>
      </c>
      <c r="X106" s="42">
        <v>0</v>
      </c>
      <c r="Y106" s="16">
        <v>3</v>
      </c>
      <c r="Z106" s="16">
        <v>0</v>
      </c>
      <c r="AA106" s="16">
        <v>0</v>
      </c>
      <c r="AB106" s="16">
        <v>0</v>
      </c>
      <c r="AC106" s="16">
        <v>0</v>
      </c>
      <c r="AD106" s="42">
        <v>3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42">
        <v>0</v>
      </c>
      <c r="AK106" s="24">
        <v>4</v>
      </c>
      <c r="AL106" s="24">
        <v>4</v>
      </c>
      <c r="AM106" s="64">
        <v>0</v>
      </c>
      <c r="AN106" s="24">
        <v>3</v>
      </c>
      <c r="AO106" s="16">
        <v>0</v>
      </c>
      <c r="AP106" s="43">
        <v>3.6666666666666665</v>
      </c>
      <c r="AQ106" s="32">
        <v>4</v>
      </c>
      <c r="AR106" s="16">
        <v>0</v>
      </c>
      <c r="AS106" s="30">
        <v>0</v>
      </c>
      <c r="AT106" s="16">
        <v>0</v>
      </c>
      <c r="AU106" s="16">
        <v>0</v>
      </c>
      <c r="AV106" s="42">
        <v>4</v>
      </c>
      <c r="AW106" s="16">
        <v>0</v>
      </c>
      <c r="AX106" s="16">
        <v>0</v>
      </c>
      <c r="AY106" s="34">
        <v>0</v>
      </c>
      <c r="AZ106" s="32">
        <v>2</v>
      </c>
      <c r="BA106" s="70">
        <v>4</v>
      </c>
      <c r="BB106" s="98">
        <v>3</v>
      </c>
    </row>
    <row r="107" spans="1:54" ht="23.1" customHeight="1" x14ac:dyDescent="0.3">
      <c r="A107" s="99">
        <v>103</v>
      </c>
      <c r="B107" s="76" t="s">
        <v>142</v>
      </c>
      <c r="C107" s="77" t="s">
        <v>143</v>
      </c>
      <c r="D107" s="76" t="s">
        <v>542</v>
      </c>
      <c r="E107" s="76" t="s">
        <v>35</v>
      </c>
      <c r="F107" s="76" t="str">
        <f>REPT(CHAR(160),10)&amp;Working!$E107</f>
        <v>          A</v>
      </c>
      <c r="G107" s="78">
        <v>0</v>
      </c>
      <c r="H107" s="78">
        <v>0</v>
      </c>
      <c r="I107" s="78">
        <v>2</v>
      </c>
      <c r="J107" s="78">
        <v>0</v>
      </c>
      <c r="K107" s="79">
        <v>0</v>
      </c>
      <c r="L107" s="80">
        <v>2</v>
      </c>
      <c r="M107" s="78">
        <v>0</v>
      </c>
      <c r="N107" s="78">
        <v>3</v>
      </c>
      <c r="O107" s="78">
        <v>2</v>
      </c>
      <c r="P107" s="81">
        <v>0</v>
      </c>
      <c r="Q107" s="82">
        <v>2</v>
      </c>
      <c r="R107" s="43">
        <v>2.3333333333333335</v>
      </c>
      <c r="S107" s="32">
        <v>0</v>
      </c>
      <c r="T107" s="34">
        <v>0</v>
      </c>
      <c r="U107" s="65">
        <v>0</v>
      </c>
      <c r="V107" s="34">
        <v>0</v>
      </c>
      <c r="W107" s="34">
        <v>0</v>
      </c>
      <c r="X107" s="42">
        <v>0</v>
      </c>
      <c r="Y107" s="34">
        <v>2</v>
      </c>
      <c r="Z107" s="34">
        <v>0</v>
      </c>
      <c r="AA107" s="34">
        <v>0</v>
      </c>
      <c r="AB107" s="34">
        <v>0</v>
      </c>
      <c r="AC107" s="34">
        <v>0</v>
      </c>
      <c r="AD107" s="42">
        <v>2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42">
        <v>0</v>
      </c>
      <c r="AK107" s="33">
        <v>1</v>
      </c>
      <c r="AL107" s="33">
        <v>2</v>
      </c>
      <c r="AM107" s="65">
        <v>0</v>
      </c>
      <c r="AN107" s="33">
        <v>2</v>
      </c>
      <c r="AO107" s="34">
        <v>0</v>
      </c>
      <c r="AP107" s="43">
        <v>1.6666666666666667</v>
      </c>
      <c r="AQ107" s="32">
        <v>2</v>
      </c>
      <c r="AR107" s="34">
        <v>0</v>
      </c>
      <c r="AS107" s="71">
        <v>0</v>
      </c>
      <c r="AT107" s="34">
        <v>0</v>
      </c>
      <c r="AU107" s="34">
        <v>0</v>
      </c>
      <c r="AV107" s="42">
        <v>2</v>
      </c>
      <c r="AW107" s="34">
        <v>0</v>
      </c>
      <c r="AX107" s="34">
        <v>0</v>
      </c>
      <c r="AY107" s="34">
        <v>0</v>
      </c>
      <c r="AZ107" s="32">
        <v>1</v>
      </c>
      <c r="BA107" s="70">
        <v>2</v>
      </c>
      <c r="BB107" s="98">
        <v>1.5</v>
      </c>
    </row>
    <row r="108" spans="1:54" ht="23.1" customHeight="1" x14ac:dyDescent="0.3">
      <c r="A108" s="100">
        <v>104</v>
      </c>
      <c r="B108" s="83" t="s">
        <v>77</v>
      </c>
      <c r="C108" s="84" t="s">
        <v>78</v>
      </c>
      <c r="D108" s="83" t="s">
        <v>450</v>
      </c>
      <c r="E108" s="83" t="s">
        <v>35</v>
      </c>
      <c r="F108" s="83" t="str">
        <f>REPT(CHAR(160),10)&amp;Working!$E108</f>
        <v>          A</v>
      </c>
      <c r="G108" s="74">
        <v>0</v>
      </c>
      <c r="H108" s="74">
        <v>0</v>
      </c>
      <c r="I108" s="74">
        <v>4</v>
      </c>
      <c r="J108" s="74">
        <v>0</v>
      </c>
      <c r="K108" s="85">
        <v>0</v>
      </c>
      <c r="L108" s="80">
        <v>4</v>
      </c>
      <c r="M108" s="74">
        <v>0</v>
      </c>
      <c r="N108" s="74">
        <v>4</v>
      </c>
      <c r="O108" s="74">
        <v>4</v>
      </c>
      <c r="P108" s="86">
        <v>0</v>
      </c>
      <c r="Q108" s="87">
        <v>4</v>
      </c>
      <c r="R108" s="43">
        <v>4</v>
      </c>
      <c r="S108" s="32">
        <v>0</v>
      </c>
      <c r="T108" s="16">
        <v>0</v>
      </c>
      <c r="U108" s="64">
        <v>0</v>
      </c>
      <c r="V108" s="16">
        <v>0</v>
      </c>
      <c r="W108" s="16">
        <v>0</v>
      </c>
      <c r="X108" s="42">
        <v>0</v>
      </c>
      <c r="Y108" s="16">
        <v>4</v>
      </c>
      <c r="Z108" s="16">
        <v>0</v>
      </c>
      <c r="AA108" s="16">
        <v>0</v>
      </c>
      <c r="AB108" s="16">
        <v>0</v>
      </c>
      <c r="AC108" s="16">
        <v>0</v>
      </c>
      <c r="AD108" s="42">
        <v>4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42">
        <v>0</v>
      </c>
      <c r="AK108" s="24">
        <v>5</v>
      </c>
      <c r="AL108" s="24">
        <v>5</v>
      </c>
      <c r="AM108" s="64">
        <v>0</v>
      </c>
      <c r="AN108" s="24">
        <v>5</v>
      </c>
      <c r="AO108" s="16">
        <v>0</v>
      </c>
      <c r="AP108" s="43">
        <v>5</v>
      </c>
      <c r="AQ108" s="32">
        <v>5</v>
      </c>
      <c r="AR108" s="16">
        <v>0</v>
      </c>
      <c r="AS108" s="30">
        <v>0</v>
      </c>
      <c r="AT108" s="16">
        <v>0</v>
      </c>
      <c r="AU108" s="16">
        <v>0</v>
      </c>
      <c r="AV108" s="42">
        <v>5</v>
      </c>
      <c r="AW108" s="16">
        <v>0</v>
      </c>
      <c r="AX108" s="16">
        <v>0</v>
      </c>
      <c r="AY108" s="34">
        <v>0</v>
      </c>
      <c r="AZ108" s="32">
        <v>4</v>
      </c>
      <c r="BA108" s="70">
        <v>5</v>
      </c>
      <c r="BB108" s="98">
        <v>4.5</v>
      </c>
    </row>
    <row r="109" spans="1:54" ht="23.1" customHeight="1" x14ac:dyDescent="0.3">
      <c r="A109" s="99">
        <v>105</v>
      </c>
      <c r="B109" s="76" t="s">
        <v>144</v>
      </c>
      <c r="C109" s="77" t="s">
        <v>145</v>
      </c>
      <c r="D109" s="76" t="s">
        <v>542</v>
      </c>
      <c r="E109" s="76" t="s">
        <v>35</v>
      </c>
      <c r="F109" s="76" t="str">
        <f>REPT(CHAR(160),10)&amp;Working!$E109</f>
        <v>          A</v>
      </c>
      <c r="G109" s="78">
        <v>0</v>
      </c>
      <c r="H109" s="78">
        <v>0</v>
      </c>
      <c r="I109" s="78">
        <v>3</v>
      </c>
      <c r="J109" s="78">
        <v>0</v>
      </c>
      <c r="K109" s="79">
        <v>0</v>
      </c>
      <c r="L109" s="80">
        <v>3</v>
      </c>
      <c r="M109" s="78">
        <v>0</v>
      </c>
      <c r="N109" s="78">
        <v>4</v>
      </c>
      <c r="O109" s="78">
        <v>4</v>
      </c>
      <c r="P109" s="81">
        <v>0</v>
      </c>
      <c r="Q109" s="82">
        <v>4</v>
      </c>
      <c r="R109" s="43">
        <v>4</v>
      </c>
      <c r="S109" s="32">
        <v>0</v>
      </c>
      <c r="T109" s="34">
        <v>0</v>
      </c>
      <c r="U109" s="65">
        <v>0</v>
      </c>
      <c r="V109" s="34">
        <v>0</v>
      </c>
      <c r="W109" s="34">
        <v>0</v>
      </c>
      <c r="X109" s="42">
        <v>0</v>
      </c>
      <c r="Y109" s="34">
        <v>5</v>
      </c>
      <c r="Z109" s="34">
        <v>0</v>
      </c>
      <c r="AA109" s="34">
        <v>0</v>
      </c>
      <c r="AB109" s="34">
        <v>0</v>
      </c>
      <c r="AC109" s="34">
        <v>0</v>
      </c>
      <c r="AD109" s="42">
        <v>5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42">
        <v>0</v>
      </c>
      <c r="AK109" s="33">
        <v>3</v>
      </c>
      <c r="AL109" s="33">
        <v>4</v>
      </c>
      <c r="AM109" s="65">
        <v>0</v>
      </c>
      <c r="AN109" s="33">
        <v>4</v>
      </c>
      <c r="AO109" s="34">
        <v>0</v>
      </c>
      <c r="AP109" s="43">
        <v>3.6666666666666665</v>
      </c>
      <c r="AQ109" s="32">
        <v>5</v>
      </c>
      <c r="AR109" s="34">
        <v>0</v>
      </c>
      <c r="AS109" s="71">
        <v>0</v>
      </c>
      <c r="AT109" s="34">
        <v>0</v>
      </c>
      <c r="AU109" s="34">
        <v>0</v>
      </c>
      <c r="AV109" s="42">
        <v>5</v>
      </c>
      <c r="AW109" s="34">
        <v>0</v>
      </c>
      <c r="AX109" s="34">
        <v>0</v>
      </c>
      <c r="AY109" s="34">
        <v>0</v>
      </c>
      <c r="AZ109" s="32">
        <v>2</v>
      </c>
      <c r="BA109" s="70">
        <v>4</v>
      </c>
      <c r="BB109" s="98">
        <v>3</v>
      </c>
    </row>
    <row r="110" spans="1:54" ht="23.1" customHeight="1" x14ac:dyDescent="0.3">
      <c r="A110" s="100">
        <v>106</v>
      </c>
      <c r="B110" s="83" t="s">
        <v>350</v>
      </c>
      <c r="C110" s="84" t="s">
        <v>351</v>
      </c>
      <c r="D110" s="83" t="s">
        <v>450</v>
      </c>
      <c r="E110" s="83" t="s">
        <v>493</v>
      </c>
      <c r="F110" s="83" t="str">
        <f>REPT(CHAR(160),10)&amp;Working!$E110</f>
        <v>          C</v>
      </c>
      <c r="G110" s="74">
        <v>0</v>
      </c>
      <c r="H110" s="74">
        <v>0</v>
      </c>
      <c r="I110" s="74">
        <v>5</v>
      </c>
      <c r="J110" s="74">
        <v>0</v>
      </c>
      <c r="K110" s="85">
        <v>0</v>
      </c>
      <c r="L110" s="80">
        <v>5</v>
      </c>
      <c r="M110" s="74">
        <v>0</v>
      </c>
      <c r="N110" s="74">
        <v>5</v>
      </c>
      <c r="O110" s="74">
        <v>4</v>
      </c>
      <c r="P110" s="92">
        <v>0</v>
      </c>
      <c r="Q110" s="93">
        <v>4</v>
      </c>
      <c r="R110" s="43">
        <v>4.333333333333333</v>
      </c>
      <c r="S110" s="32">
        <v>0</v>
      </c>
      <c r="T110" s="16">
        <v>0</v>
      </c>
      <c r="U110" s="68">
        <v>0</v>
      </c>
      <c r="V110" s="16">
        <v>0</v>
      </c>
      <c r="W110" s="16">
        <v>0</v>
      </c>
      <c r="X110" s="42">
        <v>0</v>
      </c>
      <c r="Y110" s="16">
        <v>5</v>
      </c>
      <c r="Z110" s="16">
        <v>0</v>
      </c>
      <c r="AA110" s="16">
        <v>0</v>
      </c>
      <c r="AB110" s="16">
        <v>0</v>
      </c>
      <c r="AC110" s="16">
        <v>0</v>
      </c>
      <c r="AD110" s="42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42">
        <v>0</v>
      </c>
      <c r="AK110" s="31">
        <v>5</v>
      </c>
      <c r="AL110" s="31">
        <v>5</v>
      </c>
      <c r="AM110" s="68">
        <v>0</v>
      </c>
      <c r="AN110" s="31">
        <v>5</v>
      </c>
      <c r="AO110" s="16">
        <v>0</v>
      </c>
      <c r="AP110" s="43">
        <v>5</v>
      </c>
      <c r="AQ110" s="32">
        <v>5</v>
      </c>
      <c r="AR110" s="16">
        <v>0</v>
      </c>
      <c r="AS110" s="30">
        <v>0</v>
      </c>
      <c r="AT110" s="16">
        <v>0</v>
      </c>
      <c r="AU110" s="16">
        <v>0</v>
      </c>
      <c r="AV110" s="42">
        <v>5</v>
      </c>
      <c r="AW110" s="16">
        <v>0</v>
      </c>
      <c r="AX110" s="16">
        <v>0</v>
      </c>
      <c r="AY110" s="34">
        <v>0</v>
      </c>
      <c r="AZ110" s="32">
        <v>4</v>
      </c>
      <c r="BA110" s="70">
        <v>5</v>
      </c>
      <c r="BB110" s="98">
        <v>4.5</v>
      </c>
    </row>
    <row r="111" spans="1:54" ht="23.1" customHeight="1" x14ac:dyDescent="0.3">
      <c r="A111" s="99">
        <v>107</v>
      </c>
      <c r="B111" s="76" t="s">
        <v>352</v>
      </c>
      <c r="C111" s="77" t="s">
        <v>353</v>
      </c>
      <c r="D111" s="76" t="s">
        <v>542</v>
      </c>
      <c r="E111" s="76" t="s">
        <v>493</v>
      </c>
      <c r="F111" s="76" t="str">
        <f>REPT(CHAR(160),10)&amp;Working!$E111</f>
        <v>          C</v>
      </c>
      <c r="G111" s="78">
        <v>0</v>
      </c>
      <c r="H111" s="78">
        <v>0</v>
      </c>
      <c r="I111" s="78">
        <v>3</v>
      </c>
      <c r="J111" s="78">
        <v>0</v>
      </c>
      <c r="K111" s="79">
        <v>0</v>
      </c>
      <c r="L111" s="80">
        <v>3</v>
      </c>
      <c r="M111" s="78">
        <v>0</v>
      </c>
      <c r="N111" s="78">
        <v>4</v>
      </c>
      <c r="O111" s="78">
        <v>4</v>
      </c>
      <c r="P111" s="81">
        <v>0</v>
      </c>
      <c r="Q111" s="82">
        <v>4</v>
      </c>
      <c r="R111" s="43">
        <v>4</v>
      </c>
      <c r="S111" s="32">
        <v>0</v>
      </c>
      <c r="T111" s="34">
        <v>0</v>
      </c>
      <c r="U111" s="65">
        <v>0</v>
      </c>
      <c r="V111" s="34">
        <v>0</v>
      </c>
      <c r="W111" s="34">
        <v>0</v>
      </c>
      <c r="X111" s="42">
        <v>0</v>
      </c>
      <c r="Y111" s="34">
        <v>4</v>
      </c>
      <c r="Z111" s="34">
        <v>0</v>
      </c>
      <c r="AA111" s="34">
        <v>0</v>
      </c>
      <c r="AB111" s="34">
        <v>0</v>
      </c>
      <c r="AC111" s="34">
        <v>0</v>
      </c>
      <c r="AD111" s="42">
        <v>4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42">
        <v>0</v>
      </c>
      <c r="AK111" s="33">
        <v>2</v>
      </c>
      <c r="AL111" s="33">
        <v>4</v>
      </c>
      <c r="AM111" s="65">
        <v>0</v>
      </c>
      <c r="AN111" s="33">
        <v>4</v>
      </c>
      <c r="AO111" s="34">
        <v>0</v>
      </c>
      <c r="AP111" s="43">
        <v>3.3333333333333335</v>
      </c>
      <c r="AQ111" s="32">
        <v>3</v>
      </c>
      <c r="AR111" s="34">
        <v>0</v>
      </c>
      <c r="AS111" s="71">
        <v>0</v>
      </c>
      <c r="AT111" s="34">
        <v>0</v>
      </c>
      <c r="AU111" s="34">
        <v>0</v>
      </c>
      <c r="AV111" s="42">
        <v>3</v>
      </c>
      <c r="AW111" s="34">
        <v>0</v>
      </c>
      <c r="AX111" s="34">
        <v>0</v>
      </c>
      <c r="AY111" s="34">
        <v>0</v>
      </c>
      <c r="AZ111" s="32">
        <v>2</v>
      </c>
      <c r="BA111" s="70">
        <v>5</v>
      </c>
      <c r="BB111" s="98">
        <v>3.5</v>
      </c>
    </row>
    <row r="112" spans="1:54" ht="23.1" customHeight="1" x14ac:dyDescent="0.3">
      <c r="A112" s="100">
        <v>108</v>
      </c>
      <c r="B112" s="83" t="s">
        <v>279</v>
      </c>
      <c r="C112" s="84" t="s">
        <v>280</v>
      </c>
      <c r="D112" s="83" t="s">
        <v>450</v>
      </c>
      <c r="E112" s="83" t="s">
        <v>161</v>
      </c>
      <c r="F112" s="83" t="str">
        <f>REPT(CHAR(160),10)&amp;Working!$E112</f>
        <v>          B</v>
      </c>
      <c r="G112" s="74">
        <v>0</v>
      </c>
      <c r="H112" s="74">
        <v>0</v>
      </c>
      <c r="I112" s="74">
        <v>2</v>
      </c>
      <c r="J112" s="74">
        <v>0</v>
      </c>
      <c r="K112" s="85">
        <v>0</v>
      </c>
      <c r="L112" s="80">
        <v>2</v>
      </c>
      <c r="M112" s="74">
        <v>0</v>
      </c>
      <c r="N112" s="74">
        <v>2</v>
      </c>
      <c r="O112" s="74">
        <v>1</v>
      </c>
      <c r="P112" s="86">
        <v>0</v>
      </c>
      <c r="Q112" s="87">
        <v>1</v>
      </c>
      <c r="R112" s="43">
        <v>1.3333333333333333</v>
      </c>
      <c r="S112" s="32">
        <v>0</v>
      </c>
      <c r="T112" s="16">
        <v>0</v>
      </c>
      <c r="U112" s="64">
        <v>0</v>
      </c>
      <c r="V112" s="16">
        <v>0</v>
      </c>
      <c r="W112" s="16">
        <v>0</v>
      </c>
      <c r="X112" s="42">
        <v>0</v>
      </c>
      <c r="Y112" s="16">
        <v>2</v>
      </c>
      <c r="Z112" s="16">
        <v>0</v>
      </c>
      <c r="AA112" s="16">
        <v>0</v>
      </c>
      <c r="AB112" s="16">
        <v>0</v>
      </c>
      <c r="AC112" s="16">
        <v>0</v>
      </c>
      <c r="AD112" s="42">
        <v>2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42">
        <v>0</v>
      </c>
      <c r="AK112" s="24">
        <v>2</v>
      </c>
      <c r="AL112" s="24">
        <v>3</v>
      </c>
      <c r="AM112" s="64">
        <v>0</v>
      </c>
      <c r="AN112" s="24">
        <v>3</v>
      </c>
      <c r="AO112" s="16">
        <v>0</v>
      </c>
      <c r="AP112" s="43">
        <v>2.6666666666666665</v>
      </c>
      <c r="AQ112" s="32">
        <v>4</v>
      </c>
      <c r="AR112" s="16">
        <v>0</v>
      </c>
      <c r="AS112" s="31">
        <v>0</v>
      </c>
      <c r="AT112" s="16">
        <v>0</v>
      </c>
      <c r="AU112" s="16">
        <v>0</v>
      </c>
      <c r="AV112" s="42">
        <v>4</v>
      </c>
      <c r="AW112" s="16">
        <v>0</v>
      </c>
      <c r="AX112" s="16">
        <v>0</v>
      </c>
      <c r="AY112" s="34">
        <v>0</v>
      </c>
      <c r="AZ112" s="32">
        <v>1</v>
      </c>
      <c r="BA112" s="70">
        <v>3</v>
      </c>
      <c r="BB112" s="98">
        <v>2</v>
      </c>
    </row>
    <row r="113" spans="1:54" ht="23.1" customHeight="1" x14ac:dyDescent="0.3">
      <c r="A113" s="99">
        <v>109</v>
      </c>
      <c r="B113" s="76" t="s">
        <v>168</v>
      </c>
      <c r="C113" s="77" t="s">
        <v>169</v>
      </c>
      <c r="D113" s="76" t="s">
        <v>450</v>
      </c>
      <c r="E113" s="76" t="s">
        <v>161</v>
      </c>
      <c r="F113" s="76" t="str">
        <f>REPT(CHAR(160),10)&amp;Working!$E113</f>
        <v>          B</v>
      </c>
      <c r="G113" s="78">
        <v>0</v>
      </c>
      <c r="H113" s="78">
        <v>0</v>
      </c>
      <c r="I113" s="78">
        <v>3</v>
      </c>
      <c r="J113" s="78">
        <v>0</v>
      </c>
      <c r="K113" s="79">
        <v>0</v>
      </c>
      <c r="L113" s="80">
        <v>3</v>
      </c>
      <c r="M113" s="78">
        <v>0</v>
      </c>
      <c r="N113" s="78">
        <v>4</v>
      </c>
      <c r="O113" s="78">
        <v>4</v>
      </c>
      <c r="P113" s="81">
        <v>0</v>
      </c>
      <c r="Q113" s="82">
        <v>4</v>
      </c>
      <c r="R113" s="43">
        <v>4</v>
      </c>
      <c r="S113" s="32">
        <v>0</v>
      </c>
      <c r="T113" s="34">
        <v>0</v>
      </c>
      <c r="U113" s="65">
        <v>0</v>
      </c>
      <c r="V113" s="34">
        <v>0</v>
      </c>
      <c r="W113" s="34">
        <v>0</v>
      </c>
      <c r="X113" s="42">
        <v>0</v>
      </c>
      <c r="Y113" s="34">
        <v>4</v>
      </c>
      <c r="Z113" s="34">
        <v>0</v>
      </c>
      <c r="AA113" s="34">
        <v>0</v>
      </c>
      <c r="AB113" s="34">
        <v>0</v>
      </c>
      <c r="AC113" s="34">
        <v>0</v>
      </c>
      <c r="AD113" s="42">
        <v>4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42">
        <v>0</v>
      </c>
      <c r="AK113" s="33">
        <v>3</v>
      </c>
      <c r="AL113" s="33">
        <v>4</v>
      </c>
      <c r="AM113" s="65">
        <v>0</v>
      </c>
      <c r="AN113" s="33">
        <v>4</v>
      </c>
      <c r="AO113" s="34">
        <v>0</v>
      </c>
      <c r="AP113" s="43">
        <v>3.6666666666666665</v>
      </c>
      <c r="AQ113" s="32">
        <v>4</v>
      </c>
      <c r="AR113" s="34">
        <v>0</v>
      </c>
      <c r="AS113" s="71">
        <v>0</v>
      </c>
      <c r="AT113" s="34">
        <v>0</v>
      </c>
      <c r="AU113" s="34">
        <v>0</v>
      </c>
      <c r="AV113" s="42">
        <v>4</v>
      </c>
      <c r="AW113" s="34">
        <v>0</v>
      </c>
      <c r="AX113" s="34">
        <v>0</v>
      </c>
      <c r="AY113" s="34">
        <v>0</v>
      </c>
      <c r="AZ113" s="32">
        <v>2</v>
      </c>
      <c r="BA113" s="70">
        <v>4</v>
      </c>
      <c r="BB113" s="98">
        <v>3</v>
      </c>
    </row>
    <row r="114" spans="1:54" ht="23.1" customHeight="1" x14ac:dyDescent="0.3">
      <c r="A114" s="100">
        <v>110</v>
      </c>
      <c r="B114" s="83" t="s">
        <v>186</v>
      </c>
      <c r="C114" s="84" t="s">
        <v>187</v>
      </c>
      <c r="D114" s="83" t="s">
        <v>450</v>
      </c>
      <c r="E114" s="83" t="s">
        <v>161</v>
      </c>
      <c r="F114" s="83" t="str">
        <f>REPT(CHAR(160),10)&amp;Working!$E114</f>
        <v>          B</v>
      </c>
      <c r="G114" s="74">
        <v>0</v>
      </c>
      <c r="H114" s="74">
        <v>0</v>
      </c>
      <c r="I114" s="74">
        <v>4</v>
      </c>
      <c r="J114" s="74">
        <v>0</v>
      </c>
      <c r="K114" s="85">
        <v>0</v>
      </c>
      <c r="L114" s="80">
        <v>4</v>
      </c>
      <c r="M114" s="74">
        <v>0</v>
      </c>
      <c r="N114" s="74">
        <v>4</v>
      </c>
      <c r="O114" s="74">
        <v>4</v>
      </c>
      <c r="P114" s="88">
        <v>0</v>
      </c>
      <c r="Q114" s="89">
        <v>4</v>
      </c>
      <c r="R114" s="43">
        <v>4</v>
      </c>
      <c r="S114" s="32">
        <v>0</v>
      </c>
      <c r="T114" s="16">
        <v>0</v>
      </c>
      <c r="U114" s="66">
        <v>0</v>
      </c>
      <c r="V114" s="16">
        <v>0</v>
      </c>
      <c r="W114" s="16">
        <v>0</v>
      </c>
      <c r="X114" s="42">
        <v>0</v>
      </c>
      <c r="Y114" s="16">
        <v>4</v>
      </c>
      <c r="Z114" s="16">
        <v>0</v>
      </c>
      <c r="AA114" s="16">
        <v>0</v>
      </c>
      <c r="AB114" s="16">
        <v>0</v>
      </c>
      <c r="AC114" s="16">
        <v>0</v>
      </c>
      <c r="AD114" s="42">
        <v>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42">
        <v>0</v>
      </c>
      <c r="AK114" s="29">
        <v>5</v>
      </c>
      <c r="AL114" s="29">
        <v>4</v>
      </c>
      <c r="AM114" s="66">
        <v>0</v>
      </c>
      <c r="AN114" s="29">
        <v>5</v>
      </c>
      <c r="AO114" s="16">
        <v>0</v>
      </c>
      <c r="AP114" s="43">
        <v>4.666666666666667</v>
      </c>
      <c r="AQ114" s="32">
        <v>5</v>
      </c>
      <c r="AR114" s="16">
        <v>0</v>
      </c>
      <c r="AS114" s="30">
        <v>0</v>
      </c>
      <c r="AT114" s="16">
        <v>0</v>
      </c>
      <c r="AU114" s="16">
        <v>0</v>
      </c>
      <c r="AV114" s="42">
        <v>5</v>
      </c>
      <c r="AW114" s="16">
        <v>0</v>
      </c>
      <c r="AX114" s="16">
        <v>0</v>
      </c>
      <c r="AY114" s="34">
        <v>0</v>
      </c>
      <c r="AZ114" s="32">
        <v>5</v>
      </c>
      <c r="BA114" s="70">
        <v>4</v>
      </c>
      <c r="BB114" s="98">
        <v>4.5</v>
      </c>
    </row>
    <row r="115" spans="1:54" ht="23.1" customHeight="1" x14ac:dyDescent="0.3">
      <c r="A115" s="99">
        <v>111</v>
      </c>
      <c r="B115" s="76" t="s">
        <v>233</v>
      </c>
      <c r="C115" s="77" t="s">
        <v>234</v>
      </c>
      <c r="D115" s="76" t="s">
        <v>450</v>
      </c>
      <c r="E115" s="76" t="s">
        <v>161</v>
      </c>
      <c r="F115" s="76" t="str">
        <f>REPT(CHAR(160),10)&amp;Working!$E115</f>
        <v>          B</v>
      </c>
      <c r="G115" s="78">
        <v>0</v>
      </c>
      <c r="H115" s="78">
        <v>0</v>
      </c>
      <c r="I115" s="78">
        <v>0</v>
      </c>
      <c r="J115" s="78">
        <v>0</v>
      </c>
      <c r="K115" s="79">
        <v>0</v>
      </c>
      <c r="L115" s="80">
        <v>0</v>
      </c>
      <c r="M115" s="78">
        <v>0</v>
      </c>
      <c r="N115" s="78">
        <v>0</v>
      </c>
      <c r="O115" s="78">
        <v>0</v>
      </c>
      <c r="P115" s="81">
        <v>0</v>
      </c>
      <c r="Q115" s="82">
        <v>0</v>
      </c>
      <c r="R115" s="43">
        <v>0</v>
      </c>
      <c r="S115" s="32">
        <v>0</v>
      </c>
      <c r="T115" s="34">
        <v>0</v>
      </c>
      <c r="U115" s="65">
        <v>0</v>
      </c>
      <c r="V115" s="34">
        <v>0</v>
      </c>
      <c r="W115" s="34">
        <v>0</v>
      </c>
      <c r="X115" s="42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42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42">
        <v>0</v>
      </c>
      <c r="AK115" s="33">
        <v>0</v>
      </c>
      <c r="AL115" s="33">
        <v>0</v>
      </c>
      <c r="AM115" s="65">
        <v>0</v>
      </c>
      <c r="AN115" s="33">
        <v>0</v>
      </c>
      <c r="AO115" s="34">
        <v>0</v>
      </c>
      <c r="AP115" s="43">
        <v>0</v>
      </c>
      <c r="AQ115" s="32">
        <v>0</v>
      </c>
      <c r="AR115" s="34">
        <v>0</v>
      </c>
      <c r="AS115" s="71">
        <v>0</v>
      </c>
      <c r="AT115" s="34">
        <v>0</v>
      </c>
      <c r="AU115" s="34">
        <v>0</v>
      </c>
      <c r="AV115" s="42">
        <v>0</v>
      </c>
      <c r="AW115" s="34">
        <v>0</v>
      </c>
      <c r="AX115" s="34">
        <v>0</v>
      </c>
      <c r="AY115" s="34">
        <v>0</v>
      </c>
      <c r="AZ115" s="32">
        <v>0</v>
      </c>
      <c r="BA115" s="70">
        <v>0</v>
      </c>
      <c r="BB115" s="98">
        <v>0</v>
      </c>
    </row>
    <row r="116" spans="1:54" ht="23.1" customHeight="1" x14ac:dyDescent="0.3">
      <c r="A116" s="100">
        <v>112</v>
      </c>
      <c r="B116" s="83" t="s">
        <v>146</v>
      </c>
      <c r="C116" s="84" t="s">
        <v>147</v>
      </c>
      <c r="D116" s="83" t="s">
        <v>450</v>
      </c>
      <c r="E116" s="83" t="s">
        <v>35</v>
      </c>
      <c r="F116" s="83" t="str">
        <f>REPT(CHAR(160),10)&amp;Working!$E116</f>
        <v>          A</v>
      </c>
      <c r="G116" s="74">
        <v>0</v>
      </c>
      <c r="H116" s="74">
        <v>0</v>
      </c>
      <c r="I116" s="74">
        <v>3</v>
      </c>
      <c r="J116" s="74">
        <v>0</v>
      </c>
      <c r="K116" s="85">
        <v>0</v>
      </c>
      <c r="L116" s="80">
        <v>3</v>
      </c>
      <c r="M116" s="74">
        <v>0</v>
      </c>
      <c r="N116" s="74">
        <v>3</v>
      </c>
      <c r="O116" s="74">
        <v>3</v>
      </c>
      <c r="P116" s="86">
        <v>0</v>
      </c>
      <c r="Q116" s="87">
        <v>3</v>
      </c>
      <c r="R116" s="43">
        <v>3</v>
      </c>
      <c r="S116" s="32">
        <v>0</v>
      </c>
      <c r="T116" s="16">
        <v>0</v>
      </c>
      <c r="U116" s="64">
        <v>0</v>
      </c>
      <c r="V116" s="16">
        <v>0</v>
      </c>
      <c r="W116" s="16">
        <v>0</v>
      </c>
      <c r="X116" s="42">
        <v>0</v>
      </c>
      <c r="Y116" s="16">
        <v>3</v>
      </c>
      <c r="Z116" s="16">
        <v>0</v>
      </c>
      <c r="AA116" s="16">
        <v>0</v>
      </c>
      <c r="AB116" s="16">
        <v>0</v>
      </c>
      <c r="AC116" s="16">
        <v>0</v>
      </c>
      <c r="AD116" s="42">
        <v>3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42">
        <v>0</v>
      </c>
      <c r="AK116" s="24">
        <v>3</v>
      </c>
      <c r="AL116" s="24">
        <v>4</v>
      </c>
      <c r="AM116" s="64">
        <v>0</v>
      </c>
      <c r="AN116" s="24">
        <v>3</v>
      </c>
      <c r="AO116" s="16">
        <v>0</v>
      </c>
      <c r="AP116" s="43">
        <v>3.3333333333333335</v>
      </c>
      <c r="AQ116" s="32">
        <v>3</v>
      </c>
      <c r="AR116" s="16">
        <v>0</v>
      </c>
      <c r="AS116" s="31">
        <v>0</v>
      </c>
      <c r="AT116" s="16">
        <v>0</v>
      </c>
      <c r="AU116" s="16">
        <v>0</v>
      </c>
      <c r="AV116" s="42">
        <v>3</v>
      </c>
      <c r="AW116" s="16">
        <v>0</v>
      </c>
      <c r="AX116" s="16">
        <v>0</v>
      </c>
      <c r="AY116" s="34">
        <v>0</v>
      </c>
      <c r="AZ116" s="32">
        <v>2</v>
      </c>
      <c r="BA116" s="70">
        <v>4</v>
      </c>
      <c r="BB116" s="98">
        <v>3</v>
      </c>
    </row>
    <row r="117" spans="1:54" ht="23.1" customHeight="1" x14ac:dyDescent="0.3">
      <c r="A117" s="99">
        <v>113</v>
      </c>
      <c r="B117" s="76" t="s">
        <v>201</v>
      </c>
      <c r="C117" s="77" t="s">
        <v>202</v>
      </c>
      <c r="D117" s="76" t="s">
        <v>450</v>
      </c>
      <c r="E117" s="76" t="s">
        <v>161</v>
      </c>
      <c r="F117" s="76" t="str">
        <f>REPT(CHAR(160),10)&amp;Working!$E117</f>
        <v>          B</v>
      </c>
      <c r="G117" s="78">
        <v>0</v>
      </c>
      <c r="H117" s="78">
        <v>0</v>
      </c>
      <c r="I117" s="78">
        <v>4</v>
      </c>
      <c r="J117" s="78">
        <v>0</v>
      </c>
      <c r="K117" s="79">
        <v>0</v>
      </c>
      <c r="L117" s="80">
        <v>4</v>
      </c>
      <c r="M117" s="78">
        <v>0</v>
      </c>
      <c r="N117" s="78">
        <v>3</v>
      </c>
      <c r="O117" s="78">
        <v>3</v>
      </c>
      <c r="P117" s="81">
        <v>0</v>
      </c>
      <c r="Q117" s="82">
        <v>3</v>
      </c>
      <c r="R117" s="43">
        <v>3</v>
      </c>
      <c r="S117" s="32">
        <v>0</v>
      </c>
      <c r="T117" s="34">
        <v>0</v>
      </c>
      <c r="U117" s="65">
        <v>0</v>
      </c>
      <c r="V117" s="34">
        <v>0</v>
      </c>
      <c r="W117" s="34">
        <v>0</v>
      </c>
      <c r="X117" s="42">
        <v>0</v>
      </c>
      <c r="Y117" s="34">
        <v>3</v>
      </c>
      <c r="Z117" s="34">
        <v>0</v>
      </c>
      <c r="AA117" s="34">
        <v>0</v>
      </c>
      <c r="AB117" s="34">
        <v>0</v>
      </c>
      <c r="AC117" s="34">
        <v>0</v>
      </c>
      <c r="AD117" s="42">
        <v>3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42">
        <v>0</v>
      </c>
      <c r="AK117" s="33">
        <v>2</v>
      </c>
      <c r="AL117" s="33">
        <v>4</v>
      </c>
      <c r="AM117" s="65">
        <v>0</v>
      </c>
      <c r="AN117" s="33">
        <v>4</v>
      </c>
      <c r="AO117" s="34">
        <v>0</v>
      </c>
      <c r="AP117" s="43">
        <v>3.3333333333333335</v>
      </c>
      <c r="AQ117" s="32">
        <v>4</v>
      </c>
      <c r="AR117" s="34">
        <v>0</v>
      </c>
      <c r="AS117" s="71">
        <v>0</v>
      </c>
      <c r="AT117" s="34">
        <v>0</v>
      </c>
      <c r="AU117" s="34">
        <v>0</v>
      </c>
      <c r="AV117" s="42">
        <v>4</v>
      </c>
      <c r="AW117" s="34">
        <v>0</v>
      </c>
      <c r="AX117" s="34">
        <v>0</v>
      </c>
      <c r="AY117" s="34">
        <v>0</v>
      </c>
      <c r="AZ117" s="32">
        <v>2</v>
      </c>
      <c r="BA117" s="70">
        <v>4</v>
      </c>
      <c r="BB117" s="98">
        <v>3</v>
      </c>
    </row>
    <row r="118" spans="1:54" ht="23.1" customHeight="1" x14ac:dyDescent="0.3">
      <c r="A118" s="100">
        <v>114</v>
      </c>
      <c r="B118" s="83" t="s">
        <v>217</v>
      </c>
      <c r="C118" s="84" t="s">
        <v>218</v>
      </c>
      <c r="D118" s="83" t="s">
        <v>450</v>
      </c>
      <c r="E118" s="83" t="s">
        <v>161</v>
      </c>
      <c r="F118" s="83" t="str">
        <f>REPT(CHAR(160),10)&amp;Working!$E118</f>
        <v>          B</v>
      </c>
      <c r="G118" s="74">
        <v>0</v>
      </c>
      <c r="H118" s="74">
        <v>0</v>
      </c>
      <c r="I118" s="74">
        <v>3</v>
      </c>
      <c r="J118" s="74">
        <v>0</v>
      </c>
      <c r="K118" s="85">
        <v>0</v>
      </c>
      <c r="L118" s="80">
        <v>3</v>
      </c>
      <c r="M118" s="74">
        <v>0</v>
      </c>
      <c r="N118" s="74">
        <v>3</v>
      </c>
      <c r="O118" s="74">
        <v>3</v>
      </c>
      <c r="P118" s="86">
        <v>0</v>
      </c>
      <c r="Q118" s="87">
        <v>3</v>
      </c>
      <c r="R118" s="43">
        <v>3</v>
      </c>
      <c r="S118" s="32">
        <v>0</v>
      </c>
      <c r="T118" s="16">
        <v>0</v>
      </c>
      <c r="U118" s="64">
        <v>0</v>
      </c>
      <c r="V118" s="16">
        <v>0</v>
      </c>
      <c r="W118" s="16">
        <v>0</v>
      </c>
      <c r="X118" s="42">
        <v>0</v>
      </c>
      <c r="Y118" s="16">
        <v>3</v>
      </c>
      <c r="Z118" s="16">
        <v>0</v>
      </c>
      <c r="AA118" s="16">
        <v>0</v>
      </c>
      <c r="AB118" s="16">
        <v>0</v>
      </c>
      <c r="AC118" s="16">
        <v>0</v>
      </c>
      <c r="AD118" s="42">
        <v>3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42">
        <v>0</v>
      </c>
      <c r="AK118" s="24">
        <v>2</v>
      </c>
      <c r="AL118" s="24">
        <v>3</v>
      </c>
      <c r="AM118" s="64">
        <v>0</v>
      </c>
      <c r="AN118" s="24">
        <v>3</v>
      </c>
      <c r="AO118" s="16">
        <v>0</v>
      </c>
      <c r="AP118" s="43">
        <v>2.6666666666666665</v>
      </c>
      <c r="AQ118" s="32">
        <v>3</v>
      </c>
      <c r="AR118" s="16">
        <v>0</v>
      </c>
      <c r="AS118" s="30">
        <v>0</v>
      </c>
      <c r="AT118" s="16">
        <v>0</v>
      </c>
      <c r="AU118" s="16">
        <v>0</v>
      </c>
      <c r="AV118" s="42">
        <v>3</v>
      </c>
      <c r="AW118" s="16">
        <v>0</v>
      </c>
      <c r="AX118" s="16">
        <v>0</v>
      </c>
      <c r="AY118" s="34">
        <v>0</v>
      </c>
      <c r="AZ118" s="32">
        <v>2</v>
      </c>
      <c r="BA118" s="70">
        <v>4</v>
      </c>
      <c r="BB118" s="98">
        <v>3</v>
      </c>
    </row>
    <row r="119" spans="1:54" ht="23.1" customHeight="1" x14ac:dyDescent="0.3">
      <c r="A119" s="99">
        <v>115</v>
      </c>
      <c r="B119" s="76" t="s">
        <v>235</v>
      </c>
      <c r="C119" s="77" t="s">
        <v>236</v>
      </c>
      <c r="D119" s="76" t="s">
        <v>450</v>
      </c>
      <c r="E119" s="76" t="s">
        <v>161</v>
      </c>
      <c r="F119" s="76" t="str">
        <f>REPT(CHAR(160),10)&amp;Working!$E119</f>
        <v>          B</v>
      </c>
      <c r="G119" s="78">
        <v>0</v>
      </c>
      <c r="H119" s="78">
        <v>0</v>
      </c>
      <c r="I119" s="78">
        <v>3</v>
      </c>
      <c r="J119" s="78">
        <v>0</v>
      </c>
      <c r="K119" s="79">
        <v>0</v>
      </c>
      <c r="L119" s="80">
        <v>3</v>
      </c>
      <c r="M119" s="78">
        <v>0</v>
      </c>
      <c r="N119" s="78">
        <v>3</v>
      </c>
      <c r="O119" s="78">
        <v>3</v>
      </c>
      <c r="P119" s="81">
        <v>0</v>
      </c>
      <c r="Q119" s="82">
        <v>3</v>
      </c>
      <c r="R119" s="43">
        <v>3</v>
      </c>
      <c r="S119" s="32">
        <v>0</v>
      </c>
      <c r="T119" s="34">
        <v>0</v>
      </c>
      <c r="U119" s="65">
        <v>0</v>
      </c>
      <c r="V119" s="34">
        <v>0</v>
      </c>
      <c r="W119" s="34">
        <v>0</v>
      </c>
      <c r="X119" s="42">
        <v>0</v>
      </c>
      <c r="Y119" s="34">
        <v>3</v>
      </c>
      <c r="Z119" s="34">
        <v>0</v>
      </c>
      <c r="AA119" s="34">
        <v>0</v>
      </c>
      <c r="AB119" s="34">
        <v>0</v>
      </c>
      <c r="AC119" s="34">
        <v>0</v>
      </c>
      <c r="AD119" s="42">
        <v>3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42">
        <v>0</v>
      </c>
      <c r="AK119" s="33">
        <v>3</v>
      </c>
      <c r="AL119" s="33">
        <v>2</v>
      </c>
      <c r="AM119" s="65">
        <v>0</v>
      </c>
      <c r="AN119" s="33">
        <v>3</v>
      </c>
      <c r="AO119" s="34">
        <v>0</v>
      </c>
      <c r="AP119" s="43">
        <v>2.6666666666666665</v>
      </c>
      <c r="AQ119" s="32">
        <v>4</v>
      </c>
      <c r="AR119" s="34">
        <v>0</v>
      </c>
      <c r="AS119" s="71">
        <v>0</v>
      </c>
      <c r="AT119" s="34">
        <v>0</v>
      </c>
      <c r="AU119" s="34">
        <v>0</v>
      </c>
      <c r="AV119" s="42">
        <v>4</v>
      </c>
      <c r="AW119" s="34">
        <v>0</v>
      </c>
      <c r="AX119" s="34">
        <v>0</v>
      </c>
      <c r="AY119" s="34">
        <v>0</v>
      </c>
      <c r="AZ119" s="32">
        <v>2</v>
      </c>
      <c r="BA119" s="70">
        <v>4</v>
      </c>
      <c r="BB119" s="98">
        <v>3</v>
      </c>
    </row>
    <row r="120" spans="1:54" ht="23.1" customHeight="1" x14ac:dyDescent="0.3">
      <c r="A120" s="100">
        <v>116</v>
      </c>
      <c r="B120" s="83" t="s">
        <v>354</v>
      </c>
      <c r="C120" s="84" t="s">
        <v>355</v>
      </c>
      <c r="D120" s="83" t="s">
        <v>544</v>
      </c>
      <c r="E120" s="83" t="s">
        <v>493</v>
      </c>
      <c r="F120" s="83" t="str">
        <f>REPT(CHAR(160),10)&amp;Working!$E120</f>
        <v>          C</v>
      </c>
      <c r="G120" s="74">
        <v>0</v>
      </c>
      <c r="H120" s="74">
        <v>0</v>
      </c>
      <c r="I120" s="74">
        <v>4</v>
      </c>
      <c r="J120" s="74">
        <v>0</v>
      </c>
      <c r="K120" s="85">
        <v>0</v>
      </c>
      <c r="L120" s="80">
        <v>4</v>
      </c>
      <c r="M120" s="74">
        <v>0</v>
      </c>
      <c r="N120" s="74">
        <v>4</v>
      </c>
      <c r="O120" s="74">
        <v>4</v>
      </c>
      <c r="P120" s="86">
        <v>0</v>
      </c>
      <c r="Q120" s="87">
        <v>4</v>
      </c>
      <c r="R120" s="43">
        <v>4</v>
      </c>
      <c r="S120" s="32">
        <v>0</v>
      </c>
      <c r="T120" s="16">
        <v>0</v>
      </c>
      <c r="U120" s="64">
        <v>0</v>
      </c>
      <c r="V120" s="16">
        <v>0</v>
      </c>
      <c r="W120" s="16">
        <v>0</v>
      </c>
      <c r="X120" s="42">
        <v>0</v>
      </c>
      <c r="Y120" s="16">
        <v>4</v>
      </c>
      <c r="Z120" s="16">
        <v>0</v>
      </c>
      <c r="AA120" s="16">
        <v>0</v>
      </c>
      <c r="AB120" s="16">
        <v>0</v>
      </c>
      <c r="AC120" s="16">
        <v>0</v>
      </c>
      <c r="AD120" s="42">
        <v>4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42">
        <v>0</v>
      </c>
      <c r="AK120" s="24">
        <v>3</v>
      </c>
      <c r="AL120" s="24">
        <v>5</v>
      </c>
      <c r="AM120" s="64">
        <v>0</v>
      </c>
      <c r="AN120" s="24">
        <v>4</v>
      </c>
      <c r="AO120" s="16">
        <v>0</v>
      </c>
      <c r="AP120" s="43">
        <v>4</v>
      </c>
      <c r="AQ120" s="32">
        <v>3</v>
      </c>
      <c r="AR120" s="16">
        <v>0</v>
      </c>
      <c r="AS120" s="30">
        <v>0</v>
      </c>
      <c r="AT120" s="16">
        <v>0</v>
      </c>
      <c r="AU120" s="16">
        <v>0</v>
      </c>
      <c r="AV120" s="42">
        <v>3</v>
      </c>
      <c r="AW120" s="16">
        <v>0</v>
      </c>
      <c r="AX120" s="16">
        <v>0</v>
      </c>
      <c r="AY120" s="34">
        <v>0</v>
      </c>
      <c r="AZ120" s="32">
        <v>2</v>
      </c>
      <c r="BA120" s="70">
        <v>4</v>
      </c>
      <c r="BB120" s="98">
        <v>3</v>
      </c>
    </row>
    <row r="121" spans="1:54" ht="23.1" customHeight="1" x14ac:dyDescent="0.3">
      <c r="A121" s="99">
        <v>117</v>
      </c>
      <c r="B121" s="76" t="s">
        <v>203</v>
      </c>
      <c r="C121" s="77" t="s">
        <v>204</v>
      </c>
      <c r="D121" s="76" t="s">
        <v>542</v>
      </c>
      <c r="E121" s="76" t="s">
        <v>161</v>
      </c>
      <c r="F121" s="76" t="str">
        <f>REPT(CHAR(160),10)&amp;Working!$E121</f>
        <v>          B</v>
      </c>
      <c r="G121" s="78">
        <v>0</v>
      </c>
      <c r="H121" s="78">
        <v>0</v>
      </c>
      <c r="I121" s="78">
        <v>4</v>
      </c>
      <c r="J121" s="78">
        <v>0</v>
      </c>
      <c r="K121" s="79">
        <v>0</v>
      </c>
      <c r="L121" s="80">
        <v>4</v>
      </c>
      <c r="M121" s="78">
        <v>0</v>
      </c>
      <c r="N121" s="78">
        <v>4</v>
      </c>
      <c r="O121" s="78">
        <v>4</v>
      </c>
      <c r="P121" s="81">
        <v>0</v>
      </c>
      <c r="Q121" s="82">
        <v>4</v>
      </c>
      <c r="R121" s="43">
        <v>4</v>
      </c>
      <c r="S121" s="32">
        <v>0</v>
      </c>
      <c r="T121" s="34">
        <v>0</v>
      </c>
      <c r="U121" s="65">
        <v>0</v>
      </c>
      <c r="V121" s="34">
        <v>0</v>
      </c>
      <c r="W121" s="34">
        <v>0</v>
      </c>
      <c r="X121" s="42">
        <v>0</v>
      </c>
      <c r="Y121" s="34">
        <v>5</v>
      </c>
      <c r="Z121" s="34">
        <v>0</v>
      </c>
      <c r="AA121" s="34">
        <v>0</v>
      </c>
      <c r="AB121" s="34">
        <v>0</v>
      </c>
      <c r="AC121" s="34">
        <v>0</v>
      </c>
      <c r="AD121" s="42">
        <v>5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42">
        <v>0</v>
      </c>
      <c r="AK121" s="33">
        <v>4</v>
      </c>
      <c r="AL121" s="33">
        <v>4</v>
      </c>
      <c r="AM121" s="65">
        <v>0</v>
      </c>
      <c r="AN121" s="33">
        <v>4</v>
      </c>
      <c r="AO121" s="34">
        <v>0</v>
      </c>
      <c r="AP121" s="43">
        <v>4</v>
      </c>
      <c r="AQ121" s="32">
        <v>4</v>
      </c>
      <c r="AR121" s="34">
        <v>0</v>
      </c>
      <c r="AS121" s="71">
        <v>0</v>
      </c>
      <c r="AT121" s="34">
        <v>0</v>
      </c>
      <c r="AU121" s="34">
        <v>0</v>
      </c>
      <c r="AV121" s="42">
        <v>4</v>
      </c>
      <c r="AW121" s="34">
        <v>0</v>
      </c>
      <c r="AX121" s="34">
        <v>0</v>
      </c>
      <c r="AY121" s="34">
        <v>0</v>
      </c>
      <c r="AZ121" s="32">
        <v>2</v>
      </c>
      <c r="BA121" s="70">
        <v>4</v>
      </c>
      <c r="BB121" s="98">
        <v>3</v>
      </c>
    </row>
    <row r="122" spans="1:54" ht="23.1" customHeight="1" x14ac:dyDescent="0.3">
      <c r="A122" s="100">
        <v>118</v>
      </c>
      <c r="B122" s="83" t="s">
        <v>356</v>
      </c>
      <c r="C122" s="84" t="s">
        <v>357</v>
      </c>
      <c r="D122" s="83" t="s">
        <v>542</v>
      </c>
      <c r="E122" s="83" t="s">
        <v>493</v>
      </c>
      <c r="F122" s="83" t="str">
        <f>REPT(CHAR(160),10)&amp;Working!$E122</f>
        <v>          C</v>
      </c>
      <c r="G122" s="74">
        <v>0</v>
      </c>
      <c r="H122" s="74">
        <v>0</v>
      </c>
      <c r="I122" s="74">
        <v>2</v>
      </c>
      <c r="J122" s="74">
        <v>0</v>
      </c>
      <c r="K122" s="85">
        <v>0</v>
      </c>
      <c r="L122" s="80">
        <v>2</v>
      </c>
      <c r="M122" s="74">
        <v>0</v>
      </c>
      <c r="N122" s="74">
        <v>3</v>
      </c>
      <c r="O122" s="74">
        <v>3</v>
      </c>
      <c r="P122" s="86">
        <v>0</v>
      </c>
      <c r="Q122" s="87">
        <v>3</v>
      </c>
      <c r="R122" s="43">
        <v>3</v>
      </c>
      <c r="S122" s="32">
        <v>0</v>
      </c>
      <c r="T122" s="16">
        <v>0</v>
      </c>
      <c r="U122" s="64">
        <v>0</v>
      </c>
      <c r="V122" s="16">
        <v>0</v>
      </c>
      <c r="W122" s="16">
        <v>0</v>
      </c>
      <c r="X122" s="42">
        <v>0</v>
      </c>
      <c r="Y122" s="16">
        <v>3</v>
      </c>
      <c r="Z122" s="16">
        <v>0</v>
      </c>
      <c r="AA122" s="16">
        <v>0</v>
      </c>
      <c r="AB122" s="16">
        <v>0</v>
      </c>
      <c r="AC122" s="16">
        <v>0</v>
      </c>
      <c r="AD122" s="42">
        <v>3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42">
        <v>0</v>
      </c>
      <c r="AK122" s="24">
        <v>1</v>
      </c>
      <c r="AL122" s="24">
        <v>3</v>
      </c>
      <c r="AM122" s="64">
        <v>0</v>
      </c>
      <c r="AN122" s="24">
        <v>2</v>
      </c>
      <c r="AO122" s="16">
        <v>0</v>
      </c>
      <c r="AP122" s="43">
        <v>2</v>
      </c>
      <c r="AQ122" s="32">
        <v>2</v>
      </c>
      <c r="AR122" s="16">
        <v>0</v>
      </c>
      <c r="AS122" s="30">
        <v>0</v>
      </c>
      <c r="AT122" s="16">
        <v>0</v>
      </c>
      <c r="AU122" s="16">
        <v>0</v>
      </c>
      <c r="AV122" s="42">
        <v>2</v>
      </c>
      <c r="AW122" s="16">
        <v>0</v>
      </c>
      <c r="AX122" s="16">
        <v>0</v>
      </c>
      <c r="AY122" s="34">
        <v>0</v>
      </c>
      <c r="AZ122" s="32">
        <v>2</v>
      </c>
      <c r="BA122" s="70">
        <v>3</v>
      </c>
      <c r="BB122" s="98">
        <v>2.5</v>
      </c>
    </row>
    <row r="123" spans="1:54" ht="23.1" customHeight="1" x14ac:dyDescent="0.3">
      <c r="A123" s="99">
        <v>119</v>
      </c>
      <c r="B123" s="76" t="s">
        <v>358</v>
      </c>
      <c r="C123" s="77" t="s">
        <v>359</v>
      </c>
      <c r="D123" s="76" t="s">
        <v>542</v>
      </c>
      <c r="E123" s="76" t="s">
        <v>493</v>
      </c>
      <c r="F123" s="76" t="str">
        <f>REPT(CHAR(160),10)&amp;Working!$E123</f>
        <v>          C</v>
      </c>
      <c r="G123" s="78">
        <v>0</v>
      </c>
      <c r="H123" s="78">
        <v>0</v>
      </c>
      <c r="I123" s="78">
        <v>4</v>
      </c>
      <c r="J123" s="78">
        <v>0</v>
      </c>
      <c r="K123" s="79">
        <v>0</v>
      </c>
      <c r="L123" s="80">
        <v>4</v>
      </c>
      <c r="M123" s="78">
        <v>0</v>
      </c>
      <c r="N123" s="78">
        <v>4</v>
      </c>
      <c r="O123" s="78">
        <v>3</v>
      </c>
      <c r="P123" s="81">
        <v>0</v>
      </c>
      <c r="Q123" s="82">
        <v>3</v>
      </c>
      <c r="R123" s="43">
        <v>3.3333333333333335</v>
      </c>
      <c r="S123" s="32">
        <v>0</v>
      </c>
      <c r="T123" s="34">
        <v>0</v>
      </c>
      <c r="U123" s="65">
        <v>0</v>
      </c>
      <c r="V123" s="34">
        <v>0</v>
      </c>
      <c r="W123" s="34">
        <v>0</v>
      </c>
      <c r="X123" s="42">
        <v>0</v>
      </c>
      <c r="Y123" s="34">
        <v>4</v>
      </c>
      <c r="Z123" s="34">
        <v>0</v>
      </c>
      <c r="AA123" s="34">
        <v>0</v>
      </c>
      <c r="AB123" s="34">
        <v>0</v>
      </c>
      <c r="AC123" s="34">
        <v>0</v>
      </c>
      <c r="AD123" s="42">
        <v>4</v>
      </c>
      <c r="AE123" s="34">
        <v>0</v>
      </c>
      <c r="AF123" s="34">
        <v>0</v>
      </c>
      <c r="AG123" s="34">
        <v>0</v>
      </c>
      <c r="AH123" s="34">
        <v>0</v>
      </c>
      <c r="AI123" s="34">
        <v>0</v>
      </c>
      <c r="AJ123" s="42">
        <v>0</v>
      </c>
      <c r="AK123" s="33">
        <v>4</v>
      </c>
      <c r="AL123" s="33">
        <v>3</v>
      </c>
      <c r="AM123" s="65">
        <v>0</v>
      </c>
      <c r="AN123" s="33">
        <v>4</v>
      </c>
      <c r="AO123" s="34">
        <v>0</v>
      </c>
      <c r="AP123" s="43">
        <v>3.6666666666666665</v>
      </c>
      <c r="AQ123" s="32">
        <v>4</v>
      </c>
      <c r="AR123" s="34">
        <v>0</v>
      </c>
      <c r="AS123" s="71">
        <v>0</v>
      </c>
      <c r="AT123" s="34">
        <v>0</v>
      </c>
      <c r="AU123" s="34">
        <v>0</v>
      </c>
      <c r="AV123" s="42">
        <v>4</v>
      </c>
      <c r="AW123" s="34">
        <v>0</v>
      </c>
      <c r="AX123" s="34">
        <v>0</v>
      </c>
      <c r="AY123" s="34">
        <v>0</v>
      </c>
      <c r="AZ123" s="32">
        <v>5</v>
      </c>
      <c r="BA123" s="70">
        <v>4</v>
      </c>
      <c r="BB123" s="98">
        <v>4.5</v>
      </c>
    </row>
    <row r="124" spans="1:54" ht="23.1" customHeight="1" x14ac:dyDescent="0.3">
      <c r="A124" s="100">
        <v>120</v>
      </c>
      <c r="B124" s="83" t="s">
        <v>150</v>
      </c>
      <c r="C124" s="84" t="s">
        <v>151</v>
      </c>
      <c r="D124" s="83" t="s">
        <v>450</v>
      </c>
      <c r="E124" s="83" t="s">
        <v>35</v>
      </c>
      <c r="F124" s="83" t="str">
        <f>REPT(CHAR(160),10)&amp;Working!$E124</f>
        <v>          A</v>
      </c>
      <c r="G124" s="74">
        <v>0</v>
      </c>
      <c r="H124" s="74">
        <v>0</v>
      </c>
      <c r="I124" s="74">
        <v>4</v>
      </c>
      <c r="J124" s="74">
        <v>0</v>
      </c>
      <c r="K124" s="85">
        <v>0</v>
      </c>
      <c r="L124" s="80">
        <v>4</v>
      </c>
      <c r="M124" s="74">
        <v>0</v>
      </c>
      <c r="N124" s="74">
        <v>4</v>
      </c>
      <c r="O124" s="74">
        <v>4</v>
      </c>
      <c r="P124" s="92">
        <v>0</v>
      </c>
      <c r="Q124" s="93">
        <v>4</v>
      </c>
      <c r="R124" s="43">
        <v>4</v>
      </c>
      <c r="S124" s="32">
        <v>0</v>
      </c>
      <c r="T124" s="16">
        <v>0</v>
      </c>
      <c r="U124" s="68">
        <v>0</v>
      </c>
      <c r="V124" s="16">
        <v>0</v>
      </c>
      <c r="W124" s="16">
        <v>0</v>
      </c>
      <c r="X124" s="42">
        <v>0</v>
      </c>
      <c r="Y124" s="16">
        <v>4</v>
      </c>
      <c r="Z124" s="16">
        <v>0</v>
      </c>
      <c r="AA124" s="16">
        <v>0</v>
      </c>
      <c r="AB124" s="16">
        <v>0</v>
      </c>
      <c r="AC124" s="16">
        <v>0</v>
      </c>
      <c r="AD124" s="42">
        <v>4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42">
        <v>0</v>
      </c>
      <c r="AK124" s="31">
        <v>4</v>
      </c>
      <c r="AL124" s="31">
        <v>4</v>
      </c>
      <c r="AM124" s="68">
        <v>0</v>
      </c>
      <c r="AN124" s="31">
        <v>3</v>
      </c>
      <c r="AO124" s="16">
        <v>0</v>
      </c>
      <c r="AP124" s="43">
        <v>3.6666666666666665</v>
      </c>
      <c r="AQ124" s="32">
        <v>3</v>
      </c>
      <c r="AR124" s="16">
        <v>0</v>
      </c>
      <c r="AS124" s="30">
        <v>0</v>
      </c>
      <c r="AT124" s="16">
        <v>0</v>
      </c>
      <c r="AU124" s="16">
        <v>0</v>
      </c>
      <c r="AV124" s="42">
        <v>3</v>
      </c>
      <c r="AW124" s="16">
        <v>0</v>
      </c>
      <c r="AX124" s="16">
        <v>0</v>
      </c>
      <c r="AY124" s="34">
        <v>0</v>
      </c>
      <c r="AZ124" s="32">
        <v>2</v>
      </c>
      <c r="BA124" s="70">
        <v>5</v>
      </c>
      <c r="BB124" s="98">
        <v>3.5</v>
      </c>
    </row>
    <row r="125" spans="1:54" ht="23.1" customHeight="1" x14ac:dyDescent="0.3">
      <c r="A125" s="99">
        <v>121</v>
      </c>
      <c r="B125" s="76" t="s">
        <v>360</v>
      </c>
      <c r="C125" s="77" t="s">
        <v>361</v>
      </c>
      <c r="D125" s="76" t="s">
        <v>450</v>
      </c>
      <c r="E125" s="76" t="s">
        <v>493</v>
      </c>
      <c r="F125" s="76" t="str">
        <f>REPT(CHAR(160),10)&amp;Working!$E125</f>
        <v>          C</v>
      </c>
      <c r="G125" s="78">
        <v>0</v>
      </c>
      <c r="H125" s="78">
        <v>0</v>
      </c>
      <c r="I125" s="78">
        <v>1</v>
      </c>
      <c r="J125" s="78">
        <v>0</v>
      </c>
      <c r="K125" s="79">
        <v>0</v>
      </c>
      <c r="L125" s="80">
        <v>1</v>
      </c>
      <c r="M125" s="78">
        <v>0</v>
      </c>
      <c r="N125" s="78">
        <v>3</v>
      </c>
      <c r="O125" s="78">
        <v>1</v>
      </c>
      <c r="P125" s="81">
        <v>0</v>
      </c>
      <c r="Q125" s="82">
        <v>1</v>
      </c>
      <c r="R125" s="43">
        <v>1.6666666666666667</v>
      </c>
      <c r="S125" s="32">
        <v>0</v>
      </c>
      <c r="T125" s="34">
        <v>0</v>
      </c>
      <c r="U125" s="65">
        <v>0</v>
      </c>
      <c r="V125" s="34">
        <v>0</v>
      </c>
      <c r="W125" s="34">
        <v>0</v>
      </c>
      <c r="X125" s="42">
        <v>0</v>
      </c>
      <c r="Y125" s="34">
        <v>2</v>
      </c>
      <c r="Z125" s="34">
        <v>0</v>
      </c>
      <c r="AA125" s="34">
        <v>0</v>
      </c>
      <c r="AB125" s="34">
        <v>0</v>
      </c>
      <c r="AC125" s="34">
        <v>0</v>
      </c>
      <c r="AD125" s="42">
        <v>2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42">
        <v>0</v>
      </c>
      <c r="AK125" s="33">
        <v>1</v>
      </c>
      <c r="AL125" s="33">
        <v>2</v>
      </c>
      <c r="AM125" s="65">
        <v>0</v>
      </c>
      <c r="AN125" s="33">
        <v>2</v>
      </c>
      <c r="AO125" s="34">
        <v>0</v>
      </c>
      <c r="AP125" s="43">
        <v>1.6666666666666667</v>
      </c>
      <c r="AQ125" s="32">
        <v>4</v>
      </c>
      <c r="AR125" s="34">
        <v>0</v>
      </c>
      <c r="AS125" s="71">
        <v>0</v>
      </c>
      <c r="AT125" s="34">
        <v>0</v>
      </c>
      <c r="AU125" s="34">
        <v>0</v>
      </c>
      <c r="AV125" s="42">
        <v>4</v>
      </c>
      <c r="AW125" s="34">
        <v>0</v>
      </c>
      <c r="AX125" s="34">
        <v>0</v>
      </c>
      <c r="AY125" s="34">
        <v>0</v>
      </c>
      <c r="AZ125" s="32">
        <v>1</v>
      </c>
      <c r="BA125" s="70">
        <v>3</v>
      </c>
      <c r="BB125" s="98">
        <v>2</v>
      </c>
    </row>
    <row r="126" spans="1:54" ht="23.1" customHeight="1" x14ac:dyDescent="0.3">
      <c r="A126" s="100">
        <v>122</v>
      </c>
      <c r="B126" s="83" t="s">
        <v>362</v>
      </c>
      <c r="C126" s="84" t="s">
        <v>363</v>
      </c>
      <c r="D126" s="83" t="s">
        <v>450</v>
      </c>
      <c r="E126" s="83" t="s">
        <v>493</v>
      </c>
      <c r="F126" s="83" t="str">
        <f>REPT(CHAR(160),10)&amp;Working!$E126</f>
        <v>          C</v>
      </c>
      <c r="G126" s="74">
        <v>0</v>
      </c>
      <c r="H126" s="74">
        <v>0</v>
      </c>
      <c r="I126" s="74">
        <v>2</v>
      </c>
      <c r="J126" s="74">
        <v>0</v>
      </c>
      <c r="K126" s="85">
        <v>0</v>
      </c>
      <c r="L126" s="80">
        <v>2</v>
      </c>
      <c r="M126" s="74">
        <v>0</v>
      </c>
      <c r="N126" s="74">
        <v>4</v>
      </c>
      <c r="O126" s="74">
        <v>3</v>
      </c>
      <c r="P126" s="86">
        <v>0</v>
      </c>
      <c r="Q126" s="87">
        <v>3</v>
      </c>
      <c r="R126" s="43">
        <v>3.3333333333333335</v>
      </c>
      <c r="S126" s="32">
        <v>0</v>
      </c>
      <c r="T126" s="16">
        <v>0</v>
      </c>
      <c r="U126" s="64">
        <v>0</v>
      </c>
      <c r="V126" s="16">
        <v>0</v>
      </c>
      <c r="W126" s="16">
        <v>0</v>
      </c>
      <c r="X126" s="42">
        <v>0</v>
      </c>
      <c r="Y126" s="16">
        <v>4</v>
      </c>
      <c r="Z126" s="16">
        <v>0</v>
      </c>
      <c r="AA126" s="16">
        <v>0</v>
      </c>
      <c r="AB126" s="16">
        <v>0</v>
      </c>
      <c r="AC126" s="16">
        <v>0</v>
      </c>
      <c r="AD126" s="42">
        <v>4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42">
        <v>0</v>
      </c>
      <c r="AK126" s="24">
        <v>3</v>
      </c>
      <c r="AL126" s="24">
        <v>3</v>
      </c>
      <c r="AM126" s="64">
        <v>0</v>
      </c>
      <c r="AN126" s="24">
        <v>4</v>
      </c>
      <c r="AO126" s="16">
        <v>0</v>
      </c>
      <c r="AP126" s="43">
        <v>3.3333333333333335</v>
      </c>
      <c r="AQ126" s="32">
        <v>4</v>
      </c>
      <c r="AR126" s="16">
        <v>0</v>
      </c>
      <c r="AS126" s="31">
        <v>0</v>
      </c>
      <c r="AT126" s="16">
        <v>0</v>
      </c>
      <c r="AU126" s="16">
        <v>0</v>
      </c>
      <c r="AV126" s="42">
        <v>4</v>
      </c>
      <c r="AW126" s="16">
        <v>0</v>
      </c>
      <c r="AX126" s="16">
        <v>0</v>
      </c>
      <c r="AY126" s="34">
        <v>0</v>
      </c>
      <c r="AZ126" s="32">
        <v>3</v>
      </c>
      <c r="BA126" s="70">
        <v>2</v>
      </c>
      <c r="BB126" s="98">
        <v>2.5</v>
      </c>
    </row>
    <row r="127" spans="1:54" ht="23.1" customHeight="1" x14ac:dyDescent="0.3">
      <c r="A127" s="99">
        <v>123</v>
      </c>
      <c r="B127" s="76" t="s">
        <v>364</v>
      </c>
      <c r="C127" s="77" t="s">
        <v>365</v>
      </c>
      <c r="D127" s="76" t="s">
        <v>450</v>
      </c>
      <c r="E127" s="76" t="s">
        <v>493</v>
      </c>
      <c r="F127" s="76" t="str">
        <f>REPT(CHAR(160),10)&amp;Working!$E127</f>
        <v>          C</v>
      </c>
      <c r="G127" s="78">
        <v>0</v>
      </c>
      <c r="H127" s="78">
        <v>0</v>
      </c>
      <c r="I127" s="78">
        <v>4</v>
      </c>
      <c r="J127" s="78">
        <v>0</v>
      </c>
      <c r="K127" s="79">
        <v>0</v>
      </c>
      <c r="L127" s="80">
        <v>4</v>
      </c>
      <c r="M127" s="78">
        <v>0</v>
      </c>
      <c r="N127" s="78">
        <v>3</v>
      </c>
      <c r="O127" s="78">
        <v>4</v>
      </c>
      <c r="P127" s="81">
        <v>0</v>
      </c>
      <c r="Q127" s="82">
        <v>4</v>
      </c>
      <c r="R127" s="43">
        <v>3.6666666666666665</v>
      </c>
      <c r="S127" s="32">
        <v>0</v>
      </c>
      <c r="T127" s="34">
        <v>0</v>
      </c>
      <c r="U127" s="65">
        <v>0</v>
      </c>
      <c r="V127" s="34">
        <v>0</v>
      </c>
      <c r="W127" s="34">
        <v>0</v>
      </c>
      <c r="X127" s="42">
        <v>0</v>
      </c>
      <c r="Y127" s="34">
        <v>4</v>
      </c>
      <c r="Z127" s="34">
        <v>0</v>
      </c>
      <c r="AA127" s="34">
        <v>0</v>
      </c>
      <c r="AB127" s="34">
        <v>0</v>
      </c>
      <c r="AC127" s="34">
        <v>0</v>
      </c>
      <c r="AD127" s="42">
        <v>4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42">
        <v>0</v>
      </c>
      <c r="AK127" s="33">
        <v>4</v>
      </c>
      <c r="AL127" s="33">
        <v>3</v>
      </c>
      <c r="AM127" s="65">
        <v>0</v>
      </c>
      <c r="AN127" s="33">
        <v>3</v>
      </c>
      <c r="AO127" s="34">
        <v>0</v>
      </c>
      <c r="AP127" s="43">
        <v>3.3333333333333335</v>
      </c>
      <c r="AQ127" s="32">
        <v>3</v>
      </c>
      <c r="AR127" s="34">
        <v>0</v>
      </c>
      <c r="AS127" s="71">
        <v>0</v>
      </c>
      <c r="AT127" s="34">
        <v>0</v>
      </c>
      <c r="AU127" s="34">
        <v>0</v>
      </c>
      <c r="AV127" s="42">
        <v>3</v>
      </c>
      <c r="AW127" s="34">
        <v>0</v>
      </c>
      <c r="AX127" s="34">
        <v>0</v>
      </c>
      <c r="AY127" s="34">
        <v>0</v>
      </c>
      <c r="AZ127" s="32">
        <v>2</v>
      </c>
      <c r="BA127" s="70">
        <v>4</v>
      </c>
      <c r="BB127" s="98">
        <v>3</v>
      </c>
    </row>
    <row r="128" spans="1:54" ht="23.1" customHeight="1" x14ac:dyDescent="0.3">
      <c r="A128" s="100">
        <v>124</v>
      </c>
      <c r="B128" s="83" t="s">
        <v>54</v>
      </c>
      <c r="C128" s="84" t="s">
        <v>55</v>
      </c>
      <c r="D128" s="83" t="s">
        <v>450</v>
      </c>
      <c r="E128" s="83" t="s">
        <v>35</v>
      </c>
      <c r="F128" s="83" t="str">
        <f>REPT(CHAR(160),10)&amp;Working!$E128</f>
        <v>          A</v>
      </c>
      <c r="G128" s="74">
        <v>0</v>
      </c>
      <c r="H128" s="74">
        <v>0</v>
      </c>
      <c r="I128" s="74">
        <v>5</v>
      </c>
      <c r="J128" s="74">
        <v>0</v>
      </c>
      <c r="K128" s="85">
        <v>0</v>
      </c>
      <c r="L128" s="80">
        <v>5</v>
      </c>
      <c r="M128" s="74">
        <v>0</v>
      </c>
      <c r="N128" s="74">
        <v>5</v>
      </c>
      <c r="O128" s="74">
        <v>5</v>
      </c>
      <c r="P128" s="88">
        <v>0</v>
      </c>
      <c r="Q128" s="89">
        <v>5</v>
      </c>
      <c r="R128" s="43">
        <v>5</v>
      </c>
      <c r="S128" s="32">
        <v>0</v>
      </c>
      <c r="T128" s="16">
        <v>0</v>
      </c>
      <c r="U128" s="66">
        <v>0</v>
      </c>
      <c r="V128" s="16">
        <v>0</v>
      </c>
      <c r="W128" s="16">
        <v>0</v>
      </c>
      <c r="X128" s="42">
        <v>0</v>
      </c>
      <c r="Y128" s="16">
        <v>5</v>
      </c>
      <c r="Z128" s="16">
        <v>0</v>
      </c>
      <c r="AA128" s="16">
        <v>0</v>
      </c>
      <c r="AB128" s="16">
        <v>0</v>
      </c>
      <c r="AC128" s="16">
        <v>0</v>
      </c>
      <c r="AD128" s="42">
        <v>5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42">
        <v>0</v>
      </c>
      <c r="AK128" s="29">
        <v>5</v>
      </c>
      <c r="AL128" s="29">
        <v>4</v>
      </c>
      <c r="AM128" s="66">
        <v>0</v>
      </c>
      <c r="AN128" s="29">
        <v>5</v>
      </c>
      <c r="AO128" s="16">
        <v>0</v>
      </c>
      <c r="AP128" s="43">
        <v>4.666666666666667</v>
      </c>
      <c r="AQ128" s="32">
        <v>5</v>
      </c>
      <c r="AR128" s="16">
        <v>0</v>
      </c>
      <c r="AS128" s="30">
        <v>0</v>
      </c>
      <c r="AT128" s="16">
        <v>0</v>
      </c>
      <c r="AU128" s="16">
        <v>0</v>
      </c>
      <c r="AV128" s="42">
        <v>5</v>
      </c>
      <c r="AW128" s="16">
        <v>0</v>
      </c>
      <c r="AX128" s="16">
        <v>0</v>
      </c>
      <c r="AY128" s="34">
        <v>0</v>
      </c>
      <c r="AZ128" s="32">
        <v>4</v>
      </c>
      <c r="BA128" s="70">
        <v>5</v>
      </c>
      <c r="BB128" s="98">
        <v>4.5</v>
      </c>
    </row>
    <row r="129" spans="1:54" ht="23.1" customHeight="1" x14ac:dyDescent="0.3">
      <c r="A129" s="99">
        <v>125</v>
      </c>
      <c r="B129" s="76" t="s">
        <v>219</v>
      </c>
      <c r="C129" s="77" t="s">
        <v>220</v>
      </c>
      <c r="D129" s="76" t="s">
        <v>542</v>
      </c>
      <c r="E129" s="76" t="s">
        <v>161</v>
      </c>
      <c r="F129" s="76" t="str">
        <f>REPT(CHAR(160),10)&amp;Working!$E129</f>
        <v>          B</v>
      </c>
      <c r="G129" s="78">
        <v>0</v>
      </c>
      <c r="H129" s="78">
        <v>0</v>
      </c>
      <c r="I129" s="78">
        <v>5</v>
      </c>
      <c r="J129" s="78">
        <v>0</v>
      </c>
      <c r="K129" s="79">
        <v>0</v>
      </c>
      <c r="L129" s="80">
        <v>5</v>
      </c>
      <c r="M129" s="78">
        <v>0</v>
      </c>
      <c r="N129" s="78">
        <v>5</v>
      </c>
      <c r="O129" s="78">
        <v>5</v>
      </c>
      <c r="P129" s="81">
        <v>0</v>
      </c>
      <c r="Q129" s="82">
        <v>5</v>
      </c>
      <c r="R129" s="43">
        <v>5</v>
      </c>
      <c r="S129" s="32">
        <v>0</v>
      </c>
      <c r="T129" s="34">
        <v>0</v>
      </c>
      <c r="U129" s="65">
        <v>0</v>
      </c>
      <c r="V129" s="34">
        <v>0</v>
      </c>
      <c r="W129" s="34">
        <v>0</v>
      </c>
      <c r="X129" s="42">
        <v>0</v>
      </c>
      <c r="Y129" s="34">
        <v>5</v>
      </c>
      <c r="Z129" s="34">
        <v>0</v>
      </c>
      <c r="AA129" s="34">
        <v>0</v>
      </c>
      <c r="AB129" s="34">
        <v>0</v>
      </c>
      <c r="AC129" s="34">
        <v>0</v>
      </c>
      <c r="AD129" s="42">
        <v>5</v>
      </c>
      <c r="AE129" s="34">
        <v>0</v>
      </c>
      <c r="AF129" s="34">
        <v>0</v>
      </c>
      <c r="AG129" s="34">
        <v>0</v>
      </c>
      <c r="AH129" s="34">
        <v>0</v>
      </c>
      <c r="AI129" s="34">
        <v>0</v>
      </c>
      <c r="AJ129" s="42">
        <v>0</v>
      </c>
      <c r="AK129" s="33">
        <v>4</v>
      </c>
      <c r="AL129" s="33">
        <v>3</v>
      </c>
      <c r="AM129" s="65">
        <v>0</v>
      </c>
      <c r="AN129" s="33">
        <v>5</v>
      </c>
      <c r="AO129" s="34">
        <v>0</v>
      </c>
      <c r="AP129" s="43">
        <v>4</v>
      </c>
      <c r="AQ129" s="32">
        <v>4</v>
      </c>
      <c r="AR129" s="34">
        <v>0</v>
      </c>
      <c r="AS129" s="71">
        <v>0</v>
      </c>
      <c r="AT129" s="34">
        <v>0</v>
      </c>
      <c r="AU129" s="34">
        <v>0</v>
      </c>
      <c r="AV129" s="42">
        <v>4</v>
      </c>
      <c r="AW129" s="34">
        <v>0</v>
      </c>
      <c r="AX129" s="34">
        <v>0</v>
      </c>
      <c r="AY129" s="34">
        <v>0</v>
      </c>
      <c r="AZ129" s="32">
        <v>4</v>
      </c>
      <c r="BA129" s="70">
        <v>5</v>
      </c>
      <c r="BB129" s="98">
        <v>4.5</v>
      </c>
    </row>
    <row r="130" spans="1:54" ht="23.1" customHeight="1" x14ac:dyDescent="0.3">
      <c r="A130" s="100">
        <v>126</v>
      </c>
      <c r="B130" s="83" t="s">
        <v>237</v>
      </c>
      <c r="C130" s="84" t="s">
        <v>238</v>
      </c>
      <c r="D130" s="83" t="s">
        <v>542</v>
      </c>
      <c r="E130" s="83" t="s">
        <v>161</v>
      </c>
      <c r="F130" s="83" t="str">
        <f>REPT(CHAR(160),10)&amp;Working!$E130</f>
        <v>          B</v>
      </c>
      <c r="G130" s="74">
        <v>0</v>
      </c>
      <c r="H130" s="74">
        <v>0</v>
      </c>
      <c r="I130" s="74">
        <v>3</v>
      </c>
      <c r="J130" s="74">
        <v>0</v>
      </c>
      <c r="K130" s="85">
        <v>0</v>
      </c>
      <c r="L130" s="80">
        <v>3</v>
      </c>
      <c r="M130" s="74">
        <v>0</v>
      </c>
      <c r="N130" s="74">
        <v>3</v>
      </c>
      <c r="O130" s="74">
        <v>2</v>
      </c>
      <c r="P130" s="86">
        <v>0</v>
      </c>
      <c r="Q130" s="87">
        <v>2</v>
      </c>
      <c r="R130" s="43">
        <v>2.3333333333333335</v>
      </c>
      <c r="S130" s="32">
        <v>0</v>
      </c>
      <c r="T130" s="16">
        <v>0</v>
      </c>
      <c r="U130" s="64">
        <v>0</v>
      </c>
      <c r="V130" s="16">
        <v>0</v>
      </c>
      <c r="W130" s="16">
        <v>0</v>
      </c>
      <c r="X130" s="42">
        <v>0</v>
      </c>
      <c r="Y130" s="16">
        <v>2</v>
      </c>
      <c r="Z130" s="16">
        <v>0</v>
      </c>
      <c r="AA130" s="16">
        <v>0</v>
      </c>
      <c r="AB130" s="16">
        <v>0</v>
      </c>
      <c r="AC130" s="16">
        <v>0</v>
      </c>
      <c r="AD130" s="42">
        <v>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42">
        <v>0</v>
      </c>
      <c r="AK130" s="24">
        <v>2</v>
      </c>
      <c r="AL130" s="24">
        <v>3</v>
      </c>
      <c r="AM130" s="64">
        <v>0</v>
      </c>
      <c r="AN130" s="24">
        <v>2</v>
      </c>
      <c r="AO130" s="16">
        <v>0</v>
      </c>
      <c r="AP130" s="43">
        <v>2.3333333333333335</v>
      </c>
      <c r="AQ130" s="32">
        <v>3</v>
      </c>
      <c r="AR130" s="16">
        <v>0</v>
      </c>
      <c r="AS130" s="31">
        <v>0</v>
      </c>
      <c r="AT130" s="16">
        <v>0</v>
      </c>
      <c r="AU130" s="16">
        <v>0</v>
      </c>
      <c r="AV130" s="42">
        <v>3</v>
      </c>
      <c r="AW130" s="16">
        <v>0</v>
      </c>
      <c r="AX130" s="16">
        <v>0</v>
      </c>
      <c r="AY130" s="34">
        <v>0</v>
      </c>
      <c r="AZ130" s="32">
        <v>2</v>
      </c>
      <c r="BA130" s="70">
        <v>3</v>
      </c>
      <c r="BB130" s="98">
        <v>2.5</v>
      </c>
    </row>
    <row r="131" spans="1:54" ht="23.1" customHeight="1" x14ac:dyDescent="0.3">
      <c r="A131" s="99">
        <v>127</v>
      </c>
      <c r="B131" s="76" t="s">
        <v>366</v>
      </c>
      <c r="C131" s="77" t="s">
        <v>367</v>
      </c>
      <c r="D131" s="76" t="s">
        <v>542</v>
      </c>
      <c r="E131" s="76" t="s">
        <v>493</v>
      </c>
      <c r="F131" s="76" t="str">
        <f>REPT(CHAR(160),10)&amp;Working!$E131</f>
        <v>          C</v>
      </c>
      <c r="G131" s="78">
        <v>0</v>
      </c>
      <c r="H131" s="78">
        <v>0</v>
      </c>
      <c r="I131" s="78">
        <v>5</v>
      </c>
      <c r="J131" s="78">
        <v>0</v>
      </c>
      <c r="K131" s="79">
        <v>0</v>
      </c>
      <c r="L131" s="80">
        <v>5</v>
      </c>
      <c r="M131" s="78">
        <v>0</v>
      </c>
      <c r="N131" s="78">
        <v>4</v>
      </c>
      <c r="O131" s="78">
        <v>4</v>
      </c>
      <c r="P131" s="81">
        <v>0</v>
      </c>
      <c r="Q131" s="82">
        <v>4</v>
      </c>
      <c r="R131" s="43">
        <v>4</v>
      </c>
      <c r="S131" s="32">
        <v>0</v>
      </c>
      <c r="T131" s="34">
        <v>0</v>
      </c>
      <c r="U131" s="65">
        <v>0</v>
      </c>
      <c r="V131" s="34">
        <v>0</v>
      </c>
      <c r="W131" s="34">
        <v>0</v>
      </c>
      <c r="X131" s="42">
        <v>0</v>
      </c>
      <c r="Y131" s="34">
        <v>4</v>
      </c>
      <c r="Z131" s="34">
        <v>0</v>
      </c>
      <c r="AA131" s="34">
        <v>0</v>
      </c>
      <c r="AB131" s="34">
        <v>0</v>
      </c>
      <c r="AC131" s="34">
        <v>0</v>
      </c>
      <c r="AD131" s="42">
        <v>4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42">
        <v>0</v>
      </c>
      <c r="AK131" s="33">
        <v>4</v>
      </c>
      <c r="AL131" s="33">
        <v>4</v>
      </c>
      <c r="AM131" s="65">
        <v>0</v>
      </c>
      <c r="AN131" s="33">
        <v>4</v>
      </c>
      <c r="AO131" s="34">
        <v>0</v>
      </c>
      <c r="AP131" s="43">
        <v>4</v>
      </c>
      <c r="AQ131" s="32">
        <v>5</v>
      </c>
      <c r="AR131" s="34">
        <v>0</v>
      </c>
      <c r="AS131" s="71">
        <v>0</v>
      </c>
      <c r="AT131" s="34">
        <v>0</v>
      </c>
      <c r="AU131" s="34">
        <v>0</v>
      </c>
      <c r="AV131" s="42">
        <v>5</v>
      </c>
      <c r="AW131" s="34">
        <v>0</v>
      </c>
      <c r="AX131" s="34">
        <v>0</v>
      </c>
      <c r="AY131" s="34">
        <v>0</v>
      </c>
      <c r="AZ131" s="32">
        <v>3</v>
      </c>
      <c r="BA131" s="70">
        <v>4</v>
      </c>
      <c r="BB131" s="98">
        <v>3.5</v>
      </c>
    </row>
    <row r="132" spans="1:54" ht="23.1" customHeight="1" x14ac:dyDescent="0.3">
      <c r="A132" s="100">
        <v>128</v>
      </c>
      <c r="B132" s="83" t="s">
        <v>368</v>
      </c>
      <c r="C132" s="84" t="s">
        <v>369</v>
      </c>
      <c r="D132" s="83" t="s">
        <v>450</v>
      </c>
      <c r="E132" s="83" t="s">
        <v>493</v>
      </c>
      <c r="F132" s="83" t="str">
        <f>REPT(CHAR(160),10)&amp;Working!$E132</f>
        <v>          C</v>
      </c>
      <c r="G132" s="74">
        <v>0</v>
      </c>
      <c r="H132" s="74">
        <v>0</v>
      </c>
      <c r="I132" s="74">
        <v>0</v>
      </c>
      <c r="J132" s="74">
        <v>0</v>
      </c>
      <c r="K132" s="85">
        <v>0</v>
      </c>
      <c r="L132" s="80">
        <v>0</v>
      </c>
      <c r="M132" s="74">
        <v>0</v>
      </c>
      <c r="N132" s="74">
        <v>0</v>
      </c>
      <c r="O132" s="74">
        <v>0</v>
      </c>
      <c r="P132" s="86">
        <v>0</v>
      </c>
      <c r="Q132" s="87">
        <v>0</v>
      </c>
      <c r="R132" s="43">
        <v>0</v>
      </c>
      <c r="S132" s="32">
        <v>0</v>
      </c>
      <c r="T132" s="16">
        <v>0</v>
      </c>
      <c r="U132" s="64">
        <v>0</v>
      </c>
      <c r="V132" s="16">
        <v>0</v>
      </c>
      <c r="W132" s="16">
        <v>0</v>
      </c>
      <c r="X132" s="42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42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42">
        <v>0</v>
      </c>
      <c r="AK132" s="24">
        <v>0</v>
      </c>
      <c r="AL132" s="24">
        <v>0</v>
      </c>
      <c r="AM132" s="64">
        <v>0</v>
      </c>
      <c r="AN132" s="24">
        <v>0</v>
      </c>
      <c r="AO132" s="16">
        <v>0</v>
      </c>
      <c r="AP132" s="43">
        <v>0</v>
      </c>
      <c r="AQ132" s="32">
        <v>0</v>
      </c>
      <c r="AR132" s="16">
        <v>0</v>
      </c>
      <c r="AS132" s="30">
        <v>0</v>
      </c>
      <c r="AT132" s="16">
        <v>0</v>
      </c>
      <c r="AU132" s="16">
        <v>0</v>
      </c>
      <c r="AV132" s="42">
        <v>0</v>
      </c>
      <c r="AW132" s="16">
        <v>0</v>
      </c>
      <c r="AX132" s="16">
        <v>0</v>
      </c>
      <c r="AY132" s="34">
        <v>0</v>
      </c>
      <c r="AZ132" s="32">
        <v>0</v>
      </c>
      <c r="BA132" s="70">
        <v>0</v>
      </c>
      <c r="BB132" s="98">
        <v>0</v>
      </c>
    </row>
    <row r="133" spans="1:54" ht="23.1" customHeight="1" x14ac:dyDescent="0.3">
      <c r="A133" s="99">
        <v>129</v>
      </c>
      <c r="B133" s="76" t="s">
        <v>251</v>
      </c>
      <c r="C133" s="77" t="s">
        <v>252</v>
      </c>
      <c r="D133" s="76" t="s">
        <v>542</v>
      </c>
      <c r="E133" s="76" t="s">
        <v>161</v>
      </c>
      <c r="F133" s="76" t="str">
        <f>REPT(CHAR(160),10)&amp;Working!$E133</f>
        <v>          B</v>
      </c>
      <c r="G133" s="78">
        <v>0</v>
      </c>
      <c r="H133" s="78">
        <v>0</v>
      </c>
      <c r="I133" s="78">
        <v>5</v>
      </c>
      <c r="J133" s="78">
        <v>0</v>
      </c>
      <c r="K133" s="79">
        <v>0</v>
      </c>
      <c r="L133" s="80">
        <v>5</v>
      </c>
      <c r="M133" s="78">
        <v>0</v>
      </c>
      <c r="N133" s="78">
        <v>5</v>
      </c>
      <c r="O133" s="78">
        <v>5</v>
      </c>
      <c r="P133" s="81">
        <v>0</v>
      </c>
      <c r="Q133" s="82">
        <v>5</v>
      </c>
      <c r="R133" s="43">
        <v>5</v>
      </c>
      <c r="S133" s="32">
        <v>0</v>
      </c>
      <c r="T133" s="34">
        <v>0</v>
      </c>
      <c r="U133" s="65">
        <v>0</v>
      </c>
      <c r="V133" s="34">
        <v>0</v>
      </c>
      <c r="W133" s="34">
        <v>0</v>
      </c>
      <c r="X133" s="42">
        <v>0</v>
      </c>
      <c r="Y133" s="34">
        <v>5</v>
      </c>
      <c r="Z133" s="34">
        <v>0</v>
      </c>
      <c r="AA133" s="34">
        <v>0</v>
      </c>
      <c r="AB133" s="34">
        <v>0</v>
      </c>
      <c r="AC133" s="34">
        <v>0</v>
      </c>
      <c r="AD133" s="42">
        <v>5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42">
        <v>0</v>
      </c>
      <c r="AK133" s="33">
        <v>5</v>
      </c>
      <c r="AL133" s="33">
        <v>5</v>
      </c>
      <c r="AM133" s="65">
        <v>0</v>
      </c>
      <c r="AN133" s="33">
        <v>4</v>
      </c>
      <c r="AO133" s="34">
        <v>0</v>
      </c>
      <c r="AP133" s="43">
        <v>4.666666666666667</v>
      </c>
      <c r="AQ133" s="32">
        <v>4</v>
      </c>
      <c r="AR133" s="34">
        <v>0</v>
      </c>
      <c r="AS133" s="71">
        <v>0</v>
      </c>
      <c r="AT133" s="34">
        <v>0</v>
      </c>
      <c r="AU133" s="34">
        <v>0</v>
      </c>
      <c r="AV133" s="42">
        <v>4</v>
      </c>
      <c r="AW133" s="34">
        <v>0</v>
      </c>
      <c r="AX133" s="34">
        <v>0</v>
      </c>
      <c r="AY133" s="34">
        <v>0</v>
      </c>
      <c r="AZ133" s="32">
        <v>5</v>
      </c>
      <c r="BA133" s="70">
        <v>5</v>
      </c>
      <c r="BB133" s="98">
        <v>5</v>
      </c>
    </row>
    <row r="134" spans="1:54" ht="23.1" customHeight="1" x14ac:dyDescent="0.3">
      <c r="A134" s="100">
        <v>130</v>
      </c>
      <c r="B134" s="83" t="s">
        <v>56</v>
      </c>
      <c r="C134" s="84" t="s">
        <v>57</v>
      </c>
      <c r="D134" s="83" t="s">
        <v>450</v>
      </c>
      <c r="E134" s="83" t="s">
        <v>35</v>
      </c>
      <c r="F134" s="83" t="str">
        <f>REPT(CHAR(160),10)&amp;Working!$E134</f>
        <v>          A</v>
      </c>
      <c r="G134" s="74">
        <v>0</v>
      </c>
      <c r="H134" s="74">
        <v>0</v>
      </c>
      <c r="I134" s="74">
        <v>4</v>
      </c>
      <c r="J134" s="74">
        <v>0</v>
      </c>
      <c r="K134" s="85">
        <v>0</v>
      </c>
      <c r="L134" s="80">
        <v>4</v>
      </c>
      <c r="M134" s="74">
        <v>0</v>
      </c>
      <c r="N134" s="74">
        <v>3</v>
      </c>
      <c r="O134" s="74">
        <v>4</v>
      </c>
      <c r="P134" s="86">
        <v>0</v>
      </c>
      <c r="Q134" s="87">
        <v>4</v>
      </c>
      <c r="R134" s="43">
        <v>3.6666666666666665</v>
      </c>
      <c r="S134" s="32">
        <v>0</v>
      </c>
      <c r="T134" s="16">
        <v>0</v>
      </c>
      <c r="U134" s="64">
        <v>0</v>
      </c>
      <c r="V134" s="16">
        <v>0</v>
      </c>
      <c r="W134" s="16">
        <v>0</v>
      </c>
      <c r="X134" s="42">
        <v>0</v>
      </c>
      <c r="Y134" s="16">
        <v>3</v>
      </c>
      <c r="Z134" s="16">
        <v>0</v>
      </c>
      <c r="AA134" s="16">
        <v>0</v>
      </c>
      <c r="AB134" s="16">
        <v>0</v>
      </c>
      <c r="AC134" s="16">
        <v>0</v>
      </c>
      <c r="AD134" s="42">
        <v>3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42">
        <v>0</v>
      </c>
      <c r="AK134" s="24">
        <v>4</v>
      </c>
      <c r="AL134" s="24">
        <v>3</v>
      </c>
      <c r="AM134" s="64">
        <v>0</v>
      </c>
      <c r="AN134" s="24">
        <v>4</v>
      </c>
      <c r="AO134" s="16">
        <v>0</v>
      </c>
      <c r="AP134" s="43">
        <v>3.6666666666666665</v>
      </c>
      <c r="AQ134" s="32">
        <v>5</v>
      </c>
      <c r="AR134" s="16">
        <v>0</v>
      </c>
      <c r="AS134" s="30">
        <v>0</v>
      </c>
      <c r="AT134" s="16">
        <v>0</v>
      </c>
      <c r="AU134" s="16">
        <v>0</v>
      </c>
      <c r="AV134" s="42">
        <v>5</v>
      </c>
      <c r="AW134" s="16">
        <v>0</v>
      </c>
      <c r="AX134" s="16">
        <v>0</v>
      </c>
      <c r="AY134" s="34">
        <v>0</v>
      </c>
      <c r="AZ134" s="32">
        <v>5</v>
      </c>
      <c r="BA134" s="70">
        <v>4</v>
      </c>
      <c r="BB134" s="98">
        <v>4.5</v>
      </c>
    </row>
    <row r="135" spans="1:54" ht="23.1" customHeight="1" x14ac:dyDescent="0.3">
      <c r="A135" s="99">
        <v>131</v>
      </c>
      <c r="B135" s="76" t="s">
        <v>265</v>
      </c>
      <c r="C135" s="77" t="s">
        <v>266</v>
      </c>
      <c r="D135" s="76" t="s">
        <v>542</v>
      </c>
      <c r="E135" s="76" t="s">
        <v>161</v>
      </c>
      <c r="F135" s="76" t="str">
        <f>REPT(CHAR(160),10)&amp;Working!$E135</f>
        <v>          B</v>
      </c>
      <c r="G135" s="78">
        <v>0</v>
      </c>
      <c r="H135" s="78">
        <v>0</v>
      </c>
      <c r="I135" s="78">
        <v>5</v>
      </c>
      <c r="J135" s="78">
        <v>0</v>
      </c>
      <c r="K135" s="79">
        <v>0</v>
      </c>
      <c r="L135" s="80">
        <v>5</v>
      </c>
      <c r="M135" s="78">
        <v>0</v>
      </c>
      <c r="N135" s="78">
        <v>5</v>
      </c>
      <c r="O135" s="78">
        <v>4</v>
      </c>
      <c r="P135" s="81">
        <v>0</v>
      </c>
      <c r="Q135" s="82">
        <v>4</v>
      </c>
      <c r="R135" s="43">
        <v>4.333333333333333</v>
      </c>
      <c r="S135" s="32">
        <v>0</v>
      </c>
      <c r="T135" s="34">
        <v>0</v>
      </c>
      <c r="U135" s="65">
        <v>0</v>
      </c>
      <c r="V135" s="34">
        <v>0</v>
      </c>
      <c r="W135" s="34">
        <v>0</v>
      </c>
      <c r="X135" s="42">
        <v>0</v>
      </c>
      <c r="Y135" s="34">
        <v>5</v>
      </c>
      <c r="Z135" s="34">
        <v>0</v>
      </c>
      <c r="AA135" s="34">
        <v>0</v>
      </c>
      <c r="AB135" s="34">
        <v>0</v>
      </c>
      <c r="AC135" s="34">
        <v>0</v>
      </c>
      <c r="AD135" s="42">
        <v>5</v>
      </c>
      <c r="AE135" s="34">
        <v>0</v>
      </c>
      <c r="AF135" s="34">
        <v>0</v>
      </c>
      <c r="AG135" s="34">
        <v>0</v>
      </c>
      <c r="AH135" s="34">
        <v>0</v>
      </c>
      <c r="AI135" s="34">
        <v>0</v>
      </c>
      <c r="AJ135" s="42">
        <v>0</v>
      </c>
      <c r="AK135" s="33">
        <v>5</v>
      </c>
      <c r="AL135" s="33">
        <v>5</v>
      </c>
      <c r="AM135" s="65">
        <v>0</v>
      </c>
      <c r="AN135" s="33">
        <v>5</v>
      </c>
      <c r="AO135" s="34">
        <v>0</v>
      </c>
      <c r="AP135" s="43">
        <v>5</v>
      </c>
      <c r="AQ135" s="32">
        <v>5</v>
      </c>
      <c r="AR135" s="34">
        <v>0</v>
      </c>
      <c r="AS135" s="71">
        <v>0</v>
      </c>
      <c r="AT135" s="34">
        <v>0</v>
      </c>
      <c r="AU135" s="34">
        <v>0</v>
      </c>
      <c r="AV135" s="42">
        <v>5</v>
      </c>
      <c r="AW135" s="34">
        <v>0</v>
      </c>
      <c r="AX135" s="34">
        <v>0</v>
      </c>
      <c r="AY135" s="34">
        <v>0</v>
      </c>
      <c r="AZ135" s="32">
        <v>5</v>
      </c>
      <c r="BA135" s="70">
        <v>5</v>
      </c>
      <c r="BB135" s="98">
        <v>5</v>
      </c>
    </row>
    <row r="136" spans="1:54" ht="23.1" customHeight="1" x14ac:dyDescent="0.3">
      <c r="A136" s="100">
        <v>132</v>
      </c>
      <c r="B136" s="83" t="s">
        <v>79</v>
      </c>
      <c r="C136" s="84" t="s">
        <v>80</v>
      </c>
      <c r="D136" s="83" t="s">
        <v>542</v>
      </c>
      <c r="E136" s="83" t="s">
        <v>35</v>
      </c>
      <c r="F136" s="83" t="str">
        <f>REPT(CHAR(160),10)&amp;Working!$E136</f>
        <v>          A</v>
      </c>
      <c r="G136" s="74">
        <v>0</v>
      </c>
      <c r="H136" s="74">
        <v>0</v>
      </c>
      <c r="I136" s="74">
        <v>3</v>
      </c>
      <c r="J136" s="74">
        <v>0</v>
      </c>
      <c r="K136" s="85">
        <v>0</v>
      </c>
      <c r="L136" s="80">
        <v>3</v>
      </c>
      <c r="M136" s="74">
        <v>0</v>
      </c>
      <c r="N136" s="74">
        <v>4</v>
      </c>
      <c r="O136" s="74">
        <v>4</v>
      </c>
      <c r="P136" s="86">
        <v>0</v>
      </c>
      <c r="Q136" s="87">
        <v>4</v>
      </c>
      <c r="R136" s="43">
        <v>4</v>
      </c>
      <c r="S136" s="32">
        <v>0</v>
      </c>
      <c r="T136" s="16">
        <v>0</v>
      </c>
      <c r="U136" s="64">
        <v>0</v>
      </c>
      <c r="V136" s="16">
        <v>0</v>
      </c>
      <c r="W136" s="16">
        <v>0</v>
      </c>
      <c r="X136" s="42">
        <v>0</v>
      </c>
      <c r="Y136" s="16">
        <v>4</v>
      </c>
      <c r="Z136" s="16">
        <v>0</v>
      </c>
      <c r="AA136" s="16">
        <v>0</v>
      </c>
      <c r="AB136" s="16">
        <v>0</v>
      </c>
      <c r="AC136" s="16">
        <v>0</v>
      </c>
      <c r="AD136" s="42">
        <v>4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42">
        <v>0</v>
      </c>
      <c r="AK136" s="24">
        <v>3</v>
      </c>
      <c r="AL136" s="24">
        <v>3</v>
      </c>
      <c r="AM136" s="64">
        <v>0</v>
      </c>
      <c r="AN136" s="24">
        <v>4</v>
      </c>
      <c r="AO136" s="16">
        <v>0</v>
      </c>
      <c r="AP136" s="43">
        <v>3.3333333333333335</v>
      </c>
      <c r="AQ136" s="32">
        <v>3</v>
      </c>
      <c r="AR136" s="16">
        <v>0</v>
      </c>
      <c r="AS136" s="30">
        <v>0</v>
      </c>
      <c r="AT136" s="16">
        <v>0</v>
      </c>
      <c r="AU136" s="16">
        <v>0</v>
      </c>
      <c r="AV136" s="42">
        <v>3</v>
      </c>
      <c r="AW136" s="16">
        <v>0</v>
      </c>
      <c r="AX136" s="16">
        <v>0</v>
      </c>
      <c r="AY136" s="34">
        <v>0</v>
      </c>
      <c r="AZ136" s="32">
        <v>2</v>
      </c>
      <c r="BA136" s="70">
        <v>4</v>
      </c>
      <c r="BB136" s="98">
        <v>3</v>
      </c>
    </row>
    <row r="137" spans="1:54" ht="23.1" customHeight="1" x14ac:dyDescent="0.3">
      <c r="A137" s="99">
        <v>133</v>
      </c>
      <c r="B137" s="76" t="s">
        <v>85</v>
      </c>
      <c r="C137" s="77" t="s">
        <v>86</v>
      </c>
      <c r="D137" s="76" t="s">
        <v>450</v>
      </c>
      <c r="E137" s="76" t="s">
        <v>35</v>
      </c>
      <c r="F137" s="76" t="str">
        <f>REPT(CHAR(160),10)&amp;Working!$E137</f>
        <v>          A</v>
      </c>
      <c r="G137" s="78">
        <v>0</v>
      </c>
      <c r="H137" s="78">
        <v>0</v>
      </c>
      <c r="I137" s="78">
        <v>3</v>
      </c>
      <c r="J137" s="78">
        <v>0</v>
      </c>
      <c r="K137" s="79">
        <v>0</v>
      </c>
      <c r="L137" s="80">
        <v>3</v>
      </c>
      <c r="M137" s="78">
        <v>0</v>
      </c>
      <c r="N137" s="78">
        <v>3</v>
      </c>
      <c r="O137" s="78">
        <v>3</v>
      </c>
      <c r="P137" s="81">
        <v>0</v>
      </c>
      <c r="Q137" s="82">
        <v>3</v>
      </c>
      <c r="R137" s="43">
        <v>3</v>
      </c>
      <c r="S137" s="32">
        <v>0</v>
      </c>
      <c r="T137" s="34">
        <v>0</v>
      </c>
      <c r="U137" s="65">
        <v>0</v>
      </c>
      <c r="V137" s="34">
        <v>0</v>
      </c>
      <c r="W137" s="34">
        <v>0</v>
      </c>
      <c r="X137" s="42">
        <v>0</v>
      </c>
      <c r="Y137" s="34">
        <v>4</v>
      </c>
      <c r="Z137" s="34">
        <v>0</v>
      </c>
      <c r="AA137" s="34">
        <v>0</v>
      </c>
      <c r="AB137" s="34">
        <v>0</v>
      </c>
      <c r="AC137" s="34">
        <v>0</v>
      </c>
      <c r="AD137" s="42">
        <v>4</v>
      </c>
      <c r="AE137" s="34">
        <v>0</v>
      </c>
      <c r="AF137" s="34">
        <v>0</v>
      </c>
      <c r="AG137" s="34">
        <v>0</v>
      </c>
      <c r="AH137" s="34">
        <v>0</v>
      </c>
      <c r="AI137" s="34">
        <v>0</v>
      </c>
      <c r="AJ137" s="42">
        <v>0</v>
      </c>
      <c r="AK137" s="33">
        <v>2</v>
      </c>
      <c r="AL137" s="33">
        <v>1</v>
      </c>
      <c r="AM137" s="65">
        <v>0</v>
      </c>
      <c r="AN137" s="33">
        <v>3</v>
      </c>
      <c r="AO137" s="34">
        <v>0</v>
      </c>
      <c r="AP137" s="43">
        <v>2</v>
      </c>
      <c r="AQ137" s="32">
        <v>2</v>
      </c>
      <c r="AR137" s="34">
        <v>0</v>
      </c>
      <c r="AS137" s="71">
        <v>0</v>
      </c>
      <c r="AT137" s="34">
        <v>0</v>
      </c>
      <c r="AU137" s="34">
        <v>0</v>
      </c>
      <c r="AV137" s="42">
        <v>2</v>
      </c>
      <c r="AW137" s="34">
        <v>0</v>
      </c>
      <c r="AX137" s="34">
        <v>0</v>
      </c>
      <c r="AY137" s="34">
        <v>0</v>
      </c>
      <c r="AZ137" s="32">
        <v>3</v>
      </c>
      <c r="BA137" s="70">
        <v>3</v>
      </c>
      <c r="BB137" s="98">
        <v>3</v>
      </c>
    </row>
    <row r="138" spans="1:54" ht="23.1" customHeight="1" x14ac:dyDescent="0.3">
      <c r="A138" s="100">
        <v>134</v>
      </c>
      <c r="B138" s="83" t="s">
        <v>253</v>
      </c>
      <c r="C138" s="84" t="s">
        <v>254</v>
      </c>
      <c r="D138" s="83" t="s">
        <v>450</v>
      </c>
      <c r="E138" s="83" t="s">
        <v>161</v>
      </c>
      <c r="F138" s="83" t="str">
        <f>REPT(CHAR(160),10)&amp;Working!$E138</f>
        <v>          B</v>
      </c>
      <c r="G138" s="74">
        <v>0</v>
      </c>
      <c r="H138" s="74">
        <v>0</v>
      </c>
      <c r="I138" s="74">
        <v>2</v>
      </c>
      <c r="J138" s="74">
        <v>0</v>
      </c>
      <c r="K138" s="85">
        <v>0</v>
      </c>
      <c r="L138" s="80">
        <v>2</v>
      </c>
      <c r="M138" s="74">
        <v>0</v>
      </c>
      <c r="N138" s="74">
        <v>2</v>
      </c>
      <c r="O138" s="74">
        <v>2</v>
      </c>
      <c r="P138" s="83">
        <v>0</v>
      </c>
      <c r="Q138" s="94">
        <v>2</v>
      </c>
      <c r="R138" s="43">
        <v>2</v>
      </c>
      <c r="S138" s="32">
        <v>0</v>
      </c>
      <c r="T138" s="16">
        <v>0</v>
      </c>
      <c r="U138" s="22">
        <v>0</v>
      </c>
      <c r="V138" s="16">
        <v>0</v>
      </c>
      <c r="W138" s="16">
        <v>0</v>
      </c>
      <c r="X138" s="42">
        <v>0</v>
      </c>
      <c r="Y138" s="16">
        <v>1</v>
      </c>
      <c r="Z138" s="16">
        <v>0</v>
      </c>
      <c r="AA138" s="16">
        <v>0</v>
      </c>
      <c r="AB138" s="16">
        <v>0</v>
      </c>
      <c r="AC138" s="16">
        <v>0</v>
      </c>
      <c r="AD138" s="42">
        <v>1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42">
        <v>0</v>
      </c>
      <c r="AK138" s="7">
        <v>2</v>
      </c>
      <c r="AL138" s="7">
        <v>2</v>
      </c>
      <c r="AM138" s="22">
        <v>0</v>
      </c>
      <c r="AN138" s="7">
        <v>2</v>
      </c>
      <c r="AO138" s="16">
        <v>0</v>
      </c>
      <c r="AP138" s="43">
        <v>2</v>
      </c>
      <c r="AQ138" s="32">
        <v>1</v>
      </c>
      <c r="AR138" s="16">
        <v>0</v>
      </c>
      <c r="AS138" s="30">
        <v>0</v>
      </c>
      <c r="AT138" s="16">
        <v>0</v>
      </c>
      <c r="AU138" s="16">
        <v>0</v>
      </c>
      <c r="AV138" s="42">
        <v>1</v>
      </c>
      <c r="AW138" s="16">
        <v>0</v>
      </c>
      <c r="AX138" s="16">
        <v>0</v>
      </c>
      <c r="AY138" s="34">
        <v>0</v>
      </c>
      <c r="AZ138" s="32">
        <v>2</v>
      </c>
      <c r="BA138" s="70">
        <v>2</v>
      </c>
      <c r="BB138" s="98">
        <v>2</v>
      </c>
    </row>
    <row r="139" spans="1:54" ht="23.1" customHeight="1" x14ac:dyDescent="0.3">
      <c r="A139" s="99">
        <v>135</v>
      </c>
      <c r="B139" s="76" t="s">
        <v>370</v>
      </c>
      <c r="C139" s="77" t="s">
        <v>371</v>
      </c>
      <c r="D139" s="76" t="s">
        <v>450</v>
      </c>
      <c r="E139" s="76" t="s">
        <v>493</v>
      </c>
      <c r="F139" s="76" t="str">
        <f>REPT(CHAR(160),10)&amp;Working!$E139</f>
        <v>          C</v>
      </c>
      <c r="G139" s="78">
        <v>0</v>
      </c>
      <c r="H139" s="78">
        <v>0</v>
      </c>
      <c r="I139" s="78">
        <v>3</v>
      </c>
      <c r="J139" s="78">
        <v>0</v>
      </c>
      <c r="K139" s="79">
        <v>0</v>
      </c>
      <c r="L139" s="80">
        <v>3</v>
      </c>
      <c r="M139" s="78">
        <v>0</v>
      </c>
      <c r="N139" s="78">
        <v>4</v>
      </c>
      <c r="O139" s="78">
        <v>4</v>
      </c>
      <c r="P139" s="76">
        <v>0</v>
      </c>
      <c r="Q139" s="95">
        <v>4</v>
      </c>
      <c r="R139" s="43">
        <v>4</v>
      </c>
      <c r="S139" s="32">
        <v>0</v>
      </c>
      <c r="T139" s="34">
        <v>0</v>
      </c>
      <c r="U139" s="69">
        <v>0</v>
      </c>
      <c r="V139" s="34">
        <v>0</v>
      </c>
      <c r="W139" s="34">
        <v>0</v>
      </c>
      <c r="X139" s="42">
        <v>0</v>
      </c>
      <c r="Y139" s="34">
        <v>4</v>
      </c>
      <c r="Z139" s="34">
        <v>0</v>
      </c>
      <c r="AA139" s="34">
        <v>0</v>
      </c>
      <c r="AB139" s="34">
        <v>0</v>
      </c>
      <c r="AC139" s="34">
        <v>0</v>
      </c>
      <c r="AD139" s="42">
        <v>4</v>
      </c>
      <c r="AE139" s="34">
        <v>0</v>
      </c>
      <c r="AF139" s="34">
        <v>0</v>
      </c>
      <c r="AG139" s="34">
        <v>0</v>
      </c>
      <c r="AH139" s="34">
        <v>0</v>
      </c>
      <c r="AI139" s="34">
        <v>0</v>
      </c>
      <c r="AJ139" s="42">
        <v>0</v>
      </c>
      <c r="AK139" s="62">
        <v>4</v>
      </c>
      <c r="AL139" s="62">
        <v>2</v>
      </c>
      <c r="AM139" s="69">
        <v>0</v>
      </c>
      <c r="AN139" s="62">
        <v>2</v>
      </c>
      <c r="AO139" s="34">
        <v>0</v>
      </c>
      <c r="AP139" s="43">
        <v>2.6666666666666665</v>
      </c>
      <c r="AQ139" s="32">
        <v>1</v>
      </c>
      <c r="AR139" s="34">
        <v>0</v>
      </c>
      <c r="AS139" s="71">
        <v>0</v>
      </c>
      <c r="AT139" s="34">
        <v>0</v>
      </c>
      <c r="AU139" s="34">
        <v>0</v>
      </c>
      <c r="AV139" s="42">
        <v>1</v>
      </c>
      <c r="AW139" s="34">
        <v>0</v>
      </c>
      <c r="AX139" s="34">
        <v>0</v>
      </c>
      <c r="AY139" s="34">
        <v>0</v>
      </c>
      <c r="AZ139" s="32">
        <v>3</v>
      </c>
      <c r="BA139" s="70">
        <v>4</v>
      </c>
      <c r="BB139" s="98">
        <v>3.5</v>
      </c>
    </row>
    <row r="140" spans="1:54" ht="23.1" customHeight="1" x14ac:dyDescent="0.3">
      <c r="A140" s="100">
        <v>136</v>
      </c>
      <c r="B140" s="83" t="s">
        <v>372</v>
      </c>
      <c r="C140" s="84" t="s">
        <v>373</v>
      </c>
      <c r="D140" s="83" t="s">
        <v>542</v>
      </c>
      <c r="E140" s="83" t="s">
        <v>493</v>
      </c>
      <c r="F140" s="83" t="str">
        <f>REPT(CHAR(160),10)&amp;Working!$E140</f>
        <v>          C</v>
      </c>
      <c r="G140" s="74">
        <v>0</v>
      </c>
      <c r="H140" s="74">
        <v>0</v>
      </c>
      <c r="I140" s="74">
        <v>3</v>
      </c>
      <c r="J140" s="74">
        <v>0</v>
      </c>
      <c r="K140" s="85">
        <v>0</v>
      </c>
      <c r="L140" s="80">
        <v>3</v>
      </c>
      <c r="M140" s="74">
        <v>0</v>
      </c>
      <c r="N140" s="74">
        <v>5</v>
      </c>
      <c r="O140" s="74">
        <v>5</v>
      </c>
      <c r="P140" s="83">
        <v>0</v>
      </c>
      <c r="Q140" s="94">
        <v>5</v>
      </c>
      <c r="R140" s="43">
        <v>5</v>
      </c>
      <c r="S140" s="32">
        <v>0</v>
      </c>
      <c r="T140" s="16">
        <v>0</v>
      </c>
      <c r="U140" s="22">
        <v>0</v>
      </c>
      <c r="V140" s="16">
        <v>0</v>
      </c>
      <c r="W140" s="16">
        <v>0</v>
      </c>
      <c r="X140" s="42">
        <v>0</v>
      </c>
      <c r="Y140" s="16">
        <v>5</v>
      </c>
      <c r="Z140" s="16">
        <v>0</v>
      </c>
      <c r="AA140" s="16">
        <v>0</v>
      </c>
      <c r="AB140" s="16">
        <v>0</v>
      </c>
      <c r="AC140" s="16">
        <v>0</v>
      </c>
      <c r="AD140" s="42">
        <v>5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42">
        <v>0</v>
      </c>
      <c r="AK140" s="7">
        <v>3</v>
      </c>
      <c r="AL140" s="7">
        <v>3</v>
      </c>
      <c r="AM140" s="22">
        <v>0</v>
      </c>
      <c r="AN140" s="7">
        <v>3</v>
      </c>
      <c r="AO140" s="16">
        <v>0</v>
      </c>
      <c r="AP140" s="43">
        <v>3</v>
      </c>
      <c r="AQ140" s="32">
        <v>3</v>
      </c>
      <c r="AR140" s="16">
        <v>0</v>
      </c>
      <c r="AS140" s="7">
        <v>0</v>
      </c>
      <c r="AT140" s="16">
        <v>0</v>
      </c>
      <c r="AU140" s="16">
        <v>0</v>
      </c>
      <c r="AV140" s="42">
        <v>3</v>
      </c>
      <c r="AW140" s="16">
        <v>0</v>
      </c>
      <c r="AX140" s="16">
        <v>0</v>
      </c>
      <c r="AY140" s="34">
        <v>0</v>
      </c>
      <c r="AZ140" s="32">
        <v>3</v>
      </c>
      <c r="BA140" s="70">
        <v>3</v>
      </c>
      <c r="BB140" s="98">
        <v>3</v>
      </c>
    </row>
    <row r="141" spans="1:54" ht="23.1" customHeight="1" x14ac:dyDescent="0.3">
      <c r="A141" s="99">
        <v>137</v>
      </c>
      <c r="B141" s="76" t="s">
        <v>267</v>
      </c>
      <c r="C141" s="77" t="s">
        <v>268</v>
      </c>
      <c r="D141" s="76" t="s">
        <v>542</v>
      </c>
      <c r="E141" s="76" t="s">
        <v>161</v>
      </c>
      <c r="F141" s="76" t="str">
        <f>REPT(CHAR(160),10)&amp;Working!$E141</f>
        <v>          B</v>
      </c>
      <c r="G141" s="78">
        <v>0</v>
      </c>
      <c r="H141" s="78">
        <v>0</v>
      </c>
      <c r="I141" s="78">
        <v>2</v>
      </c>
      <c r="J141" s="78">
        <v>0</v>
      </c>
      <c r="K141" s="79">
        <v>0</v>
      </c>
      <c r="L141" s="80">
        <v>2</v>
      </c>
      <c r="M141" s="78">
        <v>0</v>
      </c>
      <c r="N141" s="78">
        <v>4</v>
      </c>
      <c r="O141" s="78">
        <v>4</v>
      </c>
      <c r="P141" s="76">
        <v>0</v>
      </c>
      <c r="Q141" s="95">
        <v>4</v>
      </c>
      <c r="R141" s="43">
        <v>4</v>
      </c>
      <c r="S141" s="32">
        <v>0</v>
      </c>
      <c r="T141" s="34">
        <v>0</v>
      </c>
      <c r="U141" s="69">
        <v>0</v>
      </c>
      <c r="V141" s="34">
        <v>0</v>
      </c>
      <c r="W141" s="34">
        <v>0</v>
      </c>
      <c r="X141" s="42">
        <v>0</v>
      </c>
      <c r="Y141" s="34">
        <v>4</v>
      </c>
      <c r="Z141" s="34">
        <v>0</v>
      </c>
      <c r="AA141" s="34">
        <v>0</v>
      </c>
      <c r="AB141" s="34">
        <v>0</v>
      </c>
      <c r="AC141" s="34">
        <v>0</v>
      </c>
      <c r="AD141" s="42">
        <v>4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42">
        <v>0</v>
      </c>
      <c r="AK141" s="62">
        <v>3</v>
      </c>
      <c r="AL141" s="62">
        <v>2</v>
      </c>
      <c r="AM141" s="69">
        <v>0</v>
      </c>
      <c r="AN141" s="62">
        <v>3</v>
      </c>
      <c r="AO141" s="34">
        <v>0</v>
      </c>
      <c r="AP141" s="43">
        <v>2.6666666666666665</v>
      </c>
      <c r="AQ141" s="32">
        <v>2</v>
      </c>
      <c r="AR141" s="34">
        <v>0</v>
      </c>
      <c r="AS141" s="62">
        <v>0</v>
      </c>
      <c r="AT141" s="34">
        <v>0</v>
      </c>
      <c r="AU141" s="34">
        <v>0</v>
      </c>
      <c r="AV141" s="42">
        <v>2</v>
      </c>
      <c r="AW141" s="34">
        <v>0</v>
      </c>
      <c r="AX141" s="34">
        <v>0</v>
      </c>
      <c r="AY141" s="34">
        <v>0</v>
      </c>
      <c r="AZ141" s="32">
        <v>3</v>
      </c>
      <c r="BA141" s="70">
        <v>3</v>
      </c>
      <c r="BB141" s="98">
        <v>3</v>
      </c>
    </row>
    <row r="142" spans="1:54" ht="23.1" customHeight="1" x14ac:dyDescent="0.3">
      <c r="A142" s="100">
        <v>138</v>
      </c>
      <c r="B142" s="83" t="s">
        <v>281</v>
      </c>
      <c r="C142" s="84" t="s">
        <v>282</v>
      </c>
      <c r="D142" s="83" t="s">
        <v>542</v>
      </c>
      <c r="E142" s="83" t="s">
        <v>161</v>
      </c>
      <c r="F142" s="83" t="str">
        <f>REPT(CHAR(160),10)&amp;Working!$E142</f>
        <v>          B</v>
      </c>
      <c r="G142" s="74">
        <v>0</v>
      </c>
      <c r="H142" s="74">
        <v>0</v>
      </c>
      <c r="I142" s="74">
        <v>1</v>
      </c>
      <c r="J142" s="74">
        <v>0</v>
      </c>
      <c r="K142" s="85">
        <v>0</v>
      </c>
      <c r="L142" s="80">
        <v>1</v>
      </c>
      <c r="M142" s="74">
        <v>0</v>
      </c>
      <c r="N142" s="74">
        <v>4</v>
      </c>
      <c r="O142" s="74">
        <v>3</v>
      </c>
      <c r="P142" s="83">
        <v>0</v>
      </c>
      <c r="Q142" s="94">
        <v>3</v>
      </c>
      <c r="R142" s="43">
        <v>3.3333333333333335</v>
      </c>
      <c r="S142" s="32">
        <v>0</v>
      </c>
      <c r="T142" s="16">
        <v>0</v>
      </c>
      <c r="U142" s="22">
        <v>0</v>
      </c>
      <c r="V142" s="16">
        <v>0</v>
      </c>
      <c r="W142" s="16">
        <v>0</v>
      </c>
      <c r="X142" s="42">
        <v>0</v>
      </c>
      <c r="Y142" s="16">
        <v>3</v>
      </c>
      <c r="Z142" s="16">
        <v>0</v>
      </c>
      <c r="AA142" s="16">
        <v>0</v>
      </c>
      <c r="AB142" s="16">
        <v>0</v>
      </c>
      <c r="AC142" s="16">
        <v>0</v>
      </c>
      <c r="AD142" s="42">
        <v>3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42">
        <v>0</v>
      </c>
      <c r="AK142" s="7">
        <v>2</v>
      </c>
      <c r="AL142" s="7">
        <v>2</v>
      </c>
      <c r="AM142" s="22">
        <v>0</v>
      </c>
      <c r="AN142" s="7">
        <v>4</v>
      </c>
      <c r="AO142" s="16">
        <v>0</v>
      </c>
      <c r="AP142" s="43">
        <v>2.6666666666666665</v>
      </c>
      <c r="AQ142" s="32">
        <v>1</v>
      </c>
      <c r="AR142" s="16">
        <v>0</v>
      </c>
      <c r="AS142" s="7">
        <v>0</v>
      </c>
      <c r="AT142" s="16">
        <v>0</v>
      </c>
      <c r="AU142" s="16">
        <v>0</v>
      </c>
      <c r="AV142" s="42">
        <v>1</v>
      </c>
      <c r="AW142" s="16">
        <v>0</v>
      </c>
      <c r="AX142" s="16">
        <v>0</v>
      </c>
      <c r="AY142" s="34">
        <v>0</v>
      </c>
      <c r="AZ142" s="32">
        <v>2</v>
      </c>
      <c r="BA142" s="70">
        <v>3</v>
      </c>
      <c r="BB142" s="98">
        <v>2.5</v>
      </c>
    </row>
    <row r="143" spans="1:54" ht="23.1" customHeight="1" x14ac:dyDescent="0.3">
      <c r="A143" s="99">
        <v>139</v>
      </c>
      <c r="B143" s="76" t="s">
        <v>152</v>
      </c>
      <c r="C143" s="77" t="s">
        <v>153</v>
      </c>
      <c r="D143" s="76" t="s">
        <v>450</v>
      </c>
      <c r="E143" s="76" t="s">
        <v>35</v>
      </c>
      <c r="F143" s="76" t="str">
        <f>REPT(CHAR(160),10)&amp;Working!$E143</f>
        <v>          A</v>
      </c>
      <c r="G143" s="78">
        <v>0</v>
      </c>
      <c r="H143" s="78">
        <v>0</v>
      </c>
      <c r="I143" s="78">
        <v>3</v>
      </c>
      <c r="J143" s="78">
        <v>0</v>
      </c>
      <c r="K143" s="79">
        <v>0</v>
      </c>
      <c r="L143" s="80">
        <v>3</v>
      </c>
      <c r="M143" s="78">
        <v>0</v>
      </c>
      <c r="N143" s="78">
        <v>4</v>
      </c>
      <c r="O143" s="78">
        <v>4</v>
      </c>
      <c r="P143" s="76">
        <v>0</v>
      </c>
      <c r="Q143" s="95">
        <v>4</v>
      </c>
      <c r="R143" s="43">
        <v>4</v>
      </c>
      <c r="S143" s="32">
        <v>0</v>
      </c>
      <c r="T143" s="34">
        <v>0</v>
      </c>
      <c r="U143" s="69">
        <v>0</v>
      </c>
      <c r="V143" s="34">
        <v>0</v>
      </c>
      <c r="W143" s="34">
        <v>0</v>
      </c>
      <c r="X143" s="42">
        <v>0</v>
      </c>
      <c r="Y143" s="34">
        <v>4</v>
      </c>
      <c r="Z143" s="34">
        <v>0</v>
      </c>
      <c r="AA143" s="34">
        <v>0</v>
      </c>
      <c r="AB143" s="34">
        <v>0</v>
      </c>
      <c r="AC143" s="34">
        <v>0</v>
      </c>
      <c r="AD143" s="42">
        <v>4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42">
        <v>0</v>
      </c>
      <c r="AK143" s="62">
        <v>3</v>
      </c>
      <c r="AL143" s="62">
        <v>2</v>
      </c>
      <c r="AM143" s="69">
        <v>0</v>
      </c>
      <c r="AN143" s="62">
        <v>3</v>
      </c>
      <c r="AO143" s="34">
        <v>0</v>
      </c>
      <c r="AP143" s="43">
        <v>2.6666666666666665</v>
      </c>
      <c r="AQ143" s="32">
        <v>2</v>
      </c>
      <c r="AR143" s="34">
        <v>0</v>
      </c>
      <c r="AS143" s="62">
        <v>0</v>
      </c>
      <c r="AT143" s="34">
        <v>0</v>
      </c>
      <c r="AU143" s="34">
        <v>0</v>
      </c>
      <c r="AV143" s="42">
        <v>2</v>
      </c>
      <c r="AW143" s="34">
        <v>0</v>
      </c>
      <c r="AX143" s="34">
        <v>0</v>
      </c>
      <c r="AY143" s="34">
        <v>0</v>
      </c>
      <c r="AZ143" s="32">
        <v>3</v>
      </c>
      <c r="BA143" s="70">
        <v>3</v>
      </c>
      <c r="BB143" s="98">
        <v>3</v>
      </c>
    </row>
    <row r="144" spans="1:54" ht="23.1" customHeight="1" x14ac:dyDescent="0.3">
      <c r="A144" s="100">
        <v>140</v>
      </c>
      <c r="B144" s="83" t="s">
        <v>374</v>
      </c>
      <c r="C144" s="84" t="s">
        <v>375</v>
      </c>
      <c r="D144" s="83" t="s">
        <v>450</v>
      </c>
      <c r="E144" s="83" t="s">
        <v>493</v>
      </c>
      <c r="F144" s="83" t="str">
        <f>REPT(CHAR(160),10)&amp;Working!$E144</f>
        <v>          C</v>
      </c>
      <c r="G144" s="74">
        <v>0</v>
      </c>
      <c r="H144" s="74">
        <v>0</v>
      </c>
      <c r="I144" s="74">
        <v>3</v>
      </c>
      <c r="J144" s="74">
        <v>0</v>
      </c>
      <c r="K144" s="85">
        <v>0</v>
      </c>
      <c r="L144" s="80">
        <v>3</v>
      </c>
      <c r="M144" s="74">
        <v>0</v>
      </c>
      <c r="N144" s="74">
        <v>4</v>
      </c>
      <c r="O144" s="74">
        <v>3</v>
      </c>
      <c r="P144" s="83">
        <v>0</v>
      </c>
      <c r="Q144" s="94">
        <v>3</v>
      </c>
      <c r="R144" s="43">
        <v>3.3333333333333335</v>
      </c>
      <c r="S144" s="32">
        <v>0</v>
      </c>
      <c r="T144" s="16">
        <v>0</v>
      </c>
      <c r="U144" s="22">
        <v>0</v>
      </c>
      <c r="V144" s="16">
        <v>0</v>
      </c>
      <c r="W144" s="16">
        <v>0</v>
      </c>
      <c r="X144" s="42">
        <v>0</v>
      </c>
      <c r="Y144" s="16">
        <v>4</v>
      </c>
      <c r="Z144" s="16">
        <v>0</v>
      </c>
      <c r="AA144" s="16">
        <v>0</v>
      </c>
      <c r="AB144" s="16">
        <v>0</v>
      </c>
      <c r="AC144" s="16">
        <v>0</v>
      </c>
      <c r="AD144" s="42">
        <v>4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42">
        <v>0</v>
      </c>
      <c r="AK144" s="7">
        <v>3</v>
      </c>
      <c r="AL144" s="7">
        <v>3</v>
      </c>
      <c r="AM144" s="22">
        <v>0</v>
      </c>
      <c r="AN144" s="7">
        <v>3</v>
      </c>
      <c r="AO144" s="16">
        <v>0</v>
      </c>
      <c r="AP144" s="43">
        <v>3</v>
      </c>
      <c r="AQ144" s="32">
        <v>1</v>
      </c>
      <c r="AR144" s="16">
        <v>0</v>
      </c>
      <c r="AS144" s="7">
        <v>0</v>
      </c>
      <c r="AT144" s="16">
        <v>0</v>
      </c>
      <c r="AU144" s="16">
        <v>0</v>
      </c>
      <c r="AV144" s="42">
        <v>1</v>
      </c>
      <c r="AW144" s="16">
        <v>0</v>
      </c>
      <c r="AX144" s="16">
        <v>0</v>
      </c>
      <c r="AY144" s="34">
        <v>0</v>
      </c>
      <c r="AZ144" s="32">
        <v>3</v>
      </c>
      <c r="BA144" s="70">
        <v>2</v>
      </c>
      <c r="BB144" s="98">
        <v>2.5</v>
      </c>
    </row>
    <row r="145" spans="1:54" ht="23.1" customHeight="1" x14ac:dyDescent="0.3">
      <c r="A145" s="99">
        <v>141</v>
      </c>
      <c r="B145" s="76" t="s">
        <v>269</v>
      </c>
      <c r="C145" s="77" t="s">
        <v>270</v>
      </c>
      <c r="D145" s="76" t="s">
        <v>450</v>
      </c>
      <c r="E145" s="76" t="s">
        <v>161</v>
      </c>
      <c r="F145" s="76" t="str">
        <f>REPT(CHAR(160),10)&amp;Working!$E145</f>
        <v>          B</v>
      </c>
      <c r="G145" s="78">
        <v>0</v>
      </c>
      <c r="H145" s="78">
        <v>0</v>
      </c>
      <c r="I145" s="78">
        <v>5</v>
      </c>
      <c r="J145" s="78">
        <v>0</v>
      </c>
      <c r="K145" s="79">
        <v>0</v>
      </c>
      <c r="L145" s="80">
        <v>5</v>
      </c>
      <c r="M145" s="78">
        <v>0</v>
      </c>
      <c r="N145" s="78">
        <v>3</v>
      </c>
      <c r="O145" s="78">
        <v>4</v>
      </c>
      <c r="P145" s="76">
        <v>0</v>
      </c>
      <c r="Q145" s="95">
        <v>4</v>
      </c>
      <c r="R145" s="43">
        <v>3.6666666666666665</v>
      </c>
      <c r="S145" s="32">
        <v>0</v>
      </c>
      <c r="T145" s="34">
        <v>0</v>
      </c>
      <c r="U145" s="69">
        <v>0</v>
      </c>
      <c r="V145" s="34">
        <v>0</v>
      </c>
      <c r="W145" s="34">
        <v>0</v>
      </c>
      <c r="X145" s="42">
        <v>0</v>
      </c>
      <c r="Y145" s="34">
        <v>3</v>
      </c>
      <c r="Z145" s="34">
        <v>0</v>
      </c>
      <c r="AA145" s="34">
        <v>0</v>
      </c>
      <c r="AB145" s="34">
        <v>0</v>
      </c>
      <c r="AC145" s="34">
        <v>0</v>
      </c>
      <c r="AD145" s="42">
        <v>3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42">
        <v>0</v>
      </c>
      <c r="AK145" s="62">
        <v>4</v>
      </c>
      <c r="AL145" s="62">
        <v>3</v>
      </c>
      <c r="AM145" s="69">
        <v>0</v>
      </c>
      <c r="AN145" s="62">
        <v>5</v>
      </c>
      <c r="AO145" s="34">
        <v>0</v>
      </c>
      <c r="AP145" s="43">
        <v>4</v>
      </c>
      <c r="AQ145" s="32">
        <v>5</v>
      </c>
      <c r="AR145" s="34">
        <v>0</v>
      </c>
      <c r="AS145" s="62">
        <v>0</v>
      </c>
      <c r="AT145" s="34">
        <v>0</v>
      </c>
      <c r="AU145" s="34">
        <v>0</v>
      </c>
      <c r="AV145" s="42">
        <v>5</v>
      </c>
      <c r="AW145" s="34">
        <v>0</v>
      </c>
      <c r="AX145" s="34">
        <v>0</v>
      </c>
      <c r="AY145" s="34">
        <v>0</v>
      </c>
      <c r="AZ145" s="32">
        <v>5</v>
      </c>
      <c r="BA145" s="70">
        <v>4</v>
      </c>
      <c r="BB145" s="98">
        <v>4.5</v>
      </c>
    </row>
    <row r="146" spans="1:54" ht="23.1" customHeight="1" x14ac:dyDescent="0.3">
      <c r="A146" s="100">
        <v>142</v>
      </c>
      <c r="B146" s="83" t="s">
        <v>170</v>
      </c>
      <c r="C146" s="84" t="s">
        <v>171</v>
      </c>
      <c r="D146" s="83" t="s">
        <v>542</v>
      </c>
      <c r="E146" s="83" t="s">
        <v>161</v>
      </c>
      <c r="F146" s="83" t="str">
        <f>REPT(CHAR(160),10)&amp;Working!$E146</f>
        <v>          B</v>
      </c>
      <c r="G146" s="74">
        <v>0</v>
      </c>
      <c r="H146" s="74">
        <v>0</v>
      </c>
      <c r="I146" s="74">
        <v>2</v>
      </c>
      <c r="J146" s="74">
        <v>0</v>
      </c>
      <c r="K146" s="85">
        <v>0</v>
      </c>
      <c r="L146" s="80">
        <v>2</v>
      </c>
      <c r="M146" s="74">
        <v>0</v>
      </c>
      <c r="N146" s="74">
        <v>3</v>
      </c>
      <c r="O146" s="74">
        <v>4</v>
      </c>
      <c r="P146" s="83">
        <v>0</v>
      </c>
      <c r="Q146" s="94">
        <v>4</v>
      </c>
      <c r="R146" s="43">
        <v>3.6666666666666665</v>
      </c>
      <c r="S146" s="32">
        <v>0</v>
      </c>
      <c r="T146" s="16">
        <v>0</v>
      </c>
      <c r="U146" s="22">
        <v>0</v>
      </c>
      <c r="V146" s="16">
        <v>0</v>
      </c>
      <c r="W146" s="16">
        <v>0</v>
      </c>
      <c r="X146" s="42">
        <v>0</v>
      </c>
      <c r="Y146" s="16">
        <v>2</v>
      </c>
      <c r="Z146" s="16">
        <v>0</v>
      </c>
      <c r="AA146" s="16">
        <v>0</v>
      </c>
      <c r="AB146" s="16">
        <v>0</v>
      </c>
      <c r="AC146" s="16">
        <v>0</v>
      </c>
      <c r="AD146" s="42">
        <v>2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42">
        <v>0</v>
      </c>
      <c r="AK146" s="7">
        <v>2</v>
      </c>
      <c r="AL146" s="7">
        <v>4</v>
      </c>
      <c r="AM146" s="22">
        <v>0</v>
      </c>
      <c r="AN146" s="7">
        <v>3</v>
      </c>
      <c r="AO146" s="16">
        <v>0</v>
      </c>
      <c r="AP146" s="43">
        <v>3</v>
      </c>
      <c r="AQ146" s="32">
        <v>4</v>
      </c>
      <c r="AR146" s="16">
        <v>0</v>
      </c>
      <c r="AS146" s="7">
        <v>0</v>
      </c>
      <c r="AT146" s="16">
        <v>0</v>
      </c>
      <c r="AU146" s="16">
        <v>0</v>
      </c>
      <c r="AV146" s="42">
        <v>4</v>
      </c>
      <c r="AW146" s="16">
        <v>0</v>
      </c>
      <c r="AX146" s="16">
        <v>0</v>
      </c>
      <c r="AY146" s="34">
        <v>0</v>
      </c>
      <c r="AZ146" s="32">
        <v>2</v>
      </c>
      <c r="BA146" s="70">
        <v>3</v>
      </c>
      <c r="BB146" s="98">
        <v>2.5</v>
      </c>
    </row>
    <row r="147" spans="1:54" ht="23.1" customHeight="1" x14ac:dyDescent="0.3">
      <c r="A147" s="99">
        <v>143</v>
      </c>
      <c r="B147" s="76" t="s">
        <v>283</v>
      </c>
      <c r="C147" s="77" t="s">
        <v>284</v>
      </c>
      <c r="D147" s="76" t="s">
        <v>450</v>
      </c>
      <c r="E147" s="76" t="s">
        <v>161</v>
      </c>
      <c r="F147" s="76" t="str">
        <f>REPT(CHAR(160),10)&amp;Working!$E147</f>
        <v>          B</v>
      </c>
      <c r="G147" s="78">
        <v>0</v>
      </c>
      <c r="H147" s="78">
        <v>0</v>
      </c>
      <c r="I147" s="78">
        <v>2</v>
      </c>
      <c r="J147" s="78">
        <v>0</v>
      </c>
      <c r="K147" s="79">
        <v>0</v>
      </c>
      <c r="L147" s="80">
        <v>2</v>
      </c>
      <c r="M147" s="78">
        <v>0</v>
      </c>
      <c r="N147" s="78">
        <v>3</v>
      </c>
      <c r="O147" s="78">
        <v>3</v>
      </c>
      <c r="P147" s="76">
        <v>0</v>
      </c>
      <c r="Q147" s="95">
        <v>3</v>
      </c>
      <c r="R147" s="43">
        <v>3</v>
      </c>
      <c r="S147" s="32">
        <v>0</v>
      </c>
      <c r="T147" s="34">
        <v>0</v>
      </c>
      <c r="U147" s="69">
        <v>0</v>
      </c>
      <c r="V147" s="34">
        <v>0</v>
      </c>
      <c r="W147" s="34">
        <v>0</v>
      </c>
      <c r="X147" s="42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42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42">
        <v>0</v>
      </c>
      <c r="AK147" s="62">
        <v>2</v>
      </c>
      <c r="AL147" s="62">
        <v>2</v>
      </c>
      <c r="AM147" s="69">
        <v>0</v>
      </c>
      <c r="AN147" s="62">
        <v>3</v>
      </c>
      <c r="AO147" s="34">
        <v>0</v>
      </c>
      <c r="AP147" s="43">
        <v>2.3333333333333335</v>
      </c>
      <c r="AQ147" s="32">
        <v>3</v>
      </c>
      <c r="AR147" s="34">
        <v>0</v>
      </c>
      <c r="AS147" s="62">
        <v>0</v>
      </c>
      <c r="AT147" s="34">
        <v>0</v>
      </c>
      <c r="AU147" s="34">
        <v>0</v>
      </c>
      <c r="AV147" s="42">
        <v>3</v>
      </c>
      <c r="AW147" s="34">
        <v>0</v>
      </c>
      <c r="AX147" s="34">
        <v>0</v>
      </c>
      <c r="AY147" s="34">
        <v>0</v>
      </c>
      <c r="AZ147" s="32">
        <v>2</v>
      </c>
      <c r="BA147" s="70">
        <v>3</v>
      </c>
      <c r="BB147" s="98">
        <v>2.5</v>
      </c>
    </row>
    <row r="148" spans="1:54" ht="23.1" customHeight="1" x14ac:dyDescent="0.3">
      <c r="A148" s="100">
        <v>144</v>
      </c>
      <c r="B148" s="83" t="s">
        <v>172</v>
      </c>
      <c r="C148" s="84" t="s">
        <v>173</v>
      </c>
      <c r="D148" s="83" t="s">
        <v>450</v>
      </c>
      <c r="E148" s="83" t="s">
        <v>161</v>
      </c>
      <c r="F148" s="83" t="str">
        <f>REPT(CHAR(160),10)&amp;Working!$E148</f>
        <v>          B</v>
      </c>
      <c r="G148" s="74">
        <v>0</v>
      </c>
      <c r="H148" s="74">
        <v>0</v>
      </c>
      <c r="I148" s="74">
        <v>3</v>
      </c>
      <c r="J148" s="74">
        <v>0</v>
      </c>
      <c r="K148" s="85">
        <v>0</v>
      </c>
      <c r="L148" s="80">
        <v>3</v>
      </c>
      <c r="M148" s="74">
        <v>0</v>
      </c>
      <c r="N148" s="74">
        <v>5</v>
      </c>
      <c r="O148" s="74">
        <v>4</v>
      </c>
      <c r="P148" s="83">
        <v>0</v>
      </c>
      <c r="Q148" s="94">
        <v>4</v>
      </c>
      <c r="R148" s="43">
        <v>4.333333333333333</v>
      </c>
      <c r="S148" s="32">
        <v>0</v>
      </c>
      <c r="T148" s="16">
        <v>0</v>
      </c>
      <c r="U148" s="22">
        <v>0</v>
      </c>
      <c r="V148" s="16">
        <v>0</v>
      </c>
      <c r="W148" s="16">
        <v>0</v>
      </c>
      <c r="X148" s="42">
        <v>0</v>
      </c>
      <c r="Y148" s="16">
        <v>5</v>
      </c>
      <c r="Z148" s="16">
        <v>0</v>
      </c>
      <c r="AA148" s="16">
        <v>0</v>
      </c>
      <c r="AB148" s="16">
        <v>0</v>
      </c>
      <c r="AC148" s="16">
        <v>0</v>
      </c>
      <c r="AD148" s="42">
        <v>5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42">
        <v>0</v>
      </c>
      <c r="AK148" s="7">
        <v>3</v>
      </c>
      <c r="AL148" s="7">
        <v>3</v>
      </c>
      <c r="AM148" s="22">
        <v>0</v>
      </c>
      <c r="AN148" s="7">
        <v>3</v>
      </c>
      <c r="AO148" s="16">
        <v>0</v>
      </c>
      <c r="AP148" s="43">
        <v>3</v>
      </c>
      <c r="AQ148" s="32">
        <v>3</v>
      </c>
      <c r="AR148" s="16">
        <v>0</v>
      </c>
      <c r="AS148" s="7">
        <v>0</v>
      </c>
      <c r="AT148" s="16">
        <v>0</v>
      </c>
      <c r="AU148" s="16">
        <v>0</v>
      </c>
      <c r="AV148" s="42">
        <v>3</v>
      </c>
      <c r="AW148" s="16">
        <v>0</v>
      </c>
      <c r="AX148" s="16">
        <v>0</v>
      </c>
      <c r="AY148" s="34">
        <v>0</v>
      </c>
      <c r="AZ148" s="32">
        <v>3</v>
      </c>
      <c r="BA148" s="70">
        <v>4</v>
      </c>
      <c r="BB148" s="98">
        <v>3.5</v>
      </c>
    </row>
    <row r="149" spans="1:54" ht="23.1" customHeight="1" x14ac:dyDescent="0.3">
      <c r="A149" s="99">
        <v>145</v>
      </c>
      <c r="B149" s="76" t="s">
        <v>376</v>
      </c>
      <c r="C149" s="77" t="s">
        <v>377</v>
      </c>
      <c r="D149" s="76" t="s">
        <v>542</v>
      </c>
      <c r="E149" s="76" t="s">
        <v>493</v>
      </c>
      <c r="F149" s="76" t="str">
        <f>REPT(CHAR(160),10)&amp;Working!$E149</f>
        <v>          C</v>
      </c>
      <c r="G149" s="78">
        <v>0</v>
      </c>
      <c r="H149" s="78">
        <v>0</v>
      </c>
      <c r="I149" s="78">
        <v>2</v>
      </c>
      <c r="J149" s="78">
        <v>0</v>
      </c>
      <c r="K149" s="79">
        <v>0</v>
      </c>
      <c r="L149" s="80">
        <v>2</v>
      </c>
      <c r="M149" s="78">
        <v>0</v>
      </c>
      <c r="N149" s="78">
        <v>3</v>
      </c>
      <c r="O149" s="78">
        <v>3</v>
      </c>
      <c r="P149" s="76">
        <v>0</v>
      </c>
      <c r="Q149" s="95">
        <v>3</v>
      </c>
      <c r="R149" s="43">
        <v>3</v>
      </c>
      <c r="S149" s="32">
        <v>0</v>
      </c>
      <c r="T149" s="34">
        <v>0</v>
      </c>
      <c r="U149" s="69">
        <v>0</v>
      </c>
      <c r="V149" s="34">
        <v>0</v>
      </c>
      <c r="W149" s="34">
        <v>0</v>
      </c>
      <c r="X149" s="42">
        <v>0</v>
      </c>
      <c r="Y149" s="34">
        <v>3</v>
      </c>
      <c r="Z149" s="34">
        <v>0</v>
      </c>
      <c r="AA149" s="34">
        <v>0</v>
      </c>
      <c r="AB149" s="34">
        <v>0</v>
      </c>
      <c r="AC149" s="34">
        <v>0</v>
      </c>
      <c r="AD149" s="42">
        <v>3</v>
      </c>
      <c r="AE149" s="34">
        <v>0</v>
      </c>
      <c r="AF149" s="34">
        <v>0</v>
      </c>
      <c r="AG149" s="34">
        <v>0</v>
      </c>
      <c r="AH149" s="34">
        <v>0</v>
      </c>
      <c r="AI149" s="34">
        <v>0</v>
      </c>
      <c r="AJ149" s="42">
        <v>0</v>
      </c>
      <c r="AK149" s="62">
        <v>3</v>
      </c>
      <c r="AL149" s="62">
        <v>4</v>
      </c>
      <c r="AM149" s="69">
        <v>0</v>
      </c>
      <c r="AN149" s="62">
        <v>3</v>
      </c>
      <c r="AO149" s="34">
        <v>0</v>
      </c>
      <c r="AP149" s="43">
        <v>3.3333333333333335</v>
      </c>
      <c r="AQ149" s="32">
        <v>3</v>
      </c>
      <c r="AR149" s="34">
        <v>0</v>
      </c>
      <c r="AS149" s="62">
        <v>0</v>
      </c>
      <c r="AT149" s="34">
        <v>0</v>
      </c>
      <c r="AU149" s="34">
        <v>0</v>
      </c>
      <c r="AV149" s="42">
        <v>3</v>
      </c>
      <c r="AW149" s="34">
        <v>0</v>
      </c>
      <c r="AX149" s="34">
        <v>0</v>
      </c>
      <c r="AY149" s="34">
        <v>0</v>
      </c>
      <c r="AZ149" s="32">
        <v>2</v>
      </c>
      <c r="BA149" s="70">
        <v>4</v>
      </c>
      <c r="BB149" s="98">
        <v>3</v>
      </c>
    </row>
    <row r="150" spans="1:54" ht="23.1" customHeight="1" x14ac:dyDescent="0.3">
      <c r="A150" s="100">
        <v>146</v>
      </c>
      <c r="B150" s="83" t="s">
        <v>378</v>
      </c>
      <c r="C150" s="84" t="s">
        <v>379</v>
      </c>
      <c r="D150" s="83" t="s">
        <v>542</v>
      </c>
      <c r="E150" s="83" t="s">
        <v>493</v>
      </c>
      <c r="F150" s="83" t="str">
        <f>REPT(CHAR(160),10)&amp;Working!$E150</f>
        <v>          C</v>
      </c>
      <c r="G150" s="74">
        <v>0</v>
      </c>
      <c r="H150" s="74">
        <v>0</v>
      </c>
      <c r="I150" s="74">
        <v>5</v>
      </c>
      <c r="J150" s="74">
        <v>0</v>
      </c>
      <c r="K150" s="85">
        <v>0</v>
      </c>
      <c r="L150" s="80">
        <v>5</v>
      </c>
      <c r="M150" s="74">
        <v>0</v>
      </c>
      <c r="N150" s="74">
        <v>5</v>
      </c>
      <c r="O150" s="74">
        <v>5</v>
      </c>
      <c r="P150" s="83">
        <v>0</v>
      </c>
      <c r="Q150" s="94">
        <v>5</v>
      </c>
      <c r="R150" s="43">
        <v>5</v>
      </c>
      <c r="S150" s="32">
        <v>0</v>
      </c>
      <c r="T150" s="16">
        <v>0</v>
      </c>
      <c r="U150" s="22">
        <v>0</v>
      </c>
      <c r="V150" s="16">
        <v>0</v>
      </c>
      <c r="W150" s="16">
        <v>0</v>
      </c>
      <c r="X150" s="42">
        <v>0</v>
      </c>
      <c r="Y150" s="16">
        <v>5</v>
      </c>
      <c r="Z150" s="16">
        <v>0</v>
      </c>
      <c r="AA150" s="16">
        <v>0</v>
      </c>
      <c r="AB150" s="16">
        <v>0</v>
      </c>
      <c r="AC150" s="16">
        <v>0</v>
      </c>
      <c r="AD150" s="42">
        <v>5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42">
        <v>0</v>
      </c>
      <c r="AK150" s="7">
        <v>5</v>
      </c>
      <c r="AL150" s="7">
        <v>5</v>
      </c>
      <c r="AM150" s="22">
        <v>0</v>
      </c>
      <c r="AN150" s="7">
        <v>5</v>
      </c>
      <c r="AO150" s="16">
        <v>0</v>
      </c>
      <c r="AP150" s="43">
        <v>5</v>
      </c>
      <c r="AQ150" s="32">
        <v>5</v>
      </c>
      <c r="AR150" s="16">
        <v>0</v>
      </c>
      <c r="AS150" s="7">
        <v>0</v>
      </c>
      <c r="AT150" s="16">
        <v>0</v>
      </c>
      <c r="AU150" s="16">
        <v>0</v>
      </c>
      <c r="AV150" s="42">
        <v>5</v>
      </c>
      <c r="AW150" s="16">
        <v>0</v>
      </c>
      <c r="AX150" s="16">
        <v>0</v>
      </c>
      <c r="AY150" s="34">
        <v>0</v>
      </c>
      <c r="AZ150" s="32">
        <v>5</v>
      </c>
      <c r="BA150" s="70">
        <v>5</v>
      </c>
      <c r="BB150" s="98">
        <v>5</v>
      </c>
    </row>
    <row r="151" spans="1:54" ht="23.1" customHeight="1" x14ac:dyDescent="0.3">
      <c r="A151" s="99">
        <v>147</v>
      </c>
      <c r="B151" s="76" t="s">
        <v>154</v>
      </c>
      <c r="C151" s="77" t="s">
        <v>155</v>
      </c>
      <c r="D151" s="76" t="s">
        <v>450</v>
      </c>
      <c r="E151" s="76" t="s">
        <v>35</v>
      </c>
      <c r="F151" s="76" t="str">
        <f>REPT(CHAR(160),10)&amp;Working!$E151</f>
        <v>          A</v>
      </c>
      <c r="G151" s="78">
        <v>0</v>
      </c>
      <c r="H151" s="78">
        <v>0</v>
      </c>
      <c r="I151" s="78">
        <v>3</v>
      </c>
      <c r="J151" s="78">
        <v>0</v>
      </c>
      <c r="K151" s="79">
        <v>0</v>
      </c>
      <c r="L151" s="80">
        <v>3</v>
      </c>
      <c r="M151" s="78">
        <v>0</v>
      </c>
      <c r="N151" s="78">
        <v>4</v>
      </c>
      <c r="O151" s="78">
        <v>3</v>
      </c>
      <c r="P151" s="76">
        <v>0</v>
      </c>
      <c r="Q151" s="95">
        <v>3</v>
      </c>
      <c r="R151" s="43">
        <v>3.3333333333333335</v>
      </c>
      <c r="S151" s="32">
        <v>0</v>
      </c>
      <c r="T151" s="34">
        <v>0</v>
      </c>
      <c r="U151" s="69">
        <v>0</v>
      </c>
      <c r="V151" s="34">
        <v>0</v>
      </c>
      <c r="W151" s="34">
        <v>0</v>
      </c>
      <c r="X151" s="42">
        <v>0</v>
      </c>
      <c r="Y151" s="34">
        <v>3</v>
      </c>
      <c r="Z151" s="34">
        <v>0</v>
      </c>
      <c r="AA151" s="34">
        <v>0</v>
      </c>
      <c r="AB151" s="34">
        <v>0</v>
      </c>
      <c r="AC151" s="34">
        <v>0</v>
      </c>
      <c r="AD151" s="42">
        <v>3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42">
        <v>0</v>
      </c>
      <c r="AK151" s="62">
        <v>4</v>
      </c>
      <c r="AL151" s="62">
        <v>3</v>
      </c>
      <c r="AM151" s="69">
        <v>0</v>
      </c>
      <c r="AN151" s="62">
        <v>4</v>
      </c>
      <c r="AO151" s="34">
        <v>0</v>
      </c>
      <c r="AP151" s="43">
        <v>3.6666666666666665</v>
      </c>
      <c r="AQ151" s="32">
        <v>2</v>
      </c>
      <c r="AR151" s="34">
        <v>0</v>
      </c>
      <c r="AS151" s="62">
        <v>0</v>
      </c>
      <c r="AT151" s="34">
        <v>0</v>
      </c>
      <c r="AU151" s="34">
        <v>0</v>
      </c>
      <c r="AV151" s="42">
        <v>2</v>
      </c>
      <c r="AW151" s="34">
        <v>0</v>
      </c>
      <c r="AX151" s="34">
        <v>0</v>
      </c>
      <c r="AY151" s="34">
        <v>0</v>
      </c>
      <c r="AZ151" s="32">
        <v>3</v>
      </c>
      <c r="BA151" s="70">
        <v>3</v>
      </c>
      <c r="BB151" s="98">
        <v>3</v>
      </c>
    </row>
    <row r="152" spans="1:54" ht="23.1" customHeight="1" x14ac:dyDescent="0.3">
      <c r="A152" s="100">
        <v>148</v>
      </c>
      <c r="B152" s="83" t="s">
        <v>380</v>
      </c>
      <c r="C152" s="84" t="s">
        <v>381</v>
      </c>
      <c r="D152" s="83" t="s">
        <v>450</v>
      </c>
      <c r="E152" s="83" t="s">
        <v>493</v>
      </c>
      <c r="F152" s="83" t="str">
        <f>REPT(CHAR(160),10)&amp;Working!$E152</f>
        <v>          C</v>
      </c>
      <c r="G152" s="74">
        <v>0</v>
      </c>
      <c r="H152" s="74">
        <v>0</v>
      </c>
      <c r="I152" s="74">
        <v>3</v>
      </c>
      <c r="J152" s="74">
        <v>0</v>
      </c>
      <c r="K152" s="85">
        <v>0</v>
      </c>
      <c r="L152" s="80">
        <v>3</v>
      </c>
      <c r="M152" s="74">
        <v>0</v>
      </c>
      <c r="N152" s="74">
        <v>4</v>
      </c>
      <c r="O152" s="74">
        <v>3</v>
      </c>
      <c r="P152" s="83">
        <v>0</v>
      </c>
      <c r="Q152" s="94">
        <v>3</v>
      </c>
      <c r="R152" s="43">
        <v>3.3333333333333335</v>
      </c>
      <c r="S152" s="32">
        <v>0</v>
      </c>
      <c r="T152" s="16">
        <v>0</v>
      </c>
      <c r="U152" s="22">
        <v>0</v>
      </c>
      <c r="V152" s="16">
        <v>0</v>
      </c>
      <c r="W152" s="16">
        <v>0</v>
      </c>
      <c r="X152" s="42">
        <v>0</v>
      </c>
      <c r="Y152" s="16">
        <v>4</v>
      </c>
      <c r="Z152" s="16">
        <v>0</v>
      </c>
      <c r="AA152" s="16">
        <v>0</v>
      </c>
      <c r="AB152" s="16">
        <v>0</v>
      </c>
      <c r="AC152" s="16">
        <v>0</v>
      </c>
      <c r="AD152" s="42">
        <v>4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42">
        <v>0</v>
      </c>
      <c r="AK152" s="7">
        <v>3</v>
      </c>
      <c r="AL152" s="7">
        <v>3</v>
      </c>
      <c r="AM152" s="22">
        <v>0</v>
      </c>
      <c r="AN152" s="7">
        <v>3</v>
      </c>
      <c r="AO152" s="16">
        <v>0</v>
      </c>
      <c r="AP152" s="43">
        <v>3</v>
      </c>
      <c r="AQ152" s="32">
        <v>1</v>
      </c>
      <c r="AR152" s="16">
        <v>0</v>
      </c>
      <c r="AS152" s="7">
        <v>0</v>
      </c>
      <c r="AT152" s="16">
        <v>0</v>
      </c>
      <c r="AU152" s="16">
        <v>0</v>
      </c>
      <c r="AV152" s="42">
        <v>1</v>
      </c>
      <c r="AW152" s="16">
        <v>0</v>
      </c>
      <c r="AX152" s="16">
        <v>0</v>
      </c>
      <c r="AY152" s="34">
        <v>0</v>
      </c>
      <c r="AZ152" s="32">
        <v>3</v>
      </c>
      <c r="BA152" s="70">
        <v>2</v>
      </c>
      <c r="BB152" s="98">
        <v>2.5</v>
      </c>
    </row>
    <row r="153" spans="1:54" ht="23.1" customHeight="1" x14ac:dyDescent="0.3">
      <c r="A153" s="99">
        <v>149</v>
      </c>
      <c r="B153" s="76" t="s">
        <v>156</v>
      </c>
      <c r="C153" s="77" t="s">
        <v>382</v>
      </c>
      <c r="D153" s="76" t="s">
        <v>450</v>
      </c>
      <c r="E153" s="76" t="s">
        <v>35</v>
      </c>
      <c r="F153" s="76" t="str">
        <f>REPT(CHAR(160),10)&amp;Working!$E153</f>
        <v>          A</v>
      </c>
      <c r="G153" s="78">
        <v>0</v>
      </c>
      <c r="H153" s="78">
        <v>0</v>
      </c>
      <c r="I153" s="78">
        <v>3</v>
      </c>
      <c r="J153" s="78">
        <v>0</v>
      </c>
      <c r="K153" s="79">
        <v>0</v>
      </c>
      <c r="L153" s="80">
        <v>3</v>
      </c>
      <c r="M153" s="78">
        <v>0</v>
      </c>
      <c r="N153" s="78">
        <v>5</v>
      </c>
      <c r="O153" s="78">
        <v>3</v>
      </c>
      <c r="P153" s="76">
        <v>0</v>
      </c>
      <c r="Q153" s="95">
        <v>3</v>
      </c>
      <c r="R153" s="43">
        <v>3.6666666666666665</v>
      </c>
      <c r="S153" s="32">
        <v>0</v>
      </c>
      <c r="T153" s="34">
        <v>0</v>
      </c>
      <c r="U153" s="69">
        <v>0</v>
      </c>
      <c r="V153" s="34">
        <v>0</v>
      </c>
      <c r="W153" s="34">
        <v>0</v>
      </c>
      <c r="X153" s="42">
        <v>0</v>
      </c>
      <c r="Y153" s="34">
        <v>3</v>
      </c>
      <c r="Z153" s="34">
        <v>0</v>
      </c>
      <c r="AA153" s="34">
        <v>0</v>
      </c>
      <c r="AB153" s="34">
        <v>0</v>
      </c>
      <c r="AC153" s="34">
        <v>0</v>
      </c>
      <c r="AD153" s="42">
        <v>3</v>
      </c>
      <c r="AE153" s="34">
        <v>0</v>
      </c>
      <c r="AF153" s="34">
        <v>0</v>
      </c>
      <c r="AG153" s="34">
        <v>0</v>
      </c>
      <c r="AH153" s="34">
        <v>0</v>
      </c>
      <c r="AI153" s="34">
        <v>0</v>
      </c>
      <c r="AJ153" s="42">
        <v>0</v>
      </c>
      <c r="AK153" s="62">
        <v>3</v>
      </c>
      <c r="AL153" s="62">
        <v>3</v>
      </c>
      <c r="AM153" s="69">
        <v>0</v>
      </c>
      <c r="AN153" s="62">
        <v>4</v>
      </c>
      <c r="AO153" s="34">
        <v>0</v>
      </c>
      <c r="AP153" s="43">
        <v>3.3333333333333335</v>
      </c>
      <c r="AQ153" s="32">
        <v>3</v>
      </c>
      <c r="AR153" s="34">
        <v>0</v>
      </c>
      <c r="AS153" s="62">
        <v>0</v>
      </c>
      <c r="AT153" s="34">
        <v>0</v>
      </c>
      <c r="AU153" s="34">
        <v>0</v>
      </c>
      <c r="AV153" s="42">
        <v>3</v>
      </c>
      <c r="AW153" s="34">
        <v>0</v>
      </c>
      <c r="AX153" s="34">
        <v>0</v>
      </c>
      <c r="AY153" s="34">
        <v>0</v>
      </c>
      <c r="AZ153" s="32">
        <v>4</v>
      </c>
      <c r="BA153" s="70">
        <v>3</v>
      </c>
      <c r="BB153" s="98">
        <v>3.5</v>
      </c>
    </row>
    <row r="154" spans="1:54" ht="23.1" customHeight="1" x14ac:dyDescent="0.3">
      <c r="A154" s="100">
        <v>150</v>
      </c>
      <c r="B154" s="83" t="s">
        <v>383</v>
      </c>
      <c r="C154" s="84" t="s">
        <v>384</v>
      </c>
      <c r="D154" s="83" t="s">
        <v>542</v>
      </c>
      <c r="E154" s="83" t="s">
        <v>493</v>
      </c>
      <c r="F154" s="83" t="str">
        <f>REPT(CHAR(160),10)&amp;Working!$E154</f>
        <v>          C</v>
      </c>
      <c r="G154" s="74">
        <v>0</v>
      </c>
      <c r="H154" s="74">
        <v>0</v>
      </c>
      <c r="I154" s="74">
        <v>4</v>
      </c>
      <c r="J154" s="74">
        <v>0</v>
      </c>
      <c r="K154" s="85">
        <v>0</v>
      </c>
      <c r="L154" s="80">
        <v>4</v>
      </c>
      <c r="M154" s="74">
        <v>0</v>
      </c>
      <c r="N154" s="74">
        <v>3</v>
      </c>
      <c r="O154" s="74">
        <v>4</v>
      </c>
      <c r="P154" s="83">
        <v>0</v>
      </c>
      <c r="Q154" s="94">
        <v>4</v>
      </c>
      <c r="R154" s="43">
        <v>3.6666666666666665</v>
      </c>
      <c r="S154" s="32">
        <v>0</v>
      </c>
      <c r="T154" s="16">
        <v>0</v>
      </c>
      <c r="U154" s="22">
        <v>0</v>
      </c>
      <c r="V154" s="16">
        <v>0</v>
      </c>
      <c r="W154" s="16">
        <v>0</v>
      </c>
      <c r="X154" s="42">
        <v>0</v>
      </c>
      <c r="Y154" s="16">
        <v>4</v>
      </c>
      <c r="Z154" s="16">
        <v>0</v>
      </c>
      <c r="AA154" s="16">
        <v>0</v>
      </c>
      <c r="AB154" s="16">
        <v>0</v>
      </c>
      <c r="AC154" s="16">
        <v>0</v>
      </c>
      <c r="AD154" s="42">
        <v>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42">
        <v>0</v>
      </c>
      <c r="AK154" s="7">
        <v>3</v>
      </c>
      <c r="AL154" s="7">
        <v>4</v>
      </c>
      <c r="AM154" s="22">
        <v>0</v>
      </c>
      <c r="AN154" s="7">
        <v>4</v>
      </c>
      <c r="AO154" s="16">
        <v>0</v>
      </c>
      <c r="AP154" s="43">
        <v>3.6666666666666665</v>
      </c>
      <c r="AQ154" s="32">
        <v>5</v>
      </c>
      <c r="AR154" s="16">
        <v>0</v>
      </c>
      <c r="AS154" s="7">
        <v>0</v>
      </c>
      <c r="AT154" s="16">
        <v>0</v>
      </c>
      <c r="AU154" s="16">
        <v>0</v>
      </c>
      <c r="AV154" s="42">
        <v>5</v>
      </c>
      <c r="AW154" s="16">
        <v>0</v>
      </c>
      <c r="AX154" s="16">
        <v>0</v>
      </c>
      <c r="AY154" s="34">
        <v>0</v>
      </c>
      <c r="AZ154" s="32">
        <v>4</v>
      </c>
      <c r="BA154" s="70">
        <v>4</v>
      </c>
      <c r="BB154" s="98">
        <v>4</v>
      </c>
    </row>
    <row r="155" spans="1:54" ht="23.1" customHeight="1" x14ac:dyDescent="0.3">
      <c r="A155" s="99">
        <v>151</v>
      </c>
      <c r="B155" s="76" t="s">
        <v>46</v>
      </c>
      <c r="C155" s="77" t="s">
        <v>47</v>
      </c>
      <c r="D155" s="76" t="s">
        <v>450</v>
      </c>
      <c r="E155" s="76" t="s">
        <v>35</v>
      </c>
      <c r="F155" s="76" t="str">
        <f>REPT(CHAR(160),10)&amp;Working!$E155</f>
        <v>          A</v>
      </c>
      <c r="G155" s="78">
        <v>0</v>
      </c>
      <c r="H155" s="78">
        <v>0</v>
      </c>
      <c r="I155" s="78">
        <v>5</v>
      </c>
      <c r="J155" s="78">
        <v>0</v>
      </c>
      <c r="K155" s="79">
        <v>0</v>
      </c>
      <c r="L155" s="80">
        <v>5</v>
      </c>
      <c r="M155" s="78">
        <v>0</v>
      </c>
      <c r="N155" s="78">
        <v>5</v>
      </c>
      <c r="O155" s="78">
        <v>5</v>
      </c>
      <c r="P155" s="76">
        <v>0</v>
      </c>
      <c r="Q155" s="95">
        <v>5</v>
      </c>
      <c r="R155" s="43">
        <v>5</v>
      </c>
      <c r="S155" s="32">
        <v>0</v>
      </c>
      <c r="T155" s="34">
        <v>0</v>
      </c>
      <c r="U155" s="69">
        <v>0</v>
      </c>
      <c r="V155" s="34">
        <v>0</v>
      </c>
      <c r="W155" s="34">
        <v>0</v>
      </c>
      <c r="X155" s="42">
        <v>0</v>
      </c>
      <c r="Y155" s="34">
        <v>4</v>
      </c>
      <c r="Z155" s="34">
        <v>0</v>
      </c>
      <c r="AA155" s="34">
        <v>0</v>
      </c>
      <c r="AB155" s="34">
        <v>0</v>
      </c>
      <c r="AC155" s="34">
        <v>0</v>
      </c>
      <c r="AD155" s="42">
        <v>4</v>
      </c>
      <c r="AE155" s="34">
        <v>0</v>
      </c>
      <c r="AF155" s="34">
        <v>0</v>
      </c>
      <c r="AG155" s="34">
        <v>0</v>
      </c>
      <c r="AH155" s="34">
        <v>0</v>
      </c>
      <c r="AI155" s="34">
        <v>0</v>
      </c>
      <c r="AJ155" s="42">
        <v>0</v>
      </c>
      <c r="AK155" s="62">
        <v>5</v>
      </c>
      <c r="AL155" s="62">
        <v>5</v>
      </c>
      <c r="AM155" s="69">
        <v>0</v>
      </c>
      <c r="AN155" s="62">
        <v>5</v>
      </c>
      <c r="AO155" s="34">
        <v>0</v>
      </c>
      <c r="AP155" s="43">
        <v>5</v>
      </c>
      <c r="AQ155" s="32">
        <v>5</v>
      </c>
      <c r="AR155" s="34">
        <v>0</v>
      </c>
      <c r="AS155" s="62">
        <v>0</v>
      </c>
      <c r="AT155" s="34">
        <v>0</v>
      </c>
      <c r="AU155" s="34">
        <v>0</v>
      </c>
      <c r="AV155" s="42">
        <v>5</v>
      </c>
      <c r="AW155" s="34">
        <v>0</v>
      </c>
      <c r="AX155" s="34">
        <v>0</v>
      </c>
      <c r="AY155" s="34">
        <v>0</v>
      </c>
      <c r="AZ155" s="32">
        <v>5</v>
      </c>
      <c r="BA155" s="70">
        <v>5</v>
      </c>
      <c r="BB155" s="98">
        <v>5</v>
      </c>
    </row>
    <row r="156" spans="1:54" ht="23.1" customHeight="1" x14ac:dyDescent="0.3">
      <c r="A156" s="100">
        <v>152</v>
      </c>
      <c r="B156" s="83" t="s">
        <v>83</v>
      </c>
      <c r="C156" s="84" t="s">
        <v>84</v>
      </c>
      <c r="D156" s="83" t="s">
        <v>450</v>
      </c>
      <c r="E156" s="83" t="s">
        <v>35</v>
      </c>
      <c r="F156" s="83" t="str">
        <f>REPT(CHAR(160),10)&amp;Working!$E156</f>
        <v>          A</v>
      </c>
      <c r="G156" s="74">
        <v>0</v>
      </c>
      <c r="H156" s="74">
        <v>0</v>
      </c>
      <c r="I156" s="74">
        <v>5</v>
      </c>
      <c r="J156" s="74">
        <v>0</v>
      </c>
      <c r="K156" s="85">
        <v>0</v>
      </c>
      <c r="L156" s="80">
        <v>5</v>
      </c>
      <c r="M156" s="74">
        <v>0</v>
      </c>
      <c r="N156" s="74">
        <v>5</v>
      </c>
      <c r="O156" s="74">
        <v>5</v>
      </c>
      <c r="P156" s="83">
        <v>0</v>
      </c>
      <c r="Q156" s="94">
        <v>5</v>
      </c>
      <c r="R156" s="43">
        <v>5</v>
      </c>
      <c r="S156" s="32">
        <v>0</v>
      </c>
      <c r="T156" s="16">
        <v>0</v>
      </c>
      <c r="U156" s="22">
        <v>0</v>
      </c>
      <c r="V156" s="16">
        <v>0</v>
      </c>
      <c r="W156" s="16">
        <v>0</v>
      </c>
      <c r="X156" s="42">
        <v>0</v>
      </c>
      <c r="Y156" s="16">
        <v>5</v>
      </c>
      <c r="Z156" s="16">
        <v>0</v>
      </c>
      <c r="AA156" s="16">
        <v>0</v>
      </c>
      <c r="AB156" s="16">
        <v>0</v>
      </c>
      <c r="AC156" s="16">
        <v>0</v>
      </c>
      <c r="AD156" s="42">
        <v>5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42">
        <v>0</v>
      </c>
      <c r="AK156" s="7">
        <v>5</v>
      </c>
      <c r="AL156" s="7">
        <v>5</v>
      </c>
      <c r="AM156" s="22">
        <v>0</v>
      </c>
      <c r="AN156" s="7">
        <v>5</v>
      </c>
      <c r="AO156" s="16">
        <v>0</v>
      </c>
      <c r="AP156" s="43">
        <v>5</v>
      </c>
      <c r="AQ156" s="32">
        <v>5</v>
      </c>
      <c r="AR156" s="16">
        <v>0</v>
      </c>
      <c r="AS156" s="7">
        <v>0</v>
      </c>
      <c r="AT156" s="16">
        <v>0</v>
      </c>
      <c r="AU156" s="16">
        <v>0</v>
      </c>
      <c r="AV156" s="42">
        <v>5</v>
      </c>
      <c r="AW156" s="16">
        <v>0</v>
      </c>
      <c r="AX156" s="16">
        <v>0</v>
      </c>
      <c r="AY156" s="34">
        <v>0</v>
      </c>
      <c r="AZ156" s="32">
        <v>5</v>
      </c>
      <c r="BA156" s="70">
        <v>5</v>
      </c>
      <c r="BB156" s="98">
        <v>5</v>
      </c>
    </row>
    <row r="157" spans="1:54" ht="23.1" customHeight="1" x14ac:dyDescent="0.3">
      <c r="A157" s="99">
        <v>153</v>
      </c>
      <c r="B157" s="76" t="s">
        <v>385</v>
      </c>
      <c r="C157" s="77" t="s">
        <v>386</v>
      </c>
      <c r="D157" s="76" t="s">
        <v>450</v>
      </c>
      <c r="E157" s="76" t="s">
        <v>493</v>
      </c>
      <c r="F157" s="76" t="str">
        <f>REPT(CHAR(160),10)&amp;Working!$E157</f>
        <v>          C</v>
      </c>
      <c r="G157" s="78">
        <v>0</v>
      </c>
      <c r="H157" s="78">
        <v>0</v>
      </c>
      <c r="I157" s="78">
        <v>4</v>
      </c>
      <c r="J157" s="78">
        <v>0</v>
      </c>
      <c r="K157" s="79">
        <v>0</v>
      </c>
      <c r="L157" s="80">
        <v>4</v>
      </c>
      <c r="M157" s="78">
        <v>0</v>
      </c>
      <c r="N157" s="78">
        <v>5</v>
      </c>
      <c r="O157" s="78">
        <v>5</v>
      </c>
      <c r="P157" s="76">
        <v>0</v>
      </c>
      <c r="Q157" s="95">
        <v>5</v>
      </c>
      <c r="R157" s="43">
        <v>5</v>
      </c>
      <c r="S157" s="32">
        <v>0</v>
      </c>
      <c r="T157" s="34">
        <v>0</v>
      </c>
      <c r="U157" s="69">
        <v>0</v>
      </c>
      <c r="V157" s="34">
        <v>0</v>
      </c>
      <c r="W157" s="34">
        <v>0</v>
      </c>
      <c r="X157" s="42">
        <v>0</v>
      </c>
      <c r="Y157" s="34">
        <v>4</v>
      </c>
      <c r="Z157" s="34">
        <v>0</v>
      </c>
      <c r="AA157" s="34">
        <v>0</v>
      </c>
      <c r="AB157" s="34">
        <v>0</v>
      </c>
      <c r="AC157" s="34">
        <v>0</v>
      </c>
      <c r="AD157" s="42">
        <v>4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42">
        <v>0</v>
      </c>
      <c r="AK157" s="62">
        <v>4</v>
      </c>
      <c r="AL157" s="62">
        <v>3</v>
      </c>
      <c r="AM157" s="69">
        <v>0</v>
      </c>
      <c r="AN157" s="62">
        <v>4</v>
      </c>
      <c r="AO157" s="34">
        <v>0</v>
      </c>
      <c r="AP157" s="43">
        <v>3.6666666666666665</v>
      </c>
      <c r="AQ157" s="32">
        <v>4</v>
      </c>
      <c r="AR157" s="34">
        <v>0</v>
      </c>
      <c r="AS157" s="62">
        <v>0</v>
      </c>
      <c r="AT157" s="34">
        <v>0</v>
      </c>
      <c r="AU157" s="34">
        <v>0</v>
      </c>
      <c r="AV157" s="42">
        <v>4</v>
      </c>
      <c r="AW157" s="34">
        <v>0</v>
      </c>
      <c r="AX157" s="34">
        <v>0</v>
      </c>
      <c r="AY157" s="34">
        <v>0</v>
      </c>
      <c r="AZ157" s="32">
        <v>4</v>
      </c>
      <c r="BA157" s="70">
        <v>4</v>
      </c>
      <c r="BB157" s="98">
        <v>4</v>
      </c>
    </row>
    <row r="158" spans="1:54" ht="23.1" customHeight="1" x14ac:dyDescent="0.3">
      <c r="A158" s="100">
        <v>154</v>
      </c>
      <c r="B158" s="83" t="s">
        <v>93</v>
      </c>
      <c r="C158" s="84" t="s">
        <v>94</v>
      </c>
      <c r="D158" s="83" t="s">
        <v>542</v>
      </c>
      <c r="E158" s="83" t="s">
        <v>35</v>
      </c>
      <c r="F158" s="83" t="str">
        <f>REPT(CHAR(160),10)&amp;Working!$E158</f>
        <v>          A</v>
      </c>
      <c r="G158" s="74">
        <v>0</v>
      </c>
      <c r="H158" s="74">
        <v>0</v>
      </c>
      <c r="I158" s="74">
        <v>2</v>
      </c>
      <c r="J158" s="74">
        <v>0</v>
      </c>
      <c r="K158" s="85">
        <v>0</v>
      </c>
      <c r="L158" s="80">
        <v>2</v>
      </c>
      <c r="M158" s="74">
        <v>0</v>
      </c>
      <c r="N158" s="74">
        <v>4</v>
      </c>
      <c r="O158" s="74">
        <v>4</v>
      </c>
      <c r="P158" s="83">
        <v>0</v>
      </c>
      <c r="Q158" s="94">
        <v>4</v>
      </c>
      <c r="R158" s="43">
        <v>4</v>
      </c>
      <c r="S158" s="32">
        <v>0</v>
      </c>
      <c r="T158" s="16">
        <v>0</v>
      </c>
      <c r="U158" s="22">
        <v>0</v>
      </c>
      <c r="V158" s="16">
        <v>0</v>
      </c>
      <c r="W158" s="16">
        <v>0</v>
      </c>
      <c r="X158" s="42">
        <v>0</v>
      </c>
      <c r="Y158" s="16">
        <v>4</v>
      </c>
      <c r="Z158" s="16">
        <v>0</v>
      </c>
      <c r="AA158" s="16">
        <v>0</v>
      </c>
      <c r="AB158" s="16">
        <v>0</v>
      </c>
      <c r="AC158" s="16">
        <v>0</v>
      </c>
      <c r="AD158" s="42">
        <v>4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42">
        <v>0</v>
      </c>
      <c r="AK158" s="7">
        <v>3</v>
      </c>
      <c r="AL158" s="7">
        <v>3</v>
      </c>
      <c r="AM158" s="22">
        <v>0</v>
      </c>
      <c r="AN158" s="7">
        <v>3</v>
      </c>
      <c r="AO158" s="16">
        <v>0</v>
      </c>
      <c r="AP158" s="43">
        <v>3</v>
      </c>
      <c r="AQ158" s="32">
        <v>1</v>
      </c>
      <c r="AR158" s="16">
        <v>0</v>
      </c>
      <c r="AS158" s="7">
        <v>0</v>
      </c>
      <c r="AT158" s="16">
        <v>0</v>
      </c>
      <c r="AU158" s="16">
        <v>0</v>
      </c>
      <c r="AV158" s="42">
        <v>1</v>
      </c>
      <c r="AW158" s="16">
        <v>0</v>
      </c>
      <c r="AX158" s="16">
        <v>0</v>
      </c>
      <c r="AY158" s="34">
        <v>0</v>
      </c>
      <c r="AZ158" s="32">
        <v>3</v>
      </c>
      <c r="BA158" s="70">
        <v>3</v>
      </c>
      <c r="BB158" s="98">
        <v>3</v>
      </c>
    </row>
    <row r="159" spans="1:54" ht="23.1" customHeight="1" x14ac:dyDescent="0.3">
      <c r="A159" s="99">
        <v>155</v>
      </c>
      <c r="B159" s="76" t="s">
        <v>188</v>
      </c>
      <c r="C159" s="77" t="s">
        <v>189</v>
      </c>
      <c r="D159" s="76" t="s">
        <v>542</v>
      </c>
      <c r="E159" s="76" t="s">
        <v>161</v>
      </c>
      <c r="F159" s="76" t="str">
        <f>REPT(CHAR(160),10)&amp;Working!$E159</f>
        <v>          B</v>
      </c>
      <c r="G159" s="78">
        <v>0</v>
      </c>
      <c r="H159" s="78">
        <v>0</v>
      </c>
      <c r="I159" s="78">
        <v>4</v>
      </c>
      <c r="J159" s="78">
        <v>0</v>
      </c>
      <c r="K159" s="79">
        <v>0</v>
      </c>
      <c r="L159" s="80">
        <v>4</v>
      </c>
      <c r="M159" s="78">
        <v>0</v>
      </c>
      <c r="N159" s="78">
        <v>3</v>
      </c>
      <c r="O159" s="78">
        <v>3</v>
      </c>
      <c r="P159" s="76">
        <v>0</v>
      </c>
      <c r="Q159" s="95">
        <v>3</v>
      </c>
      <c r="R159" s="43">
        <v>3</v>
      </c>
      <c r="S159" s="32">
        <v>0</v>
      </c>
      <c r="T159" s="34">
        <v>0</v>
      </c>
      <c r="U159" s="69">
        <v>0</v>
      </c>
      <c r="V159" s="34">
        <v>0</v>
      </c>
      <c r="W159" s="34">
        <v>0</v>
      </c>
      <c r="X159" s="42">
        <v>0</v>
      </c>
      <c r="Y159" s="34">
        <v>4</v>
      </c>
      <c r="Z159" s="34">
        <v>0</v>
      </c>
      <c r="AA159" s="34">
        <v>0</v>
      </c>
      <c r="AB159" s="34">
        <v>0</v>
      </c>
      <c r="AC159" s="34">
        <v>0</v>
      </c>
      <c r="AD159" s="42">
        <v>4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42">
        <v>0</v>
      </c>
      <c r="AK159" s="62">
        <v>3</v>
      </c>
      <c r="AL159" s="62">
        <v>2</v>
      </c>
      <c r="AM159" s="69">
        <v>0</v>
      </c>
      <c r="AN159" s="62">
        <v>3</v>
      </c>
      <c r="AO159" s="34">
        <v>0</v>
      </c>
      <c r="AP159" s="43">
        <v>2.6666666666666665</v>
      </c>
      <c r="AQ159" s="32">
        <v>4</v>
      </c>
      <c r="AR159" s="34">
        <v>0</v>
      </c>
      <c r="AS159" s="62">
        <v>0</v>
      </c>
      <c r="AT159" s="34">
        <v>0</v>
      </c>
      <c r="AU159" s="34">
        <v>0</v>
      </c>
      <c r="AV159" s="42">
        <v>4</v>
      </c>
      <c r="AW159" s="34">
        <v>0</v>
      </c>
      <c r="AX159" s="34">
        <v>0</v>
      </c>
      <c r="AY159" s="34">
        <v>0</v>
      </c>
      <c r="AZ159" s="32">
        <v>5</v>
      </c>
      <c r="BA159" s="70">
        <v>3</v>
      </c>
      <c r="BB159" s="98">
        <v>4</v>
      </c>
    </row>
    <row r="160" spans="1:54" ht="23.1" customHeight="1" x14ac:dyDescent="0.3">
      <c r="A160" s="100">
        <v>156</v>
      </c>
      <c r="B160" s="83" t="s">
        <v>174</v>
      </c>
      <c r="C160" s="84" t="s">
        <v>175</v>
      </c>
      <c r="D160" s="83" t="s">
        <v>450</v>
      </c>
      <c r="E160" s="83" t="s">
        <v>161</v>
      </c>
      <c r="F160" s="83" t="str">
        <f>REPT(CHAR(160),10)&amp;Working!$E160</f>
        <v>          B</v>
      </c>
      <c r="G160" s="74">
        <v>0</v>
      </c>
      <c r="H160" s="74">
        <v>0</v>
      </c>
      <c r="I160" s="74">
        <v>3</v>
      </c>
      <c r="J160" s="74">
        <v>0</v>
      </c>
      <c r="K160" s="85">
        <v>0</v>
      </c>
      <c r="L160" s="80">
        <v>3</v>
      </c>
      <c r="M160" s="74">
        <v>0</v>
      </c>
      <c r="N160" s="74">
        <v>4</v>
      </c>
      <c r="O160" s="74">
        <v>3</v>
      </c>
      <c r="P160" s="83">
        <v>0</v>
      </c>
      <c r="Q160" s="94">
        <v>3</v>
      </c>
      <c r="R160" s="43">
        <v>3.3333333333333335</v>
      </c>
      <c r="S160" s="32">
        <v>0</v>
      </c>
      <c r="T160" s="16">
        <v>0</v>
      </c>
      <c r="U160" s="22">
        <v>0</v>
      </c>
      <c r="V160" s="16">
        <v>0</v>
      </c>
      <c r="W160" s="16">
        <v>0</v>
      </c>
      <c r="X160" s="42">
        <v>0</v>
      </c>
      <c r="Y160" s="16">
        <v>4</v>
      </c>
      <c r="Z160" s="16">
        <v>0</v>
      </c>
      <c r="AA160" s="16">
        <v>0</v>
      </c>
      <c r="AB160" s="16">
        <v>0</v>
      </c>
      <c r="AC160" s="16">
        <v>0</v>
      </c>
      <c r="AD160" s="42">
        <v>4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42">
        <v>0</v>
      </c>
      <c r="AK160" s="7">
        <v>3</v>
      </c>
      <c r="AL160" s="7">
        <v>3</v>
      </c>
      <c r="AM160" s="22">
        <v>0</v>
      </c>
      <c r="AN160" s="7">
        <v>4</v>
      </c>
      <c r="AO160" s="16">
        <v>0</v>
      </c>
      <c r="AP160" s="43">
        <v>3.3333333333333335</v>
      </c>
      <c r="AQ160" s="32">
        <v>3</v>
      </c>
      <c r="AR160" s="16">
        <v>0</v>
      </c>
      <c r="AS160" s="7">
        <v>0</v>
      </c>
      <c r="AT160" s="16">
        <v>0</v>
      </c>
      <c r="AU160" s="16">
        <v>0</v>
      </c>
      <c r="AV160" s="42">
        <v>3</v>
      </c>
      <c r="AW160" s="16">
        <v>0</v>
      </c>
      <c r="AX160" s="16">
        <v>0</v>
      </c>
      <c r="AY160" s="34">
        <v>0</v>
      </c>
      <c r="AZ160" s="32">
        <v>4</v>
      </c>
      <c r="BA160" s="70">
        <v>3</v>
      </c>
      <c r="BB160" s="98">
        <v>3.5</v>
      </c>
    </row>
    <row r="161" spans="1:54" ht="23.1" customHeight="1" x14ac:dyDescent="0.3">
      <c r="A161" s="99">
        <v>157</v>
      </c>
      <c r="B161" s="76" t="s">
        <v>205</v>
      </c>
      <c r="C161" s="77" t="s">
        <v>206</v>
      </c>
      <c r="D161" s="76" t="s">
        <v>450</v>
      </c>
      <c r="E161" s="76" t="s">
        <v>161</v>
      </c>
      <c r="F161" s="76" t="str">
        <f>REPT(CHAR(160),10)&amp;Working!$E161</f>
        <v>          B</v>
      </c>
      <c r="G161" s="78">
        <v>0</v>
      </c>
      <c r="H161" s="78">
        <v>0</v>
      </c>
      <c r="I161" s="78">
        <v>5</v>
      </c>
      <c r="J161" s="78">
        <v>0</v>
      </c>
      <c r="K161" s="79">
        <v>0</v>
      </c>
      <c r="L161" s="80">
        <v>5</v>
      </c>
      <c r="M161" s="78">
        <v>0</v>
      </c>
      <c r="N161" s="78">
        <v>3</v>
      </c>
      <c r="O161" s="78">
        <v>5</v>
      </c>
      <c r="P161" s="76">
        <v>0</v>
      </c>
      <c r="Q161" s="95">
        <v>5</v>
      </c>
      <c r="R161" s="43">
        <v>4.333333333333333</v>
      </c>
      <c r="S161" s="32">
        <v>0</v>
      </c>
      <c r="T161" s="34">
        <v>0</v>
      </c>
      <c r="U161" s="69">
        <v>0</v>
      </c>
      <c r="V161" s="34">
        <v>0</v>
      </c>
      <c r="W161" s="34">
        <v>0</v>
      </c>
      <c r="X161" s="42">
        <v>0</v>
      </c>
      <c r="Y161" s="34">
        <v>3</v>
      </c>
      <c r="Z161" s="34">
        <v>0</v>
      </c>
      <c r="AA161" s="34">
        <v>0</v>
      </c>
      <c r="AB161" s="34">
        <v>0</v>
      </c>
      <c r="AC161" s="34">
        <v>0</v>
      </c>
      <c r="AD161" s="42">
        <v>3</v>
      </c>
      <c r="AE161" s="34">
        <v>0</v>
      </c>
      <c r="AF161" s="34">
        <v>0</v>
      </c>
      <c r="AG161" s="34">
        <v>0</v>
      </c>
      <c r="AH161" s="34">
        <v>0</v>
      </c>
      <c r="AI161" s="34">
        <v>0</v>
      </c>
      <c r="AJ161" s="42">
        <v>0</v>
      </c>
      <c r="AK161" s="62">
        <v>4</v>
      </c>
      <c r="AL161" s="62">
        <v>4</v>
      </c>
      <c r="AM161" s="69">
        <v>0</v>
      </c>
      <c r="AN161" s="62">
        <v>4</v>
      </c>
      <c r="AO161" s="34">
        <v>0</v>
      </c>
      <c r="AP161" s="43">
        <v>4</v>
      </c>
      <c r="AQ161" s="32">
        <v>4</v>
      </c>
      <c r="AR161" s="34">
        <v>0</v>
      </c>
      <c r="AS161" s="62">
        <v>0</v>
      </c>
      <c r="AT161" s="34">
        <v>0</v>
      </c>
      <c r="AU161" s="34">
        <v>0</v>
      </c>
      <c r="AV161" s="42">
        <v>4</v>
      </c>
      <c r="AW161" s="34">
        <v>0</v>
      </c>
      <c r="AX161" s="34">
        <v>0</v>
      </c>
      <c r="AY161" s="34">
        <v>0</v>
      </c>
      <c r="AZ161" s="32">
        <v>5</v>
      </c>
      <c r="BA161" s="70">
        <v>5</v>
      </c>
      <c r="BB161" s="98">
        <v>5</v>
      </c>
    </row>
    <row r="162" spans="1:54" ht="23.1" customHeight="1" x14ac:dyDescent="0.3">
      <c r="A162" s="100">
        <v>158</v>
      </c>
      <c r="B162" s="83" t="s">
        <v>387</v>
      </c>
      <c r="C162" s="84" t="s">
        <v>388</v>
      </c>
      <c r="D162" s="83" t="s">
        <v>450</v>
      </c>
      <c r="E162" s="83" t="s">
        <v>493</v>
      </c>
      <c r="F162" s="83" t="str">
        <f>REPT(CHAR(160),10)&amp;Working!$E162</f>
        <v>          C</v>
      </c>
      <c r="G162" s="74">
        <v>0</v>
      </c>
      <c r="H162" s="74">
        <v>0</v>
      </c>
      <c r="I162" s="74">
        <v>3</v>
      </c>
      <c r="J162" s="74">
        <v>0</v>
      </c>
      <c r="K162" s="85">
        <v>0</v>
      </c>
      <c r="L162" s="80">
        <v>3</v>
      </c>
      <c r="M162" s="74">
        <v>0</v>
      </c>
      <c r="N162" s="74">
        <v>4</v>
      </c>
      <c r="O162" s="74">
        <v>4</v>
      </c>
      <c r="P162" s="83">
        <v>0</v>
      </c>
      <c r="Q162" s="94">
        <v>4</v>
      </c>
      <c r="R162" s="43">
        <v>4</v>
      </c>
      <c r="S162" s="32">
        <v>0</v>
      </c>
      <c r="T162" s="16">
        <v>0</v>
      </c>
      <c r="U162" s="22">
        <v>0</v>
      </c>
      <c r="V162" s="16">
        <v>0</v>
      </c>
      <c r="W162" s="16">
        <v>0</v>
      </c>
      <c r="X162" s="42">
        <v>0</v>
      </c>
      <c r="Y162" s="16">
        <v>4</v>
      </c>
      <c r="Z162" s="16">
        <v>0</v>
      </c>
      <c r="AA162" s="16">
        <v>0</v>
      </c>
      <c r="AB162" s="16">
        <v>0</v>
      </c>
      <c r="AC162" s="16">
        <v>0</v>
      </c>
      <c r="AD162" s="42">
        <v>4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42">
        <v>0</v>
      </c>
      <c r="AK162" s="7">
        <v>4</v>
      </c>
      <c r="AL162" s="7">
        <v>3</v>
      </c>
      <c r="AM162" s="22">
        <v>0</v>
      </c>
      <c r="AN162" s="7">
        <v>4</v>
      </c>
      <c r="AO162" s="16">
        <v>0</v>
      </c>
      <c r="AP162" s="43">
        <v>3.6666666666666665</v>
      </c>
      <c r="AQ162" s="32">
        <v>3</v>
      </c>
      <c r="AR162" s="16">
        <v>0</v>
      </c>
      <c r="AS162" s="7">
        <v>0</v>
      </c>
      <c r="AT162" s="16">
        <v>0</v>
      </c>
      <c r="AU162" s="16">
        <v>0</v>
      </c>
      <c r="AV162" s="42">
        <v>3</v>
      </c>
      <c r="AW162" s="16">
        <v>0</v>
      </c>
      <c r="AX162" s="16">
        <v>0</v>
      </c>
      <c r="AY162" s="34">
        <v>0</v>
      </c>
      <c r="AZ162" s="32">
        <v>4</v>
      </c>
      <c r="BA162" s="70">
        <v>3</v>
      </c>
      <c r="BB162" s="98">
        <v>3.5</v>
      </c>
    </row>
    <row r="163" spans="1:54" ht="23.1" customHeight="1" x14ac:dyDescent="0.3">
      <c r="A163" s="99">
        <v>159</v>
      </c>
      <c r="B163" s="76" t="s">
        <v>190</v>
      </c>
      <c r="C163" s="77" t="s">
        <v>191</v>
      </c>
      <c r="D163" s="76" t="s">
        <v>450</v>
      </c>
      <c r="E163" s="76" t="s">
        <v>161</v>
      </c>
      <c r="F163" s="76" t="str">
        <f>REPT(CHAR(160),10)&amp;Working!$E163</f>
        <v>          B</v>
      </c>
      <c r="G163" s="78">
        <v>0</v>
      </c>
      <c r="H163" s="78">
        <v>0</v>
      </c>
      <c r="I163" s="78">
        <v>1</v>
      </c>
      <c r="J163" s="78">
        <v>0</v>
      </c>
      <c r="K163" s="79">
        <v>0</v>
      </c>
      <c r="L163" s="80">
        <v>1</v>
      </c>
      <c r="M163" s="78">
        <v>0</v>
      </c>
      <c r="N163" s="78">
        <v>2</v>
      </c>
      <c r="O163" s="78">
        <v>2</v>
      </c>
      <c r="P163" s="76">
        <v>0</v>
      </c>
      <c r="Q163" s="95">
        <v>2</v>
      </c>
      <c r="R163" s="43">
        <v>2</v>
      </c>
      <c r="S163" s="32">
        <v>0</v>
      </c>
      <c r="T163" s="34">
        <v>0</v>
      </c>
      <c r="U163" s="69">
        <v>0</v>
      </c>
      <c r="V163" s="34">
        <v>0</v>
      </c>
      <c r="W163" s="34">
        <v>0</v>
      </c>
      <c r="X163" s="42">
        <v>0</v>
      </c>
      <c r="Y163" s="34">
        <v>2</v>
      </c>
      <c r="Z163" s="34">
        <v>0</v>
      </c>
      <c r="AA163" s="34">
        <v>0</v>
      </c>
      <c r="AB163" s="34">
        <v>0</v>
      </c>
      <c r="AC163" s="34">
        <v>0</v>
      </c>
      <c r="AD163" s="42">
        <v>2</v>
      </c>
      <c r="AE163" s="34">
        <v>0</v>
      </c>
      <c r="AF163" s="34">
        <v>0</v>
      </c>
      <c r="AG163" s="34">
        <v>0</v>
      </c>
      <c r="AH163" s="34">
        <v>0</v>
      </c>
      <c r="AI163" s="34">
        <v>0</v>
      </c>
      <c r="AJ163" s="42">
        <v>0</v>
      </c>
      <c r="AK163" s="62">
        <v>2</v>
      </c>
      <c r="AL163" s="62">
        <v>1</v>
      </c>
      <c r="AM163" s="69">
        <v>0</v>
      </c>
      <c r="AN163" s="62">
        <v>2</v>
      </c>
      <c r="AO163" s="34">
        <v>0</v>
      </c>
      <c r="AP163" s="43">
        <v>1.6666666666666667</v>
      </c>
      <c r="AQ163" s="32">
        <v>1</v>
      </c>
      <c r="AR163" s="34">
        <v>0</v>
      </c>
      <c r="AS163" s="62">
        <v>0</v>
      </c>
      <c r="AT163" s="34">
        <v>0</v>
      </c>
      <c r="AU163" s="34">
        <v>0</v>
      </c>
      <c r="AV163" s="42">
        <v>1</v>
      </c>
      <c r="AW163" s="34">
        <v>0</v>
      </c>
      <c r="AX163" s="34">
        <v>0</v>
      </c>
      <c r="AY163" s="34">
        <v>0</v>
      </c>
      <c r="AZ163" s="32">
        <v>2</v>
      </c>
      <c r="BA163" s="70">
        <v>2</v>
      </c>
      <c r="BB163" s="98">
        <v>2</v>
      </c>
    </row>
    <row r="164" spans="1:54" ht="23.1" customHeight="1" x14ac:dyDescent="0.3">
      <c r="A164" s="100">
        <v>160</v>
      </c>
      <c r="B164" s="83" t="s">
        <v>157</v>
      </c>
      <c r="C164" s="84" t="s">
        <v>158</v>
      </c>
      <c r="D164" s="83" t="s">
        <v>542</v>
      </c>
      <c r="E164" s="83" t="s">
        <v>35</v>
      </c>
      <c r="F164" s="83" t="str">
        <f>REPT(CHAR(160),10)&amp;Working!$E164</f>
        <v>          A</v>
      </c>
      <c r="G164" s="74">
        <v>0</v>
      </c>
      <c r="H164" s="74">
        <v>0</v>
      </c>
      <c r="I164" s="74">
        <v>3</v>
      </c>
      <c r="J164" s="74">
        <v>0</v>
      </c>
      <c r="K164" s="85">
        <v>0</v>
      </c>
      <c r="L164" s="80">
        <v>3</v>
      </c>
      <c r="M164" s="74">
        <v>0</v>
      </c>
      <c r="N164" s="74">
        <v>3</v>
      </c>
      <c r="O164" s="74">
        <v>3</v>
      </c>
      <c r="P164" s="83">
        <v>0</v>
      </c>
      <c r="Q164" s="94">
        <v>3</v>
      </c>
      <c r="R164" s="43">
        <v>3</v>
      </c>
      <c r="S164" s="32">
        <v>0</v>
      </c>
      <c r="T164" s="16">
        <v>0</v>
      </c>
      <c r="U164" s="22">
        <v>0</v>
      </c>
      <c r="V164" s="16">
        <v>0</v>
      </c>
      <c r="W164" s="16">
        <v>0</v>
      </c>
      <c r="X164" s="42">
        <v>0</v>
      </c>
      <c r="Y164" s="16">
        <v>3</v>
      </c>
      <c r="Z164" s="16">
        <v>0</v>
      </c>
      <c r="AA164" s="16">
        <v>0</v>
      </c>
      <c r="AB164" s="16">
        <v>0</v>
      </c>
      <c r="AC164" s="16">
        <v>0</v>
      </c>
      <c r="AD164" s="42">
        <v>3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42">
        <v>0</v>
      </c>
      <c r="AK164" s="7">
        <v>3</v>
      </c>
      <c r="AL164" s="7">
        <v>3</v>
      </c>
      <c r="AM164" s="22">
        <v>0</v>
      </c>
      <c r="AN164" s="7">
        <v>3</v>
      </c>
      <c r="AO164" s="16">
        <v>0</v>
      </c>
      <c r="AP164" s="43">
        <v>3</v>
      </c>
      <c r="AQ164" s="32">
        <v>5</v>
      </c>
      <c r="AR164" s="16">
        <v>0</v>
      </c>
      <c r="AS164" s="7">
        <v>0</v>
      </c>
      <c r="AT164" s="16">
        <v>0</v>
      </c>
      <c r="AU164" s="16">
        <v>0</v>
      </c>
      <c r="AV164" s="42">
        <v>5</v>
      </c>
      <c r="AW164" s="16">
        <v>0</v>
      </c>
      <c r="AX164" s="16">
        <v>0</v>
      </c>
      <c r="AY164" s="34">
        <v>0</v>
      </c>
      <c r="AZ164" s="32">
        <v>4</v>
      </c>
      <c r="BA164" s="70">
        <v>3</v>
      </c>
      <c r="BB164" s="98">
        <v>3.5</v>
      </c>
    </row>
    <row r="165" spans="1:54" ht="23.1" customHeight="1" x14ac:dyDescent="0.3">
      <c r="A165" s="99">
        <v>161</v>
      </c>
      <c r="B165" s="76" t="s">
        <v>389</v>
      </c>
      <c r="C165" s="77" t="s">
        <v>390</v>
      </c>
      <c r="D165" s="76" t="s">
        <v>450</v>
      </c>
      <c r="E165" s="76" t="s">
        <v>493</v>
      </c>
      <c r="F165" s="76" t="str">
        <f>REPT(CHAR(160),10)&amp;Working!$E165</f>
        <v>          C</v>
      </c>
      <c r="G165" s="78">
        <v>0</v>
      </c>
      <c r="H165" s="78">
        <v>0</v>
      </c>
      <c r="I165" s="78">
        <v>4</v>
      </c>
      <c r="J165" s="78">
        <v>0</v>
      </c>
      <c r="K165" s="79">
        <v>0</v>
      </c>
      <c r="L165" s="80">
        <v>4</v>
      </c>
      <c r="M165" s="78">
        <v>0</v>
      </c>
      <c r="N165" s="78">
        <v>2</v>
      </c>
      <c r="O165" s="78">
        <v>3</v>
      </c>
      <c r="P165" s="76">
        <v>0</v>
      </c>
      <c r="Q165" s="95">
        <v>3</v>
      </c>
      <c r="R165" s="43">
        <v>2.6666666666666665</v>
      </c>
      <c r="S165" s="32">
        <v>0</v>
      </c>
      <c r="T165" s="34">
        <v>0</v>
      </c>
      <c r="U165" s="69">
        <v>0</v>
      </c>
      <c r="V165" s="34">
        <v>0</v>
      </c>
      <c r="W165" s="34">
        <v>0</v>
      </c>
      <c r="X165" s="42">
        <v>0</v>
      </c>
      <c r="Y165" s="34">
        <v>3</v>
      </c>
      <c r="Z165" s="34">
        <v>0</v>
      </c>
      <c r="AA165" s="34">
        <v>0</v>
      </c>
      <c r="AB165" s="34">
        <v>0</v>
      </c>
      <c r="AC165" s="34">
        <v>0</v>
      </c>
      <c r="AD165" s="42">
        <v>3</v>
      </c>
      <c r="AE165" s="34">
        <v>0</v>
      </c>
      <c r="AF165" s="34">
        <v>0</v>
      </c>
      <c r="AG165" s="34">
        <v>0</v>
      </c>
      <c r="AH165" s="34">
        <v>0</v>
      </c>
      <c r="AI165" s="34">
        <v>0</v>
      </c>
      <c r="AJ165" s="42">
        <v>0</v>
      </c>
      <c r="AK165" s="62">
        <v>3</v>
      </c>
      <c r="AL165" s="62">
        <v>2</v>
      </c>
      <c r="AM165" s="69">
        <v>0</v>
      </c>
      <c r="AN165" s="62">
        <v>3</v>
      </c>
      <c r="AO165" s="34">
        <v>0</v>
      </c>
      <c r="AP165" s="43">
        <v>2.6666666666666665</v>
      </c>
      <c r="AQ165" s="32">
        <v>5</v>
      </c>
      <c r="AR165" s="34">
        <v>0</v>
      </c>
      <c r="AS165" s="62">
        <v>0</v>
      </c>
      <c r="AT165" s="34">
        <v>0</v>
      </c>
      <c r="AU165" s="34">
        <v>0</v>
      </c>
      <c r="AV165" s="42">
        <v>5</v>
      </c>
      <c r="AW165" s="34">
        <v>0</v>
      </c>
      <c r="AX165" s="34">
        <v>0</v>
      </c>
      <c r="AY165" s="34">
        <v>0</v>
      </c>
      <c r="AZ165" s="32">
        <v>5</v>
      </c>
      <c r="BA165" s="70">
        <v>3</v>
      </c>
      <c r="BB165" s="98">
        <v>4</v>
      </c>
    </row>
    <row r="166" spans="1:54" ht="23.1" customHeight="1" x14ac:dyDescent="0.3">
      <c r="A166" s="100">
        <v>162</v>
      </c>
      <c r="B166" s="83" t="s">
        <v>391</v>
      </c>
      <c r="C166" s="84" t="s">
        <v>392</v>
      </c>
      <c r="D166" s="83" t="s">
        <v>450</v>
      </c>
      <c r="E166" s="83" t="s">
        <v>493</v>
      </c>
      <c r="F166" s="83" t="str">
        <f>REPT(CHAR(160),10)&amp;Working!$E166</f>
        <v>          C</v>
      </c>
      <c r="G166" s="74">
        <v>0</v>
      </c>
      <c r="H166" s="74">
        <v>0</v>
      </c>
      <c r="I166" s="74">
        <v>2</v>
      </c>
      <c r="J166" s="74">
        <v>0</v>
      </c>
      <c r="K166" s="85">
        <v>0</v>
      </c>
      <c r="L166" s="80">
        <v>2</v>
      </c>
      <c r="M166" s="74">
        <v>0</v>
      </c>
      <c r="N166" s="74">
        <v>3</v>
      </c>
      <c r="O166" s="74">
        <v>0</v>
      </c>
      <c r="P166" s="83">
        <v>0</v>
      </c>
      <c r="Q166" s="94">
        <v>0</v>
      </c>
      <c r="R166" s="43">
        <v>1</v>
      </c>
      <c r="S166" s="32">
        <v>0</v>
      </c>
      <c r="T166" s="16">
        <v>0</v>
      </c>
      <c r="U166" s="22">
        <v>0</v>
      </c>
      <c r="V166" s="16">
        <v>0</v>
      </c>
      <c r="W166" s="16">
        <v>0</v>
      </c>
      <c r="X166" s="42">
        <v>0</v>
      </c>
      <c r="Y166" s="16">
        <v>2</v>
      </c>
      <c r="Z166" s="16">
        <v>0</v>
      </c>
      <c r="AA166" s="16">
        <v>0</v>
      </c>
      <c r="AB166" s="16">
        <v>0</v>
      </c>
      <c r="AC166" s="16">
        <v>0</v>
      </c>
      <c r="AD166" s="42">
        <v>2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42">
        <v>0</v>
      </c>
      <c r="AK166" s="7">
        <v>2</v>
      </c>
      <c r="AL166" s="7">
        <v>1</v>
      </c>
      <c r="AM166" s="22">
        <v>0</v>
      </c>
      <c r="AN166" s="7">
        <v>3</v>
      </c>
      <c r="AO166" s="16">
        <v>0</v>
      </c>
      <c r="AP166" s="43">
        <v>2</v>
      </c>
      <c r="AQ166" s="32">
        <v>2</v>
      </c>
      <c r="AR166" s="16">
        <v>0</v>
      </c>
      <c r="AS166" s="7">
        <v>0</v>
      </c>
      <c r="AT166" s="16">
        <v>0</v>
      </c>
      <c r="AU166" s="16">
        <v>0</v>
      </c>
      <c r="AV166" s="42">
        <v>2</v>
      </c>
      <c r="AW166" s="16">
        <v>0</v>
      </c>
      <c r="AX166" s="16">
        <v>0</v>
      </c>
      <c r="AY166" s="34">
        <v>0</v>
      </c>
      <c r="AZ166" s="32">
        <v>3</v>
      </c>
      <c r="BA166" s="70">
        <v>2</v>
      </c>
      <c r="BB166" s="98">
        <v>2.5</v>
      </c>
    </row>
    <row r="167" spans="1:54" ht="23.1" customHeight="1" x14ac:dyDescent="0.3">
      <c r="A167" s="99">
        <v>163</v>
      </c>
      <c r="B167" s="76" t="s">
        <v>221</v>
      </c>
      <c r="C167" s="77" t="s">
        <v>222</v>
      </c>
      <c r="D167" s="76" t="s">
        <v>450</v>
      </c>
      <c r="E167" s="76" t="s">
        <v>161</v>
      </c>
      <c r="F167" s="76" t="str">
        <f>REPT(CHAR(160),10)&amp;Working!$E167</f>
        <v>          B</v>
      </c>
      <c r="G167" s="78">
        <v>0</v>
      </c>
      <c r="H167" s="78">
        <v>0</v>
      </c>
      <c r="I167" s="78">
        <v>3</v>
      </c>
      <c r="J167" s="78">
        <v>0</v>
      </c>
      <c r="K167" s="79">
        <v>0</v>
      </c>
      <c r="L167" s="80">
        <v>3</v>
      </c>
      <c r="M167" s="78">
        <v>0</v>
      </c>
      <c r="N167" s="78">
        <v>3</v>
      </c>
      <c r="O167" s="78">
        <v>3</v>
      </c>
      <c r="P167" s="76">
        <v>0</v>
      </c>
      <c r="Q167" s="95">
        <v>3</v>
      </c>
      <c r="R167" s="43">
        <v>3</v>
      </c>
      <c r="S167" s="32">
        <v>0</v>
      </c>
      <c r="T167" s="34">
        <v>0</v>
      </c>
      <c r="U167" s="69">
        <v>0</v>
      </c>
      <c r="V167" s="34">
        <v>0</v>
      </c>
      <c r="W167" s="34">
        <v>0</v>
      </c>
      <c r="X167" s="42">
        <v>0</v>
      </c>
      <c r="Y167" s="34">
        <v>3</v>
      </c>
      <c r="Z167" s="34">
        <v>0</v>
      </c>
      <c r="AA167" s="34">
        <v>0</v>
      </c>
      <c r="AB167" s="34">
        <v>0</v>
      </c>
      <c r="AC167" s="34">
        <v>0</v>
      </c>
      <c r="AD167" s="42">
        <v>3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42">
        <v>0</v>
      </c>
      <c r="AK167" s="62">
        <v>3</v>
      </c>
      <c r="AL167" s="62">
        <v>3</v>
      </c>
      <c r="AM167" s="69">
        <v>0</v>
      </c>
      <c r="AN167" s="62">
        <v>4</v>
      </c>
      <c r="AO167" s="34">
        <v>0</v>
      </c>
      <c r="AP167" s="43">
        <v>3.3333333333333335</v>
      </c>
      <c r="AQ167" s="32">
        <v>2</v>
      </c>
      <c r="AR167" s="34">
        <v>0</v>
      </c>
      <c r="AS167" s="62">
        <v>0</v>
      </c>
      <c r="AT167" s="34">
        <v>0</v>
      </c>
      <c r="AU167" s="34">
        <v>0</v>
      </c>
      <c r="AV167" s="42">
        <v>2</v>
      </c>
      <c r="AW167" s="34">
        <v>0</v>
      </c>
      <c r="AX167" s="34">
        <v>0</v>
      </c>
      <c r="AY167" s="34">
        <v>0</v>
      </c>
      <c r="AZ167" s="32">
        <v>3</v>
      </c>
      <c r="BA167" s="70">
        <v>3</v>
      </c>
      <c r="BB167" s="98">
        <v>3</v>
      </c>
    </row>
    <row r="168" spans="1:54" ht="23.1" customHeight="1" x14ac:dyDescent="0.3">
      <c r="A168" s="100">
        <v>164</v>
      </c>
      <c r="B168" s="83" t="s">
        <v>207</v>
      </c>
      <c r="C168" s="84" t="s">
        <v>208</v>
      </c>
      <c r="D168" s="83" t="s">
        <v>542</v>
      </c>
      <c r="E168" s="83" t="s">
        <v>161</v>
      </c>
      <c r="F168" s="83" t="str">
        <f>REPT(CHAR(160),10)&amp;Working!$E168</f>
        <v>          B</v>
      </c>
      <c r="G168" s="74">
        <v>0</v>
      </c>
      <c r="H168" s="74">
        <v>0</v>
      </c>
      <c r="I168" s="74">
        <v>4</v>
      </c>
      <c r="J168" s="74">
        <v>0</v>
      </c>
      <c r="K168" s="85">
        <v>0</v>
      </c>
      <c r="L168" s="80">
        <v>4</v>
      </c>
      <c r="M168" s="74">
        <v>0</v>
      </c>
      <c r="N168" s="74">
        <v>4</v>
      </c>
      <c r="O168" s="74">
        <v>3</v>
      </c>
      <c r="P168" s="83">
        <v>0</v>
      </c>
      <c r="Q168" s="94">
        <v>3</v>
      </c>
      <c r="R168" s="43">
        <v>3.3333333333333335</v>
      </c>
      <c r="S168" s="32">
        <v>0</v>
      </c>
      <c r="T168" s="16">
        <v>0</v>
      </c>
      <c r="U168" s="22">
        <v>0</v>
      </c>
      <c r="V168" s="16">
        <v>0</v>
      </c>
      <c r="W168" s="16">
        <v>0</v>
      </c>
      <c r="X168" s="42">
        <v>0</v>
      </c>
      <c r="Y168" s="16">
        <v>4</v>
      </c>
      <c r="Z168" s="16">
        <v>0</v>
      </c>
      <c r="AA168" s="16">
        <v>0</v>
      </c>
      <c r="AB168" s="16">
        <v>0</v>
      </c>
      <c r="AC168" s="16">
        <v>0</v>
      </c>
      <c r="AD168" s="42">
        <v>4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42">
        <v>0</v>
      </c>
      <c r="AK168" s="7">
        <v>3</v>
      </c>
      <c r="AL168" s="7">
        <v>4</v>
      </c>
      <c r="AM168" s="22">
        <v>0</v>
      </c>
      <c r="AN168" s="7">
        <v>4</v>
      </c>
      <c r="AO168" s="16">
        <v>0</v>
      </c>
      <c r="AP168" s="43">
        <v>3.6666666666666665</v>
      </c>
      <c r="AQ168" s="32">
        <v>4</v>
      </c>
      <c r="AR168" s="16">
        <v>0</v>
      </c>
      <c r="AS168" s="7">
        <v>0</v>
      </c>
      <c r="AT168" s="16">
        <v>0</v>
      </c>
      <c r="AU168" s="16">
        <v>0</v>
      </c>
      <c r="AV168" s="42">
        <v>4</v>
      </c>
      <c r="AW168" s="16">
        <v>0</v>
      </c>
      <c r="AX168" s="16">
        <v>0</v>
      </c>
      <c r="AY168" s="34">
        <v>0</v>
      </c>
      <c r="AZ168" s="32">
        <v>4</v>
      </c>
      <c r="BA168" s="70">
        <v>4</v>
      </c>
      <c r="BB168" s="98">
        <v>4</v>
      </c>
    </row>
    <row r="169" spans="1:54" ht="23.1" customHeight="1" x14ac:dyDescent="0.3">
      <c r="A169" s="99">
        <v>165</v>
      </c>
      <c r="B169" s="76" t="s">
        <v>48</v>
      </c>
      <c r="C169" s="77" t="s">
        <v>49</v>
      </c>
      <c r="D169" s="76" t="s">
        <v>450</v>
      </c>
      <c r="E169" s="76" t="s">
        <v>35</v>
      </c>
      <c r="F169" s="76" t="str">
        <f>REPT(CHAR(160),10)&amp;Working!$E169</f>
        <v>          A</v>
      </c>
      <c r="G169" s="78">
        <v>0</v>
      </c>
      <c r="H169" s="78">
        <v>0</v>
      </c>
      <c r="I169" s="78">
        <v>4</v>
      </c>
      <c r="J169" s="78">
        <v>0</v>
      </c>
      <c r="K169" s="79">
        <v>0</v>
      </c>
      <c r="L169" s="80">
        <v>4</v>
      </c>
      <c r="M169" s="78">
        <v>0</v>
      </c>
      <c r="N169" s="78">
        <v>4</v>
      </c>
      <c r="O169" s="78">
        <v>4</v>
      </c>
      <c r="P169" s="76">
        <v>0</v>
      </c>
      <c r="Q169" s="95">
        <v>4</v>
      </c>
      <c r="R169" s="43">
        <v>4</v>
      </c>
      <c r="S169" s="32">
        <v>0</v>
      </c>
      <c r="T169" s="34">
        <v>0</v>
      </c>
      <c r="U169" s="69">
        <v>0</v>
      </c>
      <c r="V169" s="34">
        <v>0</v>
      </c>
      <c r="W169" s="34">
        <v>0</v>
      </c>
      <c r="X169" s="42">
        <v>0</v>
      </c>
      <c r="Y169" s="34">
        <v>4</v>
      </c>
      <c r="Z169" s="34">
        <v>0</v>
      </c>
      <c r="AA169" s="34">
        <v>0</v>
      </c>
      <c r="AB169" s="34">
        <v>0</v>
      </c>
      <c r="AC169" s="34">
        <v>0</v>
      </c>
      <c r="AD169" s="42">
        <v>4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42">
        <v>0</v>
      </c>
      <c r="AK169" s="62">
        <v>4</v>
      </c>
      <c r="AL169" s="62">
        <v>4</v>
      </c>
      <c r="AM169" s="69">
        <v>0</v>
      </c>
      <c r="AN169" s="62">
        <v>4</v>
      </c>
      <c r="AO169" s="34">
        <v>0</v>
      </c>
      <c r="AP169" s="43">
        <v>4</v>
      </c>
      <c r="AQ169" s="32">
        <v>2</v>
      </c>
      <c r="AR169" s="34">
        <v>0</v>
      </c>
      <c r="AS169" s="62">
        <v>0</v>
      </c>
      <c r="AT169" s="34">
        <v>0</v>
      </c>
      <c r="AU169" s="34">
        <v>0</v>
      </c>
      <c r="AV169" s="42">
        <v>2</v>
      </c>
      <c r="AW169" s="34">
        <v>0</v>
      </c>
      <c r="AX169" s="34">
        <v>0</v>
      </c>
      <c r="AY169" s="34">
        <v>0</v>
      </c>
      <c r="AZ169" s="32">
        <v>4</v>
      </c>
      <c r="BA169" s="70">
        <v>4</v>
      </c>
      <c r="BB169" s="98">
        <v>4</v>
      </c>
    </row>
    <row r="170" spans="1:54" ht="23.1" customHeight="1" x14ac:dyDescent="0.3">
      <c r="A170" s="100">
        <v>166</v>
      </c>
      <c r="B170" s="83" t="s">
        <v>159</v>
      </c>
      <c r="C170" s="84" t="s">
        <v>160</v>
      </c>
      <c r="D170" s="83" t="s">
        <v>450</v>
      </c>
      <c r="E170" s="83" t="s">
        <v>35</v>
      </c>
      <c r="F170" s="83" t="str">
        <f>REPT(CHAR(160),10)&amp;Working!$E170</f>
        <v>          A</v>
      </c>
      <c r="G170" s="74">
        <v>0</v>
      </c>
      <c r="H170" s="74">
        <v>0</v>
      </c>
      <c r="I170" s="74">
        <v>3</v>
      </c>
      <c r="J170" s="74">
        <v>0</v>
      </c>
      <c r="K170" s="85">
        <v>0</v>
      </c>
      <c r="L170" s="80">
        <v>3</v>
      </c>
      <c r="M170" s="74">
        <v>0</v>
      </c>
      <c r="N170" s="74">
        <v>5</v>
      </c>
      <c r="O170" s="74">
        <v>4</v>
      </c>
      <c r="P170" s="83">
        <v>0</v>
      </c>
      <c r="Q170" s="94">
        <v>4</v>
      </c>
      <c r="R170" s="43">
        <v>4.333333333333333</v>
      </c>
      <c r="S170" s="32">
        <v>0</v>
      </c>
      <c r="T170" s="16">
        <v>0</v>
      </c>
      <c r="U170" s="22">
        <v>0</v>
      </c>
      <c r="V170" s="16">
        <v>0</v>
      </c>
      <c r="W170" s="16">
        <v>0</v>
      </c>
      <c r="X170" s="42">
        <v>0</v>
      </c>
      <c r="Y170" s="16">
        <v>5</v>
      </c>
      <c r="Z170" s="16">
        <v>0</v>
      </c>
      <c r="AA170" s="16">
        <v>0</v>
      </c>
      <c r="AB170" s="16">
        <v>0</v>
      </c>
      <c r="AC170" s="16">
        <v>0</v>
      </c>
      <c r="AD170" s="42">
        <v>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42">
        <v>0</v>
      </c>
      <c r="AK170" s="7">
        <v>4</v>
      </c>
      <c r="AL170" s="7">
        <v>3</v>
      </c>
      <c r="AM170" s="22">
        <v>0</v>
      </c>
      <c r="AN170" s="7">
        <v>3</v>
      </c>
      <c r="AO170" s="16">
        <v>0</v>
      </c>
      <c r="AP170" s="43">
        <v>3.3333333333333335</v>
      </c>
      <c r="AQ170" s="32">
        <v>3</v>
      </c>
      <c r="AR170" s="16">
        <v>0</v>
      </c>
      <c r="AS170" s="7">
        <v>0</v>
      </c>
      <c r="AT170" s="16">
        <v>0</v>
      </c>
      <c r="AU170" s="16">
        <v>0</v>
      </c>
      <c r="AV170" s="42">
        <v>3</v>
      </c>
      <c r="AW170" s="16">
        <v>0</v>
      </c>
      <c r="AX170" s="16">
        <v>0</v>
      </c>
      <c r="AY170" s="34">
        <v>0</v>
      </c>
      <c r="AZ170" s="32">
        <v>3</v>
      </c>
      <c r="BA170" s="70">
        <v>4</v>
      </c>
      <c r="BB170" s="98">
        <v>3.5</v>
      </c>
    </row>
    <row r="171" spans="1:54" ht="23.1" customHeight="1" x14ac:dyDescent="0.3">
      <c r="A171" s="99">
        <v>167</v>
      </c>
      <c r="B171" s="76" t="s">
        <v>192</v>
      </c>
      <c r="C171" s="77" t="s">
        <v>193</v>
      </c>
      <c r="D171" s="76" t="s">
        <v>450</v>
      </c>
      <c r="E171" s="76" t="s">
        <v>161</v>
      </c>
      <c r="F171" s="76" t="str">
        <f>REPT(CHAR(160),10)&amp;Working!$E171</f>
        <v>          B</v>
      </c>
      <c r="G171" s="78">
        <v>0</v>
      </c>
      <c r="H171" s="78">
        <v>0</v>
      </c>
      <c r="I171" s="78">
        <v>5</v>
      </c>
      <c r="J171" s="78">
        <v>0</v>
      </c>
      <c r="K171" s="79">
        <v>0</v>
      </c>
      <c r="L171" s="80">
        <v>5</v>
      </c>
      <c r="M171" s="78">
        <v>0</v>
      </c>
      <c r="N171" s="78">
        <v>5</v>
      </c>
      <c r="O171" s="78">
        <v>5</v>
      </c>
      <c r="P171" s="76">
        <v>0</v>
      </c>
      <c r="Q171" s="95">
        <v>5</v>
      </c>
      <c r="R171" s="43">
        <v>5</v>
      </c>
      <c r="S171" s="32">
        <v>0</v>
      </c>
      <c r="T171" s="34">
        <v>0</v>
      </c>
      <c r="U171" s="69">
        <v>0</v>
      </c>
      <c r="V171" s="34">
        <v>0</v>
      </c>
      <c r="W171" s="34">
        <v>0</v>
      </c>
      <c r="X171" s="42">
        <v>0</v>
      </c>
      <c r="Y171" s="34">
        <v>5</v>
      </c>
      <c r="Z171" s="34">
        <v>0</v>
      </c>
      <c r="AA171" s="34">
        <v>0</v>
      </c>
      <c r="AB171" s="34">
        <v>0</v>
      </c>
      <c r="AC171" s="34">
        <v>0</v>
      </c>
      <c r="AD171" s="42">
        <v>5</v>
      </c>
      <c r="AE171" s="34">
        <v>0</v>
      </c>
      <c r="AF171" s="34">
        <v>0</v>
      </c>
      <c r="AG171" s="34">
        <v>0</v>
      </c>
      <c r="AH171" s="34">
        <v>0</v>
      </c>
      <c r="AI171" s="34">
        <v>0</v>
      </c>
      <c r="AJ171" s="42">
        <v>0</v>
      </c>
      <c r="AK171" s="62">
        <v>5</v>
      </c>
      <c r="AL171" s="62">
        <v>5</v>
      </c>
      <c r="AM171" s="69">
        <v>0</v>
      </c>
      <c r="AN171" s="62">
        <v>5</v>
      </c>
      <c r="AO171" s="34">
        <v>0</v>
      </c>
      <c r="AP171" s="43">
        <v>5</v>
      </c>
      <c r="AQ171" s="32">
        <v>5</v>
      </c>
      <c r="AR171" s="34">
        <v>0</v>
      </c>
      <c r="AS171" s="62">
        <v>0</v>
      </c>
      <c r="AT171" s="34">
        <v>0</v>
      </c>
      <c r="AU171" s="34">
        <v>0</v>
      </c>
      <c r="AV171" s="42">
        <v>5</v>
      </c>
      <c r="AW171" s="34">
        <v>0</v>
      </c>
      <c r="AX171" s="34">
        <v>0</v>
      </c>
      <c r="AY171" s="34">
        <v>0</v>
      </c>
      <c r="AZ171" s="32">
        <v>5</v>
      </c>
      <c r="BA171" s="70">
        <v>5</v>
      </c>
      <c r="BB171" s="98">
        <v>5</v>
      </c>
    </row>
    <row r="172" spans="1:54" ht="23.1" customHeight="1" x14ac:dyDescent="0.3">
      <c r="A172" s="100">
        <v>168</v>
      </c>
      <c r="B172" s="83" t="s">
        <v>223</v>
      </c>
      <c r="C172" s="84" t="s">
        <v>224</v>
      </c>
      <c r="D172" s="83" t="s">
        <v>542</v>
      </c>
      <c r="E172" s="83" t="s">
        <v>161</v>
      </c>
      <c r="F172" s="83" t="str">
        <f>REPT(CHAR(160),10)&amp;Working!$E172</f>
        <v>          B</v>
      </c>
      <c r="G172" s="74">
        <v>0</v>
      </c>
      <c r="H172" s="74">
        <v>0</v>
      </c>
      <c r="I172" s="74">
        <v>5</v>
      </c>
      <c r="J172" s="74">
        <v>0</v>
      </c>
      <c r="K172" s="85">
        <v>0</v>
      </c>
      <c r="L172" s="80">
        <v>5</v>
      </c>
      <c r="M172" s="74">
        <v>0</v>
      </c>
      <c r="N172" s="74">
        <v>5</v>
      </c>
      <c r="O172" s="74">
        <v>5</v>
      </c>
      <c r="P172" s="83">
        <v>0</v>
      </c>
      <c r="Q172" s="94">
        <v>5</v>
      </c>
      <c r="R172" s="43">
        <v>5</v>
      </c>
      <c r="S172" s="32">
        <v>0</v>
      </c>
      <c r="T172" s="16">
        <v>0</v>
      </c>
      <c r="U172" s="22">
        <v>0</v>
      </c>
      <c r="V172" s="16">
        <v>0</v>
      </c>
      <c r="W172" s="16">
        <v>0</v>
      </c>
      <c r="X172" s="42">
        <v>0</v>
      </c>
      <c r="Y172" s="16">
        <v>5</v>
      </c>
      <c r="Z172" s="16">
        <v>0</v>
      </c>
      <c r="AA172" s="16">
        <v>0</v>
      </c>
      <c r="AB172" s="16">
        <v>0</v>
      </c>
      <c r="AC172" s="16">
        <v>0</v>
      </c>
      <c r="AD172" s="42">
        <v>5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42">
        <v>0</v>
      </c>
      <c r="AK172" s="7">
        <v>5</v>
      </c>
      <c r="AL172" s="7">
        <v>5</v>
      </c>
      <c r="AM172" s="22">
        <v>0</v>
      </c>
      <c r="AN172" s="7">
        <v>5</v>
      </c>
      <c r="AO172" s="16">
        <v>0</v>
      </c>
      <c r="AP172" s="43">
        <v>5</v>
      </c>
      <c r="AQ172" s="32">
        <v>1</v>
      </c>
      <c r="AR172" s="16">
        <v>0</v>
      </c>
      <c r="AS172" s="7">
        <v>0</v>
      </c>
      <c r="AT172" s="16">
        <v>0</v>
      </c>
      <c r="AU172" s="16">
        <v>0</v>
      </c>
      <c r="AV172" s="42">
        <v>1</v>
      </c>
      <c r="AW172" s="16">
        <v>0</v>
      </c>
      <c r="AX172" s="16">
        <v>0</v>
      </c>
      <c r="AY172" s="34">
        <v>0</v>
      </c>
      <c r="AZ172" s="32">
        <v>4</v>
      </c>
      <c r="BA172" s="70">
        <v>5</v>
      </c>
      <c r="BB172" s="98">
        <v>4.5</v>
      </c>
    </row>
    <row r="173" spans="1:54" ht="23.1" customHeight="1" x14ac:dyDescent="0.3">
      <c r="A173" s="99">
        <v>169</v>
      </c>
      <c r="B173" s="76" t="s">
        <v>393</v>
      </c>
      <c r="C173" s="77" t="s">
        <v>394</v>
      </c>
      <c r="D173" s="76" t="s">
        <v>450</v>
      </c>
      <c r="E173" s="76" t="s">
        <v>493</v>
      </c>
      <c r="F173" s="76" t="str">
        <f>REPT(CHAR(160),10)&amp;Working!$E173</f>
        <v>          C</v>
      </c>
      <c r="G173" s="78">
        <v>0</v>
      </c>
      <c r="H173" s="78">
        <v>0</v>
      </c>
      <c r="I173" s="78">
        <v>4</v>
      </c>
      <c r="J173" s="78">
        <v>0</v>
      </c>
      <c r="K173" s="79">
        <v>0</v>
      </c>
      <c r="L173" s="80">
        <v>4</v>
      </c>
      <c r="M173" s="78">
        <v>0</v>
      </c>
      <c r="N173" s="78">
        <v>3</v>
      </c>
      <c r="O173" s="78">
        <v>3</v>
      </c>
      <c r="P173" s="76">
        <v>0</v>
      </c>
      <c r="Q173" s="95">
        <v>3</v>
      </c>
      <c r="R173" s="43">
        <v>3</v>
      </c>
      <c r="S173" s="32">
        <v>0</v>
      </c>
      <c r="T173" s="34">
        <v>0</v>
      </c>
      <c r="U173" s="69">
        <v>0</v>
      </c>
      <c r="V173" s="34">
        <v>0</v>
      </c>
      <c r="W173" s="34">
        <v>0</v>
      </c>
      <c r="X173" s="42">
        <v>0</v>
      </c>
      <c r="Y173" s="34">
        <v>3</v>
      </c>
      <c r="Z173" s="34">
        <v>0</v>
      </c>
      <c r="AA173" s="34">
        <v>0</v>
      </c>
      <c r="AB173" s="34">
        <v>0</v>
      </c>
      <c r="AC173" s="34">
        <v>0</v>
      </c>
      <c r="AD173" s="42">
        <v>3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42">
        <v>0</v>
      </c>
      <c r="AK173" s="62">
        <v>3</v>
      </c>
      <c r="AL173" s="62">
        <v>3</v>
      </c>
      <c r="AM173" s="69">
        <v>0</v>
      </c>
      <c r="AN173" s="62">
        <v>4</v>
      </c>
      <c r="AO173" s="34">
        <v>0</v>
      </c>
      <c r="AP173" s="43">
        <v>3.3333333333333335</v>
      </c>
      <c r="AQ173" s="32">
        <v>1</v>
      </c>
      <c r="AR173" s="34">
        <v>0</v>
      </c>
      <c r="AS173" s="62">
        <v>0</v>
      </c>
      <c r="AT173" s="34">
        <v>0</v>
      </c>
      <c r="AU173" s="34">
        <v>0</v>
      </c>
      <c r="AV173" s="42">
        <v>1</v>
      </c>
      <c r="AW173" s="34">
        <v>0</v>
      </c>
      <c r="AX173" s="34">
        <v>0</v>
      </c>
      <c r="AY173" s="34">
        <v>0</v>
      </c>
      <c r="AZ173" s="32">
        <v>4</v>
      </c>
      <c r="BA173" s="70">
        <v>4</v>
      </c>
      <c r="BB173" s="98">
        <v>4</v>
      </c>
    </row>
    <row r="174" spans="1:54" ht="23.1" customHeight="1" x14ac:dyDescent="0.3">
      <c r="A174" s="100">
        <v>170</v>
      </c>
      <c r="B174" s="83" t="s">
        <v>395</v>
      </c>
      <c r="C174" s="84" t="s">
        <v>396</v>
      </c>
      <c r="D174" s="83" t="s">
        <v>542</v>
      </c>
      <c r="E174" s="83" t="s">
        <v>493</v>
      </c>
      <c r="F174" s="83" t="str">
        <f>REPT(CHAR(160),10)&amp;Working!$E174</f>
        <v>          C</v>
      </c>
      <c r="G174" s="74">
        <v>0</v>
      </c>
      <c r="H174" s="74">
        <v>0</v>
      </c>
      <c r="I174" s="74">
        <v>4</v>
      </c>
      <c r="J174" s="74">
        <v>0</v>
      </c>
      <c r="K174" s="85">
        <v>0</v>
      </c>
      <c r="L174" s="80">
        <v>4</v>
      </c>
      <c r="M174" s="74">
        <v>0</v>
      </c>
      <c r="N174" s="74">
        <v>4</v>
      </c>
      <c r="O174" s="74">
        <v>4</v>
      </c>
      <c r="P174" s="83">
        <v>0</v>
      </c>
      <c r="Q174" s="94">
        <v>4</v>
      </c>
      <c r="R174" s="43">
        <v>4</v>
      </c>
      <c r="S174" s="32">
        <v>0</v>
      </c>
      <c r="T174" s="16">
        <v>0</v>
      </c>
      <c r="U174" s="22">
        <v>0</v>
      </c>
      <c r="V174" s="16">
        <v>0</v>
      </c>
      <c r="W174" s="16">
        <v>0</v>
      </c>
      <c r="X174" s="42">
        <v>0</v>
      </c>
      <c r="Y174" s="16">
        <v>4</v>
      </c>
      <c r="Z174" s="16">
        <v>0</v>
      </c>
      <c r="AA174" s="16">
        <v>0</v>
      </c>
      <c r="AB174" s="16">
        <v>0</v>
      </c>
      <c r="AC174" s="16">
        <v>0</v>
      </c>
      <c r="AD174" s="42">
        <v>4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42">
        <v>0</v>
      </c>
      <c r="AK174" s="7">
        <v>3</v>
      </c>
      <c r="AL174" s="7">
        <v>2</v>
      </c>
      <c r="AM174" s="22">
        <v>0</v>
      </c>
      <c r="AN174" s="7">
        <v>4</v>
      </c>
      <c r="AO174" s="16">
        <v>0</v>
      </c>
      <c r="AP174" s="43">
        <v>3</v>
      </c>
      <c r="AQ174" s="32">
        <v>4</v>
      </c>
      <c r="AR174" s="16">
        <v>0</v>
      </c>
      <c r="AS174" s="7">
        <v>0</v>
      </c>
      <c r="AT174" s="16">
        <v>0</v>
      </c>
      <c r="AU174" s="16">
        <v>0</v>
      </c>
      <c r="AV174" s="42">
        <v>4</v>
      </c>
      <c r="AW174" s="16">
        <v>0</v>
      </c>
      <c r="AX174" s="16">
        <v>0</v>
      </c>
      <c r="AY174" s="34">
        <v>0</v>
      </c>
      <c r="AZ174" s="32">
        <v>5</v>
      </c>
      <c r="BA174" s="70">
        <v>4</v>
      </c>
      <c r="BB174" s="98">
        <v>4.5</v>
      </c>
    </row>
    <row r="175" spans="1:54" ht="23.1" customHeight="1" x14ac:dyDescent="0.3">
      <c r="A175" s="99">
        <v>171</v>
      </c>
      <c r="B175" s="76" t="s">
        <v>285</v>
      </c>
      <c r="C175" s="77" t="s">
        <v>286</v>
      </c>
      <c r="D175" s="76" t="s">
        <v>542</v>
      </c>
      <c r="E175" s="76" t="s">
        <v>161</v>
      </c>
      <c r="F175" s="76" t="str">
        <f>REPT(CHAR(160),10)&amp;Working!$E175</f>
        <v>          B</v>
      </c>
      <c r="G175" s="78">
        <v>0</v>
      </c>
      <c r="H175" s="78">
        <v>0</v>
      </c>
      <c r="I175" s="78">
        <v>3</v>
      </c>
      <c r="J175" s="78">
        <v>0</v>
      </c>
      <c r="K175" s="79">
        <v>0</v>
      </c>
      <c r="L175" s="80">
        <v>3</v>
      </c>
      <c r="M175" s="78">
        <v>0</v>
      </c>
      <c r="N175" s="78">
        <v>4</v>
      </c>
      <c r="O175" s="78">
        <v>3</v>
      </c>
      <c r="P175" s="76">
        <v>0</v>
      </c>
      <c r="Q175" s="95">
        <v>3</v>
      </c>
      <c r="R175" s="43">
        <v>3.3333333333333335</v>
      </c>
      <c r="S175" s="32">
        <v>0</v>
      </c>
      <c r="T175" s="34">
        <v>0</v>
      </c>
      <c r="U175" s="69">
        <v>0</v>
      </c>
      <c r="V175" s="34">
        <v>0</v>
      </c>
      <c r="W175" s="34">
        <v>0</v>
      </c>
      <c r="X175" s="42">
        <v>0</v>
      </c>
      <c r="Y175" s="34">
        <v>3</v>
      </c>
      <c r="Z175" s="34">
        <v>0</v>
      </c>
      <c r="AA175" s="34">
        <v>0</v>
      </c>
      <c r="AB175" s="34">
        <v>0</v>
      </c>
      <c r="AC175" s="34">
        <v>0</v>
      </c>
      <c r="AD175" s="42">
        <v>3</v>
      </c>
      <c r="AE175" s="34">
        <v>0</v>
      </c>
      <c r="AF175" s="34">
        <v>0</v>
      </c>
      <c r="AG175" s="34">
        <v>0</v>
      </c>
      <c r="AH175" s="34">
        <v>0</v>
      </c>
      <c r="AI175" s="34">
        <v>0</v>
      </c>
      <c r="AJ175" s="42">
        <v>0</v>
      </c>
      <c r="AK175" s="62">
        <v>4</v>
      </c>
      <c r="AL175" s="62">
        <v>3</v>
      </c>
      <c r="AM175" s="69">
        <v>0</v>
      </c>
      <c r="AN175" s="62">
        <v>4</v>
      </c>
      <c r="AO175" s="34">
        <v>0</v>
      </c>
      <c r="AP175" s="43">
        <v>3.6666666666666665</v>
      </c>
      <c r="AQ175" s="32">
        <v>3</v>
      </c>
      <c r="AR175" s="34">
        <v>0</v>
      </c>
      <c r="AS175" s="62">
        <v>0</v>
      </c>
      <c r="AT175" s="34">
        <v>0</v>
      </c>
      <c r="AU175" s="34">
        <v>0</v>
      </c>
      <c r="AV175" s="42">
        <v>3</v>
      </c>
      <c r="AW175" s="34">
        <v>0</v>
      </c>
      <c r="AX175" s="34">
        <v>0</v>
      </c>
      <c r="AY175" s="34">
        <v>0</v>
      </c>
      <c r="AZ175" s="32">
        <v>4</v>
      </c>
      <c r="BA175" s="70">
        <v>3</v>
      </c>
      <c r="BB175" s="98">
        <v>3.5</v>
      </c>
    </row>
    <row r="176" spans="1:54" ht="23.1" customHeight="1" x14ac:dyDescent="0.3">
      <c r="A176" s="100">
        <v>172</v>
      </c>
      <c r="B176" s="83" t="s">
        <v>397</v>
      </c>
      <c r="C176" s="84" t="s">
        <v>539</v>
      </c>
      <c r="D176" s="83" t="s">
        <v>542</v>
      </c>
      <c r="E176" s="83" t="s">
        <v>289</v>
      </c>
      <c r="F176" s="83" t="str">
        <f>REPT(CHAR(160),10)&amp;Working!$E176</f>
        <v>          D</v>
      </c>
      <c r="G176" s="74">
        <v>0</v>
      </c>
      <c r="H176" s="74">
        <v>0</v>
      </c>
      <c r="I176" s="74">
        <v>0</v>
      </c>
      <c r="J176" s="74">
        <v>0</v>
      </c>
      <c r="K176" s="85">
        <v>0</v>
      </c>
      <c r="L176" s="80">
        <v>0</v>
      </c>
      <c r="M176" s="74">
        <v>0</v>
      </c>
      <c r="N176" s="74">
        <v>0</v>
      </c>
      <c r="O176" s="74">
        <v>0</v>
      </c>
      <c r="P176" s="83">
        <v>0</v>
      </c>
      <c r="Q176" s="94">
        <v>0</v>
      </c>
      <c r="R176" s="43">
        <v>0</v>
      </c>
      <c r="S176" s="32">
        <v>0</v>
      </c>
      <c r="T176" s="16">
        <v>0</v>
      </c>
      <c r="U176" s="22">
        <v>0</v>
      </c>
      <c r="V176" s="16">
        <v>0</v>
      </c>
      <c r="W176" s="16">
        <v>0</v>
      </c>
      <c r="X176" s="42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42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42">
        <v>0</v>
      </c>
      <c r="AK176" s="7">
        <v>0</v>
      </c>
      <c r="AL176" s="7">
        <v>0</v>
      </c>
      <c r="AM176" s="22">
        <v>0</v>
      </c>
      <c r="AN176" s="7">
        <v>0</v>
      </c>
      <c r="AO176" s="16">
        <v>0</v>
      </c>
      <c r="AP176" s="43">
        <v>0</v>
      </c>
      <c r="AQ176" s="32">
        <v>0</v>
      </c>
      <c r="AR176" s="16">
        <v>0</v>
      </c>
      <c r="AS176" s="7">
        <v>0</v>
      </c>
      <c r="AT176" s="16">
        <v>0</v>
      </c>
      <c r="AU176" s="16">
        <v>0</v>
      </c>
      <c r="AV176" s="42">
        <v>0</v>
      </c>
      <c r="AW176" s="16">
        <v>0</v>
      </c>
      <c r="AX176" s="16">
        <v>0</v>
      </c>
      <c r="AY176" s="34">
        <v>0</v>
      </c>
      <c r="AZ176" s="32">
        <v>0</v>
      </c>
      <c r="BA176" s="70">
        <v>0</v>
      </c>
      <c r="BB176" s="98">
        <v>0</v>
      </c>
    </row>
    <row r="177" spans="1:54" ht="23.1" customHeight="1" x14ac:dyDescent="0.3">
      <c r="A177" s="99">
        <v>173</v>
      </c>
      <c r="B177" s="76" t="s">
        <v>398</v>
      </c>
      <c r="C177" s="77" t="s">
        <v>399</v>
      </c>
      <c r="D177" s="76" t="s">
        <v>542</v>
      </c>
      <c r="E177" s="76" t="s">
        <v>493</v>
      </c>
      <c r="F177" s="76" t="str">
        <f>REPT(CHAR(160),10)&amp;Working!$E177</f>
        <v>          C</v>
      </c>
      <c r="G177" s="78">
        <v>0</v>
      </c>
      <c r="H177" s="78">
        <v>0</v>
      </c>
      <c r="I177" s="78">
        <v>3</v>
      </c>
      <c r="J177" s="78">
        <v>0</v>
      </c>
      <c r="K177" s="79">
        <v>0</v>
      </c>
      <c r="L177" s="80">
        <v>3</v>
      </c>
      <c r="M177" s="78">
        <v>0</v>
      </c>
      <c r="N177" s="78">
        <v>4</v>
      </c>
      <c r="O177" s="78">
        <v>3</v>
      </c>
      <c r="P177" s="76">
        <v>0</v>
      </c>
      <c r="Q177" s="95">
        <v>3</v>
      </c>
      <c r="R177" s="43">
        <v>3.3333333333333335</v>
      </c>
      <c r="S177" s="32">
        <v>0</v>
      </c>
      <c r="T177" s="34">
        <v>0</v>
      </c>
      <c r="U177" s="69">
        <v>0</v>
      </c>
      <c r="V177" s="34">
        <v>0</v>
      </c>
      <c r="W177" s="34">
        <v>0</v>
      </c>
      <c r="X177" s="42">
        <v>0</v>
      </c>
      <c r="Y177" s="34">
        <v>3</v>
      </c>
      <c r="Z177" s="34">
        <v>0</v>
      </c>
      <c r="AA177" s="34">
        <v>0</v>
      </c>
      <c r="AB177" s="34">
        <v>0</v>
      </c>
      <c r="AC177" s="34">
        <v>0</v>
      </c>
      <c r="AD177" s="42">
        <v>3</v>
      </c>
      <c r="AE177" s="34">
        <v>0</v>
      </c>
      <c r="AF177" s="34">
        <v>0</v>
      </c>
      <c r="AG177" s="34">
        <v>0</v>
      </c>
      <c r="AH177" s="34">
        <v>0</v>
      </c>
      <c r="AI177" s="34">
        <v>0</v>
      </c>
      <c r="AJ177" s="42">
        <v>0</v>
      </c>
      <c r="AK177" s="62">
        <v>3</v>
      </c>
      <c r="AL177" s="62">
        <v>2</v>
      </c>
      <c r="AM177" s="69">
        <v>0</v>
      </c>
      <c r="AN177" s="62">
        <v>3</v>
      </c>
      <c r="AO177" s="34">
        <v>0</v>
      </c>
      <c r="AP177" s="43">
        <v>2.6666666666666665</v>
      </c>
      <c r="AQ177" s="32">
        <v>1</v>
      </c>
      <c r="AR177" s="34">
        <v>0</v>
      </c>
      <c r="AS177" s="62">
        <v>0</v>
      </c>
      <c r="AT177" s="34">
        <v>0</v>
      </c>
      <c r="AU177" s="34">
        <v>0</v>
      </c>
      <c r="AV177" s="42">
        <v>1</v>
      </c>
      <c r="AW177" s="34">
        <v>0</v>
      </c>
      <c r="AX177" s="34">
        <v>0</v>
      </c>
      <c r="AY177" s="34">
        <v>0</v>
      </c>
      <c r="AZ177" s="32">
        <v>3</v>
      </c>
      <c r="BA177" s="70">
        <v>3</v>
      </c>
      <c r="BB177" s="98">
        <v>3</v>
      </c>
    </row>
    <row r="178" spans="1:54" ht="23.1" customHeight="1" x14ac:dyDescent="0.3">
      <c r="A178" s="100">
        <v>174</v>
      </c>
      <c r="B178" s="83" t="s">
        <v>400</v>
      </c>
      <c r="C178" s="84" t="s">
        <v>401</v>
      </c>
      <c r="D178" s="83" t="s">
        <v>542</v>
      </c>
      <c r="E178" s="83" t="s">
        <v>493</v>
      </c>
      <c r="F178" s="83" t="str">
        <f>REPT(CHAR(160),10)&amp;Working!$E178</f>
        <v>          C</v>
      </c>
      <c r="G178" s="74">
        <v>0</v>
      </c>
      <c r="H178" s="74">
        <v>0</v>
      </c>
      <c r="I178" s="74">
        <v>4</v>
      </c>
      <c r="J178" s="74">
        <v>0</v>
      </c>
      <c r="K178" s="85">
        <v>0</v>
      </c>
      <c r="L178" s="80">
        <v>4</v>
      </c>
      <c r="M178" s="74">
        <v>0</v>
      </c>
      <c r="N178" s="74">
        <v>4</v>
      </c>
      <c r="O178" s="74">
        <v>4</v>
      </c>
      <c r="P178" s="83">
        <v>0</v>
      </c>
      <c r="Q178" s="94">
        <v>4</v>
      </c>
      <c r="R178" s="43">
        <v>4</v>
      </c>
      <c r="S178" s="32">
        <v>0</v>
      </c>
      <c r="T178" s="16">
        <v>0</v>
      </c>
      <c r="U178" s="22">
        <v>0</v>
      </c>
      <c r="V178" s="16">
        <v>0</v>
      </c>
      <c r="W178" s="16">
        <v>0</v>
      </c>
      <c r="X178" s="42">
        <v>0</v>
      </c>
      <c r="Y178" s="16">
        <v>4</v>
      </c>
      <c r="Z178" s="16">
        <v>0</v>
      </c>
      <c r="AA178" s="16">
        <v>0</v>
      </c>
      <c r="AB178" s="16">
        <v>0</v>
      </c>
      <c r="AC178" s="16">
        <v>0</v>
      </c>
      <c r="AD178" s="42">
        <v>4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42">
        <v>0</v>
      </c>
      <c r="AK178" s="7">
        <v>4</v>
      </c>
      <c r="AL178" s="7">
        <v>3</v>
      </c>
      <c r="AM178" s="22">
        <v>0</v>
      </c>
      <c r="AN178" s="7">
        <v>4</v>
      </c>
      <c r="AO178" s="16">
        <v>0</v>
      </c>
      <c r="AP178" s="43">
        <v>3.6666666666666665</v>
      </c>
      <c r="AQ178" s="32">
        <v>3</v>
      </c>
      <c r="AR178" s="16">
        <v>0</v>
      </c>
      <c r="AS178" s="7">
        <v>0</v>
      </c>
      <c r="AT178" s="16">
        <v>0</v>
      </c>
      <c r="AU178" s="16">
        <v>0</v>
      </c>
      <c r="AV178" s="42">
        <v>3</v>
      </c>
      <c r="AW178" s="16">
        <v>0</v>
      </c>
      <c r="AX178" s="16">
        <v>0</v>
      </c>
      <c r="AY178" s="34">
        <v>0</v>
      </c>
      <c r="AZ178" s="32">
        <v>4</v>
      </c>
      <c r="BA178" s="70">
        <v>3</v>
      </c>
      <c r="BB178" s="98">
        <v>3.5</v>
      </c>
    </row>
    <row r="179" spans="1:54" ht="23.1" customHeight="1" x14ac:dyDescent="0.3">
      <c r="A179" s="99">
        <v>175</v>
      </c>
      <c r="B179" s="76" t="s">
        <v>120</v>
      </c>
      <c r="C179" s="77" t="s">
        <v>121</v>
      </c>
      <c r="D179" s="76" t="s">
        <v>450</v>
      </c>
      <c r="E179" s="76" t="s">
        <v>35</v>
      </c>
      <c r="F179" s="76" t="str">
        <f>REPT(CHAR(160),10)&amp;Working!$E179</f>
        <v>          A</v>
      </c>
      <c r="G179" s="78">
        <v>0</v>
      </c>
      <c r="H179" s="78">
        <v>0</v>
      </c>
      <c r="I179" s="78">
        <v>3</v>
      </c>
      <c r="J179" s="78">
        <v>0</v>
      </c>
      <c r="K179" s="79">
        <v>0</v>
      </c>
      <c r="L179" s="80">
        <v>3</v>
      </c>
      <c r="M179" s="78">
        <v>0</v>
      </c>
      <c r="N179" s="78">
        <v>3</v>
      </c>
      <c r="O179" s="78">
        <v>4</v>
      </c>
      <c r="P179" s="76">
        <v>0</v>
      </c>
      <c r="Q179" s="95">
        <v>4</v>
      </c>
      <c r="R179" s="43">
        <v>3.6666666666666665</v>
      </c>
      <c r="S179" s="32">
        <v>0</v>
      </c>
      <c r="T179" s="34">
        <v>0</v>
      </c>
      <c r="U179" s="69">
        <v>0</v>
      </c>
      <c r="V179" s="34">
        <v>0</v>
      </c>
      <c r="W179" s="34">
        <v>0</v>
      </c>
      <c r="X179" s="42">
        <v>0</v>
      </c>
      <c r="Y179" s="34">
        <v>4</v>
      </c>
      <c r="Z179" s="34">
        <v>0</v>
      </c>
      <c r="AA179" s="34">
        <v>0</v>
      </c>
      <c r="AB179" s="34">
        <v>0</v>
      </c>
      <c r="AC179" s="34">
        <v>0</v>
      </c>
      <c r="AD179" s="42">
        <v>4</v>
      </c>
      <c r="AE179" s="34">
        <v>0</v>
      </c>
      <c r="AF179" s="34">
        <v>0</v>
      </c>
      <c r="AG179" s="34">
        <v>0</v>
      </c>
      <c r="AH179" s="34">
        <v>0</v>
      </c>
      <c r="AI179" s="34">
        <v>0</v>
      </c>
      <c r="AJ179" s="42">
        <v>0</v>
      </c>
      <c r="AK179" s="62">
        <v>3</v>
      </c>
      <c r="AL179" s="62">
        <v>4</v>
      </c>
      <c r="AM179" s="69">
        <v>0</v>
      </c>
      <c r="AN179" s="62">
        <v>4</v>
      </c>
      <c r="AO179" s="34">
        <v>0</v>
      </c>
      <c r="AP179" s="43">
        <v>3.6666666666666665</v>
      </c>
      <c r="AQ179" s="32">
        <v>3</v>
      </c>
      <c r="AR179" s="34">
        <v>0</v>
      </c>
      <c r="AS179" s="62">
        <v>0</v>
      </c>
      <c r="AT179" s="34">
        <v>0</v>
      </c>
      <c r="AU179" s="34">
        <v>0</v>
      </c>
      <c r="AV179" s="42">
        <v>3</v>
      </c>
      <c r="AW179" s="34">
        <v>0</v>
      </c>
      <c r="AX179" s="34">
        <v>0</v>
      </c>
      <c r="AY179" s="34">
        <v>0</v>
      </c>
      <c r="AZ179" s="32">
        <v>4</v>
      </c>
      <c r="BA179" s="70">
        <v>3</v>
      </c>
      <c r="BB179" s="98">
        <v>3.5</v>
      </c>
    </row>
    <row r="180" spans="1:54" ht="23.1" customHeight="1" x14ac:dyDescent="0.3">
      <c r="A180" s="100">
        <v>176</v>
      </c>
      <c r="B180" s="83" t="s">
        <v>402</v>
      </c>
      <c r="C180" s="84" t="s">
        <v>403</v>
      </c>
      <c r="D180" s="83" t="s">
        <v>450</v>
      </c>
      <c r="E180" s="83" t="s">
        <v>493</v>
      </c>
      <c r="F180" s="83" t="str">
        <f>REPT(CHAR(160),10)&amp;Working!$E180</f>
        <v>          C</v>
      </c>
      <c r="G180" s="74">
        <v>0</v>
      </c>
      <c r="H180" s="74">
        <v>0</v>
      </c>
      <c r="I180" s="74">
        <v>0</v>
      </c>
      <c r="J180" s="74">
        <v>0</v>
      </c>
      <c r="K180" s="85">
        <v>0</v>
      </c>
      <c r="L180" s="80">
        <v>0</v>
      </c>
      <c r="M180" s="74">
        <v>0</v>
      </c>
      <c r="N180" s="74">
        <v>0</v>
      </c>
      <c r="O180" s="74">
        <v>0</v>
      </c>
      <c r="P180" s="83">
        <v>0</v>
      </c>
      <c r="Q180" s="94">
        <v>0</v>
      </c>
      <c r="R180" s="43">
        <v>0</v>
      </c>
      <c r="S180" s="32">
        <v>0</v>
      </c>
      <c r="T180" s="16">
        <v>0</v>
      </c>
      <c r="U180" s="22">
        <v>0</v>
      </c>
      <c r="V180" s="16">
        <v>0</v>
      </c>
      <c r="W180" s="16">
        <v>0</v>
      </c>
      <c r="X180" s="42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42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42">
        <v>0</v>
      </c>
      <c r="AK180" s="7">
        <v>0</v>
      </c>
      <c r="AL180" s="7">
        <v>0</v>
      </c>
      <c r="AM180" s="22">
        <v>0</v>
      </c>
      <c r="AN180" s="7">
        <v>0</v>
      </c>
      <c r="AO180" s="16">
        <v>0</v>
      </c>
      <c r="AP180" s="43">
        <v>0</v>
      </c>
      <c r="AQ180" s="32">
        <v>0</v>
      </c>
      <c r="AR180" s="16">
        <v>0</v>
      </c>
      <c r="AS180" s="7">
        <v>0</v>
      </c>
      <c r="AT180" s="16">
        <v>0</v>
      </c>
      <c r="AU180" s="16">
        <v>0</v>
      </c>
      <c r="AV180" s="42">
        <v>0</v>
      </c>
      <c r="AW180" s="16">
        <v>0</v>
      </c>
      <c r="AX180" s="16">
        <v>0</v>
      </c>
      <c r="AY180" s="34">
        <v>0</v>
      </c>
      <c r="AZ180" s="32">
        <v>0</v>
      </c>
      <c r="BA180" s="70">
        <v>0</v>
      </c>
      <c r="BB180" s="98">
        <v>0</v>
      </c>
    </row>
    <row r="181" spans="1:54" ht="23.1" customHeight="1" x14ac:dyDescent="0.3">
      <c r="A181" s="99">
        <v>177</v>
      </c>
      <c r="B181" s="76" t="s">
        <v>271</v>
      </c>
      <c r="C181" s="77" t="s">
        <v>272</v>
      </c>
      <c r="D181" s="76" t="s">
        <v>450</v>
      </c>
      <c r="E181" s="76" t="s">
        <v>161</v>
      </c>
      <c r="F181" s="76" t="str">
        <f>REPT(CHAR(160),10)&amp;Working!$E181</f>
        <v>          B</v>
      </c>
      <c r="G181" s="78">
        <v>0</v>
      </c>
      <c r="H181" s="78">
        <v>0</v>
      </c>
      <c r="I181" s="78">
        <v>3</v>
      </c>
      <c r="J181" s="78">
        <v>0</v>
      </c>
      <c r="K181" s="79">
        <v>0</v>
      </c>
      <c r="L181" s="80">
        <v>3</v>
      </c>
      <c r="M181" s="78">
        <v>0</v>
      </c>
      <c r="N181" s="78">
        <v>4</v>
      </c>
      <c r="O181" s="78">
        <v>4</v>
      </c>
      <c r="P181" s="76">
        <v>0</v>
      </c>
      <c r="Q181" s="95">
        <v>4</v>
      </c>
      <c r="R181" s="43">
        <v>4</v>
      </c>
      <c r="S181" s="32">
        <v>0</v>
      </c>
      <c r="T181" s="34">
        <v>0</v>
      </c>
      <c r="U181" s="69">
        <v>0</v>
      </c>
      <c r="V181" s="34">
        <v>0</v>
      </c>
      <c r="W181" s="34">
        <v>0</v>
      </c>
      <c r="X181" s="42">
        <v>0</v>
      </c>
      <c r="Y181" s="34">
        <v>3</v>
      </c>
      <c r="Z181" s="34">
        <v>0</v>
      </c>
      <c r="AA181" s="34">
        <v>0</v>
      </c>
      <c r="AB181" s="34">
        <v>0</v>
      </c>
      <c r="AC181" s="34">
        <v>0</v>
      </c>
      <c r="AD181" s="42">
        <v>3</v>
      </c>
      <c r="AE181" s="34">
        <v>0</v>
      </c>
      <c r="AF181" s="34">
        <v>0</v>
      </c>
      <c r="AG181" s="34">
        <v>0</v>
      </c>
      <c r="AH181" s="34">
        <v>0</v>
      </c>
      <c r="AI181" s="34">
        <v>0</v>
      </c>
      <c r="AJ181" s="42">
        <v>0</v>
      </c>
      <c r="AK181" s="62">
        <v>3</v>
      </c>
      <c r="AL181" s="62">
        <v>3</v>
      </c>
      <c r="AM181" s="69">
        <v>0</v>
      </c>
      <c r="AN181" s="62">
        <v>4</v>
      </c>
      <c r="AO181" s="34">
        <v>0</v>
      </c>
      <c r="AP181" s="43">
        <v>3.3333333333333335</v>
      </c>
      <c r="AQ181" s="32">
        <v>3</v>
      </c>
      <c r="AR181" s="34">
        <v>0</v>
      </c>
      <c r="AS181" s="62">
        <v>0</v>
      </c>
      <c r="AT181" s="34">
        <v>0</v>
      </c>
      <c r="AU181" s="34">
        <v>0</v>
      </c>
      <c r="AV181" s="42">
        <v>3</v>
      </c>
      <c r="AW181" s="34">
        <v>0</v>
      </c>
      <c r="AX181" s="34">
        <v>0</v>
      </c>
      <c r="AY181" s="34">
        <v>0</v>
      </c>
      <c r="AZ181" s="32">
        <v>4</v>
      </c>
      <c r="BA181" s="70">
        <v>3</v>
      </c>
      <c r="BB181" s="98">
        <v>3.5</v>
      </c>
    </row>
    <row r="182" spans="1:54" ht="23.1" customHeight="1" x14ac:dyDescent="0.3">
      <c r="A182" s="100">
        <v>178</v>
      </c>
      <c r="B182" s="83" t="s">
        <v>52</v>
      </c>
      <c r="C182" s="84" t="s">
        <v>53</v>
      </c>
      <c r="D182" s="83" t="s">
        <v>542</v>
      </c>
      <c r="E182" s="83" t="s">
        <v>35</v>
      </c>
      <c r="F182" s="83" t="str">
        <f>REPT(CHAR(160),10)&amp;Working!$E182</f>
        <v>          A</v>
      </c>
      <c r="G182" s="74">
        <v>0</v>
      </c>
      <c r="H182" s="74">
        <v>0</v>
      </c>
      <c r="I182" s="74">
        <v>5</v>
      </c>
      <c r="J182" s="74">
        <v>0</v>
      </c>
      <c r="K182" s="85">
        <v>0</v>
      </c>
      <c r="L182" s="80">
        <v>5</v>
      </c>
      <c r="M182" s="74">
        <v>0</v>
      </c>
      <c r="N182" s="74">
        <v>5</v>
      </c>
      <c r="O182" s="74">
        <v>4</v>
      </c>
      <c r="P182" s="83">
        <v>0</v>
      </c>
      <c r="Q182" s="94">
        <v>4</v>
      </c>
      <c r="R182" s="43">
        <v>4.333333333333333</v>
      </c>
      <c r="S182" s="32">
        <v>0</v>
      </c>
      <c r="T182" s="16">
        <v>0</v>
      </c>
      <c r="U182" s="22">
        <v>0</v>
      </c>
      <c r="V182" s="16">
        <v>0</v>
      </c>
      <c r="W182" s="16">
        <v>0</v>
      </c>
      <c r="X182" s="42">
        <v>0</v>
      </c>
      <c r="Y182" s="16">
        <v>5</v>
      </c>
      <c r="Z182" s="16">
        <v>0</v>
      </c>
      <c r="AA182" s="16">
        <v>0</v>
      </c>
      <c r="AB182" s="16">
        <v>0</v>
      </c>
      <c r="AC182" s="16">
        <v>0</v>
      </c>
      <c r="AD182" s="42">
        <v>5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42">
        <v>0</v>
      </c>
      <c r="AK182" s="7">
        <v>5</v>
      </c>
      <c r="AL182" s="7">
        <v>5</v>
      </c>
      <c r="AM182" s="22">
        <v>0</v>
      </c>
      <c r="AN182" s="7">
        <v>5</v>
      </c>
      <c r="AO182" s="16">
        <v>0</v>
      </c>
      <c r="AP182" s="43">
        <v>5</v>
      </c>
      <c r="AQ182" s="32">
        <v>5</v>
      </c>
      <c r="AR182" s="16">
        <v>0</v>
      </c>
      <c r="AS182" s="7">
        <v>0</v>
      </c>
      <c r="AT182" s="16">
        <v>0</v>
      </c>
      <c r="AU182" s="16">
        <v>0</v>
      </c>
      <c r="AV182" s="42">
        <v>5</v>
      </c>
      <c r="AW182" s="16">
        <v>0</v>
      </c>
      <c r="AX182" s="16">
        <v>0</v>
      </c>
      <c r="AY182" s="34">
        <v>0</v>
      </c>
      <c r="AZ182" s="32">
        <v>5</v>
      </c>
      <c r="BA182" s="70">
        <v>5</v>
      </c>
      <c r="BB182" s="98">
        <v>5</v>
      </c>
    </row>
    <row r="183" spans="1:54" ht="23.1" customHeight="1" x14ac:dyDescent="0.3">
      <c r="A183" s="99">
        <v>179</v>
      </c>
      <c r="B183" s="76" t="s">
        <v>239</v>
      </c>
      <c r="C183" s="77" t="s">
        <v>240</v>
      </c>
      <c r="D183" s="76" t="s">
        <v>542</v>
      </c>
      <c r="E183" s="76" t="s">
        <v>161</v>
      </c>
      <c r="F183" s="76" t="str">
        <f>REPT(CHAR(160),10)&amp;Working!$E183</f>
        <v>          B</v>
      </c>
      <c r="G183" s="78">
        <v>0</v>
      </c>
      <c r="H183" s="78">
        <v>0</v>
      </c>
      <c r="I183" s="78">
        <v>4</v>
      </c>
      <c r="J183" s="78">
        <v>0</v>
      </c>
      <c r="K183" s="79">
        <v>0</v>
      </c>
      <c r="L183" s="80">
        <v>4</v>
      </c>
      <c r="M183" s="78">
        <v>0</v>
      </c>
      <c r="N183" s="78">
        <v>5</v>
      </c>
      <c r="O183" s="78">
        <v>5</v>
      </c>
      <c r="P183" s="76">
        <v>0</v>
      </c>
      <c r="Q183" s="95">
        <v>5</v>
      </c>
      <c r="R183" s="43">
        <v>5</v>
      </c>
      <c r="S183" s="32">
        <v>0</v>
      </c>
      <c r="T183" s="34">
        <v>0</v>
      </c>
      <c r="U183" s="69">
        <v>0</v>
      </c>
      <c r="V183" s="34">
        <v>0</v>
      </c>
      <c r="W183" s="34">
        <v>0</v>
      </c>
      <c r="X183" s="42">
        <v>0</v>
      </c>
      <c r="Y183" s="34">
        <v>4</v>
      </c>
      <c r="Z183" s="34">
        <v>0</v>
      </c>
      <c r="AA183" s="34">
        <v>0</v>
      </c>
      <c r="AB183" s="34">
        <v>0</v>
      </c>
      <c r="AC183" s="34">
        <v>0</v>
      </c>
      <c r="AD183" s="42">
        <v>4</v>
      </c>
      <c r="AE183" s="34">
        <v>0</v>
      </c>
      <c r="AF183" s="34">
        <v>0</v>
      </c>
      <c r="AG183" s="34">
        <v>0</v>
      </c>
      <c r="AH183" s="34">
        <v>0</v>
      </c>
      <c r="AI183" s="34">
        <v>0</v>
      </c>
      <c r="AJ183" s="42">
        <v>0</v>
      </c>
      <c r="AK183" s="62">
        <v>5</v>
      </c>
      <c r="AL183" s="62">
        <v>5</v>
      </c>
      <c r="AM183" s="69">
        <v>0</v>
      </c>
      <c r="AN183" s="62">
        <v>5</v>
      </c>
      <c r="AO183" s="34">
        <v>0</v>
      </c>
      <c r="AP183" s="43">
        <v>5</v>
      </c>
      <c r="AQ183" s="32">
        <v>5</v>
      </c>
      <c r="AR183" s="34">
        <v>0</v>
      </c>
      <c r="AS183" s="62">
        <v>0</v>
      </c>
      <c r="AT183" s="34">
        <v>0</v>
      </c>
      <c r="AU183" s="34">
        <v>0</v>
      </c>
      <c r="AV183" s="42">
        <v>5</v>
      </c>
      <c r="AW183" s="34">
        <v>0</v>
      </c>
      <c r="AX183" s="34">
        <v>0</v>
      </c>
      <c r="AY183" s="34">
        <v>0</v>
      </c>
      <c r="AZ183" s="32">
        <v>4</v>
      </c>
      <c r="BA183" s="70">
        <v>5</v>
      </c>
      <c r="BB183" s="98">
        <v>4.5</v>
      </c>
    </row>
    <row r="184" spans="1:54" ht="23.1" customHeight="1" x14ac:dyDescent="0.3">
      <c r="A184" s="100">
        <v>180</v>
      </c>
      <c r="B184" s="83" t="s">
        <v>255</v>
      </c>
      <c r="C184" s="84" t="s">
        <v>256</v>
      </c>
      <c r="D184" s="83" t="s">
        <v>450</v>
      </c>
      <c r="E184" s="83" t="s">
        <v>161</v>
      </c>
      <c r="F184" s="83" t="str">
        <f>REPT(CHAR(160),10)&amp;Working!$E184</f>
        <v>          B</v>
      </c>
      <c r="G184" s="74">
        <v>0</v>
      </c>
      <c r="H184" s="74">
        <v>0</v>
      </c>
      <c r="I184" s="74">
        <v>5</v>
      </c>
      <c r="J184" s="74">
        <v>0</v>
      </c>
      <c r="K184" s="85">
        <v>0</v>
      </c>
      <c r="L184" s="80">
        <v>5</v>
      </c>
      <c r="M184" s="74">
        <v>0</v>
      </c>
      <c r="N184" s="74">
        <v>5</v>
      </c>
      <c r="O184" s="74">
        <v>5</v>
      </c>
      <c r="P184" s="83">
        <v>0</v>
      </c>
      <c r="Q184" s="94">
        <v>5</v>
      </c>
      <c r="R184" s="43">
        <v>5</v>
      </c>
      <c r="S184" s="32">
        <v>0</v>
      </c>
      <c r="T184" s="16">
        <v>0</v>
      </c>
      <c r="U184" s="22">
        <v>0</v>
      </c>
      <c r="V184" s="16">
        <v>0</v>
      </c>
      <c r="W184" s="16">
        <v>0</v>
      </c>
      <c r="X184" s="42">
        <v>0</v>
      </c>
      <c r="Y184" s="16">
        <v>5</v>
      </c>
      <c r="Z184" s="16">
        <v>0</v>
      </c>
      <c r="AA184" s="16">
        <v>0</v>
      </c>
      <c r="AB184" s="16">
        <v>0</v>
      </c>
      <c r="AC184" s="16">
        <v>0</v>
      </c>
      <c r="AD184" s="42">
        <v>5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42">
        <v>0</v>
      </c>
      <c r="AK184" s="7">
        <v>4</v>
      </c>
      <c r="AL184" s="7">
        <v>5</v>
      </c>
      <c r="AM184" s="22">
        <v>0</v>
      </c>
      <c r="AN184" s="7">
        <v>5</v>
      </c>
      <c r="AO184" s="16">
        <v>0</v>
      </c>
      <c r="AP184" s="43">
        <v>4.666666666666667</v>
      </c>
      <c r="AQ184" s="32">
        <v>5</v>
      </c>
      <c r="AR184" s="16">
        <v>0</v>
      </c>
      <c r="AS184" s="7">
        <v>0</v>
      </c>
      <c r="AT184" s="16">
        <v>0</v>
      </c>
      <c r="AU184" s="16">
        <v>0</v>
      </c>
      <c r="AV184" s="42">
        <v>5</v>
      </c>
      <c r="AW184" s="16">
        <v>0</v>
      </c>
      <c r="AX184" s="16">
        <v>0</v>
      </c>
      <c r="AY184" s="34">
        <v>0</v>
      </c>
      <c r="AZ184" s="32">
        <v>5</v>
      </c>
      <c r="BA184" s="70">
        <v>5</v>
      </c>
      <c r="BB184" s="98">
        <v>5</v>
      </c>
    </row>
    <row r="185" spans="1:54" ht="23.1" customHeight="1" x14ac:dyDescent="0.3">
      <c r="A185" s="99">
        <v>181</v>
      </c>
      <c r="B185" s="76" t="s">
        <v>404</v>
      </c>
      <c r="C185" s="77" t="s">
        <v>405</v>
      </c>
      <c r="D185" s="76" t="s">
        <v>450</v>
      </c>
      <c r="E185" s="76" t="s">
        <v>493</v>
      </c>
      <c r="F185" s="76" t="str">
        <f>REPT(CHAR(160),10)&amp;Working!$E185</f>
        <v>          C</v>
      </c>
      <c r="G185" s="78">
        <v>0</v>
      </c>
      <c r="H185" s="78">
        <v>0</v>
      </c>
      <c r="I185" s="78">
        <v>4</v>
      </c>
      <c r="J185" s="78">
        <v>0</v>
      </c>
      <c r="K185" s="79">
        <v>0</v>
      </c>
      <c r="L185" s="80">
        <v>4</v>
      </c>
      <c r="M185" s="78">
        <v>0</v>
      </c>
      <c r="N185" s="78">
        <v>4</v>
      </c>
      <c r="O185" s="78">
        <v>4</v>
      </c>
      <c r="P185" s="76">
        <v>0</v>
      </c>
      <c r="Q185" s="95">
        <v>4</v>
      </c>
      <c r="R185" s="43">
        <v>4</v>
      </c>
      <c r="S185" s="32">
        <v>0</v>
      </c>
      <c r="T185" s="34">
        <v>0</v>
      </c>
      <c r="U185" s="69">
        <v>0</v>
      </c>
      <c r="V185" s="34">
        <v>0</v>
      </c>
      <c r="W185" s="34">
        <v>0</v>
      </c>
      <c r="X185" s="42">
        <v>0</v>
      </c>
      <c r="Y185" s="34">
        <v>5</v>
      </c>
      <c r="Z185" s="34">
        <v>0</v>
      </c>
      <c r="AA185" s="34">
        <v>0</v>
      </c>
      <c r="AB185" s="34">
        <v>0</v>
      </c>
      <c r="AC185" s="34">
        <v>0</v>
      </c>
      <c r="AD185" s="42">
        <v>5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42">
        <v>0</v>
      </c>
      <c r="AK185" s="62">
        <v>3</v>
      </c>
      <c r="AL185" s="62">
        <v>3</v>
      </c>
      <c r="AM185" s="69">
        <v>0</v>
      </c>
      <c r="AN185" s="62">
        <v>4</v>
      </c>
      <c r="AO185" s="34">
        <v>0</v>
      </c>
      <c r="AP185" s="43">
        <v>3.3333333333333335</v>
      </c>
      <c r="AQ185" s="32">
        <v>3</v>
      </c>
      <c r="AR185" s="34">
        <v>0</v>
      </c>
      <c r="AS185" s="62">
        <v>0</v>
      </c>
      <c r="AT185" s="34">
        <v>0</v>
      </c>
      <c r="AU185" s="34">
        <v>0</v>
      </c>
      <c r="AV185" s="42">
        <v>3</v>
      </c>
      <c r="AW185" s="34">
        <v>0</v>
      </c>
      <c r="AX185" s="34">
        <v>0</v>
      </c>
      <c r="AY185" s="34">
        <v>0</v>
      </c>
      <c r="AZ185" s="32">
        <v>4</v>
      </c>
      <c r="BA185" s="70">
        <v>5</v>
      </c>
      <c r="BB185" s="98">
        <v>4.5</v>
      </c>
    </row>
    <row r="186" spans="1:54" ht="23.1" customHeight="1" x14ac:dyDescent="0.3">
      <c r="A186" s="100">
        <v>182</v>
      </c>
      <c r="B186" s="83" t="s">
        <v>44</v>
      </c>
      <c r="C186" s="84" t="s">
        <v>45</v>
      </c>
      <c r="D186" s="83" t="s">
        <v>450</v>
      </c>
      <c r="E186" s="83" t="s">
        <v>35</v>
      </c>
      <c r="F186" s="83" t="str">
        <f>REPT(CHAR(160),10)&amp;Working!$E186</f>
        <v>          A</v>
      </c>
      <c r="G186" s="74">
        <v>0</v>
      </c>
      <c r="H186" s="74">
        <v>0</v>
      </c>
      <c r="I186" s="74">
        <v>5</v>
      </c>
      <c r="J186" s="74">
        <v>0</v>
      </c>
      <c r="K186" s="85">
        <v>0</v>
      </c>
      <c r="L186" s="80">
        <v>5</v>
      </c>
      <c r="M186" s="74">
        <v>0</v>
      </c>
      <c r="N186" s="74">
        <v>5</v>
      </c>
      <c r="O186" s="74">
        <v>5</v>
      </c>
      <c r="P186" s="83">
        <v>0</v>
      </c>
      <c r="Q186" s="94">
        <v>5</v>
      </c>
      <c r="R186" s="43">
        <v>5</v>
      </c>
      <c r="S186" s="32">
        <v>0</v>
      </c>
      <c r="T186" s="16">
        <v>0</v>
      </c>
      <c r="U186" s="22">
        <v>0</v>
      </c>
      <c r="V186" s="16">
        <v>0</v>
      </c>
      <c r="W186" s="16">
        <v>0</v>
      </c>
      <c r="X186" s="42">
        <v>0</v>
      </c>
      <c r="Y186" s="16">
        <v>4</v>
      </c>
      <c r="Z186" s="16">
        <v>0</v>
      </c>
      <c r="AA186" s="16">
        <v>0</v>
      </c>
      <c r="AB186" s="16">
        <v>0</v>
      </c>
      <c r="AC186" s="16">
        <v>0</v>
      </c>
      <c r="AD186" s="42">
        <v>4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42">
        <v>0</v>
      </c>
      <c r="AK186" s="7">
        <v>5</v>
      </c>
      <c r="AL186" s="7">
        <v>5</v>
      </c>
      <c r="AM186" s="22">
        <v>0</v>
      </c>
      <c r="AN186" s="7">
        <v>5</v>
      </c>
      <c r="AO186" s="16">
        <v>0</v>
      </c>
      <c r="AP186" s="43">
        <v>5</v>
      </c>
      <c r="AQ186" s="32">
        <v>5</v>
      </c>
      <c r="AR186" s="16">
        <v>0</v>
      </c>
      <c r="AS186" s="7">
        <v>0</v>
      </c>
      <c r="AT186" s="16">
        <v>0</v>
      </c>
      <c r="AU186" s="16">
        <v>0</v>
      </c>
      <c r="AV186" s="42">
        <v>5</v>
      </c>
      <c r="AW186" s="16">
        <v>0</v>
      </c>
      <c r="AX186" s="16">
        <v>0</v>
      </c>
      <c r="AY186" s="34">
        <v>0</v>
      </c>
      <c r="AZ186" s="32">
        <v>5</v>
      </c>
      <c r="BA186" s="70">
        <v>5</v>
      </c>
      <c r="BB186" s="98">
        <v>5</v>
      </c>
    </row>
    <row r="187" spans="1:54" ht="23.1" customHeight="1" x14ac:dyDescent="0.3">
      <c r="A187" s="99">
        <v>183</v>
      </c>
      <c r="B187" s="76" t="s">
        <v>406</v>
      </c>
      <c r="C187" s="77" t="s">
        <v>407</v>
      </c>
      <c r="D187" s="76" t="s">
        <v>450</v>
      </c>
      <c r="E187" s="76" t="s">
        <v>493</v>
      </c>
      <c r="F187" s="76" t="str">
        <f>REPT(CHAR(160),10)&amp;Working!$E187</f>
        <v>          C</v>
      </c>
      <c r="G187" s="78">
        <v>0</v>
      </c>
      <c r="H187" s="78">
        <v>0</v>
      </c>
      <c r="I187" s="78">
        <v>4</v>
      </c>
      <c r="J187" s="78">
        <v>0</v>
      </c>
      <c r="K187" s="79">
        <v>0</v>
      </c>
      <c r="L187" s="80">
        <v>4</v>
      </c>
      <c r="M187" s="78">
        <v>0</v>
      </c>
      <c r="N187" s="78">
        <v>5</v>
      </c>
      <c r="O187" s="78">
        <v>5</v>
      </c>
      <c r="P187" s="76">
        <v>0</v>
      </c>
      <c r="Q187" s="95">
        <v>5</v>
      </c>
      <c r="R187" s="43">
        <v>5</v>
      </c>
      <c r="S187" s="32">
        <v>0</v>
      </c>
      <c r="T187" s="34">
        <v>0</v>
      </c>
      <c r="U187" s="69">
        <v>0</v>
      </c>
      <c r="V187" s="34">
        <v>0</v>
      </c>
      <c r="W187" s="34">
        <v>0</v>
      </c>
      <c r="X187" s="42">
        <v>0</v>
      </c>
      <c r="Y187" s="34">
        <v>5</v>
      </c>
      <c r="Z187" s="34">
        <v>0</v>
      </c>
      <c r="AA187" s="34">
        <v>0</v>
      </c>
      <c r="AB187" s="34">
        <v>0</v>
      </c>
      <c r="AC187" s="34">
        <v>0</v>
      </c>
      <c r="AD187" s="42">
        <v>5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42">
        <v>0</v>
      </c>
      <c r="AK187" s="62">
        <v>5</v>
      </c>
      <c r="AL187" s="62">
        <v>5</v>
      </c>
      <c r="AM187" s="69">
        <v>0</v>
      </c>
      <c r="AN187" s="62">
        <v>5</v>
      </c>
      <c r="AO187" s="34">
        <v>0</v>
      </c>
      <c r="AP187" s="43">
        <v>5</v>
      </c>
      <c r="AQ187" s="32">
        <v>5</v>
      </c>
      <c r="AR187" s="34">
        <v>0</v>
      </c>
      <c r="AS187" s="62">
        <v>0</v>
      </c>
      <c r="AT187" s="34">
        <v>0</v>
      </c>
      <c r="AU187" s="34">
        <v>0</v>
      </c>
      <c r="AV187" s="42">
        <v>5</v>
      </c>
      <c r="AW187" s="34">
        <v>0</v>
      </c>
      <c r="AX187" s="34">
        <v>0</v>
      </c>
      <c r="AY187" s="34">
        <v>0</v>
      </c>
      <c r="AZ187" s="32">
        <v>5</v>
      </c>
      <c r="BA187" s="70">
        <v>4</v>
      </c>
      <c r="BB187" s="98">
        <v>4.5</v>
      </c>
    </row>
    <row r="188" spans="1:54" ht="23.1" customHeight="1" x14ac:dyDescent="0.3">
      <c r="A188" s="100">
        <v>184</v>
      </c>
      <c r="B188" s="83" t="s">
        <v>287</v>
      </c>
      <c r="C188" s="84" t="s">
        <v>288</v>
      </c>
      <c r="D188" s="83" t="s">
        <v>450</v>
      </c>
      <c r="E188" s="83" t="s">
        <v>161</v>
      </c>
      <c r="F188" s="83" t="str">
        <f>REPT(CHAR(160),10)&amp;Working!$E188</f>
        <v>          B</v>
      </c>
      <c r="G188" s="74">
        <v>0</v>
      </c>
      <c r="H188" s="74">
        <v>0</v>
      </c>
      <c r="I188" s="74">
        <v>3</v>
      </c>
      <c r="J188" s="74">
        <v>0</v>
      </c>
      <c r="K188" s="85">
        <v>0</v>
      </c>
      <c r="L188" s="80">
        <v>3</v>
      </c>
      <c r="M188" s="74">
        <v>0</v>
      </c>
      <c r="N188" s="74">
        <v>4</v>
      </c>
      <c r="O188" s="74">
        <v>4</v>
      </c>
      <c r="P188" s="83">
        <v>0</v>
      </c>
      <c r="Q188" s="94">
        <v>4</v>
      </c>
      <c r="R188" s="43">
        <v>4</v>
      </c>
      <c r="S188" s="32">
        <v>0</v>
      </c>
      <c r="T188" s="16">
        <v>0</v>
      </c>
      <c r="U188" s="22">
        <v>0</v>
      </c>
      <c r="V188" s="16">
        <v>0</v>
      </c>
      <c r="W188" s="16">
        <v>0</v>
      </c>
      <c r="X188" s="42">
        <v>0</v>
      </c>
      <c r="Y188" s="16">
        <v>4</v>
      </c>
      <c r="Z188" s="16">
        <v>0</v>
      </c>
      <c r="AA188" s="16">
        <v>0</v>
      </c>
      <c r="AB188" s="16">
        <v>0</v>
      </c>
      <c r="AC188" s="16">
        <v>0</v>
      </c>
      <c r="AD188" s="42">
        <v>4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42">
        <v>0</v>
      </c>
      <c r="AK188" s="7">
        <v>3</v>
      </c>
      <c r="AL188" s="7">
        <v>0</v>
      </c>
      <c r="AM188" s="22">
        <v>0</v>
      </c>
      <c r="AN188" s="7">
        <v>4</v>
      </c>
      <c r="AO188" s="16">
        <v>0</v>
      </c>
      <c r="AP188" s="43">
        <v>2.3333333333333335</v>
      </c>
      <c r="AQ188" s="32">
        <v>3</v>
      </c>
      <c r="AR188" s="16">
        <v>0</v>
      </c>
      <c r="AS188" s="7">
        <v>0</v>
      </c>
      <c r="AT188" s="16">
        <v>0</v>
      </c>
      <c r="AU188" s="16">
        <v>0</v>
      </c>
      <c r="AV188" s="42">
        <v>3</v>
      </c>
      <c r="AW188" s="16">
        <v>0</v>
      </c>
      <c r="AX188" s="16">
        <v>0</v>
      </c>
      <c r="AY188" s="34">
        <v>0</v>
      </c>
      <c r="AZ188" s="32">
        <v>4</v>
      </c>
      <c r="BA188" s="70">
        <v>3</v>
      </c>
      <c r="BB188" s="98">
        <v>3.5</v>
      </c>
    </row>
    <row r="189" spans="1:54" ht="23.1" customHeight="1" x14ac:dyDescent="0.3">
      <c r="A189" s="99">
        <v>185</v>
      </c>
      <c r="B189" s="76" t="s">
        <v>408</v>
      </c>
      <c r="C189" s="77" t="s">
        <v>409</v>
      </c>
      <c r="D189" s="76" t="s">
        <v>450</v>
      </c>
      <c r="E189" s="76" t="s">
        <v>493</v>
      </c>
      <c r="F189" s="76" t="str">
        <f>REPT(CHAR(160),10)&amp;Working!$E189</f>
        <v>          C</v>
      </c>
      <c r="G189" s="78">
        <v>0</v>
      </c>
      <c r="H189" s="78">
        <v>0</v>
      </c>
      <c r="I189" s="78">
        <v>1</v>
      </c>
      <c r="J189" s="78">
        <v>0</v>
      </c>
      <c r="K189" s="79">
        <v>0</v>
      </c>
      <c r="L189" s="80">
        <v>1</v>
      </c>
      <c r="M189" s="78">
        <v>0</v>
      </c>
      <c r="N189" s="78">
        <v>3</v>
      </c>
      <c r="O189" s="78">
        <v>2</v>
      </c>
      <c r="P189" s="76">
        <v>0</v>
      </c>
      <c r="Q189" s="95">
        <v>2</v>
      </c>
      <c r="R189" s="43">
        <v>2.3333333333333335</v>
      </c>
      <c r="S189" s="32">
        <v>0</v>
      </c>
      <c r="T189" s="34">
        <v>0</v>
      </c>
      <c r="U189" s="69">
        <v>0</v>
      </c>
      <c r="V189" s="34">
        <v>0</v>
      </c>
      <c r="W189" s="34">
        <v>0</v>
      </c>
      <c r="X189" s="42">
        <v>0</v>
      </c>
      <c r="Y189" s="34">
        <v>2</v>
      </c>
      <c r="Z189" s="34">
        <v>0</v>
      </c>
      <c r="AA189" s="34">
        <v>0</v>
      </c>
      <c r="AB189" s="34">
        <v>0</v>
      </c>
      <c r="AC189" s="34">
        <v>0</v>
      </c>
      <c r="AD189" s="42">
        <v>2</v>
      </c>
      <c r="AE189" s="34">
        <v>0</v>
      </c>
      <c r="AF189" s="34">
        <v>0</v>
      </c>
      <c r="AG189" s="34">
        <v>0</v>
      </c>
      <c r="AH189" s="34">
        <v>0</v>
      </c>
      <c r="AI189" s="34">
        <v>0</v>
      </c>
      <c r="AJ189" s="42">
        <v>0</v>
      </c>
      <c r="AK189" s="62">
        <v>2</v>
      </c>
      <c r="AL189" s="62">
        <v>2</v>
      </c>
      <c r="AM189" s="69">
        <v>0</v>
      </c>
      <c r="AN189" s="62">
        <v>3</v>
      </c>
      <c r="AO189" s="34">
        <v>0</v>
      </c>
      <c r="AP189" s="43">
        <v>2.3333333333333335</v>
      </c>
      <c r="AQ189" s="32">
        <v>2</v>
      </c>
      <c r="AR189" s="34">
        <v>0</v>
      </c>
      <c r="AS189" s="62">
        <v>0</v>
      </c>
      <c r="AT189" s="34">
        <v>0</v>
      </c>
      <c r="AU189" s="34">
        <v>0</v>
      </c>
      <c r="AV189" s="42">
        <v>2</v>
      </c>
      <c r="AW189" s="34">
        <v>0</v>
      </c>
      <c r="AX189" s="34">
        <v>0</v>
      </c>
      <c r="AY189" s="34">
        <v>0</v>
      </c>
      <c r="AZ189" s="32">
        <v>2</v>
      </c>
      <c r="BA189" s="70">
        <v>1</v>
      </c>
      <c r="BB189" s="98">
        <v>1.5</v>
      </c>
    </row>
    <row r="190" spans="1:54" ht="23.1" customHeight="1" x14ac:dyDescent="0.3">
      <c r="A190" s="100">
        <v>186</v>
      </c>
      <c r="B190" s="83" t="s">
        <v>410</v>
      </c>
      <c r="C190" s="84" t="s">
        <v>411</v>
      </c>
      <c r="D190" s="83" t="s">
        <v>450</v>
      </c>
      <c r="E190" s="83" t="s">
        <v>493</v>
      </c>
      <c r="F190" s="83" t="str">
        <f>REPT(CHAR(160),10)&amp;Working!$E190</f>
        <v>          C</v>
      </c>
      <c r="G190" s="74">
        <v>0</v>
      </c>
      <c r="H190" s="74">
        <v>0</v>
      </c>
      <c r="I190" s="74">
        <v>2</v>
      </c>
      <c r="J190" s="74">
        <v>0</v>
      </c>
      <c r="K190" s="85">
        <v>0</v>
      </c>
      <c r="L190" s="80">
        <v>2</v>
      </c>
      <c r="M190" s="74">
        <v>0</v>
      </c>
      <c r="N190" s="74">
        <v>3</v>
      </c>
      <c r="O190" s="74">
        <v>3</v>
      </c>
      <c r="P190" s="83">
        <v>0</v>
      </c>
      <c r="Q190" s="94">
        <v>3</v>
      </c>
      <c r="R190" s="43">
        <v>3</v>
      </c>
      <c r="S190" s="32">
        <v>0</v>
      </c>
      <c r="T190" s="16">
        <v>0</v>
      </c>
      <c r="U190" s="22">
        <v>0</v>
      </c>
      <c r="V190" s="16">
        <v>0</v>
      </c>
      <c r="W190" s="16">
        <v>0</v>
      </c>
      <c r="X190" s="42">
        <v>0</v>
      </c>
      <c r="Y190" s="16">
        <v>3</v>
      </c>
      <c r="Z190" s="16">
        <v>0</v>
      </c>
      <c r="AA190" s="16">
        <v>0</v>
      </c>
      <c r="AB190" s="16">
        <v>0</v>
      </c>
      <c r="AC190" s="16">
        <v>0</v>
      </c>
      <c r="AD190" s="42">
        <v>3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42">
        <v>0</v>
      </c>
      <c r="AK190" s="7">
        <v>2</v>
      </c>
      <c r="AL190" s="7">
        <v>2</v>
      </c>
      <c r="AM190" s="22">
        <v>0</v>
      </c>
      <c r="AN190" s="7">
        <v>3</v>
      </c>
      <c r="AO190" s="16">
        <v>0</v>
      </c>
      <c r="AP190" s="43">
        <v>2.3333333333333335</v>
      </c>
      <c r="AQ190" s="32">
        <v>2</v>
      </c>
      <c r="AR190" s="16">
        <v>0</v>
      </c>
      <c r="AS190" s="7">
        <v>0</v>
      </c>
      <c r="AT190" s="16">
        <v>0</v>
      </c>
      <c r="AU190" s="16">
        <v>0</v>
      </c>
      <c r="AV190" s="42">
        <v>2</v>
      </c>
      <c r="AW190" s="16">
        <v>0</v>
      </c>
      <c r="AX190" s="16">
        <v>0</v>
      </c>
      <c r="AY190" s="34">
        <v>0</v>
      </c>
      <c r="AZ190" s="32">
        <v>2</v>
      </c>
      <c r="BA190" s="70">
        <v>2</v>
      </c>
      <c r="BB190" s="98">
        <v>2</v>
      </c>
    </row>
    <row r="191" spans="1:54" ht="23.1" customHeight="1" x14ac:dyDescent="0.3">
      <c r="A191" s="99">
        <v>187</v>
      </c>
      <c r="B191" s="76" t="s">
        <v>412</v>
      </c>
      <c r="C191" s="77" t="s">
        <v>413</v>
      </c>
      <c r="D191" s="76" t="s">
        <v>542</v>
      </c>
      <c r="E191" s="76" t="s">
        <v>493</v>
      </c>
      <c r="F191" s="76" t="str">
        <f>REPT(CHAR(160),10)&amp;Working!$E191</f>
        <v>          C</v>
      </c>
      <c r="G191" s="78">
        <v>0</v>
      </c>
      <c r="H191" s="78">
        <v>0</v>
      </c>
      <c r="I191" s="78">
        <v>2</v>
      </c>
      <c r="J191" s="78">
        <v>0</v>
      </c>
      <c r="K191" s="79">
        <v>0</v>
      </c>
      <c r="L191" s="80">
        <v>2</v>
      </c>
      <c r="M191" s="78">
        <v>0</v>
      </c>
      <c r="N191" s="78">
        <v>2</v>
      </c>
      <c r="O191" s="78">
        <v>2</v>
      </c>
      <c r="P191" s="76">
        <v>0</v>
      </c>
      <c r="Q191" s="95">
        <v>2</v>
      </c>
      <c r="R191" s="43">
        <v>2</v>
      </c>
      <c r="S191" s="32">
        <v>0</v>
      </c>
      <c r="T191" s="34">
        <v>0</v>
      </c>
      <c r="U191" s="69">
        <v>0</v>
      </c>
      <c r="V191" s="34">
        <v>0</v>
      </c>
      <c r="W191" s="34">
        <v>0</v>
      </c>
      <c r="X191" s="42">
        <v>0</v>
      </c>
      <c r="Y191" s="34">
        <v>2</v>
      </c>
      <c r="Z191" s="34">
        <v>0</v>
      </c>
      <c r="AA191" s="34">
        <v>0</v>
      </c>
      <c r="AB191" s="34">
        <v>0</v>
      </c>
      <c r="AC191" s="34">
        <v>0</v>
      </c>
      <c r="AD191" s="42">
        <v>2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42">
        <v>0</v>
      </c>
      <c r="AK191" s="62">
        <v>2</v>
      </c>
      <c r="AL191" s="62">
        <v>3</v>
      </c>
      <c r="AM191" s="69">
        <v>0</v>
      </c>
      <c r="AN191" s="62">
        <v>4</v>
      </c>
      <c r="AO191" s="34">
        <v>0</v>
      </c>
      <c r="AP191" s="43">
        <v>3</v>
      </c>
      <c r="AQ191" s="32">
        <v>1</v>
      </c>
      <c r="AR191" s="34">
        <v>0</v>
      </c>
      <c r="AS191" s="62">
        <v>0</v>
      </c>
      <c r="AT191" s="34">
        <v>0</v>
      </c>
      <c r="AU191" s="34">
        <v>0</v>
      </c>
      <c r="AV191" s="42">
        <v>1</v>
      </c>
      <c r="AW191" s="34">
        <v>0</v>
      </c>
      <c r="AX191" s="34">
        <v>0</v>
      </c>
      <c r="AY191" s="34">
        <v>0</v>
      </c>
      <c r="AZ191" s="32">
        <v>4</v>
      </c>
      <c r="BA191" s="70">
        <v>2</v>
      </c>
      <c r="BB191" s="98">
        <v>3</v>
      </c>
    </row>
    <row r="192" spans="1:54" ht="23.1" customHeight="1" x14ac:dyDescent="0.3">
      <c r="A192" s="100">
        <v>188</v>
      </c>
      <c r="B192" s="83" t="s">
        <v>148</v>
      </c>
      <c r="C192" s="84" t="s">
        <v>149</v>
      </c>
      <c r="D192" s="83" t="s">
        <v>542</v>
      </c>
      <c r="E192" s="83" t="s">
        <v>35</v>
      </c>
      <c r="F192" s="83" t="str">
        <f>REPT(CHAR(160),10)&amp;Working!$E192</f>
        <v>          A</v>
      </c>
      <c r="G192" s="74">
        <v>0</v>
      </c>
      <c r="H192" s="74">
        <v>0</v>
      </c>
      <c r="I192" s="74">
        <v>2</v>
      </c>
      <c r="J192" s="74">
        <v>0</v>
      </c>
      <c r="K192" s="85">
        <v>0</v>
      </c>
      <c r="L192" s="80">
        <v>2</v>
      </c>
      <c r="M192" s="74">
        <v>0</v>
      </c>
      <c r="N192" s="74">
        <v>2</v>
      </c>
      <c r="O192" s="74">
        <v>2</v>
      </c>
      <c r="P192" s="83">
        <v>0</v>
      </c>
      <c r="Q192" s="94">
        <v>2</v>
      </c>
      <c r="R192" s="43">
        <v>2</v>
      </c>
      <c r="S192" s="32">
        <v>0</v>
      </c>
      <c r="T192" s="16">
        <v>0</v>
      </c>
      <c r="U192" s="22">
        <v>0</v>
      </c>
      <c r="V192" s="16">
        <v>0</v>
      </c>
      <c r="W192" s="16">
        <v>0</v>
      </c>
      <c r="X192" s="42">
        <v>0</v>
      </c>
      <c r="Y192" s="16">
        <v>2</v>
      </c>
      <c r="Z192" s="16">
        <v>0</v>
      </c>
      <c r="AA192" s="16">
        <v>0</v>
      </c>
      <c r="AB192" s="16">
        <v>0</v>
      </c>
      <c r="AC192" s="16">
        <v>0</v>
      </c>
      <c r="AD192" s="42">
        <v>2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42">
        <v>0</v>
      </c>
      <c r="AK192" s="7">
        <v>2</v>
      </c>
      <c r="AL192" s="7">
        <v>2</v>
      </c>
      <c r="AM192" s="22">
        <v>0</v>
      </c>
      <c r="AN192" s="7">
        <v>2</v>
      </c>
      <c r="AO192" s="16">
        <v>0</v>
      </c>
      <c r="AP192" s="43">
        <v>2</v>
      </c>
      <c r="AQ192" s="32">
        <v>2</v>
      </c>
      <c r="AR192" s="16">
        <v>0</v>
      </c>
      <c r="AS192" s="7">
        <v>0</v>
      </c>
      <c r="AT192" s="16">
        <v>0</v>
      </c>
      <c r="AU192" s="16">
        <v>0</v>
      </c>
      <c r="AV192" s="42">
        <v>2</v>
      </c>
      <c r="AW192" s="16">
        <v>0</v>
      </c>
      <c r="AX192" s="16">
        <v>0</v>
      </c>
      <c r="AY192" s="34">
        <v>0</v>
      </c>
      <c r="AZ192" s="32">
        <v>3</v>
      </c>
      <c r="BA192" s="70">
        <v>3</v>
      </c>
      <c r="BB192" s="98">
        <v>3</v>
      </c>
    </row>
    <row r="193" spans="1:54" ht="23.1" customHeight="1" x14ac:dyDescent="0.3">
      <c r="A193" s="99">
        <v>189</v>
      </c>
      <c r="B193" s="76" t="s">
        <v>414</v>
      </c>
      <c r="C193" s="77" t="s">
        <v>415</v>
      </c>
      <c r="D193" s="76" t="s">
        <v>450</v>
      </c>
      <c r="E193" s="76" t="s">
        <v>493</v>
      </c>
      <c r="F193" s="76" t="str">
        <f>REPT(CHAR(160),10)&amp;Working!$E193</f>
        <v>          C</v>
      </c>
      <c r="G193" s="78">
        <v>0</v>
      </c>
      <c r="H193" s="78">
        <v>0</v>
      </c>
      <c r="I193" s="78">
        <v>2</v>
      </c>
      <c r="J193" s="78">
        <v>0</v>
      </c>
      <c r="K193" s="79">
        <v>0</v>
      </c>
      <c r="L193" s="80">
        <v>2</v>
      </c>
      <c r="M193" s="78">
        <v>0</v>
      </c>
      <c r="N193" s="78">
        <v>3</v>
      </c>
      <c r="O193" s="78">
        <v>2</v>
      </c>
      <c r="P193" s="76">
        <v>0</v>
      </c>
      <c r="Q193" s="95">
        <v>2</v>
      </c>
      <c r="R193" s="43">
        <v>2.3333333333333335</v>
      </c>
      <c r="S193" s="32">
        <v>0</v>
      </c>
      <c r="T193" s="34">
        <v>0</v>
      </c>
      <c r="U193" s="69">
        <v>0</v>
      </c>
      <c r="V193" s="34">
        <v>0</v>
      </c>
      <c r="W193" s="34">
        <v>0</v>
      </c>
      <c r="X193" s="42">
        <v>0</v>
      </c>
      <c r="Y193" s="34">
        <v>2</v>
      </c>
      <c r="Z193" s="34">
        <v>0</v>
      </c>
      <c r="AA193" s="34">
        <v>0</v>
      </c>
      <c r="AB193" s="34">
        <v>0</v>
      </c>
      <c r="AC193" s="34">
        <v>0</v>
      </c>
      <c r="AD193" s="42">
        <v>2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42">
        <v>0</v>
      </c>
      <c r="AK193" s="62">
        <v>2</v>
      </c>
      <c r="AL193" s="62">
        <v>2</v>
      </c>
      <c r="AM193" s="69">
        <v>0</v>
      </c>
      <c r="AN193" s="62">
        <v>2</v>
      </c>
      <c r="AO193" s="34">
        <v>0</v>
      </c>
      <c r="AP193" s="43">
        <v>2</v>
      </c>
      <c r="AQ193" s="32">
        <v>3</v>
      </c>
      <c r="AR193" s="34">
        <v>0</v>
      </c>
      <c r="AS193" s="62">
        <v>0</v>
      </c>
      <c r="AT193" s="34">
        <v>0</v>
      </c>
      <c r="AU193" s="34">
        <v>0</v>
      </c>
      <c r="AV193" s="42">
        <v>3</v>
      </c>
      <c r="AW193" s="34">
        <v>0</v>
      </c>
      <c r="AX193" s="34">
        <v>0</v>
      </c>
      <c r="AY193" s="34">
        <v>0</v>
      </c>
      <c r="AZ193" s="32">
        <v>3</v>
      </c>
      <c r="BA193" s="70">
        <v>3</v>
      </c>
      <c r="BB193" s="98">
        <v>3</v>
      </c>
    </row>
    <row r="194" spans="1:54" ht="23.1" customHeight="1" x14ac:dyDescent="0.3">
      <c r="A194" s="100">
        <v>190</v>
      </c>
      <c r="B194" s="83" t="s">
        <v>416</v>
      </c>
      <c r="C194" s="84" t="s">
        <v>417</v>
      </c>
      <c r="D194" s="83" t="s">
        <v>542</v>
      </c>
      <c r="E194" s="83" t="s">
        <v>289</v>
      </c>
      <c r="F194" s="83" t="str">
        <f>REPT(CHAR(160),10)&amp;Working!$E194</f>
        <v>          D</v>
      </c>
      <c r="G194" s="74">
        <v>0</v>
      </c>
      <c r="H194" s="74">
        <v>0</v>
      </c>
      <c r="I194" s="74">
        <v>3</v>
      </c>
      <c r="J194" s="74">
        <v>0</v>
      </c>
      <c r="K194" s="85">
        <v>0</v>
      </c>
      <c r="L194" s="80">
        <v>3</v>
      </c>
      <c r="M194" s="74">
        <v>0</v>
      </c>
      <c r="N194" s="74">
        <v>3</v>
      </c>
      <c r="O194" s="74">
        <v>3</v>
      </c>
      <c r="P194" s="83">
        <v>0</v>
      </c>
      <c r="Q194" s="94">
        <v>3</v>
      </c>
      <c r="R194" s="43">
        <v>3</v>
      </c>
      <c r="S194" s="32">
        <v>0</v>
      </c>
      <c r="T194" s="16">
        <v>0</v>
      </c>
      <c r="U194" s="22">
        <v>0</v>
      </c>
      <c r="V194" s="16">
        <v>0</v>
      </c>
      <c r="W194" s="16">
        <v>0</v>
      </c>
      <c r="X194" s="42">
        <v>0</v>
      </c>
      <c r="Y194" s="16">
        <v>3</v>
      </c>
      <c r="Z194" s="16">
        <v>0</v>
      </c>
      <c r="AA194" s="16">
        <v>0</v>
      </c>
      <c r="AB194" s="16">
        <v>0</v>
      </c>
      <c r="AC194" s="16">
        <v>0</v>
      </c>
      <c r="AD194" s="42">
        <v>3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42">
        <v>0</v>
      </c>
      <c r="AK194" s="7">
        <v>3</v>
      </c>
      <c r="AL194" s="7">
        <v>3</v>
      </c>
      <c r="AM194" s="22">
        <v>0</v>
      </c>
      <c r="AN194" s="7">
        <v>4</v>
      </c>
      <c r="AO194" s="16">
        <v>0</v>
      </c>
      <c r="AP194" s="43">
        <v>3.3333333333333335</v>
      </c>
      <c r="AQ194" s="32">
        <v>1</v>
      </c>
      <c r="AR194" s="16">
        <v>0</v>
      </c>
      <c r="AS194" s="7">
        <v>0</v>
      </c>
      <c r="AT194" s="16">
        <v>0</v>
      </c>
      <c r="AU194" s="16">
        <v>0</v>
      </c>
      <c r="AV194" s="42">
        <v>1</v>
      </c>
      <c r="AW194" s="16">
        <v>0</v>
      </c>
      <c r="AX194" s="16">
        <v>0</v>
      </c>
      <c r="AY194" s="34">
        <v>0</v>
      </c>
      <c r="AZ194" s="32">
        <v>3</v>
      </c>
      <c r="BA194" s="70">
        <v>3</v>
      </c>
      <c r="BB194" s="98">
        <v>3</v>
      </c>
    </row>
    <row r="195" spans="1:54" ht="23.1" customHeight="1" x14ac:dyDescent="0.3">
      <c r="A195" s="99">
        <v>191</v>
      </c>
      <c r="B195" s="76" t="s">
        <v>418</v>
      </c>
      <c r="C195" s="77" t="s">
        <v>419</v>
      </c>
      <c r="D195" s="76" t="s">
        <v>450</v>
      </c>
      <c r="E195" s="76" t="s">
        <v>493</v>
      </c>
      <c r="F195" s="76" t="str">
        <f>REPT(CHAR(160),10)&amp;Working!$E195</f>
        <v>          C</v>
      </c>
      <c r="G195" s="78">
        <v>0</v>
      </c>
      <c r="H195" s="78">
        <v>0</v>
      </c>
      <c r="I195" s="78">
        <v>4</v>
      </c>
      <c r="J195" s="78">
        <v>0</v>
      </c>
      <c r="K195" s="79">
        <v>0</v>
      </c>
      <c r="L195" s="80">
        <v>4</v>
      </c>
      <c r="M195" s="78">
        <v>0</v>
      </c>
      <c r="N195" s="78">
        <v>5</v>
      </c>
      <c r="O195" s="78">
        <v>4</v>
      </c>
      <c r="P195" s="76">
        <v>0</v>
      </c>
      <c r="Q195" s="95">
        <v>4</v>
      </c>
      <c r="R195" s="43">
        <v>4.333333333333333</v>
      </c>
      <c r="S195" s="32">
        <v>0</v>
      </c>
      <c r="T195" s="34">
        <v>0</v>
      </c>
      <c r="U195" s="69">
        <v>0</v>
      </c>
      <c r="V195" s="34">
        <v>0</v>
      </c>
      <c r="W195" s="34">
        <v>0</v>
      </c>
      <c r="X195" s="42">
        <v>0</v>
      </c>
      <c r="Y195" s="34">
        <v>4</v>
      </c>
      <c r="Z195" s="34">
        <v>0</v>
      </c>
      <c r="AA195" s="34">
        <v>0</v>
      </c>
      <c r="AB195" s="34">
        <v>0</v>
      </c>
      <c r="AC195" s="34">
        <v>0</v>
      </c>
      <c r="AD195" s="42">
        <v>4</v>
      </c>
      <c r="AE195" s="34">
        <v>0</v>
      </c>
      <c r="AF195" s="34">
        <v>0</v>
      </c>
      <c r="AG195" s="34">
        <v>0</v>
      </c>
      <c r="AH195" s="34">
        <v>0</v>
      </c>
      <c r="AI195" s="34">
        <v>0</v>
      </c>
      <c r="AJ195" s="42">
        <v>0</v>
      </c>
      <c r="AK195" s="62">
        <v>5</v>
      </c>
      <c r="AL195" s="62">
        <v>4</v>
      </c>
      <c r="AM195" s="69">
        <v>0</v>
      </c>
      <c r="AN195" s="62">
        <v>5</v>
      </c>
      <c r="AO195" s="34">
        <v>0</v>
      </c>
      <c r="AP195" s="43">
        <v>4.666666666666667</v>
      </c>
      <c r="AQ195" s="32">
        <v>3</v>
      </c>
      <c r="AR195" s="34">
        <v>0</v>
      </c>
      <c r="AS195" s="62">
        <v>0</v>
      </c>
      <c r="AT195" s="34">
        <v>0</v>
      </c>
      <c r="AU195" s="34">
        <v>0</v>
      </c>
      <c r="AV195" s="42">
        <v>3</v>
      </c>
      <c r="AW195" s="34">
        <v>0</v>
      </c>
      <c r="AX195" s="34">
        <v>0</v>
      </c>
      <c r="AY195" s="34">
        <v>0</v>
      </c>
      <c r="AZ195" s="32">
        <v>5</v>
      </c>
      <c r="BA195" s="70">
        <v>4</v>
      </c>
      <c r="BB195" s="98">
        <v>4.5</v>
      </c>
    </row>
    <row r="196" spans="1:54" ht="23.1" customHeight="1" x14ac:dyDescent="0.3">
      <c r="A196" s="100">
        <v>192</v>
      </c>
      <c r="B196" s="83" t="s">
        <v>420</v>
      </c>
      <c r="C196" s="84" t="s">
        <v>421</v>
      </c>
      <c r="D196" s="83" t="s">
        <v>450</v>
      </c>
      <c r="E196" s="83" t="s">
        <v>493</v>
      </c>
      <c r="F196" s="83" t="str">
        <f>REPT(CHAR(160),10)&amp;Working!$E196</f>
        <v>          C</v>
      </c>
      <c r="G196" s="74">
        <v>0</v>
      </c>
      <c r="H196" s="74">
        <v>0</v>
      </c>
      <c r="I196" s="74">
        <v>3</v>
      </c>
      <c r="J196" s="74">
        <v>0</v>
      </c>
      <c r="K196" s="85">
        <v>0</v>
      </c>
      <c r="L196" s="80">
        <v>3</v>
      </c>
      <c r="M196" s="74">
        <v>0</v>
      </c>
      <c r="N196" s="74">
        <v>3</v>
      </c>
      <c r="O196" s="74">
        <v>3</v>
      </c>
      <c r="P196" s="83">
        <v>0</v>
      </c>
      <c r="Q196" s="94">
        <v>3</v>
      </c>
      <c r="R196" s="43">
        <v>3</v>
      </c>
      <c r="S196" s="32">
        <v>0</v>
      </c>
      <c r="T196" s="16">
        <v>0</v>
      </c>
      <c r="U196" s="22">
        <v>0</v>
      </c>
      <c r="V196" s="16">
        <v>0</v>
      </c>
      <c r="W196" s="16">
        <v>0</v>
      </c>
      <c r="X196" s="42">
        <v>0</v>
      </c>
      <c r="Y196" s="16">
        <v>3</v>
      </c>
      <c r="Z196" s="16">
        <v>0</v>
      </c>
      <c r="AA196" s="16">
        <v>0</v>
      </c>
      <c r="AB196" s="16">
        <v>0</v>
      </c>
      <c r="AC196" s="16">
        <v>0</v>
      </c>
      <c r="AD196" s="42">
        <v>3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42">
        <v>0</v>
      </c>
      <c r="AK196" s="7">
        <v>3</v>
      </c>
      <c r="AL196" s="7">
        <v>3</v>
      </c>
      <c r="AM196" s="22">
        <v>0</v>
      </c>
      <c r="AN196" s="7">
        <v>4</v>
      </c>
      <c r="AO196" s="16">
        <v>0</v>
      </c>
      <c r="AP196" s="43">
        <v>3.3333333333333335</v>
      </c>
      <c r="AQ196" s="32">
        <v>3</v>
      </c>
      <c r="AR196" s="16">
        <v>0</v>
      </c>
      <c r="AS196" s="7">
        <v>0</v>
      </c>
      <c r="AT196" s="16">
        <v>0</v>
      </c>
      <c r="AU196" s="16">
        <v>0</v>
      </c>
      <c r="AV196" s="42">
        <v>3</v>
      </c>
      <c r="AW196" s="16">
        <v>0</v>
      </c>
      <c r="AX196" s="16">
        <v>0</v>
      </c>
      <c r="AY196" s="34">
        <v>0</v>
      </c>
      <c r="AZ196" s="32">
        <v>3</v>
      </c>
      <c r="BA196" s="70">
        <v>3</v>
      </c>
      <c r="BB196" s="98">
        <v>3</v>
      </c>
    </row>
    <row r="197" spans="1:54" ht="23.1" customHeight="1" x14ac:dyDescent="0.3">
      <c r="A197" s="99">
        <v>193</v>
      </c>
      <c r="B197" s="76" t="s">
        <v>422</v>
      </c>
      <c r="C197" s="77" t="s">
        <v>423</v>
      </c>
      <c r="D197" s="76" t="s">
        <v>450</v>
      </c>
      <c r="E197" s="76" t="s">
        <v>493</v>
      </c>
      <c r="F197" s="76" t="str">
        <f>REPT(CHAR(160),10)&amp;Working!$E197</f>
        <v>          C</v>
      </c>
      <c r="G197" s="78">
        <v>0</v>
      </c>
      <c r="H197" s="78">
        <v>0</v>
      </c>
      <c r="I197" s="78">
        <v>4</v>
      </c>
      <c r="J197" s="78">
        <v>0</v>
      </c>
      <c r="K197" s="79">
        <v>0</v>
      </c>
      <c r="L197" s="80">
        <v>4</v>
      </c>
      <c r="M197" s="78">
        <v>0</v>
      </c>
      <c r="N197" s="78">
        <v>5</v>
      </c>
      <c r="O197" s="78">
        <v>3</v>
      </c>
      <c r="P197" s="76">
        <v>0</v>
      </c>
      <c r="Q197" s="95">
        <v>3</v>
      </c>
      <c r="R197" s="43">
        <v>3.6666666666666665</v>
      </c>
      <c r="S197" s="32">
        <v>0</v>
      </c>
      <c r="T197" s="34">
        <v>0</v>
      </c>
      <c r="U197" s="69">
        <v>0</v>
      </c>
      <c r="V197" s="34">
        <v>0</v>
      </c>
      <c r="W197" s="34">
        <v>0</v>
      </c>
      <c r="X197" s="42">
        <v>0</v>
      </c>
      <c r="Y197" s="34">
        <v>3</v>
      </c>
      <c r="Z197" s="34">
        <v>0</v>
      </c>
      <c r="AA197" s="34">
        <v>0</v>
      </c>
      <c r="AB197" s="34">
        <v>0</v>
      </c>
      <c r="AC197" s="34">
        <v>0</v>
      </c>
      <c r="AD197" s="42">
        <v>3</v>
      </c>
      <c r="AE197" s="34">
        <v>0</v>
      </c>
      <c r="AF197" s="34">
        <v>0</v>
      </c>
      <c r="AG197" s="34">
        <v>0</v>
      </c>
      <c r="AH197" s="34">
        <v>0</v>
      </c>
      <c r="AI197" s="34">
        <v>0</v>
      </c>
      <c r="AJ197" s="42">
        <v>0</v>
      </c>
      <c r="AK197" s="62">
        <v>3</v>
      </c>
      <c r="AL197" s="62">
        <v>4</v>
      </c>
      <c r="AM197" s="69">
        <v>0</v>
      </c>
      <c r="AN197" s="62">
        <v>4</v>
      </c>
      <c r="AO197" s="34">
        <v>0</v>
      </c>
      <c r="AP197" s="43">
        <v>3.6666666666666665</v>
      </c>
      <c r="AQ197" s="32">
        <v>4</v>
      </c>
      <c r="AR197" s="34">
        <v>0</v>
      </c>
      <c r="AS197" s="62">
        <v>0</v>
      </c>
      <c r="AT197" s="34">
        <v>0</v>
      </c>
      <c r="AU197" s="34">
        <v>0</v>
      </c>
      <c r="AV197" s="42">
        <v>4</v>
      </c>
      <c r="AW197" s="34">
        <v>0</v>
      </c>
      <c r="AX197" s="34">
        <v>0</v>
      </c>
      <c r="AY197" s="34">
        <v>0</v>
      </c>
      <c r="AZ197" s="32">
        <v>4</v>
      </c>
      <c r="BA197" s="70">
        <v>5</v>
      </c>
      <c r="BB197" s="98">
        <v>4.5</v>
      </c>
    </row>
    <row r="198" spans="1:54" ht="23.1" customHeight="1" x14ac:dyDescent="0.3">
      <c r="A198" s="100">
        <v>194</v>
      </c>
      <c r="B198" s="83" t="s">
        <v>424</v>
      </c>
      <c r="C198" s="84" t="s">
        <v>425</v>
      </c>
      <c r="D198" s="83" t="s">
        <v>450</v>
      </c>
      <c r="E198" s="83" t="s">
        <v>493</v>
      </c>
      <c r="F198" s="83" t="str">
        <f>REPT(CHAR(160),10)&amp;Working!$E198</f>
        <v>          C</v>
      </c>
      <c r="G198" s="74">
        <v>0</v>
      </c>
      <c r="H198" s="74">
        <v>0</v>
      </c>
      <c r="I198" s="74">
        <v>4</v>
      </c>
      <c r="J198" s="74">
        <v>0</v>
      </c>
      <c r="K198" s="85">
        <v>0</v>
      </c>
      <c r="L198" s="80">
        <v>4</v>
      </c>
      <c r="M198" s="74">
        <v>0</v>
      </c>
      <c r="N198" s="74">
        <v>3</v>
      </c>
      <c r="O198" s="74">
        <v>3</v>
      </c>
      <c r="P198" s="83">
        <v>0</v>
      </c>
      <c r="Q198" s="94">
        <v>3</v>
      </c>
      <c r="R198" s="43">
        <v>3</v>
      </c>
      <c r="S198" s="32">
        <v>0</v>
      </c>
      <c r="T198" s="16">
        <v>0</v>
      </c>
      <c r="U198" s="22">
        <v>0</v>
      </c>
      <c r="V198" s="16">
        <v>0</v>
      </c>
      <c r="W198" s="16">
        <v>0</v>
      </c>
      <c r="X198" s="42">
        <v>0</v>
      </c>
      <c r="Y198" s="16">
        <v>4</v>
      </c>
      <c r="Z198" s="16">
        <v>0</v>
      </c>
      <c r="AA198" s="16">
        <v>0</v>
      </c>
      <c r="AB198" s="16">
        <v>0</v>
      </c>
      <c r="AC198" s="16">
        <v>0</v>
      </c>
      <c r="AD198" s="42">
        <v>4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42">
        <v>0</v>
      </c>
      <c r="AK198" s="7">
        <v>3</v>
      </c>
      <c r="AL198" s="7">
        <v>3</v>
      </c>
      <c r="AM198" s="22">
        <v>0</v>
      </c>
      <c r="AN198" s="7">
        <v>4</v>
      </c>
      <c r="AO198" s="16">
        <v>0</v>
      </c>
      <c r="AP198" s="43">
        <v>3.3333333333333335</v>
      </c>
      <c r="AQ198" s="32">
        <v>4</v>
      </c>
      <c r="AR198" s="16">
        <v>0</v>
      </c>
      <c r="AS198" s="7">
        <v>0</v>
      </c>
      <c r="AT198" s="16">
        <v>0</v>
      </c>
      <c r="AU198" s="16">
        <v>0</v>
      </c>
      <c r="AV198" s="42">
        <v>4</v>
      </c>
      <c r="AW198" s="16">
        <v>0</v>
      </c>
      <c r="AX198" s="16">
        <v>0</v>
      </c>
      <c r="AY198" s="34">
        <v>0</v>
      </c>
      <c r="AZ198" s="32">
        <v>2</v>
      </c>
      <c r="BA198" s="70">
        <v>4</v>
      </c>
      <c r="BB198" s="98">
        <v>3</v>
      </c>
    </row>
    <row r="199" spans="1:54" ht="23.1" customHeight="1" x14ac:dyDescent="0.3">
      <c r="A199" s="99">
        <v>195</v>
      </c>
      <c r="B199" s="76" t="s">
        <v>426</v>
      </c>
      <c r="C199" s="77" t="s">
        <v>427</v>
      </c>
      <c r="D199" s="76" t="s">
        <v>450</v>
      </c>
      <c r="E199" s="76" t="s">
        <v>289</v>
      </c>
      <c r="F199" s="76" t="str">
        <f>REPT(CHAR(160),10)&amp;Working!$E199</f>
        <v>          D</v>
      </c>
      <c r="G199" s="78">
        <v>0</v>
      </c>
      <c r="H199" s="78">
        <v>0</v>
      </c>
      <c r="I199" s="78">
        <v>3</v>
      </c>
      <c r="J199" s="78">
        <v>0</v>
      </c>
      <c r="K199" s="79">
        <v>0</v>
      </c>
      <c r="L199" s="80">
        <v>3</v>
      </c>
      <c r="M199" s="78">
        <v>0</v>
      </c>
      <c r="N199" s="78">
        <v>4</v>
      </c>
      <c r="O199" s="78">
        <v>3</v>
      </c>
      <c r="P199" s="76">
        <v>0</v>
      </c>
      <c r="Q199" s="95">
        <v>3</v>
      </c>
      <c r="R199" s="43">
        <v>3.3333333333333335</v>
      </c>
      <c r="S199" s="32">
        <v>0</v>
      </c>
      <c r="T199" s="34">
        <v>0</v>
      </c>
      <c r="U199" s="69">
        <v>0</v>
      </c>
      <c r="V199" s="34">
        <v>0</v>
      </c>
      <c r="W199" s="34">
        <v>0</v>
      </c>
      <c r="X199" s="42">
        <v>0</v>
      </c>
      <c r="Y199" s="34">
        <v>3</v>
      </c>
      <c r="Z199" s="34">
        <v>0</v>
      </c>
      <c r="AA199" s="34">
        <v>0</v>
      </c>
      <c r="AB199" s="34">
        <v>0</v>
      </c>
      <c r="AC199" s="34">
        <v>0</v>
      </c>
      <c r="AD199" s="42">
        <v>3</v>
      </c>
      <c r="AE199" s="34">
        <v>0</v>
      </c>
      <c r="AF199" s="34">
        <v>0</v>
      </c>
      <c r="AG199" s="34">
        <v>0</v>
      </c>
      <c r="AH199" s="34">
        <v>0</v>
      </c>
      <c r="AI199" s="34">
        <v>0</v>
      </c>
      <c r="AJ199" s="42">
        <v>0</v>
      </c>
      <c r="AK199" s="62">
        <v>3</v>
      </c>
      <c r="AL199" s="62">
        <v>3</v>
      </c>
      <c r="AM199" s="69">
        <v>0</v>
      </c>
      <c r="AN199" s="62">
        <v>4</v>
      </c>
      <c r="AO199" s="34">
        <v>0</v>
      </c>
      <c r="AP199" s="43">
        <v>3.3333333333333335</v>
      </c>
      <c r="AQ199" s="32">
        <v>3</v>
      </c>
      <c r="AR199" s="34">
        <v>0</v>
      </c>
      <c r="AS199" s="62">
        <v>0</v>
      </c>
      <c r="AT199" s="34">
        <v>0</v>
      </c>
      <c r="AU199" s="34">
        <v>0</v>
      </c>
      <c r="AV199" s="42">
        <v>3</v>
      </c>
      <c r="AW199" s="34">
        <v>0</v>
      </c>
      <c r="AX199" s="34">
        <v>0</v>
      </c>
      <c r="AY199" s="34">
        <v>0</v>
      </c>
      <c r="AZ199" s="32">
        <v>3</v>
      </c>
      <c r="BA199" s="70">
        <v>3</v>
      </c>
      <c r="BB199" s="98">
        <v>3</v>
      </c>
    </row>
    <row r="200" spans="1:54" ht="23.1" customHeight="1" x14ac:dyDescent="0.3">
      <c r="A200" s="100">
        <v>196</v>
      </c>
      <c r="B200" s="83" t="s">
        <v>428</v>
      </c>
      <c r="C200" s="84" t="s">
        <v>429</v>
      </c>
      <c r="D200" s="83" t="s">
        <v>450</v>
      </c>
      <c r="E200" s="83" t="s">
        <v>493</v>
      </c>
      <c r="F200" s="83" t="str">
        <f>REPT(CHAR(160),10)&amp;Working!$E200</f>
        <v>          C</v>
      </c>
      <c r="G200" s="74">
        <v>0</v>
      </c>
      <c r="H200" s="74">
        <v>0</v>
      </c>
      <c r="I200" s="74">
        <v>4</v>
      </c>
      <c r="J200" s="74">
        <v>0</v>
      </c>
      <c r="K200" s="85">
        <v>0</v>
      </c>
      <c r="L200" s="80">
        <v>4</v>
      </c>
      <c r="M200" s="74">
        <v>0</v>
      </c>
      <c r="N200" s="74">
        <v>5</v>
      </c>
      <c r="O200" s="74">
        <v>4</v>
      </c>
      <c r="P200" s="83">
        <v>0</v>
      </c>
      <c r="Q200" s="94">
        <v>4</v>
      </c>
      <c r="R200" s="43">
        <v>4.333333333333333</v>
      </c>
      <c r="S200" s="32">
        <v>0</v>
      </c>
      <c r="T200" s="16">
        <v>0</v>
      </c>
      <c r="U200" s="22">
        <v>0</v>
      </c>
      <c r="V200" s="16">
        <v>0</v>
      </c>
      <c r="W200" s="16">
        <v>0</v>
      </c>
      <c r="X200" s="42">
        <v>0</v>
      </c>
      <c r="Y200" s="16">
        <v>4</v>
      </c>
      <c r="Z200" s="16">
        <v>0</v>
      </c>
      <c r="AA200" s="16">
        <v>0</v>
      </c>
      <c r="AB200" s="16">
        <v>0</v>
      </c>
      <c r="AC200" s="16">
        <v>0</v>
      </c>
      <c r="AD200" s="42">
        <v>4</v>
      </c>
      <c r="AE200" s="16">
        <v>0</v>
      </c>
      <c r="AF200" s="16">
        <v>0</v>
      </c>
      <c r="AG200" s="16">
        <v>0</v>
      </c>
      <c r="AH200" s="16">
        <v>0</v>
      </c>
      <c r="AI200" s="16">
        <v>4</v>
      </c>
      <c r="AJ200" s="42">
        <v>0</v>
      </c>
      <c r="AK200" s="7">
        <v>4</v>
      </c>
      <c r="AL200" s="7">
        <v>4</v>
      </c>
      <c r="AM200" s="22">
        <v>0</v>
      </c>
      <c r="AN200" s="7">
        <v>5</v>
      </c>
      <c r="AO200" s="16">
        <v>0</v>
      </c>
      <c r="AP200" s="43">
        <v>4.333333333333333</v>
      </c>
      <c r="AQ200" s="32">
        <v>3</v>
      </c>
      <c r="AR200" s="16">
        <v>0</v>
      </c>
      <c r="AS200" s="7">
        <v>0</v>
      </c>
      <c r="AT200" s="16">
        <v>0</v>
      </c>
      <c r="AU200" s="16">
        <v>0</v>
      </c>
      <c r="AV200" s="42">
        <v>3</v>
      </c>
      <c r="AW200" s="16">
        <v>0</v>
      </c>
      <c r="AX200" s="16">
        <v>0</v>
      </c>
      <c r="AY200" s="34">
        <v>0</v>
      </c>
      <c r="AZ200" s="32">
        <v>4</v>
      </c>
      <c r="BA200" s="70">
        <v>5</v>
      </c>
      <c r="BB200" s="98">
        <v>4.5</v>
      </c>
    </row>
    <row r="201" spans="1:54" ht="23.1" customHeight="1" x14ac:dyDescent="0.3">
      <c r="A201" s="99">
        <v>197</v>
      </c>
      <c r="B201" s="76" t="s">
        <v>430</v>
      </c>
      <c r="C201" s="77" t="s">
        <v>431</v>
      </c>
      <c r="D201" s="76" t="s">
        <v>542</v>
      </c>
      <c r="E201" s="76" t="s">
        <v>493</v>
      </c>
      <c r="F201" s="76" t="str">
        <f>REPT(CHAR(160),10)&amp;Working!$E201</f>
        <v>          C</v>
      </c>
      <c r="G201" s="78">
        <v>0</v>
      </c>
      <c r="H201" s="78">
        <v>0</v>
      </c>
      <c r="I201" s="78">
        <v>3</v>
      </c>
      <c r="J201" s="78">
        <v>0</v>
      </c>
      <c r="K201" s="79">
        <v>0</v>
      </c>
      <c r="L201" s="80"/>
      <c r="M201" s="78">
        <v>0</v>
      </c>
      <c r="N201" s="78">
        <v>2</v>
      </c>
      <c r="O201" s="78">
        <v>3</v>
      </c>
      <c r="P201" s="76">
        <v>0</v>
      </c>
      <c r="Q201" s="95">
        <v>3</v>
      </c>
      <c r="R201" s="42"/>
      <c r="S201" s="32">
        <v>0</v>
      </c>
      <c r="T201" s="34">
        <v>0</v>
      </c>
      <c r="U201" s="69">
        <v>0</v>
      </c>
      <c r="V201" s="34">
        <v>0</v>
      </c>
      <c r="W201" s="34">
        <v>0</v>
      </c>
      <c r="X201" s="42">
        <v>0</v>
      </c>
      <c r="Y201" s="34">
        <v>4</v>
      </c>
      <c r="Z201" s="34">
        <v>0</v>
      </c>
      <c r="AA201" s="34">
        <v>0</v>
      </c>
      <c r="AB201" s="34">
        <v>0</v>
      </c>
      <c r="AC201" s="34">
        <v>0</v>
      </c>
      <c r="AD201" s="42"/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42"/>
      <c r="AK201" s="62">
        <v>2</v>
      </c>
      <c r="AL201" s="62">
        <v>2</v>
      </c>
      <c r="AM201" s="69">
        <v>0</v>
      </c>
      <c r="AN201" s="62">
        <v>3</v>
      </c>
      <c r="AO201" s="34">
        <v>0</v>
      </c>
      <c r="AP201" s="42"/>
      <c r="AQ201" s="32">
        <v>2</v>
      </c>
      <c r="AR201" s="34">
        <v>0</v>
      </c>
      <c r="AS201" s="62">
        <v>0</v>
      </c>
      <c r="AT201" s="34">
        <v>0</v>
      </c>
      <c r="AU201" s="34">
        <v>0</v>
      </c>
      <c r="AV201" s="42"/>
      <c r="AW201" s="34">
        <v>0</v>
      </c>
      <c r="AX201" s="34">
        <v>0</v>
      </c>
      <c r="AY201" s="34">
        <v>0</v>
      </c>
      <c r="AZ201" s="32">
        <v>3</v>
      </c>
      <c r="BA201" s="70">
        <v>3</v>
      </c>
      <c r="BB201" s="98"/>
    </row>
    <row r="202" spans="1:54" ht="23.1" customHeight="1" x14ac:dyDescent="0.3">
      <c r="A202" s="100">
        <v>198</v>
      </c>
      <c r="B202" s="83" t="s">
        <v>176</v>
      </c>
      <c r="C202" s="84" t="s">
        <v>177</v>
      </c>
      <c r="D202" s="83" t="s">
        <v>542</v>
      </c>
      <c r="E202" s="83" t="s">
        <v>161</v>
      </c>
      <c r="F202" s="83" t="str">
        <f>REPT(CHAR(160),10)&amp;Working!$E202</f>
        <v>          B</v>
      </c>
      <c r="G202" s="74">
        <v>0</v>
      </c>
      <c r="H202" s="74">
        <v>0</v>
      </c>
      <c r="I202" s="74" t="s">
        <v>35</v>
      </c>
      <c r="J202" s="74">
        <v>0</v>
      </c>
      <c r="K202" s="85">
        <v>0</v>
      </c>
      <c r="L202" s="80">
        <v>0</v>
      </c>
      <c r="M202" s="74">
        <v>0</v>
      </c>
      <c r="N202" s="74" t="s">
        <v>582</v>
      </c>
      <c r="O202" s="74" t="s">
        <v>582</v>
      </c>
      <c r="P202" s="83">
        <v>0</v>
      </c>
      <c r="Q202" s="94" t="s">
        <v>582</v>
      </c>
      <c r="R202" s="42">
        <v>0</v>
      </c>
      <c r="S202" s="32">
        <v>0</v>
      </c>
      <c r="T202" s="16">
        <v>0</v>
      </c>
      <c r="U202" s="22">
        <v>0</v>
      </c>
      <c r="V202" s="16">
        <v>0</v>
      </c>
      <c r="W202" s="16">
        <v>0</v>
      </c>
      <c r="X202" s="42">
        <v>0</v>
      </c>
      <c r="Y202" s="16" t="s">
        <v>582</v>
      </c>
      <c r="Z202" s="16">
        <v>0</v>
      </c>
      <c r="AA202" s="16">
        <v>0</v>
      </c>
      <c r="AB202" s="16">
        <v>0</v>
      </c>
      <c r="AC202" s="16">
        <v>0</v>
      </c>
      <c r="AD202" s="42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42">
        <v>0</v>
      </c>
      <c r="AK202" s="7" t="s">
        <v>582</v>
      </c>
      <c r="AL202" s="7" t="s">
        <v>582</v>
      </c>
      <c r="AM202" s="22">
        <v>0</v>
      </c>
      <c r="AN202" s="7" t="s">
        <v>582</v>
      </c>
      <c r="AO202" s="16">
        <v>0</v>
      </c>
      <c r="AP202" s="42">
        <v>0</v>
      </c>
      <c r="AQ202" s="32" t="s">
        <v>582</v>
      </c>
      <c r="AR202" s="16">
        <v>0</v>
      </c>
      <c r="AS202" s="7">
        <v>0</v>
      </c>
      <c r="AT202" s="16">
        <v>0</v>
      </c>
      <c r="AU202" s="16">
        <v>0</v>
      </c>
      <c r="AV202" s="42">
        <v>0</v>
      </c>
      <c r="AW202" s="16">
        <v>0</v>
      </c>
      <c r="AX202" s="16">
        <v>0</v>
      </c>
      <c r="AY202" s="34">
        <v>0</v>
      </c>
      <c r="AZ202" s="32" t="s">
        <v>582</v>
      </c>
      <c r="BA202" s="70" t="s">
        <v>582</v>
      </c>
      <c r="BB202" s="98">
        <v>0</v>
      </c>
    </row>
    <row r="203" spans="1:54" ht="23.1" customHeight="1" x14ac:dyDescent="0.3">
      <c r="A203" s="99">
        <v>199</v>
      </c>
      <c r="B203" s="76" t="s">
        <v>432</v>
      </c>
      <c r="C203" s="77" t="s">
        <v>433</v>
      </c>
      <c r="D203" s="76" t="s">
        <v>542</v>
      </c>
      <c r="E203" s="76" t="s">
        <v>289</v>
      </c>
      <c r="F203" s="76" t="str">
        <f>REPT(CHAR(160),10)&amp;Working!$E203</f>
        <v>          D</v>
      </c>
      <c r="G203" s="78">
        <v>0</v>
      </c>
      <c r="H203" s="78">
        <v>0</v>
      </c>
      <c r="I203" s="78">
        <v>3</v>
      </c>
      <c r="J203" s="78">
        <v>0</v>
      </c>
      <c r="K203" s="79">
        <v>0</v>
      </c>
      <c r="L203" s="80">
        <v>0.6</v>
      </c>
      <c r="M203" s="78">
        <v>0</v>
      </c>
      <c r="N203" s="78">
        <v>3</v>
      </c>
      <c r="O203" s="78">
        <v>3</v>
      </c>
      <c r="P203" s="81">
        <v>0</v>
      </c>
      <c r="Q203" s="82">
        <v>3</v>
      </c>
      <c r="R203" s="42">
        <v>1.8</v>
      </c>
      <c r="S203" s="32">
        <v>0</v>
      </c>
      <c r="T203" s="34">
        <v>0</v>
      </c>
      <c r="U203" s="65">
        <v>0</v>
      </c>
      <c r="V203" s="34">
        <v>0</v>
      </c>
      <c r="W203" s="34">
        <v>0</v>
      </c>
      <c r="X203" s="42">
        <v>0</v>
      </c>
      <c r="Y203" s="34">
        <v>3</v>
      </c>
      <c r="Z203" s="34">
        <v>0</v>
      </c>
      <c r="AA203" s="34">
        <v>0</v>
      </c>
      <c r="AB203" s="34">
        <v>0</v>
      </c>
      <c r="AC203" s="34">
        <v>0</v>
      </c>
      <c r="AD203" s="42">
        <v>0.6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42">
        <v>0</v>
      </c>
      <c r="AK203" s="33">
        <v>3</v>
      </c>
      <c r="AL203" s="33">
        <v>2</v>
      </c>
      <c r="AM203" s="65">
        <v>0</v>
      </c>
      <c r="AN203" s="33">
        <v>3</v>
      </c>
      <c r="AO203" s="34">
        <v>0</v>
      </c>
      <c r="AP203" s="42">
        <v>1.6</v>
      </c>
      <c r="AQ203" s="32">
        <v>3</v>
      </c>
      <c r="AR203" s="34">
        <v>0</v>
      </c>
      <c r="AS203" s="62">
        <v>0</v>
      </c>
      <c r="AT203" s="34">
        <v>0</v>
      </c>
      <c r="AU203" s="34">
        <v>0</v>
      </c>
      <c r="AV203" s="42">
        <v>0.6</v>
      </c>
      <c r="AW203" s="34">
        <v>0</v>
      </c>
      <c r="AX203" s="34">
        <v>0</v>
      </c>
      <c r="AY203" s="34">
        <v>0</v>
      </c>
      <c r="AZ203" s="32">
        <v>2</v>
      </c>
      <c r="BA203" s="70">
        <v>3</v>
      </c>
      <c r="BB203" s="98">
        <v>1</v>
      </c>
    </row>
    <row r="204" spans="1:54" ht="23.1" customHeight="1" x14ac:dyDescent="0.3">
      <c r="A204" s="100">
        <v>200</v>
      </c>
      <c r="B204" s="83" t="s">
        <v>434</v>
      </c>
      <c r="C204" s="84" t="s">
        <v>435</v>
      </c>
      <c r="D204" s="83" t="s">
        <v>450</v>
      </c>
      <c r="E204" s="83" t="s">
        <v>493</v>
      </c>
      <c r="F204" s="83" t="str">
        <f>REPT(CHAR(160),10)&amp;Working!$E204</f>
        <v>          C</v>
      </c>
      <c r="G204" s="74">
        <v>0</v>
      </c>
      <c r="H204" s="74">
        <v>0</v>
      </c>
      <c r="I204" s="74">
        <v>2</v>
      </c>
      <c r="J204" s="74">
        <v>0</v>
      </c>
      <c r="K204" s="85">
        <v>0</v>
      </c>
      <c r="L204" s="80">
        <v>0.4</v>
      </c>
      <c r="M204" s="74">
        <v>0</v>
      </c>
      <c r="N204" s="74">
        <v>3</v>
      </c>
      <c r="O204" s="74">
        <v>2</v>
      </c>
      <c r="P204" s="86">
        <v>0</v>
      </c>
      <c r="Q204" s="87">
        <v>2</v>
      </c>
      <c r="R204" s="42">
        <v>1.4</v>
      </c>
      <c r="S204" s="32">
        <v>0</v>
      </c>
      <c r="T204" s="16">
        <v>0</v>
      </c>
      <c r="U204" s="64">
        <v>0</v>
      </c>
      <c r="V204" s="16">
        <v>0</v>
      </c>
      <c r="W204" s="16">
        <v>0</v>
      </c>
      <c r="X204" s="42">
        <v>0</v>
      </c>
      <c r="Y204" s="16">
        <v>3</v>
      </c>
      <c r="Z204" s="16">
        <v>0</v>
      </c>
      <c r="AA204" s="16">
        <v>0</v>
      </c>
      <c r="AB204" s="16">
        <v>0</v>
      </c>
      <c r="AC204" s="16">
        <v>0</v>
      </c>
      <c r="AD204" s="42">
        <v>0.6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42">
        <v>0</v>
      </c>
      <c r="AK204" s="24">
        <v>3</v>
      </c>
      <c r="AL204" s="24">
        <v>3</v>
      </c>
      <c r="AM204" s="64">
        <v>0</v>
      </c>
      <c r="AN204" s="24">
        <v>3</v>
      </c>
      <c r="AO204" s="16">
        <v>0</v>
      </c>
      <c r="AP204" s="42">
        <v>1.8</v>
      </c>
      <c r="AQ204" s="32">
        <v>2</v>
      </c>
      <c r="AR204" s="16">
        <v>0</v>
      </c>
      <c r="AS204" s="7">
        <v>0</v>
      </c>
      <c r="AT204" s="16">
        <v>0</v>
      </c>
      <c r="AU204" s="16">
        <v>0</v>
      </c>
      <c r="AV204" s="42">
        <v>0.4</v>
      </c>
      <c r="AW204" s="16">
        <v>0</v>
      </c>
      <c r="AX204" s="16">
        <v>0</v>
      </c>
      <c r="AY204" s="34">
        <v>0</v>
      </c>
      <c r="AZ204" s="32">
        <v>3</v>
      </c>
      <c r="BA204" s="70">
        <v>3</v>
      </c>
      <c r="BB204" s="98">
        <v>1.2</v>
      </c>
    </row>
    <row r="205" spans="1:54" ht="23.1" customHeight="1" x14ac:dyDescent="0.3">
      <c r="A205" s="99">
        <v>201</v>
      </c>
      <c r="B205" s="76" t="s">
        <v>436</v>
      </c>
      <c r="C205" s="77" t="s">
        <v>437</v>
      </c>
      <c r="D205" s="76" t="s">
        <v>450</v>
      </c>
      <c r="E205" s="76" t="s">
        <v>493</v>
      </c>
      <c r="F205" s="76" t="str">
        <f>REPT(CHAR(160),10)&amp;Working!$E205</f>
        <v>          C</v>
      </c>
      <c r="G205" s="78">
        <v>0</v>
      </c>
      <c r="H205" s="78">
        <v>0</v>
      </c>
      <c r="I205" s="78">
        <v>3</v>
      </c>
      <c r="J205" s="78">
        <v>0</v>
      </c>
      <c r="K205" s="79">
        <v>0</v>
      </c>
      <c r="L205" s="80">
        <v>0.6</v>
      </c>
      <c r="M205" s="78">
        <v>0</v>
      </c>
      <c r="N205" s="78">
        <v>3</v>
      </c>
      <c r="O205" s="78">
        <v>3</v>
      </c>
      <c r="P205" s="81">
        <v>0</v>
      </c>
      <c r="Q205" s="82">
        <v>3</v>
      </c>
      <c r="R205" s="42">
        <v>1.8</v>
      </c>
      <c r="S205" s="32">
        <v>0</v>
      </c>
      <c r="T205" s="34">
        <v>0</v>
      </c>
      <c r="U205" s="65">
        <v>0</v>
      </c>
      <c r="V205" s="34">
        <v>0</v>
      </c>
      <c r="W205" s="34">
        <v>0</v>
      </c>
      <c r="X205" s="42">
        <v>0</v>
      </c>
      <c r="Y205" s="34">
        <v>2</v>
      </c>
      <c r="Z205" s="34">
        <v>0</v>
      </c>
      <c r="AA205" s="34">
        <v>0</v>
      </c>
      <c r="AB205" s="34">
        <v>0</v>
      </c>
      <c r="AC205" s="34">
        <v>0</v>
      </c>
      <c r="AD205" s="42">
        <v>0.4</v>
      </c>
      <c r="AE205" s="34">
        <v>0</v>
      </c>
      <c r="AF205" s="34">
        <v>0</v>
      </c>
      <c r="AG205" s="34">
        <v>0</v>
      </c>
      <c r="AH205" s="34">
        <v>0</v>
      </c>
      <c r="AI205" s="34">
        <v>0</v>
      </c>
      <c r="AJ205" s="42">
        <v>0</v>
      </c>
      <c r="AK205" s="33">
        <v>2</v>
      </c>
      <c r="AL205" s="33">
        <v>2</v>
      </c>
      <c r="AM205" s="65">
        <v>0</v>
      </c>
      <c r="AN205" s="33">
        <v>2</v>
      </c>
      <c r="AO205" s="34">
        <v>0</v>
      </c>
      <c r="AP205" s="42">
        <v>1.2</v>
      </c>
      <c r="AQ205" s="32">
        <v>3</v>
      </c>
      <c r="AR205" s="34">
        <v>0</v>
      </c>
      <c r="AS205" s="71">
        <v>0</v>
      </c>
      <c r="AT205" s="34">
        <v>0</v>
      </c>
      <c r="AU205" s="34">
        <v>0</v>
      </c>
      <c r="AV205" s="42">
        <v>0.6</v>
      </c>
      <c r="AW205" s="34">
        <v>0</v>
      </c>
      <c r="AX205" s="34">
        <v>0</v>
      </c>
      <c r="AY205" s="34">
        <v>0</v>
      </c>
      <c r="AZ205" s="32">
        <v>3</v>
      </c>
      <c r="BA205" s="70">
        <v>2</v>
      </c>
      <c r="BB205" s="98">
        <v>1</v>
      </c>
    </row>
    <row r="206" spans="1:54" ht="23.1" customHeight="1" x14ac:dyDescent="0.3">
      <c r="A206" s="100">
        <v>202</v>
      </c>
      <c r="B206" s="83" t="s">
        <v>438</v>
      </c>
      <c r="C206" s="84" t="s">
        <v>439</v>
      </c>
      <c r="D206" s="83" t="s">
        <v>450</v>
      </c>
      <c r="E206" s="83" t="s">
        <v>289</v>
      </c>
      <c r="F206" s="83" t="str">
        <f>REPT(CHAR(160),10)&amp;Working!$E206</f>
        <v>          D</v>
      </c>
      <c r="G206" s="74">
        <v>0</v>
      </c>
      <c r="H206" s="74">
        <v>0</v>
      </c>
      <c r="I206" s="74">
        <v>0</v>
      </c>
      <c r="J206" s="74">
        <v>0</v>
      </c>
      <c r="K206" s="85">
        <v>0</v>
      </c>
      <c r="L206" s="80">
        <v>0</v>
      </c>
      <c r="M206" s="74">
        <v>0</v>
      </c>
      <c r="N206" s="74">
        <v>0</v>
      </c>
      <c r="O206" s="74">
        <v>0</v>
      </c>
      <c r="P206" s="88">
        <v>0</v>
      </c>
      <c r="Q206" s="89">
        <v>0</v>
      </c>
      <c r="R206" s="42">
        <v>0</v>
      </c>
      <c r="S206" s="32">
        <v>0</v>
      </c>
      <c r="T206" s="16">
        <v>0</v>
      </c>
      <c r="U206" s="66">
        <v>0</v>
      </c>
      <c r="V206" s="16">
        <v>0</v>
      </c>
      <c r="W206" s="16">
        <v>0</v>
      </c>
      <c r="X206" s="42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42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42">
        <v>0</v>
      </c>
      <c r="AK206" s="29">
        <v>0</v>
      </c>
      <c r="AL206" s="29">
        <v>0</v>
      </c>
      <c r="AM206" s="66">
        <v>0</v>
      </c>
      <c r="AN206" s="29">
        <v>0</v>
      </c>
      <c r="AO206" s="16">
        <v>0</v>
      </c>
      <c r="AP206" s="42">
        <v>0</v>
      </c>
      <c r="AQ206" s="32">
        <v>0</v>
      </c>
      <c r="AR206" s="16">
        <v>0</v>
      </c>
      <c r="AS206" s="30">
        <v>0</v>
      </c>
      <c r="AT206" s="16">
        <v>0</v>
      </c>
      <c r="AU206" s="16">
        <v>0</v>
      </c>
      <c r="AV206" s="42">
        <v>0</v>
      </c>
      <c r="AW206" s="16">
        <v>0</v>
      </c>
      <c r="AX206" s="16">
        <v>0</v>
      </c>
      <c r="AY206" s="34">
        <v>0</v>
      </c>
      <c r="AZ206" s="32">
        <v>0</v>
      </c>
      <c r="BA206" s="70">
        <v>0</v>
      </c>
      <c r="BB206" s="98">
        <v>0</v>
      </c>
    </row>
    <row r="207" spans="1:54" ht="23.1" customHeight="1" x14ac:dyDescent="0.3">
      <c r="A207" s="99">
        <v>203</v>
      </c>
      <c r="B207" s="76" t="s">
        <v>440</v>
      </c>
      <c r="C207" s="77" t="s">
        <v>441</v>
      </c>
      <c r="D207" s="76" t="s">
        <v>450</v>
      </c>
      <c r="E207" s="76" t="s">
        <v>289</v>
      </c>
      <c r="F207" s="76" t="str">
        <f>REPT(CHAR(160),10)&amp;Working!$E207</f>
        <v>          D</v>
      </c>
      <c r="G207" s="78">
        <v>0</v>
      </c>
      <c r="H207" s="78">
        <v>0</v>
      </c>
      <c r="I207" s="78">
        <v>3</v>
      </c>
      <c r="J207" s="78">
        <v>0</v>
      </c>
      <c r="K207" s="79">
        <v>0</v>
      </c>
      <c r="L207" s="80">
        <v>0.6</v>
      </c>
      <c r="M207" s="78">
        <v>0</v>
      </c>
      <c r="N207" s="78">
        <v>3</v>
      </c>
      <c r="O207" s="78">
        <v>4</v>
      </c>
      <c r="P207" s="81">
        <v>0</v>
      </c>
      <c r="Q207" s="82">
        <v>4</v>
      </c>
      <c r="R207" s="42">
        <v>2.2000000000000002</v>
      </c>
      <c r="S207" s="32">
        <v>0</v>
      </c>
      <c r="T207" s="34">
        <v>0</v>
      </c>
      <c r="U207" s="65">
        <v>0</v>
      </c>
      <c r="V207" s="34">
        <v>0</v>
      </c>
      <c r="W207" s="34">
        <v>0</v>
      </c>
      <c r="X207" s="42">
        <v>0</v>
      </c>
      <c r="Y207" s="34">
        <v>4</v>
      </c>
      <c r="Z207" s="34">
        <v>0</v>
      </c>
      <c r="AA207" s="34">
        <v>0</v>
      </c>
      <c r="AB207" s="34">
        <v>0</v>
      </c>
      <c r="AC207" s="34">
        <v>0</v>
      </c>
      <c r="AD207" s="42">
        <v>0.8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42">
        <v>0</v>
      </c>
      <c r="AK207" s="33">
        <v>3</v>
      </c>
      <c r="AL207" s="33">
        <v>4</v>
      </c>
      <c r="AM207" s="65">
        <v>0</v>
      </c>
      <c r="AN207" s="33">
        <v>3</v>
      </c>
      <c r="AO207" s="34">
        <v>0</v>
      </c>
      <c r="AP207" s="42">
        <v>2</v>
      </c>
      <c r="AQ207" s="32">
        <v>3</v>
      </c>
      <c r="AR207" s="34">
        <v>0</v>
      </c>
      <c r="AS207" s="71">
        <v>0</v>
      </c>
      <c r="AT207" s="34">
        <v>0</v>
      </c>
      <c r="AU207" s="34">
        <v>0</v>
      </c>
      <c r="AV207" s="42">
        <v>0.6</v>
      </c>
      <c r="AW207" s="34">
        <v>0</v>
      </c>
      <c r="AX207" s="34">
        <v>0</v>
      </c>
      <c r="AY207" s="34">
        <v>0</v>
      </c>
      <c r="AZ207" s="32">
        <v>3</v>
      </c>
      <c r="BA207" s="70">
        <v>3</v>
      </c>
      <c r="BB207" s="98">
        <v>1.2</v>
      </c>
    </row>
    <row r="208" spans="1:54" ht="23.1" customHeight="1" x14ac:dyDescent="0.3">
      <c r="A208" s="100">
        <v>204</v>
      </c>
      <c r="B208" s="83" t="s">
        <v>442</v>
      </c>
      <c r="C208" s="84" t="s">
        <v>443</v>
      </c>
      <c r="D208" s="83" t="s">
        <v>450</v>
      </c>
      <c r="E208" s="83" t="s">
        <v>289</v>
      </c>
      <c r="F208" s="83" t="str">
        <f>REPT(CHAR(160),10)&amp;Working!$E208</f>
        <v>          D</v>
      </c>
      <c r="G208" s="74">
        <v>0</v>
      </c>
      <c r="H208" s="74">
        <v>0</v>
      </c>
      <c r="I208" s="74">
        <v>2</v>
      </c>
      <c r="J208" s="74">
        <v>0</v>
      </c>
      <c r="K208" s="85">
        <v>0</v>
      </c>
      <c r="L208" s="80">
        <v>0.4</v>
      </c>
      <c r="M208" s="74">
        <v>0</v>
      </c>
      <c r="N208" s="74">
        <v>2</v>
      </c>
      <c r="O208" s="74">
        <v>3</v>
      </c>
      <c r="P208" s="86">
        <v>0</v>
      </c>
      <c r="Q208" s="87">
        <v>3</v>
      </c>
      <c r="R208" s="42">
        <v>1.6</v>
      </c>
      <c r="S208" s="32">
        <v>0</v>
      </c>
      <c r="T208" s="16">
        <v>0</v>
      </c>
      <c r="U208" s="64">
        <v>0</v>
      </c>
      <c r="V208" s="16">
        <v>0</v>
      </c>
      <c r="W208" s="16">
        <v>0</v>
      </c>
      <c r="X208" s="42">
        <v>0</v>
      </c>
      <c r="Y208" s="16">
        <v>2</v>
      </c>
      <c r="Z208" s="16">
        <v>0</v>
      </c>
      <c r="AA208" s="16">
        <v>0</v>
      </c>
      <c r="AB208" s="16">
        <v>0</v>
      </c>
      <c r="AC208" s="16">
        <v>0</v>
      </c>
      <c r="AD208" s="42">
        <v>0.4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42">
        <v>0</v>
      </c>
      <c r="AK208" s="24">
        <v>2</v>
      </c>
      <c r="AL208" s="24">
        <v>3</v>
      </c>
      <c r="AM208" s="64">
        <v>0</v>
      </c>
      <c r="AN208" s="24">
        <v>3</v>
      </c>
      <c r="AO208" s="16">
        <v>0</v>
      </c>
      <c r="AP208" s="42">
        <v>1.6</v>
      </c>
      <c r="AQ208" s="32">
        <v>3</v>
      </c>
      <c r="AR208" s="16">
        <v>0</v>
      </c>
      <c r="AS208" s="31">
        <v>0</v>
      </c>
      <c r="AT208" s="16">
        <v>0</v>
      </c>
      <c r="AU208" s="16">
        <v>0</v>
      </c>
      <c r="AV208" s="42">
        <v>0.6</v>
      </c>
      <c r="AW208" s="16">
        <v>0</v>
      </c>
      <c r="AX208" s="16">
        <v>0</v>
      </c>
      <c r="AY208" s="34">
        <v>0</v>
      </c>
      <c r="AZ208" s="32">
        <v>3</v>
      </c>
      <c r="BA208" s="70">
        <v>3</v>
      </c>
      <c r="BB208" s="98">
        <v>1.2</v>
      </c>
    </row>
    <row r="209" spans="1:54" ht="23.1" customHeight="1" x14ac:dyDescent="0.3">
      <c r="A209" s="99">
        <v>205</v>
      </c>
      <c r="B209" s="76" t="s">
        <v>444</v>
      </c>
      <c r="C209" s="77" t="s">
        <v>445</v>
      </c>
      <c r="D209" s="76" t="s">
        <v>450</v>
      </c>
      <c r="E209" s="76" t="s">
        <v>289</v>
      </c>
      <c r="F209" s="76" t="str">
        <f>REPT(CHAR(160),10)&amp;Working!$E209</f>
        <v>          D</v>
      </c>
      <c r="G209" s="78">
        <v>0</v>
      </c>
      <c r="H209" s="78">
        <v>0</v>
      </c>
      <c r="I209" s="78">
        <v>2</v>
      </c>
      <c r="J209" s="78">
        <v>0</v>
      </c>
      <c r="K209" s="79">
        <v>0</v>
      </c>
      <c r="L209" s="80">
        <v>0.4</v>
      </c>
      <c r="M209" s="78">
        <v>0</v>
      </c>
      <c r="N209" s="78">
        <v>3</v>
      </c>
      <c r="O209" s="78">
        <v>3</v>
      </c>
      <c r="P209" s="81">
        <v>0</v>
      </c>
      <c r="Q209" s="82">
        <v>3</v>
      </c>
      <c r="R209" s="42">
        <v>1.8</v>
      </c>
      <c r="S209" s="32">
        <v>0</v>
      </c>
      <c r="T209" s="34">
        <v>0</v>
      </c>
      <c r="U209" s="65">
        <v>0</v>
      </c>
      <c r="V209" s="34">
        <v>0</v>
      </c>
      <c r="W209" s="34">
        <v>0</v>
      </c>
      <c r="X209" s="42">
        <v>0</v>
      </c>
      <c r="Y209" s="34">
        <v>2</v>
      </c>
      <c r="Z209" s="34">
        <v>0</v>
      </c>
      <c r="AA209" s="34">
        <v>0</v>
      </c>
      <c r="AB209" s="34">
        <v>0</v>
      </c>
      <c r="AC209" s="34">
        <v>0</v>
      </c>
      <c r="AD209" s="42">
        <v>0.4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42">
        <v>0</v>
      </c>
      <c r="AK209" s="33">
        <v>2</v>
      </c>
      <c r="AL209" s="33">
        <v>2</v>
      </c>
      <c r="AM209" s="65">
        <v>0</v>
      </c>
      <c r="AN209" s="33">
        <v>2</v>
      </c>
      <c r="AO209" s="34">
        <v>0</v>
      </c>
      <c r="AP209" s="42">
        <v>1.2</v>
      </c>
      <c r="AQ209" s="32">
        <v>2</v>
      </c>
      <c r="AR209" s="34">
        <v>0</v>
      </c>
      <c r="AS209" s="71">
        <v>0</v>
      </c>
      <c r="AT209" s="34">
        <v>0</v>
      </c>
      <c r="AU209" s="34">
        <v>0</v>
      </c>
      <c r="AV209" s="42">
        <v>0.4</v>
      </c>
      <c r="AW209" s="34">
        <v>0</v>
      </c>
      <c r="AX209" s="34">
        <v>0</v>
      </c>
      <c r="AY209" s="34">
        <v>0</v>
      </c>
      <c r="AZ209" s="32">
        <v>3</v>
      </c>
      <c r="BA209" s="70">
        <v>2</v>
      </c>
      <c r="BB209" s="98">
        <v>1</v>
      </c>
    </row>
    <row r="210" spans="1:54" ht="23.1" customHeight="1" x14ac:dyDescent="0.3">
      <c r="A210" s="100">
        <v>206</v>
      </c>
      <c r="B210" s="83" t="s">
        <v>446</v>
      </c>
      <c r="C210" s="84" t="s">
        <v>447</v>
      </c>
      <c r="D210" s="83" t="s">
        <v>450</v>
      </c>
      <c r="E210" s="83" t="s">
        <v>289</v>
      </c>
      <c r="F210" s="83" t="str">
        <f>REPT(CHAR(160),10)&amp;Working!$E210</f>
        <v>          D</v>
      </c>
      <c r="G210" s="74">
        <v>0</v>
      </c>
      <c r="H210" s="74">
        <v>0</v>
      </c>
      <c r="I210" s="74">
        <v>2</v>
      </c>
      <c r="J210" s="74">
        <v>0</v>
      </c>
      <c r="K210" s="85">
        <v>0</v>
      </c>
      <c r="L210" s="80">
        <v>0.4</v>
      </c>
      <c r="M210" s="74">
        <v>0</v>
      </c>
      <c r="N210" s="74">
        <v>3</v>
      </c>
      <c r="O210" s="74">
        <v>3</v>
      </c>
      <c r="P210" s="86">
        <v>0</v>
      </c>
      <c r="Q210" s="87">
        <v>3</v>
      </c>
      <c r="R210" s="42">
        <v>1.8</v>
      </c>
      <c r="S210" s="32">
        <v>0</v>
      </c>
      <c r="T210" s="16">
        <v>0</v>
      </c>
      <c r="U210" s="64">
        <v>0</v>
      </c>
      <c r="V210" s="16">
        <v>0</v>
      </c>
      <c r="W210" s="16">
        <v>0</v>
      </c>
      <c r="X210" s="42">
        <v>0</v>
      </c>
      <c r="Y210" s="16">
        <v>2</v>
      </c>
      <c r="Z210" s="16">
        <v>0</v>
      </c>
      <c r="AA210" s="16">
        <v>0</v>
      </c>
      <c r="AB210" s="16">
        <v>0</v>
      </c>
      <c r="AC210" s="16">
        <v>0</v>
      </c>
      <c r="AD210" s="42">
        <v>0.4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42">
        <v>0</v>
      </c>
      <c r="AK210" s="24">
        <v>2</v>
      </c>
      <c r="AL210" s="24">
        <v>2</v>
      </c>
      <c r="AM210" s="64">
        <v>0</v>
      </c>
      <c r="AN210" s="24">
        <v>3</v>
      </c>
      <c r="AO210" s="16">
        <v>0</v>
      </c>
      <c r="AP210" s="42">
        <v>1.4</v>
      </c>
      <c r="AQ210" s="32">
        <v>2</v>
      </c>
      <c r="AR210" s="16">
        <v>0</v>
      </c>
      <c r="AS210" s="30">
        <v>0</v>
      </c>
      <c r="AT210" s="16">
        <v>0</v>
      </c>
      <c r="AU210" s="16">
        <v>0</v>
      </c>
      <c r="AV210" s="42">
        <v>0.4</v>
      </c>
      <c r="AW210" s="16">
        <v>0</v>
      </c>
      <c r="AX210" s="16">
        <v>0</v>
      </c>
      <c r="AY210" s="34">
        <v>0</v>
      </c>
      <c r="AZ210" s="32">
        <v>2</v>
      </c>
      <c r="BA210" s="70">
        <v>3</v>
      </c>
      <c r="BB210" s="98">
        <v>1</v>
      </c>
    </row>
    <row r="211" spans="1:54" ht="23.1" customHeight="1" x14ac:dyDescent="0.3">
      <c r="A211" s="99">
        <v>207</v>
      </c>
      <c r="B211" s="76" t="s">
        <v>448</v>
      </c>
      <c r="C211" s="77" t="s">
        <v>449</v>
      </c>
      <c r="D211" s="76" t="s">
        <v>450</v>
      </c>
      <c r="E211" s="76" t="s">
        <v>289</v>
      </c>
      <c r="F211" s="76" t="str">
        <f>REPT(CHAR(160),10)&amp;Working!$E211</f>
        <v>          D</v>
      </c>
      <c r="G211" s="78">
        <v>0</v>
      </c>
      <c r="H211" s="78">
        <v>0</v>
      </c>
      <c r="I211" s="78">
        <v>2</v>
      </c>
      <c r="J211" s="78">
        <v>0</v>
      </c>
      <c r="K211" s="79">
        <v>0</v>
      </c>
      <c r="L211" s="80">
        <v>0.4</v>
      </c>
      <c r="M211" s="78">
        <v>0</v>
      </c>
      <c r="N211" s="78">
        <v>2</v>
      </c>
      <c r="O211" s="78">
        <v>3</v>
      </c>
      <c r="P211" s="81">
        <v>0</v>
      </c>
      <c r="Q211" s="82">
        <v>3</v>
      </c>
      <c r="R211" s="42">
        <v>1.6</v>
      </c>
      <c r="S211" s="32">
        <v>0</v>
      </c>
      <c r="T211" s="34">
        <v>0</v>
      </c>
      <c r="U211" s="65">
        <v>0</v>
      </c>
      <c r="V211" s="34">
        <v>0</v>
      </c>
      <c r="W211" s="34">
        <v>0</v>
      </c>
      <c r="X211" s="42">
        <v>0</v>
      </c>
      <c r="Y211" s="34">
        <v>2</v>
      </c>
      <c r="Z211" s="34">
        <v>0</v>
      </c>
      <c r="AA211" s="34">
        <v>0</v>
      </c>
      <c r="AB211" s="34">
        <v>0</v>
      </c>
      <c r="AC211" s="34">
        <v>0</v>
      </c>
      <c r="AD211" s="42">
        <v>0.4</v>
      </c>
      <c r="AE211" s="34">
        <v>0</v>
      </c>
      <c r="AF211" s="34">
        <v>0</v>
      </c>
      <c r="AG211" s="34">
        <v>0</v>
      </c>
      <c r="AH211" s="34">
        <v>0</v>
      </c>
      <c r="AI211" s="34">
        <v>0</v>
      </c>
      <c r="AJ211" s="42">
        <v>0</v>
      </c>
      <c r="AK211" s="33">
        <v>2</v>
      </c>
      <c r="AL211" s="33">
        <v>3</v>
      </c>
      <c r="AM211" s="65">
        <v>0</v>
      </c>
      <c r="AN211" s="33">
        <v>3</v>
      </c>
      <c r="AO211" s="34">
        <v>0</v>
      </c>
      <c r="AP211" s="42">
        <v>1.6</v>
      </c>
      <c r="AQ211" s="32">
        <v>3</v>
      </c>
      <c r="AR211" s="34">
        <v>0</v>
      </c>
      <c r="AS211" s="71">
        <v>0</v>
      </c>
      <c r="AT211" s="34">
        <v>0</v>
      </c>
      <c r="AU211" s="34">
        <v>0</v>
      </c>
      <c r="AV211" s="42">
        <v>0.6</v>
      </c>
      <c r="AW211" s="34">
        <v>0</v>
      </c>
      <c r="AX211" s="34">
        <v>0</v>
      </c>
      <c r="AY211" s="34">
        <v>0</v>
      </c>
      <c r="AZ211" s="32">
        <v>3</v>
      </c>
      <c r="BA211" s="70">
        <v>3</v>
      </c>
      <c r="BB211" s="98">
        <v>1.2</v>
      </c>
    </row>
    <row r="212" spans="1:54" ht="23.1" customHeight="1" x14ac:dyDescent="0.3">
      <c r="A212" s="100">
        <v>208</v>
      </c>
      <c r="B212" s="83" t="s">
        <v>74</v>
      </c>
      <c r="C212" s="84" t="s">
        <v>494</v>
      </c>
      <c r="D212" s="83" t="s">
        <v>450</v>
      </c>
      <c r="E212" s="83" t="s">
        <v>289</v>
      </c>
      <c r="F212" s="83" t="str">
        <f>REPT(CHAR(160),10)&amp;Working!$E212</f>
        <v>          D</v>
      </c>
      <c r="G212" s="74">
        <v>0</v>
      </c>
      <c r="H212" s="74">
        <v>0</v>
      </c>
      <c r="I212" s="74">
        <v>3</v>
      </c>
      <c r="J212" s="74">
        <v>0</v>
      </c>
      <c r="K212" s="85">
        <v>0</v>
      </c>
      <c r="L212" s="80">
        <v>0.6</v>
      </c>
      <c r="M212" s="74">
        <v>0</v>
      </c>
      <c r="N212" s="74">
        <v>4</v>
      </c>
      <c r="O212" s="74">
        <v>3</v>
      </c>
      <c r="P212" s="86">
        <v>0</v>
      </c>
      <c r="Q212" s="87">
        <v>3</v>
      </c>
      <c r="R212" s="42">
        <v>2</v>
      </c>
      <c r="S212" s="32">
        <v>0</v>
      </c>
      <c r="T212" s="16">
        <v>0</v>
      </c>
      <c r="U212" s="64">
        <v>0</v>
      </c>
      <c r="V212" s="16">
        <v>0</v>
      </c>
      <c r="W212" s="16">
        <v>0</v>
      </c>
      <c r="X212" s="42">
        <v>0</v>
      </c>
      <c r="Y212" s="16">
        <v>4</v>
      </c>
      <c r="Z212" s="16">
        <v>0</v>
      </c>
      <c r="AA212" s="16">
        <v>0</v>
      </c>
      <c r="AB212" s="16">
        <v>0</v>
      </c>
      <c r="AC212" s="16">
        <v>0</v>
      </c>
      <c r="AD212" s="42">
        <v>0.8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42">
        <v>0</v>
      </c>
      <c r="AK212" s="24">
        <v>2</v>
      </c>
      <c r="AL212" s="24">
        <v>3</v>
      </c>
      <c r="AM212" s="64">
        <v>0</v>
      </c>
      <c r="AN212" s="24">
        <v>3</v>
      </c>
      <c r="AO212" s="16">
        <v>0</v>
      </c>
      <c r="AP212" s="42">
        <v>1.6</v>
      </c>
      <c r="AQ212" s="32">
        <v>3</v>
      </c>
      <c r="AR212" s="16">
        <v>0</v>
      </c>
      <c r="AS212" s="30">
        <v>0</v>
      </c>
      <c r="AT212" s="16">
        <v>0</v>
      </c>
      <c r="AU212" s="16">
        <v>0</v>
      </c>
      <c r="AV212" s="42">
        <v>0.6</v>
      </c>
      <c r="AW212" s="16">
        <v>0</v>
      </c>
      <c r="AX212" s="16">
        <v>0</v>
      </c>
      <c r="AY212" s="34">
        <v>0</v>
      </c>
      <c r="AZ212" s="32">
        <v>3</v>
      </c>
      <c r="BA212" s="70">
        <v>3</v>
      </c>
      <c r="BB212" s="98">
        <v>1.2</v>
      </c>
    </row>
    <row r="213" spans="1:54" ht="23.1" customHeight="1" x14ac:dyDescent="0.3">
      <c r="A213" s="99">
        <v>209</v>
      </c>
      <c r="B213" s="76" t="s">
        <v>451</v>
      </c>
      <c r="C213" s="77" t="s">
        <v>452</v>
      </c>
      <c r="D213" s="76" t="s">
        <v>450</v>
      </c>
      <c r="E213" s="76" t="s">
        <v>289</v>
      </c>
      <c r="F213" s="76" t="str">
        <f>REPT(CHAR(160),10)&amp;Working!$E213</f>
        <v>          D</v>
      </c>
      <c r="G213" s="78">
        <v>0</v>
      </c>
      <c r="H213" s="78">
        <v>0</v>
      </c>
      <c r="I213" s="78">
        <v>2</v>
      </c>
      <c r="J213" s="78">
        <v>0</v>
      </c>
      <c r="K213" s="79">
        <v>0</v>
      </c>
      <c r="L213" s="80">
        <v>0.4</v>
      </c>
      <c r="M213" s="78">
        <v>0</v>
      </c>
      <c r="N213" s="78">
        <v>2</v>
      </c>
      <c r="O213" s="78">
        <v>2</v>
      </c>
      <c r="P213" s="81">
        <v>0</v>
      </c>
      <c r="Q213" s="82">
        <v>2</v>
      </c>
      <c r="R213" s="42">
        <v>1.2</v>
      </c>
      <c r="S213" s="32">
        <v>0</v>
      </c>
      <c r="T213" s="34">
        <v>0</v>
      </c>
      <c r="U213" s="65">
        <v>0</v>
      </c>
      <c r="V213" s="34">
        <v>0</v>
      </c>
      <c r="W213" s="34">
        <v>0</v>
      </c>
      <c r="X213" s="42">
        <v>0</v>
      </c>
      <c r="Y213" s="34">
        <v>2</v>
      </c>
      <c r="Z213" s="34">
        <v>0</v>
      </c>
      <c r="AA213" s="34">
        <v>0</v>
      </c>
      <c r="AB213" s="34">
        <v>0</v>
      </c>
      <c r="AC213" s="34">
        <v>0</v>
      </c>
      <c r="AD213" s="42">
        <v>0.4</v>
      </c>
      <c r="AE213" s="34">
        <v>0</v>
      </c>
      <c r="AF213" s="34">
        <v>0</v>
      </c>
      <c r="AG213" s="34">
        <v>0</v>
      </c>
      <c r="AH213" s="34">
        <v>0</v>
      </c>
      <c r="AI213" s="34">
        <v>0</v>
      </c>
      <c r="AJ213" s="42">
        <v>0</v>
      </c>
      <c r="AK213" s="33">
        <v>2</v>
      </c>
      <c r="AL213" s="33">
        <v>2</v>
      </c>
      <c r="AM213" s="65">
        <v>0</v>
      </c>
      <c r="AN213" s="33">
        <v>3</v>
      </c>
      <c r="AO213" s="34">
        <v>0</v>
      </c>
      <c r="AP213" s="42">
        <v>1.4</v>
      </c>
      <c r="AQ213" s="32">
        <v>2</v>
      </c>
      <c r="AR213" s="34">
        <v>0</v>
      </c>
      <c r="AS213" s="71">
        <v>0</v>
      </c>
      <c r="AT213" s="34">
        <v>0</v>
      </c>
      <c r="AU213" s="34">
        <v>0</v>
      </c>
      <c r="AV213" s="42">
        <v>0.4</v>
      </c>
      <c r="AW213" s="34">
        <v>0</v>
      </c>
      <c r="AX213" s="34">
        <v>0</v>
      </c>
      <c r="AY213" s="34">
        <v>0</v>
      </c>
      <c r="AZ213" s="32">
        <v>3</v>
      </c>
      <c r="BA213" s="70">
        <v>3</v>
      </c>
      <c r="BB213" s="98">
        <v>1.2</v>
      </c>
    </row>
    <row r="214" spans="1:54" ht="23.1" customHeight="1" x14ac:dyDescent="0.3">
      <c r="A214" s="100">
        <v>210</v>
      </c>
      <c r="B214" s="83" t="s">
        <v>453</v>
      </c>
      <c r="C214" s="84" t="s">
        <v>454</v>
      </c>
      <c r="D214" s="83" t="s">
        <v>450</v>
      </c>
      <c r="E214" s="83" t="s">
        <v>289</v>
      </c>
      <c r="F214" s="83" t="str">
        <f>REPT(CHAR(160),10)&amp;Working!$E214</f>
        <v>          D</v>
      </c>
      <c r="G214" s="74">
        <v>0</v>
      </c>
      <c r="H214" s="74">
        <v>0</v>
      </c>
      <c r="I214" s="74">
        <v>2</v>
      </c>
      <c r="J214" s="74">
        <v>0</v>
      </c>
      <c r="K214" s="85">
        <v>0</v>
      </c>
      <c r="L214" s="80">
        <v>0.4</v>
      </c>
      <c r="M214" s="74">
        <v>0</v>
      </c>
      <c r="N214" s="74">
        <v>2</v>
      </c>
      <c r="O214" s="74">
        <v>2</v>
      </c>
      <c r="P214" s="86">
        <v>0</v>
      </c>
      <c r="Q214" s="87">
        <v>2</v>
      </c>
      <c r="R214" s="42">
        <v>1.2</v>
      </c>
      <c r="S214" s="32">
        <v>0</v>
      </c>
      <c r="T214" s="16">
        <v>0</v>
      </c>
      <c r="U214" s="64">
        <v>0</v>
      </c>
      <c r="V214" s="16">
        <v>0</v>
      </c>
      <c r="W214" s="16">
        <v>0</v>
      </c>
      <c r="X214" s="42">
        <v>0</v>
      </c>
      <c r="Y214" s="16">
        <v>3</v>
      </c>
      <c r="Z214" s="16">
        <v>0</v>
      </c>
      <c r="AA214" s="16">
        <v>0</v>
      </c>
      <c r="AB214" s="16">
        <v>0</v>
      </c>
      <c r="AC214" s="16">
        <v>0</v>
      </c>
      <c r="AD214" s="42">
        <v>0.6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42">
        <v>0</v>
      </c>
      <c r="AK214" s="24">
        <v>3</v>
      </c>
      <c r="AL214" s="24">
        <v>3</v>
      </c>
      <c r="AM214" s="64">
        <v>0</v>
      </c>
      <c r="AN214" s="24">
        <v>3</v>
      </c>
      <c r="AO214" s="16">
        <v>0</v>
      </c>
      <c r="AP214" s="42">
        <v>1.8</v>
      </c>
      <c r="AQ214" s="32">
        <v>2</v>
      </c>
      <c r="AR214" s="16">
        <v>0</v>
      </c>
      <c r="AS214" s="30">
        <v>0</v>
      </c>
      <c r="AT214" s="16">
        <v>0</v>
      </c>
      <c r="AU214" s="16">
        <v>0</v>
      </c>
      <c r="AV214" s="42">
        <v>0.4</v>
      </c>
      <c r="AW214" s="16">
        <v>0</v>
      </c>
      <c r="AX214" s="16">
        <v>0</v>
      </c>
      <c r="AY214" s="34">
        <v>0</v>
      </c>
      <c r="AZ214" s="32">
        <v>3</v>
      </c>
      <c r="BA214" s="70">
        <v>2</v>
      </c>
      <c r="BB214" s="98">
        <v>1</v>
      </c>
    </row>
    <row r="215" spans="1:54" ht="23.1" customHeight="1" x14ac:dyDescent="0.3">
      <c r="A215" s="99">
        <v>211</v>
      </c>
      <c r="B215" s="76" t="s">
        <v>455</v>
      </c>
      <c r="C215" s="77" t="s">
        <v>456</v>
      </c>
      <c r="D215" s="76" t="s">
        <v>542</v>
      </c>
      <c r="E215" s="76" t="s">
        <v>289</v>
      </c>
      <c r="F215" s="76" t="str">
        <f>REPT(CHAR(160),10)&amp;Working!$E215</f>
        <v>          D</v>
      </c>
      <c r="G215" s="78">
        <v>0</v>
      </c>
      <c r="H215" s="78">
        <v>0</v>
      </c>
      <c r="I215" s="78">
        <v>3</v>
      </c>
      <c r="J215" s="78">
        <v>0</v>
      </c>
      <c r="K215" s="79">
        <v>0</v>
      </c>
      <c r="L215" s="80">
        <v>0.6</v>
      </c>
      <c r="M215" s="78">
        <v>0</v>
      </c>
      <c r="N215" s="78">
        <v>4</v>
      </c>
      <c r="O215" s="78">
        <v>3</v>
      </c>
      <c r="P215" s="81">
        <v>0</v>
      </c>
      <c r="Q215" s="82">
        <v>3</v>
      </c>
      <c r="R215" s="42">
        <v>2</v>
      </c>
      <c r="S215" s="32">
        <v>0</v>
      </c>
      <c r="T215" s="34">
        <v>0</v>
      </c>
      <c r="U215" s="65">
        <v>0</v>
      </c>
      <c r="V215" s="34">
        <v>0</v>
      </c>
      <c r="W215" s="34">
        <v>0</v>
      </c>
      <c r="X215" s="42">
        <v>0</v>
      </c>
      <c r="Y215" s="34">
        <v>3</v>
      </c>
      <c r="Z215" s="34">
        <v>0</v>
      </c>
      <c r="AA215" s="34">
        <v>0</v>
      </c>
      <c r="AB215" s="34">
        <v>0</v>
      </c>
      <c r="AC215" s="34">
        <v>0</v>
      </c>
      <c r="AD215" s="42">
        <v>0.6</v>
      </c>
      <c r="AE215" s="34">
        <v>0</v>
      </c>
      <c r="AF215" s="34">
        <v>0</v>
      </c>
      <c r="AG215" s="34">
        <v>0</v>
      </c>
      <c r="AH215" s="34">
        <v>0</v>
      </c>
      <c r="AI215" s="34">
        <v>0</v>
      </c>
      <c r="AJ215" s="42">
        <v>0</v>
      </c>
      <c r="AK215" s="33">
        <v>3</v>
      </c>
      <c r="AL215" s="33">
        <v>3</v>
      </c>
      <c r="AM215" s="65">
        <v>0</v>
      </c>
      <c r="AN215" s="33">
        <v>4</v>
      </c>
      <c r="AO215" s="34">
        <v>0</v>
      </c>
      <c r="AP215" s="42">
        <v>2</v>
      </c>
      <c r="AQ215" s="32">
        <v>3</v>
      </c>
      <c r="AR215" s="34">
        <v>0</v>
      </c>
      <c r="AS215" s="71">
        <v>0</v>
      </c>
      <c r="AT215" s="34">
        <v>0</v>
      </c>
      <c r="AU215" s="34">
        <v>0</v>
      </c>
      <c r="AV215" s="42">
        <v>0.6</v>
      </c>
      <c r="AW215" s="34">
        <v>0</v>
      </c>
      <c r="AX215" s="34">
        <v>0</v>
      </c>
      <c r="AY215" s="34">
        <v>0</v>
      </c>
      <c r="AZ215" s="32">
        <v>3</v>
      </c>
      <c r="BA215" s="70">
        <v>3</v>
      </c>
      <c r="BB215" s="98">
        <v>1.2</v>
      </c>
    </row>
    <row r="216" spans="1:54" ht="23.1" customHeight="1" x14ac:dyDescent="0.3">
      <c r="A216" s="100">
        <v>212</v>
      </c>
      <c r="B216" s="83" t="s">
        <v>457</v>
      </c>
      <c r="C216" s="84" t="s">
        <v>458</v>
      </c>
      <c r="D216" s="83" t="s">
        <v>542</v>
      </c>
      <c r="E216" s="83" t="s">
        <v>289</v>
      </c>
      <c r="F216" s="83" t="str">
        <f>REPT(CHAR(160),10)&amp;Working!$E216</f>
        <v>          D</v>
      </c>
      <c r="G216" s="74">
        <v>0</v>
      </c>
      <c r="H216" s="74">
        <v>0</v>
      </c>
      <c r="I216" s="74">
        <v>4</v>
      </c>
      <c r="J216" s="74">
        <v>0</v>
      </c>
      <c r="K216" s="85">
        <v>0</v>
      </c>
      <c r="L216" s="80">
        <v>0.8</v>
      </c>
      <c r="M216" s="74">
        <v>0</v>
      </c>
      <c r="N216" s="74">
        <v>5</v>
      </c>
      <c r="O216" s="74">
        <v>5</v>
      </c>
      <c r="P216" s="92">
        <v>0</v>
      </c>
      <c r="Q216" s="93">
        <v>5</v>
      </c>
      <c r="R216" s="42">
        <v>3</v>
      </c>
      <c r="S216" s="32">
        <v>0</v>
      </c>
      <c r="T216" s="16">
        <v>0</v>
      </c>
      <c r="U216" s="68">
        <v>0</v>
      </c>
      <c r="V216" s="16">
        <v>0</v>
      </c>
      <c r="W216" s="16">
        <v>0</v>
      </c>
      <c r="X216" s="42">
        <v>0</v>
      </c>
      <c r="Y216" s="16">
        <v>5</v>
      </c>
      <c r="Z216" s="16">
        <v>0</v>
      </c>
      <c r="AA216" s="16">
        <v>0</v>
      </c>
      <c r="AB216" s="16">
        <v>0</v>
      </c>
      <c r="AC216" s="16">
        <v>0</v>
      </c>
      <c r="AD216" s="42">
        <v>1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42">
        <v>0</v>
      </c>
      <c r="AK216" s="31">
        <v>4</v>
      </c>
      <c r="AL216" s="31">
        <v>4</v>
      </c>
      <c r="AM216" s="68">
        <v>0</v>
      </c>
      <c r="AN216" s="31">
        <v>4</v>
      </c>
      <c r="AO216" s="16">
        <v>0</v>
      </c>
      <c r="AP216" s="42">
        <v>2.4</v>
      </c>
      <c r="AQ216" s="32">
        <v>3</v>
      </c>
      <c r="AR216" s="16">
        <v>0</v>
      </c>
      <c r="AS216" s="30">
        <v>0</v>
      </c>
      <c r="AT216" s="16">
        <v>0</v>
      </c>
      <c r="AU216" s="16">
        <v>0</v>
      </c>
      <c r="AV216" s="42">
        <v>0.6</v>
      </c>
      <c r="AW216" s="16">
        <v>0</v>
      </c>
      <c r="AX216" s="16">
        <v>0</v>
      </c>
      <c r="AY216" s="34">
        <v>0</v>
      </c>
      <c r="AZ216" s="32">
        <v>3</v>
      </c>
      <c r="BA216" s="70">
        <v>4</v>
      </c>
      <c r="BB216" s="98">
        <v>1.4</v>
      </c>
    </row>
    <row r="217" spans="1:54" ht="23.1" customHeight="1" x14ac:dyDescent="0.3">
      <c r="A217" s="99">
        <v>213</v>
      </c>
      <c r="B217" s="76" t="s">
        <v>459</v>
      </c>
      <c r="C217" s="77" t="s">
        <v>460</v>
      </c>
      <c r="D217" s="76" t="s">
        <v>542</v>
      </c>
      <c r="E217" s="76" t="s">
        <v>289</v>
      </c>
      <c r="F217" s="76" t="str">
        <f>REPT(CHAR(160),10)&amp;Working!$E217</f>
        <v>          D</v>
      </c>
      <c r="G217" s="78">
        <v>0</v>
      </c>
      <c r="H217" s="78">
        <v>0</v>
      </c>
      <c r="I217" s="78">
        <v>1</v>
      </c>
      <c r="J217" s="78">
        <v>0</v>
      </c>
      <c r="K217" s="79">
        <v>0</v>
      </c>
      <c r="L217" s="80">
        <v>0.2</v>
      </c>
      <c r="M217" s="78">
        <v>0</v>
      </c>
      <c r="N217" s="78">
        <v>2</v>
      </c>
      <c r="O217" s="78">
        <v>2</v>
      </c>
      <c r="P217" s="81">
        <v>0</v>
      </c>
      <c r="Q217" s="82">
        <v>2</v>
      </c>
      <c r="R217" s="42">
        <v>1.2</v>
      </c>
      <c r="S217" s="32">
        <v>0</v>
      </c>
      <c r="T217" s="34">
        <v>0</v>
      </c>
      <c r="U217" s="65">
        <v>0</v>
      </c>
      <c r="V217" s="34">
        <v>0</v>
      </c>
      <c r="W217" s="34">
        <v>0</v>
      </c>
      <c r="X217" s="42">
        <v>0</v>
      </c>
      <c r="Y217" s="34">
        <v>3</v>
      </c>
      <c r="Z217" s="34">
        <v>0</v>
      </c>
      <c r="AA217" s="34">
        <v>0</v>
      </c>
      <c r="AB217" s="34">
        <v>0</v>
      </c>
      <c r="AC217" s="34">
        <v>0</v>
      </c>
      <c r="AD217" s="42">
        <v>0.6</v>
      </c>
      <c r="AE217" s="34">
        <v>0</v>
      </c>
      <c r="AF217" s="34">
        <v>0</v>
      </c>
      <c r="AG217" s="34">
        <v>0</v>
      </c>
      <c r="AH217" s="34">
        <v>0</v>
      </c>
      <c r="AI217" s="34">
        <v>0</v>
      </c>
      <c r="AJ217" s="42">
        <v>0</v>
      </c>
      <c r="AK217" s="33">
        <v>1</v>
      </c>
      <c r="AL217" s="33">
        <v>1</v>
      </c>
      <c r="AM217" s="65">
        <v>0</v>
      </c>
      <c r="AN217" s="33">
        <v>1</v>
      </c>
      <c r="AO217" s="34">
        <v>0</v>
      </c>
      <c r="AP217" s="42">
        <v>0.6</v>
      </c>
      <c r="AQ217" s="32">
        <v>2</v>
      </c>
      <c r="AR217" s="34">
        <v>0</v>
      </c>
      <c r="AS217" s="71">
        <v>0</v>
      </c>
      <c r="AT217" s="34">
        <v>0</v>
      </c>
      <c r="AU217" s="34">
        <v>0</v>
      </c>
      <c r="AV217" s="42">
        <v>0.4</v>
      </c>
      <c r="AW217" s="34">
        <v>0</v>
      </c>
      <c r="AX217" s="34">
        <v>0</v>
      </c>
      <c r="AY217" s="34">
        <v>0</v>
      </c>
      <c r="AZ217" s="32">
        <v>2</v>
      </c>
      <c r="BA217" s="70">
        <v>1</v>
      </c>
      <c r="BB217" s="98">
        <v>0.6</v>
      </c>
    </row>
    <row r="218" spans="1:54" ht="23.1" customHeight="1" x14ac:dyDescent="0.3">
      <c r="A218" s="100">
        <v>214</v>
      </c>
      <c r="B218" s="83" t="s">
        <v>461</v>
      </c>
      <c r="C218" s="84" t="s">
        <v>462</v>
      </c>
      <c r="D218" s="83" t="s">
        <v>450</v>
      </c>
      <c r="E218" s="83" t="s">
        <v>289</v>
      </c>
      <c r="F218" s="83" t="str">
        <f>REPT(CHAR(160),10)&amp;Working!$E218</f>
        <v>          D</v>
      </c>
      <c r="G218" s="74">
        <v>0</v>
      </c>
      <c r="H218" s="74">
        <v>0</v>
      </c>
      <c r="I218" s="74">
        <v>3</v>
      </c>
      <c r="J218" s="74">
        <v>0</v>
      </c>
      <c r="K218" s="85">
        <v>0</v>
      </c>
      <c r="L218" s="80">
        <v>0.6</v>
      </c>
      <c r="M218" s="74">
        <v>0</v>
      </c>
      <c r="N218" s="74">
        <v>2</v>
      </c>
      <c r="O218" s="74">
        <v>4</v>
      </c>
      <c r="P218" s="86">
        <v>0</v>
      </c>
      <c r="Q218" s="87">
        <v>4</v>
      </c>
      <c r="R218" s="42">
        <v>2</v>
      </c>
      <c r="S218" s="32">
        <v>0</v>
      </c>
      <c r="T218" s="16">
        <v>0</v>
      </c>
      <c r="U218" s="64">
        <v>0</v>
      </c>
      <c r="V218" s="16">
        <v>0</v>
      </c>
      <c r="W218" s="16">
        <v>0</v>
      </c>
      <c r="X218" s="42">
        <v>0</v>
      </c>
      <c r="Y218" s="16">
        <v>3</v>
      </c>
      <c r="Z218" s="16">
        <v>0</v>
      </c>
      <c r="AA218" s="16">
        <v>0</v>
      </c>
      <c r="AB218" s="16">
        <v>0</v>
      </c>
      <c r="AC218" s="16">
        <v>0</v>
      </c>
      <c r="AD218" s="42">
        <v>0.6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42">
        <v>0</v>
      </c>
      <c r="AK218" s="24">
        <v>3</v>
      </c>
      <c r="AL218" s="24">
        <v>3</v>
      </c>
      <c r="AM218" s="64">
        <v>0</v>
      </c>
      <c r="AN218" s="24">
        <v>4</v>
      </c>
      <c r="AO218" s="16">
        <v>0</v>
      </c>
      <c r="AP218" s="42">
        <v>2</v>
      </c>
      <c r="AQ218" s="32">
        <v>3</v>
      </c>
      <c r="AR218" s="16">
        <v>0</v>
      </c>
      <c r="AS218" s="31">
        <v>0</v>
      </c>
      <c r="AT218" s="16">
        <v>0</v>
      </c>
      <c r="AU218" s="16">
        <v>0</v>
      </c>
      <c r="AV218" s="42">
        <v>0.6</v>
      </c>
      <c r="AW218" s="16">
        <v>0</v>
      </c>
      <c r="AX218" s="16">
        <v>0</v>
      </c>
      <c r="AY218" s="34">
        <v>0</v>
      </c>
      <c r="AZ218" s="32">
        <v>3</v>
      </c>
      <c r="BA218" s="70">
        <v>3</v>
      </c>
      <c r="BB218" s="98">
        <v>1.2</v>
      </c>
    </row>
    <row r="219" spans="1:54" ht="23.1" customHeight="1" x14ac:dyDescent="0.3">
      <c r="A219" s="99">
        <v>215</v>
      </c>
      <c r="B219" s="76" t="s">
        <v>463</v>
      </c>
      <c r="C219" s="77" t="s">
        <v>464</v>
      </c>
      <c r="D219" s="76" t="s">
        <v>450</v>
      </c>
      <c r="E219" s="76" t="s">
        <v>289</v>
      </c>
      <c r="F219" s="76" t="str">
        <f>REPT(CHAR(160),10)&amp;Working!$E219</f>
        <v>          D</v>
      </c>
      <c r="G219" s="78">
        <v>0</v>
      </c>
      <c r="H219" s="78">
        <v>0</v>
      </c>
      <c r="I219" s="78">
        <v>2</v>
      </c>
      <c r="J219" s="78">
        <v>0</v>
      </c>
      <c r="K219" s="79">
        <v>0</v>
      </c>
      <c r="L219" s="80">
        <v>0.4</v>
      </c>
      <c r="M219" s="78">
        <v>0</v>
      </c>
      <c r="N219" s="78">
        <v>2</v>
      </c>
      <c r="O219" s="78">
        <v>3</v>
      </c>
      <c r="P219" s="81">
        <v>0</v>
      </c>
      <c r="Q219" s="82">
        <v>3</v>
      </c>
      <c r="R219" s="42">
        <v>1.6</v>
      </c>
      <c r="S219" s="32">
        <v>0</v>
      </c>
      <c r="T219" s="34">
        <v>0</v>
      </c>
      <c r="U219" s="65">
        <v>0</v>
      </c>
      <c r="V219" s="34">
        <v>0</v>
      </c>
      <c r="W219" s="34">
        <v>0</v>
      </c>
      <c r="X219" s="42">
        <v>0</v>
      </c>
      <c r="Y219" s="34">
        <v>2</v>
      </c>
      <c r="Z219" s="34">
        <v>0</v>
      </c>
      <c r="AA219" s="34">
        <v>0</v>
      </c>
      <c r="AB219" s="34">
        <v>0</v>
      </c>
      <c r="AC219" s="34">
        <v>0</v>
      </c>
      <c r="AD219" s="42">
        <v>0.4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42">
        <v>0</v>
      </c>
      <c r="AK219" s="33">
        <v>2</v>
      </c>
      <c r="AL219" s="33">
        <v>2</v>
      </c>
      <c r="AM219" s="65">
        <v>0</v>
      </c>
      <c r="AN219" s="33">
        <v>3</v>
      </c>
      <c r="AO219" s="34">
        <v>0</v>
      </c>
      <c r="AP219" s="42">
        <v>1.4</v>
      </c>
      <c r="AQ219" s="32">
        <v>2</v>
      </c>
      <c r="AR219" s="34">
        <v>0</v>
      </c>
      <c r="AS219" s="71">
        <v>0</v>
      </c>
      <c r="AT219" s="34">
        <v>0</v>
      </c>
      <c r="AU219" s="34">
        <v>0</v>
      </c>
      <c r="AV219" s="42">
        <v>0.4</v>
      </c>
      <c r="AW219" s="34">
        <v>0</v>
      </c>
      <c r="AX219" s="34">
        <v>0</v>
      </c>
      <c r="AY219" s="34">
        <v>0</v>
      </c>
      <c r="AZ219" s="32">
        <v>3</v>
      </c>
      <c r="BA219" s="70">
        <v>3</v>
      </c>
      <c r="BB219" s="98">
        <v>1.2</v>
      </c>
    </row>
    <row r="220" spans="1:54" ht="23.1" customHeight="1" x14ac:dyDescent="0.3">
      <c r="A220" s="100">
        <v>216</v>
      </c>
      <c r="B220" s="83" t="s">
        <v>465</v>
      </c>
      <c r="C220" s="84" t="s">
        <v>466</v>
      </c>
      <c r="D220" s="83" t="s">
        <v>450</v>
      </c>
      <c r="E220" s="83" t="s">
        <v>289</v>
      </c>
      <c r="F220" s="83" t="str">
        <f>REPT(CHAR(160),10)&amp;Working!$E220</f>
        <v>          D</v>
      </c>
      <c r="G220" s="74">
        <v>0</v>
      </c>
      <c r="H220" s="74">
        <v>0</v>
      </c>
      <c r="I220" s="74">
        <v>2</v>
      </c>
      <c r="J220" s="74">
        <v>0</v>
      </c>
      <c r="K220" s="85">
        <v>0</v>
      </c>
      <c r="L220" s="80">
        <v>0.4</v>
      </c>
      <c r="M220" s="74">
        <v>0</v>
      </c>
      <c r="N220" s="74">
        <v>2</v>
      </c>
      <c r="O220" s="74">
        <v>3</v>
      </c>
      <c r="P220" s="88">
        <v>0</v>
      </c>
      <c r="Q220" s="89">
        <v>3</v>
      </c>
      <c r="R220" s="42">
        <v>1.6</v>
      </c>
      <c r="S220" s="32">
        <v>0</v>
      </c>
      <c r="T220" s="16">
        <v>0</v>
      </c>
      <c r="U220" s="66">
        <v>0</v>
      </c>
      <c r="V220" s="16">
        <v>0</v>
      </c>
      <c r="W220" s="16">
        <v>0</v>
      </c>
      <c r="X220" s="42">
        <v>0</v>
      </c>
      <c r="Y220" s="16">
        <v>3</v>
      </c>
      <c r="Z220" s="16">
        <v>0</v>
      </c>
      <c r="AA220" s="16">
        <v>0</v>
      </c>
      <c r="AB220" s="16">
        <v>0</v>
      </c>
      <c r="AC220" s="16">
        <v>0</v>
      </c>
      <c r="AD220" s="42">
        <v>0.6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42">
        <v>0</v>
      </c>
      <c r="AK220" s="29">
        <v>2</v>
      </c>
      <c r="AL220" s="29">
        <v>3</v>
      </c>
      <c r="AM220" s="66">
        <v>0</v>
      </c>
      <c r="AN220" s="29">
        <v>3</v>
      </c>
      <c r="AO220" s="16">
        <v>0</v>
      </c>
      <c r="AP220" s="42">
        <v>1.6</v>
      </c>
      <c r="AQ220" s="32">
        <v>3</v>
      </c>
      <c r="AR220" s="16">
        <v>0</v>
      </c>
      <c r="AS220" s="30">
        <v>0</v>
      </c>
      <c r="AT220" s="16">
        <v>0</v>
      </c>
      <c r="AU220" s="16">
        <v>0</v>
      </c>
      <c r="AV220" s="42">
        <v>0.6</v>
      </c>
      <c r="AW220" s="16">
        <v>0</v>
      </c>
      <c r="AX220" s="16">
        <v>0</v>
      </c>
      <c r="AY220" s="34">
        <v>0</v>
      </c>
      <c r="AZ220" s="32">
        <v>2</v>
      </c>
      <c r="BA220" s="70">
        <v>2</v>
      </c>
      <c r="BB220" s="98">
        <v>0.8</v>
      </c>
    </row>
    <row r="221" spans="1:54" ht="23.1" customHeight="1" x14ac:dyDescent="0.3">
      <c r="A221" s="99">
        <v>217</v>
      </c>
      <c r="B221" s="76" t="s">
        <v>467</v>
      </c>
      <c r="C221" s="77" t="s">
        <v>468</v>
      </c>
      <c r="D221" s="76" t="s">
        <v>542</v>
      </c>
      <c r="E221" s="76" t="s">
        <v>289</v>
      </c>
      <c r="F221" s="76" t="str">
        <f>REPT(CHAR(160),10)&amp;Working!$E221</f>
        <v>          D</v>
      </c>
      <c r="G221" s="78">
        <v>0</v>
      </c>
      <c r="H221" s="78">
        <v>0</v>
      </c>
      <c r="I221" s="78">
        <v>3</v>
      </c>
      <c r="J221" s="78">
        <v>0</v>
      </c>
      <c r="K221" s="79">
        <v>0</v>
      </c>
      <c r="L221" s="80">
        <v>0.6</v>
      </c>
      <c r="M221" s="78">
        <v>0</v>
      </c>
      <c r="N221" s="78">
        <v>4</v>
      </c>
      <c r="O221" s="78">
        <v>5</v>
      </c>
      <c r="P221" s="81">
        <v>0</v>
      </c>
      <c r="Q221" s="82">
        <v>5</v>
      </c>
      <c r="R221" s="42">
        <v>2.8</v>
      </c>
      <c r="S221" s="32">
        <v>0</v>
      </c>
      <c r="T221" s="34">
        <v>0</v>
      </c>
      <c r="U221" s="65">
        <v>0</v>
      </c>
      <c r="V221" s="34">
        <v>0</v>
      </c>
      <c r="W221" s="34">
        <v>0</v>
      </c>
      <c r="X221" s="42">
        <v>0</v>
      </c>
      <c r="Y221" s="34">
        <v>4</v>
      </c>
      <c r="Z221" s="34">
        <v>0</v>
      </c>
      <c r="AA221" s="34">
        <v>0</v>
      </c>
      <c r="AB221" s="34">
        <v>0</v>
      </c>
      <c r="AC221" s="34">
        <v>0</v>
      </c>
      <c r="AD221" s="42">
        <v>0.8</v>
      </c>
      <c r="AE221" s="34">
        <v>0</v>
      </c>
      <c r="AF221" s="34">
        <v>0</v>
      </c>
      <c r="AG221" s="34">
        <v>0</v>
      </c>
      <c r="AH221" s="34">
        <v>0</v>
      </c>
      <c r="AI221" s="34">
        <v>0</v>
      </c>
      <c r="AJ221" s="42">
        <v>0</v>
      </c>
      <c r="AK221" s="33">
        <v>3</v>
      </c>
      <c r="AL221" s="33">
        <v>3</v>
      </c>
      <c r="AM221" s="65">
        <v>0</v>
      </c>
      <c r="AN221" s="33">
        <v>4</v>
      </c>
      <c r="AO221" s="34">
        <v>0</v>
      </c>
      <c r="AP221" s="42">
        <v>2</v>
      </c>
      <c r="AQ221" s="32">
        <v>4</v>
      </c>
      <c r="AR221" s="34">
        <v>0</v>
      </c>
      <c r="AS221" s="71">
        <v>0</v>
      </c>
      <c r="AT221" s="34">
        <v>0</v>
      </c>
      <c r="AU221" s="34">
        <v>0</v>
      </c>
      <c r="AV221" s="42">
        <v>0.8</v>
      </c>
      <c r="AW221" s="34">
        <v>0</v>
      </c>
      <c r="AX221" s="34">
        <v>0</v>
      </c>
      <c r="AY221" s="34">
        <v>0</v>
      </c>
      <c r="AZ221" s="32">
        <v>3</v>
      </c>
      <c r="BA221" s="70">
        <v>3</v>
      </c>
      <c r="BB221" s="98">
        <v>1.2</v>
      </c>
    </row>
    <row r="222" spans="1:54" ht="23.1" customHeight="1" x14ac:dyDescent="0.3">
      <c r="A222" s="100">
        <v>218</v>
      </c>
      <c r="B222" s="83" t="s">
        <v>469</v>
      </c>
      <c r="C222" s="84" t="s">
        <v>470</v>
      </c>
      <c r="D222" s="83" t="s">
        <v>450</v>
      </c>
      <c r="E222" s="83" t="s">
        <v>289</v>
      </c>
      <c r="F222" s="83" t="str">
        <f>REPT(CHAR(160),10)&amp;Working!$E222</f>
        <v>          D</v>
      </c>
      <c r="G222" s="74">
        <v>0</v>
      </c>
      <c r="H222" s="74">
        <v>0</v>
      </c>
      <c r="I222" s="74">
        <v>2</v>
      </c>
      <c r="J222" s="74">
        <v>0</v>
      </c>
      <c r="K222" s="85">
        <v>0</v>
      </c>
      <c r="L222" s="80">
        <v>0.4</v>
      </c>
      <c r="M222" s="74">
        <v>0</v>
      </c>
      <c r="N222" s="74">
        <v>2</v>
      </c>
      <c r="O222" s="74">
        <v>3</v>
      </c>
      <c r="P222" s="86">
        <v>0</v>
      </c>
      <c r="Q222" s="87">
        <v>3</v>
      </c>
      <c r="R222" s="42">
        <v>1.6</v>
      </c>
      <c r="S222" s="32">
        <v>0</v>
      </c>
      <c r="T222" s="16">
        <v>0</v>
      </c>
      <c r="U222" s="64">
        <v>0</v>
      </c>
      <c r="V222" s="16">
        <v>0</v>
      </c>
      <c r="W222" s="16">
        <v>0</v>
      </c>
      <c r="X222" s="42">
        <v>0</v>
      </c>
      <c r="Y222" s="16">
        <v>2</v>
      </c>
      <c r="Z222" s="16">
        <v>0</v>
      </c>
      <c r="AA222" s="16">
        <v>0</v>
      </c>
      <c r="AB222" s="16">
        <v>0</v>
      </c>
      <c r="AC222" s="16">
        <v>0</v>
      </c>
      <c r="AD222" s="42">
        <v>0.4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42">
        <v>0</v>
      </c>
      <c r="AK222" s="24">
        <v>2</v>
      </c>
      <c r="AL222" s="24">
        <v>2</v>
      </c>
      <c r="AM222" s="64">
        <v>0</v>
      </c>
      <c r="AN222" s="24">
        <v>2</v>
      </c>
      <c r="AO222" s="16">
        <v>0</v>
      </c>
      <c r="AP222" s="42">
        <v>1.2</v>
      </c>
      <c r="AQ222" s="32">
        <v>2</v>
      </c>
      <c r="AR222" s="16">
        <v>0</v>
      </c>
      <c r="AS222" s="31">
        <v>0</v>
      </c>
      <c r="AT222" s="16">
        <v>0</v>
      </c>
      <c r="AU222" s="16">
        <v>0</v>
      </c>
      <c r="AV222" s="42">
        <v>0.4</v>
      </c>
      <c r="AW222" s="16">
        <v>0</v>
      </c>
      <c r="AX222" s="16">
        <v>0</v>
      </c>
      <c r="AY222" s="34">
        <v>0</v>
      </c>
      <c r="AZ222" s="32">
        <v>3</v>
      </c>
      <c r="BA222" s="70">
        <v>2</v>
      </c>
      <c r="BB222" s="98">
        <v>1</v>
      </c>
    </row>
    <row r="223" spans="1:54" ht="23.1" customHeight="1" x14ac:dyDescent="0.3">
      <c r="A223" s="99">
        <v>219</v>
      </c>
      <c r="B223" s="76" t="s">
        <v>471</v>
      </c>
      <c r="C223" s="77" t="s">
        <v>472</v>
      </c>
      <c r="D223" s="76" t="s">
        <v>450</v>
      </c>
      <c r="E223" s="76" t="s">
        <v>289</v>
      </c>
      <c r="F223" s="76" t="str">
        <f>REPT(CHAR(160),10)&amp;Working!$E223</f>
        <v>          D</v>
      </c>
      <c r="G223" s="78">
        <v>0</v>
      </c>
      <c r="H223" s="78">
        <v>0</v>
      </c>
      <c r="I223" s="78">
        <v>3</v>
      </c>
      <c r="J223" s="78">
        <v>0</v>
      </c>
      <c r="K223" s="79">
        <v>0</v>
      </c>
      <c r="L223" s="80">
        <v>0.6</v>
      </c>
      <c r="M223" s="78">
        <v>0</v>
      </c>
      <c r="N223" s="78">
        <v>3</v>
      </c>
      <c r="O223" s="78">
        <v>3</v>
      </c>
      <c r="P223" s="81">
        <v>0</v>
      </c>
      <c r="Q223" s="82">
        <v>3</v>
      </c>
      <c r="R223" s="42">
        <v>1.8</v>
      </c>
      <c r="S223" s="32">
        <v>0</v>
      </c>
      <c r="T223" s="34">
        <v>0</v>
      </c>
      <c r="U223" s="65">
        <v>0</v>
      </c>
      <c r="V223" s="34">
        <v>0</v>
      </c>
      <c r="W223" s="34">
        <v>0</v>
      </c>
      <c r="X223" s="42">
        <v>0</v>
      </c>
      <c r="Y223" s="34">
        <v>3</v>
      </c>
      <c r="Z223" s="34">
        <v>0</v>
      </c>
      <c r="AA223" s="34">
        <v>0</v>
      </c>
      <c r="AB223" s="34">
        <v>0</v>
      </c>
      <c r="AC223" s="34">
        <v>0</v>
      </c>
      <c r="AD223" s="42">
        <v>0.6</v>
      </c>
      <c r="AE223" s="34">
        <v>0</v>
      </c>
      <c r="AF223" s="34">
        <v>0</v>
      </c>
      <c r="AG223" s="34">
        <v>0</v>
      </c>
      <c r="AH223" s="34">
        <v>0</v>
      </c>
      <c r="AI223" s="34">
        <v>0</v>
      </c>
      <c r="AJ223" s="42">
        <v>0</v>
      </c>
      <c r="AK223" s="33">
        <v>2</v>
      </c>
      <c r="AL223" s="33">
        <v>2</v>
      </c>
      <c r="AM223" s="65">
        <v>0</v>
      </c>
      <c r="AN223" s="33">
        <v>3</v>
      </c>
      <c r="AO223" s="34">
        <v>0</v>
      </c>
      <c r="AP223" s="42">
        <v>1.4</v>
      </c>
      <c r="AQ223" s="32">
        <v>3</v>
      </c>
      <c r="AR223" s="34">
        <v>0</v>
      </c>
      <c r="AS223" s="71">
        <v>0</v>
      </c>
      <c r="AT223" s="34">
        <v>0</v>
      </c>
      <c r="AU223" s="34">
        <v>0</v>
      </c>
      <c r="AV223" s="42">
        <v>0.6</v>
      </c>
      <c r="AW223" s="34">
        <v>0</v>
      </c>
      <c r="AX223" s="34">
        <v>0</v>
      </c>
      <c r="AY223" s="34">
        <v>0</v>
      </c>
      <c r="AZ223" s="32">
        <v>3</v>
      </c>
      <c r="BA223" s="70">
        <v>2</v>
      </c>
      <c r="BB223" s="98">
        <v>1</v>
      </c>
    </row>
    <row r="224" spans="1:54" ht="23.1" customHeight="1" x14ac:dyDescent="0.3">
      <c r="A224" s="100">
        <v>220</v>
      </c>
      <c r="B224" s="83" t="s">
        <v>473</v>
      </c>
      <c r="C224" s="84" t="s">
        <v>474</v>
      </c>
      <c r="D224" s="83" t="s">
        <v>542</v>
      </c>
      <c r="E224" s="83" t="s">
        <v>289</v>
      </c>
      <c r="F224" s="83" t="str">
        <f>REPT(CHAR(160),10)&amp;Working!$E224</f>
        <v>          D</v>
      </c>
      <c r="G224" s="74">
        <v>0</v>
      </c>
      <c r="H224" s="74">
        <v>0</v>
      </c>
      <c r="I224" s="74">
        <v>0</v>
      </c>
      <c r="J224" s="74">
        <v>0</v>
      </c>
      <c r="K224" s="85">
        <v>0</v>
      </c>
      <c r="L224" s="80">
        <v>0</v>
      </c>
      <c r="M224" s="74">
        <v>0</v>
      </c>
      <c r="N224" s="74">
        <v>0</v>
      </c>
      <c r="O224" s="74">
        <v>0</v>
      </c>
      <c r="P224" s="86">
        <v>0</v>
      </c>
      <c r="Q224" s="87">
        <v>0</v>
      </c>
      <c r="R224" s="42">
        <v>0</v>
      </c>
      <c r="S224" s="32">
        <v>0</v>
      </c>
      <c r="T224" s="16">
        <v>0</v>
      </c>
      <c r="U224" s="64">
        <v>0</v>
      </c>
      <c r="V224" s="16">
        <v>0</v>
      </c>
      <c r="W224" s="16">
        <v>0</v>
      </c>
      <c r="X224" s="42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42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42">
        <v>0</v>
      </c>
      <c r="AK224" s="24">
        <v>0</v>
      </c>
      <c r="AL224" s="24">
        <v>0</v>
      </c>
      <c r="AM224" s="64">
        <v>0</v>
      </c>
      <c r="AN224" s="24">
        <v>0</v>
      </c>
      <c r="AO224" s="16">
        <v>0</v>
      </c>
      <c r="AP224" s="42">
        <v>0</v>
      </c>
      <c r="AQ224" s="32">
        <v>0</v>
      </c>
      <c r="AR224" s="16">
        <v>0</v>
      </c>
      <c r="AS224" s="30">
        <v>0</v>
      </c>
      <c r="AT224" s="16">
        <v>0</v>
      </c>
      <c r="AU224" s="16">
        <v>0</v>
      </c>
      <c r="AV224" s="42">
        <v>0</v>
      </c>
      <c r="AW224" s="16">
        <v>0</v>
      </c>
      <c r="AX224" s="16">
        <v>0</v>
      </c>
      <c r="AY224" s="34">
        <v>0</v>
      </c>
      <c r="AZ224" s="32">
        <v>0</v>
      </c>
      <c r="BA224" s="70">
        <v>0</v>
      </c>
      <c r="BB224" s="98">
        <v>0</v>
      </c>
    </row>
    <row r="225" spans="1:54" ht="23.1" customHeight="1" x14ac:dyDescent="0.3">
      <c r="A225" s="99">
        <v>221</v>
      </c>
      <c r="B225" s="76" t="s">
        <v>475</v>
      </c>
      <c r="C225" s="77" t="s">
        <v>476</v>
      </c>
      <c r="D225" s="76" t="s">
        <v>450</v>
      </c>
      <c r="E225" s="76" t="s">
        <v>289</v>
      </c>
      <c r="F225" s="76" t="str">
        <f>REPT(CHAR(160),10)&amp;Working!$E225</f>
        <v>          D</v>
      </c>
      <c r="G225" s="78">
        <v>0</v>
      </c>
      <c r="H225" s="78">
        <v>0</v>
      </c>
      <c r="I225" s="78">
        <v>0</v>
      </c>
      <c r="J225" s="78">
        <v>0</v>
      </c>
      <c r="K225" s="79">
        <v>0</v>
      </c>
      <c r="L225" s="80">
        <v>0</v>
      </c>
      <c r="M225" s="78">
        <v>0</v>
      </c>
      <c r="N225" s="78">
        <v>0</v>
      </c>
      <c r="O225" s="78">
        <v>0</v>
      </c>
      <c r="P225" s="81">
        <v>0</v>
      </c>
      <c r="Q225" s="82">
        <v>0</v>
      </c>
      <c r="R225" s="42">
        <v>0</v>
      </c>
      <c r="S225" s="32">
        <v>0</v>
      </c>
      <c r="T225" s="34">
        <v>0</v>
      </c>
      <c r="U225" s="65">
        <v>0</v>
      </c>
      <c r="V225" s="34">
        <v>0</v>
      </c>
      <c r="W225" s="34">
        <v>0</v>
      </c>
      <c r="X225" s="42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42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42">
        <v>0</v>
      </c>
      <c r="AK225" s="33">
        <v>0</v>
      </c>
      <c r="AL225" s="33">
        <v>0</v>
      </c>
      <c r="AM225" s="65">
        <v>0</v>
      </c>
      <c r="AN225" s="33">
        <v>0</v>
      </c>
      <c r="AO225" s="34">
        <v>0</v>
      </c>
      <c r="AP225" s="42">
        <v>0</v>
      </c>
      <c r="AQ225" s="32">
        <v>0</v>
      </c>
      <c r="AR225" s="34">
        <v>0</v>
      </c>
      <c r="AS225" s="71">
        <v>0</v>
      </c>
      <c r="AT225" s="34">
        <v>0</v>
      </c>
      <c r="AU225" s="34">
        <v>0</v>
      </c>
      <c r="AV225" s="42">
        <v>0</v>
      </c>
      <c r="AW225" s="34">
        <v>0</v>
      </c>
      <c r="AX225" s="34">
        <v>0</v>
      </c>
      <c r="AY225" s="34">
        <v>0</v>
      </c>
      <c r="AZ225" s="32">
        <v>0</v>
      </c>
      <c r="BA225" s="70">
        <v>0</v>
      </c>
      <c r="BB225" s="98">
        <v>0</v>
      </c>
    </row>
    <row r="226" spans="1:54" ht="23.1" customHeight="1" x14ac:dyDescent="0.3">
      <c r="A226" s="100">
        <v>222</v>
      </c>
      <c r="B226" s="83" t="s">
        <v>477</v>
      </c>
      <c r="C226" s="84" t="s">
        <v>478</v>
      </c>
      <c r="D226" s="83" t="s">
        <v>450</v>
      </c>
      <c r="E226" s="83" t="s">
        <v>289</v>
      </c>
      <c r="F226" s="83" t="str">
        <f>REPT(CHAR(160),10)&amp;Working!$E226</f>
        <v>          D</v>
      </c>
      <c r="G226" s="74">
        <v>0</v>
      </c>
      <c r="H226" s="74">
        <v>0</v>
      </c>
      <c r="I226" s="74">
        <v>2</v>
      </c>
      <c r="J226" s="74">
        <v>0</v>
      </c>
      <c r="K226" s="85">
        <v>0</v>
      </c>
      <c r="L226" s="80">
        <v>0.4</v>
      </c>
      <c r="M226" s="74">
        <v>0</v>
      </c>
      <c r="N226" s="74">
        <v>4</v>
      </c>
      <c r="O226" s="74">
        <v>3</v>
      </c>
      <c r="P226" s="86">
        <v>0</v>
      </c>
      <c r="Q226" s="87">
        <v>3</v>
      </c>
      <c r="R226" s="42">
        <v>2</v>
      </c>
      <c r="S226" s="32">
        <v>0</v>
      </c>
      <c r="T226" s="16">
        <v>0</v>
      </c>
      <c r="U226" s="64">
        <v>0</v>
      </c>
      <c r="V226" s="16">
        <v>0</v>
      </c>
      <c r="W226" s="16">
        <v>0</v>
      </c>
      <c r="X226" s="42">
        <v>0</v>
      </c>
      <c r="Y226" s="16">
        <v>3</v>
      </c>
      <c r="Z226" s="16">
        <v>0</v>
      </c>
      <c r="AA226" s="16">
        <v>0</v>
      </c>
      <c r="AB226" s="16">
        <v>0</v>
      </c>
      <c r="AC226" s="16">
        <v>0</v>
      </c>
      <c r="AD226" s="42">
        <v>0.6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42">
        <v>0</v>
      </c>
      <c r="AK226" s="24">
        <v>3</v>
      </c>
      <c r="AL226" s="24">
        <v>2</v>
      </c>
      <c r="AM226" s="64">
        <v>0</v>
      </c>
      <c r="AN226" s="24">
        <v>2</v>
      </c>
      <c r="AO226" s="16">
        <v>0</v>
      </c>
      <c r="AP226" s="42">
        <v>1.4</v>
      </c>
      <c r="AQ226" s="32">
        <v>3</v>
      </c>
      <c r="AR226" s="16">
        <v>0</v>
      </c>
      <c r="AS226" s="30">
        <v>0</v>
      </c>
      <c r="AT226" s="16">
        <v>0</v>
      </c>
      <c r="AU226" s="16">
        <v>0</v>
      </c>
      <c r="AV226" s="42">
        <v>0.6</v>
      </c>
      <c r="AW226" s="16">
        <v>0</v>
      </c>
      <c r="AX226" s="16">
        <v>0</v>
      </c>
      <c r="AY226" s="34">
        <v>0</v>
      </c>
      <c r="AZ226" s="32">
        <v>3</v>
      </c>
      <c r="BA226" s="70">
        <v>3</v>
      </c>
      <c r="BB226" s="98">
        <v>1.2</v>
      </c>
    </row>
    <row r="227" spans="1:54" ht="23.1" customHeight="1" x14ac:dyDescent="0.3">
      <c r="A227" s="99">
        <v>223</v>
      </c>
      <c r="B227" s="76" t="s">
        <v>479</v>
      </c>
      <c r="C227" s="77" t="s">
        <v>480</v>
      </c>
      <c r="D227" s="76" t="s">
        <v>450</v>
      </c>
      <c r="E227" s="76" t="s">
        <v>289</v>
      </c>
      <c r="F227" s="76" t="str">
        <f>REPT(CHAR(160),10)&amp;Working!$E227</f>
        <v>          D</v>
      </c>
      <c r="G227" s="78">
        <v>0</v>
      </c>
      <c r="H227" s="78">
        <v>0</v>
      </c>
      <c r="I227" s="78">
        <v>2</v>
      </c>
      <c r="J227" s="78">
        <v>0</v>
      </c>
      <c r="K227" s="79">
        <v>0</v>
      </c>
      <c r="L227" s="80">
        <v>0.4</v>
      </c>
      <c r="M227" s="78">
        <v>0</v>
      </c>
      <c r="N227" s="78">
        <v>2</v>
      </c>
      <c r="O227" s="78">
        <v>1</v>
      </c>
      <c r="P227" s="81">
        <v>0</v>
      </c>
      <c r="Q227" s="82">
        <v>1</v>
      </c>
      <c r="R227" s="42">
        <v>0.8</v>
      </c>
      <c r="S227" s="32">
        <v>0</v>
      </c>
      <c r="T227" s="34">
        <v>0</v>
      </c>
      <c r="U227" s="65">
        <v>0</v>
      </c>
      <c r="V227" s="34">
        <v>0</v>
      </c>
      <c r="W227" s="34">
        <v>0</v>
      </c>
      <c r="X227" s="42">
        <v>0</v>
      </c>
      <c r="Y227" s="34">
        <v>2</v>
      </c>
      <c r="Z227" s="34">
        <v>0</v>
      </c>
      <c r="AA227" s="34">
        <v>0</v>
      </c>
      <c r="AB227" s="34">
        <v>0</v>
      </c>
      <c r="AC227" s="34">
        <v>0</v>
      </c>
      <c r="AD227" s="42">
        <v>0.4</v>
      </c>
      <c r="AE227" s="34">
        <v>0</v>
      </c>
      <c r="AF227" s="34">
        <v>0</v>
      </c>
      <c r="AG227" s="34">
        <v>0</v>
      </c>
      <c r="AH227" s="34">
        <v>0</v>
      </c>
      <c r="AI227" s="34">
        <v>0</v>
      </c>
      <c r="AJ227" s="42">
        <v>0</v>
      </c>
      <c r="AK227" s="33">
        <v>3</v>
      </c>
      <c r="AL227" s="33">
        <v>2</v>
      </c>
      <c r="AM227" s="65">
        <v>0</v>
      </c>
      <c r="AN227" s="33">
        <v>3</v>
      </c>
      <c r="AO227" s="34">
        <v>0</v>
      </c>
      <c r="AP227" s="42">
        <v>1.6</v>
      </c>
      <c r="AQ227" s="32">
        <v>2</v>
      </c>
      <c r="AR227" s="34">
        <v>0</v>
      </c>
      <c r="AS227" s="71">
        <v>0</v>
      </c>
      <c r="AT227" s="34">
        <v>0</v>
      </c>
      <c r="AU227" s="34">
        <v>0</v>
      </c>
      <c r="AV227" s="42">
        <v>0.4</v>
      </c>
      <c r="AW227" s="34">
        <v>0</v>
      </c>
      <c r="AX227" s="34">
        <v>0</v>
      </c>
      <c r="AY227" s="34">
        <v>0</v>
      </c>
      <c r="AZ227" s="32">
        <v>2</v>
      </c>
      <c r="BA227" s="70">
        <v>4</v>
      </c>
      <c r="BB227" s="98">
        <v>1.2</v>
      </c>
    </row>
    <row r="228" spans="1:54" ht="23.1" customHeight="1" x14ac:dyDescent="0.3">
      <c r="A228" s="100">
        <v>224</v>
      </c>
      <c r="B228" s="83" t="s">
        <v>481</v>
      </c>
      <c r="C228" s="84" t="s">
        <v>482</v>
      </c>
      <c r="D228" s="83" t="s">
        <v>450</v>
      </c>
      <c r="E228" s="83" t="s">
        <v>289</v>
      </c>
      <c r="F228" s="83" t="str">
        <f>REPT(CHAR(160),10)&amp;Working!$E228</f>
        <v>          D</v>
      </c>
      <c r="G228" s="74">
        <v>0</v>
      </c>
      <c r="H228" s="74">
        <v>0</v>
      </c>
      <c r="I228" s="74">
        <v>3</v>
      </c>
      <c r="J228" s="74">
        <v>0</v>
      </c>
      <c r="K228" s="85">
        <v>0</v>
      </c>
      <c r="L228" s="80">
        <v>0.6</v>
      </c>
      <c r="M228" s="74">
        <v>0</v>
      </c>
      <c r="N228" s="74">
        <v>3</v>
      </c>
      <c r="O228" s="74">
        <v>3</v>
      </c>
      <c r="P228" s="86">
        <v>0</v>
      </c>
      <c r="Q228" s="87">
        <v>3</v>
      </c>
      <c r="R228" s="42">
        <v>1.8</v>
      </c>
      <c r="S228" s="32">
        <v>0</v>
      </c>
      <c r="T228" s="16">
        <v>0</v>
      </c>
      <c r="U228" s="64">
        <v>0</v>
      </c>
      <c r="V228" s="16">
        <v>0</v>
      </c>
      <c r="W228" s="16">
        <v>0</v>
      </c>
      <c r="X228" s="42">
        <v>0</v>
      </c>
      <c r="Y228" s="16">
        <v>3</v>
      </c>
      <c r="Z228" s="16">
        <v>0</v>
      </c>
      <c r="AA228" s="16">
        <v>0</v>
      </c>
      <c r="AB228" s="16">
        <v>0</v>
      </c>
      <c r="AC228" s="16">
        <v>0</v>
      </c>
      <c r="AD228" s="42">
        <v>0.6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42">
        <v>0</v>
      </c>
      <c r="AK228" s="24">
        <v>2</v>
      </c>
      <c r="AL228" s="24">
        <v>3</v>
      </c>
      <c r="AM228" s="64">
        <v>0</v>
      </c>
      <c r="AN228" s="24">
        <v>3</v>
      </c>
      <c r="AO228" s="16">
        <v>0</v>
      </c>
      <c r="AP228" s="42">
        <v>1.6</v>
      </c>
      <c r="AQ228" s="32">
        <v>3</v>
      </c>
      <c r="AR228" s="16">
        <v>0</v>
      </c>
      <c r="AS228" s="30">
        <v>0</v>
      </c>
      <c r="AT228" s="16">
        <v>0</v>
      </c>
      <c r="AU228" s="16">
        <v>0</v>
      </c>
      <c r="AV228" s="42">
        <v>0.6</v>
      </c>
      <c r="AW228" s="16">
        <v>0</v>
      </c>
      <c r="AX228" s="16">
        <v>0</v>
      </c>
      <c r="AY228" s="34">
        <v>0</v>
      </c>
      <c r="AZ228" s="32">
        <v>3</v>
      </c>
      <c r="BA228" s="70">
        <v>2</v>
      </c>
      <c r="BB228" s="98">
        <v>1</v>
      </c>
    </row>
    <row r="229" spans="1:54" ht="23.1" customHeight="1" x14ac:dyDescent="0.3">
      <c r="A229" s="99">
        <v>225</v>
      </c>
      <c r="B229" s="76" t="s">
        <v>483</v>
      </c>
      <c r="C229" s="77" t="s">
        <v>540</v>
      </c>
      <c r="D229" s="76" t="s">
        <v>450</v>
      </c>
      <c r="E229" s="76" t="s">
        <v>289</v>
      </c>
      <c r="F229" s="76" t="str">
        <f>REPT(CHAR(160),10)&amp;Working!$E229</f>
        <v>          D</v>
      </c>
      <c r="G229" s="78">
        <v>0</v>
      </c>
      <c r="H229" s="78">
        <v>0</v>
      </c>
      <c r="I229" s="78">
        <v>2</v>
      </c>
      <c r="J229" s="78">
        <v>0</v>
      </c>
      <c r="K229" s="79">
        <v>0</v>
      </c>
      <c r="L229" s="80">
        <v>0.4</v>
      </c>
      <c r="M229" s="78">
        <v>0</v>
      </c>
      <c r="N229" s="78">
        <v>2</v>
      </c>
      <c r="O229" s="78">
        <v>3</v>
      </c>
      <c r="P229" s="81">
        <v>0</v>
      </c>
      <c r="Q229" s="82">
        <v>3</v>
      </c>
      <c r="R229" s="42">
        <v>1.6</v>
      </c>
      <c r="S229" s="32">
        <v>0</v>
      </c>
      <c r="T229" s="34">
        <v>0</v>
      </c>
      <c r="U229" s="65">
        <v>0</v>
      </c>
      <c r="V229" s="34">
        <v>0</v>
      </c>
      <c r="W229" s="34">
        <v>0</v>
      </c>
      <c r="X229" s="42">
        <v>0</v>
      </c>
      <c r="Y229" s="34">
        <v>2</v>
      </c>
      <c r="Z229" s="34">
        <v>0</v>
      </c>
      <c r="AA229" s="34">
        <v>0</v>
      </c>
      <c r="AB229" s="34">
        <v>0</v>
      </c>
      <c r="AC229" s="34">
        <v>0</v>
      </c>
      <c r="AD229" s="42">
        <v>0.4</v>
      </c>
      <c r="AE229" s="34">
        <v>0</v>
      </c>
      <c r="AF229" s="34">
        <v>0</v>
      </c>
      <c r="AG229" s="34">
        <v>0</v>
      </c>
      <c r="AH229" s="34">
        <v>0</v>
      </c>
      <c r="AI229" s="34">
        <v>0</v>
      </c>
      <c r="AJ229" s="42">
        <v>0</v>
      </c>
      <c r="AK229" s="33">
        <v>2</v>
      </c>
      <c r="AL229" s="33">
        <v>2</v>
      </c>
      <c r="AM229" s="65">
        <v>0</v>
      </c>
      <c r="AN229" s="33">
        <v>3</v>
      </c>
      <c r="AO229" s="34">
        <v>0</v>
      </c>
      <c r="AP229" s="42">
        <v>1.4</v>
      </c>
      <c r="AQ229" s="32">
        <v>2</v>
      </c>
      <c r="AR229" s="34">
        <v>0</v>
      </c>
      <c r="AS229" s="71">
        <v>0</v>
      </c>
      <c r="AT229" s="34">
        <v>0</v>
      </c>
      <c r="AU229" s="34">
        <v>0</v>
      </c>
      <c r="AV229" s="42">
        <v>0.4</v>
      </c>
      <c r="AW229" s="34">
        <v>0</v>
      </c>
      <c r="AX229" s="34">
        <v>0</v>
      </c>
      <c r="AY229" s="34">
        <v>0</v>
      </c>
      <c r="AZ229" s="32">
        <v>3</v>
      </c>
      <c r="BA229" s="70">
        <v>2</v>
      </c>
      <c r="BB229" s="98">
        <v>1</v>
      </c>
    </row>
    <row r="230" spans="1:54" ht="23.1" customHeight="1" x14ac:dyDescent="0.3">
      <c r="A230" s="100">
        <v>226</v>
      </c>
      <c r="B230" s="83" t="s">
        <v>484</v>
      </c>
      <c r="C230" s="84" t="s">
        <v>485</v>
      </c>
      <c r="D230" s="83" t="s">
        <v>450</v>
      </c>
      <c r="E230" s="83" t="s">
        <v>289</v>
      </c>
      <c r="F230" s="83" t="str">
        <f>REPT(CHAR(160),10)&amp;Working!$E230</f>
        <v>          D</v>
      </c>
      <c r="G230" s="74">
        <v>0</v>
      </c>
      <c r="H230" s="74">
        <v>0</v>
      </c>
      <c r="I230" s="74">
        <v>2</v>
      </c>
      <c r="J230" s="74">
        <v>0</v>
      </c>
      <c r="K230" s="85">
        <v>0</v>
      </c>
      <c r="L230" s="80">
        <v>0.4</v>
      </c>
      <c r="M230" s="74">
        <v>0</v>
      </c>
      <c r="N230" s="74">
        <v>3</v>
      </c>
      <c r="O230" s="74">
        <v>3</v>
      </c>
      <c r="P230" s="92">
        <v>0</v>
      </c>
      <c r="Q230" s="93">
        <v>3</v>
      </c>
      <c r="R230" s="42">
        <v>1.8</v>
      </c>
      <c r="S230" s="32">
        <v>0</v>
      </c>
      <c r="T230" s="16">
        <v>0</v>
      </c>
      <c r="U230" s="68">
        <v>0</v>
      </c>
      <c r="V230" s="16">
        <v>0</v>
      </c>
      <c r="W230" s="16">
        <v>0</v>
      </c>
      <c r="X230" s="42">
        <v>0</v>
      </c>
      <c r="Y230" s="16">
        <v>3</v>
      </c>
      <c r="Z230" s="16">
        <v>0</v>
      </c>
      <c r="AA230" s="16">
        <v>0</v>
      </c>
      <c r="AB230" s="16">
        <v>0</v>
      </c>
      <c r="AC230" s="16">
        <v>0</v>
      </c>
      <c r="AD230" s="42">
        <v>0.6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42">
        <v>0</v>
      </c>
      <c r="AK230" s="31">
        <v>2</v>
      </c>
      <c r="AL230" s="31">
        <v>2</v>
      </c>
      <c r="AM230" s="68">
        <v>0</v>
      </c>
      <c r="AN230" s="31">
        <v>3</v>
      </c>
      <c r="AO230" s="16">
        <v>0</v>
      </c>
      <c r="AP230" s="42">
        <v>1.4</v>
      </c>
      <c r="AQ230" s="32">
        <v>0</v>
      </c>
      <c r="AR230" s="16">
        <v>0</v>
      </c>
      <c r="AS230" s="30">
        <v>0</v>
      </c>
      <c r="AT230" s="16">
        <v>0</v>
      </c>
      <c r="AU230" s="16">
        <v>0</v>
      </c>
      <c r="AV230" s="42">
        <v>0</v>
      </c>
      <c r="AW230" s="16">
        <v>0</v>
      </c>
      <c r="AX230" s="16">
        <v>0</v>
      </c>
      <c r="AY230" s="34">
        <v>0</v>
      </c>
      <c r="AZ230" s="32">
        <v>3</v>
      </c>
      <c r="BA230" s="70">
        <v>3</v>
      </c>
      <c r="BB230" s="98">
        <v>1.2</v>
      </c>
    </row>
    <row r="231" spans="1:54" ht="23.1" customHeight="1" x14ac:dyDescent="0.3">
      <c r="A231" s="99">
        <v>227</v>
      </c>
      <c r="B231" s="76" t="s">
        <v>486</v>
      </c>
      <c r="C231" s="77" t="s">
        <v>487</v>
      </c>
      <c r="D231" s="76" t="s">
        <v>450</v>
      </c>
      <c r="E231" s="76" t="s">
        <v>289</v>
      </c>
      <c r="F231" s="76" t="str">
        <f>REPT(CHAR(160),10)&amp;Working!$E231</f>
        <v>          D</v>
      </c>
      <c r="G231" s="78">
        <v>0</v>
      </c>
      <c r="H231" s="78">
        <v>0</v>
      </c>
      <c r="I231" s="78" t="s">
        <v>35</v>
      </c>
      <c r="J231" s="78">
        <v>0</v>
      </c>
      <c r="K231" s="79">
        <v>0</v>
      </c>
      <c r="L231" s="80">
        <v>0</v>
      </c>
      <c r="M231" s="78">
        <v>0</v>
      </c>
      <c r="N231" s="78" t="s">
        <v>582</v>
      </c>
      <c r="O231" s="78" t="s">
        <v>582</v>
      </c>
      <c r="P231" s="96">
        <v>0</v>
      </c>
      <c r="Q231" s="97" t="s">
        <v>582</v>
      </c>
      <c r="R231" s="42"/>
      <c r="S231" s="32">
        <v>0</v>
      </c>
      <c r="T231" s="34">
        <v>0</v>
      </c>
      <c r="U231" s="34">
        <v>0</v>
      </c>
      <c r="V231" s="34">
        <v>0</v>
      </c>
      <c r="W231" s="34">
        <v>0</v>
      </c>
      <c r="X231" s="42">
        <v>0</v>
      </c>
      <c r="Y231" s="34" t="s">
        <v>582</v>
      </c>
      <c r="Z231" s="34">
        <v>0</v>
      </c>
      <c r="AA231" s="34">
        <v>0</v>
      </c>
      <c r="AB231" s="34">
        <v>0</v>
      </c>
      <c r="AC231" s="34">
        <v>0</v>
      </c>
      <c r="AD231" s="42"/>
      <c r="AE231" s="34">
        <v>0</v>
      </c>
      <c r="AF231" s="34">
        <v>0</v>
      </c>
      <c r="AG231" s="34">
        <v>0</v>
      </c>
      <c r="AH231" s="34">
        <v>0</v>
      </c>
      <c r="AI231" s="34">
        <v>0</v>
      </c>
      <c r="AJ231" s="42"/>
      <c r="AK231" s="34" t="s">
        <v>582</v>
      </c>
      <c r="AL231" s="34" t="s">
        <v>582</v>
      </c>
      <c r="AM231" s="34">
        <v>0</v>
      </c>
      <c r="AN231" s="34" t="s">
        <v>582</v>
      </c>
      <c r="AO231" s="34">
        <v>0</v>
      </c>
      <c r="AP231" s="42"/>
      <c r="AQ231" s="32" t="s">
        <v>582</v>
      </c>
      <c r="AR231" s="34">
        <v>0</v>
      </c>
      <c r="AS231" s="71">
        <v>0</v>
      </c>
      <c r="AT231" s="34">
        <v>0</v>
      </c>
      <c r="AU231" s="34">
        <v>0</v>
      </c>
      <c r="AV231" s="42"/>
      <c r="AW231" s="34">
        <v>0</v>
      </c>
      <c r="AX231" s="34">
        <v>0</v>
      </c>
      <c r="AY231" s="34">
        <v>0</v>
      </c>
      <c r="AZ231" s="32" t="s">
        <v>582</v>
      </c>
      <c r="BA231" s="70" t="s">
        <v>582</v>
      </c>
      <c r="BB231" s="98"/>
    </row>
    <row r="232" spans="1:54" ht="23.1" customHeight="1" x14ac:dyDescent="0.3">
      <c r="A232" s="100">
        <v>228</v>
      </c>
      <c r="B232" s="83" t="s">
        <v>541</v>
      </c>
      <c r="C232" s="84" t="s">
        <v>488</v>
      </c>
      <c r="D232" s="83" t="s">
        <v>545</v>
      </c>
      <c r="E232" s="83" t="s">
        <v>289</v>
      </c>
      <c r="F232" s="83" t="str">
        <f>REPT(CHAR(160),10)&amp;Working!$E232</f>
        <v>          D</v>
      </c>
      <c r="G232" s="74">
        <v>0</v>
      </c>
      <c r="H232" s="74">
        <v>0</v>
      </c>
      <c r="I232" s="74" t="s">
        <v>35</v>
      </c>
      <c r="J232" s="74">
        <v>0</v>
      </c>
      <c r="K232" s="85">
        <v>0</v>
      </c>
      <c r="L232" s="80">
        <v>0</v>
      </c>
      <c r="M232" s="74">
        <v>0</v>
      </c>
      <c r="N232" s="74" t="s">
        <v>582</v>
      </c>
      <c r="O232" s="74" t="s">
        <v>582</v>
      </c>
      <c r="P232" s="101">
        <v>0</v>
      </c>
      <c r="Q232" s="73" t="s">
        <v>582</v>
      </c>
      <c r="R232" s="102"/>
      <c r="S232" s="82">
        <v>0</v>
      </c>
      <c r="T232" s="73">
        <v>0</v>
      </c>
      <c r="U232" s="73">
        <v>0</v>
      </c>
      <c r="V232" s="73">
        <v>0</v>
      </c>
      <c r="W232" s="73">
        <v>0</v>
      </c>
      <c r="X232" s="102">
        <v>0</v>
      </c>
      <c r="Y232" s="73" t="s">
        <v>582</v>
      </c>
      <c r="Z232" s="73">
        <v>0</v>
      </c>
      <c r="AA232" s="73">
        <v>0</v>
      </c>
      <c r="AB232" s="73">
        <v>0</v>
      </c>
      <c r="AC232" s="73">
        <v>0</v>
      </c>
      <c r="AD232" s="102"/>
      <c r="AE232" s="73">
        <v>0</v>
      </c>
      <c r="AF232" s="73">
        <v>0</v>
      </c>
      <c r="AG232" s="73">
        <v>0</v>
      </c>
      <c r="AH232" s="73">
        <v>0</v>
      </c>
      <c r="AI232" s="73">
        <v>0</v>
      </c>
      <c r="AJ232" s="102"/>
      <c r="AK232" s="73" t="s">
        <v>582</v>
      </c>
      <c r="AL232" s="73" t="s">
        <v>582</v>
      </c>
      <c r="AM232" s="73">
        <v>0</v>
      </c>
      <c r="AN232" s="73" t="s">
        <v>582</v>
      </c>
      <c r="AO232" s="73">
        <v>0</v>
      </c>
      <c r="AP232" s="102"/>
      <c r="AQ232" s="82" t="s">
        <v>582</v>
      </c>
      <c r="AR232" s="73">
        <v>0</v>
      </c>
      <c r="AS232" s="103">
        <v>0</v>
      </c>
      <c r="AT232" s="73">
        <v>0</v>
      </c>
      <c r="AU232" s="73">
        <v>0</v>
      </c>
      <c r="AV232" s="102"/>
      <c r="AW232" s="73">
        <v>0</v>
      </c>
      <c r="AX232" s="73">
        <v>0</v>
      </c>
      <c r="AY232" s="97">
        <v>0</v>
      </c>
      <c r="AZ232" s="82" t="s">
        <v>582</v>
      </c>
      <c r="BA232" s="70" t="s">
        <v>582</v>
      </c>
      <c r="BB232" s="80"/>
    </row>
    <row r="233" spans="1:54" x14ac:dyDescent="0.3">
      <c r="R233" s="42"/>
      <c r="X233" s="42"/>
      <c r="AD233" s="42"/>
      <c r="AJ233" s="42"/>
      <c r="AK233" s="16"/>
      <c r="AP233" s="42"/>
      <c r="AS233" s="69"/>
      <c r="AV233" s="42"/>
      <c r="BB233" s="42"/>
    </row>
    <row r="234" spans="1:54" x14ac:dyDescent="0.3">
      <c r="R234" s="42"/>
      <c r="X234" s="42"/>
      <c r="AD234" s="42"/>
      <c r="AJ234" s="42"/>
      <c r="AP234" s="42"/>
      <c r="AS234" s="22"/>
      <c r="AV234" s="42"/>
      <c r="BB234" s="42"/>
    </row>
    <row r="235" spans="1:54" x14ac:dyDescent="0.3">
      <c r="R235" s="42"/>
      <c r="X235" s="42"/>
      <c r="AD235" s="42"/>
      <c r="AJ235" s="42"/>
      <c r="AP235" s="42"/>
      <c r="AV235" s="42"/>
      <c r="BB235" s="42"/>
    </row>
    <row r="236" spans="1:54" x14ac:dyDescent="0.3">
      <c r="R236" s="42"/>
      <c r="X236" s="42"/>
      <c r="AD236" s="42"/>
      <c r="AJ236" s="42"/>
      <c r="AP236" s="42"/>
      <c r="AV236" s="42"/>
      <c r="BB236" s="42"/>
    </row>
    <row r="237" spans="1:54" x14ac:dyDescent="0.3">
      <c r="R237" s="42"/>
      <c r="X237" s="42"/>
      <c r="AD237" s="42"/>
      <c r="AJ237" s="42"/>
      <c r="AP237" s="42"/>
      <c r="AV237" s="42"/>
      <c r="BB237" s="42"/>
    </row>
    <row r="238" spans="1:54" x14ac:dyDescent="0.3">
      <c r="R238" s="42"/>
      <c r="X238" s="42"/>
      <c r="AD238" s="42"/>
      <c r="AJ238" s="42"/>
      <c r="AP238" s="42"/>
      <c r="AV238" s="42"/>
      <c r="BB238" s="42"/>
    </row>
    <row r="239" spans="1:54" x14ac:dyDescent="0.3">
      <c r="R239" s="42"/>
      <c r="X239" s="42"/>
      <c r="AD239" s="42"/>
      <c r="AJ239" s="42"/>
      <c r="AP239" s="42"/>
      <c r="AV239" s="42"/>
      <c r="BB239" s="42"/>
    </row>
    <row r="240" spans="1:54" x14ac:dyDescent="0.3">
      <c r="R240" s="42"/>
      <c r="X240" s="42"/>
      <c r="AD240" s="42"/>
      <c r="AJ240" s="42"/>
      <c r="AP240" s="42"/>
      <c r="AV240" s="42"/>
      <c r="BB240" s="42"/>
    </row>
    <row r="241" spans="18:54" x14ac:dyDescent="0.3">
      <c r="R241" s="42"/>
      <c r="X241" s="42"/>
      <c r="AD241" s="42"/>
      <c r="AJ241" s="42"/>
      <c r="AP241" s="42"/>
      <c r="AV241" s="42"/>
      <c r="BB241" s="42"/>
    </row>
    <row r="242" spans="18:54" x14ac:dyDescent="0.3">
      <c r="R242" s="42"/>
      <c r="X242" s="42"/>
      <c r="AD242" s="42"/>
      <c r="AJ242" s="42"/>
      <c r="AP242" s="42"/>
      <c r="AV242" s="42"/>
      <c r="BB242" s="42"/>
    </row>
    <row r="243" spans="18:54" x14ac:dyDescent="0.3">
      <c r="R243" s="42"/>
      <c r="X243" s="42"/>
      <c r="AD243" s="42"/>
      <c r="AJ243" s="42"/>
      <c r="AP243" s="42"/>
      <c r="AV243" s="42"/>
      <c r="BB243" s="42"/>
    </row>
    <row r="244" spans="18:54" x14ac:dyDescent="0.3">
      <c r="R244" s="42"/>
      <c r="X244" s="42"/>
      <c r="AD244" s="42"/>
      <c r="AJ244" s="42"/>
      <c r="AP244" s="42"/>
      <c r="AV244" s="42"/>
      <c r="BB244" s="42"/>
    </row>
    <row r="245" spans="18:54" x14ac:dyDescent="0.3">
      <c r="R245" s="42"/>
      <c r="X245" s="42"/>
      <c r="AD245" s="42"/>
      <c r="AJ245" s="42"/>
      <c r="AP245" s="42"/>
      <c r="AV245" s="42"/>
      <c r="BB245" s="42"/>
    </row>
    <row r="246" spans="18:54" x14ac:dyDescent="0.3">
      <c r="R246" s="42"/>
      <c r="X246" s="42"/>
      <c r="AD246" s="42"/>
      <c r="AJ246" s="42"/>
      <c r="AP246" s="42"/>
      <c r="AV246" s="42"/>
      <c r="BB246" s="42"/>
    </row>
    <row r="247" spans="18:54" x14ac:dyDescent="0.3">
      <c r="R247" s="42"/>
      <c r="X247" s="42"/>
      <c r="AD247" s="42"/>
      <c r="AJ247" s="42"/>
      <c r="AP247" s="42"/>
      <c r="AV247" s="42"/>
      <c r="BB247" s="42"/>
    </row>
    <row r="248" spans="18:54" x14ac:dyDescent="0.3">
      <c r="R248" s="42"/>
      <c r="X248" s="42"/>
      <c r="AD248" s="42"/>
      <c r="AJ248" s="42"/>
      <c r="AP248" s="42"/>
      <c r="AV248" s="42"/>
      <c r="BB248" s="42"/>
    </row>
    <row r="249" spans="18:54" x14ac:dyDescent="0.3">
      <c r="R249" s="42"/>
      <c r="X249" s="42"/>
      <c r="AD249" s="42"/>
      <c r="AJ249" s="42"/>
      <c r="AP249" s="42"/>
      <c r="AV249" s="42"/>
      <c r="BB249" s="42"/>
    </row>
    <row r="250" spans="18:54" x14ac:dyDescent="0.3">
      <c r="R250" s="42"/>
      <c r="X250" s="42"/>
      <c r="AD250" s="42"/>
      <c r="AJ250" s="42"/>
      <c r="AP250" s="42"/>
      <c r="AV250" s="42"/>
      <c r="BB250" s="42"/>
    </row>
    <row r="251" spans="18:54" x14ac:dyDescent="0.3">
      <c r="R251" s="42"/>
      <c r="X251" s="42"/>
      <c r="AD251" s="42"/>
      <c r="AJ251" s="42"/>
      <c r="AP251" s="42"/>
      <c r="AV251" s="42"/>
      <c r="BB251" s="42"/>
    </row>
    <row r="252" spans="18:54" x14ac:dyDescent="0.3">
      <c r="R252" s="42"/>
      <c r="X252" s="42"/>
      <c r="AD252" s="42"/>
      <c r="AJ252" s="42"/>
      <c r="AP252" s="42"/>
      <c r="AV252" s="42"/>
      <c r="BB252" s="42"/>
    </row>
    <row r="253" spans="18:54" x14ac:dyDescent="0.3">
      <c r="R253" s="42"/>
      <c r="X253" s="42"/>
      <c r="AD253" s="42"/>
      <c r="AJ253" s="42"/>
      <c r="AP253" s="42"/>
      <c r="AV253" s="42"/>
      <c r="BB253" s="42"/>
    </row>
    <row r="254" spans="18:54" x14ac:dyDescent="0.3">
      <c r="R254" s="42"/>
      <c r="X254" s="42"/>
      <c r="AD254" s="42"/>
      <c r="AJ254" s="42"/>
      <c r="AP254" s="42"/>
      <c r="AV254" s="42"/>
      <c r="BB254" s="42"/>
    </row>
    <row r="255" spans="18:54" x14ac:dyDescent="0.3">
      <c r="R255" s="42"/>
      <c r="X255" s="42"/>
      <c r="AD255" s="42"/>
      <c r="AJ255" s="42"/>
      <c r="AP255" s="42"/>
      <c r="AV255" s="42"/>
      <c r="BB255" s="42"/>
    </row>
    <row r="256" spans="18:54" x14ac:dyDescent="0.3">
      <c r="R256" s="42"/>
      <c r="X256" s="42"/>
      <c r="AD256" s="42"/>
      <c r="AJ256" s="42"/>
      <c r="AP256" s="42"/>
      <c r="AV256" s="42"/>
      <c r="BB256" s="42"/>
    </row>
    <row r="257" spans="18:54" x14ac:dyDescent="0.3">
      <c r="R257" s="42"/>
      <c r="X257" s="42"/>
      <c r="AD257" s="42"/>
      <c r="AJ257" s="42"/>
      <c r="AP257" s="42"/>
      <c r="AV257" s="42"/>
      <c r="BB257" s="42"/>
    </row>
    <row r="258" spans="18:54" x14ac:dyDescent="0.3">
      <c r="R258" s="42"/>
      <c r="X258" s="42"/>
      <c r="AD258" s="42"/>
      <c r="AJ258" s="42"/>
      <c r="AP258" s="42"/>
      <c r="AV258" s="42"/>
      <c r="BB258" s="42"/>
    </row>
    <row r="259" spans="18:54" x14ac:dyDescent="0.3">
      <c r="R259" s="42"/>
      <c r="X259" s="42"/>
      <c r="AD259" s="42"/>
      <c r="AJ259" s="42"/>
      <c r="AP259" s="42"/>
      <c r="AV259" s="42"/>
      <c r="BB259" s="42"/>
    </row>
    <row r="260" spans="18:54" x14ac:dyDescent="0.3">
      <c r="R260" s="42"/>
      <c r="X260" s="42"/>
      <c r="AD260" s="42"/>
      <c r="AJ260" s="42"/>
      <c r="AP260" s="42"/>
      <c r="AV260" s="42"/>
      <c r="BB260" s="42"/>
    </row>
    <row r="261" spans="18:54" x14ac:dyDescent="0.3">
      <c r="R261" s="42"/>
      <c r="X261" s="42"/>
      <c r="AD261" s="42"/>
      <c r="AJ261" s="42"/>
      <c r="AP261" s="42"/>
      <c r="AV261" s="42"/>
      <c r="BB261" s="42"/>
    </row>
    <row r="262" spans="18:54" x14ac:dyDescent="0.3">
      <c r="R262" s="42"/>
      <c r="X262" s="42"/>
      <c r="AD262" s="42"/>
      <c r="AJ262" s="42"/>
      <c r="AP262" s="42"/>
      <c r="AV262" s="42"/>
      <c r="BB262" s="42"/>
    </row>
    <row r="263" spans="18:54" x14ac:dyDescent="0.3">
      <c r="R263" s="42"/>
      <c r="X263" s="42"/>
      <c r="AD263" s="42"/>
      <c r="AJ263" s="42"/>
      <c r="AP263" s="42"/>
      <c r="AV263" s="42"/>
      <c r="BB263" s="42"/>
    </row>
    <row r="264" spans="18:54" x14ac:dyDescent="0.3">
      <c r="R264" s="42"/>
      <c r="X264" s="42"/>
      <c r="AD264" s="42"/>
      <c r="AJ264" s="42"/>
      <c r="AP264" s="42"/>
      <c r="AV264" s="42"/>
      <c r="BB264" s="42"/>
    </row>
    <row r="265" spans="18:54" x14ac:dyDescent="0.3">
      <c r="R265" s="42"/>
      <c r="X265" s="42"/>
      <c r="AD265" s="42"/>
      <c r="AJ265" s="42"/>
      <c r="AP265" s="42"/>
      <c r="AV265" s="42"/>
      <c r="BB265" s="42"/>
    </row>
    <row r="266" spans="18:54" x14ac:dyDescent="0.3">
      <c r="R266" s="42"/>
      <c r="X266" s="42"/>
      <c r="AD266" s="42"/>
      <c r="AJ266" s="42"/>
      <c r="AP266" s="42"/>
      <c r="AV266" s="42"/>
      <c r="BB266" s="42"/>
    </row>
    <row r="267" spans="18:54" x14ac:dyDescent="0.3">
      <c r="R267" s="42"/>
      <c r="X267" s="42"/>
      <c r="AD267" s="42"/>
      <c r="AJ267" s="42"/>
      <c r="AP267" s="42"/>
      <c r="AV267" s="42"/>
      <c r="BB267" s="42"/>
    </row>
    <row r="268" spans="18:54" x14ac:dyDescent="0.3">
      <c r="R268" s="42"/>
      <c r="X268" s="42"/>
      <c r="AD268" s="42"/>
      <c r="AJ268" s="42"/>
      <c r="AP268" s="42"/>
      <c r="AV268" s="42"/>
      <c r="BB268" s="42"/>
    </row>
    <row r="269" spans="18:54" x14ac:dyDescent="0.3">
      <c r="R269" s="42"/>
      <c r="X269" s="42"/>
      <c r="AD269" s="42"/>
      <c r="AJ269" s="42"/>
      <c r="AP269" s="42"/>
      <c r="AV269" s="42"/>
      <c r="BB269" s="42"/>
    </row>
    <row r="270" spans="18:54" x14ac:dyDescent="0.3">
      <c r="R270" s="42"/>
      <c r="X270" s="42"/>
      <c r="AD270" s="42"/>
      <c r="AJ270" s="42"/>
      <c r="AP270" s="42"/>
      <c r="AV270" s="42"/>
      <c r="BB270" s="42"/>
    </row>
    <row r="271" spans="18:54" x14ac:dyDescent="0.3">
      <c r="R271" s="42"/>
      <c r="X271" s="42"/>
      <c r="AD271" s="42"/>
      <c r="AJ271" s="42"/>
      <c r="AP271" s="42"/>
      <c r="AV271" s="42"/>
      <c r="BB271" s="42"/>
    </row>
    <row r="272" spans="18:54" x14ac:dyDescent="0.3">
      <c r="R272" s="42"/>
      <c r="X272" s="42"/>
      <c r="AD272" s="42"/>
      <c r="AJ272" s="42"/>
      <c r="AP272" s="42"/>
      <c r="AV272" s="42"/>
      <c r="BB272" s="42"/>
    </row>
    <row r="273" spans="18:54" x14ac:dyDescent="0.3">
      <c r="R273" s="42"/>
      <c r="X273" s="42"/>
      <c r="AD273" s="42"/>
      <c r="AJ273" s="42"/>
      <c r="AP273" s="42"/>
      <c r="AV273" s="42"/>
      <c r="BB273" s="42"/>
    </row>
    <row r="274" spans="18:54" x14ac:dyDescent="0.3">
      <c r="R274" s="42"/>
      <c r="X274" s="42"/>
      <c r="AD274" s="42"/>
      <c r="AJ274" s="42"/>
      <c r="AP274" s="42"/>
      <c r="AV274" s="42"/>
      <c r="BB274" s="42"/>
    </row>
    <row r="275" spans="18:54" x14ac:dyDescent="0.3">
      <c r="R275" s="42"/>
      <c r="X275" s="42"/>
      <c r="AD275" s="42"/>
      <c r="AJ275" s="42"/>
      <c r="AP275" s="42"/>
      <c r="AV275" s="42"/>
      <c r="BB275" s="42"/>
    </row>
    <row r="276" spans="18:54" x14ac:dyDescent="0.3">
      <c r="R276" s="42"/>
      <c r="X276" s="42"/>
      <c r="AD276" s="42"/>
      <c r="AJ276" s="42"/>
      <c r="AP276" s="42"/>
      <c r="AV276" s="42"/>
      <c r="BB276" s="42"/>
    </row>
    <row r="277" spans="18:54" x14ac:dyDescent="0.3">
      <c r="R277" s="42"/>
      <c r="X277" s="42"/>
      <c r="AD277" s="42"/>
      <c r="AJ277" s="42"/>
      <c r="AP277" s="42"/>
      <c r="AV277" s="42"/>
      <c r="BB277" s="42"/>
    </row>
    <row r="278" spans="18:54" x14ac:dyDescent="0.3">
      <c r="R278" s="42"/>
      <c r="X278" s="42"/>
      <c r="AD278" s="42"/>
      <c r="AJ278" s="42"/>
      <c r="AP278" s="42"/>
      <c r="AV278" s="42"/>
      <c r="BB278" s="42"/>
    </row>
    <row r="279" spans="18:54" x14ac:dyDescent="0.3">
      <c r="R279" s="42"/>
      <c r="X279" s="42"/>
      <c r="AD279" s="42"/>
      <c r="AJ279" s="42"/>
      <c r="AP279" s="42"/>
      <c r="AV279" s="42"/>
      <c r="BB279" s="42"/>
    </row>
    <row r="280" spans="18:54" x14ac:dyDescent="0.3">
      <c r="R280" s="42"/>
      <c r="X280" s="42"/>
      <c r="AD280" s="42"/>
      <c r="AJ280" s="42"/>
      <c r="AP280" s="42"/>
      <c r="AV280" s="42"/>
      <c r="BB280" s="42"/>
    </row>
    <row r="281" spans="18:54" x14ac:dyDescent="0.3">
      <c r="R281" s="42"/>
      <c r="X281" s="42"/>
      <c r="AD281" s="42"/>
      <c r="AJ281" s="42"/>
      <c r="AP281" s="42"/>
      <c r="AV281" s="42"/>
      <c r="BB281" s="42"/>
    </row>
    <row r="282" spans="18:54" x14ac:dyDescent="0.3">
      <c r="R282" s="42"/>
      <c r="X282" s="42"/>
      <c r="AD282" s="42"/>
      <c r="AJ282" s="42"/>
      <c r="AP282" s="42"/>
      <c r="AV282" s="42"/>
      <c r="BB282" s="42"/>
    </row>
    <row r="283" spans="18:54" x14ac:dyDescent="0.3">
      <c r="R283" s="42"/>
      <c r="X283" s="42"/>
      <c r="AD283" s="42"/>
      <c r="AJ283" s="42"/>
      <c r="AP283" s="42"/>
      <c r="AV283" s="42"/>
      <c r="BB283" s="42"/>
    </row>
    <row r="284" spans="18:54" x14ac:dyDescent="0.3">
      <c r="R284" s="42"/>
      <c r="X284" s="42"/>
      <c r="AD284" s="42"/>
      <c r="AJ284" s="42"/>
      <c r="AP284" s="42"/>
      <c r="AV284" s="42"/>
      <c r="BB284" s="42"/>
    </row>
    <row r="285" spans="18:54" x14ac:dyDescent="0.3">
      <c r="R285" s="42"/>
      <c r="X285" s="42"/>
      <c r="AD285" s="42"/>
      <c r="AJ285" s="42"/>
      <c r="AP285" s="42"/>
      <c r="AV285" s="42"/>
      <c r="BB285" s="42"/>
    </row>
    <row r="286" spans="18:54" x14ac:dyDescent="0.3">
      <c r="R286" s="42"/>
      <c r="X286" s="42"/>
      <c r="AD286" s="42"/>
      <c r="AJ286" s="42"/>
      <c r="AP286" s="42"/>
      <c r="AV286" s="42"/>
      <c r="BB286" s="42"/>
    </row>
    <row r="287" spans="18:54" x14ac:dyDescent="0.3">
      <c r="R287" s="42"/>
      <c r="X287" s="42"/>
      <c r="AD287" s="42"/>
      <c r="AJ287" s="42"/>
      <c r="AP287" s="42"/>
      <c r="AV287" s="42"/>
      <c r="BB287" s="42"/>
    </row>
    <row r="288" spans="18:54" x14ac:dyDescent="0.3">
      <c r="R288" s="42"/>
      <c r="X288" s="42"/>
      <c r="AD288" s="42"/>
      <c r="AJ288" s="42"/>
      <c r="AP288" s="42"/>
      <c r="AV288" s="42"/>
      <c r="BB288" s="42"/>
    </row>
    <row r="289" spans="18:54" x14ac:dyDescent="0.3">
      <c r="R289" s="42"/>
      <c r="X289" s="42"/>
      <c r="AD289" s="42"/>
      <c r="AJ289" s="42"/>
      <c r="AP289" s="42"/>
      <c r="AV289" s="42"/>
      <c r="BB289" s="42"/>
    </row>
    <row r="290" spans="18:54" x14ac:dyDescent="0.3">
      <c r="R290" s="42"/>
      <c r="X290" s="42"/>
      <c r="AD290" s="42"/>
      <c r="AJ290" s="42"/>
      <c r="AP290" s="42"/>
      <c r="AV290" s="42"/>
      <c r="BB290" s="42"/>
    </row>
    <row r="291" spans="18:54" x14ac:dyDescent="0.3">
      <c r="R291" s="42"/>
      <c r="X291" s="42"/>
      <c r="AD291" s="42"/>
      <c r="AJ291" s="42"/>
      <c r="AP291" s="42"/>
      <c r="AV291" s="42"/>
      <c r="BB291" s="42"/>
    </row>
    <row r="292" spans="18:54" x14ac:dyDescent="0.3">
      <c r="R292" s="42"/>
      <c r="X292" s="42"/>
      <c r="AD292" s="42"/>
      <c r="AJ292" s="42"/>
      <c r="AP292" s="42"/>
      <c r="AV292" s="42"/>
      <c r="BB292" s="42"/>
    </row>
    <row r="293" spans="18:54" x14ac:dyDescent="0.3">
      <c r="R293" s="42"/>
      <c r="X293" s="42"/>
      <c r="AD293" s="42"/>
      <c r="AJ293" s="42"/>
      <c r="AP293" s="42"/>
      <c r="AV293" s="42"/>
      <c r="BB293" s="42"/>
    </row>
    <row r="294" spans="18:54" x14ac:dyDescent="0.3">
      <c r="R294" s="42"/>
      <c r="X294" s="42"/>
      <c r="AD294" s="42"/>
      <c r="AJ294" s="42"/>
      <c r="AP294" s="42"/>
      <c r="AV294" s="42"/>
      <c r="BB294" s="42"/>
    </row>
    <row r="295" spans="18:54" x14ac:dyDescent="0.3">
      <c r="R295" s="42"/>
      <c r="X295" s="42"/>
      <c r="AD295" s="42"/>
      <c r="AJ295" s="42"/>
      <c r="AP295" s="42"/>
      <c r="AV295" s="42"/>
      <c r="BB295" s="42"/>
    </row>
    <row r="296" spans="18:54" x14ac:dyDescent="0.3">
      <c r="R296" s="42"/>
      <c r="X296" s="42"/>
      <c r="AD296" s="42"/>
      <c r="AJ296" s="42"/>
      <c r="AP296" s="42"/>
      <c r="AV296" s="42"/>
      <c r="BB296" s="42"/>
    </row>
    <row r="297" spans="18:54" x14ac:dyDescent="0.3">
      <c r="R297" s="42"/>
      <c r="X297" s="42"/>
      <c r="AD297" s="42"/>
      <c r="AJ297" s="42"/>
      <c r="AP297" s="42"/>
      <c r="AV297" s="42"/>
      <c r="BB297" s="42"/>
    </row>
    <row r="298" spans="18:54" x14ac:dyDescent="0.3">
      <c r="R298" s="42"/>
      <c r="X298" s="42"/>
      <c r="AD298" s="42"/>
      <c r="AJ298" s="42"/>
      <c r="AP298" s="42"/>
      <c r="AV298" s="42"/>
      <c r="BB298" s="42"/>
    </row>
    <row r="299" spans="18:54" x14ac:dyDescent="0.3">
      <c r="R299" s="42"/>
      <c r="X299" s="42"/>
      <c r="AD299" s="42"/>
      <c r="AJ299" s="42"/>
      <c r="AP299" s="42"/>
      <c r="AV299" s="42"/>
      <c r="BB299" s="42"/>
    </row>
    <row r="300" spans="18:54" x14ac:dyDescent="0.3">
      <c r="R300" s="42"/>
      <c r="X300" s="42"/>
      <c r="AD300" s="42"/>
      <c r="AJ300" s="42"/>
      <c r="AP300" s="42"/>
      <c r="AV300" s="42"/>
      <c r="BB300" s="42"/>
    </row>
    <row r="301" spans="18:54" x14ac:dyDescent="0.3">
      <c r="R301" s="42"/>
      <c r="X301" s="42"/>
      <c r="AD301" s="42"/>
      <c r="AJ301" s="42"/>
      <c r="AP301" s="42"/>
      <c r="AV301" s="42"/>
      <c r="BB301" s="42"/>
    </row>
    <row r="302" spans="18:54" x14ac:dyDescent="0.3">
      <c r="R302" s="42"/>
      <c r="X302" s="42"/>
      <c r="AD302" s="42"/>
      <c r="AJ302" s="42"/>
      <c r="AP302" s="42"/>
      <c r="AV302" s="42"/>
      <c r="BB302" s="42"/>
    </row>
    <row r="303" spans="18:54" x14ac:dyDescent="0.3">
      <c r="R303" s="42"/>
      <c r="X303" s="42"/>
      <c r="AD303" s="42"/>
      <c r="AJ303" s="42"/>
      <c r="AP303" s="42"/>
      <c r="AV303" s="42"/>
      <c r="BB303" s="42"/>
    </row>
    <row r="304" spans="18:54" x14ac:dyDescent="0.3">
      <c r="R304" s="42"/>
      <c r="X304" s="42"/>
      <c r="AD304" s="42"/>
      <c r="AJ304" s="42"/>
      <c r="AP304" s="42"/>
      <c r="AV304" s="42"/>
      <c r="BB304" s="42"/>
    </row>
    <row r="305" spans="18:54" x14ac:dyDescent="0.3">
      <c r="R305" s="42"/>
      <c r="X305" s="42"/>
      <c r="AD305" s="42"/>
      <c r="AJ305" s="42"/>
      <c r="AP305" s="42"/>
      <c r="AV305" s="42"/>
      <c r="BB305" s="42"/>
    </row>
    <row r="306" spans="18:54" x14ac:dyDescent="0.3">
      <c r="R306" s="42"/>
      <c r="X306" s="42"/>
      <c r="AD306" s="42"/>
      <c r="AJ306" s="42"/>
      <c r="AP306" s="42"/>
      <c r="AV306" s="42"/>
      <c r="BB306" s="42"/>
    </row>
    <row r="307" spans="18:54" x14ac:dyDescent="0.3">
      <c r="R307" s="42"/>
      <c r="X307" s="42"/>
      <c r="AD307" s="42"/>
      <c r="AJ307" s="42"/>
      <c r="AP307" s="42"/>
      <c r="AV307" s="42"/>
      <c r="BB307" s="42"/>
    </row>
    <row r="308" spans="18:54" x14ac:dyDescent="0.3">
      <c r="R308" s="42"/>
      <c r="X308" s="42"/>
      <c r="AD308" s="42"/>
      <c r="AJ308" s="42"/>
      <c r="AP308" s="42"/>
      <c r="AV308" s="42"/>
      <c r="BB308" s="42"/>
    </row>
    <row r="309" spans="18:54" x14ac:dyDescent="0.3">
      <c r="R309" s="42"/>
      <c r="X309" s="42"/>
      <c r="AD309" s="42"/>
      <c r="AJ309" s="42"/>
      <c r="AP309" s="42"/>
      <c r="AV309" s="42"/>
      <c r="BB309" s="42"/>
    </row>
    <row r="310" spans="18:54" x14ac:dyDescent="0.3">
      <c r="R310" s="42"/>
      <c r="X310" s="42"/>
      <c r="AD310" s="42"/>
      <c r="AJ310" s="42"/>
      <c r="AP310" s="42"/>
      <c r="AV310" s="42"/>
      <c r="BB310" s="42"/>
    </row>
    <row r="311" spans="18:54" x14ac:dyDescent="0.3">
      <c r="R311" s="42"/>
      <c r="X311" s="42"/>
      <c r="AD311" s="42"/>
      <c r="AJ311" s="42"/>
      <c r="AP311" s="42"/>
      <c r="AV311" s="42"/>
      <c r="BB311" s="42"/>
    </row>
    <row r="312" spans="18:54" x14ac:dyDescent="0.3">
      <c r="R312" s="42"/>
      <c r="X312" s="42"/>
      <c r="AD312" s="42"/>
      <c r="AJ312" s="42"/>
      <c r="AP312" s="42"/>
      <c r="AV312" s="42"/>
      <c r="BB312" s="42"/>
    </row>
    <row r="313" spans="18:54" x14ac:dyDescent="0.3">
      <c r="R313" s="42"/>
      <c r="X313" s="42"/>
      <c r="AD313" s="42"/>
      <c r="AJ313" s="42"/>
      <c r="AP313" s="42"/>
      <c r="AV313" s="42"/>
      <c r="BB313" s="42"/>
    </row>
    <row r="314" spans="18:54" x14ac:dyDescent="0.3">
      <c r="R314" s="42"/>
      <c r="X314" s="42"/>
      <c r="AD314" s="42"/>
      <c r="AJ314" s="42"/>
      <c r="AP314" s="42"/>
      <c r="AV314" s="42"/>
      <c r="BB314" s="42"/>
    </row>
    <row r="315" spans="18:54" x14ac:dyDescent="0.3">
      <c r="R315" s="42"/>
      <c r="X315" s="42"/>
      <c r="AD315" s="42"/>
      <c r="AJ315" s="42"/>
      <c r="AP315" s="42"/>
      <c r="AV315" s="42"/>
      <c r="BB315" s="42"/>
    </row>
    <row r="316" spans="18:54" x14ac:dyDescent="0.3">
      <c r="R316" s="42"/>
      <c r="X316" s="42"/>
      <c r="AD316" s="42"/>
      <c r="AJ316" s="42"/>
      <c r="AP316" s="42"/>
      <c r="AV316" s="42"/>
      <c r="BB316" s="42"/>
    </row>
    <row r="317" spans="18:54" x14ac:dyDescent="0.3">
      <c r="R317" s="42"/>
      <c r="X317" s="42"/>
      <c r="AD317" s="42"/>
      <c r="AJ317" s="42"/>
      <c r="AP317" s="42"/>
      <c r="AV317" s="42"/>
      <c r="BB317" s="42"/>
    </row>
    <row r="318" spans="18:54" x14ac:dyDescent="0.3">
      <c r="R318" s="42"/>
      <c r="X318" s="42"/>
      <c r="AD318" s="42"/>
      <c r="AJ318" s="42"/>
      <c r="AP318" s="42"/>
      <c r="AV318" s="42"/>
      <c r="BB318" s="42"/>
    </row>
    <row r="319" spans="18:54" x14ac:dyDescent="0.3">
      <c r="R319" s="42"/>
      <c r="X319" s="42"/>
      <c r="AD319" s="42"/>
      <c r="AJ319" s="42"/>
      <c r="AP319" s="42"/>
      <c r="AV319" s="42"/>
      <c r="BB319" s="42"/>
    </row>
    <row r="320" spans="18:54" x14ac:dyDescent="0.3">
      <c r="R320" s="42"/>
      <c r="X320" s="42"/>
      <c r="AD320" s="42"/>
      <c r="AJ320" s="42"/>
      <c r="AP320" s="42"/>
      <c r="AV320" s="42"/>
      <c r="BB320" s="42"/>
    </row>
    <row r="321" spans="18:54" x14ac:dyDescent="0.3">
      <c r="R321" s="42"/>
      <c r="X321" s="42"/>
      <c r="AD321" s="42"/>
      <c r="AJ321" s="42"/>
      <c r="AP321" s="42"/>
      <c r="AV321" s="42"/>
      <c r="BB321" s="42"/>
    </row>
    <row r="322" spans="18:54" x14ac:dyDescent="0.3">
      <c r="R322" s="42"/>
      <c r="X322" s="42"/>
      <c r="AD322" s="42"/>
      <c r="AJ322" s="42"/>
      <c r="AP322" s="42"/>
      <c r="AV322" s="42"/>
      <c r="BB322" s="42"/>
    </row>
    <row r="323" spans="18:54" x14ac:dyDescent="0.3">
      <c r="R323" s="42"/>
      <c r="X323" s="42"/>
      <c r="AD323" s="42"/>
      <c r="AJ323" s="42"/>
      <c r="AP323" s="42"/>
      <c r="AV323" s="42"/>
      <c r="BB323" s="42"/>
    </row>
    <row r="324" spans="18:54" x14ac:dyDescent="0.3">
      <c r="R324" s="42"/>
      <c r="X324" s="42"/>
      <c r="AD324" s="42"/>
      <c r="AJ324" s="42"/>
      <c r="AP324" s="42"/>
      <c r="AV324" s="42"/>
      <c r="BB324" s="42"/>
    </row>
    <row r="325" spans="18:54" x14ac:dyDescent="0.3">
      <c r="R325" s="42"/>
      <c r="X325" s="42"/>
      <c r="AD325" s="42"/>
      <c r="AJ325" s="42"/>
      <c r="AP325" s="42"/>
      <c r="AV325" s="42"/>
      <c r="BB325" s="42"/>
    </row>
    <row r="326" spans="18:54" x14ac:dyDescent="0.3">
      <c r="R326" s="42"/>
      <c r="X326" s="42"/>
      <c r="AD326" s="42"/>
      <c r="AJ326" s="42"/>
      <c r="AP326" s="42"/>
      <c r="AV326" s="42"/>
      <c r="BB326" s="42"/>
    </row>
    <row r="327" spans="18:54" x14ac:dyDescent="0.3">
      <c r="R327" s="42"/>
      <c r="X327" s="42"/>
      <c r="AD327" s="42"/>
      <c r="AJ327" s="42"/>
      <c r="AP327" s="42"/>
      <c r="AV327" s="42"/>
      <c r="BB327" s="42"/>
    </row>
    <row r="328" spans="18:54" x14ac:dyDescent="0.3">
      <c r="R328" s="42"/>
      <c r="X328" s="42"/>
      <c r="AD328" s="42"/>
      <c r="AJ328" s="42"/>
      <c r="AP328" s="42"/>
      <c r="AV328" s="42"/>
      <c r="BB328" s="42"/>
    </row>
    <row r="329" spans="18:54" x14ac:dyDescent="0.3">
      <c r="R329" s="42"/>
      <c r="X329" s="42"/>
      <c r="AD329" s="42"/>
      <c r="AJ329" s="42"/>
      <c r="AP329" s="42"/>
      <c r="AV329" s="42"/>
      <c r="BB329" s="42"/>
    </row>
    <row r="330" spans="18:54" x14ac:dyDescent="0.3">
      <c r="R330" s="42"/>
      <c r="X330" s="42"/>
      <c r="AD330" s="42"/>
      <c r="AJ330" s="42"/>
      <c r="AP330" s="42"/>
      <c r="AV330" s="42"/>
      <c r="BB330" s="42"/>
    </row>
    <row r="331" spans="18:54" x14ac:dyDescent="0.3">
      <c r="R331" s="42"/>
      <c r="X331" s="42"/>
      <c r="AD331" s="42"/>
      <c r="AJ331" s="42"/>
      <c r="AP331" s="42"/>
      <c r="AV331" s="42"/>
      <c r="BB331" s="42"/>
    </row>
    <row r="332" spans="18:54" x14ac:dyDescent="0.3">
      <c r="R332" s="42"/>
      <c r="X332" s="42"/>
      <c r="AD332" s="42"/>
      <c r="AJ332" s="42"/>
      <c r="AP332" s="42"/>
      <c r="AV332" s="42"/>
      <c r="BB332" s="42"/>
    </row>
    <row r="333" spans="18:54" x14ac:dyDescent="0.3">
      <c r="R333" s="42"/>
      <c r="X333" s="42"/>
      <c r="AD333" s="42"/>
      <c r="AJ333" s="42"/>
      <c r="AP333" s="42"/>
      <c r="AV333" s="42"/>
      <c r="BB333" s="42"/>
    </row>
    <row r="334" spans="18:54" x14ac:dyDescent="0.3">
      <c r="R334" s="42"/>
      <c r="X334" s="42"/>
      <c r="AD334" s="42"/>
      <c r="AJ334" s="42"/>
      <c r="AP334" s="42"/>
      <c r="AV334" s="42"/>
      <c r="BB334" s="42"/>
    </row>
    <row r="335" spans="18:54" x14ac:dyDescent="0.3">
      <c r="R335" s="42"/>
      <c r="X335" s="42"/>
      <c r="AD335" s="42"/>
      <c r="AJ335" s="42"/>
      <c r="AP335" s="42"/>
      <c r="AV335" s="42"/>
      <c r="BB335" s="42"/>
    </row>
    <row r="336" spans="18:54" x14ac:dyDescent="0.3">
      <c r="R336" s="42"/>
      <c r="X336" s="42"/>
      <c r="AD336" s="42"/>
      <c r="AJ336" s="42"/>
      <c r="AP336" s="42"/>
      <c r="AV336" s="42"/>
      <c r="BB336" s="42"/>
    </row>
    <row r="337" spans="18:54" x14ac:dyDescent="0.3">
      <c r="R337" s="42"/>
      <c r="X337" s="42"/>
      <c r="AD337" s="42"/>
      <c r="AJ337" s="42"/>
      <c r="AP337" s="42"/>
      <c r="AV337" s="42"/>
      <c r="BB337" s="42"/>
    </row>
    <row r="338" spans="18:54" x14ac:dyDescent="0.3">
      <c r="R338" s="42"/>
      <c r="X338" s="42"/>
      <c r="AD338" s="42"/>
      <c r="AJ338" s="42"/>
      <c r="AP338" s="42"/>
      <c r="AV338" s="42"/>
      <c r="BB338" s="42"/>
    </row>
    <row r="339" spans="18:54" x14ac:dyDescent="0.3">
      <c r="R339" s="42"/>
      <c r="X339" s="42"/>
      <c r="AD339" s="42"/>
      <c r="AJ339" s="42"/>
      <c r="AP339" s="42"/>
      <c r="AV339" s="42"/>
      <c r="BB339" s="42"/>
    </row>
    <row r="340" spans="18:54" x14ac:dyDescent="0.3">
      <c r="R340" s="42"/>
      <c r="X340" s="42"/>
      <c r="AD340" s="42"/>
      <c r="AJ340" s="42"/>
      <c r="AP340" s="42"/>
      <c r="AV340" s="42"/>
      <c r="BB340" s="42"/>
    </row>
    <row r="341" spans="18:54" x14ac:dyDescent="0.3">
      <c r="R341" s="42"/>
      <c r="X341" s="42"/>
      <c r="AD341" s="42"/>
      <c r="AJ341" s="42"/>
      <c r="AP341" s="42"/>
      <c r="AV341" s="42"/>
      <c r="BB341" s="42"/>
    </row>
    <row r="342" spans="18:54" x14ac:dyDescent="0.3">
      <c r="R342" s="42"/>
      <c r="X342" s="42"/>
      <c r="AD342" s="42"/>
      <c r="AJ342" s="42"/>
      <c r="AP342" s="42"/>
      <c r="AV342" s="42"/>
      <c r="BB342" s="42"/>
    </row>
    <row r="343" spans="18:54" x14ac:dyDescent="0.3">
      <c r="R343" s="42"/>
      <c r="X343" s="42"/>
      <c r="AD343" s="42"/>
      <c r="AJ343" s="42"/>
      <c r="AP343" s="42"/>
      <c r="AV343" s="42"/>
      <c r="BB343" s="42"/>
    </row>
    <row r="344" spans="18:54" x14ac:dyDescent="0.3">
      <c r="R344" s="42"/>
      <c r="X344" s="42"/>
      <c r="AD344" s="42"/>
      <c r="AJ344" s="42"/>
      <c r="AP344" s="42"/>
      <c r="AV344" s="42"/>
      <c r="BB344" s="42"/>
    </row>
    <row r="345" spans="18:54" x14ac:dyDescent="0.3">
      <c r="R345" s="42"/>
      <c r="X345" s="42"/>
      <c r="AD345" s="42"/>
      <c r="AJ345" s="42"/>
      <c r="AP345" s="42"/>
      <c r="AV345" s="42"/>
      <c r="BB345" s="42"/>
    </row>
    <row r="346" spans="18:54" x14ac:dyDescent="0.3">
      <c r="R346" s="42"/>
      <c r="X346" s="42"/>
      <c r="AD346" s="42"/>
      <c r="AJ346" s="42"/>
      <c r="AP346" s="42"/>
      <c r="AV346" s="42"/>
      <c r="BB346" s="42"/>
    </row>
    <row r="347" spans="18:54" x14ac:dyDescent="0.3">
      <c r="R347" s="42"/>
      <c r="X347" s="42"/>
      <c r="AD347" s="42"/>
      <c r="AJ347" s="42"/>
      <c r="AP347" s="42"/>
      <c r="AV347" s="42"/>
      <c r="BB347" s="42"/>
    </row>
    <row r="348" spans="18:54" x14ac:dyDescent="0.3">
      <c r="R348" s="42"/>
      <c r="X348" s="42"/>
      <c r="AD348" s="42"/>
      <c r="AJ348" s="42"/>
      <c r="AP348" s="42"/>
      <c r="AV348" s="42"/>
      <c r="BB348" s="42"/>
    </row>
    <row r="349" spans="18:54" x14ac:dyDescent="0.3">
      <c r="R349" s="42"/>
      <c r="X349" s="42"/>
      <c r="AD349" s="42"/>
      <c r="AJ349" s="42"/>
      <c r="AP349" s="42"/>
      <c r="AV349" s="42"/>
      <c r="BB349" s="42"/>
    </row>
    <row r="350" spans="18:54" x14ac:dyDescent="0.3">
      <c r="R350" s="42"/>
      <c r="X350" s="42"/>
      <c r="AD350" s="42"/>
      <c r="AJ350" s="42"/>
      <c r="AP350" s="42"/>
      <c r="AV350" s="42"/>
      <c r="BB350" s="42"/>
    </row>
    <row r="351" spans="18:54" x14ac:dyDescent="0.3">
      <c r="R351" s="42"/>
      <c r="X351" s="42"/>
      <c r="AD351" s="42"/>
      <c r="AJ351" s="42"/>
      <c r="AP351" s="42"/>
      <c r="AV351" s="42"/>
      <c r="BB351" s="42"/>
    </row>
    <row r="352" spans="18:54" x14ac:dyDescent="0.3">
      <c r="R352" s="42"/>
      <c r="X352" s="42"/>
      <c r="AD352" s="42"/>
      <c r="AJ352" s="42"/>
      <c r="AP352" s="42"/>
      <c r="AV352" s="42"/>
      <c r="BB352" s="42"/>
    </row>
    <row r="353" spans="18:54" x14ac:dyDescent="0.3">
      <c r="R353" s="42"/>
      <c r="X353" s="42"/>
      <c r="AD353" s="42"/>
      <c r="AJ353" s="42"/>
      <c r="AP353" s="42"/>
      <c r="AV353" s="42"/>
      <c r="BB353" s="42"/>
    </row>
    <row r="354" spans="18:54" x14ac:dyDescent="0.3">
      <c r="R354" s="42"/>
      <c r="X354" s="42"/>
      <c r="AD354" s="42"/>
      <c r="AJ354" s="42"/>
      <c r="AP354" s="42"/>
      <c r="AV354" s="42"/>
      <c r="BB354" s="42"/>
    </row>
    <row r="355" spans="18:54" x14ac:dyDescent="0.3">
      <c r="R355" s="42"/>
      <c r="X355" s="42"/>
      <c r="AD355" s="42"/>
      <c r="AJ355" s="42"/>
      <c r="AP355" s="42"/>
      <c r="AV355" s="42"/>
      <c r="BB355" s="42"/>
    </row>
    <row r="356" spans="18:54" x14ac:dyDescent="0.3">
      <c r="R356" s="42"/>
      <c r="X356" s="42"/>
      <c r="AD356" s="42"/>
      <c r="AJ356" s="42"/>
      <c r="AP356" s="42"/>
      <c r="AV356" s="42"/>
      <c r="BB356" s="42"/>
    </row>
    <row r="357" spans="18:54" x14ac:dyDescent="0.3">
      <c r="R357" s="42"/>
      <c r="X357" s="42"/>
      <c r="AD357" s="42"/>
      <c r="AJ357" s="42"/>
      <c r="AP357" s="42"/>
      <c r="AV357" s="42"/>
      <c r="BB357" s="42"/>
    </row>
    <row r="358" spans="18:54" x14ac:dyDescent="0.3">
      <c r="R358" s="42"/>
      <c r="X358" s="42"/>
      <c r="AD358" s="42"/>
      <c r="AJ358" s="42"/>
      <c r="AP358" s="42"/>
      <c r="AV358" s="42"/>
      <c r="BB358" s="42"/>
    </row>
    <row r="359" spans="18:54" x14ac:dyDescent="0.3">
      <c r="R359" s="42"/>
      <c r="X359" s="42"/>
      <c r="AD359" s="42"/>
      <c r="AJ359" s="42"/>
      <c r="AP359" s="42"/>
      <c r="AV359" s="42"/>
      <c r="BB359" s="42"/>
    </row>
    <row r="360" spans="18:54" x14ac:dyDescent="0.3">
      <c r="R360" s="42"/>
      <c r="X360" s="42"/>
      <c r="AD360" s="42"/>
      <c r="AJ360" s="42"/>
      <c r="AP360" s="42"/>
      <c r="AV360" s="42"/>
      <c r="BB360" s="42"/>
    </row>
    <row r="361" spans="18:54" x14ac:dyDescent="0.3">
      <c r="R361" s="42"/>
      <c r="X361" s="42"/>
      <c r="AD361" s="42"/>
      <c r="AJ361" s="42"/>
      <c r="AP361" s="42"/>
      <c r="AV361" s="42"/>
      <c r="BB361" s="42"/>
    </row>
    <row r="362" spans="18:54" x14ac:dyDescent="0.3">
      <c r="R362" s="42"/>
      <c r="X362" s="42"/>
      <c r="AD362" s="42"/>
      <c r="AJ362" s="42"/>
      <c r="AP362" s="42"/>
      <c r="AV362" s="42"/>
      <c r="BB362" s="42"/>
    </row>
    <row r="363" spans="18:54" x14ac:dyDescent="0.3">
      <c r="R363" s="42"/>
      <c r="X363" s="42"/>
      <c r="AD363" s="42"/>
      <c r="AJ363" s="42"/>
      <c r="AP363" s="42"/>
      <c r="AV363" s="42"/>
      <c r="BB363" s="42"/>
    </row>
    <row r="364" spans="18:54" x14ac:dyDescent="0.3">
      <c r="R364" s="42"/>
      <c r="X364" s="42"/>
      <c r="AD364" s="42"/>
      <c r="AJ364" s="42"/>
      <c r="AP364" s="42"/>
      <c r="AV364" s="42"/>
      <c r="BB364" s="42"/>
    </row>
    <row r="365" spans="18:54" x14ac:dyDescent="0.3">
      <c r="R365" s="42"/>
      <c r="X365" s="42"/>
      <c r="AD365" s="42"/>
      <c r="AJ365" s="42"/>
      <c r="AP365" s="42"/>
      <c r="AV365" s="42"/>
      <c r="BB365" s="42"/>
    </row>
    <row r="366" spans="18:54" x14ac:dyDescent="0.3">
      <c r="R366" s="42"/>
      <c r="X366" s="42"/>
      <c r="AD366" s="42"/>
      <c r="AJ366" s="42"/>
      <c r="AP366" s="42"/>
      <c r="AV366" s="42"/>
      <c r="BB366" s="42"/>
    </row>
    <row r="367" spans="18:54" x14ac:dyDescent="0.3">
      <c r="R367" s="42"/>
      <c r="X367" s="42"/>
      <c r="AD367" s="42"/>
      <c r="AJ367" s="42"/>
      <c r="AP367" s="42"/>
      <c r="AV367" s="42"/>
      <c r="BB367" s="42"/>
    </row>
    <row r="368" spans="18:54" x14ac:dyDescent="0.3">
      <c r="R368" s="42"/>
      <c r="X368" s="42"/>
      <c r="AD368" s="42"/>
      <c r="AJ368" s="42"/>
      <c r="AP368" s="42"/>
      <c r="AV368" s="42"/>
      <c r="BB368" s="42"/>
    </row>
    <row r="369" spans="18:54" x14ac:dyDescent="0.3">
      <c r="R369" s="42"/>
      <c r="X369" s="42"/>
      <c r="AD369" s="42"/>
      <c r="AJ369" s="42"/>
      <c r="AP369" s="42"/>
      <c r="AV369" s="42"/>
      <c r="BB369" s="42"/>
    </row>
    <row r="370" spans="18:54" x14ac:dyDescent="0.3">
      <c r="R370" s="42"/>
      <c r="X370" s="42"/>
      <c r="AD370" s="42"/>
      <c r="AJ370" s="42"/>
      <c r="AP370" s="42"/>
      <c r="AV370" s="42"/>
      <c r="BB370" s="42"/>
    </row>
    <row r="371" spans="18:54" x14ac:dyDescent="0.3">
      <c r="R371" s="42"/>
      <c r="X371" s="42"/>
      <c r="AD371" s="42"/>
      <c r="AJ371" s="42"/>
      <c r="AP371" s="42"/>
      <c r="AV371" s="42"/>
      <c r="BB371" s="42"/>
    </row>
    <row r="372" spans="18:54" x14ac:dyDescent="0.3">
      <c r="R372" s="42"/>
      <c r="X372" s="42"/>
      <c r="AD372" s="42"/>
      <c r="AJ372" s="42"/>
      <c r="AP372" s="42"/>
      <c r="AV372" s="42"/>
      <c r="BB372" s="42"/>
    </row>
    <row r="373" spans="18:54" x14ac:dyDescent="0.3">
      <c r="R373" s="42"/>
      <c r="X373" s="42"/>
      <c r="AD373" s="42"/>
      <c r="AJ373" s="42"/>
      <c r="AP373" s="42"/>
      <c r="AV373" s="42"/>
      <c r="BB373" s="42"/>
    </row>
    <row r="374" spans="18:54" x14ac:dyDescent="0.3">
      <c r="R374" s="42"/>
      <c r="X374" s="42"/>
      <c r="AD374" s="42"/>
      <c r="AJ374" s="42"/>
      <c r="AP374" s="42"/>
      <c r="AV374" s="42"/>
      <c r="BB374" s="42"/>
    </row>
    <row r="375" spans="18:54" x14ac:dyDescent="0.3">
      <c r="R375" s="43"/>
      <c r="X375" s="43"/>
      <c r="AD375" s="43"/>
      <c r="AJ375" s="43"/>
      <c r="AP375" s="43"/>
      <c r="AV375" s="43"/>
      <c r="BB375" s="43"/>
    </row>
    <row r="376" spans="18:54" x14ac:dyDescent="0.3">
      <c r="R376" s="42"/>
      <c r="X376" s="42"/>
      <c r="AD376" s="42"/>
      <c r="AJ376" s="42"/>
      <c r="AP376" s="42"/>
      <c r="AV376" s="42"/>
      <c r="BB376" s="42"/>
    </row>
    <row r="377" spans="18:54" x14ac:dyDescent="0.3">
      <c r="R377" s="42"/>
      <c r="X377" s="42"/>
      <c r="AD377" s="42"/>
      <c r="AJ377" s="42"/>
      <c r="AP377" s="42"/>
      <c r="AV377" s="42"/>
      <c r="BB377" s="42"/>
    </row>
    <row r="378" spans="18:54" x14ac:dyDescent="0.3">
      <c r="R378" s="42"/>
      <c r="X378" s="42"/>
      <c r="AD378" s="42"/>
      <c r="AJ378" s="42"/>
      <c r="AP378" s="42"/>
      <c r="AV378" s="42"/>
      <c r="BB378" s="42"/>
    </row>
    <row r="379" spans="18:54" x14ac:dyDescent="0.3">
      <c r="R379" s="42"/>
      <c r="X379" s="42"/>
      <c r="AD379" s="42"/>
      <c r="AJ379" s="42"/>
      <c r="AP379" s="42"/>
      <c r="AV379" s="42"/>
      <c r="BB379" s="42"/>
    </row>
    <row r="380" spans="18:54" x14ac:dyDescent="0.3">
      <c r="R380" s="42"/>
      <c r="X380" s="42"/>
      <c r="AD380" s="42"/>
      <c r="AJ380" s="42"/>
      <c r="AP380" s="42"/>
      <c r="AV380" s="42"/>
      <c r="BB380" s="42"/>
    </row>
  </sheetData>
  <mergeCells count="25">
    <mergeCell ref="M2:Q2"/>
    <mergeCell ref="L2:L3"/>
    <mergeCell ref="A1:B1"/>
    <mergeCell ref="C1:D1"/>
    <mergeCell ref="F1:L1"/>
    <mergeCell ref="A2:A3"/>
    <mergeCell ref="B2:B3"/>
    <mergeCell ref="C2:C3"/>
    <mergeCell ref="D2:D3"/>
    <mergeCell ref="E2:E3"/>
    <mergeCell ref="F2:F3"/>
    <mergeCell ref="G2:K2"/>
    <mergeCell ref="R2:R3"/>
    <mergeCell ref="S2:W2"/>
    <mergeCell ref="X2:X3"/>
    <mergeCell ref="Y2:AC2"/>
    <mergeCell ref="AD2:AD3"/>
    <mergeCell ref="AV2:AV3"/>
    <mergeCell ref="AW2:BA2"/>
    <mergeCell ref="BB2:BB3"/>
    <mergeCell ref="AE2:AI2"/>
    <mergeCell ref="AJ2:AJ3"/>
    <mergeCell ref="AK2:AO2"/>
    <mergeCell ref="AP2:AP3"/>
    <mergeCell ref="AQ2:AU2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B726-80C8-4A82-9CAB-B4CB22D80FB3}">
  <dimension ref="A1:BB379"/>
  <sheetViews>
    <sheetView workbookViewId="0">
      <selection activeCell="G4" sqref="G4:BB231"/>
    </sheetView>
  </sheetViews>
  <sheetFormatPr defaultRowHeight="15.6" x14ac:dyDescent="0.3"/>
  <cols>
    <col min="1" max="1" width="11.109375" style="11" customWidth="1"/>
    <col min="2" max="2" width="21.6640625" style="11" customWidth="1"/>
    <col min="3" max="3" width="22.77734375" style="3" customWidth="1"/>
    <col min="4" max="5" width="12.44140625" style="11" customWidth="1"/>
    <col min="6" max="6" width="12.109375" style="11" customWidth="1"/>
    <col min="7" max="9" width="11.109375" style="11" customWidth="1"/>
    <col min="10" max="11" width="12.21875" customWidth="1"/>
    <col min="12" max="12" width="12.77734375" style="45" customWidth="1"/>
    <col min="13" max="13" width="13" customWidth="1"/>
    <col min="14" max="54" width="12.21875" customWidth="1"/>
  </cols>
  <sheetData>
    <row r="1" spans="1:54" ht="36.6" customHeight="1" x14ac:dyDescent="0.3">
      <c r="A1" s="149" t="s">
        <v>24</v>
      </c>
      <c r="B1" s="149"/>
      <c r="C1" s="150" t="s">
        <v>492</v>
      </c>
      <c r="D1" s="150"/>
      <c r="E1" s="114" t="s">
        <v>555</v>
      </c>
      <c r="F1" s="114" t="s">
        <v>18</v>
      </c>
      <c r="G1" s="114" t="s">
        <v>19</v>
      </c>
      <c r="H1" s="114" t="s">
        <v>21</v>
      </c>
      <c r="I1" s="115" t="s">
        <v>556</v>
      </c>
      <c r="J1" s="116" t="s">
        <v>558</v>
      </c>
      <c r="K1" s="116" t="s">
        <v>559</v>
      </c>
      <c r="L1" s="116" t="s">
        <v>560</v>
      </c>
      <c r="M1" s="116" t="s">
        <v>20</v>
      </c>
      <c r="N1" s="117" t="s">
        <v>561</v>
      </c>
      <c r="O1" s="117" t="s">
        <v>562</v>
      </c>
      <c r="P1" s="117" t="s">
        <v>23</v>
      </c>
      <c r="Q1" s="118" t="s">
        <v>17</v>
      </c>
      <c r="R1" s="119" t="s">
        <v>15</v>
      </c>
      <c r="S1" s="120" t="s">
        <v>16</v>
      </c>
    </row>
    <row r="2" spans="1:54" s="3" customFormat="1" ht="21.6" customHeight="1" x14ac:dyDescent="0.3">
      <c r="A2" s="152" t="s">
        <v>0</v>
      </c>
      <c r="B2" s="152" t="s">
        <v>26</v>
      </c>
      <c r="C2" s="154" t="s">
        <v>27</v>
      </c>
      <c r="D2" s="152" t="s">
        <v>489</v>
      </c>
      <c r="E2" s="152" t="s">
        <v>25</v>
      </c>
      <c r="F2" s="152" t="s">
        <v>25</v>
      </c>
      <c r="G2" s="146" t="s">
        <v>495</v>
      </c>
      <c r="H2" s="146"/>
      <c r="I2" s="146"/>
      <c r="J2" s="146"/>
      <c r="K2" s="146"/>
      <c r="L2" s="147" t="s">
        <v>28</v>
      </c>
      <c r="M2" s="146" t="s">
        <v>496</v>
      </c>
      <c r="N2" s="146"/>
      <c r="O2" s="146"/>
      <c r="P2" s="146"/>
      <c r="Q2" s="146"/>
      <c r="R2" s="144" t="s">
        <v>28</v>
      </c>
      <c r="S2" s="146" t="s">
        <v>497</v>
      </c>
      <c r="T2" s="146"/>
      <c r="U2" s="146"/>
      <c r="V2" s="146"/>
      <c r="W2" s="146"/>
      <c r="X2" s="144" t="s">
        <v>28</v>
      </c>
      <c r="Y2" s="146" t="s">
        <v>498</v>
      </c>
      <c r="Z2" s="146"/>
      <c r="AA2" s="146"/>
      <c r="AB2" s="146"/>
      <c r="AC2" s="146"/>
      <c r="AD2" s="144" t="s">
        <v>28</v>
      </c>
      <c r="AE2" s="146" t="s">
        <v>499</v>
      </c>
      <c r="AF2" s="146"/>
      <c r="AG2" s="146"/>
      <c r="AH2" s="146"/>
      <c r="AI2" s="146"/>
      <c r="AJ2" s="144" t="s">
        <v>28</v>
      </c>
      <c r="AK2" s="146" t="s">
        <v>500</v>
      </c>
      <c r="AL2" s="146"/>
      <c r="AM2" s="146"/>
      <c r="AN2" s="146"/>
      <c r="AO2" s="146"/>
      <c r="AP2" s="144" t="s">
        <v>28</v>
      </c>
      <c r="AQ2" s="146" t="s">
        <v>501</v>
      </c>
      <c r="AR2" s="146"/>
      <c r="AS2" s="146"/>
      <c r="AT2" s="146"/>
      <c r="AU2" s="146"/>
      <c r="AV2" s="144" t="s">
        <v>28</v>
      </c>
      <c r="AW2" s="146" t="s">
        <v>29</v>
      </c>
      <c r="AX2" s="146"/>
      <c r="AY2" s="146"/>
      <c r="AZ2" s="146"/>
      <c r="BA2" s="146"/>
      <c r="BB2" s="144" t="s">
        <v>28</v>
      </c>
    </row>
    <row r="3" spans="1:54" s="3" customFormat="1" ht="20.100000000000001" customHeight="1" x14ac:dyDescent="0.3">
      <c r="A3" s="153"/>
      <c r="B3" s="153"/>
      <c r="C3" s="155"/>
      <c r="D3" s="153"/>
      <c r="E3" s="153"/>
      <c r="F3" s="153"/>
      <c r="G3" s="113" t="s">
        <v>502</v>
      </c>
      <c r="H3" s="113" t="s">
        <v>503</v>
      </c>
      <c r="I3" s="113" t="s">
        <v>504</v>
      </c>
      <c r="J3" s="113" t="s">
        <v>505</v>
      </c>
      <c r="K3" s="113" t="s">
        <v>506</v>
      </c>
      <c r="L3" s="148"/>
      <c r="M3" s="113" t="s">
        <v>507</v>
      </c>
      <c r="N3" s="113" t="s">
        <v>508</v>
      </c>
      <c r="O3" s="113" t="s">
        <v>509</v>
      </c>
      <c r="P3" s="113" t="s">
        <v>510</v>
      </c>
      <c r="Q3" s="113" t="s">
        <v>511</v>
      </c>
      <c r="R3" s="145"/>
      <c r="S3" s="113" t="s">
        <v>512</v>
      </c>
      <c r="T3" s="113" t="s">
        <v>513</v>
      </c>
      <c r="U3" s="113" t="s">
        <v>514</v>
      </c>
      <c r="V3" s="113" t="s">
        <v>515</v>
      </c>
      <c r="W3" s="113" t="s">
        <v>516</v>
      </c>
      <c r="X3" s="145"/>
      <c r="Y3" s="113" t="s">
        <v>517</v>
      </c>
      <c r="Z3" s="113" t="s">
        <v>518</v>
      </c>
      <c r="AA3" s="113" t="s">
        <v>519</v>
      </c>
      <c r="AB3" s="113" t="s">
        <v>520</v>
      </c>
      <c r="AC3" s="113" t="s">
        <v>521</v>
      </c>
      <c r="AD3" s="145"/>
      <c r="AE3" s="113" t="s">
        <v>522</v>
      </c>
      <c r="AF3" s="113" t="s">
        <v>523</v>
      </c>
      <c r="AG3" s="113" t="s">
        <v>524</v>
      </c>
      <c r="AH3" s="113" t="s">
        <v>525</v>
      </c>
      <c r="AI3" s="113" t="s">
        <v>526</v>
      </c>
      <c r="AJ3" s="145"/>
      <c r="AK3" s="113" t="s">
        <v>527</v>
      </c>
      <c r="AL3" s="113" t="s">
        <v>528</v>
      </c>
      <c r="AM3" s="113" t="s">
        <v>529</v>
      </c>
      <c r="AN3" s="113" t="s">
        <v>530</v>
      </c>
      <c r="AO3" s="113" t="s">
        <v>531</v>
      </c>
      <c r="AP3" s="145"/>
      <c r="AQ3" s="113" t="s">
        <v>532</v>
      </c>
      <c r="AR3" s="113" t="s">
        <v>533</v>
      </c>
      <c r="AS3" s="113" t="s">
        <v>534</v>
      </c>
      <c r="AT3" s="113" t="s">
        <v>535</v>
      </c>
      <c r="AU3" s="113" t="s">
        <v>536</v>
      </c>
      <c r="AV3" s="145"/>
      <c r="AW3" s="113" t="s">
        <v>30</v>
      </c>
      <c r="AX3" s="113" t="s">
        <v>31</v>
      </c>
      <c r="AY3" s="113" t="s">
        <v>32</v>
      </c>
      <c r="AZ3" s="113" t="s">
        <v>33</v>
      </c>
      <c r="BA3" s="113" t="s">
        <v>34</v>
      </c>
      <c r="BB3" s="145"/>
    </row>
    <row r="4" spans="1:54" ht="23.1" customHeight="1" x14ac:dyDescent="0.3">
      <c r="A4" s="99">
        <v>1</v>
      </c>
      <c r="B4" s="76" t="s">
        <v>36</v>
      </c>
      <c r="C4" s="77" t="s">
        <v>37</v>
      </c>
      <c r="D4" s="76" t="s">
        <v>542</v>
      </c>
      <c r="E4" s="76" t="s">
        <v>35</v>
      </c>
      <c r="F4" s="76" t="str">
        <f>REPT(CHAR(160),10)&amp;Working!$E5</f>
        <v>          A</v>
      </c>
      <c r="G4" s="78">
        <f>IFERROR(VLOOKUP(Table1215[[#This Row],[Column2]],Table12[[Column2]:[Column54]],6,FALSE),"0")</f>
        <v>0</v>
      </c>
      <c r="H4" s="78">
        <f>IFERROR(VLOOKUP(Table1215[[#This Row],[Column2]],Table12[[Column2]:[Column54]],7,FALSE),"0")</f>
        <v>0</v>
      </c>
      <c r="I4" s="78">
        <f>IFERROR(VLOOKUP(Table1215[[#This Row],[Column2]],Table12[[Column2]:[Column54]],8,FALSE),"0")</f>
        <v>5</v>
      </c>
      <c r="J4" s="78">
        <f>IFERROR(VLOOKUP(Table1215[[#This Row],[Column2]],Table12[[Column2]:[Column54]],9,FALSE),"0")</f>
        <v>0</v>
      </c>
      <c r="K4" s="78">
        <f>IFERROR(VLOOKUP(Table1215[[#This Row],[Column2]],Table12[[Column2]:[Column54]],10,FALSE),"0")</f>
        <v>0</v>
      </c>
      <c r="L4" s="80">
        <f>Table1215[[#This Row],[Column9]]</f>
        <v>5</v>
      </c>
      <c r="M4" s="78">
        <f>IFERROR(VLOOKUP(Table1215[[#This Row],[Column2]],Table12[[Column2]:[Column54]],12,FALSE),"0")</f>
        <v>0</v>
      </c>
      <c r="N4" s="78">
        <f>IFERROR(VLOOKUP(Table1215[[#This Row],[Column2]],Table12[[Column2]:[Column54]],13,FALSE),"0")</f>
        <v>4</v>
      </c>
      <c r="O4" s="78">
        <f>IFERROR(VLOOKUP(Table1215[[#This Row],[Column2]],Table12[[Column2]:[Column54]],14,FALSE),"0")</f>
        <v>4</v>
      </c>
      <c r="P4" s="78">
        <f>IFERROR(VLOOKUP(Table1215[[#This Row],[Column2]],Table12[[Column2]:[Column54]],10,FALSE),"0")</f>
        <v>0</v>
      </c>
      <c r="Q4" s="78">
        <f>IFERROR(VLOOKUP(Table1215[[#This Row],[Column2]],Table12[[Column2]:[Column54]],16,FALSE),"0")</f>
        <v>4</v>
      </c>
      <c r="R4" s="80">
        <f>AVERAGE(Table1215[[#This Row],[Column14]],Table1215[[#This Row],[Column15]],Table1215[[#This Row],[Column17]])</f>
        <v>4</v>
      </c>
      <c r="S4" s="78">
        <f>IFERROR(VLOOKUP(Table1215[[#This Row],[Column2]],Table12[[Column2]:[Column54]],18,FALSE),"0")</f>
        <v>0</v>
      </c>
      <c r="T4" s="78">
        <f>IFERROR(VLOOKUP(Table1215[[#This Row],[Column2]],Table12[[Column2]:[Column54]],19,FALSE),"0")</f>
        <v>0</v>
      </c>
      <c r="U4" s="78">
        <f>IFERROR(VLOOKUP(Table1215[[#This Row],[Column2]],Table12[[Column2]:[Column54]],20,FALSE),"0")</f>
        <v>0</v>
      </c>
      <c r="V4" s="78">
        <f>IFERROR(VLOOKUP(Table1215[[#This Row],[Column2]],Table12[[Column2]:[Column54]],21,FALSE),"0")</f>
        <v>0</v>
      </c>
      <c r="W4" s="78">
        <f>IFERROR(VLOOKUP(Table1215[[#This Row],[Column2]],Table12[[Column2]:[Column54]],22,FALSE),"0")</f>
        <v>0</v>
      </c>
      <c r="X4" s="80">
        <f>Table1215[[#This Row],[Column19]]</f>
        <v>0</v>
      </c>
      <c r="Y4" s="78">
        <f>IFERROR(VLOOKUP(Table1215[[#This Row],[Column2]],Table12[[Column2]:[Column54]],24,FALSE),"0")</f>
        <v>4</v>
      </c>
      <c r="Z4" s="78">
        <f>IFERROR(VLOOKUP(Table1215[[#This Row],[Column2]],Table12[[Column2]:[Column54]],25,FALSE),"0")</f>
        <v>0</v>
      </c>
      <c r="AA4" s="78">
        <f>IFERROR(VLOOKUP(Table1215[[#This Row],[Column2]],Table12[[Column2]:[Column54]],26,FALSE),"0")</f>
        <v>0</v>
      </c>
      <c r="AB4" s="78">
        <f>IFERROR(VLOOKUP(Table1215[[#This Row],[Column2]],Table12[[Column2]:[Column54]],27,FALSE),"0")</f>
        <v>0</v>
      </c>
      <c r="AC4" s="78">
        <f>IFERROR(VLOOKUP(Table1215[[#This Row],[Column2]],Table12[[Column2]:[Column54]],28,FALSE),"0")</f>
        <v>0</v>
      </c>
      <c r="AD4" s="80">
        <f>Table1215[[#This Row],[Column25]]</f>
        <v>4</v>
      </c>
      <c r="AE4" s="78">
        <f>IFERROR(VLOOKUP(Table1215[[#This Row],[Column2]],Table12[[Column2]:[Column54]],30,FALSE),"0")</f>
        <v>0</v>
      </c>
      <c r="AF4" s="78">
        <f>IFERROR(VLOOKUP(Table1215[[#This Row],[Column2]],Table12[[Column2]:[Column54]],31,FALSE),"0")</f>
        <v>0</v>
      </c>
      <c r="AG4" s="78">
        <f>IFERROR(VLOOKUP(Table1215[[#This Row],[Column2]],Table12[[Column2]:[Column54]],32,FALSE),"0")</f>
        <v>0</v>
      </c>
      <c r="AH4" s="78">
        <f>IFERROR(VLOOKUP(Table1215[[#This Row],[Column2]],Table12[[Column2]:[Column54]],33,FALSE),"0")</f>
        <v>0</v>
      </c>
      <c r="AI4" s="78">
        <f>IFERROR(VLOOKUP(Table1215[[#This Row],[Column2]],Table12[[Column2]:[Column54]],34,FALSE),"0")</f>
        <v>4</v>
      </c>
      <c r="AJ4" s="80">
        <f>AVERAGE(Table1215[[#This Row],[Column31]],Table1215[[#This Row],[Column32]],Table1215[[#This Row],[Column33]])</f>
        <v>0</v>
      </c>
      <c r="AK4" s="78">
        <f>IFERROR(VLOOKUP(Table1215[[#This Row],[Column2]],Table12[[Column2]:[Column54]],36,FALSE),"0")</f>
        <v>5</v>
      </c>
      <c r="AL4" s="78">
        <f>IFERROR(VLOOKUP(Table1215[[#This Row],[Column2]],Table12[[Column2]:[Column54]],37,FALSE),"0")</f>
        <v>5</v>
      </c>
      <c r="AM4" s="78">
        <f>IFERROR(VLOOKUP(Table1215[[#This Row],[Column2]],Table12[[Column2]:[Column54]],38,FALSE),"0")</f>
        <v>0</v>
      </c>
      <c r="AN4" s="78">
        <f>IFERROR(VLOOKUP(Table1215[[#This Row],[Column2]],Table12[[Column2]:[Column54]],39,FALSE),"0")</f>
        <v>5</v>
      </c>
      <c r="AO4" s="78">
        <f>IFERROR(VLOOKUP(Table1215[[#This Row],[Column2]],Table12[[Column2]:[Column54]],40,FALSE),"0")</f>
        <v>0</v>
      </c>
      <c r="AP4" s="80">
        <f>AVERAGE(Table1215[[#This Row],[Column37]],Table1215[[#This Row],[Column38]],Table1215[[#This Row],[Column40]])</f>
        <v>5</v>
      </c>
      <c r="AQ4" s="78">
        <f>IFERROR(VLOOKUP(Table1215[[#This Row],[Column2]],Table12[[Column2]:[Column54]],42,FALSE),"0")</f>
        <v>5</v>
      </c>
      <c r="AR4" s="78">
        <f>IFERROR(VLOOKUP(Table1215[[#This Row],[Column2]],Table12[[Column2]:[Column54]],43,FALSE),"0")</f>
        <v>0</v>
      </c>
      <c r="AS4" s="78">
        <f>IFERROR(VLOOKUP(Table1215[[#This Row],[Column2]],Table12[[Column2]:[Column54]],44,FALSE),"0")</f>
        <v>0</v>
      </c>
      <c r="AT4" s="78">
        <f>IFERROR(VLOOKUP(Table1215[[#This Row],[Column2]],Table12[[Column2]:[Column54]],45,FALSE),"0")</f>
        <v>0</v>
      </c>
      <c r="AU4" s="78">
        <f>IFERROR(VLOOKUP(Table1215[[#This Row],[Column2]],Table12[[Column2]:[Column54]],46,FALSE),"0")</f>
        <v>0</v>
      </c>
      <c r="AV4" s="80">
        <f>Table1215[[#This Row],[Column43]]</f>
        <v>5</v>
      </c>
      <c r="AW4" s="78">
        <f>IFERROR(VLOOKUP(Table1215[[#This Row],[Column2]],Table12[[Column2]:[Column54]],48,FALSE),"0")</f>
        <v>0</v>
      </c>
      <c r="AX4" s="78">
        <f>IFERROR(VLOOKUP(Table1215[[#This Row],[Column2]],Table12[[Column2]:[Column54]],49,FALSE),"0")</f>
        <v>0</v>
      </c>
      <c r="AY4" s="78">
        <f>IFERROR(VLOOKUP(Table1215[[#This Row],[Column2]],Table12[[Column2]:[Column54]],50,FALSE),"0")</f>
        <v>0</v>
      </c>
      <c r="AZ4" s="78">
        <f>IFERROR(VLOOKUP(Table1215[[#This Row],[Column2]],Table12[[Column2]:[Column54]],51,FALSE),"0")</f>
        <v>4</v>
      </c>
      <c r="BA4" s="78">
        <f>IFERROR(VLOOKUP(Table1215[[#This Row],[Column2]],Table12[[Column2]:[Column54]],52,FALSE),"0")</f>
        <v>5</v>
      </c>
      <c r="BB4" s="80">
        <f>AVERAGE(Table1215[[#This Row],[Column52]],Table1215[[#This Row],[Column53]])</f>
        <v>4.5</v>
      </c>
    </row>
    <row r="5" spans="1:54" ht="23.1" customHeight="1" x14ac:dyDescent="0.3">
      <c r="A5" s="100">
        <v>2</v>
      </c>
      <c r="B5" s="83" t="s">
        <v>75</v>
      </c>
      <c r="C5" s="84" t="s">
        <v>76</v>
      </c>
      <c r="D5" s="83" t="s">
        <v>450</v>
      </c>
      <c r="E5" s="83" t="s">
        <v>35</v>
      </c>
      <c r="F5" s="83" t="str">
        <f>REPT(CHAR(160),10)&amp;Working!$E6</f>
        <v>          A</v>
      </c>
      <c r="G5" s="74">
        <f>IFERROR(VLOOKUP(Table1215[[#This Row],[Column2]],Table12[[Column2]:[Column54]],6,FALSE),"0")</f>
        <v>0</v>
      </c>
      <c r="H5" s="74">
        <f>IFERROR(VLOOKUP(Table1215[[#This Row],[Column2]],Table12[[Column2]:[Column54]],7,FALSE),"0")</f>
        <v>0</v>
      </c>
      <c r="I5" s="74">
        <f>IFERROR(VLOOKUP(Table1215[[#This Row],[Column2]],Table12[[Column2]:[Column54]],8,FALSE),"0")</f>
        <v>4</v>
      </c>
      <c r="J5" s="74">
        <f>IFERROR(VLOOKUP(Table1215[[#This Row],[Column2]],Table12[[Column2]:[Column54]],9,FALSE),"0")</f>
        <v>0</v>
      </c>
      <c r="K5" s="74">
        <f>IFERROR(VLOOKUP(Table1215[[#This Row],[Column2]],Table12[[Column2]:[Column54]],10,FALSE),"0")</f>
        <v>0</v>
      </c>
      <c r="L5" s="80">
        <f>Table1215[[#This Row],[Column9]]</f>
        <v>4</v>
      </c>
      <c r="M5" s="74">
        <f>IFERROR(VLOOKUP(Table1215[[#This Row],[Column2]],Table12[[Column2]:[Column54]],12,FALSE),"0")</f>
        <v>0</v>
      </c>
      <c r="N5" s="74">
        <f>IFERROR(VLOOKUP(Table1215[[#This Row],[Column2]],Table12[[Column2]:[Column54]],13,FALSE),"0")</f>
        <v>4</v>
      </c>
      <c r="O5" s="74">
        <f>IFERROR(VLOOKUP(Table1215[[#This Row],[Column2]],Table12[[Column2]:[Column54]],14,FALSE),"0")</f>
        <v>4</v>
      </c>
      <c r="P5" s="74">
        <f>IFERROR(VLOOKUP(Table1215[[#This Row],[Column2]],Table12[[Column2]:[Column54]],10,FALSE),"0")</f>
        <v>0</v>
      </c>
      <c r="Q5" s="74">
        <f>IFERROR(VLOOKUP(Table1215[[#This Row],[Column2]],Table12[[Column2]:[Column54]],16,FALSE),"0")</f>
        <v>4</v>
      </c>
      <c r="R5" s="80">
        <f>AVERAGE(Table1215[[#This Row],[Column14]],Table1215[[#This Row],[Column15]],Table1215[[#This Row],[Column17]])</f>
        <v>4</v>
      </c>
      <c r="S5" s="74">
        <f>IFERROR(VLOOKUP(Table1215[[#This Row],[Column2]],Table12[[Column2]:[Column54]],18,FALSE),"0")</f>
        <v>0</v>
      </c>
      <c r="T5" s="74">
        <f>IFERROR(VLOOKUP(Table1215[[#This Row],[Column2]],Table12[[Column2]:[Column54]],19,FALSE),"0")</f>
        <v>0</v>
      </c>
      <c r="U5" s="74">
        <f>IFERROR(VLOOKUP(Table1215[[#This Row],[Column2]],Table12[[Column2]:[Column54]],20,FALSE),"0")</f>
        <v>0</v>
      </c>
      <c r="V5" s="74">
        <f>IFERROR(VLOOKUP(Table1215[[#This Row],[Column2]],Table12[[Column2]:[Column54]],21,FALSE),"0")</f>
        <v>0</v>
      </c>
      <c r="W5" s="74">
        <f>IFERROR(VLOOKUP(Table1215[[#This Row],[Column2]],Table12[[Column2]:[Column54]],22,FALSE),"0")</f>
        <v>0</v>
      </c>
      <c r="X5" s="80">
        <f>Table1215[[#This Row],[Column19]]</f>
        <v>0</v>
      </c>
      <c r="Y5" s="74">
        <f>IFERROR(VLOOKUP(Table1215[[#This Row],[Column2]],Table12[[Column2]:[Column54]],24,FALSE),"0")</f>
        <v>5</v>
      </c>
      <c r="Z5" s="74">
        <f>IFERROR(VLOOKUP(Table1215[[#This Row],[Column2]],Table12[[Column2]:[Column54]],25,FALSE),"0")</f>
        <v>0</v>
      </c>
      <c r="AA5" s="74">
        <f>IFERROR(VLOOKUP(Table1215[[#This Row],[Column2]],Table12[[Column2]:[Column54]],26,FALSE),"0")</f>
        <v>0</v>
      </c>
      <c r="AB5" s="74">
        <f>IFERROR(VLOOKUP(Table1215[[#This Row],[Column2]],Table12[[Column2]:[Column54]],27,FALSE),"0")</f>
        <v>0</v>
      </c>
      <c r="AC5" s="74">
        <f>IFERROR(VLOOKUP(Table1215[[#This Row],[Column2]],Table12[[Column2]:[Column54]],28,FALSE),"0")</f>
        <v>0</v>
      </c>
      <c r="AD5" s="80">
        <f>Table1215[[#This Row],[Column25]]</f>
        <v>5</v>
      </c>
      <c r="AE5" s="74">
        <f>IFERROR(VLOOKUP(Table1215[[#This Row],[Column2]],Table12[[Column2]:[Column54]],30,FALSE),"0")</f>
        <v>0</v>
      </c>
      <c r="AF5" s="74">
        <f>IFERROR(VLOOKUP(Table1215[[#This Row],[Column2]],Table12[[Column2]:[Column54]],31,FALSE),"0")</f>
        <v>0</v>
      </c>
      <c r="AG5" s="74">
        <f>IFERROR(VLOOKUP(Table1215[[#This Row],[Column2]],Table12[[Column2]:[Column54]],32,FALSE),"0")</f>
        <v>0</v>
      </c>
      <c r="AH5" s="74">
        <f>IFERROR(VLOOKUP(Table1215[[#This Row],[Column2]],Table12[[Column2]:[Column54]],33,FALSE),"0")</f>
        <v>0</v>
      </c>
      <c r="AI5" s="74">
        <f>IFERROR(VLOOKUP(Table1215[[#This Row],[Column2]],Table12[[Column2]:[Column54]],34,FALSE),"0")</f>
        <v>0</v>
      </c>
      <c r="AJ5" s="80">
        <f>AVERAGE(Table1215[[#This Row],[Column31]],Table1215[[#This Row],[Column32]],Table1215[[#This Row],[Column33]])</f>
        <v>0</v>
      </c>
      <c r="AK5" s="74">
        <f>IFERROR(VLOOKUP(Table1215[[#This Row],[Column2]],Table12[[Column2]:[Column54]],36,FALSE),"0")</f>
        <v>4</v>
      </c>
      <c r="AL5" s="74">
        <f>IFERROR(VLOOKUP(Table1215[[#This Row],[Column2]],Table12[[Column2]:[Column54]],37,FALSE),"0")</f>
        <v>4</v>
      </c>
      <c r="AM5" s="74">
        <f>IFERROR(VLOOKUP(Table1215[[#This Row],[Column2]],Table12[[Column2]:[Column54]],38,FALSE),"0")</f>
        <v>0</v>
      </c>
      <c r="AN5" s="74">
        <f>IFERROR(VLOOKUP(Table1215[[#This Row],[Column2]],Table12[[Column2]:[Column54]],39,FALSE),"0")</f>
        <v>4</v>
      </c>
      <c r="AO5" s="74">
        <f>IFERROR(VLOOKUP(Table1215[[#This Row],[Column2]],Table12[[Column2]:[Column54]],40,FALSE),"0")</f>
        <v>0</v>
      </c>
      <c r="AP5" s="80">
        <f>AVERAGE(Table1215[[#This Row],[Column37]],Table1215[[#This Row],[Column38]],Table1215[[#This Row],[Column40]])</f>
        <v>4</v>
      </c>
      <c r="AQ5" s="74">
        <f>IFERROR(VLOOKUP(Table1215[[#This Row],[Column2]],Table12[[Column2]:[Column54]],42,FALSE),"0")</f>
        <v>4</v>
      </c>
      <c r="AR5" s="74">
        <f>IFERROR(VLOOKUP(Table1215[[#This Row],[Column2]],Table12[[Column2]:[Column54]],43,FALSE),"0")</f>
        <v>0</v>
      </c>
      <c r="AS5" s="74">
        <f>IFERROR(VLOOKUP(Table1215[[#This Row],[Column2]],Table12[[Column2]:[Column54]],44,FALSE),"0")</f>
        <v>0</v>
      </c>
      <c r="AT5" s="74">
        <f>IFERROR(VLOOKUP(Table1215[[#This Row],[Column2]],Table12[[Column2]:[Column54]],45,FALSE),"0")</f>
        <v>0</v>
      </c>
      <c r="AU5" s="74">
        <f>IFERROR(VLOOKUP(Table1215[[#This Row],[Column2]],Table12[[Column2]:[Column54]],46,FALSE),"0")</f>
        <v>0</v>
      </c>
      <c r="AV5" s="80">
        <f>Table1215[[#This Row],[Column43]]</f>
        <v>4</v>
      </c>
      <c r="AW5" s="74">
        <f>IFERROR(VLOOKUP(Table1215[[#This Row],[Column2]],Table12[[Column2]:[Column54]],48,FALSE),"0")</f>
        <v>0</v>
      </c>
      <c r="AX5" s="74">
        <f>IFERROR(VLOOKUP(Table1215[[#This Row],[Column2]],Table12[[Column2]:[Column54]],49,FALSE),"0")</f>
        <v>0</v>
      </c>
      <c r="AY5" s="74">
        <f>IFERROR(VLOOKUP(Table1215[[#This Row],[Column2]],Table12[[Column2]:[Column54]],50,FALSE),"0")</f>
        <v>0</v>
      </c>
      <c r="AZ5" s="74">
        <f>IFERROR(VLOOKUP(Table1215[[#This Row],[Column2]],Table12[[Column2]:[Column54]],51,FALSE),"0")</f>
        <v>4</v>
      </c>
      <c r="BA5" s="74">
        <f>IFERROR(VLOOKUP(Table1215[[#This Row],[Column2]],Table12[[Column2]:[Column54]],52,FALSE),"0")</f>
        <v>4</v>
      </c>
      <c r="BB5" s="80">
        <f>AVERAGE(Table1215[[#This Row],[Column52]],Table1215[[#This Row],[Column53]])</f>
        <v>4</v>
      </c>
    </row>
    <row r="6" spans="1:54" ht="23.1" customHeight="1" x14ac:dyDescent="0.3">
      <c r="A6" s="99">
        <v>3</v>
      </c>
      <c r="B6" s="76" t="s">
        <v>64</v>
      </c>
      <c r="C6" s="77" t="s">
        <v>65</v>
      </c>
      <c r="D6" s="76" t="s">
        <v>542</v>
      </c>
      <c r="E6" s="76" t="s">
        <v>35</v>
      </c>
      <c r="F6" s="76" t="str">
        <f>REPT(CHAR(160),10)&amp;Working!$E7</f>
        <v>          A</v>
      </c>
      <c r="G6" s="78">
        <f>IFERROR(VLOOKUP(Table1215[[#This Row],[Column2]],Table12[[Column2]:[Column54]],6,FALSE),"0")</f>
        <v>0</v>
      </c>
      <c r="H6" s="78">
        <f>IFERROR(VLOOKUP(Table1215[[#This Row],[Column2]],Table12[[Column2]:[Column54]],7,FALSE),"0")</f>
        <v>0</v>
      </c>
      <c r="I6" s="78">
        <f>IFERROR(VLOOKUP(Table1215[[#This Row],[Column2]],Table12[[Column2]:[Column54]],8,FALSE),"0")</f>
        <v>4</v>
      </c>
      <c r="J6" s="78">
        <f>IFERROR(VLOOKUP(Table1215[[#This Row],[Column2]],Table12[[Column2]:[Column54]],9,FALSE),"0")</f>
        <v>0</v>
      </c>
      <c r="K6" s="78">
        <f>IFERROR(VLOOKUP(Table1215[[#This Row],[Column2]],Table12[[Column2]:[Column54]],10,FALSE),"0")</f>
        <v>0</v>
      </c>
      <c r="L6" s="80">
        <f>Table1215[[#This Row],[Column9]]</f>
        <v>4</v>
      </c>
      <c r="M6" s="78">
        <f>IFERROR(VLOOKUP(Table1215[[#This Row],[Column2]],Table12[[Column2]:[Column54]],12,FALSE),"0")</f>
        <v>0</v>
      </c>
      <c r="N6" s="78">
        <f>IFERROR(VLOOKUP(Table1215[[#This Row],[Column2]],Table12[[Column2]:[Column54]],13,FALSE),"0")</f>
        <v>4</v>
      </c>
      <c r="O6" s="78">
        <f>IFERROR(VLOOKUP(Table1215[[#This Row],[Column2]],Table12[[Column2]:[Column54]],14,FALSE),"0")</f>
        <v>4</v>
      </c>
      <c r="P6" s="78">
        <f>IFERROR(VLOOKUP(Table1215[[#This Row],[Column2]],Table12[[Column2]:[Column54]],10,FALSE),"0")</f>
        <v>0</v>
      </c>
      <c r="Q6" s="78">
        <f>IFERROR(VLOOKUP(Table1215[[#This Row],[Column2]],Table12[[Column2]:[Column54]],16,FALSE),"0")</f>
        <v>4</v>
      </c>
      <c r="R6" s="80">
        <f>AVERAGE(Table1215[[#This Row],[Column14]],Table1215[[#This Row],[Column15]],Table1215[[#This Row],[Column17]])</f>
        <v>4</v>
      </c>
      <c r="S6" s="78">
        <f>IFERROR(VLOOKUP(Table1215[[#This Row],[Column2]],Table12[[Column2]:[Column54]],18,FALSE),"0")</f>
        <v>0</v>
      </c>
      <c r="T6" s="78">
        <f>IFERROR(VLOOKUP(Table1215[[#This Row],[Column2]],Table12[[Column2]:[Column54]],19,FALSE),"0")</f>
        <v>0</v>
      </c>
      <c r="U6" s="78">
        <f>IFERROR(VLOOKUP(Table1215[[#This Row],[Column2]],Table12[[Column2]:[Column54]],20,FALSE),"0")</f>
        <v>0</v>
      </c>
      <c r="V6" s="78">
        <f>IFERROR(VLOOKUP(Table1215[[#This Row],[Column2]],Table12[[Column2]:[Column54]],21,FALSE),"0")</f>
        <v>0</v>
      </c>
      <c r="W6" s="78">
        <f>IFERROR(VLOOKUP(Table1215[[#This Row],[Column2]],Table12[[Column2]:[Column54]],22,FALSE),"0")</f>
        <v>0</v>
      </c>
      <c r="X6" s="80">
        <f>Table1215[[#This Row],[Column19]]</f>
        <v>0</v>
      </c>
      <c r="Y6" s="78">
        <f>IFERROR(VLOOKUP(Table1215[[#This Row],[Column2]],Table12[[Column2]:[Column54]],24,FALSE),"0")</f>
        <v>4</v>
      </c>
      <c r="Z6" s="78">
        <f>IFERROR(VLOOKUP(Table1215[[#This Row],[Column2]],Table12[[Column2]:[Column54]],25,FALSE),"0")</f>
        <v>0</v>
      </c>
      <c r="AA6" s="78">
        <f>IFERROR(VLOOKUP(Table1215[[#This Row],[Column2]],Table12[[Column2]:[Column54]],26,FALSE),"0")</f>
        <v>0</v>
      </c>
      <c r="AB6" s="78">
        <f>IFERROR(VLOOKUP(Table1215[[#This Row],[Column2]],Table12[[Column2]:[Column54]],27,FALSE),"0")</f>
        <v>0</v>
      </c>
      <c r="AC6" s="78">
        <f>IFERROR(VLOOKUP(Table1215[[#This Row],[Column2]],Table12[[Column2]:[Column54]],28,FALSE),"0")</f>
        <v>0</v>
      </c>
      <c r="AD6" s="80">
        <f>Table1215[[#This Row],[Column25]]</f>
        <v>4</v>
      </c>
      <c r="AE6" s="78">
        <f>IFERROR(VLOOKUP(Table1215[[#This Row],[Column2]],Table12[[Column2]:[Column54]],30,FALSE),"0")</f>
        <v>0</v>
      </c>
      <c r="AF6" s="78">
        <f>IFERROR(VLOOKUP(Table1215[[#This Row],[Column2]],Table12[[Column2]:[Column54]],31,FALSE),"0")</f>
        <v>0</v>
      </c>
      <c r="AG6" s="78">
        <f>IFERROR(VLOOKUP(Table1215[[#This Row],[Column2]],Table12[[Column2]:[Column54]],32,FALSE),"0")</f>
        <v>0</v>
      </c>
      <c r="AH6" s="78">
        <f>IFERROR(VLOOKUP(Table1215[[#This Row],[Column2]],Table12[[Column2]:[Column54]],33,FALSE),"0")</f>
        <v>0</v>
      </c>
      <c r="AI6" s="78">
        <f>IFERROR(VLOOKUP(Table1215[[#This Row],[Column2]],Table12[[Column2]:[Column54]],34,FALSE),"0")</f>
        <v>0</v>
      </c>
      <c r="AJ6" s="80">
        <f>AVERAGE(Table1215[[#This Row],[Column31]],Table1215[[#This Row],[Column32]],Table1215[[#This Row],[Column33]])</f>
        <v>0</v>
      </c>
      <c r="AK6" s="78">
        <f>IFERROR(VLOOKUP(Table1215[[#This Row],[Column2]],Table12[[Column2]:[Column54]],36,FALSE),"0")</f>
        <v>4</v>
      </c>
      <c r="AL6" s="78">
        <f>IFERROR(VLOOKUP(Table1215[[#This Row],[Column2]],Table12[[Column2]:[Column54]],37,FALSE),"0")</f>
        <v>4</v>
      </c>
      <c r="AM6" s="78">
        <f>IFERROR(VLOOKUP(Table1215[[#This Row],[Column2]],Table12[[Column2]:[Column54]],38,FALSE),"0")</f>
        <v>0</v>
      </c>
      <c r="AN6" s="78">
        <f>IFERROR(VLOOKUP(Table1215[[#This Row],[Column2]],Table12[[Column2]:[Column54]],39,FALSE),"0")</f>
        <v>4</v>
      </c>
      <c r="AO6" s="78">
        <f>IFERROR(VLOOKUP(Table1215[[#This Row],[Column2]],Table12[[Column2]:[Column54]],40,FALSE),"0")</f>
        <v>0</v>
      </c>
      <c r="AP6" s="80">
        <f>AVERAGE(Table1215[[#This Row],[Column37]],Table1215[[#This Row],[Column38]],Table1215[[#This Row],[Column40]])</f>
        <v>4</v>
      </c>
      <c r="AQ6" s="78">
        <f>IFERROR(VLOOKUP(Table1215[[#This Row],[Column2]],Table12[[Column2]:[Column54]],42,FALSE),"0")</f>
        <v>4</v>
      </c>
      <c r="AR6" s="78">
        <f>IFERROR(VLOOKUP(Table1215[[#This Row],[Column2]],Table12[[Column2]:[Column54]],43,FALSE),"0")</f>
        <v>0</v>
      </c>
      <c r="AS6" s="78">
        <f>IFERROR(VLOOKUP(Table1215[[#This Row],[Column2]],Table12[[Column2]:[Column54]],44,FALSE),"0")</f>
        <v>0</v>
      </c>
      <c r="AT6" s="78">
        <f>IFERROR(VLOOKUP(Table1215[[#This Row],[Column2]],Table12[[Column2]:[Column54]],45,FALSE),"0")</f>
        <v>0</v>
      </c>
      <c r="AU6" s="78">
        <f>IFERROR(VLOOKUP(Table1215[[#This Row],[Column2]],Table12[[Column2]:[Column54]],46,FALSE),"0")</f>
        <v>0</v>
      </c>
      <c r="AV6" s="80">
        <f>Table1215[[#This Row],[Column43]]</f>
        <v>4</v>
      </c>
      <c r="AW6" s="78">
        <f>IFERROR(VLOOKUP(Table1215[[#This Row],[Column2]],Table12[[Column2]:[Column54]],48,FALSE),"0")</f>
        <v>0</v>
      </c>
      <c r="AX6" s="78">
        <f>IFERROR(VLOOKUP(Table1215[[#This Row],[Column2]],Table12[[Column2]:[Column54]],49,FALSE),"0")</f>
        <v>0</v>
      </c>
      <c r="AY6" s="78">
        <f>IFERROR(VLOOKUP(Table1215[[#This Row],[Column2]],Table12[[Column2]:[Column54]],50,FALSE),"0")</f>
        <v>0</v>
      </c>
      <c r="AZ6" s="78">
        <f>IFERROR(VLOOKUP(Table1215[[#This Row],[Column2]],Table12[[Column2]:[Column54]],51,FALSE),"0")</f>
        <v>4</v>
      </c>
      <c r="BA6" s="78">
        <f>IFERROR(VLOOKUP(Table1215[[#This Row],[Column2]],Table12[[Column2]:[Column54]],52,FALSE),"0")</f>
        <v>4</v>
      </c>
      <c r="BB6" s="80">
        <f>AVERAGE(Table1215[[#This Row],[Column52]],Table1215[[#This Row],[Column53]])</f>
        <v>4</v>
      </c>
    </row>
    <row r="7" spans="1:54" ht="23.1" customHeight="1" x14ac:dyDescent="0.3">
      <c r="A7" s="100">
        <v>4</v>
      </c>
      <c r="B7" s="83" t="s">
        <v>99</v>
      </c>
      <c r="C7" s="84" t="s">
        <v>100</v>
      </c>
      <c r="D7" s="83" t="s">
        <v>450</v>
      </c>
      <c r="E7" s="83" t="s">
        <v>35</v>
      </c>
      <c r="F7" s="83" t="str">
        <f>REPT(CHAR(160),10)&amp;Working!$E8</f>
        <v>          A</v>
      </c>
      <c r="G7" s="74">
        <f>IFERROR(VLOOKUP(Table1215[[#This Row],[Column2]],Table12[[Column2]:[Column54]],6,FALSE),"0")</f>
        <v>0</v>
      </c>
      <c r="H7" s="74">
        <f>IFERROR(VLOOKUP(Table1215[[#This Row],[Column2]],Table12[[Column2]:[Column54]],7,FALSE),"0")</f>
        <v>0</v>
      </c>
      <c r="I7" s="74">
        <f>IFERROR(VLOOKUP(Table1215[[#This Row],[Column2]],Table12[[Column2]:[Column54]],8,FALSE),"0")</f>
        <v>4</v>
      </c>
      <c r="J7" s="74">
        <f>IFERROR(VLOOKUP(Table1215[[#This Row],[Column2]],Table12[[Column2]:[Column54]],9,FALSE),"0")</f>
        <v>0</v>
      </c>
      <c r="K7" s="74">
        <f>IFERROR(VLOOKUP(Table1215[[#This Row],[Column2]],Table12[[Column2]:[Column54]],10,FALSE),"0")</f>
        <v>0</v>
      </c>
      <c r="L7" s="80">
        <f>Table1215[[#This Row],[Column9]]</f>
        <v>4</v>
      </c>
      <c r="M7" s="74">
        <f>IFERROR(VLOOKUP(Table1215[[#This Row],[Column2]],Table12[[Column2]:[Column54]],12,FALSE),"0")</f>
        <v>0</v>
      </c>
      <c r="N7" s="74">
        <f>IFERROR(VLOOKUP(Table1215[[#This Row],[Column2]],Table12[[Column2]:[Column54]],13,FALSE),"0")</f>
        <v>4</v>
      </c>
      <c r="O7" s="74">
        <f>IFERROR(VLOOKUP(Table1215[[#This Row],[Column2]],Table12[[Column2]:[Column54]],14,FALSE),"0")</f>
        <v>5</v>
      </c>
      <c r="P7" s="74">
        <f>IFERROR(VLOOKUP(Table1215[[#This Row],[Column2]],Table12[[Column2]:[Column54]],10,FALSE),"0")</f>
        <v>0</v>
      </c>
      <c r="Q7" s="74">
        <f>IFERROR(VLOOKUP(Table1215[[#This Row],[Column2]],Table12[[Column2]:[Column54]],16,FALSE),"0")</f>
        <v>5</v>
      </c>
      <c r="R7" s="80">
        <f>AVERAGE(Table1215[[#This Row],[Column14]],Table1215[[#This Row],[Column15]],Table1215[[#This Row],[Column17]])</f>
        <v>4.666666666666667</v>
      </c>
      <c r="S7" s="74">
        <f>IFERROR(VLOOKUP(Table1215[[#This Row],[Column2]],Table12[[Column2]:[Column54]],18,FALSE),"0")</f>
        <v>0</v>
      </c>
      <c r="T7" s="74">
        <f>IFERROR(VLOOKUP(Table1215[[#This Row],[Column2]],Table12[[Column2]:[Column54]],19,FALSE),"0")</f>
        <v>0</v>
      </c>
      <c r="U7" s="74">
        <f>IFERROR(VLOOKUP(Table1215[[#This Row],[Column2]],Table12[[Column2]:[Column54]],20,FALSE),"0")</f>
        <v>0</v>
      </c>
      <c r="V7" s="74">
        <f>IFERROR(VLOOKUP(Table1215[[#This Row],[Column2]],Table12[[Column2]:[Column54]],21,FALSE),"0")</f>
        <v>0</v>
      </c>
      <c r="W7" s="74">
        <f>IFERROR(VLOOKUP(Table1215[[#This Row],[Column2]],Table12[[Column2]:[Column54]],22,FALSE),"0")</f>
        <v>0</v>
      </c>
      <c r="X7" s="80">
        <f>Table1215[[#This Row],[Column19]]</f>
        <v>0</v>
      </c>
      <c r="Y7" s="74">
        <f>IFERROR(VLOOKUP(Table1215[[#This Row],[Column2]],Table12[[Column2]:[Column54]],24,FALSE),"0")</f>
        <v>4</v>
      </c>
      <c r="Z7" s="74">
        <f>IFERROR(VLOOKUP(Table1215[[#This Row],[Column2]],Table12[[Column2]:[Column54]],25,FALSE),"0")</f>
        <v>0</v>
      </c>
      <c r="AA7" s="74">
        <f>IFERROR(VLOOKUP(Table1215[[#This Row],[Column2]],Table12[[Column2]:[Column54]],26,FALSE),"0")</f>
        <v>0</v>
      </c>
      <c r="AB7" s="74">
        <f>IFERROR(VLOOKUP(Table1215[[#This Row],[Column2]],Table12[[Column2]:[Column54]],27,FALSE),"0")</f>
        <v>0</v>
      </c>
      <c r="AC7" s="74">
        <f>IFERROR(VLOOKUP(Table1215[[#This Row],[Column2]],Table12[[Column2]:[Column54]],28,FALSE),"0")</f>
        <v>0</v>
      </c>
      <c r="AD7" s="80">
        <f>Table1215[[#This Row],[Column25]]</f>
        <v>4</v>
      </c>
      <c r="AE7" s="74">
        <f>IFERROR(VLOOKUP(Table1215[[#This Row],[Column2]],Table12[[Column2]:[Column54]],30,FALSE),"0")</f>
        <v>0</v>
      </c>
      <c r="AF7" s="74">
        <f>IFERROR(VLOOKUP(Table1215[[#This Row],[Column2]],Table12[[Column2]:[Column54]],31,FALSE),"0")</f>
        <v>0</v>
      </c>
      <c r="AG7" s="74">
        <f>IFERROR(VLOOKUP(Table1215[[#This Row],[Column2]],Table12[[Column2]:[Column54]],32,FALSE),"0")</f>
        <v>0</v>
      </c>
      <c r="AH7" s="74">
        <f>IFERROR(VLOOKUP(Table1215[[#This Row],[Column2]],Table12[[Column2]:[Column54]],33,FALSE),"0")</f>
        <v>0</v>
      </c>
      <c r="AI7" s="74">
        <f>IFERROR(VLOOKUP(Table1215[[#This Row],[Column2]],Table12[[Column2]:[Column54]],34,FALSE),"0")</f>
        <v>0</v>
      </c>
      <c r="AJ7" s="80">
        <f>AVERAGE(Table1215[[#This Row],[Column31]],Table1215[[#This Row],[Column32]],Table1215[[#This Row],[Column33]])</f>
        <v>0</v>
      </c>
      <c r="AK7" s="74">
        <f>IFERROR(VLOOKUP(Table1215[[#This Row],[Column2]],Table12[[Column2]:[Column54]],36,FALSE),"0")</f>
        <v>5</v>
      </c>
      <c r="AL7" s="74">
        <f>IFERROR(VLOOKUP(Table1215[[#This Row],[Column2]],Table12[[Column2]:[Column54]],37,FALSE),"0")</f>
        <v>4</v>
      </c>
      <c r="AM7" s="74">
        <f>IFERROR(VLOOKUP(Table1215[[#This Row],[Column2]],Table12[[Column2]:[Column54]],38,FALSE),"0")</f>
        <v>0</v>
      </c>
      <c r="AN7" s="74">
        <f>IFERROR(VLOOKUP(Table1215[[#This Row],[Column2]],Table12[[Column2]:[Column54]],39,FALSE),"0")</f>
        <v>4</v>
      </c>
      <c r="AO7" s="74">
        <f>IFERROR(VLOOKUP(Table1215[[#This Row],[Column2]],Table12[[Column2]:[Column54]],40,FALSE),"0")</f>
        <v>0</v>
      </c>
      <c r="AP7" s="80">
        <f>AVERAGE(Table1215[[#This Row],[Column37]],Table1215[[#This Row],[Column38]],Table1215[[#This Row],[Column40]])</f>
        <v>4.333333333333333</v>
      </c>
      <c r="AQ7" s="74">
        <f>IFERROR(VLOOKUP(Table1215[[#This Row],[Column2]],Table12[[Column2]:[Column54]],42,FALSE),"0")</f>
        <v>5</v>
      </c>
      <c r="AR7" s="74">
        <f>IFERROR(VLOOKUP(Table1215[[#This Row],[Column2]],Table12[[Column2]:[Column54]],43,FALSE),"0")</f>
        <v>0</v>
      </c>
      <c r="AS7" s="74">
        <f>IFERROR(VLOOKUP(Table1215[[#This Row],[Column2]],Table12[[Column2]:[Column54]],44,FALSE),"0")</f>
        <v>0</v>
      </c>
      <c r="AT7" s="74">
        <f>IFERROR(VLOOKUP(Table1215[[#This Row],[Column2]],Table12[[Column2]:[Column54]],45,FALSE),"0")</f>
        <v>0</v>
      </c>
      <c r="AU7" s="74">
        <f>IFERROR(VLOOKUP(Table1215[[#This Row],[Column2]],Table12[[Column2]:[Column54]],46,FALSE),"0")</f>
        <v>0</v>
      </c>
      <c r="AV7" s="80">
        <f>Table1215[[#This Row],[Column43]]</f>
        <v>5</v>
      </c>
      <c r="AW7" s="74">
        <f>IFERROR(VLOOKUP(Table1215[[#This Row],[Column2]],Table12[[Column2]:[Column54]],48,FALSE),"0")</f>
        <v>0</v>
      </c>
      <c r="AX7" s="74">
        <f>IFERROR(VLOOKUP(Table1215[[#This Row],[Column2]],Table12[[Column2]:[Column54]],49,FALSE),"0")</f>
        <v>0</v>
      </c>
      <c r="AY7" s="74">
        <f>IFERROR(VLOOKUP(Table1215[[#This Row],[Column2]],Table12[[Column2]:[Column54]],50,FALSE),"0")</f>
        <v>0</v>
      </c>
      <c r="AZ7" s="74">
        <f>IFERROR(VLOOKUP(Table1215[[#This Row],[Column2]],Table12[[Column2]:[Column54]],51,FALSE),"0")</f>
        <v>4</v>
      </c>
      <c r="BA7" s="74">
        <f>IFERROR(VLOOKUP(Table1215[[#This Row],[Column2]],Table12[[Column2]:[Column54]],52,FALSE),"0")</f>
        <v>4</v>
      </c>
      <c r="BB7" s="80">
        <f>AVERAGE(Table1215[[#This Row],[Column52]],Table1215[[#This Row],[Column53]])</f>
        <v>4</v>
      </c>
    </row>
    <row r="8" spans="1:54" ht="23.1" customHeight="1" x14ac:dyDescent="0.3">
      <c r="A8" s="99">
        <v>5</v>
      </c>
      <c r="B8" s="76" t="s">
        <v>290</v>
      </c>
      <c r="C8" s="77" t="s">
        <v>538</v>
      </c>
      <c r="D8" s="76" t="s">
        <v>450</v>
      </c>
      <c r="E8" s="76" t="s">
        <v>289</v>
      </c>
      <c r="F8" s="76" t="str">
        <f>REPT(CHAR(160),10)&amp;Working!$E9</f>
        <v>          D</v>
      </c>
      <c r="G8" s="78">
        <f>IFERROR(VLOOKUP(Table1215[[#This Row],[Column2]],Table12[[Column2]:[Column54]],6,FALSE),"0")</f>
        <v>0</v>
      </c>
      <c r="H8" s="78">
        <f>IFERROR(VLOOKUP(Table1215[[#This Row],[Column2]],Table12[[Column2]:[Column54]],7,FALSE),"0")</f>
        <v>0</v>
      </c>
      <c r="I8" s="78" t="str">
        <f>IFERROR(VLOOKUP(Table1215[[#This Row],[Column2]],Table12[[Column2]:[Column54]],8,FALSE),"0")</f>
        <v>A</v>
      </c>
      <c r="J8" s="78">
        <f>IFERROR(VLOOKUP(Table1215[[#This Row],[Column2]],Table12[[Column2]:[Column54]],9,FALSE),"0")</f>
        <v>0</v>
      </c>
      <c r="K8" s="78">
        <f>IFERROR(VLOOKUP(Table1215[[#This Row],[Column2]],Table12[[Column2]:[Column54]],10,FALSE),"0")</f>
        <v>0</v>
      </c>
      <c r="L8" s="80" t="str">
        <f>Table1215[[#This Row],[Column9]]</f>
        <v>A</v>
      </c>
      <c r="M8" s="78">
        <f>IFERROR(VLOOKUP(Table1215[[#This Row],[Column2]],Table12[[Column2]:[Column54]],12,FALSE),"0")</f>
        <v>0</v>
      </c>
      <c r="N8" s="78" t="str">
        <f>IFERROR(VLOOKUP(Table1215[[#This Row],[Column2]],Table12[[Column2]:[Column54]],13,FALSE),"0")</f>
        <v>0</v>
      </c>
      <c r="O8" s="78" t="str">
        <f>IFERROR(VLOOKUP(Table1215[[#This Row],[Column2]],Table12[[Column2]:[Column54]],14,FALSE),"0")</f>
        <v>0</v>
      </c>
      <c r="P8" s="78">
        <f>IFERROR(VLOOKUP(Table1215[[#This Row],[Column2]],Table12[[Column2]:[Column54]],10,FALSE),"0")</f>
        <v>0</v>
      </c>
      <c r="Q8" s="78" t="str">
        <f>IFERROR(VLOOKUP(Table1215[[#This Row],[Column2]],Table12[[Column2]:[Column54]],16,FALSE),"0")</f>
        <v>0</v>
      </c>
      <c r="R8" s="80" t="e">
        <f>AVERAGE(Table1215[[#This Row],[Column14]],Table1215[[#This Row],[Column15]],Table1215[[#This Row],[Column17]])</f>
        <v>#DIV/0!</v>
      </c>
      <c r="S8" s="78">
        <f>IFERROR(VLOOKUP(Table1215[[#This Row],[Column2]],Table12[[Column2]:[Column54]],18,FALSE),"0")</f>
        <v>0</v>
      </c>
      <c r="T8" s="78">
        <f>IFERROR(VLOOKUP(Table1215[[#This Row],[Column2]],Table12[[Column2]:[Column54]],19,FALSE),"0")</f>
        <v>0</v>
      </c>
      <c r="U8" s="78">
        <f>IFERROR(VLOOKUP(Table1215[[#This Row],[Column2]],Table12[[Column2]:[Column54]],20,FALSE),"0")</f>
        <v>0</v>
      </c>
      <c r="V8" s="78">
        <f>IFERROR(VLOOKUP(Table1215[[#This Row],[Column2]],Table12[[Column2]:[Column54]],21,FALSE),"0")</f>
        <v>0</v>
      </c>
      <c r="W8" s="78">
        <f>IFERROR(VLOOKUP(Table1215[[#This Row],[Column2]],Table12[[Column2]:[Column54]],22,FALSE),"0")</f>
        <v>0</v>
      </c>
      <c r="X8" s="80">
        <f>Table1215[[#This Row],[Column19]]</f>
        <v>0</v>
      </c>
      <c r="Y8" s="78" t="str">
        <f>IFERROR(VLOOKUP(Table1215[[#This Row],[Column2]],Table12[[Column2]:[Column54]],24,FALSE),"0")</f>
        <v>0</v>
      </c>
      <c r="Z8" s="78">
        <f>IFERROR(VLOOKUP(Table1215[[#This Row],[Column2]],Table12[[Column2]:[Column54]],25,FALSE),"0")</f>
        <v>0</v>
      </c>
      <c r="AA8" s="78">
        <f>IFERROR(VLOOKUP(Table1215[[#This Row],[Column2]],Table12[[Column2]:[Column54]],26,FALSE),"0")</f>
        <v>0</v>
      </c>
      <c r="AB8" s="78">
        <f>IFERROR(VLOOKUP(Table1215[[#This Row],[Column2]],Table12[[Column2]:[Column54]],27,FALSE),"0")</f>
        <v>0</v>
      </c>
      <c r="AC8" s="78">
        <f>IFERROR(VLOOKUP(Table1215[[#This Row],[Column2]],Table12[[Column2]:[Column54]],28,FALSE),"0")</f>
        <v>0</v>
      </c>
      <c r="AD8" s="80" t="str">
        <f>Table1215[[#This Row],[Column25]]</f>
        <v>0</v>
      </c>
      <c r="AE8" s="78">
        <f>IFERROR(VLOOKUP(Table1215[[#This Row],[Column2]],Table12[[Column2]:[Column54]],30,FALSE),"0")</f>
        <v>0</v>
      </c>
      <c r="AF8" s="78">
        <f>IFERROR(VLOOKUP(Table1215[[#This Row],[Column2]],Table12[[Column2]:[Column54]],31,FALSE),"0")</f>
        <v>0</v>
      </c>
      <c r="AG8" s="78">
        <f>IFERROR(VLOOKUP(Table1215[[#This Row],[Column2]],Table12[[Column2]:[Column54]],32,FALSE),"0")</f>
        <v>0</v>
      </c>
      <c r="AH8" s="78">
        <f>IFERROR(VLOOKUP(Table1215[[#This Row],[Column2]],Table12[[Column2]:[Column54]],33,FALSE),"0")</f>
        <v>0</v>
      </c>
      <c r="AI8" s="78">
        <f>IFERROR(VLOOKUP(Table1215[[#This Row],[Column2]],Table12[[Column2]:[Column54]],34,FALSE),"0")</f>
        <v>0</v>
      </c>
      <c r="AJ8" s="80">
        <f>AVERAGE(Table1215[[#This Row],[Column31]],Table1215[[#This Row],[Column32]],Table1215[[#This Row],[Column33]])</f>
        <v>0</v>
      </c>
      <c r="AK8" s="78" t="str">
        <f>IFERROR(VLOOKUP(Table1215[[#This Row],[Column2]],Table12[[Column2]:[Column54]],36,FALSE),"0")</f>
        <v>0</v>
      </c>
      <c r="AL8" s="78" t="str">
        <f>IFERROR(VLOOKUP(Table1215[[#This Row],[Column2]],Table12[[Column2]:[Column54]],37,FALSE),"0")</f>
        <v>0</v>
      </c>
      <c r="AM8" s="78">
        <f>IFERROR(VLOOKUP(Table1215[[#This Row],[Column2]],Table12[[Column2]:[Column54]],38,FALSE),"0")</f>
        <v>0</v>
      </c>
      <c r="AN8" s="78" t="str">
        <f>IFERROR(VLOOKUP(Table1215[[#This Row],[Column2]],Table12[[Column2]:[Column54]],39,FALSE),"0")</f>
        <v>0</v>
      </c>
      <c r="AO8" s="78">
        <f>IFERROR(VLOOKUP(Table1215[[#This Row],[Column2]],Table12[[Column2]:[Column54]],40,FALSE),"0")</f>
        <v>0</v>
      </c>
      <c r="AP8" s="80" t="e">
        <f>AVERAGE(Table1215[[#This Row],[Column37]],Table1215[[#This Row],[Column38]],Table1215[[#This Row],[Column40]])</f>
        <v>#DIV/0!</v>
      </c>
      <c r="AQ8" s="78" t="str">
        <f>IFERROR(VLOOKUP(Table1215[[#This Row],[Column2]],Table12[[Column2]:[Column54]],42,FALSE),"0")</f>
        <v>0</v>
      </c>
      <c r="AR8" s="78">
        <f>IFERROR(VLOOKUP(Table1215[[#This Row],[Column2]],Table12[[Column2]:[Column54]],43,FALSE),"0")</f>
        <v>0</v>
      </c>
      <c r="AS8" s="78">
        <f>IFERROR(VLOOKUP(Table1215[[#This Row],[Column2]],Table12[[Column2]:[Column54]],44,FALSE),"0")</f>
        <v>0</v>
      </c>
      <c r="AT8" s="78">
        <f>IFERROR(VLOOKUP(Table1215[[#This Row],[Column2]],Table12[[Column2]:[Column54]],45,FALSE),"0")</f>
        <v>0</v>
      </c>
      <c r="AU8" s="78">
        <f>IFERROR(VLOOKUP(Table1215[[#This Row],[Column2]],Table12[[Column2]:[Column54]],46,FALSE),"0")</f>
        <v>0</v>
      </c>
      <c r="AV8" s="80" t="str">
        <f>Table1215[[#This Row],[Column43]]</f>
        <v>0</v>
      </c>
      <c r="AW8" s="78">
        <f>IFERROR(VLOOKUP(Table1215[[#This Row],[Column2]],Table12[[Column2]:[Column54]],48,FALSE),"0")</f>
        <v>0</v>
      </c>
      <c r="AX8" s="78">
        <f>IFERROR(VLOOKUP(Table1215[[#This Row],[Column2]],Table12[[Column2]:[Column54]],49,FALSE),"0")</f>
        <v>0</v>
      </c>
      <c r="AY8" s="78">
        <f>IFERROR(VLOOKUP(Table1215[[#This Row],[Column2]],Table12[[Column2]:[Column54]],50,FALSE),"0")</f>
        <v>0</v>
      </c>
      <c r="AZ8" s="78" t="str">
        <f>IFERROR(VLOOKUP(Table1215[[#This Row],[Column2]],Table12[[Column2]:[Column54]],51,FALSE),"0")</f>
        <v>0</v>
      </c>
      <c r="BA8" s="78" t="str">
        <f>IFERROR(VLOOKUP(Table1215[[#This Row],[Column2]],Table12[[Column2]:[Column54]],52,FALSE),"0")</f>
        <v>0</v>
      </c>
      <c r="BB8" s="80" t="e">
        <f>AVERAGE(Table1215[[#This Row],[Column52]],Table1215[[#This Row],[Column53]])</f>
        <v>#DIV/0!</v>
      </c>
    </row>
    <row r="9" spans="1:54" ht="23.1" customHeight="1" x14ac:dyDescent="0.3">
      <c r="A9" s="100">
        <v>6</v>
      </c>
      <c r="B9" s="83" t="s">
        <v>101</v>
      </c>
      <c r="C9" s="84" t="s">
        <v>102</v>
      </c>
      <c r="D9" s="83" t="s">
        <v>450</v>
      </c>
      <c r="E9" s="83" t="s">
        <v>35</v>
      </c>
      <c r="F9" s="83" t="str">
        <f>REPT(CHAR(160),10)&amp;Working!$E10</f>
        <v>          A</v>
      </c>
      <c r="G9" s="74">
        <f>IFERROR(VLOOKUP(Table1215[[#This Row],[Column2]],Table12[[Column2]:[Column54]],6,FALSE),"0")</f>
        <v>0</v>
      </c>
      <c r="H9" s="74">
        <f>IFERROR(VLOOKUP(Table1215[[#This Row],[Column2]],Table12[[Column2]:[Column54]],7,FALSE),"0")</f>
        <v>0</v>
      </c>
      <c r="I9" s="74">
        <f>IFERROR(VLOOKUP(Table1215[[#This Row],[Column2]],Table12[[Column2]:[Column54]],8,FALSE),"0")</f>
        <v>4</v>
      </c>
      <c r="J9" s="74">
        <f>IFERROR(VLOOKUP(Table1215[[#This Row],[Column2]],Table12[[Column2]:[Column54]],9,FALSE),"0")</f>
        <v>0</v>
      </c>
      <c r="K9" s="74">
        <f>IFERROR(VLOOKUP(Table1215[[#This Row],[Column2]],Table12[[Column2]:[Column54]],10,FALSE),"0")</f>
        <v>0</v>
      </c>
      <c r="L9" s="80">
        <f>Table1215[[#This Row],[Column9]]</f>
        <v>4</v>
      </c>
      <c r="M9" s="74">
        <f>IFERROR(VLOOKUP(Table1215[[#This Row],[Column2]],Table12[[Column2]:[Column54]],12,FALSE),"0")</f>
        <v>0</v>
      </c>
      <c r="N9" s="74">
        <f>IFERROR(VLOOKUP(Table1215[[#This Row],[Column2]],Table12[[Column2]:[Column54]],13,FALSE),"0")</f>
        <v>5</v>
      </c>
      <c r="O9" s="74">
        <f>IFERROR(VLOOKUP(Table1215[[#This Row],[Column2]],Table12[[Column2]:[Column54]],14,FALSE),"0")</f>
        <v>4</v>
      </c>
      <c r="P9" s="74">
        <f>IFERROR(VLOOKUP(Table1215[[#This Row],[Column2]],Table12[[Column2]:[Column54]],10,FALSE),"0")</f>
        <v>0</v>
      </c>
      <c r="Q9" s="74">
        <f>IFERROR(VLOOKUP(Table1215[[#This Row],[Column2]],Table12[[Column2]:[Column54]],16,FALSE),"0")</f>
        <v>4</v>
      </c>
      <c r="R9" s="80">
        <f>AVERAGE(Table1215[[#This Row],[Column14]],Table1215[[#This Row],[Column15]],Table1215[[#This Row],[Column17]])</f>
        <v>4.333333333333333</v>
      </c>
      <c r="S9" s="74">
        <f>IFERROR(VLOOKUP(Table1215[[#This Row],[Column2]],Table12[[Column2]:[Column54]],18,FALSE),"0")</f>
        <v>0</v>
      </c>
      <c r="T9" s="74">
        <f>IFERROR(VLOOKUP(Table1215[[#This Row],[Column2]],Table12[[Column2]:[Column54]],19,FALSE),"0")</f>
        <v>0</v>
      </c>
      <c r="U9" s="74">
        <f>IFERROR(VLOOKUP(Table1215[[#This Row],[Column2]],Table12[[Column2]:[Column54]],20,FALSE),"0")</f>
        <v>0</v>
      </c>
      <c r="V9" s="74">
        <f>IFERROR(VLOOKUP(Table1215[[#This Row],[Column2]],Table12[[Column2]:[Column54]],21,FALSE),"0")</f>
        <v>0</v>
      </c>
      <c r="W9" s="74">
        <f>IFERROR(VLOOKUP(Table1215[[#This Row],[Column2]],Table12[[Column2]:[Column54]],22,FALSE),"0")</f>
        <v>0</v>
      </c>
      <c r="X9" s="80">
        <f>Table1215[[#This Row],[Column19]]</f>
        <v>0</v>
      </c>
      <c r="Y9" s="74">
        <f>IFERROR(VLOOKUP(Table1215[[#This Row],[Column2]],Table12[[Column2]:[Column54]],24,FALSE),"0")</f>
        <v>5</v>
      </c>
      <c r="Z9" s="74">
        <f>IFERROR(VLOOKUP(Table1215[[#This Row],[Column2]],Table12[[Column2]:[Column54]],25,FALSE),"0")</f>
        <v>0</v>
      </c>
      <c r="AA9" s="74">
        <f>IFERROR(VLOOKUP(Table1215[[#This Row],[Column2]],Table12[[Column2]:[Column54]],26,FALSE),"0")</f>
        <v>0</v>
      </c>
      <c r="AB9" s="74">
        <f>IFERROR(VLOOKUP(Table1215[[#This Row],[Column2]],Table12[[Column2]:[Column54]],27,FALSE),"0")</f>
        <v>0</v>
      </c>
      <c r="AC9" s="74">
        <f>IFERROR(VLOOKUP(Table1215[[#This Row],[Column2]],Table12[[Column2]:[Column54]],28,FALSE),"0")</f>
        <v>0</v>
      </c>
      <c r="AD9" s="80">
        <f>Table1215[[#This Row],[Column25]]</f>
        <v>5</v>
      </c>
      <c r="AE9" s="74">
        <f>IFERROR(VLOOKUP(Table1215[[#This Row],[Column2]],Table12[[Column2]:[Column54]],30,FALSE),"0")</f>
        <v>0</v>
      </c>
      <c r="AF9" s="74">
        <f>IFERROR(VLOOKUP(Table1215[[#This Row],[Column2]],Table12[[Column2]:[Column54]],31,FALSE),"0")</f>
        <v>0</v>
      </c>
      <c r="AG9" s="74">
        <f>IFERROR(VLOOKUP(Table1215[[#This Row],[Column2]],Table12[[Column2]:[Column54]],32,FALSE),"0")</f>
        <v>0</v>
      </c>
      <c r="AH9" s="74">
        <f>IFERROR(VLOOKUP(Table1215[[#This Row],[Column2]],Table12[[Column2]:[Column54]],33,FALSE),"0")</f>
        <v>0</v>
      </c>
      <c r="AI9" s="74">
        <f>IFERROR(VLOOKUP(Table1215[[#This Row],[Column2]],Table12[[Column2]:[Column54]],34,FALSE),"0")</f>
        <v>0</v>
      </c>
      <c r="AJ9" s="80">
        <f>AVERAGE(Table1215[[#This Row],[Column31]],Table1215[[#This Row],[Column32]],Table1215[[#This Row],[Column33]])</f>
        <v>0</v>
      </c>
      <c r="AK9" s="74">
        <f>IFERROR(VLOOKUP(Table1215[[#This Row],[Column2]],Table12[[Column2]:[Column54]],36,FALSE),"0")</f>
        <v>5</v>
      </c>
      <c r="AL9" s="74">
        <f>IFERROR(VLOOKUP(Table1215[[#This Row],[Column2]],Table12[[Column2]:[Column54]],37,FALSE),"0")</f>
        <v>5</v>
      </c>
      <c r="AM9" s="74">
        <f>IFERROR(VLOOKUP(Table1215[[#This Row],[Column2]],Table12[[Column2]:[Column54]],38,FALSE),"0")</f>
        <v>0</v>
      </c>
      <c r="AN9" s="74">
        <f>IFERROR(VLOOKUP(Table1215[[#This Row],[Column2]],Table12[[Column2]:[Column54]],39,FALSE),"0")</f>
        <v>5</v>
      </c>
      <c r="AO9" s="74">
        <f>IFERROR(VLOOKUP(Table1215[[#This Row],[Column2]],Table12[[Column2]:[Column54]],40,FALSE),"0")</f>
        <v>0</v>
      </c>
      <c r="AP9" s="80">
        <f>AVERAGE(Table1215[[#This Row],[Column37]],Table1215[[#This Row],[Column38]],Table1215[[#This Row],[Column40]])</f>
        <v>5</v>
      </c>
      <c r="AQ9" s="74">
        <f>IFERROR(VLOOKUP(Table1215[[#This Row],[Column2]],Table12[[Column2]:[Column54]],42,FALSE),"0")</f>
        <v>5</v>
      </c>
      <c r="AR9" s="74">
        <f>IFERROR(VLOOKUP(Table1215[[#This Row],[Column2]],Table12[[Column2]:[Column54]],43,FALSE),"0")</f>
        <v>0</v>
      </c>
      <c r="AS9" s="74">
        <f>IFERROR(VLOOKUP(Table1215[[#This Row],[Column2]],Table12[[Column2]:[Column54]],44,FALSE),"0")</f>
        <v>0</v>
      </c>
      <c r="AT9" s="74">
        <f>IFERROR(VLOOKUP(Table1215[[#This Row],[Column2]],Table12[[Column2]:[Column54]],45,FALSE),"0")</f>
        <v>0</v>
      </c>
      <c r="AU9" s="74">
        <f>IFERROR(VLOOKUP(Table1215[[#This Row],[Column2]],Table12[[Column2]:[Column54]],46,FALSE),"0")</f>
        <v>0</v>
      </c>
      <c r="AV9" s="80">
        <f>Table1215[[#This Row],[Column43]]</f>
        <v>5</v>
      </c>
      <c r="AW9" s="74">
        <f>IFERROR(VLOOKUP(Table1215[[#This Row],[Column2]],Table12[[Column2]:[Column54]],48,FALSE),"0")</f>
        <v>0</v>
      </c>
      <c r="AX9" s="74">
        <f>IFERROR(VLOOKUP(Table1215[[#This Row],[Column2]],Table12[[Column2]:[Column54]],49,FALSE),"0")</f>
        <v>0</v>
      </c>
      <c r="AY9" s="74">
        <f>IFERROR(VLOOKUP(Table1215[[#This Row],[Column2]],Table12[[Column2]:[Column54]],50,FALSE),"0")</f>
        <v>0</v>
      </c>
      <c r="AZ9" s="74">
        <f>IFERROR(VLOOKUP(Table1215[[#This Row],[Column2]],Table12[[Column2]:[Column54]],51,FALSE),"0")</f>
        <v>5</v>
      </c>
      <c r="BA9" s="74">
        <f>IFERROR(VLOOKUP(Table1215[[#This Row],[Column2]],Table12[[Column2]:[Column54]],52,FALSE),"0")</f>
        <v>5</v>
      </c>
      <c r="BB9" s="80">
        <f>AVERAGE(Table1215[[#This Row],[Column52]],Table1215[[#This Row],[Column53]])</f>
        <v>5</v>
      </c>
    </row>
    <row r="10" spans="1:54" ht="23.1" customHeight="1" x14ac:dyDescent="0.3">
      <c r="A10" s="99">
        <v>7</v>
      </c>
      <c r="B10" s="76" t="s">
        <v>72</v>
      </c>
      <c r="C10" s="77" t="s">
        <v>73</v>
      </c>
      <c r="D10" s="76" t="s">
        <v>450</v>
      </c>
      <c r="E10" s="76" t="s">
        <v>35</v>
      </c>
      <c r="F10" s="76" t="str">
        <f>REPT(CHAR(160),10)&amp;Working!$E11</f>
        <v>          A</v>
      </c>
      <c r="G10" s="78">
        <f>IFERROR(VLOOKUP(Table1215[[#This Row],[Column2]],Table12[[Column2]:[Column54]],6,FALSE),"0")</f>
        <v>0</v>
      </c>
      <c r="H10" s="78">
        <f>IFERROR(VLOOKUP(Table1215[[#This Row],[Column2]],Table12[[Column2]:[Column54]],7,FALSE),"0")</f>
        <v>0</v>
      </c>
      <c r="I10" s="78">
        <f>IFERROR(VLOOKUP(Table1215[[#This Row],[Column2]],Table12[[Column2]:[Column54]],8,FALSE),"0")</f>
        <v>5</v>
      </c>
      <c r="J10" s="78">
        <f>IFERROR(VLOOKUP(Table1215[[#This Row],[Column2]],Table12[[Column2]:[Column54]],9,FALSE),"0")</f>
        <v>0</v>
      </c>
      <c r="K10" s="78">
        <f>IFERROR(VLOOKUP(Table1215[[#This Row],[Column2]],Table12[[Column2]:[Column54]],10,FALSE),"0")</f>
        <v>0</v>
      </c>
      <c r="L10" s="80">
        <f>Table1215[[#This Row],[Column9]]</f>
        <v>5</v>
      </c>
      <c r="M10" s="78">
        <f>IFERROR(VLOOKUP(Table1215[[#This Row],[Column2]],Table12[[Column2]:[Column54]],12,FALSE),"0")</f>
        <v>0</v>
      </c>
      <c r="N10" s="78">
        <f>IFERROR(VLOOKUP(Table1215[[#This Row],[Column2]],Table12[[Column2]:[Column54]],13,FALSE),"0")</f>
        <v>5</v>
      </c>
      <c r="O10" s="78">
        <f>IFERROR(VLOOKUP(Table1215[[#This Row],[Column2]],Table12[[Column2]:[Column54]],14,FALSE),"0")</f>
        <v>5</v>
      </c>
      <c r="P10" s="78">
        <f>IFERROR(VLOOKUP(Table1215[[#This Row],[Column2]],Table12[[Column2]:[Column54]],10,FALSE),"0")</f>
        <v>0</v>
      </c>
      <c r="Q10" s="78">
        <f>IFERROR(VLOOKUP(Table1215[[#This Row],[Column2]],Table12[[Column2]:[Column54]],16,FALSE),"0")</f>
        <v>5</v>
      </c>
      <c r="R10" s="80">
        <f>AVERAGE(Table1215[[#This Row],[Column14]],Table1215[[#This Row],[Column15]],Table1215[[#This Row],[Column17]])</f>
        <v>5</v>
      </c>
      <c r="S10" s="78">
        <f>IFERROR(VLOOKUP(Table1215[[#This Row],[Column2]],Table12[[Column2]:[Column54]],18,FALSE),"0")</f>
        <v>0</v>
      </c>
      <c r="T10" s="78">
        <f>IFERROR(VLOOKUP(Table1215[[#This Row],[Column2]],Table12[[Column2]:[Column54]],19,FALSE),"0")</f>
        <v>0</v>
      </c>
      <c r="U10" s="78">
        <f>IFERROR(VLOOKUP(Table1215[[#This Row],[Column2]],Table12[[Column2]:[Column54]],20,FALSE),"0")</f>
        <v>0</v>
      </c>
      <c r="V10" s="78">
        <f>IFERROR(VLOOKUP(Table1215[[#This Row],[Column2]],Table12[[Column2]:[Column54]],21,FALSE),"0")</f>
        <v>0</v>
      </c>
      <c r="W10" s="78">
        <f>IFERROR(VLOOKUP(Table1215[[#This Row],[Column2]],Table12[[Column2]:[Column54]],22,FALSE),"0")</f>
        <v>0</v>
      </c>
      <c r="X10" s="80">
        <f>Table1215[[#This Row],[Column19]]</f>
        <v>0</v>
      </c>
      <c r="Y10" s="78">
        <f>IFERROR(VLOOKUP(Table1215[[#This Row],[Column2]],Table12[[Column2]:[Column54]],24,FALSE),"0")</f>
        <v>5</v>
      </c>
      <c r="Z10" s="78">
        <f>IFERROR(VLOOKUP(Table1215[[#This Row],[Column2]],Table12[[Column2]:[Column54]],25,FALSE),"0")</f>
        <v>0</v>
      </c>
      <c r="AA10" s="78">
        <f>IFERROR(VLOOKUP(Table1215[[#This Row],[Column2]],Table12[[Column2]:[Column54]],26,FALSE),"0")</f>
        <v>0</v>
      </c>
      <c r="AB10" s="78">
        <f>IFERROR(VLOOKUP(Table1215[[#This Row],[Column2]],Table12[[Column2]:[Column54]],27,FALSE),"0")</f>
        <v>0</v>
      </c>
      <c r="AC10" s="78">
        <f>IFERROR(VLOOKUP(Table1215[[#This Row],[Column2]],Table12[[Column2]:[Column54]],28,FALSE),"0")</f>
        <v>0</v>
      </c>
      <c r="AD10" s="80">
        <f>Table1215[[#This Row],[Column25]]</f>
        <v>5</v>
      </c>
      <c r="AE10" s="78">
        <f>IFERROR(VLOOKUP(Table1215[[#This Row],[Column2]],Table12[[Column2]:[Column54]],30,FALSE),"0")</f>
        <v>0</v>
      </c>
      <c r="AF10" s="78">
        <f>IFERROR(VLOOKUP(Table1215[[#This Row],[Column2]],Table12[[Column2]:[Column54]],31,FALSE),"0")</f>
        <v>0</v>
      </c>
      <c r="AG10" s="78">
        <f>IFERROR(VLOOKUP(Table1215[[#This Row],[Column2]],Table12[[Column2]:[Column54]],32,FALSE),"0")</f>
        <v>0</v>
      </c>
      <c r="AH10" s="78">
        <f>IFERROR(VLOOKUP(Table1215[[#This Row],[Column2]],Table12[[Column2]:[Column54]],33,FALSE),"0")</f>
        <v>0</v>
      </c>
      <c r="AI10" s="78">
        <f>IFERROR(VLOOKUP(Table1215[[#This Row],[Column2]],Table12[[Column2]:[Column54]],34,FALSE),"0")</f>
        <v>0</v>
      </c>
      <c r="AJ10" s="80">
        <f>AVERAGE(Table1215[[#This Row],[Column31]],Table1215[[#This Row],[Column32]],Table1215[[#This Row],[Column33]])</f>
        <v>0</v>
      </c>
      <c r="AK10" s="78">
        <f>IFERROR(VLOOKUP(Table1215[[#This Row],[Column2]],Table12[[Column2]:[Column54]],36,FALSE),"0")</f>
        <v>4</v>
      </c>
      <c r="AL10" s="78">
        <f>IFERROR(VLOOKUP(Table1215[[#This Row],[Column2]],Table12[[Column2]:[Column54]],37,FALSE),"0")</f>
        <v>5</v>
      </c>
      <c r="AM10" s="78">
        <f>IFERROR(VLOOKUP(Table1215[[#This Row],[Column2]],Table12[[Column2]:[Column54]],38,FALSE),"0")</f>
        <v>0</v>
      </c>
      <c r="AN10" s="78">
        <f>IFERROR(VLOOKUP(Table1215[[#This Row],[Column2]],Table12[[Column2]:[Column54]],39,FALSE),"0")</f>
        <v>5</v>
      </c>
      <c r="AO10" s="78">
        <f>IFERROR(VLOOKUP(Table1215[[#This Row],[Column2]],Table12[[Column2]:[Column54]],40,FALSE),"0")</f>
        <v>0</v>
      </c>
      <c r="AP10" s="80">
        <f>AVERAGE(Table1215[[#This Row],[Column37]],Table1215[[#This Row],[Column38]],Table1215[[#This Row],[Column40]])</f>
        <v>4.666666666666667</v>
      </c>
      <c r="AQ10" s="78">
        <f>IFERROR(VLOOKUP(Table1215[[#This Row],[Column2]],Table12[[Column2]:[Column54]],42,FALSE),"0")</f>
        <v>5</v>
      </c>
      <c r="AR10" s="78">
        <f>IFERROR(VLOOKUP(Table1215[[#This Row],[Column2]],Table12[[Column2]:[Column54]],43,FALSE),"0")</f>
        <v>0</v>
      </c>
      <c r="AS10" s="78">
        <f>IFERROR(VLOOKUP(Table1215[[#This Row],[Column2]],Table12[[Column2]:[Column54]],44,FALSE),"0")</f>
        <v>0</v>
      </c>
      <c r="AT10" s="78">
        <f>IFERROR(VLOOKUP(Table1215[[#This Row],[Column2]],Table12[[Column2]:[Column54]],45,FALSE),"0")</f>
        <v>0</v>
      </c>
      <c r="AU10" s="78">
        <f>IFERROR(VLOOKUP(Table1215[[#This Row],[Column2]],Table12[[Column2]:[Column54]],46,FALSE),"0")</f>
        <v>0</v>
      </c>
      <c r="AV10" s="80">
        <f>Table1215[[#This Row],[Column43]]</f>
        <v>5</v>
      </c>
      <c r="AW10" s="78">
        <f>IFERROR(VLOOKUP(Table1215[[#This Row],[Column2]],Table12[[Column2]:[Column54]],48,FALSE),"0")</f>
        <v>0</v>
      </c>
      <c r="AX10" s="78">
        <f>IFERROR(VLOOKUP(Table1215[[#This Row],[Column2]],Table12[[Column2]:[Column54]],49,FALSE),"0")</f>
        <v>0</v>
      </c>
      <c r="AY10" s="78">
        <f>IFERROR(VLOOKUP(Table1215[[#This Row],[Column2]],Table12[[Column2]:[Column54]],50,FALSE),"0")</f>
        <v>0</v>
      </c>
      <c r="AZ10" s="78">
        <f>IFERROR(VLOOKUP(Table1215[[#This Row],[Column2]],Table12[[Column2]:[Column54]],51,FALSE),"0")</f>
        <v>5</v>
      </c>
      <c r="BA10" s="78">
        <f>IFERROR(VLOOKUP(Table1215[[#This Row],[Column2]],Table12[[Column2]:[Column54]],52,FALSE),"0")</f>
        <v>4</v>
      </c>
      <c r="BB10" s="80">
        <f>AVERAGE(Table1215[[#This Row],[Column52]],Table1215[[#This Row],[Column53]])</f>
        <v>4.5</v>
      </c>
    </row>
    <row r="11" spans="1:54" ht="23.1" customHeight="1" x14ac:dyDescent="0.3">
      <c r="A11" s="100">
        <v>8</v>
      </c>
      <c r="B11" s="83" t="s">
        <v>291</v>
      </c>
      <c r="C11" s="84" t="s">
        <v>292</v>
      </c>
      <c r="D11" s="83" t="s">
        <v>450</v>
      </c>
      <c r="E11" s="83" t="s">
        <v>493</v>
      </c>
      <c r="F11" s="83" t="str">
        <f>REPT(CHAR(160),10)&amp;Working!$E12</f>
        <v>          C</v>
      </c>
      <c r="G11" s="74">
        <f>IFERROR(VLOOKUP(Table1215[[#This Row],[Column2]],Table12[[Column2]:[Column54]],6,FALSE),"0")</f>
        <v>0</v>
      </c>
      <c r="H11" s="74">
        <f>IFERROR(VLOOKUP(Table1215[[#This Row],[Column2]],Table12[[Column2]:[Column54]],7,FALSE),"0")</f>
        <v>0</v>
      </c>
      <c r="I11" s="74">
        <f>IFERROR(VLOOKUP(Table1215[[#This Row],[Column2]],Table12[[Column2]:[Column54]],8,FALSE),"0")</f>
        <v>4</v>
      </c>
      <c r="J11" s="74">
        <f>IFERROR(VLOOKUP(Table1215[[#This Row],[Column2]],Table12[[Column2]:[Column54]],9,FALSE),"0")</f>
        <v>0</v>
      </c>
      <c r="K11" s="74">
        <f>IFERROR(VLOOKUP(Table1215[[#This Row],[Column2]],Table12[[Column2]:[Column54]],10,FALSE),"0")</f>
        <v>0</v>
      </c>
      <c r="L11" s="80">
        <f>Table1215[[#This Row],[Column9]]</f>
        <v>4</v>
      </c>
      <c r="M11" s="74">
        <f>IFERROR(VLOOKUP(Table1215[[#This Row],[Column2]],Table12[[Column2]:[Column54]],12,FALSE),"0")</f>
        <v>0</v>
      </c>
      <c r="N11" s="74">
        <f>IFERROR(VLOOKUP(Table1215[[#This Row],[Column2]],Table12[[Column2]:[Column54]],13,FALSE),"0")</f>
        <v>4</v>
      </c>
      <c r="O11" s="74">
        <f>IFERROR(VLOOKUP(Table1215[[#This Row],[Column2]],Table12[[Column2]:[Column54]],14,FALSE),"0")</f>
        <v>4</v>
      </c>
      <c r="P11" s="74">
        <f>IFERROR(VLOOKUP(Table1215[[#This Row],[Column2]],Table12[[Column2]:[Column54]],10,FALSE),"0")</f>
        <v>0</v>
      </c>
      <c r="Q11" s="74">
        <f>IFERROR(VLOOKUP(Table1215[[#This Row],[Column2]],Table12[[Column2]:[Column54]],16,FALSE),"0")</f>
        <v>4</v>
      </c>
      <c r="R11" s="80">
        <f>AVERAGE(Table1215[[#This Row],[Column14]],Table1215[[#This Row],[Column15]],Table1215[[#This Row],[Column17]])</f>
        <v>4</v>
      </c>
      <c r="S11" s="74">
        <f>IFERROR(VLOOKUP(Table1215[[#This Row],[Column2]],Table12[[Column2]:[Column54]],18,FALSE),"0")</f>
        <v>0</v>
      </c>
      <c r="T11" s="74">
        <f>IFERROR(VLOOKUP(Table1215[[#This Row],[Column2]],Table12[[Column2]:[Column54]],19,FALSE),"0")</f>
        <v>0</v>
      </c>
      <c r="U11" s="74">
        <f>IFERROR(VLOOKUP(Table1215[[#This Row],[Column2]],Table12[[Column2]:[Column54]],20,FALSE),"0")</f>
        <v>0</v>
      </c>
      <c r="V11" s="74">
        <f>IFERROR(VLOOKUP(Table1215[[#This Row],[Column2]],Table12[[Column2]:[Column54]],21,FALSE),"0")</f>
        <v>0</v>
      </c>
      <c r="W11" s="74">
        <f>IFERROR(VLOOKUP(Table1215[[#This Row],[Column2]],Table12[[Column2]:[Column54]],22,FALSE),"0")</f>
        <v>0</v>
      </c>
      <c r="X11" s="80">
        <f>Table1215[[#This Row],[Column19]]</f>
        <v>0</v>
      </c>
      <c r="Y11" s="74">
        <f>IFERROR(VLOOKUP(Table1215[[#This Row],[Column2]],Table12[[Column2]:[Column54]],24,FALSE),"0")</f>
        <v>4</v>
      </c>
      <c r="Z11" s="74">
        <f>IFERROR(VLOOKUP(Table1215[[#This Row],[Column2]],Table12[[Column2]:[Column54]],25,FALSE),"0")</f>
        <v>0</v>
      </c>
      <c r="AA11" s="74">
        <f>IFERROR(VLOOKUP(Table1215[[#This Row],[Column2]],Table12[[Column2]:[Column54]],26,FALSE),"0")</f>
        <v>0</v>
      </c>
      <c r="AB11" s="74">
        <f>IFERROR(VLOOKUP(Table1215[[#This Row],[Column2]],Table12[[Column2]:[Column54]],27,FALSE),"0")</f>
        <v>0</v>
      </c>
      <c r="AC11" s="74">
        <f>IFERROR(VLOOKUP(Table1215[[#This Row],[Column2]],Table12[[Column2]:[Column54]],28,FALSE),"0")</f>
        <v>0</v>
      </c>
      <c r="AD11" s="80">
        <f>Table1215[[#This Row],[Column25]]</f>
        <v>4</v>
      </c>
      <c r="AE11" s="74">
        <f>IFERROR(VLOOKUP(Table1215[[#This Row],[Column2]],Table12[[Column2]:[Column54]],30,FALSE),"0")</f>
        <v>0</v>
      </c>
      <c r="AF11" s="74">
        <f>IFERROR(VLOOKUP(Table1215[[#This Row],[Column2]],Table12[[Column2]:[Column54]],31,FALSE),"0")</f>
        <v>0</v>
      </c>
      <c r="AG11" s="74">
        <f>IFERROR(VLOOKUP(Table1215[[#This Row],[Column2]],Table12[[Column2]:[Column54]],32,FALSE),"0")</f>
        <v>0</v>
      </c>
      <c r="AH11" s="74">
        <f>IFERROR(VLOOKUP(Table1215[[#This Row],[Column2]],Table12[[Column2]:[Column54]],33,FALSE),"0")</f>
        <v>0</v>
      </c>
      <c r="AI11" s="74">
        <f>IFERROR(VLOOKUP(Table1215[[#This Row],[Column2]],Table12[[Column2]:[Column54]],34,FALSE),"0")</f>
        <v>0</v>
      </c>
      <c r="AJ11" s="80">
        <f>AVERAGE(Table1215[[#This Row],[Column31]],Table1215[[#This Row],[Column32]],Table1215[[#This Row],[Column33]])</f>
        <v>0</v>
      </c>
      <c r="AK11" s="74">
        <f>IFERROR(VLOOKUP(Table1215[[#This Row],[Column2]],Table12[[Column2]:[Column54]],36,FALSE),"0")</f>
        <v>4</v>
      </c>
      <c r="AL11" s="74">
        <f>IFERROR(VLOOKUP(Table1215[[#This Row],[Column2]],Table12[[Column2]:[Column54]],37,FALSE),"0")</f>
        <v>5</v>
      </c>
      <c r="AM11" s="74">
        <f>IFERROR(VLOOKUP(Table1215[[#This Row],[Column2]],Table12[[Column2]:[Column54]],38,FALSE),"0")</f>
        <v>0</v>
      </c>
      <c r="AN11" s="74">
        <f>IFERROR(VLOOKUP(Table1215[[#This Row],[Column2]],Table12[[Column2]:[Column54]],39,FALSE),"0")</f>
        <v>5</v>
      </c>
      <c r="AO11" s="74">
        <f>IFERROR(VLOOKUP(Table1215[[#This Row],[Column2]],Table12[[Column2]:[Column54]],40,FALSE),"0")</f>
        <v>0</v>
      </c>
      <c r="AP11" s="80">
        <f>AVERAGE(Table1215[[#This Row],[Column37]],Table1215[[#This Row],[Column38]],Table1215[[#This Row],[Column40]])</f>
        <v>4.666666666666667</v>
      </c>
      <c r="AQ11" s="74">
        <f>IFERROR(VLOOKUP(Table1215[[#This Row],[Column2]],Table12[[Column2]:[Column54]],42,FALSE),"0")</f>
        <v>4</v>
      </c>
      <c r="AR11" s="74">
        <f>IFERROR(VLOOKUP(Table1215[[#This Row],[Column2]],Table12[[Column2]:[Column54]],43,FALSE),"0")</f>
        <v>0</v>
      </c>
      <c r="AS11" s="74">
        <f>IFERROR(VLOOKUP(Table1215[[#This Row],[Column2]],Table12[[Column2]:[Column54]],44,FALSE),"0")</f>
        <v>0</v>
      </c>
      <c r="AT11" s="74">
        <f>IFERROR(VLOOKUP(Table1215[[#This Row],[Column2]],Table12[[Column2]:[Column54]],45,FALSE),"0")</f>
        <v>0</v>
      </c>
      <c r="AU11" s="74">
        <f>IFERROR(VLOOKUP(Table1215[[#This Row],[Column2]],Table12[[Column2]:[Column54]],46,FALSE),"0")</f>
        <v>0</v>
      </c>
      <c r="AV11" s="80">
        <f>Table1215[[#This Row],[Column43]]</f>
        <v>4</v>
      </c>
      <c r="AW11" s="74">
        <f>IFERROR(VLOOKUP(Table1215[[#This Row],[Column2]],Table12[[Column2]:[Column54]],48,FALSE),"0")</f>
        <v>0</v>
      </c>
      <c r="AX11" s="74">
        <f>IFERROR(VLOOKUP(Table1215[[#This Row],[Column2]],Table12[[Column2]:[Column54]],49,FALSE),"0")</f>
        <v>0</v>
      </c>
      <c r="AY11" s="74">
        <f>IFERROR(VLOOKUP(Table1215[[#This Row],[Column2]],Table12[[Column2]:[Column54]],50,FALSE),"0")</f>
        <v>0</v>
      </c>
      <c r="AZ11" s="74">
        <f>IFERROR(VLOOKUP(Table1215[[#This Row],[Column2]],Table12[[Column2]:[Column54]],51,FALSE),"0")</f>
        <v>4</v>
      </c>
      <c r="BA11" s="74">
        <f>IFERROR(VLOOKUP(Table1215[[#This Row],[Column2]],Table12[[Column2]:[Column54]],52,FALSE),"0")</f>
        <v>4</v>
      </c>
      <c r="BB11" s="80">
        <f>AVERAGE(Table1215[[#This Row],[Column52]],Table1215[[#This Row],[Column53]])</f>
        <v>4</v>
      </c>
    </row>
    <row r="12" spans="1:54" ht="23.1" customHeight="1" x14ac:dyDescent="0.3">
      <c r="A12" s="99">
        <v>9</v>
      </c>
      <c r="B12" s="76" t="s">
        <v>103</v>
      </c>
      <c r="C12" s="77" t="s">
        <v>104</v>
      </c>
      <c r="D12" s="76" t="s">
        <v>542</v>
      </c>
      <c r="E12" s="76" t="s">
        <v>35</v>
      </c>
      <c r="F12" s="76" t="str">
        <f>REPT(CHAR(160),10)&amp;Working!$E13</f>
        <v>          A</v>
      </c>
      <c r="G12" s="78">
        <f>IFERROR(VLOOKUP(Table1215[[#This Row],[Column2]],Table12[[Column2]:[Column54]],6,FALSE),"0")</f>
        <v>0</v>
      </c>
      <c r="H12" s="78">
        <f>IFERROR(VLOOKUP(Table1215[[#This Row],[Column2]],Table12[[Column2]:[Column54]],7,FALSE),"0")</f>
        <v>0</v>
      </c>
      <c r="I12" s="78">
        <f>IFERROR(VLOOKUP(Table1215[[#This Row],[Column2]],Table12[[Column2]:[Column54]],8,FALSE),"0")</f>
        <v>4</v>
      </c>
      <c r="J12" s="78">
        <f>IFERROR(VLOOKUP(Table1215[[#This Row],[Column2]],Table12[[Column2]:[Column54]],9,FALSE),"0")</f>
        <v>0</v>
      </c>
      <c r="K12" s="78">
        <f>IFERROR(VLOOKUP(Table1215[[#This Row],[Column2]],Table12[[Column2]:[Column54]],10,FALSE),"0")</f>
        <v>0</v>
      </c>
      <c r="L12" s="80">
        <f>Table1215[[#This Row],[Column9]]</f>
        <v>4</v>
      </c>
      <c r="M12" s="78">
        <f>IFERROR(VLOOKUP(Table1215[[#This Row],[Column2]],Table12[[Column2]:[Column54]],12,FALSE),"0")</f>
        <v>0</v>
      </c>
      <c r="N12" s="78">
        <f>IFERROR(VLOOKUP(Table1215[[#This Row],[Column2]],Table12[[Column2]:[Column54]],13,FALSE),"0")</f>
        <v>4</v>
      </c>
      <c r="O12" s="78">
        <f>IFERROR(VLOOKUP(Table1215[[#This Row],[Column2]],Table12[[Column2]:[Column54]],14,FALSE),"0")</f>
        <v>4</v>
      </c>
      <c r="P12" s="78">
        <f>IFERROR(VLOOKUP(Table1215[[#This Row],[Column2]],Table12[[Column2]:[Column54]],10,FALSE),"0")</f>
        <v>0</v>
      </c>
      <c r="Q12" s="78">
        <f>IFERROR(VLOOKUP(Table1215[[#This Row],[Column2]],Table12[[Column2]:[Column54]],16,FALSE),"0")</f>
        <v>4</v>
      </c>
      <c r="R12" s="80">
        <f>AVERAGE(Table1215[[#This Row],[Column14]],Table1215[[#This Row],[Column15]],Table1215[[#This Row],[Column17]])</f>
        <v>4</v>
      </c>
      <c r="S12" s="78">
        <f>IFERROR(VLOOKUP(Table1215[[#This Row],[Column2]],Table12[[Column2]:[Column54]],18,FALSE),"0")</f>
        <v>0</v>
      </c>
      <c r="T12" s="78">
        <f>IFERROR(VLOOKUP(Table1215[[#This Row],[Column2]],Table12[[Column2]:[Column54]],19,FALSE),"0")</f>
        <v>0</v>
      </c>
      <c r="U12" s="78">
        <f>IFERROR(VLOOKUP(Table1215[[#This Row],[Column2]],Table12[[Column2]:[Column54]],20,FALSE),"0")</f>
        <v>0</v>
      </c>
      <c r="V12" s="78">
        <f>IFERROR(VLOOKUP(Table1215[[#This Row],[Column2]],Table12[[Column2]:[Column54]],21,FALSE),"0")</f>
        <v>0</v>
      </c>
      <c r="W12" s="78">
        <f>IFERROR(VLOOKUP(Table1215[[#This Row],[Column2]],Table12[[Column2]:[Column54]],22,FALSE),"0")</f>
        <v>0</v>
      </c>
      <c r="X12" s="80">
        <f>Table1215[[#This Row],[Column19]]</f>
        <v>0</v>
      </c>
      <c r="Y12" s="78">
        <f>IFERROR(VLOOKUP(Table1215[[#This Row],[Column2]],Table12[[Column2]:[Column54]],24,FALSE),"0")</f>
        <v>4</v>
      </c>
      <c r="Z12" s="78">
        <f>IFERROR(VLOOKUP(Table1215[[#This Row],[Column2]],Table12[[Column2]:[Column54]],25,FALSE),"0")</f>
        <v>0</v>
      </c>
      <c r="AA12" s="78">
        <f>IFERROR(VLOOKUP(Table1215[[#This Row],[Column2]],Table12[[Column2]:[Column54]],26,FALSE),"0")</f>
        <v>0</v>
      </c>
      <c r="AB12" s="78">
        <f>IFERROR(VLOOKUP(Table1215[[#This Row],[Column2]],Table12[[Column2]:[Column54]],27,FALSE),"0")</f>
        <v>0</v>
      </c>
      <c r="AC12" s="78">
        <f>IFERROR(VLOOKUP(Table1215[[#This Row],[Column2]],Table12[[Column2]:[Column54]],28,FALSE),"0")</f>
        <v>0</v>
      </c>
      <c r="AD12" s="80">
        <f>Table1215[[#This Row],[Column25]]</f>
        <v>4</v>
      </c>
      <c r="AE12" s="78">
        <f>IFERROR(VLOOKUP(Table1215[[#This Row],[Column2]],Table12[[Column2]:[Column54]],30,FALSE),"0")</f>
        <v>0</v>
      </c>
      <c r="AF12" s="78">
        <f>IFERROR(VLOOKUP(Table1215[[#This Row],[Column2]],Table12[[Column2]:[Column54]],31,FALSE),"0")</f>
        <v>0</v>
      </c>
      <c r="AG12" s="78">
        <f>IFERROR(VLOOKUP(Table1215[[#This Row],[Column2]],Table12[[Column2]:[Column54]],32,FALSE),"0")</f>
        <v>0</v>
      </c>
      <c r="AH12" s="78">
        <f>IFERROR(VLOOKUP(Table1215[[#This Row],[Column2]],Table12[[Column2]:[Column54]],33,FALSE),"0")</f>
        <v>0</v>
      </c>
      <c r="AI12" s="78">
        <f>IFERROR(VLOOKUP(Table1215[[#This Row],[Column2]],Table12[[Column2]:[Column54]],34,FALSE),"0")</f>
        <v>0</v>
      </c>
      <c r="AJ12" s="80">
        <f>AVERAGE(Table1215[[#This Row],[Column31]],Table1215[[#This Row],[Column32]],Table1215[[#This Row],[Column33]])</f>
        <v>0</v>
      </c>
      <c r="AK12" s="78">
        <f>IFERROR(VLOOKUP(Table1215[[#This Row],[Column2]],Table12[[Column2]:[Column54]],36,FALSE),"0")</f>
        <v>4</v>
      </c>
      <c r="AL12" s="78">
        <f>IFERROR(VLOOKUP(Table1215[[#This Row],[Column2]],Table12[[Column2]:[Column54]],37,FALSE),"0")</f>
        <v>5</v>
      </c>
      <c r="AM12" s="78">
        <f>IFERROR(VLOOKUP(Table1215[[#This Row],[Column2]],Table12[[Column2]:[Column54]],38,FALSE),"0")</f>
        <v>0</v>
      </c>
      <c r="AN12" s="78">
        <f>IFERROR(VLOOKUP(Table1215[[#This Row],[Column2]],Table12[[Column2]:[Column54]],39,FALSE),"0")</f>
        <v>4</v>
      </c>
      <c r="AO12" s="78">
        <f>IFERROR(VLOOKUP(Table1215[[#This Row],[Column2]],Table12[[Column2]:[Column54]],40,FALSE),"0")</f>
        <v>0</v>
      </c>
      <c r="AP12" s="80">
        <f>AVERAGE(Table1215[[#This Row],[Column37]],Table1215[[#This Row],[Column38]],Table1215[[#This Row],[Column40]])</f>
        <v>4.333333333333333</v>
      </c>
      <c r="AQ12" s="78">
        <f>IFERROR(VLOOKUP(Table1215[[#This Row],[Column2]],Table12[[Column2]:[Column54]],42,FALSE),"0")</f>
        <v>5</v>
      </c>
      <c r="AR12" s="78">
        <f>IFERROR(VLOOKUP(Table1215[[#This Row],[Column2]],Table12[[Column2]:[Column54]],43,FALSE),"0")</f>
        <v>0</v>
      </c>
      <c r="AS12" s="78">
        <f>IFERROR(VLOOKUP(Table1215[[#This Row],[Column2]],Table12[[Column2]:[Column54]],44,FALSE),"0")</f>
        <v>0</v>
      </c>
      <c r="AT12" s="78">
        <f>IFERROR(VLOOKUP(Table1215[[#This Row],[Column2]],Table12[[Column2]:[Column54]],45,FALSE),"0")</f>
        <v>0</v>
      </c>
      <c r="AU12" s="78">
        <f>IFERROR(VLOOKUP(Table1215[[#This Row],[Column2]],Table12[[Column2]:[Column54]],46,FALSE),"0")</f>
        <v>0</v>
      </c>
      <c r="AV12" s="80">
        <f>Table1215[[#This Row],[Column43]]</f>
        <v>5</v>
      </c>
      <c r="AW12" s="78">
        <f>IFERROR(VLOOKUP(Table1215[[#This Row],[Column2]],Table12[[Column2]:[Column54]],48,FALSE),"0")</f>
        <v>0</v>
      </c>
      <c r="AX12" s="78">
        <f>IFERROR(VLOOKUP(Table1215[[#This Row],[Column2]],Table12[[Column2]:[Column54]],49,FALSE),"0")</f>
        <v>0</v>
      </c>
      <c r="AY12" s="78">
        <f>IFERROR(VLOOKUP(Table1215[[#This Row],[Column2]],Table12[[Column2]:[Column54]],50,FALSE),"0")</f>
        <v>0</v>
      </c>
      <c r="AZ12" s="78">
        <f>IFERROR(VLOOKUP(Table1215[[#This Row],[Column2]],Table12[[Column2]:[Column54]],51,FALSE),"0")</f>
        <v>4</v>
      </c>
      <c r="BA12" s="78">
        <f>IFERROR(VLOOKUP(Table1215[[#This Row],[Column2]],Table12[[Column2]:[Column54]],52,FALSE),"0")</f>
        <v>4</v>
      </c>
      <c r="BB12" s="80">
        <f>AVERAGE(Table1215[[#This Row],[Column52]],Table1215[[#This Row],[Column53]])</f>
        <v>4</v>
      </c>
    </row>
    <row r="13" spans="1:54" ht="23.1" customHeight="1" x14ac:dyDescent="0.3">
      <c r="A13" s="100">
        <v>10</v>
      </c>
      <c r="B13" s="83" t="s">
        <v>68</v>
      </c>
      <c r="C13" s="84" t="s">
        <v>69</v>
      </c>
      <c r="D13" s="83" t="s">
        <v>450</v>
      </c>
      <c r="E13" s="83" t="s">
        <v>35</v>
      </c>
      <c r="F13" s="83" t="str">
        <f>REPT(CHAR(160),10)&amp;Working!$E14</f>
        <v>          A</v>
      </c>
      <c r="G13" s="74">
        <f>IFERROR(VLOOKUP(Table1215[[#This Row],[Column2]],Table12[[Column2]:[Column54]],6,FALSE),"0")</f>
        <v>0</v>
      </c>
      <c r="H13" s="74">
        <f>IFERROR(VLOOKUP(Table1215[[#This Row],[Column2]],Table12[[Column2]:[Column54]],7,FALSE),"0")</f>
        <v>0</v>
      </c>
      <c r="I13" s="74">
        <f>IFERROR(VLOOKUP(Table1215[[#This Row],[Column2]],Table12[[Column2]:[Column54]],8,FALSE),"0")</f>
        <v>4</v>
      </c>
      <c r="J13" s="74">
        <f>IFERROR(VLOOKUP(Table1215[[#This Row],[Column2]],Table12[[Column2]:[Column54]],9,FALSE),"0")</f>
        <v>0</v>
      </c>
      <c r="K13" s="74">
        <f>IFERROR(VLOOKUP(Table1215[[#This Row],[Column2]],Table12[[Column2]:[Column54]],10,FALSE),"0")</f>
        <v>0</v>
      </c>
      <c r="L13" s="80">
        <f>Table1215[[#This Row],[Column9]]</f>
        <v>4</v>
      </c>
      <c r="M13" s="74">
        <f>IFERROR(VLOOKUP(Table1215[[#This Row],[Column2]],Table12[[Column2]:[Column54]],12,FALSE),"0")</f>
        <v>0</v>
      </c>
      <c r="N13" s="74">
        <f>IFERROR(VLOOKUP(Table1215[[#This Row],[Column2]],Table12[[Column2]:[Column54]],13,FALSE),"0")</f>
        <v>4</v>
      </c>
      <c r="O13" s="74">
        <f>IFERROR(VLOOKUP(Table1215[[#This Row],[Column2]],Table12[[Column2]:[Column54]],14,FALSE),"0")</f>
        <v>5</v>
      </c>
      <c r="P13" s="74">
        <f>IFERROR(VLOOKUP(Table1215[[#This Row],[Column2]],Table12[[Column2]:[Column54]],10,FALSE),"0")</f>
        <v>0</v>
      </c>
      <c r="Q13" s="74">
        <f>IFERROR(VLOOKUP(Table1215[[#This Row],[Column2]],Table12[[Column2]:[Column54]],16,FALSE),"0")</f>
        <v>5</v>
      </c>
      <c r="R13" s="80">
        <f>AVERAGE(Table1215[[#This Row],[Column14]],Table1215[[#This Row],[Column15]],Table1215[[#This Row],[Column17]])</f>
        <v>4.666666666666667</v>
      </c>
      <c r="S13" s="74">
        <f>IFERROR(VLOOKUP(Table1215[[#This Row],[Column2]],Table12[[Column2]:[Column54]],18,FALSE),"0")</f>
        <v>0</v>
      </c>
      <c r="T13" s="74">
        <f>IFERROR(VLOOKUP(Table1215[[#This Row],[Column2]],Table12[[Column2]:[Column54]],19,FALSE),"0")</f>
        <v>0</v>
      </c>
      <c r="U13" s="74">
        <f>IFERROR(VLOOKUP(Table1215[[#This Row],[Column2]],Table12[[Column2]:[Column54]],20,FALSE),"0")</f>
        <v>0</v>
      </c>
      <c r="V13" s="74">
        <f>IFERROR(VLOOKUP(Table1215[[#This Row],[Column2]],Table12[[Column2]:[Column54]],21,FALSE),"0")</f>
        <v>0</v>
      </c>
      <c r="W13" s="74">
        <f>IFERROR(VLOOKUP(Table1215[[#This Row],[Column2]],Table12[[Column2]:[Column54]],22,FALSE),"0")</f>
        <v>0</v>
      </c>
      <c r="X13" s="80">
        <f>Table1215[[#This Row],[Column19]]</f>
        <v>0</v>
      </c>
      <c r="Y13" s="74">
        <f>IFERROR(VLOOKUP(Table1215[[#This Row],[Column2]],Table12[[Column2]:[Column54]],24,FALSE),"0")</f>
        <v>4</v>
      </c>
      <c r="Z13" s="74">
        <f>IFERROR(VLOOKUP(Table1215[[#This Row],[Column2]],Table12[[Column2]:[Column54]],25,FALSE),"0")</f>
        <v>0</v>
      </c>
      <c r="AA13" s="74">
        <f>IFERROR(VLOOKUP(Table1215[[#This Row],[Column2]],Table12[[Column2]:[Column54]],26,FALSE),"0")</f>
        <v>0</v>
      </c>
      <c r="AB13" s="74">
        <f>IFERROR(VLOOKUP(Table1215[[#This Row],[Column2]],Table12[[Column2]:[Column54]],27,FALSE),"0")</f>
        <v>0</v>
      </c>
      <c r="AC13" s="74">
        <f>IFERROR(VLOOKUP(Table1215[[#This Row],[Column2]],Table12[[Column2]:[Column54]],28,FALSE),"0")</f>
        <v>0</v>
      </c>
      <c r="AD13" s="80">
        <f>Table1215[[#This Row],[Column25]]</f>
        <v>4</v>
      </c>
      <c r="AE13" s="74">
        <f>IFERROR(VLOOKUP(Table1215[[#This Row],[Column2]],Table12[[Column2]:[Column54]],30,FALSE),"0")</f>
        <v>0</v>
      </c>
      <c r="AF13" s="74">
        <f>IFERROR(VLOOKUP(Table1215[[#This Row],[Column2]],Table12[[Column2]:[Column54]],31,FALSE),"0")</f>
        <v>0</v>
      </c>
      <c r="AG13" s="74">
        <f>IFERROR(VLOOKUP(Table1215[[#This Row],[Column2]],Table12[[Column2]:[Column54]],32,FALSE),"0")</f>
        <v>0</v>
      </c>
      <c r="AH13" s="74">
        <f>IFERROR(VLOOKUP(Table1215[[#This Row],[Column2]],Table12[[Column2]:[Column54]],33,FALSE),"0")</f>
        <v>0</v>
      </c>
      <c r="AI13" s="74">
        <f>IFERROR(VLOOKUP(Table1215[[#This Row],[Column2]],Table12[[Column2]:[Column54]],34,FALSE),"0")</f>
        <v>0</v>
      </c>
      <c r="AJ13" s="80">
        <f>AVERAGE(Table1215[[#This Row],[Column31]],Table1215[[#This Row],[Column32]],Table1215[[#This Row],[Column33]])</f>
        <v>0</v>
      </c>
      <c r="AK13" s="74">
        <f>IFERROR(VLOOKUP(Table1215[[#This Row],[Column2]],Table12[[Column2]:[Column54]],36,FALSE),"0")</f>
        <v>5</v>
      </c>
      <c r="AL13" s="74">
        <f>IFERROR(VLOOKUP(Table1215[[#This Row],[Column2]],Table12[[Column2]:[Column54]],37,FALSE),"0")</f>
        <v>4</v>
      </c>
      <c r="AM13" s="74">
        <f>IFERROR(VLOOKUP(Table1215[[#This Row],[Column2]],Table12[[Column2]:[Column54]],38,FALSE),"0")</f>
        <v>0</v>
      </c>
      <c r="AN13" s="74">
        <f>IFERROR(VLOOKUP(Table1215[[#This Row],[Column2]],Table12[[Column2]:[Column54]],39,FALSE),"0")</f>
        <v>5</v>
      </c>
      <c r="AO13" s="74">
        <f>IFERROR(VLOOKUP(Table1215[[#This Row],[Column2]],Table12[[Column2]:[Column54]],40,FALSE),"0")</f>
        <v>0</v>
      </c>
      <c r="AP13" s="80">
        <f>AVERAGE(Table1215[[#This Row],[Column37]],Table1215[[#This Row],[Column38]],Table1215[[#This Row],[Column40]])</f>
        <v>4.666666666666667</v>
      </c>
      <c r="AQ13" s="74">
        <f>IFERROR(VLOOKUP(Table1215[[#This Row],[Column2]],Table12[[Column2]:[Column54]],42,FALSE),"0")</f>
        <v>5</v>
      </c>
      <c r="AR13" s="74">
        <f>IFERROR(VLOOKUP(Table1215[[#This Row],[Column2]],Table12[[Column2]:[Column54]],43,FALSE),"0")</f>
        <v>0</v>
      </c>
      <c r="AS13" s="74">
        <f>IFERROR(VLOOKUP(Table1215[[#This Row],[Column2]],Table12[[Column2]:[Column54]],44,FALSE),"0")</f>
        <v>0</v>
      </c>
      <c r="AT13" s="74">
        <f>IFERROR(VLOOKUP(Table1215[[#This Row],[Column2]],Table12[[Column2]:[Column54]],45,FALSE),"0")</f>
        <v>0</v>
      </c>
      <c r="AU13" s="74">
        <f>IFERROR(VLOOKUP(Table1215[[#This Row],[Column2]],Table12[[Column2]:[Column54]],46,FALSE),"0")</f>
        <v>0</v>
      </c>
      <c r="AV13" s="80">
        <f>Table1215[[#This Row],[Column43]]</f>
        <v>5</v>
      </c>
      <c r="AW13" s="74">
        <f>IFERROR(VLOOKUP(Table1215[[#This Row],[Column2]],Table12[[Column2]:[Column54]],48,FALSE),"0")</f>
        <v>0</v>
      </c>
      <c r="AX13" s="74">
        <f>IFERROR(VLOOKUP(Table1215[[#This Row],[Column2]],Table12[[Column2]:[Column54]],49,FALSE),"0")</f>
        <v>0</v>
      </c>
      <c r="AY13" s="74">
        <f>IFERROR(VLOOKUP(Table1215[[#This Row],[Column2]],Table12[[Column2]:[Column54]],50,FALSE),"0")</f>
        <v>0</v>
      </c>
      <c r="AZ13" s="74">
        <f>IFERROR(VLOOKUP(Table1215[[#This Row],[Column2]],Table12[[Column2]:[Column54]],51,FALSE),"0")</f>
        <v>4</v>
      </c>
      <c r="BA13" s="74">
        <f>IFERROR(VLOOKUP(Table1215[[#This Row],[Column2]],Table12[[Column2]:[Column54]],52,FALSE),"0")</f>
        <v>5</v>
      </c>
      <c r="BB13" s="80">
        <f>AVERAGE(Table1215[[#This Row],[Column52]],Table1215[[#This Row],[Column53]])</f>
        <v>4.5</v>
      </c>
    </row>
    <row r="14" spans="1:54" ht="23.1" customHeight="1" x14ac:dyDescent="0.3">
      <c r="A14" s="99">
        <v>11</v>
      </c>
      <c r="B14" s="76" t="s">
        <v>162</v>
      </c>
      <c r="C14" s="77" t="s">
        <v>163</v>
      </c>
      <c r="D14" s="76" t="s">
        <v>450</v>
      </c>
      <c r="E14" s="76" t="s">
        <v>161</v>
      </c>
      <c r="F14" s="76" t="str">
        <f>REPT(CHAR(160),10)&amp;Working!$E15</f>
        <v>          B</v>
      </c>
      <c r="G14" s="78">
        <f>IFERROR(VLOOKUP(Table1215[[#This Row],[Column2]],Table12[[Column2]:[Column54]],6,FALSE),"0")</f>
        <v>0</v>
      </c>
      <c r="H14" s="78">
        <f>IFERROR(VLOOKUP(Table1215[[#This Row],[Column2]],Table12[[Column2]:[Column54]],7,FALSE),"0")</f>
        <v>0</v>
      </c>
      <c r="I14" s="78">
        <f>IFERROR(VLOOKUP(Table1215[[#This Row],[Column2]],Table12[[Column2]:[Column54]],8,FALSE),"0")</f>
        <v>4</v>
      </c>
      <c r="J14" s="78">
        <f>IFERROR(VLOOKUP(Table1215[[#This Row],[Column2]],Table12[[Column2]:[Column54]],9,FALSE),"0")</f>
        <v>0</v>
      </c>
      <c r="K14" s="78">
        <f>IFERROR(VLOOKUP(Table1215[[#This Row],[Column2]],Table12[[Column2]:[Column54]],10,FALSE),"0")</f>
        <v>0</v>
      </c>
      <c r="L14" s="80">
        <f>Table1215[[#This Row],[Column9]]</f>
        <v>4</v>
      </c>
      <c r="M14" s="78">
        <f>IFERROR(VLOOKUP(Table1215[[#This Row],[Column2]],Table12[[Column2]:[Column54]],12,FALSE),"0")</f>
        <v>0</v>
      </c>
      <c r="N14" s="78">
        <f>IFERROR(VLOOKUP(Table1215[[#This Row],[Column2]],Table12[[Column2]:[Column54]],13,FALSE),"0")</f>
        <v>4</v>
      </c>
      <c r="O14" s="78">
        <f>IFERROR(VLOOKUP(Table1215[[#This Row],[Column2]],Table12[[Column2]:[Column54]],14,FALSE),"0")</f>
        <v>5</v>
      </c>
      <c r="P14" s="78">
        <f>IFERROR(VLOOKUP(Table1215[[#This Row],[Column2]],Table12[[Column2]:[Column54]],10,FALSE),"0")</f>
        <v>0</v>
      </c>
      <c r="Q14" s="78">
        <f>IFERROR(VLOOKUP(Table1215[[#This Row],[Column2]],Table12[[Column2]:[Column54]],16,FALSE),"0")</f>
        <v>5</v>
      </c>
      <c r="R14" s="80">
        <f>AVERAGE(Table1215[[#This Row],[Column14]],Table1215[[#This Row],[Column15]],Table1215[[#This Row],[Column17]])</f>
        <v>4.666666666666667</v>
      </c>
      <c r="S14" s="78">
        <f>IFERROR(VLOOKUP(Table1215[[#This Row],[Column2]],Table12[[Column2]:[Column54]],18,FALSE),"0")</f>
        <v>0</v>
      </c>
      <c r="T14" s="78">
        <f>IFERROR(VLOOKUP(Table1215[[#This Row],[Column2]],Table12[[Column2]:[Column54]],19,FALSE),"0")</f>
        <v>0</v>
      </c>
      <c r="U14" s="78">
        <f>IFERROR(VLOOKUP(Table1215[[#This Row],[Column2]],Table12[[Column2]:[Column54]],20,FALSE),"0")</f>
        <v>0</v>
      </c>
      <c r="V14" s="78">
        <f>IFERROR(VLOOKUP(Table1215[[#This Row],[Column2]],Table12[[Column2]:[Column54]],21,FALSE),"0")</f>
        <v>0</v>
      </c>
      <c r="W14" s="78">
        <f>IFERROR(VLOOKUP(Table1215[[#This Row],[Column2]],Table12[[Column2]:[Column54]],22,FALSE),"0")</f>
        <v>0</v>
      </c>
      <c r="X14" s="80">
        <f>Table1215[[#This Row],[Column19]]</f>
        <v>0</v>
      </c>
      <c r="Y14" s="78">
        <f>IFERROR(VLOOKUP(Table1215[[#This Row],[Column2]],Table12[[Column2]:[Column54]],24,FALSE),"0")</f>
        <v>5</v>
      </c>
      <c r="Z14" s="78">
        <f>IFERROR(VLOOKUP(Table1215[[#This Row],[Column2]],Table12[[Column2]:[Column54]],25,FALSE),"0")</f>
        <v>0</v>
      </c>
      <c r="AA14" s="78">
        <f>IFERROR(VLOOKUP(Table1215[[#This Row],[Column2]],Table12[[Column2]:[Column54]],26,FALSE),"0")</f>
        <v>0</v>
      </c>
      <c r="AB14" s="78">
        <f>IFERROR(VLOOKUP(Table1215[[#This Row],[Column2]],Table12[[Column2]:[Column54]],27,FALSE),"0")</f>
        <v>0</v>
      </c>
      <c r="AC14" s="78">
        <f>IFERROR(VLOOKUP(Table1215[[#This Row],[Column2]],Table12[[Column2]:[Column54]],28,FALSE),"0")</f>
        <v>0</v>
      </c>
      <c r="AD14" s="80">
        <f>Table1215[[#This Row],[Column25]]</f>
        <v>5</v>
      </c>
      <c r="AE14" s="78">
        <f>IFERROR(VLOOKUP(Table1215[[#This Row],[Column2]],Table12[[Column2]:[Column54]],30,FALSE),"0")</f>
        <v>0</v>
      </c>
      <c r="AF14" s="78">
        <f>IFERROR(VLOOKUP(Table1215[[#This Row],[Column2]],Table12[[Column2]:[Column54]],31,FALSE),"0")</f>
        <v>0</v>
      </c>
      <c r="AG14" s="78">
        <f>IFERROR(VLOOKUP(Table1215[[#This Row],[Column2]],Table12[[Column2]:[Column54]],32,FALSE),"0")</f>
        <v>0</v>
      </c>
      <c r="AH14" s="78">
        <f>IFERROR(VLOOKUP(Table1215[[#This Row],[Column2]],Table12[[Column2]:[Column54]],33,FALSE),"0")</f>
        <v>0</v>
      </c>
      <c r="AI14" s="78">
        <f>IFERROR(VLOOKUP(Table1215[[#This Row],[Column2]],Table12[[Column2]:[Column54]],34,FALSE),"0")</f>
        <v>0</v>
      </c>
      <c r="AJ14" s="80">
        <f>AVERAGE(Table1215[[#This Row],[Column31]],Table1215[[#This Row],[Column32]],Table1215[[#This Row],[Column33]])</f>
        <v>0</v>
      </c>
      <c r="AK14" s="78">
        <f>IFERROR(VLOOKUP(Table1215[[#This Row],[Column2]],Table12[[Column2]:[Column54]],36,FALSE),"0")</f>
        <v>4</v>
      </c>
      <c r="AL14" s="78">
        <f>IFERROR(VLOOKUP(Table1215[[#This Row],[Column2]],Table12[[Column2]:[Column54]],37,FALSE),"0")</f>
        <v>4</v>
      </c>
      <c r="AM14" s="78">
        <f>IFERROR(VLOOKUP(Table1215[[#This Row],[Column2]],Table12[[Column2]:[Column54]],38,FALSE),"0")</f>
        <v>0</v>
      </c>
      <c r="AN14" s="78">
        <f>IFERROR(VLOOKUP(Table1215[[#This Row],[Column2]],Table12[[Column2]:[Column54]],39,FALSE),"0")</f>
        <v>4</v>
      </c>
      <c r="AO14" s="78">
        <f>IFERROR(VLOOKUP(Table1215[[#This Row],[Column2]],Table12[[Column2]:[Column54]],40,FALSE),"0")</f>
        <v>0</v>
      </c>
      <c r="AP14" s="80">
        <f>AVERAGE(Table1215[[#This Row],[Column37]],Table1215[[#This Row],[Column38]],Table1215[[#This Row],[Column40]])</f>
        <v>4</v>
      </c>
      <c r="AQ14" s="78">
        <f>IFERROR(VLOOKUP(Table1215[[#This Row],[Column2]],Table12[[Column2]:[Column54]],42,FALSE),"0")</f>
        <v>3</v>
      </c>
      <c r="AR14" s="78">
        <f>IFERROR(VLOOKUP(Table1215[[#This Row],[Column2]],Table12[[Column2]:[Column54]],43,FALSE),"0")</f>
        <v>0</v>
      </c>
      <c r="AS14" s="78">
        <f>IFERROR(VLOOKUP(Table1215[[#This Row],[Column2]],Table12[[Column2]:[Column54]],44,FALSE),"0")</f>
        <v>0</v>
      </c>
      <c r="AT14" s="78">
        <f>IFERROR(VLOOKUP(Table1215[[#This Row],[Column2]],Table12[[Column2]:[Column54]],45,FALSE),"0")</f>
        <v>0</v>
      </c>
      <c r="AU14" s="78">
        <f>IFERROR(VLOOKUP(Table1215[[#This Row],[Column2]],Table12[[Column2]:[Column54]],46,FALSE),"0")</f>
        <v>0</v>
      </c>
      <c r="AV14" s="80">
        <f>Table1215[[#This Row],[Column43]]</f>
        <v>3</v>
      </c>
      <c r="AW14" s="78">
        <f>IFERROR(VLOOKUP(Table1215[[#This Row],[Column2]],Table12[[Column2]:[Column54]],48,FALSE),"0")</f>
        <v>0</v>
      </c>
      <c r="AX14" s="78">
        <f>IFERROR(VLOOKUP(Table1215[[#This Row],[Column2]],Table12[[Column2]:[Column54]],49,FALSE),"0")</f>
        <v>0</v>
      </c>
      <c r="AY14" s="78">
        <f>IFERROR(VLOOKUP(Table1215[[#This Row],[Column2]],Table12[[Column2]:[Column54]],50,FALSE),"0")</f>
        <v>0</v>
      </c>
      <c r="AZ14" s="78">
        <f>IFERROR(VLOOKUP(Table1215[[#This Row],[Column2]],Table12[[Column2]:[Column54]],51,FALSE),"0")</f>
        <v>4</v>
      </c>
      <c r="BA14" s="78">
        <f>IFERROR(VLOOKUP(Table1215[[#This Row],[Column2]],Table12[[Column2]:[Column54]],52,FALSE),"0")</f>
        <v>4</v>
      </c>
      <c r="BB14" s="80">
        <f>AVERAGE(Table1215[[#This Row],[Column52]],Table1215[[#This Row],[Column53]])</f>
        <v>4</v>
      </c>
    </row>
    <row r="15" spans="1:54" ht="23.1" customHeight="1" x14ac:dyDescent="0.3">
      <c r="A15" s="100">
        <v>12</v>
      </c>
      <c r="B15" s="83" t="s">
        <v>178</v>
      </c>
      <c r="C15" s="84" t="s">
        <v>179</v>
      </c>
      <c r="D15" s="83" t="s">
        <v>450</v>
      </c>
      <c r="E15" s="83" t="s">
        <v>161</v>
      </c>
      <c r="F15" s="83" t="str">
        <f>REPT(CHAR(160),10)&amp;Working!$E16</f>
        <v>          B</v>
      </c>
      <c r="G15" s="74">
        <f>IFERROR(VLOOKUP(Table1215[[#This Row],[Column2]],Table12[[Column2]:[Column54]],6,FALSE),"0")</f>
        <v>0</v>
      </c>
      <c r="H15" s="74">
        <f>IFERROR(VLOOKUP(Table1215[[#This Row],[Column2]],Table12[[Column2]:[Column54]],7,FALSE),"0")</f>
        <v>0</v>
      </c>
      <c r="I15" s="74">
        <f>IFERROR(VLOOKUP(Table1215[[#This Row],[Column2]],Table12[[Column2]:[Column54]],8,FALSE),"0")</f>
        <v>5</v>
      </c>
      <c r="J15" s="74">
        <f>IFERROR(VLOOKUP(Table1215[[#This Row],[Column2]],Table12[[Column2]:[Column54]],9,FALSE),"0")</f>
        <v>0</v>
      </c>
      <c r="K15" s="74">
        <f>IFERROR(VLOOKUP(Table1215[[#This Row],[Column2]],Table12[[Column2]:[Column54]],10,FALSE),"0")</f>
        <v>0</v>
      </c>
      <c r="L15" s="80">
        <f>Table1215[[#This Row],[Column9]]</f>
        <v>5</v>
      </c>
      <c r="M15" s="74">
        <f>IFERROR(VLOOKUP(Table1215[[#This Row],[Column2]],Table12[[Column2]:[Column54]],12,FALSE),"0")</f>
        <v>0</v>
      </c>
      <c r="N15" s="74">
        <f>IFERROR(VLOOKUP(Table1215[[#This Row],[Column2]],Table12[[Column2]:[Column54]],13,FALSE),"0")</f>
        <v>4</v>
      </c>
      <c r="O15" s="74">
        <f>IFERROR(VLOOKUP(Table1215[[#This Row],[Column2]],Table12[[Column2]:[Column54]],14,FALSE),"0")</f>
        <v>5</v>
      </c>
      <c r="P15" s="74">
        <f>IFERROR(VLOOKUP(Table1215[[#This Row],[Column2]],Table12[[Column2]:[Column54]],10,FALSE),"0")</f>
        <v>0</v>
      </c>
      <c r="Q15" s="74">
        <f>IFERROR(VLOOKUP(Table1215[[#This Row],[Column2]],Table12[[Column2]:[Column54]],16,FALSE),"0")</f>
        <v>5</v>
      </c>
      <c r="R15" s="80">
        <f>AVERAGE(Table1215[[#This Row],[Column14]],Table1215[[#This Row],[Column15]],Table1215[[#This Row],[Column17]])</f>
        <v>4.666666666666667</v>
      </c>
      <c r="S15" s="74">
        <f>IFERROR(VLOOKUP(Table1215[[#This Row],[Column2]],Table12[[Column2]:[Column54]],18,FALSE),"0")</f>
        <v>0</v>
      </c>
      <c r="T15" s="74">
        <f>IFERROR(VLOOKUP(Table1215[[#This Row],[Column2]],Table12[[Column2]:[Column54]],19,FALSE),"0")</f>
        <v>0</v>
      </c>
      <c r="U15" s="74">
        <f>IFERROR(VLOOKUP(Table1215[[#This Row],[Column2]],Table12[[Column2]:[Column54]],20,FALSE),"0")</f>
        <v>0</v>
      </c>
      <c r="V15" s="74">
        <f>IFERROR(VLOOKUP(Table1215[[#This Row],[Column2]],Table12[[Column2]:[Column54]],21,FALSE),"0")</f>
        <v>0</v>
      </c>
      <c r="W15" s="74">
        <f>IFERROR(VLOOKUP(Table1215[[#This Row],[Column2]],Table12[[Column2]:[Column54]],22,FALSE),"0")</f>
        <v>0</v>
      </c>
      <c r="X15" s="80">
        <f>Table1215[[#This Row],[Column19]]</f>
        <v>0</v>
      </c>
      <c r="Y15" s="74">
        <f>IFERROR(VLOOKUP(Table1215[[#This Row],[Column2]],Table12[[Column2]:[Column54]],24,FALSE),"0")</f>
        <v>4</v>
      </c>
      <c r="Z15" s="74">
        <f>IFERROR(VLOOKUP(Table1215[[#This Row],[Column2]],Table12[[Column2]:[Column54]],25,FALSE),"0")</f>
        <v>0</v>
      </c>
      <c r="AA15" s="74">
        <f>IFERROR(VLOOKUP(Table1215[[#This Row],[Column2]],Table12[[Column2]:[Column54]],26,FALSE),"0")</f>
        <v>0</v>
      </c>
      <c r="AB15" s="74">
        <f>IFERROR(VLOOKUP(Table1215[[#This Row],[Column2]],Table12[[Column2]:[Column54]],27,FALSE),"0")</f>
        <v>0</v>
      </c>
      <c r="AC15" s="74">
        <f>IFERROR(VLOOKUP(Table1215[[#This Row],[Column2]],Table12[[Column2]:[Column54]],28,FALSE),"0")</f>
        <v>0</v>
      </c>
      <c r="AD15" s="80">
        <f>Table1215[[#This Row],[Column25]]</f>
        <v>4</v>
      </c>
      <c r="AE15" s="74">
        <f>IFERROR(VLOOKUP(Table1215[[#This Row],[Column2]],Table12[[Column2]:[Column54]],30,FALSE),"0")</f>
        <v>0</v>
      </c>
      <c r="AF15" s="74">
        <f>IFERROR(VLOOKUP(Table1215[[#This Row],[Column2]],Table12[[Column2]:[Column54]],31,FALSE),"0")</f>
        <v>0</v>
      </c>
      <c r="AG15" s="74">
        <f>IFERROR(VLOOKUP(Table1215[[#This Row],[Column2]],Table12[[Column2]:[Column54]],32,FALSE),"0")</f>
        <v>0</v>
      </c>
      <c r="AH15" s="74">
        <f>IFERROR(VLOOKUP(Table1215[[#This Row],[Column2]],Table12[[Column2]:[Column54]],33,FALSE),"0")</f>
        <v>0</v>
      </c>
      <c r="AI15" s="74">
        <f>IFERROR(VLOOKUP(Table1215[[#This Row],[Column2]],Table12[[Column2]:[Column54]],34,FALSE),"0")</f>
        <v>0</v>
      </c>
      <c r="AJ15" s="80">
        <f>AVERAGE(Table1215[[#This Row],[Column31]],Table1215[[#This Row],[Column32]],Table1215[[#This Row],[Column33]])</f>
        <v>0</v>
      </c>
      <c r="AK15" s="74">
        <f>IFERROR(VLOOKUP(Table1215[[#This Row],[Column2]],Table12[[Column2]:[Column54]],36,FALSE),"0")</f>
        <v>4</v>
      </c>
      <c r="AL15" s="74">
        <f>IFERROR(VLOOKUP(Table1215[[#This Row],[Column2]],Table12[[Column2]:[Column54]],37,FALSE),"0")</f>
        <v>3</v>
      </c>
      <c r="AM15" s="74">
        <f>IFERROR(VLOOKUP(Table1215[[#This Row],[Column2]],Table12[[Column2]:[Column54]],38,FALSE),"0")</f>
        <v>0</v>
      </c>
      <c r="AN15" s="74">
        <f>IFERROR(VLOOKUP(Table1215[[#This Row],[Column2]],Table12[[Column2]:[Column54]],39,FALSE),"0")</f>
        <v>4</v>
      </c>
      <c r="AO15" s="74">
        <f>IFERROR(VLOOKUP(Table1215[[#This Row],[Column2]],Table12[[Column2]:[Column54]],40,FALSE),"0")</f>
        <v>0</v>
      </c>
      <c r="AP15" s="80">
        <f>AVERAGE(Table1215[[#This Row],[Column37]],Table1215[[#This Row],[Column38]],Table1215[[#This Row],[Column40]])</f>
        <v>3.6666666666666665</v>
      </c>
      <c r="AQ15" s="74">
        <f>IFERROR(VLOOKUP(Table1215[[#This Row],[Column2]],Table12[[Column2]:[Column54]],42,FALSE),"0")</f>
        <v>4</v>
      </c>
      <c r="AR15" s="74">
        <f>IFERROR(VLOOKUP(Table1215[[#This Row],[Column2]],Table12[[Column2]:[Column54]],43,FALSE),"0")</f>
        <v>0</v>
      </c>
      <c r="AS15" s="74">
        <f>IFERROR(VLOOKUP(Table1215[[#This Row],[Column2]],Table12[[Column2]:[Column54]],44,FALSE),"0")</f>
        <v>0</v>
      </c>
      <c r="AT15" s="74">
        <f>IFERROR(VLOOKUP(Table1215[[#This Row],[Column2]],Table12[[Column2]:[Column54]],45,FALSE),"0")</f>
        <v>0</v>
      </c>
      <c r="AU15" s="74">
        <f>IFERROR(VLOOKUP(Table1215[[#This Row],[Column2]],Table12[[Column2]:[Column54]],46,FALSE),"0")</f>
        <v>0</v>
      </c>
      <c r="AV15" s="80">
        <f>Table1215[[#This Row],[Column43]]</f>
        <v>4</v>
      </c>
      <c r="AW15" s="74">
        <f>IFERROR(VLOOKUP(Table1215[[#This Row],[Column2]],Table12[[Column2]:[Column54]],48,FALSE),"0")</f>
        <v>0</v>
      </c>
      <c r="AX15" s="74">
        <f>IFERROR(VLOOKUP(Table1215[[#This Row],[Column2]],Table12[[Column2]:[Column54]],49,FALSE),"0")</f>
        <v>0</v>
      </c>
      <c r="AY15" s="74">
        <f>IFERROR(VLOOKUP(Table1215[[#This Row],[Column2]],Table12[[Column2]:[Column54]],50,FALSE),"0")</f>
        <v>0</v>
      </c>
      <c r="AZ15" s="74">
        <f>IFERROR(VLOOKUP(Table1215[[#This Row],[Column2]],Table12[[Column2]:[Column54]],51,FALSE),"0")</f>
        <v>4</v>
      </c>
      <c r="BA15" s="74">
        <f>IFERROR(VLOOKUP(Table1215[[#This Row],[Column2]],Table12[[Column2]:[Column54]],52,FALSE),"0")</f>
        <v>4</v>
      </c>
      <c r="BB15" s="80">
        <f>AVERAGE(Table1215[[#This Row],[Column52]],Table1215[[#This Row],[Column53]])</f>
        <v>4</v>
      </c>
    </row>
    <row r="16" spans="1:54" ht="23.1" customHeight="1" x14ac:dyDescent="0.3">
      <c r="A16" s="99">
        <v>13</v>
      </c>
      <c r="B16" s="76" t="s">
        <v>87</v>
      </c>
      <c r="C16" s="77" t="s">
        <v>88</v>
      </c>
      <c r="D16" s="76" t="s">
        <v>450</v>
      </c>
      <c r="E16" s="76" t="s">
        <v>35</v>
      </c>
      <c r="F16" s="76" t="str">
        <f>REPT(CHAR(160),10)&amp;Working!$E17</f>
        <v>          A</v>
      </c>
      <c r="G16" s="78">
        <f>IFERROR(VLOOKUP(Table1215[[#This Row],[Column2]],Table12[[Column2]:[Column54]],6,FALSE),"0")</f>
        <v>0</v>
      </c>
      <c r="H16" s="78">
        <f>IFERROR(VLOOKUP(Table1215[[#This Row],[Column2]],Table12[[Column2]:[Column54]],7,FALSE),"0")</f>
        <v>0</v>
      </c>
      <c r="I16" s="78">
        <f>IFERROR(VLOOKUP(Table1215[[#This Row],[Column2]],Table12[[Column2]:[Column54]],8,FALSE),"0")</f>
        <v>4</v>
      </c>
      <c r="J16" s="78">
        <f>IFERROR(VLOOKUP(Table1215[[#This Row],[Column2]],Table12[[Column2]:[Column54]],9,FALSE),"0")</f>
        <v>0</v>
      </c>
      <c r="K16" s="78">
        <f>IFERROR(VLOOKUP(Table1215[[#This Row],[Column2]],Table12[[Column2]:[Column54]],10,FALSE),"0")</f>
        <v>0</v>
      </c>
      <c r="L16" s="80">
        <f>Table1215[[#This Row],[Column9]]</f>
        <v>4</v>
      </c>
      <c r="M16" s="78">
        <f>IFERROR(VLOOKUP(Table1215[[#This Row],[Column2]],Table12[[Column2]:[Column54]],12,FALSE),"0")</f>
        <v>0</v>
      </c>
      <c r="N16" s="78">
        <f>IFERROR(VLOOKUP(Table1215[[#This Row],[Column2]],Table12[[Column2]:[Column54]],13,FALSE),"0")</f>
        <v>4</v>
      </c>
      <c r="O16" s="78">
        <f>IFERROR(VLOOKUP(Table1215[[#This Row],[Column2]],Table12[[Column2]:[Column54]],14,FALSE),"0")</f>
        <v>4</v>
      </c>
      <c r="P16" s="78">
        <f>IFERROR(VLOOKUP(Table1215[[#This Row],[Column2]],Table12[[Column2]:[Column54]],10,FALSE),"0")</f>
        <v>0</v>
      </c>
      <c r="Q16" s="78">
        <f>IFERROR(VLOOKUP(Table1215[[#This Row],[Column2]],Table12[[Column2]:[Column54]],16,FALSE),"0")</f>
        <v>4</v>
      </c>
      <c r="R16" s="80">
        <f>AVERAGE(Table1215[[#This Row],[Column14]],Table1215[[#This Row],[Column15]],Table1215[[#This Row],[Column17]])</f>
        <v>4</v>
      </c>
      <c r="S16" s="78">
        <f>IFERROR(VLOOKUP(Table1215[[#This Row],[Column2]],Table12[[Column2]:[Column54]],18,FALSE),"0")</f>
        <v>0</v>
      </c>
      <c r="T16" s="78">
        <f>IFERROR(VLOOKUP(Table1215[[#This Row],[Column2]],Table12[[Column2]:[Column54]],19,FALSE),"0")</f>
        <v>0</v>
      </c>
      <c r="U16" s="78">
        <f>IFERROR(VLOOKUP(Table1215[[#This Row],[Column2]],Table12[[Column2]:[Column54]],20,FALSE),"0")</f>
        <v>0</v>
      </c>
      <c r="V16" s="78">
        <f>IFERROR(VLOOKUP(Table1215[[#This Row],[Column2]],Table12[[Column2]:[Column54]],21,FALSE),"0")</f>
        <v>0</v>
      </c>
      <c r="W16" s="78">
        <f>IFERROR(VLOOKUP(Table1215[[#This Row],[Column2]],Table12[[Column2]:[Column54]],22,FALSE),"0")</f>
        <v>0</v>
      </c>
      <c r="X16" s="80">
        <f>Table1215[[#This Row],[Column19]]</f>
        <v>0</v>
      </c>
      <c r="Y16" s="78">
        <f>IFERROR(VLOOKUP(Table1215[[#This Row],[Column2]],Table12[[Column2]:[Column54]],24,FALSE),"0")</f>
        <v>4</v>
      </c>
      <c r="Z16" s="78">
        <f>IFERROR(VLOOKUP(Table1215[[#This Row],[Column2]],Table12[[Column2]:[Column54]],25,FALSE),"0")</f>
        <v>0</v>
      </c>
      <c r="AA16" s="78">
        <f>IFERROR(VLOOKUP(Table1215[[#This Row],[Column2]],Table12[[Column2]:[Column54]],26,FALSE),"0")</f>
        <v>0</v>
      </c>
      <c r="AB16" s="78">
        <f>IFERROR(VLOOKUP(Table1215[[#This Row],[Column2]],Table12[[Column2]:[Column54]],27,FALSE),"0")</f>
        <v>0</v>
      </c>
      <c r="AC16" s="78">
        <f>IFERROR(VLOOKUP(Table1215[[#This Row],[Column2]],Table12[[Column2]:[Column54]],28,FALSE),"0")</f>
        <v>0</v>
      </c>
      <c r="AD16" s="80">
        <f>Table1215[[#This Row],[Column25]]</f>
        <v>4</v>
      </c>
      <c r="AE16" s="78">
        <f>IFERROR(VLOOKUP(Table1215[[#This Row],[Column2]],Table12[[Column2]:[Column54]],30,FALSE),"0")</f>
        <v>0</v>
      </c>
      <c r="AF16" s="78">
        <f>IFERROR(VLOOKUP(Table1215[[#This Row],[Column2]],Table12[[Column2]:[Column54]],31,FALSE),"0")</f>
        <v>0</v>
      </c>
      <c r="AG16" s="78">
        <f>IFERROR(VLOOKUP(Table1215[[#This Row],[Column2]],Table12[[Column2]:[Column54]],32,FALSE),"0")</f>
        <v>0</v>
      </c>
      <c r="AH16" s="78">
        <f>IFERROR(VLOOKUP(Table1215[[#This Row],[Column2]],Table12[[Column2]:[Column54]],33,FALSE),"0")</f>
        <v>0</v>
      </c>
      <c r="AI16" s="78">
        <f>IFERROR(VLOOKUP(Table1215[[#This Row],[Column2]],Table12[[Column2]:[Column54]],34,FALSE),"0")</f>
        <v>0</v>
      </c>
      <c r="AJ16" s="80">
        <f>AVERAGE(Table1215[[#This Row],[Column31]],Table1215[[#This Row],[Column32]],Table1215[[#This Row],[Column33]])</f>
        <v>0</v>
      </c>
      <c r="AK16" s="78">
        <f>IFERROR(VLOOKUP(Table1215[[#This Row],[Column2]],Table12[[Column2]:[Column54]],36,FALSE),"0")</f>
        <v>4</v>
      </c>
      <c r="AL16" s="78">
        <f>IFERROR(VLOOKUP(Table1215[[#This Row],[Column2]],Table12[[Column2]:[Column54]],37,FALSE),"0")</f>
        <v>4</v>
      </c>
      <c r="AM16" s="78">
        <f>IFERROR(VLOOKUP(Table1215[[#This Row],[Column2]],Table12[[Column2]:[Column54]],38,FALSE),"0")</f>
        <v>0</v>
      </c>
      <c r="AN16" s="78">
        <f>IFERROR(VLOOKUP(Table1215[[#This Row],[Column2]],Table12[[Column2]:[Column54]],39,FALSE),"0")</f>
        <v>4</v>
      </c>
      <c r="AO16" s="78">
        <f>IFERROR(VLOOKUP(Table1215[[#This Row],[Column2]],Table12[[Column2]:[Column54]],40,FALSE),"0")</f>
        <v>0</v>
      </c>
      <c r="AP16" s="80">
        <f>AVERAGE(Table1215[[#This Row],[Column37]],Table1215[[#This Row],[Column38]],Table1215[[#This Row],[Column40]])</f>
        <v>4</v>
      </c>
      <c r="AQ16" s="78">
        <f>IFERROR(VLOOKUP(Table1215[[#This Row],[Column2]],Table12[[Column2]:[Column54]],42,FALSE),"0")</f>
        <v>4</v>
      </c>
      <c r="AR16" s="78">
        <f>IFERROR(VLOOKUP(Table1215[[#This Row],[Column2]],Table12[[Column2]:[Column54]],43,FALSE),"0")</f>
        <v>0</v>
      </c>
      <c r="AS16" s="78">
        <f>IFERROR(VLOOKUP(Table1215[[#This Row],[Column2]],Table12[[Column2]:[Column54]],44,FALSE),"0")</f>
        <v>0</v>
      </c>
      <c r="AT16" s="78">
        <f>IFERROR(VLOOKUP(Table1215[[#This Row],[Column2]],Table12[[Column2]:[Column54]],45,FALSE),"0")</f>
        <v>0</v>
      </c>
      <c r="AU16" s="78">
        <f>IFERROR(VLOOKUP(Table1215[[#This Row],[Column2]],Table12[[Column2]:[Column54]],46,FALSE),"0")</f>
        <v>0</v>
      </c>
      <c r="AV16" s="80">
        <f>Table1215[[#This Row],[Column43]]</f>
        <v>4</v>
      </c>
      <c r="AW16" s="78">
        <f>IFERROR(VLOOKUP(Table1215[[#This Row],[Column2]],Table12[[Column2]:[Column54]],48,FALSE),"0")</f>
        <v>0</v>
      </c>
      <c r="AX16" s="78">
        <f>IFERROR(VLOOKUP(Table1215[[#This Row],[Column2]],Table12[[Column2]:[Column54]],49,FALSE),"0")</f>
        <v>0</v>
      </c>
      <c r="AY16" s="78">
        <f>IFERROR(VLOOKUP(Table1215[[#This Row],[Column2]],Table12[[Column2]:[Column54]],50,FALSE),"0")</f>
        <v>0</v>
      </c>
      <c r="AZ16" s="78">
        <f>IFERROR(VLOOKUP(Table1215[[#This Row],[Column2]],Table12[[Column2]:[Column54]],51,FALSE),"0")</f>
        <v>4</v>
      </c>
      <c r="BA16" s="78">
        <f>IFERROR(VLOOKUP(Table1215[[#This Row],[Column2]],Table12[[Column2]:[Column54]],52,FALSE),"0")</f>
        <v>4</v>
      </c>
      <c r="BB16" s="80">
        <f>AVERAGE(Table1215[[#This Row],[Column52]],Table1215[[#This Row],[Column53]])</f>
        <v>4</v>
      </c>
    </row>
    <row r="17" spans="1:54" ht="23.1" customHeight="1" x14ac:dyDescent="0.3">
      <c r="A17" s="100">
        <v>14</v>
      </c>
      <c r="B17" s="83" t="s">
        <v>194</v>
      </c>
      <c r="C17" s="84" t="s">
        <v>195</v>
      </c>
      <c r="D17" s="83" t="s">
        <v>542</v>
      </c>
      <c r="E17" s="83" t="s">
        <v>161</v>
      </c>
      <c r="F17" s="83" t="str">
        <f>REPT(CHAR(160),10)&amp;Working!$E18</f>
        <v>          B</v>
      </c>
      <c r="G17" s="74">
        <f>IFERROR(VLOOKUP(Table1215[[#This Row],[Column2]],Table12[[Column2]:[Column54]],6,FALSE),"0")</f>
        <v>0</v>
      </c>
      <c r="H17" s="74">
        <f>IFERROR(VLOOKUP(Table1215[[#This Row],[Column2]],Table12[[Column2]:[Column54]],7,FALSE),"0")</f>
        <v>0</v>
      </c>
      <c r="I17" s="74">
        <f>IFERROR(VLOOKUP(Table1215[[#This Row],[Column2]],Table12[[Column2]:[Column54]],8,FALSE),"0")</f>
        <v>4</v>
      </c>
      <c r="J17" s="74">
        <f>IFERROR(VLOOKUP(Table1215[[#This Row],[Column2]],Table12[[Column2]:[Column54]],9,FALSE),"0")</f>
        <v>0</v>
      </c>
      <c r="K17" s="74">
        <f>IFERROR(VLOOKUP(Table1215[[#This Row],[Column2]],Table12[[Column2]:[Column54]],10,FALSE),"0")</f>
        <v>0</v>
      </c>
      <c r="L17" s="80">
        <f>Table1215[[#This Row],[Column9]]</f>
        <v>4</v>
      </c>
      <c r="M17" s="74">
        <f>IFERROR(VLOOKUP(Table1215[[#This Row],[Column2]],Table12[[Column2]:[Column54]],12,FALSE),"0")</f>
        <v>0</v>
      </c>
      <c r="N17" s="74">
        <f>IFERROR(VLOOKUP(Table1215[[#This Row],[Column2]],Table12[[Column2]:[Column54]],13,FALSE),"0")</f>
        <v>4</v>
      </c>
      <c r="O17" s="74">
        <f>IFERROR(VLOOKUP(Table1215[[#This Row],[Column2]],Table12[[Column2]:[Column54]],14,FALSE),"0")</f>
        <v>4</v>
      </c>
      <c r="P17" s="74">
        <f>IFERROR(VLOOKUP(Table1215[[#This Row],[Column2]],Table12[[Column2]:[Column54]],10,FALSE),"0")</f>
        <v>0</v>
      </c>
      <c r="Q17" s="74">
        <f>IFERROR(VLOOKUP(Table1215[[#This Row],[Column2]],Table12[[Column2]:[Column54]],16,FALSE),"0")</f>
        <v>4</v>
      </c>
      <c r="R17" s="80">
        <f>AVERAGE(Table1215[[#This Row],[Column14]],Table1215[[#This Row],[Column15]],Table1215[[#This Row],[Column17]])</f>
        <v>4</v>
      </c>
      <c r="S17" s="74">
        <f>IFERROR(VLOOKUP(Table1215[[#This Row],[Column2]],Table12[[Column2]:[Column54]],18,FALSE),"0")</f>
        <v>0</v>
      </c>
      <c r="T17" s="74">
        <f>IFERROR(VLOOKUP(Table1215[[#This Row],[Column2]],Table12[[Column2]:[Column54]],19,FALSE),"0")</f>
        <v>0</v>
      </c>
      <c r="U17" s="74">
        <f>IFERROR(VLOOKUP(Table1215[[#This Row],[Column2]],Table12[[Column2]:[Column54]],20,FALSE),"0")</f>
        <v>0</v>
      </c>
      <c r="V17" s="74">
        <f>IFERROR(VLOOKUP(Table1215[[#This Row],[Column2]],Table12[[Column2]:[Column54]],21,FALSE),"0")</f>
        <v>0</v>
      </c>
      <c r="W17" s="74">
        <f>IFERROR(VLOOKUP(Table1215[[#This Row],[Column2]],Table12[[Column2]:[Column54]],22,FALSE),"0")</f>
        <v>0</v>
      </c>
      <c r="X17" s="80">
        <f>Table1215[[#This Row],[Column19]]</f>
        <v>0</v>
      </c>
      <c r="Y17" s="74">
        <f>IFERROR(VLOOKUP(Table1215[[#This Row],[Column2]],Table12[[Column2]:[Column54]],24,FALSE),"0")</f>
        <v>5</v>
      </c>
      <c r="Z17" s="74">
        <f>IFERROR(VLOOKUP(Table1215[[#This Row],[Column2]],Table12[[Column2]:[Column54]],25,FALSE),"0")</f>
        <v>0</v>
      </c>
      <c r="AA17" s="74">
        <f>IFERROR(VLOOKUP(Table1215[[#This Row],[Column2]],Table12[[Column2]:[Column54]],26,FALSE),"0")</f>
        <v>0</v>
      </c>
      <c r="AB17" s="74">
        <f>IFERROR(VLOOKUP(Table1215[[#This Row],[Column2]],Table12[[Column2]:[Column54]],27,FALSE),"0")</f>
        <v>0</v>
      </c>
      <c r="AC17" s="74">
        <f>IFERROR(VLOOKUP(Table1215[[#This Row],[Column2]],Table12[[Column2]:[Column54]],28,FALSE),"0")</f>
        <v>0</v>
      </c>
      <c r="AD17" s="80">
        <f>Table1215[[#This Row],[Column25]]</f>
        <v>5</v>
      </c>
      <c r="AE17" s="74">
        <f>IFERROR(VLOOKUP(Table1215[[#This Row],[Column2]],Table12[[Column2]:[Column54]],30,FALSE),"0")</f>
        <v>0</v>
      </c>
      <c r="AF17" s="74">
        <f>IFERROR(VLOOKUP(Table1215[[#This Row],[Column2]],Table12[[Column2]:[Column54]],31,FALSE),"0")</f>
        <v>0</v>
      </c>
      <c r="AG17" s="74">
        <f>IFERROR(VLOOKUP(Table1215[[#This Row],[Column2]],Table12[[Column2]:[Column54]],32,FALSE),"0")</f>
        <v>0</v>
      </c>
      <c r="AH17" s="74">
        <f>IFERROR(VLOOKUP(Table1215[[#This Row],[Column2]],Table12[[Column2]:[Column54]],33,FALSE),"0")</f>
        <v>0</v>
      </c>
      <c r="AI17" s="74">
        <f>IFERROR(VLOOKUP(Table1215[[#This Row],[Column2]],Table12[[Column2]:[Column54]],34,FALSE),"0")</f>
        <v>0</v>
      </c>
      <c r="AJ17" s="80">
        <f>AVERAGE(Table1215[[#This Row],[Column31]],Table1215[[#This Row],[Column32]],Table1215[[#This Row],[Column33]])</f>
        <v>0</v>
      </c>
      <c r="AK17" s="74">
        <f>IFERROR(VLOOKUP(Table1215[[#This Row],[Column2]],Table12[[Column2]:[Column54]],36,FALSE),"0")</f>
        <v>5</v>
      </c>
      <c r="AL17" s="74">
        <f>IFERROR(VLOOKUP(Table1215[[#This Row],[Column2]],Table12[[Column2]:[Column54]],37,FALSE),"0")</f>
        <v>5</v>
      </c>
      <c r="AM17" s="74">
        <f>IFERROR(VLOOKUP(Table1215[[#This Row],[Column2]],Table12[[Column2]:[Column54]],38,FALSE),"0")</f>
        <v>0</v>
      </c>
      <c r="AN17" s="74">
        <f>IFERROR(VLOOKUP(Table1215[[#This Row],[Column2]],Table12[[Column2]:[Column54]],39,FALSE),"0")</f>
        <v>5</v>
      </c>
      <c r="AO17" s="74">
        <f>IFERROR(VLOOKUP(Table1215[[#This Row],[Column2]],Table12[[Column2]:[Column54]],40,FALSE),"0")</f>
        <v>0</v>
      </c>
      <c r="AP17" s="80">
        <f>AVERAGE(Table1215[[#This Row],[Column37]],Table1215[[#This Row],[Column38]],Table1215[[#This Row],[Column40]])</f>
        <v>5</v>
      </c>
      <c r="AQ17" s="74">
        <f>IFERROR(VLOOKUP(Table1215[[#This Row],[Column2]],Table12[[Column2]:[Column54]],42,FALSE),"0")</f>
        <v>0</v>
      </c>
      <c r="AR17" s="74">
        <f>IFERROR(VLOOKUP(Table1215[[#This Row],[Column2]],Table12[[Column2]:[Column54]],43,FALSE),"0")</f>
        <v>0</v>
      </c>
      <c r="AS17" s="74">
        <f>IFERROR(VLOOKUP(Table1215[[#This Row],[Column2]],Table12[[Column2]:[Column54]],44,FALSE),"0")</f>
        <v>0</v>
      </c>
      <c r="AT17" s="74">
        <f>IFERROR(VLOOKUP(Table1215[[#This Row],[Column2]],Table12[[Column2]:[Column54]],45,FALSE),"0")</f>
        <v>0</v>
      </c>
      <c r="AU17" s="74">
        <f>IFERROR(VLOOKUP(Table1215[[#This Row],[Column2]],Table12[[Column2]:[Column54]],46,FALSE),"0")</f>
        <v>0</v>
      </c>
      <c r="AV17" s="80">
        <f>Table1215[[#This Row],[Column43]]</f>
        <v>0</v>
      </c>
      <c r="AW17" s="74">
        <f>IFERROR(VLOOKUP(Table1215[[#This Row],[Column2]],Table12[[Column2]:[Column54]],48,FALSE),"0")</f>
        <v>0</v>
      </c>
      <c r="AX17" s="74">
        <f>IFERROR(VLOOKUP(Table1215[[#This Row],[Column2]],Table12[[Column2]:[Column54]],49,FALSE),"0")</f>
        <v>0</v>
      </c>
      <c r="AY17" s="74">
        <f>IFERROR(VLOOKUP(Table1215[[#This Row],[Column2]],Table12[[Column2]:[Column54]],50,FALSE),"0")</f>
        <v>0</v>
      </c>
      <c r="AZ17" s="74">
        <f>IFERROR(VLOOKUP(Table1215[[#This Row],[Column2]],Table12[[Column2]:[Column54]],51,FALSE),"0")</f>
        <v>4</v>
      </c>
      <c r="BA17" s="74">
        <f>IFERROR(VLOOKUP(Table1215[[#This Row],[Column2]],Table12[[Column2]:[Column54]],52,FALSE),"0")</f>
        <v>4</v>
      </c>
      <c r="BB17" s="80">
        <f>AVERAGE(Table1215[[#This Row],[Column52]],Table1215[[#This Row],[Column53]])</f>
        <v>4</v>
      </c>
    </row>
    <row r="18" spans="1:54" ht="23.1" customHeight="1" x14ac:dyDescent="0.3">
      <c r="A18" s="99">
        <v>15</v>
      </c>
      <c r="B18" s="76" t="s">
        <v>293</v>
      </c>
      <c r="C18" s="77" t="s">
        <v>294</v>
      </c>
      <c r="D18" s="76" t="s">
        <v>542</v>
      </c>
      <c r="E18" s="76" t="s">
        <v>493</v>
      </c>
      <c r="F18" s="76" t="str">
        <f>REPT(CHAR(160),10)&amp;Working!$E19</f>
        <v>          C</v>
      </c>
      <c r="G18" s="78">
        <f>IFERROR(VLOOKUP(Table1215[[#This Row],[Column2]],Table12[[Column2]:[Column54]],6,FALSE),"0")</f>
        <v>0</v>
      </c>
      <c r="H18" s="78">
        <f>IFERROR(VLOOKUP(Table1215[[#This Row],[Column2]],Table12[[Column2]:[Column54]],7,FALSE),"0")</f>
        <v>0</v>
      </c>
      <c r="I18" s="78">
        <f>IFERROR(VLOOKUP(Table1215[[#This Row],[Column2]],Table12[[Column2]:[Column54]],8,FALSE),"0")</f>
        <v>4</v>
      </c>
      <c r="J18" s="78">
        <f>IFERROR(VLOOKUP(Table1215[[#This Row],[Column2]],Table12[[Column2]:[Column54]],9,FALSE),"0")</f>
        <v>0</v>
      </c>
      <c r="K18" s="78">
        <f>IFERROR(VLOOKUP(Table1215[[#This Row],[Column2]],Table12[[Column2]:[Column54]],10,FALSE),"0")</f>
        <v>0</v>
      </c>
      <c r="L18" s="80">
        <f>Table1215[[#This Row],[Column9]]</f>
        <v>4</v>
      </c>
      <c r="M18" s="78">
        <f>IFERROR(VLOOKUP(Table1215[[#This Row],[Column2]],Table12[[Column2]:[Column54]],12,FALSE),"0")</f>
        <v>0</v>
      </c>
      <c r="N18" s="78">
        <f>IFERROR(VLOOKUP(Table1215[[#This Row],[Column2]],Table12[[Column2]:[Column54]],13,FALSE),"0")</f>
        <v>4</v>
      </c>
      <c r="O18" s="78">
        <f>IFERROR(VLOOKUP(Table1215[[#This Row],[Column2]],Table12[[Column2]:[Column54]],14,FALSE),"0")</f>
        <v>4</v>
      </c>
      <c r="P18" s="78">
        <f>IFERROR(VLOOKUP(Table1215[[#This Row],[Column2]],Table12[[Column2]:[Column54]],10,FALSE),"0")</f>
        <v>0</v>
      </c>
      <c r="Q18" s="78">
        <f>IFERROR(VLOOKUP(Table1215[[#This Row],[Column2]],Table12[[Column2]:[Column54]],16,FALSE),"0")</f>
        <v>4</v>
      </c>
      <c r="R18" s="80">
        <f>AVERAGE(Table1215[[#This Row],[Column14]],Table1215[[#This Row],[Column15]],Table1215[[#This Row],[Column17]])</f>
        <v>4</v>
      </c>
      <c r="S18" s="78">
        <f>IFERROR(VLOOKUP(Table1215[[#This Row],[Column2]],Table12[[Column2]:[Column54]],18,FALSE),"0")</f>
        <v>0</v>
      </c>
      <c r="T18" s="78">
        <f>IFERROR(VLOOKUP(Table1215[[#This Row],[Column2]],Table12[[Column2]:[Column54]],19,FALSE),"0")</f>
        <v>0</v>
      </c>
      <c r="U18" s="78">
        <f>IFERROR(VLOOKUP(Table1215[[#This Row],[Column2]],Table12[[Column2]:[Column54]],20,FALSE),"0")</f>
        <v>0</v>
      </c>
      <c r="V18" s="78">
        <f>IFERROR(VLOOKUP(Table1215[[#This Row],[Column2]],Table12[[Column2]:[Column54]],21,FALSE),"0")</f>
        <v>0</v>
      </c>
      <c r="W18" s="78">
        <f>IFERROR(VLOOKUP(Table1215[[#This Row],[Column2]],Table12[[Column2]:[Column54]],22,FALSE),"0")</f>
        <v>0</v>
      </c>
      <c r="X18" s="80">
        <f>Table1215[[#This Row],[Column19]]</f>
        <v>0</v>
      </c>
      <c r="Y18" s="78">
        <f>IFERROR(VLOOKUP(Table1215[[#This Row],[Column2]],Table12[[Column2]:[Column54]],24,FALSE),"0")</f>
        <v>4</v>
      </c>
      <c r="Z18" s="78">
        <f>IFERROR(VLOOKUP(Table1215[[#This Row],[Column2]],Table12[[Column2]:[Column54]],25,FALSE),"0")</f>
        <v>0</v>
      </c>
      <c r="AA18" s="78">
        <f>IFERROR(VLOOKUP(Table1215[[#This Row],[Column2]],Table12[[Column2]:[Column54]],26,FALSE),"0")</f>
        <v>0</v>
      </c>
      <c r="AB18" s="78">
        <f>IFERROR(VLOOKUP(Table1215[[#This Row],[Column2]],Table12[[Column2]:[Column54]],27,FALSE),"0")</f>
        <v>0</v>
      </c>
      <c r="AC18" s="78">
        <f>IFERROR(VLOOKUP(Table1215[[#This Row],[Column2]],Table12[[Column2]:[Column54]],28,FALSE),"0")</f>
        <v>0</v>
      </c>
      <c r="AD18" s="80">
        <f>Table1215[[#This Row],[Column25]]</f>
        <v>4</v>
      </c>
      <c r="AE18" s="78">
        <f>IFERROR(VLOOKUP(Table1215[[#This Row],[Column2]],Table12[[Column2]:[Column54]],30,FALSE),"0")</f>
        <v>0</v>
      </c>
      <c r="AF18" s="78">
        <f>IFERROR(VLOOKUP(Table1215[[#This Row],[Column2]],Table12[[Column2]:[Column54]],31,FALSE),"0")</f>
        <v>0</v>
      </c>
      <c r="AG18" s="78">
        <f>IFERROR(VLOOKUP(Table1215[[#This Row],[Column2]],Table12[[Column2]:[Column54]],32,FALSE),"0")</f>
        <v>0</v>
      </c>
      <c r="AH18" s="78">
        <f>IFERROR(VLOOKUP(Table1215[[#This Row],[Column2]],Table12[[Column2]:[Column54]],33,FALSE),"0")</f>
        <v>0</v>
      </c>
      <c r="AI18" s="78">
        <f>IFERROR(VLOOKUP(Table1215[[#This Row],[Column2]],Table12[[Column2]:[Column54]],34,FALSE),"0")</f>
        <v>0</v>
      </c>
      <c r="AJ18" s="80">
        <f>AVERAGE(Table1215[[#This Row],[Column31]],Table1215[[#This Row],[Column32]],Table1215[[#This Row],[Column33]])</f>
        <v>0</v>
      </c>
      <c r="AK18" s="78">
        <f>IFERROR(VLOOKUP(Table1215[[#This Row],[Column2]],Table12[[Column2]:[Column54]],36,FALSE),"0")</f>
        <v>4</v>
      </c>
      <c r="AL18" s="78">
        <f>IFERROR(VLOOKUP(Table1215[[#This Row],[Column2]],Table12[[Column2]:[Column54]],37,FALSE),"0")</f>
        <v>4</v>
      </c>
      <c r="AM18" s="78">
        <f>IFERROR(VLOOKUP(Table1215[[#This Row],[Column2]],Table12[[Column2]:[Column54]],38,FALSE),"0")</f>
        <v>0</v>
      </c>
      <c r="AN18" s="78">
        <f>IFERROR(VLOOKUP(Table1215[[#This Row],[Column2]],Table12[[Column2]:[Column54]],39,FALSE),"0")</f>
        <v>4</v>
      </c>
      <c r="AO18" s="78">
        <f>IFERROR(VLOOKUP(Table1215[[#This Row],[Column2]],Table12[[Column2]:[Column54]],40,FALSE),"0")</f>
        <v>0</v>
      </c>
      <c r="AP18" s="80">
        <f>AVERAGE(Table1215[[#This Row],[Column37]],Table1215[[#This Row],[Column38]],Table1215[[#This Row],[Column40]])</f>
        <v>4</v>
      </c>
      <c r="AQ18" s="78">
        <f>IFERROR(VLOOKUP(Table1215[[#This Row],[Column2]],Table12[[Column2]:[Column54]],42,FALSE),"0")</f>
        <v>3</v>
      </c>
      <c r="AR18" s="78">
        <f>IFERROR(VLOOKUP(Table1215[[#This Row],[Column2]],Table12[[Column2]:[Column54]],43,FALSE),"0")</f>
        <v>0</v>
      </c>
      <c r="AS18" s="78">
        <f>IFERROR(VLOOKUP(Table1215[[#This Row],[Column2]],Table12[[Column2]:[Column54]],44,FALSE),"0")</f>
        <v>0</v>
      </c>
      <c r="AT18" s="78">
        <f>IFERROR(VLOOKUP(Table1215[[#This Row],[Column2]],Table12[[Column2]:[Column54]],45,FALSE),"0")</f>
        <v>0</v>
      </c>
      <c r="AU18" s="78">
        <f>IFERROR(VLOOKUP(Table1215[[#This Row],[Column2]],Table12[[Column2]:[Column54]],46,FALSE),"0")</f>
        <v>0</v>
      </c>
      <c r="AV18" s="80">
        <f>Table1215[[#This Row],[Column43]]</f>
        <v>3</v>
      </c>
      <c r="AW18" s="78">
        <f>IFERROR(VLOOKUP(Table1215[[#This Row],[Column2]],Table12[[Column2]:[Column54]],48,FALSE),"0")</f>
        <v>0</v>
      </c>
      <c r="AX18" s="78">
        <f>IFERROR(VLOOKUP(Table1215[[#This Row],[Column2]],Table12[[Column2]:[Column54]],49,FALSE),"0")</f>
        <v>0</v>
      </c>
      <c r="AY18" s="78">
        <f>IFERROR(VLOOKUP(Table1215[[#This Row],[Column2]],Table12[[Column2]:[Column54]],50,FALSE),"0")</f>
        <v>0</v>
      </c>
      <c r="AZ18" s="78">
        <f>IFERROR(VLOOKUP(Table1215[[#This Row],[Column2]],Table12[[Column2]:[Column54]],51,FALSE),"0")</f>
        <v>4</v>
      </c>
      <c r="BA18" s="78">
        <f>IFERROR(VLOOKUP(Table1215[[#This Row],[Column2]],Table12[[Column2]:[Column54]],52,FALSE),"0")</f>
        <v>4</v>
      </c>
      <c r="BB18" s="80">
        <f>AVERAGE(Table1215[[#This Row],[Column52]],Table1215[[#This Row],[Column53]])</f>
        <v>4</v>
      </c>
    </row>
    <row r="19" spans="1:54" ht="23.1" customHeight="1" x14ac:dyDescent="0.3">
      <c r="A19" s="100">
        <v>16</v>
      </c>
      <c r="B19" s="83" t="s">
        <v>105</v>
      </c>
      <c r="C19" s="84" t="s">
        <v>106</v>
      </c>
      <c r="D19" s="83" t="s">
        <v>450</v>
      </c>
      <c r="E19" s="83" t="s">
        <v>35</v>
      </c>
      <c r="F19" s="83" t="str">
        <f>REPT(CHAR(160),10)&amp;Working!$E20</f>
        <v>          A</v>
      </c>
      <c r="G19" s="74">
        <f>IFERROR(VLOOKUP(Table1215[[#This Row],[Column2]],Table12[[Column2]:[Column54]],6,FALSE),"0")</f>
        <v>0</v>
      </c>
      <c r="H19" s="74">
        <f>IFERROR(VLOOKUP(Table1215[[#This Row],[Column2]],Table12[[Column2]:[Column54]],7,FALSE),"0")</f>
        <v>0</v>
      </c>
      <c r="I19" s="74">
        <f>IFERROR(VLOOKUP(Table1215[[#This Row],[Column2]],Table12[[Column2]:[Column54]],8,FALSE),"0")</f>
        <v>4</v>
      </c>
      <c r="J19" s="74">
        <f>IFERROR(VLOOKUP(Table1215[[#This Row],[Column2]],Table12[[Column2]:[Column54]],9,FALSE),"0")</f>
        <v>0</v>
      </c>
      <c r="K19" s="74">
        <f>IFERROR(VLOOKUP(Table1215[[#This Row],[Column2]],Table12[[Column2]:[Column54]],10,FALSE),"0")</f>
        <v>0</v>
      </c>
      <c r="L19" s="80">
        <f>Table1215[[#This Row],[Column9]]</f>
        <v>4</v>
      </c>
      <c r="M19" s="74">
        <f>IFERROR(VLOOKUP(Table1215[[#This Row],[Column2]],Table12[[Column2]:[Column54]],12,FALSE),"0")</f>
        <v>0</v>
      </c>
      <c r="N19" s="74">
        <f>IFERROR(VLOOKUP(Table1215[[#This Row],[Column2]],Table12[[Column2]:[Column54]],13,FALSE),"0")</f>
        <v>4</v>
      </c>
      <c r="O19" s="74">
        <f>IFERROR(VLOOKUP(Table1215[[#This Row],[Column2]],Table12[[Column2]:[Column54]],14,FALSE),"0")</f>
        <v>4</v>
      </c>
      <c r="P19" s="74">
        <f>IFERROR(VLOOKUP(Table1215[[#This Row],[Column2]],Table12[[Column2]:[Column54]],10,FALSE),"0")</f>
        <v>0</v>
      </c>
      <c r="Q19" s="74">
        <f>IFERROR(VLOOKUP(Table1215[[#This Row],[Column2]],Table12[[Column2]:[Column54]],16,FALSE),"0")</f>
        <v>4</v>
      </c>
      <c r="R19" s="80">
        <f>AVERAGE(Table1215[[#This Row],[Column14]],Table1215[[#This Row],[Column15]],Table1215[[#This Row],[Column17]])</f>
        <v>4</v>
      </c>
      <c r="S19" s="74">
        <f>IFERROR(VLOOKUP(Table1215[[#This Row],[Column2]],Table12[[Column2]:[Column54]],18,FALSE),"0")</f>
        <v>0</v>
      </c>
      <c r="T19" s="74">
        <f>IFERROR(VLOOKUP(Table1215[[#This Row],[Column2]],Table12[[Column2]:[Column54]],19,FALSE),"0")</f>
        <v>0</v>
      </c>
      <c r="U19" s="74">
        <f>IFERROR(VLOOKUP(Table1215[[#This Row],[Column2]],Table12[[Column2]:[Column54]],20,FALSE),"0")</f>
        <v>0</v>
      </c>
      <c r="V19" s="74">
        <f>IFERROR(VLOOKUP(Table1215[[#This Row],[Column2]],Table12[[Column2]:[Column54]],21,FALSE),"0")</f>
        <v>0</v>
      </c>
      <c r="W19" s="74">
        <f>IFERROR(VLOOKUP(Table1215[[#This Row],[Column2]],Table12[[Column2]:[Column54]],22,FALSE),"0")</f>
        <v>0</v>
      </c>
      <c r="X19" s="80">
        <f>Table1215[[#This Row],[Column19]]</f>
        <v>0</v>
      </c>
      <c r="Y19" s="74">
        <f>IFERROR(VLOOKUP(Table1215[[#This Row],[Column2]],Table12[[Column2]:[Column54]],24,FALSE),"0")</f>
        <v>3</v>
      </c>
      <c r="Z19" s="74">
        <f>IFERROR(VLOOKUP(Table1215[[#This Row],[Column2]],Table12[[Column2]:[Column54]],25,FALSE),"0")</f>
        <v>0</v>
      </c>
      <c r="AA19" s="74">
        <f>IFERROR(VLOOKUP(Table1215[[#This Row],[Column2]],Table12[[Column2]:[Column54]],26,FALSE),"0")</f>
        <v>0</v>
      </c>
      <c r="AB19" s="74">
        <f>IFERROR(VLOOKUP(Table1215[[#This Row],[Column2]],Table12[[Column2]:[Column54]],27,FALSE),"0")</f>
        <v>0</v>
      </c>
      <c r="AC19" s="74">
        <f>IFERROR(VLOOKUP(Table1215[[#This Row],[Column2]],Table12[[Column2]:[Column54]],28,FALSE),"0")</f>
        <v>0</v>
      </c>
      <c r="AD19" s="80">
        <f>Table1215[[#This Row],[Column25]]</f>
        <v>3</v>
      </c>
      <c r="AE19" s="74">
        <f>IFERROR(VLOOKUP(Table1215[[#This Row],[Column2]],Table12[[Column2]:[Column54]],30,FALSE),"0")</f>
        <v>0</v>
      </c>
      <c r="AF19" s="74">
        <f>IFERROR(VLOOKUP(Table1215[[#This Row],[Column2]],Table12[[Column2]:[Column54]],31,FALSE),"0")</f>
        <v>0</v>
      </c>
      <c r="AG19" s="74">
        <f>IFERROR(VLOOKUP(Table1215[[#This Row],[Column2]],Table12[[Column2]:[Column54]],32,FALSE),"0")</f>
        <v>0</v>
      </c>
      <c r="AH19" s="74">
        <f>IFERROR(VLOOKUP(Table1215[[#This Row],[Column2]],Table12[[Column2]:[Column54]],33,FALSE),"0")</f>
        <v>0</v>
      </c>
      <c r="AI19" s="74">
        <f>IFERROR(VLOOKUP(Table1215[[#This Row],[Column2]],Table12[[Column2]:[Column54]],34,FALSE),"0")</f>
        <v>0</v>
      </c>
      <c r="AJ19" s="80">
        <f>AVERAGE(Table1215[[#This Row],[Column31]],Table1215[[#This Row],[Column32]],Table1215[[#This Row],[Column33]])</f>
        <v>0</v>
      </c>
      <c r="AK19" s="74">
        <f>IFERROR(VLOOKUP(Table1215[[#This Row],[Column2]],Table12[[Column2]:[Column54]],36,FALSE),"0")</f>
        <v>4</v>
      </c>
      <c r="AL19" s="74">
        <f>IFERROR(VLOOKUP(Table1215[[#This Row],[Column2]],Table12[[Column2]:[Column54]],37,FALSE),"0")</f>
        <v>3</v>
      </c>
      <c r="AM19" s="74">
        <f>IFERROR(VLOOKUP(Table1215[[#This Row],[Column2]],Table12[[Column2]:[Column54]],38,FALSE),"0")</f>
        <v>0</v>
      </c>
      <c r="AN19" s="74">
        <f>IFERROR(VLOOKUP(Table1215[[#This Row],[Column2]],Table12[[Column2]:[Column54]],39,FALSE),"0")</f>
        <v>4</v>
      </c>
      <c r="AO19" s="74">
        <f>IFERROR(VLOOKUP(Table1215[[#This Row],[Column2]],Table12[[Column2]:[Column54]],40,FALSE),"0")</f>
        <v>0</v>
      </c>
      <c r="AP19" s="80">
        <f>AVERAGE(Table1215[[#This Row],[Column37]],Table1215[[#This Row],[Column38]],Table1215[[#This Row],[Column40]])</f>
        <v>3.6666666666666665</v>
      </c>
      <c r="AQ19" s="74">
        <f>IFERROR(VLOOKUP(Table1215[[#This Row],[Column2]],Table12[[Column2]:[Column54]],42,FALSE),"0")</f>
        <v>4</v>
      </c>
      <c r="AR19" s="74">
        <f>IFERROR(VLOOKUP(Table1215[[#This Row],[Column2]],Table12[[Column2]:[Column54]],43,FALSE),"0")</f>
        <v>0</v>
      </c>
      <c r="AS19" s="74">
        <f>IFERROR(VLOOKUP(Table1215[[#This Row],[Column2]],Table12[[Column2]:[Column54]],44,FALSE),"0")</f>
        <v>0</v>
      </c>
      <c r="AT19" s="74">
        <f>IFERROR(VLOOKUP(Table1215[[#This Row],[Column2]],Table12[[Column2]:[Column54]],45,FALSE),"0")</f>
        <v>0</v>
      </c>
      <c r="AU19" s="74">
        <f>IFERROR(VLOOKUP(Table1215[[#This Row],[Column2]],Table12[[Column2]:[Column54]],46,FALSE),"0")</f>
        <v>0</v>
      </c>
      <c r="AV19" s="80">
        <f>Table1215[[#This Row],[Column43]]</f>
        <v>4</v>
      </c>
      <c r="AW19" s="74">
        <f>IFERROR(VLOOKUP(Table1215[[#This Row],[Column2]],Table12[[Column2]:[Column54]],48,FALSE),"0")</f>
        <v>0</v>
      </c>
      <c r="AX19" s="74">
        <f>IFERROR(VLOOKUP(Table1215[[#This Row],[Column2]],Table12[[Column2]:[Column54]],49,FALSE),"0")</f>
        <v>0</v>
      </c>
      <c r="AY19" s="74">
        <f>IFERROR(VLOOKUP(Table1215[[#This Row],[Column2]],Table12[[Column2]:[Column54]],50,FALSE),"0")</f>
        <v>0</v>
      </c>
      <c r="AZ19" s="74">
        <f>IFERROR(VLOOKUP(Table1215[[#This Row],[Column2]],Table12[[Column2]:[Column54]],51,FALSE),"0")</f>
        <v>4</v>
      </c>
      <c r="BA19" s="74">
        <f>IFERROR(VLOOKUP(Table1215[[#This Row],[Column2]],Table12[[Column2]:[Column54]],52,FALSE),"0")</f>
        <v>4</v>
      </c>
      <c r="BB19" s="80">
        <f>AVERAGE(Table1215[[#This Row],[Column52]],Table1215[[#This Row],[Column53]])</f>
        <v>4</v>
      </c>
    </row>
    <row r="20" spans="1:54" ht="23.1" customHeight="1" x14ac:dyDescent="0.3">
      <c r="A20" s="99">
        <v>17</v>
      </c>
      <c r="B20" s="76" t="s">
        <v>295</v>
      </c>
      <c r="C20" s="77" t="s">
        <v>296</v>
      </c>
      <c r="D20" s="76" t="s">
        <v>542</v>
      </c>
      <c r="E20" s="76" t="s">
        <v>493</v>
      </c>
      <c r="F20" s="76" t="str">
        <f>REPT(CHAR(160),10)&amp;Working!$E21</f>
        <v>          C</v>
      </c>
      <c r="G20" s="78">
        <f>IFERROR(VLOOKUP(Table1215[[#This Row],[Column2]],Table12[[Column2]:[Column54]],6,FALSE),"0")</f>
        <v>0</v>
      </c>
      <c r="H20" s="78">
        <f>IFERROR(VLOOKUP(Table1215[[#This Row],[Column2]],Table12[[Column2]:[Column54]],7,FALSE),"0")</f>
        <v>0</v>
      </c>
      <c r="I20" s="78">
        <f>IFERROR(VLOOKUP(Table1215[[#This Row],[Column2]],Table12[[Column2]:[Column54]],8,FALSE),"0")</f>
        <v>4</v>
      </c>
      <c r="J20" s="78">
        <f>IFERROR(VLOOKUP(Table1215[[#This Row],[Column2]],Table12[[Column2]:[Column54]],9,FALSE),"0")</f>
        <v>0</v>
      </c>
      <c r="K20" s="78">
        <f>IFERROR(VLOOKUP(Table1215[[#This Row],[Column2]],Table12[[Column2]:[Column54]],10,FALSE),"0")</f>
        <v>0</v>
      </c>
      <c r="L20" s="80">
        <f>Table1215[[#This Row],[Column9]]</f>
        <v>4</v>
      </c>
      <c r="M20" s="78">
        <f>IFERROR(VLOOKUP(Table1215[[#This Row],[Column2]],Table12[[Column2]:[Column54]],12,FALSE),"0")</f>
        <v>0</v>
      </c>
      <c r="N20" s="78">
        <f>IFERROR(VLOOKUP(Table1215[[#This Row],[Column2]],Table12[[Column2]:[Column54]],13,FALSE),"0")</f>
        <v>4</v>
      </c>
      <c r="O20" s="78">
        <f>IFERROR(VLOOKUP(Table1215[[#This Row],[Column2]],Table12[[Column2]:[Column54]],14,FALSE),"0")</f>
        <v>4</v>
      </c>
      <c r="P20" s="78">
        <f>IFERROR(VLOOKUP(Table1215[[#This Row],[Column2]],Table12[[Column2]:[Column54]],10,FALSE),"0")</f>
        <v>0</v>
      </c>
      <c r="Q20" s="78">
        <f>IFERROR(VLOOKUP(Table1215[[#This Row],[Column2]],Table12[[Column2]:[Column54]],16,FALSE),"0")</f>
        <v>4</v>
      </c>
      <c r="R20" s="80">
        <f>AVERAGE(Table1215[[#This Row],[Column14]],Table1215[[#This Row],[Column15]],Table1215[[#This Row],[Column17]])</f>
        <v>4</v>
      </c>
      <c r="S20" s="78">
        <f>IFERROR(VLOOKUP(Table1215[[#This Row],[Column2]],Table12[[Column2]:[Column54]],18,FALSE),"0")</f>
        <v>0</v>
      </c>
      <c r="T20" s="78">
        <f>IFERROR(VLOOKUP(Table1215[[#This Row],[Column2]],Table12[[Column2]:[Column54]],19,FALSE),"0")</f>
        <v>0</v>
      </c>
      <c r="U20" s="78">
        <f>IFERROR(VLOOKUP(Table1215[[#This Row],[Column2]],Table12[[Column2]:[Column54]],20,FALSE),"0")</f>
        <v>0</v>
      </c>
      <c r="V20" s="78">
        <f>IFERROR(VLOOKUP(Table1215[[#This Row],[Column2]],Table12[[Column2]:[Column54]],21,FALSE),"0")</f>
        <v>0</v>
      </c>
      <c r="W20" s="78">
        <f>IFERROR(VLOOKUP(Table1215[[#This Row],[Column2]],Table12[[Column2]:[Column54]],22,FALSE),"0")</f>
        <v>0</v>
      </c>
      <c r="X20" s="80">
        <f>Table1215[[#This Row],[Column19]]</f>
        <v>0</v>
      </c>
      <c r="Y20" s="78">
        <f>IFERROR(VLOOKUP(Table1215[[#This Row],[Column2]],Table12[[Column2]:[Column54]],24,FALSE),"0")</f>
        <v>4</v>
      </c>
      <c r="Z20" s="78">
        <f>IFERROR(VLOOKUP(Table1215[[#This Row],[Column2]],Table12[[Column2]:[Column54]],25,FALSE),"0")</f>
        <v>0</v>
      </c>
      <c r="AA20" s="78">
        <f>IFERROR(VLOOKUP(Table1215[[#This Row],[Column2]],Table12[[Column2]:[Column54]],26,FALSE),"0")</f>
        <v>0</v>
      </c>
      <c r="AB20" s="78">
        <f>IFERROR(VLOOKUP(Table1215[[#This Row],[Column2]],Table12[[Column2]:[Column54]],27,FALSE),"0")</f>
        <v>0</v>
      </c>
      <c r="AC20" s="78">
        <f>IFERROR(VLOOKUP(Table1215[[#This Row],[Column2]],Table12[[Column2]:[Column54]],28,FALSE),"0")</f>
        <v>0</v>
      </c>
      <c r="AD20" s="80">
        <f>Table1215[[#This Row],[Column25]]</f>
        <v>4</v>
      </c>
      <c r="AE20" s="78">
        <f>IFERROR(VLOOKUP(Table1215[[#This Row],[Column2]],Table12[[Column2]:[Column54]],30,FALSE),"0")</f>
        <v>0</v>
      </c>
      <c r="AF20" s="78">
        <f>IFERROR(VLOOKUP(Table1215[[#This Row],[Column2]],Table12[[Column2]:[Column54]],31,FALSE),"0")</f>
        <v>0</v>
      </c>
      <c r="AG20" s="78">
        <f>IFERROR(VLOOKUP(Table1215[[#This Row],[Column2]],Table12[[Column2]:[Column54]],32,FALSE),"0")</f>
        <v>0</v>
      </c>
      <c r="AH20" s="78">
        <f>IFERROR(VLOOKUP(Table1215[[#This Row],[Column2]],Table12[[Column2]:[Column54]],33,FALSE),"0")</f>
        <v>0</v>
      </c>
      <c r="AI20" s="78">
        <f>IFERROR(VLOOKUP(Table1215[[#This Row],[Column2]],Table12[[Column2]:[Column54]],34,FALSE),"0")</f>
        <v>0</v>
      </c>
      <c r="AJ20" s="80">
        <f>AVERAGE(Table1215[[#This Row],[Column31]],Table1215[[#This Row],[Column32]],Table1215[[#This Row],[Column33]])</f>
        <v>0</v>
      </c>
      <c r="AK20" s="78">
        <f>IFERROR(VLOOKUP(Table1215[[#This Row],[Column2]],Table12[[Column2]:[Column54]],36,FALSE),"0")</f>
        <v>4</v>
      </c>
      <c r="AL20" s="78">
        <f>IFERROR(VLOOKUP(Table1215[[#This Row],[Column2]],Table12[[Column2]:[Column54]],37,FALSE),"0")</f>
        <v>5</v>
      </c>
      <c r="AM20" s="78">
        <f>IFERROR(VLOOKUP(Table1215[[#This Row],[Column2]],Table12[[Column2]:[Column54]],38,FALSE),"0")</f>
        <v>0</v>
      </c>
      <c r="AN20" s="78">
        <f>IFERROR(VLOOKUP(Table1215[[#This Row],[Column2]],Table12[[Column2]:[Column54]],39,FALSE),"0")</f>
        <v>5</v>
      </c>
      <c r="AO20" s="78">
        <f>IFERROR(VLOOKUP(Table1215[[#This Row],[Column2]],Table12[[Column2]:[Column54]],40,FALSE),"0")</f>
        <v>0</v>
      </c>
      <c r="AP20" s="80">
        <f>AVERAGE(Table1215[[#This Row],[Column37]],Table1215[[#This Row],[Column38]],Table1215[[#This Row],[Column40]])</f>
        <v>4.666666666666667</v>
      </c>
      <c r="AQ20" s="78">
        <f>IFERROR(VLOOKUP(Table1215[[#This Row],[Column2]],Table12[[Column2]:[Column54]],42,FALSE),"0")</f>
        <v>5</v>
      </c>
      <c r="AR20" s="78">
        <f>IFERROR(VLOOKUP(Table1215[[#This Row],[Column2]],Table12[[Column2]:[Column54]],43,FALSE),"0")</f>
        <v>0</v>
      </c>
      <c r="AS20" s="78">
        <f>IFERROR(VLOOKUP(Table1215[[#This Row],[Column2]],Table12[[Column2]:[Column54]],44,FALSE),"0")</f>
        <v>0</v>
      </c>
      <c r="AT20" s="78">
        <f>IFERROR(VLOOKUP(Table1215[[#This Row],[Column2]],Table12[[Column2]:[Column54]],45,FALSE),"0")</f>
        <v>0</v>
      </c>
      <c r="AU20" s="78">
        <f>IFERROR(VLOOKUP(Table1215[[#This Row],[Column2]],Table12[[Column2]:[Column54]],46,FALSE),"0")</f>
        <v>0</v>
      </c>
      <c r="AV20" s="80">
        <f>Table1215[[#This Row],[Column43]]</f>
        <v>5</v>
      </c>
      <c r="AW20" s="78">
        <f>IFERROR(VLOOKUP(Table1215[[#This Row],[Column2]],Table12[[Column2]:[Column54]],48,FALSE),"0")</f>
        <v>0</v>
      </c>
      <c r="AX20" s="78">
        <f>IFERROR(VLOOKUP(Table1215[[#This Row],[Column2]],Table12[[Column2]:[Column54]],49,FALSE),"0")</f>
        <v>0</v>
      </c>
      <c r="AY20" s="78">
        <f>IFERROR(VLOOKUP(Table1215[[#This Row],[Column2]],Table12[[Column2]:[Column54]],50,FALSE),"0")</f>
        <v>0</v>
      </c>
      <c r="AZ20" s="78">
        <f>IFERROR(VLOOKUP(Table1215[[#This Row],[Column2]],Table12[[Column2]:[Column54]],51,FALSE),"0")</f>
        <v>4</v>
      </c>
      <c r="BA20" s="78">
        <f>IFERROR(VLOOKUP(Table1215[[#This Row],[Column2]],Table12[[Column2]:[Column54]],52,FALSE),"0")</f>
        <v>4</v>
      </c>
      <c r="BB20" s="80">
        <f>AVERAGE(Table1215[[#This Row],[Column52]],Table1215[[#This Row],[Column53]])</f>
        <v>4</v>
      </c>
    </row>
    <row r="21" spans="1:54" ht="23.1" customHeight="1" x14ac:dyDescent="0.3">
      <c r="A21" s="100">
        <v>18</v>
      </c>
      <c r="B21" s="83" t="s">
        <v>107</v>
      </c>
      <c r="C21" s="84" t="s">
        <v>108</v>
      </c>
      <c r="D21" s="83" t="s">
        <v>543</v>
      </c>
      <c r="E21" s="83" t="s">
        <v>35</v>
      </c>
      <c r="F21" s="83" t="str">
        <f>REPT(CHAR(160),10)&amp;Working!$E22</f>
        <v>          A</v>
      </c>
      <c r="G21" s="74">
        <f>IFERROR(VLOOKUP(Table1215[[#This Row],[Column2]],Table12[[Column2]:[Column54]],6,FALSE),"0")</f>
        <v>0</v>
      </c>
      <c r="H21" s="74">
        <f>IFERROR(VLOOKUP(Table1215[[#This Row],[Column2]],Table12[[Column2]:[Column54]],7,FALSE),"0")</f>
        <v>0</v>
      </c>
      <c r="I21" s="74">
        <f>IFERROR(VLOOKUP(Table1215[[#This Row],[Column2]],Table12[[Column2]:[Column54]],8,FALSE),"0")</f>
        <v>4</v>
      </c>
      <c r="J21" s="74">
        <f>IFERROR(VLOOKUP(Table1215[[#This Row],[Column2]],Table12[[Column2]:[Column54]],9,FALSE),"0")</f>
        <v>0</v>
      </c>
      <c r="K21" s="74">
        <f>IFERROR(VLOOKUP(Table1215[[#This Row],[Column2]],Table12[[Column2]:[Column54]],10,FALSE),"0")</f>
        <v>0</v>
      </c>
      <c r="L21" s="80">
        <f>Table1215[[#This Row],[Column9]]</f>
        <v>4</v>
      </c>
      <c r="M21" s="74">
        <f>IFERROR(VLOOKUP(Table1215[[#This Row],[Column2]],Table12[[Column2]:[Column54]],12,FALSE),"0")</f>
        <v>0</v>
      </c>
      <c r="N21" s="74">
        <f>IFERROR(VLOOKUP(Table1215[[#This Row],[Column2]],Table12[[Column2]:[Column54]],13,FALSE),"0")</f>
        <v>5</v>
      </c>
      <c r="O21" s="74">
        <f>IFERROR(VLOOKUP(Table1215[[#This Row],[Column2]],Table12[[Column2]:[Column54]],14,FALSE),"0")</f>
        <v>4</v>
      </c>
      <c r="P21" s="74">
        <f>IFERROR(VLOOKUP(Table1215[[#This Row],[Column2]],Table12[[Column2]:[Column54]],10,FALSE),"0")</f>
        <v>0</v>
      </c>
      <c r="Q21" s="74">
        <f>IFERROR(VLOOKUP(Table1215[[#This Row],[Column2]],Table12[[Column2]:[Column54]],16,FALSE),"0")</f>
        <v>4</v>
      </c>
      <c r="R21" s="80">
        <f>AVERAGE(Table1215[[#This Row],[Column14]],Table1215[[#This Row],[Column15]],Table1215[[#This Row],[Column17]])</f>
        <v>4.333333333333333</v>
      </c>
      <c r="S21" s="74">
        <f>IFERROR(VLOOKUP(Table1215[[#This Row],[Column2]],Table12[[Column2]:[Column54]],18,FALSE),"0")</f>
        <v>0</v>
      </c>
      <c r="T21" s="74">
        <f>IFERROR(VLOOKUP(Table1215[[#This Row],[Column2]],Table12[[Column2]:[Column54]],19,FALSE),"0")</f>
        <v>0</v>
      </c>
      <c r="U21" s="74">
        <f>IFERROR(VLOOKUP(Table1215[[#This Row],[Column2]],Table12[[Column2]:[Column54]],20,FALSE),"0")</f>
        <v>0</v>
      </c>
      <c r="V21" s="74">
        <f>IFERROR(VLOOKUP(Table1215[[#This Row],[Column2]],Table12[[Column2]:[Column54]],21,FALSE),"0")</f>
        <v>0</v>
      </c>
      <c r="W21" s="74">
        <f>IFERROR(VLOOKUP(Table1215[[#This Row],[Column2]],Table12[[Column2]:[Column54]],22,FALSE),"0")</f>
        <v>0</v>
      </c>
      <c r="X21" s="80">
        <f>Table1215[[#This Row],[Column19]]</f>
        <v>0</v>
      </c>
      <c r="Y21" s="74">
        <f>IFERROR(VLOOKUP(Table1215[[#This Row],[Column2]],Table12[[Column2]:[Column54]],24,FALSE),"0")</f>
        <v>4</v>
      </c>
      <c r="Z21" s="74">
        <f>IFERROR(VLOOKUP(Table1215[[#This Row],[Column2]],Table12[[Column2]:[Column54]],25,FALSE),"0")</f>
        <v>0</v>
      </c>
      <c r="AA21" s="74">
        <f>IFERROR(VLOOKUP(Table1215[[#This Row],[Column2]],Table12[[Column2]:[Column54]],26,FALSE),"0")</f>
        <v>0</v>
      </c>
      <c r="AB21" s="74">
        <f>IFERROR(VLOOKUP(Table1215[[#This Row],[Column2]],Table12[[Column2]:[Column54]],27,FALSE),"0")</f>
        <v>0</v>
      </c>
      <c r="AC21" s="74">
        <f>IFERROR(VLOOKUP(Table1215[[#This Row],[Column2]],Table12[[Column2]:[Column54]],28,FALSE),"0")</f>
        <v>0</v>
      </c>
      <c r="AD21" s="80">
        <f>Table1215[[#This Row],[Column25]]</f>
        <v>4</v>
      </c>
      <c r="AE21" s="74">
        <f>IFERROR(VLOOKUP(Table1215[[#This Row],[Column2]],Table12[[Column2]:[Column54]],30,FALSE),"0")</f>
        <v>0</v>
      </c>
      <c r="AF21" s="74">
        <f>IFERROR(VLOOKUP(Table1215[[#This Row],[Column2]],Table12[[Column2]:[Column54]],31,FALSE),"0")</f>
        <v>0</v>
      </c>
      <c r="AG21" s="74">
        <f>IFERROR(VLOOKUP(Table1215[[#This Row],[Column2]],Table12[[Column2]:[Column54]],32,FALSE),"0")</f>
        <v>0</v>
      </c>
      <c r="AH21" s="74">
        <f>IFERROR(VLOOKUP(Table1215[[#This Row],[Column2]],Table12[[Column2]:[Column54]],33,FALSE),"0")</f>
        <v>0</v>
      </c>
      <c r="AI21" s="74">
        <f>IFERROR(VLOOKUP(Table1215[[#This Row],[Column2]],Table12[[Column2]:[Column54]],34,FALSE),"0")</f>
        <v>0</v>
      </c>
      <c r="AJ21" s="80">
        <f>AVERAGE(Table1215[[#This Row],[Column31]],Table1215[[#This Row],[Column32]],Table1215[[#This Row],[Column33]])</f>
        <v>0</v>
      </c>
      <c r="AK21" s="74">
        <f>IFERROR(VLOOKUP(Table1215[[#This Row],[Column2]],Table12[[Column2]:[Column54]],36,FALSE),"0")</f>
        <v>4</v>
      </c>
      <c r="AL21" s="74">
        <f>IFERROR(VLOOKUP(Table1215[[#This Row],[Column2]],Table12[[Column2]:[Column54]],37,FALSE),"0")</f>
        <v>4</v>
      </c>
      <c r="AM21" s="74">
        <f>IFERROR(VLOOKUP(Table1215[[#This Row],[Column2]],Table12[[Column2]:[Column54]],38,FALSE),"0")</f>
        <v>0</v>
      </c>
      <c r="AN21" s="74">
        <f>IFERROR(VLOOKUP(Table1215[[#This Row],[Column2]],Table12[[Column2]:[Column54]],39,FALSE),"0")</f>
        <v>4</v>
      </c>
      <c r="AO21" s="74">
        <f>IFERROR(VLOOKUP(Table1215[[#This Row],[Column2]],Table12[[Column2]:[Column54]],40,FALSE),"0")</f>
        <v>0</v>
      </c>
      <c r="AP21" s="80">
        <f>AVERAGE(Table1215[[#This Row],[Column37]],Table1215[[#This Row],[Column38]],Table1215[[#This Row],[Column40]])</f>
        <v>4</v>
      </c>
      <c r="AQ21" s="74">
        <f>IFERROR(VLOOKUP(Table1215[[#This Row],[Column2]],Table12[[Column2]:[Column54]],42,FALSE),"0")</f>
        <v>4</v>
      </c>
      <c r="AR21" s="74">
        <f>IFERROR(VLOOKUP(Table1215[[#This Row],[Column2]],Table12[[Column2]:[Column54]],43,FALSE),"0")</f>
        <v>0</v>
      </c>
      <c r="AS21" s="74">
        <f>IFERROR(VLOOKUP(Table1215[[#This Row],[Column2]],Table12[[Column2]:[Column54]],44,FALSE),"0")</f>
        <v>0</v>
      </c>
      <c r="AT21" s="74">
        <f>IFERROR(VLOOKUP(Table1215[[#This Row],[Column2]],Table12[[Column2]:[Column54]],45,FALSE),"0")</f>
        <v>0</v>
      </c>
      <c r="AU21" s="74">
        <f>IFERROR(VLOOKUP(Table1215[[#This Row],[Column2]],Table12[[Column2]:[Column54]],46,FALSE),"0")</f>
        <v>0</v>
      </c>
      <c r="AV21" s="80">
        <f>Table1215[[#This Row],[Column43]]</f>
        <v>4</v>
      </c>
      <c r="AW21" s="74">
        <f>IFERROR(VLOOKUP(Table1215[[#This Row],[Column2]],Table12[[Column2]:[Column54]],48,FALSE),"0")</f>
        <v>0</v>
      </c>
      <c r="AX21" s="74">
        <f>IFERROR(VLOOKUP(Table1215[[#This Row],[Column2]],Table12[[Column2]:[Column54]],49,FALSE),"0")</f>
        <v>0</v>
      </c>
      <c r="AY21" s="74">
        <f>IFERROR(VLOOKUP(Table1215[[#This Row],[Column2]],Table12[[Column2]:[Column54]],50,FALSE),"0")</f>
        <v>0</v>
      </c>
      <c r="AZ21" s="74">
        <f>IFERROR(VLOOKUP(Table1215[[#This Row],[Column2]],Table12[[Column2]:[Column54]],51,FALSE),"0")</f>
        <v>4</v>
      </c>
      <c r="BA21" s="74">
        <f>IFERROR(VLOOKUP(Table1215[[#This Row],[Column2]],Table12[[Column2]:[Column54]],52,FALSE),"0")</f>
        <v>4</v>
      </c>
      <c r="BB21" s="80">
        <f>AVERAGE(Table1215[[#This Row],[Column52]],Table1215[[#This Row],[Column53]])</f>
        <v>4</v>
      </c>
    </row>
    <row r="22" spans="1:54" ht="23.1" customHeight="1" x14ac:dyDescent="0.3">
      <c r="A22" s="99">
        <v>19</v>
      </c>
      <c r="B22" s="76" t="s">
        <v>50</v>
      </c>
      <c r="C22" s="77" t="s">
        <v>51</v>
      </c>
      <c r="D22" s="76" t="s">
        <v>542</v>
      </c>
      <c r="E22" s="76" t="s">
        <v>35</v>
      </c>
      <c r="F22" s="76" t="str">
        <f>REPT(CHAR(160),10)&amp;Working!$E23</f>
        <v>          A</v>
      </c>
      <c r="G22" s="78">
        <f>IFERROR(VLOOKUP(Table1215[[#This Row],[Column2]],Table12[[Column2]:[Column54]],6,FALSE),"0")</f>
        <v>0</v>
      </c>
      <c r="H22" s="78">
        <f>IFERROR(VLOOKUP(Table1215[[#This Row],[Column2]],Table12[[Column2]:[Column54]],7,FALSE),"0")</f>
        <v>0</v>
      </c>
      <c r="I22" s="78">
        <f>IFERROR(VLOOKUP(Table1215[[#This Row],[Column2]],Table12[[Column2]:[Column54]],8,FALSE),"0")</f>
        <v>5</v>
      </c>
      <c r="J22" s="78">
        <f>IFERROR(VLOOKUP(Table1215[[#This Row],[Column2]],Table12[[Column2]:[Column54]],9,FALSE),"0")</f>
        <v>0</v>
      </c>
      <c r="K22" s="78">
        <f>IFERROR(VLOOKUP(Table1215[[#This Row],[Column2]],Table12[[Column2]:[Column54]],10,FALSE),"0")</f>
        <v>0</v>
      </c>
      <c r="L22" s="80">
        <f>Table1215[[#This Row],[Column9]]</f>
        <v>5</v>
      </c>
      <c r="M22" s="78">
        <f>IFERROR(VLOOKUP(Table1215[[#This Row],[Column2]],Table12[[Column2]:[Column54]],12,FALSE),"0")</f>
        <v>0</v>
      </c>
      <c r="N22" s="78">
        <f>IFERROR(VLOOKUP(Table1215[[#This Row],[Column2]],Table12[[Column2]:[Column54]],13,FALSE),"0")</f>
        <v>4</v>
      </c>
      <c r="O22" s="78">
        <f>IFERROR(VLOOKUP(Table1215[[#This Row],[Column2]],Table12[[Column2]:[Column54]],14,FALSE),"0")</f>
        <v>5</v>
      </c>
      <c r="P22" s="78">
        <f>IFERROR(VLOOKUP(Table1215[[#This Row],[Column2]],Table12[[Column2]:[Column54]],10,FALSE),"0")</f>
        <v>0</v>
      </c>
      <c r="Q22" s="78">
        <f>IFERROR(VLOOKUP(Table1215[[#This Row],[Column2]],Table12[[Column2]:[Column54]],16,FALSE),"0")</f>
        <v>5</v>
      </c>
      <c r="R22" s="80">
        <f>AVERAGE(Table1215[[#This Row],[Column14]],Table1215[[#This Row],[Column15]],Table1215[[#This Row],[Column17]])</f>
        <v>4.666666666666667</v>
      </c>
      <c r="S22" s="78">
        <f>IFERROR(VLOOKUP(Table1215[[#This Row],[Column2]],Table12[[Column2]:[Column54]],18,FALSE),"0")</f>
        <v>0</v>
      </c>
      <c r="T22" s="78">
        <f>IFERROR(VLOOKUP(Table1215[[#This Row],[Column2]],Table12[[Column2]:[Column54]],19,FALSE),"0")</f>
        <v>0</v>
      </c>
      <c r="U22" s="78">
        <f>IFERROR(VLOOKUP(Table1215[[#This Row],[Column2]],Table12[[Column2]:[Column54]],20,FALSE),"0")</f>
        <v>0</v>
      </c>
      <c r="V22" s="78">
        <f>IFERROR(VLOOKUP(Table1215[[#This Row],[Column2]],Table12[[Column2]:[Column54]],21,FALSE),"0")</f>
        <v>0</v>
      </c>
      <c r="W22" s="78">
        <f>IFERROR(VLOOKUP(Table1215[[#This Row],[Column2]],Table12[[Column2]:[Column54]],22,FALSE),"0")</f>
        <v>0</v>
      </c>
      <c r="X22" s="80">
        <f>Table1215[[#This Row],[Column19]]</f>
        <v>0</v>
      </c>
      <c r="Y22" s="78">
        <f>IFERROR(VLOOKUP(Table1215[[#This Row],[Column2]],Table12[[Column2]:[Column54]],24,FALSE),"0")</f>
        <v>5</v>
      </c>
      <c r="Z22" s="78">
        <f>IFERROR(VLOOKUP(Table1215[[#This Row],[Column2]],Table12[[Column2]:[Column54]],25,FALSE),"0")</f>
        <v>0</v>
      </c>
      <c r="AA22" s="78">
        <f>IFERROR(VLOOKUP(Table1215[[#This Row],[Column2]],Table12[[Column2]:[Column54]],26,FALSE),"0")</f>
        <v>0</v>
      </c>
      <c r="AB22" s="78">
        <f>IFERROR(VLOOKUP(Table1215[[#This Row],[Column2]],Table12[[Column2]:[Column54]],27,FALSE),"0")</f>
        <v>0</v>
      </c>
      <c r="AC22" s="78">
        <f>IFERROR(VLOOKUP(Table1215[[#This Row],[Column2]],Table12[[Column2]:[Column54]],28,FALSE),"0")</f>
        <v>0</v>
      </c>
      <c r="AD22" s="80">
        <f>Table1215[[#This Row],[Column25]]</f>
        <v>5</v>
      </c>
      <c r="AE22" s="78">
        <f>IFERROR(VLOOKUP(Table1215[[#This Row],[Column2]],Table12[[Column2]:[Column54]],30,FALSE),"0")</f>
        <v>0</v>
      </c>
      <c r="AF22" s="78">
        <f>IFERROR(VLOOKUP(Table1215[[#This Row],[Column2]],Table12[[Column2]:[Column54]],31,FALSE),"0")</f>
        <v>0</v>
      </c>
      <c r="AG22" s="78">
        <f>IFERROR(VLOOKUP(Table1215[[#This Row],[Column2]],Table12[[Column2]:[Column54]],32,FALSE),"0")</f>
        <v>0</v>
      </c>
      <c r="AH22" s="78">
        <f>IFERROR(VLOOKUP(Table1215[[#This Row],[Column2]],Table12[[Column2]:[Column54]],33,FALSE),"0")</f>
        <v>0</v>
      </c>
      <c r="AI22" s="78">
        <f>IFERROR(VLOOKUP(Table1215[[#This Row],[Column2]],Table12[[Column2]:[Column54]],34,FALSE),"0")</f>
        <v>0</v>
      </c>
      <c r="AJ22" s="80">
        <f>AVERAGE(Table1215[[#This Row],[Column31]],Table1215[[#This Row],[Column32]],Table1215[[#This Row],[Column33]])</f>
        <v>0</v>
      </c>
      <c r="AK22" s="78">
        <f>IFERROR(VLOOKUP(Table1215[[#This Row],[Column2]],Table12[[Column2]:[Column54]],36,FALSE),"0")</f>
        <v>4</v>
      </c>
      <c r="AL22" s="78">
        <f>IFERROR(VLOOKUP(Table1215[[#This Row],[Column2]],Table12[[Column2]:[Column54]],37,FALSE),"0")</f>
        <v>5</v>
      </c>
      <c r="AM22" s="78">
        <f>IFERROR(VLOOKUP(Table1215[[#This Row],[Column2]],Table12[[Column2]:[Column54]],38,FALSE),"0")</f>
        <v>0</v>
      </c>
      <c r="AN22" s="78">
        <f>IFERROR(VLOOKUP(Table1215[[#This Row],[Column2]],Table12[[Column2]:[Column54]],39,FALSE),"0")</f>
        <v>5</v>
      </c>
      <c r="AO22" s="78">
        <f>IFERROR(VLOOKUP(Table1215[[#This Row],[Column2]],Table12[[Column2]:[Column54]],40,FALSE),"0")</f>
        <v>0</v>
      </c>
      <c r="AP22" s="80">
        <f>AVERAGE(Table1215[[#This Row],[Column37]],Table1215[[#This Row],[Column38]],Table1215[[#This Row],[Column40]])</f>
        <v>4.666666666666667</v>
      </c>
      <c r="AQ22" s="78">
        <f>IFERROR(VLOOKUP(Table1215[[#This Row],[Column2]],Table12[[Column2]:[Column54]],42,FALSE),"0")</f>
        <v>5</v>
      </c>
      <c r="AR22" s="78">
        <f>IFERROR(VLOOKUP(Table1215[[#This Row],[Column2]],Table12[[Column2]:[Column54]],43,FALSE),"0")</f>
        <v>0</v>
      </c>
      <c r="AS22" s="78">
        <f>IFERROR(VLOOKUP(Table1215[[#This Row],[Column2]],Table12[[Column2]:[Column54]],44,FALSE),"0")</f>
        <v>0</v>
      </c>
      <c r="AT22" s="78">
        <f>IFERROR(VLOOKUP(Table1215[[#This Row],[Column2]],Table12[[Column2]:[Column54]],45,FALSE),"0")</f>
        <v>0</v>
      </c>
      <c r="AU22" s="78">
        <f>IFERROR(VLOOKUP(Table1215[[#This Row],[Column2]],Table12[[Column2]:[Column54]],46,FALSE),"0")</f>
        <v>0</v>
      </c>
      <c r="AV22" s="80">
        <f>Table1215[[#This Row],[Column43]]</f>
        <v>5</v>
      </c>
      <c r="AW22" s="78">
        <f>IFERROR(VLOOKUP(Table1215[[#This Row],[Column2]],Table12[[Column2]:[Column54]],48,FALSE),"0")</f>
        <v>0</v>
      </c>
      <c r="AX22" s="78">
        <f>IFERROR(VLOOKUP(Table1215[[#This Row],[Column2]],Table12[[Column2]:[Column54]],49,FALSE),"0")</f>
        <v>0</v>
      </c>
      <c r="AY22" s="78">
        <f>IFERROR(VLOOKUP(Table1215[[#This Row],[Column2]],Table12[[Column2]:[Column54]],50,FALSE),"0")</f>
        <v>0</v>
      </c>
      <c r="AZ22" s="78">
        <f>IFERROR(VLOOKUP(Table1215[[#This Row],[Column2]],Table12[[Column2]:[Column54]],51,FALSE),"0")</f>
        <v>5</v>
      </c>
      <c r="BA22" s="78">
        <f>IFERROR(VLOOKUP(Table1215[[#This Row],[Column2]],Table12[[Column2]:[Column54]],52,FALSE),"0")</f>
        <v>4</v>
      </c>
      <c r="BB22" s="80">
        <f>AVERAGE(Table1215[[#This Row],[Column52]],Table1215[[#This Row],[Column53]])</f>
        <v>4.5</v>
      </c>
    </row>
    <row r="23" spans="1:54" ht="23.1" customHeight="1" x14ac:dyDescent="0.3">
      <c r="A23" s="100">
        <v>20</v>
      </c>
      <c r="B23" s="83" t="s">
        <v>196</v>
      </c>
      <c r="C23" s="84" t="s">
        <v>537</v>
      </c>
      <c r="D23" s="83" t="s">
        <v>450</v>
      </c>
      <c r="E23" s="83" t="s">
        <v>161</v>
      </c>
      <c r="F23" s="83" t="str">
        <f>REPT(CHAR(160),10)&amp;Working!$E24</f>
        <v>          B</v>
      </c>
      <c r="G23" s="74">
        <f>IFERROR(VLOOKUP(Table1215[[#This Row],[Column2]],Table12[[Column2]:[Column54]],6,FALSE),"0")</f>
        <v>0</v>
      </c>
      <c r="H23" s="74">
        <f>IFERROR(VLOOKUP(Table1215[[#This Row],[Column2]],Table12[[Column2]:[Column54]],7,FALSE),"0")</f>
        <v>0</v>
      </c>
      <c r="I23" s="74">
        <f>IFERROR(VLOOKUP(Table1215[[#This Row],[Column2]],Table12[[Column2]:[Column54]],8,FALSE),"0")</f>
        <v>4</v>
      </c>
      <c r="J23" s="74">
        <f>IFERROR(VLOOKUP(Table1215[[#This Row],[Column2]],Table12[[Column2]:[Column54]],9,FALSE),"0")</f>
        <v>0</v>
      </c>
      <c r="K23" s="74">
        <f>IFERROR(VLOOKUP(Table1215[[#This Row],[Column2]],Table12[[Column2]:[Column54]],10,FALSE),"0")</f>
        <v>0</v>
      </c>
      <c r="L23" s="80">
        <f>Table1215[[#This Row],[Column9]]</f>
        <v>4</v>
      </c>
      <c r="M23" s="74">
        <f>IFERROR(VLOOKUP(Table1215[[#This Row],[Column2]],Table12[[Column2]:[Column54]],12,FALSE),"0")</f>
        <v>0</v>
      </c>
      <c r="N23" s="74">
        <f>IFERROR(VLOOKUP(Table1215[[#This Row],[Column2]],Table12[[Column2]:[Column54]],13,FALSE),"0")</f>
        <v>4</v>
      </c>
      <c r="O23" s="74">
        <f>IFERROR(VLOOKUP(Table1215[[#This Row],[Column2]],Table12[[Column2]:[Column54]],14,FALSE),"0")</f>
        <v>4</v>
      </c>
      <c r="P23" s="74">
        <f>IFERROR(VLOOKUP(Table1215[[#This Row],[Column2]],Table12[[Column2]:[Column54]],10,FALSE),"0")</f>
        <v>0</v>
      </c>
      <c r="Q23" s="74">
        <f>IFERROR(VLOOKUP(Table1215[[#This Row],[Column2]],Table12[[Column2]:[Column54]],16,FALSE),"0")</f>
        <v>4</v>
      </c>
      <c r="R23" s="80">
        <f>AVERAGE(Table1215[[#This Row],[Column14]],Table1215[[#This Row],[Column15]],Table1215[[#This Row],[Column17]])</f>
        <v>4</v>
      </c>
      <c r="S23" s="74">
        <f>IFERROR(VLOOKUP(Table1215[[#This Row],[Column2]],Table12[[Column2]:[Column54]],18,FALSE),"0")</f>
        <v>0</v>
      </c>
      <c r="T23" s="74">
        <f>IFERROR(VLOOKUP(Table1215[[#This Row],[Column2]],Table12[[Column2]:[Column54]],19,FALSE),"0")</f>
        <v>0</v>
      </c>
      <c r="U23" s="74">
        <f>IFERROR(VLOOKUP(Table1215[[#This Row],[Column2]],Table12[[Column2]:[Column54]],20,FALSE),"0")</f>
        <v>0</v>
      </c>
      <c r="V23" s="74">
        <f>IFERROR(VLOOKUP(Table1215[[#This Row],[Column2]],Table12[[Column2]:[Column54]],21,FALSE),"0")</f>
        <v>0</v>
      </c>
      <c r="W23" s="74">
        <f>IFERROR(VLOOKUP(Table1215[[#This Row],[Column2]],Table12[[Column2]:[Column54]],22,FALSE),"0")</f>
        <v>0</v>
      </c>
      <c r="X23" s="80">
        <f>Table1215[[#This Row],[Column19]]</f>
        <v>0</v>
      </c>
      <c r="Y23" s="74">
        <f>IFERROR(VLOOKUP(Table1215[[#This Row],[Column2]],Table12[[Column2]:[Column54]],24,FALSE),"0")</f>
        <v>4</v>
      </c>
      <c r="Z23" s="74">
        <f>IFERROR(VLOOKUP(Table1215[[#This Row],[Column2]],Table12[[Column2]:[Column54]],25,FALSE),"0")</f>
        <v>0</v>
      </c>
      <c r="AA23" s="74">
        <f>IFERROR(VLOOKUP(Table1215[[#This Row],[Column2]],Table12[[Column2]:[Column54]],26,FALSE),"0")</f>
        <v>0</v>
      </c>
      <c r="AB23" s="74">
        <f>IFERROR(VLOOKUP(Table1215[[#This Row],[Column2]],Table12[[Column2]:[Column54]],27,FALSE),"0")</f>
        <v>0</v>
      </c>
      <c r="AC23" s="74">
        <f>IFERROR(VLOOKUP(Table1215[[#This Row],[Column2]],Table12[[Column2]:[Column54]],28,FALSE),"0")</f>
        <v>0</v>
      </c>
      <c r="AD23" s="80">
        <f>Table1215[[#This Row],[Column25]]</f>
        <v>4</v>
      </c>
      <c r="AE23" s="74">
        <f>IFERROR(VLOOKUP(Table1215[[#This Row],[Column2]],Table12[[Column2]:[Column54]],30,FALSE),"0")</f>
        <v>0</v>
      </c>
      <c r="AF23" s="74">
        <f>IFERROR(VLOOKUP(Table1215[[#This Row],[Column2]],Table12[[Column2]:[Column54]],31,FALSE),"0")</f>
        <v>0</v>
      </c>
      <c r="AG23" s="74">
        <f>IFERROR(VLOOKUP(Table1215[[#This Row],[Column2]],Table12[[Column2]:[Column54]],32,FALSE),"0")</f>
        <v>0</v>
      </c>
      <c r="AH23" s="74">
        <f>IFERROR(VLOOKUP(Table1215[[#This Row],[Column2]],Table12[[Column2]:[Column54]],33,FALSE),"0")</f>
        <v>0</v>
      </c>
      <c r="AI23" s="74">
        <f>IFERROR(VLOOKUP(Table1215[[#This Row],[Column2]],Table12[[Column2]:[Column54]],34,FALSE),"0")</f>
        <v>0</v>
      </c>
      <c r="AJ23" s="80">
        <f>AVERAGE(Table1215[[#This Row],[Column31]],Table1215[[#This Row],[Column32]],Table1215[[#This Row],[Column33]])</f>
        <v>0</v>
      </c>
      <c r="AK23" s="74">
        <f>IFERROR(VLOOKUP(Table1215[[#This Row],[Column2]],Table12[[Column2]:[Column54]],36,FALSE),"0")</f>
        <v>5</v>
      </c>
      <c r="AL23" s="74">
        <f>IFERROR(VLOOKUP(Table1215[[#This Row],[Column2]],Table12[[Column2]:[Column54]],37,FALSE),"0")</f>
        <v>4</v>
      </c>
      <c r="AM23" s="74">
        <f>IFERROR(VLOOKUP(Table1215[[#This Row],[Column2]],Table12[[Column2]:[Column54]],38,FALSE),"0")</f>
        <v>0</v>
      </c>
      <c r="AN23" s="74">
        <f>IFERROR(VLOOKUP(Table1215[[#This Row],[Column2]],Table12[[Column2]:[Column54]],39,FALSE),"0")</f>
        <v>5</v>
      </c>
      <c r="AO23" s="74">
        <f>IFERROR(VLOOKUP(Table1215[[#This Row],[Column2]],Table12[[Column2]:[Column54]],40,FALSE),"0")</f>
        <v>0</v>
      </c>
      <c r="AP23" s="80">
        <f>AVERAGE(Table1215[[#This Row],[Column37]],Table1215[[#This Row],[Column38]],Table1215[[#This Row],[Column40]])</f>
        <v>4.666666666666667</v>
      </c>
      <c r="AQ23" s="74">
        <f>IFERROR(VLOOKUP(Table1215[[#This Row],[Column2]],Table12[[Column2]:[Column54]],42,FALSE),"0")</f>
        <v>4</v>
      </c>
      <c r="AR23" s="74">
        <f>IFERROR(VLOOKUP(Table1215[[#This Row],[Column2]],Table12[[Column2]:[Column54]],43,FALSE),"0")</f>
        <v>0</v>
      </c>
      <c r="AS23" s="74">
        <f>IFERROR(VLOOKUP(Table1215[[#This Row],[Column2]],Table12[[Column2]:[Column54]],44,FALSE),"0")</f>
        <v>0</v>
      </c>
      <c r="AT23" s="74">
        <f>IFERROR(VLOOKUP(Table1215[[#This Row],[Column2]],Table12[[Column2]:[Column54]],45,FALSE),"0")</f>
        <v>0</v>
      </c>
      <c r="AU23" s="74">
        <f>IFERROR(VLOOKUP(Table1215[[#This Row],[Column2]],Table12[[Column2]:[Column54]],46,FALSE),"0")</f>
        <v>0</v>
      </c>
      <c r="AV23" s="80">
        <f>Table1215[[#This Row],[Column43]]</f>
        <v>4</v>
      </c>
      <c r="AW23" s="74">
        <f>IFERROR(VLOOKUP(Table1215[[#This Row],[Column2]],Table12[[Column2]:[Column54]],48,FALSE),"0")</f>
        <v>0</v>
      </c>
      <c r="AX23" s="74">
        <f>IFERROR(VLOOKUP(Table1215[[#This Row],[Column2]],Table12[[Column2]:[Column54]],49,FALSE),"0")</f>
        <v>0</v>
      </c>
      <c r="AY23" s="74">
        <f>IFERROR(VLOOKUP(Table1215[[#This Row],[Column2]],Table12[[Column2]:[Column54]],50,FALSE),"0")</f>
        <v>0</v>
      </c>
      <c r="AZ23" s="74">
        <f>IFERROR(VLOOKUP(Table1215[[#This Row],[Column2]],Table12[[Column2]:[Column54]],51,FALSE),"0")</f>
        <v>4</v>
      </c>
      <c r="BA23" s="74">
        <f>IFERROR(VLOOKUP(Table1215[[#This Row],[Column2]],Table12[[Column2]:[Column54]],52,FALSE),"0")</f>
        <v>4</v>
      </c>
      <c r="BB23" s="80">
        <f>AVERAGE(Table1215[[#This Row],[Column52]],Table1215[[#This Row],[Column53]])</f>
        <v>4</v>
      </c>
    </row>
    <row r="24" spans="1:54" ht="23.1" customHeight="1" x14ac:dyDescent="0.3">
      <c r="A24" s="99">
        <v>21</v>
      </c>
      <c r="B24" s="76" t="s">
        <v>209</v>
      </c>
      <c r="C24" s="77" t="s">
        <v>210</v>
      </c>
      <c r="D24" s="76" t="s">
        <v>450</v>
      </c>
      <c r="E24" s="76" t="s">
        <v>161</v>
      </c>
      <c r="F24" s="76" t="str">
        <f>REPT(CHAR(160),10)&amp;Working!$E25</f>
        <v>          B</v>
      </c>
      <c r="G24" s="78">
        <f>IFERROR(VLOOKUP(Table1215[[#This Row],[Column2]],Table12[[Column2]:[Column54]],6,FALSE),"0")</f>
        <v>0</v>
      </c>
      <c r="H24" s="78">
        <f>IFERROR(VLOOKUP(Table1215[[#This Row],[Column2]],Table12[[Column2]:[Column54]],7,FALSE),"0")</f>
        <v>0</v>
      </c>
      <c r="I24" s="78">
        <f>IFERROR(VLOOKUP(Table1215[[#This Row],[Column2]],Table12[[Column2]:[Column54]],8,FALSE),"0")</f>
        <v>4</v>
      </c>
      <c r="J24" s="78">
        <f>IFERROR(VLOOKUP(Table1215[[#This Row],[Column2]],Table12[[Column2]:[Column54]],9,FALSE),"0")</f>
        <v>0</v>
      </c>
      <c r="K24" s="78">
        <f>IFERROR(VLOOKUP(Table1215[[#This Row],[Column2]],Table12[[Column2]:[Column54]],10,FALSE),"0")</f>
        <v>0</v>
      </c>
      <c r="L24" s="80">
        <f>Table1215[[#This Row],[Column9]]</f>
        <v>4</v>
      </c>
      <c r="M24" s="78">
        <f>IFERROR(VLOOKUP(Table1215[[#This Row],[Column2]],Table12[[Column2]:[Column54]],12,FALSE),"0")</f>
        <v>0</v>
      </c>
      <c r="N24" s="78">
        <f>IFERROR(VLOOKUP(Table1215[[#This Row],[Column2]],Table12[[Column2]:[Column54]],13,FALSE),"0")</f>
        <v>4</v>
      </c>
      <c r="O24" s="78">
        <f>IFERROR(VLOOKUP(Table1215[[#This Row],[Column2]],Table12[[Column2]:[Column54]],14,FALSE),"0")</f>
        <v>4</v>
      </c>
      <c r="P24" s="78">
        <f>IFERROR(VLOOKUP(Table1215[[#This Row],[Column2]],Table12[[Column2]:[Column54]],10,FALSE),"0")</f>
        <v>0</v>
      </c>
      <c r="Q24" s="78">
        <f>IFERROR(VLOOKUP(Table1215[[#This Row],[Column2]],Table12[[Column2]:[Column54]],16,FALSE),"0")</f>
        <v>4</v>
      </c>
      <c r="R24" s="80">
        <f>AVERAGE(Table1215[[#This Row],[Column14]],Table1215[[#This Row],[Column15]],Table1215[[#This Row],[Column17]])</f>
        <v>4</v>
      </c>
      <c r="S24" s="78">
        <f>IFERROR(VLOOKUP(Table1215[[#This Row],[Column2]],Table12[[Column2]:[Column54]],18,FALSE),"0")</f>
        <v>0</v>
      </c>
      <c r="T24" s="78">
        <f>IFERROR(VLOOKUP(Table1215[[#This Row],[Column2]],Table12[[Column2]:[Column54]],19,FALSE),"0")</f>
        <v>0</v>
      </c>
      <c r="U24" s="78">
        <f>IFERROR(VLOOKUP(Table1215[[#This Row],[Column2]],Table12[[Column2]:[Column54]],20,FALSE),"0")</f>
        <v>0</v>
      </c>
      <c r="V24" s="78">
        <f>IFERROR(VLOOKUP(Table1215[[#This Row],[Column2]],Table12[[Column2]:[Column54]],21,FALSE),"0")</f>
        <v>0</v>
      </c>
      <c r="W24" s="78">
        <f>IFERROR(VLOOKUP(Table1215[[#This Row],[Column2]],Table12[[Column2]:[Column54]],22,FALSE),"0")</f>
        <v>0</v>
      </c>
      <c r="X24" s="80">
        <f>Table1215[[#This Row],[Column19]]</f>
        <v>0</v>
      </c>
      <c r="Y24" s="78">
        <f>IFERROR(VLOOKUP(Table1215[[#This Row],[Column2]],Table12[[Column2]:[Column54]],24,FALSE),"0")</f>
        <v>4</v>
      </c>
      <c r="Z24" s="78">
        <f>IFERROR(VLOOKUP(Table1215[[#This Row],[Column2]],Table12[[Column2]:[Column54]],25,FALSE),"0")</f>
        <v>0</v>
      </c>
      <c r="AA24" s="78">
        <f>IFERROR(VLOOKUP(Table1215[[#This Row],[Column2]],Table12[[Column2]:[Column54]],26,FALSE),"0")</f>
        <v>0</v>
      </c>
      <c r="AB24" s="78">
        <f>IFERROR(VLOOKUP(Table1215[[#This Row],[Column2]],Table12[[Column2]:[Column54]],27,FALSE),"0")</f>
        <v>0</v>
      </c>
      <c r="AC24" s="78">
        <f>IFERROR(VLOOKUP(Table1215[[#This Row],[Column2]],Table12[[Column2]:[Column54]],28,FALSE),"0")</f>
        <v>0</v>
      </c>
      <c r="AD24" s="80">
        <f>Table1215[[#This Row],[Column25]]</f>
        <v>4</v>
      </c>
      <c r="AE24" s="78">
        <f>IFERROR(VLOOKUP(Table1215[[#This Row],[Column2]],Table12[[Column2]:[Column54]],30,FALSE),"0")</f>
        <v>0</v>
      </c>
      <c r="AF24" s="78">
        <f>IFERROR(VLOOKUP(Table1215[[#This Row],[Column2]],Table12[[Column2]:[Column54]],31,FALSE),"0")</f>
        <v>0</v>
      </c>
      <c r="AG24" s="78">
        <f>IFERROR(VLOOKUP(Table1215[[#This Row],[Column2]],Table12[[Column2]:[Column54]],32,FALSE),"0")</f>
        <v>0</v>
      </c>
      <c r="AH24" s="78">
        <f>IFERROR(VLOOKUP(Table1215[[#This Row],[Column2]],Table12[[Column2]:[Column54]],33,FALSE),"0")</f>
        <v>0</v>
      </c>
      <c r="AI24" s="78">
        <f>IFERROR(VLOOKUP(Table1215[[#This Row],[Column2]],Table12[[Column2]:[Column54]],34,FALSE),"0")</f>
        <v>0</v>
      </c>
      <c r="AJ24" s="80">
        <f>AVERAGE(Table1215[[#This Row],[Column31]],Table1215[[#This Row],[Column32]],Table1215[[#This Row],[Column33]])</f>
        <v>0</v>
      </c>
      <c r="AK24" s="78">
        <f>IFERROR(VLOOKUP(Table1215[[#This Row],[Column2]],Table12[[Column2]:[Column54]],36,FALSE),"0")</f>
        <v>4</v>
      </c>
      <c r="AL24" s="78">
        <f>IFERROR(VLOOKUP(Table1215[[#This Row],[Column2]],Table12[[Column2]:[Column54]],37,FALSE),"0")</f>
        <v>5</v>
      </c>
      <c r="AM24" s="78">
        <f>IFERROR(VLOOKUP(Table1215[[#This Row],[Column2]],Table12[[Column2]:[Column54]],38,FALSE),"0")</f>
        <v>0</v>
      </c>
      <c r="AN24" s="78">
        <f>IFERROR(VLOOKUP(Table1215[[#This Row],[Column2]],Table12[[Column2]:[Column54]],39,FALSE),"0")</f>
        <v>5</v>
      </c>
      <c r="AO24" s="78">
        <f>IFERROR(VLOOKUP(Table1215[[#This Row],[Column2]],Table12[[Column2]:[Column54]],40,FALSE),"0")</f>
        <v>0</v>
      </c>
      <c r="AP24" s="80">
        <f>AVERAGE(Table1215[[#This Row],[Column37]],Table1215[[#This Row],[Column38]],Table1215[[#This Row],[Column40]])</f>
        <v>4.666666666666667</v>
      </c>
      <c r="AQ24" s="78">
        <f>IFERROR(VLOOKUP(Table1215[[#This Row],[Column2]],Table12[[Column2]:[Column54]],42,FALSE),"0")</f>
        <v>4</v>
      </c>
      <c r="AR24" s="78">
        <f>IFERROR(VLOOKUP(Table1215[[#This Row],[Column2]],Table12[[Column2]:[Column54]],43,FALSE),"0")</f>
        <v>0</v>
      </c>
      <c r="AS24" s="78">
        <f>IFERROR(VLOOKUP(Table1215[[#This Row],[Column2]],Table12[[Column2]:[Column54]],44,FALSE),"0")</f>
        <v>0</v>
      </c>
      <c r="AT24" s="78">
        <f>IFERROR(VLOOKUP(Table1215[[#This Row],[Column2]],Table12[[Column2]:[Column54]],45,FALSE),"0")</f>
        <v>0</v>
      </c>
      <c r="AU24" s="78">
        <f>IFERROR(VLOOKUP(Table1215[[#This Row],[Column2]],Table12[[Column2]:[Column54]],46,FALSE),"0")</f>
        <v>0</v>
      </c>
      <c r="AV24" s="80">
        <f>Table1215[[#This Row],[Column43]]</f>
        <v>4</v>
      </c>
      <c r="AW24" s="78">
        <f>IFERROR(VLOOKUP(Table1215[[#This Row],[Column2]],Table12[[Column2]:[Column54]],48,FALSE),"0")</f>
        <v>0</v>
      </c>
      <c r="AX24" s="78">
        <f>IFERROR(VLOOKUP(Table1215[[#This Row],[Column2]],Table12[[Column2]:[Column54]],49,FALSE),"0")</f>
        <v>0</v>
      </c>
      <c r="AY24" s="78">
        <f>IFERROR(VLOOKUP(Table1215[[#This Row],[Column2]],Table12[[Column2]:[Column54]],50,FALSE),"0")</f>
        <v>0</v>
      </c>
      <c r="AZ24" s="78">
        <f>IFERROR(VLOOKUP(Table1215[[#This Row],[Column2]],Table12[[Column2]:[Column54]],51,FALSE),"0")</f>
        <v>4</v>
      </c>
      <c r="BA24" s="78">
        <f>IFERROR(VLOOKUP(Table1215[[#This Row],[Column2]],Table12[[Column2]:[Column54]],52,FALSE),"0")</f>
        <v>4</v>
      </c>
      <c r="BB24" s="80">
        <f>AVERAGE(Table1215[[#This Row],[Column52]],Table1215[[#This Row],[Column53]])</f>
        <v>4</v>
      </c>
    </row>
    <row r="25" spans="1:54" ht="23.1" customHeight="1" x14ac:dyDescent="0.3">
      <c r="A25" s="100">
        <v>22</v>
      </c>
      <c r="B25" s="83" t="s">
        <v>58</v>
      </c>
      <c r="C25" s="84" t="s">
        <v>59</v>
      </c>
      <c r="D25" s="83" t="s">
        <v>450</v>
      </c>
      <c r="E25" s="83" t="s">
        <v>35</v>
      </c>
      <c r="F25" s="83" t="str">
        <f>REPT(CHAR(160),10)&amp;Working!$E26</f>
        <v>          A</v>
      </c>
      <c r="G25" s="74">
        <f>IFERROR(VLOOKUP(Table1215[[#This Row],[Column2]],Table12[[Column2]:[Column54]],6,FALSE),"0")</f>
        <v>0</v>
      </c>
      <c r="H25" s="74">
        <f>IFERROR(VLOOKUP(Table1215[[#This Row],[Column2]],Table12[[Column2]:[Column54]],7,FALSE),"0")</f>
        <v>0</v>
      </c>
      <c r="I25" s="74">
        <f>IFERROR(VLOOKUP(Table1215[[#This Row],[Column2]],Table12[[Column2]:[Column54]],8,FALSE),"0")</f>
        <v>5</v>
      </c>
      <c r="J25" s="74">
        <f>IFERROR(VLOOKUP(Table1215[[#This Row],[Column2]],Table12[[Column2]:[Column54]],9,FALSE),"0")</f>
        <v>0</v>
      </c>
      <c r="K25" s="74">
        <f>IFERROR(VLOOKUP(Table1215[[#This Row],[Column2]],Table12[[Column2]:[Column54]],10,FALSE),"0")</f>
        <v>0</v>
      </c>
      <c r="L25" s="80">
        <f>Table1215[[#This Row],[Column9]]</f>
        <v>5</v>
      </c>
      <c r="M25" s="74">
        <f>IFERROR(VLOOKUP(Table1215[[#This Row],[Column2]],Table12[[Column2]:[Column54]],12,FALSE),"0")</f>
        <v>0</v>
      </c>
      <c r="N25" s="74">
        <f>IFERROR(VLOOKUP(Table1215[[#This Row],[Column2]],Table12[[Column2]:[Column54]],13,FALSE),"0")</f>
        <v>4</v>
      </c>
      <c r="O25" s="74">
        <f>IFERROR(VLOOKUP(Table1215[[#This Row],[Column2]],Table12[[Column2]:[Column54]],14,FALSE),"0")</f>
        <v>4</v>
      </c>
      <c r="P25" s="74">
        <f>IFERROR(VLOOKUP(Table1215[[#This Row],[Column2]],Table12[[Column2]:[Column54]],10,FALSE),"0")</f>
        <v>0</v>
      </c>
      <c r="Q25" s="74">
        <f>IFERROR(VLOOKUP(Table1215[[#This Row],[Column2]],Table12[[Column2]:[Column54]],16,FALSE),"0")</f>
        <v>4</v>
      </c>
      <c r="R25" s="80">
        <f>AVERAGE(Table1215[[#This Row],[Column14]],Table1215[[#This Row],[Column15]],Table1215[[#This Row],[Column17]])</f>
        <v>4</v>
      </c>
      <c r="S25" s="74">
        <f>IFERROR(VLOOKUP(Table1215[[#This Row],[Column2]],Table12[[Column2]:[Column54]],18,FALSE),"0")</f>
        <v>0</v>
      </c>
      <c r="T25" s="74">
        <f>IFERROR(VLOOKUP(Table1215[[#This Row],[Column2]],Table12[[Column2]:[Column54]],19,FALSE),"0")</f>
        <v>0</v>
      </c>
      <c r="U25" s="74">
        <f>IFERROR(VLOOKUP(Table1215[[#This Row],[Column2]],Table12[[Column2]:[Column54]],20,FALSE),"0")</f>
        <v>0</v>
      </c>
      <c r="V25" s="74">
        <f>IFERROR(VLOOKUP(Table1215[[#This Row],[Column2]],Table12[[Column2]:[Column54]],21,FALSE),"0")</f>
        <v>0</v>
      </c>
      <c r="W25" s="74">
        <f>IFERROR(VLOOKUP(Table1215[[#This Row],[Column2]],Table12[[Column2]:[Column54]],22,FALSE),"0")</f>
        <v>0</v>
      </c>
      <c r="X25" s="80">
        <f>Table1215[[#This Row],[Column19]]</f>
        <v>0</v>
      </c>
      <c r="Y25" s="74">
        <f>IFERROR(VLOOKUP(Table1215[[#This Row],[Column2]],Table12[[Column2]:[Column54]],24,FALSE),"0")</f>
        <v>4</v>
      </c>
      <c r="Z25" s="74">
        <f>IFERROR(VLOOKUP(Table1215[[#This Row],[Column2]],Table12[[Column2]:[Column54]],25,FALSE),"0")</f>
        <v>0</v>
      </c>
      <c r="AA25" s="74">
        <f>IFERROR(VLOOKUP(Table1215[[#This Row],[Column2]],Table12[[Column2]:[Column54]],26,FALSE),"0")</f>
        <v>0</v>
      </c>
      <c r="AB25" s="74">
        <f>IFERROR(VLOOKUP(Table1215[[#This Row],[Column2]],Table12[[Column2]:[Column54]],27,FALSE),"0")</f>
        <v>0</v>
      </c>
      <c r="AC25" s="74">
        <f>IFERROR(VLOOKUP(Table1215[[#This Row],[Column2]],Table12[[Column2]:[Column54]],28,FALSE),"0")</f>
        <v>0</v>
      </c>
      <c r="AD25" s="80">
        <f>Table1215[[#This Row],[Column25]]</f>
        <v>4</v>
      </c>
      <c r="AE25" s="74">
        <f>IFERROR(VLOOKUP(Table1215[[#This Row],[Column2]],Table12[[Column2]:[Column54]],30,FALSE),"0")</f>
        <v>0</v>
      </c>
      <c r="AF25" s="74">
        <f>IFERROR(VLOOKUP(Table1215[[#This Row],[Column2]],Table12[[Column2]:[Column54]],31,FALSE),"0")</f>
        <v>0</v>
      </c>
      <c r="AG25" s="74">
        <f>IFERROR(VLOOKUP(Table1215[[#This Row],[Column2]],Table12[[Column2]:[Column54]],32,FALSE),"0")</f>
        <v>0</v>
      </c>
      <c r="AH25" s="74">
        <f>IFERROR(VLOOKUP(Table1215[[#This Row],[Column2]],Table12[[Column2]:[Column54]],33,FALSE),"0")</f>
        <v>0</v>
      </c>
      <c r="AI25" s="74">
        <f>IFERROR(VLOOKUP(Table1215[[#This Row],[Column2]],Table12[[Column2]:[Column54]],34,FALSE),"0")</f>
        <v>0</v>
      </c>
      <c r="AJ25" s="80">
        <f>AVERAGE(Table1215[[#This Row],[Column31]],Table1215[[#This Row],[Column32]],Table1215[[#This Row],[Column33]])</f>
        <v>0</v>
      </c>
      <c r="AK25" s="74">
        <f>IFERROR(VLOOKUP(Table1215[[#This Row],[Column2]],Table12[[Column2]:[Column54]],36,FALSE),"0")</f>
        <v>4</v>
      </c>
      <c r="AL25" s="74">
        <f>IFERROR(VLOOKUP(Table1215[[#This Row],[Column2]],Table12[[Column2]:[Column54]],37,FALSE),"0")</f>
        <v>4</v>
      </c>
      <c r="AM25" s="74">
        <f>IFERROR(VLOOKUP(Table1215[[#This Row],[Column2]],Table12[[Column2]:[Column54]],38,FALSE),"0")</f>
        <v>0</v>
      </c>
      <c r="AN25" s="74">
        <f>IFERROR(VLOOKUP(Table1215[[#This Row],[Column2]],Table12[[Column2]:[Column54]],39,FALSE),"0")</f>
        <v>4</v>
      </c>
      <c r="AO25" s="74">
        <f>IFERROR(VLOOKUP(Table1215[[#This Row],[Column2]],Table12[[Column2]:[Column54]],40,FALSE),"0")</f>
        <v>0</v>
      </c>
      <c r="AP25" s="80">
        <f>AVERAGE(Table1215[[#This Row],[Column37]],Table1215[[#This Row],[Column38]],Table1215[[#This Row],[Column40]])</f>
        <v>4</v>
      </c>
      <c r="AQ25" s="74">
        <f>IFERROR(VLOOKUP(Table1215[[#This Row],[Column2]],Table12[[Column2]:[Column54]],42,FALSE),"0")</f>
        <v>5</v>
      </c>
      <c r="AR25" s="74">
        <f>IFERROR(VLOOKUP(Table1215[[#This Row],[Column2]],Table12[[Column2]:[Column54]],43,FALSE),"0")</f>
        <v>0</v>
      </c>
      <c r="AS25" s="74">
        <f>IFERROR(VLOOKUP(Table1215[[#This Row],[Column2]],Table12[[Column2]:[Column54]],44,FALSE),"0")</f>
        <v>0</v>
      </c>
      <c r="AT25" s="74">
        <f>IFERROR(VLOOKUP(Table1215[[#This Row],[Column2]],Table12[[Column2]:[Column54]],45,FALSE),"0")</f>
        <v>0</v>
      </c>
      <c r="AU25" s="74">
        <f>IFERROR(VLOOKUP(Table1215[[#This Row],[Column2]],Table12[[Column2]:[Column54]],46,FALSE),"0")</f>
        <v>0</v>
      </c>
      <c r="AV25" s="80">
        <f>Table1215[[#This Row],[Column43]]</f>
        <v>5</v>
      </c>
      <c r="AW25" s="74">
        <f>IFERROR(VLOOKUP(Table1215[[#This Row],[Column2]],Table12[[Column2]:[Column54]],48,FALSE),"0")</f>
        <v>0</v>
      </c>
      <c r="AX25" s="74">
        <f>IFERROR(VLOOKUP(Table1215[[#This Row],[Column2]],Table12[[Column2]:[Column54]],49,FALSE),"0")</f>
        <v>0</v>
      </c>
      <c r="AY25" s="74">
        <f>IFERROR(VLOOKUP(Table1215[[#This Row],[Column2]],Table12[[Column2]:[Column54]],50,FALSE),"0")</f>
        <v>0</v>
      </c>
      <c r="AZ25" s="74">
        <f>IFERROR(VLOOKUP(Table1215[[#This Row],[Column2]],Table12[[Column2]:[Column54]],51,FALSE),"0")</f>
        <v>4</v>
      </c>
      <c r="BA25" s="74">
        <f>IFERROR(VLOOKUP(Table1215[[#This Row],[Column2]],Table12[[Column2]:[Column54]],52,FALSE),"0")</f>
        <v>4</v>
      </c>
      <c r="BB25" s="80">
        <f>AVERAGE(Table1215[[#This Row],[Column52]],Table1215[[#This Row],[Column53]])</f>
        <v>4</v>
      </c>
    </row>
    <row r="26" spans="1:54" ht="23.1" customHeight="1" x14ac:dyDescent="0.3">
      <c r="A26" s="99">
        <v>23</v>
      </c>
      <c r="B26" s="76" t="s">
        <v>225</v>
      </c>
      <c r="C26" s="77" t="s">
        <v>226</v>
      </c>
      <c r="D26" s="76" t="s">
        <v>450</v>
      </c>
      <c r="E26" s="76" t="s">
        <v>161</v>
      </c>
      <c r="F26" s="76" t="str">
        <f>REPT(CHAR(160),10)&amp;Working!$E27</f>
        <v>          B</v>
      </c>
      <c r="G26" s="78">
        <f>IFERROR(VLOOKUP(Table1215[[#This Row],[Column2]],Table12[[Column2]:[Column54]],6,FALSE),"0")</f>
        <v>0</v>
      </c>
      <c r="H26" s="78">
        <f>IFERROR(VLOOKUP(Table1215[[#This Row],[Column2]],Table12[[Column2]:[Column54]],7,FALSE),"0")</f>
        <v>0</v>
      </c>
      <c r="I26" s="78">
        <f>IFERROR(VLOOKUP(Table1215[[#This Row],[Column2]],Table12[[Column2]:[Column54]],8,FALSE),"0")</f>
        <v>3</v>
      </c>
      <c r="J26" s="78">
        <f>IFERROR(VLOOKUP(Table1215[[#This Row],[Column2]],Table12[[Column2]:[Column54]],9,FALSE),"0")</f>
        <v>0</v>
      </c>
      <c r="K26" s="78">
        <f>IFERROR(VLOOKUP(Table1215[[#This Row],[Column2]],Table12[[Column2]:[Column54]],10,FALSE),"0")</f>
        <v>0</v>
      </c>
      <c r="L26" s="80">
        <f>Table1215[[#This Row],[Column9]]</f>
        <v>3</v>
      </c>
      <c r="M26" s="78">
        <f>IFERROR(VLOOKUP(Table1215[[#This Row],[Column2]],Table12[[Column2]:[Column54]],12,FALSE),"0")</f>
        <v>0</v>
      </c>
      <c r="N26" s="78">
        <f>IFERROR(VLOOKUP(Table1215[[#This Row],[Column2]],Table12[[Column2]:[Column54]],13,FALSE),"0")</f>
        <v>3</v>
      </c>
      <c r="O26" s="78">
        <f>IFERROR(VLOOKUP(Table1215[[#This Row],[Column2]],Table12[[Column2]:[Column54]],14,FALSE),"0")</f>
        <v>3</v>
      </c>
      <c r="P26" s="78">
        <f>IFERROR(VLOOKUP(Table1215[[#This Row],[Column2]],Table12[[Column2]:[Column54]],10,FALSE),"0")</f>
        <v>0</v>
      </c>
      <c r="Q26" s="78">
        <f>IFERROR(VLOOKUP(Table1215[[#This Row],[Column2]],Table12[[Column2]:[Column54]],16,FALSE),"0")</f>
        <v>3</v>
      </c>
      <c r="R26" s="80">
        <f>AVERAGE(Table1215[[#This Row],[Column14]],Table1215[[#This Row],[Column15]],Table1215[[#This Row],[Column17]])</f>
        <v>3</v>
      </c>
      <c r="S26" s="78">
        <f>IFERROR(VLOOKUP(Table1215[[#This Row],[Column2]],Table12[[Column2]:[Column54]],18,FALSE),"0")</f>
        <v>0</v>
      </c>
      <c r="T26" s="78">
        <f>IFERROR(VLOOKUP(Table1215[[#This Row],[Column2]],Table12[[Column2]:[Column54]],19,FALSE),"0")</f>
        <v>0</v>
      </c>
      <c r="U26" s="78">
        <f>IFERROR(VLOOKUP(Table1215[[#This Row],[Column2]],Table12[[Column2]:[Column54]],20,FALSE),"0")</f>
        <v>0</v>
      </c>
      <c r="V26" s="78">
        <f>IFERROR(VLOOKUP(Table1215[[#This Row],[Column2]],Table12[[Column2]:[Column54]],21,FALSE),"0")</f>
        <v>0</v>
      </c>
      <c r="W26" s="78">
        <f>IFERROR(VLOOKUP(Table1215[[#This Row],[Column2]],Table12[[Column2]:[Column54]],22,FALSE),"0")</f>
        <v>0</v>
      </c>
      <c r="X26" s="80">
        <f>Table1215[[#This Row],[Column19]]</f>
        <v>0</v>
      </c>
      <c r="Y26" s="78">
        <f>IFERROR(VLOOKUP(Table1215[[#This Row],[Column2]],Table12[[Column2]:[Column54]],24,FALSE),"0")</f>
        <v>3</v>
      </c>
      <c r="Z26" s="78">
        <f>IFERROR(VLOOKUP(Table1215[[#This Row],[Column2]],Table12[[Column2]:[Column54]],25,FALSE),"0")</f>
        <v>0</v>
      </c>
      <c r="AA26" s="78">
        <f>IFERROR(VLOOKUP(Table1215[[#This Row],[Column2]],Table12[[Column2]:[Column54]],26,FALSE),"0")</f>
        <v>0</v>
      </c>
      <c r="AB26" s="78">
        <f>IFERROR(VLOOKUP(Table1215[[#This Row],[Column2]],Table12[[Column2]:[Column54]],27,FALSE),"0")</f>
        <v>0</v>
      </c>
      <c r="AC26" s="78">
        <f>IFERROR(VLOOKUP(Table1215[[#This Row],[Column2]],Table12[[Column2]:[Column54]],28,FALSE),"0")</f>
        <v>0</v>
      </c>
      <c r="AD26" s="80">
        <f>Table1215[[#This Row],[Column25]]</f>
        <v>3</v>
      </c>
      <c r="AE26" s="78">
        <f>IFERROR(VLOOKUP(Table1215[[#This Row],[Column2]],Table12[[Column2]:[Column54]],30,FALSE),"0")</f>
        <v>0</v>
      </c>
      <c r="AF26" s="78">
        <f>IFERROR(VLOOKUP(Table1215[[#This Row],[Column2]],Table12[[Column2]:[Column54]],31,FALSE),"0")</f>
        <v>0</v>
      </c>
      <c r="AG26" s="78">
        <f>IFERROR(VLOOKUP(Table1215[[#This Row],[Column2]],Table12[[Column2]:[Column54]],32,FALSE),"0")</f>
        <v>0</v>
      </c>
      <c r="AH26" s="78">
        <f>IFERROR(VLOOKUP(Table1215[[#This Row],[Column2]],Table12[[Column2]:[Column54]],33,FALSE),"0")</f>
        <v>0</v>
      </c>
      <c r="AI26" s="78">
        <f>IFERROR(VLOOKUP(Table1215[[#This Row],[Column2]],Table12[[Column2]:[Column54]],34,FALSE),"0")</f>
        <v>0</v>
      </c>
      <c r="AJ26" s="80">
        <f>AVERAGE(Table1215[[#This Row],[Column31]],Table1215[[#This Row],[Column32]],Table1215[[#This Row],[Column33]])</f>
        <v>0</v>
      </c>
      <c r="AK26" s="78">
        <f>IFERROR(VLOOKUP(Table1215[[#This Row],[Column2]],Table12[[Column2]:[Column54]],36,FALSE),"0")</f>
        <v>3</v>
      </c>
      <c r="AL26" s="78">
        <f>IFERROR(VLOOKUP(Table1215[[#This Row],[Column2]],Table12[[Column2]:[Column54]],37,FALSE),"0")</f>
        <v>3</v>
      </c>
      <c r="AM26" s="78">
        <f>IFERROR(VLOOKUP(Table1215[[#This Row],[Column2]],Table12[[Column2]:[Column54]],38,FALSE),"0")</f>
        <v>0</v>
      </c>
      <c r="AN26" s="78">
        <f>IFERROR(VLOOKUP(Table1215[[#This Row],[Column2]],Table12[[Column2]:[Column54]],39,FALSE),"0")</f>
        <v>3</v>
      </c>
      <c r="AO26" s="78">
        <f>IFERROR(VLOOKUP(Table1215[[#This Row],[Column2]],Table12[[Column2]:[Column54]],40,FALSE),"0")</f>
        <v>0</v>
      </c>
      <c r="AP26" s="80">
        <f>AVERAGE(Table1215[[#This Row],[Column37]],Table1215[[#This Row],[Column38]],Table1215[[#This Row],[Column40]])</f>
        <v>3</v>
      </c>
      <c r="AQ26" s="78">
        <f>IFERROR(VLOOKUP(Table1215[[#This Row],[Column2]],Table12[[Column2]:[Column54]],42,FALSE),"0")</f>
        <v>3</v>
      </c>
      <c r="AR26" s="78">
        <f>IFERROR(VLOOKUP(Table1215[[#This Row],[Column2]],Table12[[Column2]:[Column54]],43,FALSE),"0")</f>
        <v>0</v>
      </c>
      <c r="AS26" s="78">
        <f>IFERROR(VLOOKUP(Table1215[[#This Row],[Column2]],Table12[[Column2]:[Column54]],44,FALSE),"0")</f>
        <v>0</v>
      </c>
      <c r="AT26" s="78">
        <f>IFERROR(VLOOKUP(Table1215[[#This Row],[Column2]],Table12[[Column2]:[Column54]],45,FALSE),"0")</f>
        <v>0</v>
      </c>
      <c r="AU26" s="78">
        <f>IFERROR(VLOOKUP(Table1215[[#This Row],[Column2]],Table12[[Column2]:[Column54]],46,FALSE),"0")</f>
        <v>0</v>
      </c>
      <c r="AV26" s="80">
        <f>Table1215[[#This Row],[Column43]]</f>
        <v>3</v>
      </c>
      <c r="AW26" s="78">
        <f>IFERROR(VLOOKUP(Table1215[[#This Row],[Column2]],Table12[[Column2]:[Column54]],48,FALSE),"0")</f>
        <v>0</v>
      </c>
      <c r="AX26" s="78">
        <f>IFERROR(VLOOKUP(Table1215[[#This Row],[Column2]],Table12[[Column2]:[Column54]],49,FALSE),"0")</f>
        <v>0</v>
      </c>
      <c r="AY26" s="78">
        <f>IFERROR(VLOOKUP(Table1215[[#This Row],[Column2]],Table12[[Column2]:[Column54]],50,FALSE),"0")</f>
        <v>0</v>
      </c>
      <c r="AZ26" s="78">
        <f>IFERROR(VLOOKUP(Table1215[[#This Row],[Column2]],Table12[[Column2]:[Column54]],51,FALSE),"0")</f>
        <v>3</v>
      </c>
      <c r="BA26" s="78">
        <f>IFERROR(VLOOKUP(Table1215[[#This Row],[Column2]],Table12[[Column2]:[Column54]],52,FALSE),"0")</f>
        <v>3</v>
      </c>
      <c r="BB26" s="80">
        <f>AVERAGE(Table1215[[#This Row],[Column52]],Table1215[[#This Row],[Column53]])</f>
        <v>3</v>
      </c>
    </row>
    <row r="27" spans="1:54" ht="23.1" customHeight="1" x14ac:dyDescent="0.3">
      <c r="A27" s="100">
        <v>24</v>
      </c>
      <c r="B27" s="83" t="s">
        <v>297</v>
      </c>
      <c r="C27" s="84" t="s">
        <v>109</v>
      </c>
      <c r="D27" s="83" t="s">
        <v>450</v>
      </c>
      <c r="E27" s="83" t="s">
        <v>35</v>
      </c>
      <c r="F27" s="83" t="str">
        <f>REPT(CHAR(160),10)&amp;Working!$E28</f>
        <v>          A</v>
      </c>
      <c r="G27" s="74">
        <f>IFERROR(VLOOKUP(Table1215[[#This Row],[Column2]],Table12[[Column2]:[Column54]],6,FALSE),"0")</f>
        <v>0</v>
      </c>
      <c r="H27" s="74">
        <f>IFERROR(VLOOKUP(Table1215[[#This Row],[Column2]],Table12[[Column2]:[Column54]],7,FALSE),"0")</f>
        <v>0</v>
      </c>
      <c r="I27" s="74">
        <f>IFERROR(VLOOKUP(Table1215[[#This Row],[Column2]],Table12[[Column2]:[Column54]],8,FALSE),"0")</f>
        <v>4</v>
      </c>
      <c r="J27" s="74">
        <f>IFERROR(VLOOKUP(Table1215[[#This Row],[Column2]],Table12[[Column2]:[Column54]],9,FALSE),"0")</f>
        <v>0</v>
      </c>
      <c r="K27" s="74">
        <f>IFERROR(VLOOKUP(Table1215[[#This Row],[Column2]],Table12[[Column2]:[Column54]],10,FALSE),"0")</f>
        <v>0</v>
      </c>
      <c r="L27" s="80">
        <f>Table1215[[#This Row],[Column9]]</f>
        <v>4</v>
      </c>
      <c r="M27" s="74">
        <f>IFERROR(VLOOKUP(Table1215[[#This Row],[Column2]],Table12[[Column2]:[Column54]],12,FALSE),"0")</f>
        <v>0</v>
      </c>
      <c r="N27" s="74">
        <f>IFERROR(VLOOKUP(Table1215[[#This Row],[Column2]],Table12[[Column2]:[Column54]],13,FALSE),"0")</f>
        <v>4</v>
      </c>
      <c r="O27" s="74">
        <f>IFERROR(VLOOKUP(Table1215[[#This Row],[Column2]],Table12[[Column2]:[Column54]],14,FALSE),"0")</f>
        <v>4</v>
      </c>
      <c r="P27" s="74">
        <f>IFERROR(VLOOKUP(Table1215[[#This Row],[Column2]],Table12[[Column2]:[Column54]],10,FALSE),"0")</f>
        <v>0</v>
      </c>
      <c r="Q27" s="74">
        <f>IFERROR(VLOOKUP(Table1215[[#This Row],[Column2]],Table12[[Column2]:[Column54]],16,FALSE),"0")</f>
        <v>4</v>
      </c>
      <c r="R27" s="80">
        <f>AVERAGE(Table1215[[#This Row],[Column14]],Table1215[[#This Row],[Column15]],Table1215[[#This Row],[Column17]])</f>
        <v>4</v>
      </c>
      <c r="S27" s="74">
        <f>IFERROR(VLOOKUP(Table1215[[#This Row],[Column2]],Table12[[Column2]:[Column54]],18,FALSE),"0")</f>
        <v>0</v>
      </c>
      <c r="T27" s="74">
        <f>IFERROR(VLOOKUP(Table1215[[#This Row],[Column2]],Table12[[Column2]:[Column54]],19,FALSE),"0")</f>
        <v>0</v>
      </c>
      <c r="U27" s="74">
        <f>IFERROR(VLOOKUP(Table1215[[#This Row],[Column2]],Table12[[Column2]:[Column54]],20,FALSE),"0")</f>
        <v>0</v>
      </c>
      <c r="V27" s="74">
        <f>IFERROR(VLOOKUP(Table1215[[#This Row],[Column2]],Table12[[Column2]:[Column54]],21,FALSE),"0")</f>
        <v>0</v>
      </c>
      <c r="W27" s="74">
        <f>IFERROR(VLOOKUP(Table1215[[#This Row],[Column2]],Table12[[Column2]:[Column54]],22,FALSE),"0")</f>
        <v>0</v>
      </c>
      <c r="X27" s="80">
        <f>Table1215[[#This Row],[Column19]]</f>
        <v>0</v>
      </c>
      <c r="Y27" s="74">
        <f>IFERROR(VLOOKUP(Table1215[[#This Row],[Column2]],Table12[[Column2]:[Column54]],24,FALSE),"0")</f>
        <v>4</v>
      </c>
      <c r="Z27" s="74">
        <f>IFERROR(VLOOKUP(Table1215[[#This Row],[Column2]],Table12[[Column2]:[Column54]],25,FALSE),"0")</f>
        <v>0</v>
      </c>
      <c r="AA27" s="74">
        <f>IFERROR(VLOOKUP(Table1215[[#This Row],[Column2]],Table12[[Column2]:[Column54]],26,FALSE),"0")</f>
        <v>0</v>
      </c>
      <c r="AB27" s="74">
        <f>IFERROR(VLOOKUP(Table1215[[#This Row],[Column2]],Table12[[Column2]:[Column54]],27,FALSE),"0")</f>
        <v>0</v>
      </c>
      <c r="AC27" s="74">
        <f>IFERROR(VLOOKUP(Table1215[[#This Row],[Column2]],Table12[[Column2]:[Column54]],28,FALSE),"0")</f>
        <v>0</v>
      </c>
      <c r="AD27" s="80">
        <f>Table1215[[#This Row],[Column25]]</f>
        <v>4</v>
      </c>
      <c r="AE27" s="74">
        <f>IFERROR(VLOOKUP(Table1215[[#This Row],[Column2]],Table12[[Column2]:[Column54]],30,FALSE),"0")</f>
        <v>0</v>
      </c>
      <c r="AF27" s="74">
        <f>IFERROR(VLOOKUP(Table1215[[#This Row],[Column2]],Table12[[Column2]:[Column54]],31,FALSE),"0")</f>
        <v>0</v>
      </c>
      <c r="AG27" s="74">
        <f>IFERROR(VLOOKUP(Table1215[[#This Row],[Column2]],Table12[[Column2]:[Column54]],32,FALSE),"0")</f>
        <v>0</v>
      </c>
      <c r="AH27" s="74">
        <f>IFERROR(VLOOKUP(Table1215[[#This Row],[Column2]],Table12[[Column2]:[Column54]],33,FALSE),"0")</f>
        <v>0</v>
      </c>
      <c r="AI27" s="74">
        <f>IFERROR(VLOOKUP(Table1215[[#This Row],[Column2]],Table12[[Column2]:[Column54]],34,FALSE),"0")</f>
        <v>0</v>
      </c>
      <c r="AJ27" s="80">
        <f>AVERAGE(Table1215[[#This Row],[Column31]],Table1215[[#This Row],[Column32]],Table1215[[#This Row],[Column33]])</f>
        <v>0</v>
      </c>
      <c r="AK27" s="74">
        <f>IFERROR(VLOOKUP(Table1215[[#This Row],[Column2]],Table12[[Column2]:[Column54]],36,FALSE),"0")</f>
        <v>5</v>
      </c>
      <c r="AL27" s="74">
        <f>IFERROR(VLOOKUP(Table1215[[#This Row],[Column2]],Table12[[Column2]:[Column54]],37,FALSE),"0")</f>
        <v>4</v>
      </c>
      <c r="AM27" s="74">
        <f>IFERROR(VLOOKUP(Table1215[[#This Row],[Column2]],Table12[[Column2]:[Column54]],38,FALSE),"0")</f>
        <v>0</v>
      </c>
      <c r="AN27" s="74">
        <f>IFERROR(VLOOKUP(Table1215[[#This Row],[Column2]],Table12[[Column2]:[Column54]],39,FALSE),"0")</f>
        <v>4</v>
      </c>
      <c r="AO27" s="74">
        <f>IFERROR(VLOOKUP(Table1215[[#This Row],[Column2]],Table12[[Column2]:[Column54]],40,FALSE),"0")</f>
        <v>0</v>
      </c>
      <c r="AP27" s="80">
        <f>AVERAGE(Table1215[[#This Row],[Column37]],Table1215[[#This Row],[Column38]],Table1215[[#This Row],[Column40]])</f>
        <v>4.333333333333333</v>
      </c>
      <c r="AQ27" s="74">
        <f>IFERROR(VLOOKUP(Table1215[[#This Row],[Column2]],Table12[[Column2]:[Column54]],42,FALSE),"0")</f>
        <v>4</v>
      </c>
      <c r="AR27" s="74">
        <f>IFERROR(VLOOKUP(Table1215[[#This Row],[Column2]],Table12[[Column2]:[Column54]],43,FALSE),"0")</f>
        <v>0</v>
      </c>
      <c r="AS27" s="74">
        <f>IFERROR(VLOOKUP(Table1215[[#This Row],[Column2]],Table12[[Column2]:[Column54]],44,FALSE),"0")</f>
        <v>0</v>
      </c>
      <c r="AT27" s="74">
        <f>IFERROR(VLOOKUP(Table1215[[#This Row],[Column2]],Table12[[Column2]:[Column54]],45,FALSE),"0")</f>
        <v>0</v>
      </c>
      <c r="AU27" s="74">
        <f>IFERROR(VLOOKUP(Table1215[[#This Row],[Column2]],Table12[[Column2]:[Column54]],46,FALSE),"0")</f>
        <v>0</v>
      </c>
      <c r="AV27" s="80">
        <f>Table1215[[#This Row],[Column43]]</f>
        <v>4</v>
      </c>
      <c r="AW27" s="74">
        <f>IFERROR(VLOOKUP(Table1215[[#This Row],[Column2]],Table12[[Column2]:[Column54]],48,FALSE),"0")</f>
        <v>0</v>
      </c>
      <c r="AX27" s="74">
        <f>IFERROR(VLOOKUP(Table1215[[#This Row],[Column2]],Table12[[Column2]:[Column54]],49,FALSE),"0")</f>
        <v>0</v>
      </c>
      <c r="AY27" s="74">
        <f>IFERROR(VLOOKUP(Table1215[[#This Row],[Column2]],Table12[[Column2]:[Column54]],50,FALSE),"0")</f>
        <v>0</v>
      </c>
      <c r="AZ27" s="74">
        <f>IFERROR(VLOOKUP(Table1215[[#This Row],[Column2]],Table12[[Column2]:[Column54]],51,FALSE),"0")</f>
        <v>4</v>
      </c>
      <c r="BA27" s="74">
        <f>IFERROR(VLOOKUP(Table1215[[#This Row],[Column2]],Table12[[Column2]:[Column54]],52,FALSE),"0")</f>
        <v>4</v>
      </c>
      <c r="BB27" s="80">
        <f>AVERAGE(Table1215[[#This Row],[Column52]],Table1215[[#This Row],[Column53]])</f>
        <v>4</v>
      </c>
    </row>
    <row r="28" spans="1:54" ht="23.1" customHeight="1" x14ac:dyDescent="0.3">
      <c r="A28" s="99">
        <v>25</v>
      </c>
      <c r="B28" s="76" t="s">
        <v>241</v>
      </c>
      <c r="C28" s="77" t="s">
        <v>242</v>
      </c>
      <c r="D28" s="76" t="s">
        <v>450</v>
      </c>
      <c r="E28" s="76" t="s">
        <v>161</v>
      </c>
      <c r="F28" s="76" t="str">
        <f>REPT(CHAR(160),10)&amp;Working!$E29</f>
        <v>          B</v>
      </c>
      <c r="G28" s="78">
        <f>IFERROR(VLOOKUP(Table1215[[#This Row],[Column2]],Table12[[Column2]:[Column54]],6,FALSE),"0")</f>
        <v>0</v>
      </c>
      <c r="H28" s="78">
        <f>IFERROR(VLOOKUP(Table1215[[#This Row],[Column2]],Table12[[Column2]:[Column54]],7,FALSE),"0")</f>
        <v>0</v>
      </c>
      <c r="I28" s="78">
        <f>IFERROR(VLOOKUP(Table1215[[#This Row],[Column2]],Table12[[Column2]:[Column54]],8,FALSE),"0")</f>
        <v>4</v>
      </c>
      <c r="J28" s="78">
        <f>IFERROR(VLOOKUP(Table1215[[#This Row],[Column2]],Table12[[Column2]:[Column54]],9,FALSE),"0")</f>
        <v>0</v>
      </c>
      <c r="K28" s="78">
        <f>IFERROR(VLOOKUP(Table1215[[#This Row],[Column2]],Table12[[Column2]:[Column54]],10,FALSE),"0")</f>
        <v>0</v>
      </c>
      <c r="L28" s="80">
        <f>Table1215[[#This Row],[Column9]]</f>
        <v>4</v>
      </c>
      <c r="M28" s="78">
        <f>IFERROR(VLOOKUP(Table1215[[#This Row],[Column2]],Table12[[Column2]:[Column54]],12,FALSE),"0")</f>
        <v>0</v>
      </c>
      <c r="N28" s="78">
        <f>IFERROR(VLOOKUP(Table1215[[#This Row],[Column2]],Table12[[Column2]:[Column54]],13,FALSE),"0")</f>
        <v>4</v>
      </c>
      <c r="O28" s="78">
        <f>IFERROR(VLOOKUP(Table1215[[#This Row],[Column2]],Table12[[Column2]:[Column54]],14,FALSE),"0")</f>
        <v>4</v>
      </c>
      <c r="P28" s="78">
        <f>IFERROR(VLOOKUP(Table1215[[#This Row],[Column2]],Table12[[Column2]:[Column54]],10,FALSE),"0")</f>
        <v>0</v>
      </c>
      <c r="Q28" s="78">
        <f>IFERROR(VLOOKUP(Table1215[[#This Row],[Column2]],Table12[[Column2]:[Column54]],16,FALSE),"0")</f>
        <v>4</v>
      </c>
      <c r="R28" s="80">
        <f>AVERAGE(Table1215[[#This Row],[Column14]],Table1215[[#This Row],[Column15]],Table1215[[#This Row],[Column17]])</f>
        <v>4</v>
      </c>
      <c r="S28" s="78">
        <f>IFERROR(VLOOKUP(Table1215[[#This Row],[Column2]],Table12[[Column2]:[Column54]],18,FALSE),"0")</f>
        <v>0</v>
      </c>
      <c r="T28" s="78">
        <f>IFERROR(VLOOKUP(Table1215[[#This Row],[Column2]],Table12[[Column2]:[Column54]],19,FALSE),"0")</f>
        <v>0</v>
      </c>
      <c r="U28" s="78">
        <f>IFERROR(VLOOKUP(Table1215[[#This Row],[Column2]],Table12[[Column2]:[Column54]],20,FALSE),"0")</f>
        <v>0</v>
      </c>
      <c r="V28" s="78">
        <f>IFERROR(VLOOKUP(Table1215[[#This Row],[Column2]],Table12[[Column2]:[Column54]],21,FALSE),"0")</f>
        <v>0</v>
      </c>
      <c r="W28" s="78">
        <f>IFERROR(VLOOKUP(Table1215[[#This Row],[Column2]],Table12[[Column2]:[Column54]],22,FALSE),"0")</f>
        <v>0</v>
      </c>
      <c r="X28" s="80">
        <f>Table1215[[#This Row],[Column19]]</f>
        <v>0</v>
      </c>
      <c r="Y28" s="78">
        <f>IFERROR(VLOOKUP(Table1215[[#This Row],[Column2]],Table12[[Column2]:[Column54]],24,FALSE),"0")</f>
        <v>4</v>
      </c>
      <c r="Z28" s="78">
        <f>IFERROR(VLOOKUP(Table1215[[#This Row],[Column2]],Table12[[Column2]:[Column54]],25,FALSE),"0")</f>
        <v>0</v>
      </c>
      <c r="AA28" s="78">
        <f>IFERROR(VLOOKUP(Table1215[[#This Row],[Column2]],Table12[[Column2]:[Column54]],26,FALSE),"0")</f>
        <v>0</v>
      </c>
      <c r="AB28" s="78">
        <f>IFERROR(VLOOKUP(Table1215[[#This Row],[Column2]],Table12[[Column2]:[Column54]],27,FALSE),"0")</f>
        <v>0</v>
      </c>
      <c r="AC28" s="78">
        <f>IFERROR(VLOOKUP(Table1215[[#This Row],[Column2]],Table12[[Column2]:[Column54]],28,FALSE),"0")</f>
        <v>0</v>
      </c>
      <c r="AD28" s="80">
        <f>Table1215[[#This Row],[Column25]]</f>
        <v>4</v>
      </c>
      <c r="AE28" s="78">
        <f>IFERROR(VLOOKUP(Table1215[[#This Row],[Column2]],Table12[[Column2]:[Column54]],30,FALSE),"0")</f>
        <v>0</v>
      </c>
      <c r="AF28" s="78">
        <f>IFERROR(VLOOKUP(Table1215[[#This Row],[Column2]],Table12[[Column2]:[Column54]],31,FALSE),"0")</f>
        <v>0</v>
      </c>
      <c r="AG28" s="78">
        <f>IFERROR(VLOOKUP(Table1215[[#This Row],[Column2]],Table12[[Column2]:[Column54]],32,FALSE),"0")</f>
        <v>0</v>
      </c>
      <c r="AH28" s="78">
        <f>IFERROR(VLOOKUP(Table1215[[#This Row],[Column2]],Table12[[Column2]:[Column54]],33,FALSE),"0")</f>
        <v>0</v>
      </c>
      <c r="AI28" s="78">
        <f>IFERROR(VLOOKUP(Table1215[[#This Row],[Column2]],Table12[[Column2]:[Column54]],34,FALSE),"0")</f>
        <v>0</v>
      </c>
      <c r="AJ28" s="80">
        <f>AVERAGE(Table1215[[#This Row],[Column31]],Table1215[[#This Row],[Column32]],Table1215[[#This Row],[Column33]])</f>
        <v>0</v>
      </c>
      <c r="AK28" s="78">
        <f>IFERROR(VLOOKUP(Table1215[[#This Row],[Column2]],Table12[[Column2]:[Column54]],36,FALSE),"0")</f>
        <v>4</v>
      </c>
      <c r="AL28" s="78">
        <f>IFERROR(VLOOKUP(Table1215[[#This Row],[Column2]],Table12[[Column2]:[Column54]],37,FALSE),"0")</f>
        <v>4</v>
      </c>
      <c r="AM28" s="78">
        <f>IFERROR(VLOOKUP(Table1215[[#This Row],[Column2]],Table12[[Column2]:[Column54]],38,FALSE),"0")</f>
        <v>0</v>
      </c>
      <c r="AN28" s="78">
        <f>IFERROR(VLOOKUP(Table1215[[#This Row],[Column2]],Table12[[Column2]:[Column54]],39,FALSE),"0")</f>
        <v>4</v>
      </c>
      <c r="AO28" s="78">
        <f>IFERROR(VLOOKUP(Table1215[[#This Row],[Column2]],Table12[[Column2]:[Column54]],40,FALSE),"0")</f>
        <v>0</v>
      </c>
      <c r="AP28" s="80">
        <f>AVERAGE(Table1215[[#This Row],[Column37]],Table1215[[#This Row],[Column38]],Table1215[[#This Row],[Column40]])</f>
        <v>4</v>
      </c>
      <c r="AQ28" s="78">
        <f>IFERROR(VLOOKUP(Table1215[[#This Row],[Column2]],Table12[[Column2]:[Column54]],42,FALSE),"0")</f>
        <v>4</v>
      </c>
      <c r="AR28" s="78">
        <f>IFERROR(VLOOKUP(Table1215[[#This Row],[Column2]],Table12[[Column2]:[Column54]],43,FALSE),"0")</f>
        <v>0</v>
      </c>
      <c r="AS28" s="78">
        <f>IFERROR(VLOOKUP(Table1215[[#This Row],[Column2]],Table12[[Column2]:[Column54]],44,FALSE),"0")</f>
        <v>0</v>
      </c>
      <c r="AT28" s="78">
        <f>IFERROR(VLOOKUP(Table1215[[#This Row],[Column2]],Table12[[Column2]:[Column54]],45,FALSE),"0")</f>
        <v>0</v>
      </c>
      <c r="AU28" s="78">
        <f>IFERROR(VLOOKUP(Table1215[[#This Row],[Column2]],Table12[[Column2]:[Column54]],46,FALSE),"0")</f>
        <v>0</v>
      </c>
      <c r="AV28" s="80">
        <f>Table1215[[#This Row],[Column43]]</f>
        <v>4</v>
      </c>
      <c r="AW28" s="78">
        <f>IFERROR(VLOOKUP(Table1215[[#This Row],[Column2]],Table12[[Column2]:[Column54]],48,FALSE),"0")</f>
        <v>0</v>
      </c>
      <c r="AX28" s="78">
        <f>IFERROR(VLOOKUP(Table1215[[#This Row],[Column2]],Table12[[Column2]:[Column54]],49,FALSE),"0")</f>
        <v>0</v>
      </c>
      <c r="AY28" s="78">
        <f>IFERROR(VLOOKUP(Table1215[[#This Row],[Column2]],Table12[[Column2]:[Column54]],50,FALSE),"0")</f>
        <v>0</v>
      </c>
      <c r="AZ28" s="78">
        <f>IFERROR(VLOOKUP(Table1215[[#This Row],[Column2]],Table12[[Column2]:[Column54]],51,FALSE),"0")</f>
        <v>4</v>
      </c>
      <c r="BA28" s="78">
        <f>IFERROR(VLOOKUP(Table1215[[#This Row],[Column2]],Table12[[Column2]:[Column54]],52,FALSE),"0")</f>
        <v>4</v>
      </c>
      <c r="BB28" s="80">
        <f>AVERAGE(Table1215[[#This Row],[Column52]],Table1215[[#This Row],[Column53]])</f>
        <v>4</v>
      </c>
    </row>
    <row r="29" spans="1:54" ht="23.1" customHeight="1" x14ac:dyDescent="0.3">
      <c r="A29" s="100">
        <v>26</v>
      </c>
      <c r="B29" s="83" t="s">
        <v>298</v>
      </c>
      <c r="C29" s="84" t="s">
        <v>299</v>
      </c>
      <c r="D29" s="83" t="s">
        <v>542</v>
      </c>
      <c r="E29" s="83" t="s">
        <v>493</v>
      </c>
      <c r="F29" s="83" t="str">
        <f>REPT(CHAR(160),10)&amp;Working!$E30</f>
        <v>          C</v>
      </c>
      <c r="G29" s="74">
        <f>IFERROR(VLOOKUP(Table1215[[#This Row],[Column2]],Table12[[Column2]:[Column54]],6,FALSE),"0")</f>
        <v>0</v>
      </c>
      <c r="H29" s="74">
        <f>IFERROR(VLOOKUP(Table1215[[#This Row],[Column2]],Table12[[Column2]:[Column54]],7,FALSE),"0")</f>
        <v>0</v>
      </c>
      <c r="I29" s="74">
        <f>IFERROR(VLOOKUP(Table1215[[#This Row],[Column2]],Table12[[Column2]:[Column54]],8,FALSE),"0")</f>
        <v>4</v>
      </c>
      <c r="J29" s="74">
        <f>IFERROR(VLOOKUP(Table1215[[#This Row],[Column2]],Table12[[Column2]:[Column54]],9,FALSE),"0")</f>
        <v>0</v>
      </c>
      <c r="K29" s="74">
        <f>IFERROR(VLOOKUP(Table1215[[#This Row],[Column2]],Table12[[Column2]:[Column54]],10,FALSE),"0")</f>
        <v>0</v>
      </c>
      <c r="L29" s="80">
        <f>Table1215[[#This Row],[Column9]]</f>
        <v>4</v>
      </c>
      <c r="M29" s="74">
        <f>IFERROR(VLOOKUP(Table1215[[#This Row],[Column2]],Table12[[Column2]:[Column54]],12,FALSE),"0")</f>
        <v>0</v>
      </c>
      <c r="N29" s="74">
        <f>IFERROR(VLOOKUP(Table1215[[#This Row],[Column2]],Table12[[Column2]:[Column54]],13,FALSE),"0")</f>
        <v>5</v>
      </c>
      <c r="O29" s="74">
        <f>IFERROR(VLOOKUP(Table1215[[#This Row],[Column2]],Table12[[Column2]:[Column54]],14,FALSE),"0")</f>
        <v>5</v>
      </c>
      <c r="P29" s="74">
        <f>IFERROR(VLOOKUP(Table1215[[#This Row],[Column2]],Table12[[Column2]:[Column54]],10,FALSE),"0")</f>
        <v>0</v>
      </c>
      <c r="Q29" s="74">
        <f>IFERROR(VLOOKUP(Table1215[[#This Row],[Column2]],Table12[[Column2]:[Column54]],16,FALSE),"0")</f>
        <v>5</v>
      </c>
      <c r="R29" s="80">
        <f>AVERAGE(Table1215[[#This Row],[Column14]],Table1215[[#This Row],[Column15]],Table1215[[#This Row],[Column17]])</f>
        <v>5</v>
      </c>
      <c r="S29" s="74">
        <f>IFERROR(VLOOKUP(Table1215[[#This Row],[Column2]],Table12[[Column2]:[Column54]],18,FALSE),"0")</f>
        <v>0</v>
      </c>
      <c r="T29" s="74">
        <f>IFERROR(VLOOKUP(Table1215[[#This Row],[Column2]],Table12[[Column2]:[Column54]],19,FALSE),"0")</f>
        <v>0</v>
      </c>
      <c r="U29" s="74">
        <f>IFERROR(VLOOKUP(Table1215[[#This Row],[Column2]],Table12[[Column2]:[Column54]],20,FALSE),"0")</f>
        <v>0</v>
      </c>
      <c r="V29" s="74">
        <f>IFERROR(VLOOKUP(Table1215[[#This Row],[Column2]],Table12[[Column2]:[Column54]],21,FALSE),"0")</f>
        <v>0</v>
      </c>
      <c r="W29" s="74">
        <f>IFERROR(VLOOKUP(Table1215[[#This Row],[Column2]],Table12[[Column2]:[Column54]],22,FALSE),"0")</f>
        <v>0</v>
      </c>
      <c r="X29" s="80">
        <f>Table1215[[#This Row],[Column19]]</f>
        <v>0</v>
      </c>
      <c r="Y29" s="74">
        <f>IFERROR(VLOOKUP(Table1215[[#This Row],[Column2]],Table12[[Column2]:[Column54]],24,FALSE),"0")</f>
        <v>5</v>
      </c>
      <c r="Z29" s="74">
        <f>IFERROR(VLOOKUP(Table1215[[#This Row],[Column2]],Table12[[Column2]:[Column54]],25,FALSE),"0")</f>
        <v>0</v>
      </c>
      <c r="AA29" s="74">
        <f>IFERROR(VLOOKUP(Table1215[[#This Row],[Column2]],Table12[[Column2]:[Column54]],26,FALSE),"0")</f>
        <v>0</v>
      </c>
      <c r="AB29" s="74">
        <f>IFERROR(VLOOKUP(Table1215[[#This Row],[Column2]],Table12[[Column2]:[Column54]],27,FALSE),"0")</f>
        <v>0</v>
      </c>
      <c r="AC29" s="74">
        <f>IFERROR(VLOOKUP(Table1215[[#This Row],[Column2]],Table12[[Column2]:[Column54]],28,FALSE),"0")</f>
        <v>0</v>
      </c>
      <c r="AD29" s="80">
        <f>Table1215[[#This Row],[Column25]]</f>
        <v>5</v>
      </c>
      <c r="AE29" s="74">
        <f>IFERROR(VLOOKUP(Table1215[[#This Row],[Column2]],Table12[[Column2]:[Column54]],30,FALSE),"0")</f>
        <v>0</v>
      </c>
      <c r="AF29" s="74">
        <f>IFERROR(VLOOKUP(Table1215[[#This Row],[Column2]],Table12[[Column2]:[Column54]],31,FALSE),"0")</f>
        <v>0</v>
      </c>
      <c r="AG29" s="74">
        <f>IFERROR(VLOOKUP(Table1215[[#This Row],[Column2]],Table12[[Column2]:[Column54]],32,FALSE),"0")</f>
        <v>0</v>
      </c>
      <c r="AH29" s="74">
        <f>IFERROR(VLOOKUP(Table1215[[#This Row],[Column2]],Table12[[Column2]:[Column54]],33,FALSE),"0")</f>
        <v>0</v>
      </c>
      <c r="AI29" s="74">
        <f>IFERROR(VLOOKUP(Table1215[[#This Row],[Column2]],Table12[[Column2]:[Column54]],34,FALSE),"0")</f>
        <v>0</v>
      </c>
      <c r="AJ29" s="80">
        <f>AVERAGE(Table1215[[#This Row],[Column31]],Table1215[[#This Row],[Column32]],Table1215[[#This Row],[Column33]])</f>
        <v>0</v>
      </c>
      <c r="AK29" s="74">
        <f>IFERROR(VLOOKUP(Table1215[[#This Row],[Column2]],Table12[[Column2]:[Column54]],36,FALSE),"0")</f>
        <v>5</v>
      </c>
      <c r="AL29" s="74">
        <f>IFERROR(VLOOKUP(Table1215[[#This Row],[Column2]],Table12[[Column2]:[Column54]],37,FALSE),"0")</f>
        <v>4</v>
      </c>
      <c r="AM29" s="74">
        <f>IFERROR(VLOOKUP(Table1215[[#This Row],[Column2]],Table12[[Column2]:[Column54]],38,FALSE),"0")</f>
        <v>0</v>
      </c>
      <c r="AN29" s="74">
        <f>IFERROR(VLOOKUP(Table1215[[#This Row],[Column2]],Table12[[Column2]:[Column54]],39,FALSE),"0")</f>
        <v>4</v>
      </c>
      <c r="AO29" s="74">
        <f>IFERROR(VLOOKUP(Table1215[[#This Row],[Column2]],Table12[[Column2]:[Column54]],40,FALSE),"0")</f>
        <v>0</v>
      </c>
      <c r="AP29" s="80">
        <f>AVERAGE(Table1215[[#This Row],[Column37]],Table1215[[#This Row],[Column38]],Table1215[[#This Row],[Column40]])</f>
        <v>4.333333333333333</v>
      </c>
      <c r="AQ29" s="74">
        <f>IFERROR(VLOOKUP(Table1215[[#This Row],[Column2]],Table12[[Column2]:[Column54]],42,FALSE),"0")</f>
        <v>4</v>
      </c>
      <c r="AR29" s="74">
        <f>IFERROR(VLOOKUP(Table1215[[#This Row],[Column2]],Table12[[Column2]:[Column54]],43,FALSE),"0")</f>
        <v>0</v>
      </c>
      <c r="AS29" s="74">
        <f>IFERROR(VLOOKUP(Table1215[[#This Row],[Column2]],Table12[[Column2]:[Column54]],44,FALSE),"0")</f>
        <v>0</v>
      </c>
      <c r="AT29" s="74">
        <f>IFERROR(VLOOKUP(Table1215[[#This Row],[Column2]],Table12[[Column2]:[Column54]],45,FALSE),"0")</f>
        <v>0</v>
      </c>
      <c r="AU29" s="74">
        <f>IFERROR(VLOOKUP(Table1215[[#This Row],[Column2]],Table12[[Column2]:[Column54]],46,FALSE),"0")</f>
        <v>0</v>
      </c>
      <c r="AV29" s="80">
        <f>Table1215[[#This Row],[Column43]]</f>
        <v>4</v>
      </c>
      <c r="AW29" s="74">
        <f>IFERROR(VLOOKUP(Table1215[[#This Row],[Column2]],Table12[[Column2]:[Column54]],48,FALSE),"0")</f>
        <v>0</v>
      </c>
      <c r="AX29" s="74">
        <f>IFERROR(VLOOKUP(Table1215[[#This Row],[Column2]],Table12[[Column2]:[Column54]],49,FALSE),"0")</f>
        <v>0</v>
      </c>
      <c r="AY29" s="74">
        <f>IFERROR(VLOOKUP(Table1215[[#This Row],[Column2]],Table12[[Column2]:[Column54]],50,FALSE),"0")</f>
        <v>0</v>
      </c>
      <c r="AZ29" s="74">
        <f>IFERROR(VLOOKUP(Table1215[[#This Row],[Column2]],Table12[[Column2]:[Column54]],51,FALSE),"0")</f>
        <v>5</v>
      </c>
      <c r="BA29" s="74">
        <f>IFERROR(VLOOKUP(Table1215[[#This Row],[Column2]],Table12[[Column2]:[Column54]],52,FALSE),"0")</f>
        <v>4</v>
      </c>
      <c r="BB29" s="80">
        <f>AVERAGE(Table1215[[#This Row],[Column52]],Table1215[[#This Row],[Column53]])</f>
        <v>4.5</v>
      </c>
    </row>
    <row r="30" spans="1:54" ht="23.1" customHeight="1" x14ac:dyDescent="0.3">
      <c r="A30" s="99">
        <v>27</v>
      </c>
      <c r="B30" s="76" t="s">
        <v>257</v>
      </c>
      <c r="C30" s="77" t="s">
        <v>258</v>
      </c>
      <c r="D30" s="76" t="s">
        <v>450</v>
      </c>
      <c r="E30" s="76" t="s">
        <v>161</v>
      </c>
      <c r="F30" s="76" t="str">
        <f>REPT(CHAR(160),10)&amp;Working!$E31</f>
        <v>          B</v>
      </c>
      <c r="G30" s="78">
        <f>IFERROR(VLOOKUP(Table1215[[#This Row],[Column2]],Table12[[Column2]:[Column54]],6,FALSE),"0")</f>
        <v>0</v>
      </c>
      <c r="H30" s="78">
        <f>IFERROR(VLOOKUP(Table1215[[#This Row],[Column2]],Table12[[Column2]:[Column54]],7,FALSE),"0")</f>
        <v>0</v>
      </c>
      <c r="I30" s="78">
        <f>IFERROR(VLOOKUP(Table1215[[#This Row],[Column2]],Table12[[Column2]:[Column54]],8,FALSE),"0")</f>
        <v>4</v>
      </c>
      <c r="J30" s="78">
        <f>IFERROR(VLOOKUP(Table1215[[#This Row],[Column2]],Table12[[Column2]:[Column54]],9,FALSE),"0")</f>
        <v>0</v>
      </c>
      <c r="K30" s="78">
        <f>IFERROR(VLOOKUP(Table1215[[#This Row],[Column2]],Table12[[Column2]:[Column54]],10,FALSE),"0")</f>
        <v>0</v>
      </c>
      <c r="L30" s="80">
        <f>Table1215[[#This Row],[Column9]]</f>
        <v>4</v>
      </c>
      <c r="M30" s="78">
        <f>IFERROR(VLOOKUP(Table1215[[#This Row],[Column2]],Table12[[Column2]:[Column54]],12,FALSE),"0")</f>
        <v>0</v>
      </c>
      <c r="N30" s="78">
        <f>IFERROR(VLOOKUP(Table1215[[#This Row],[Column2]],Table12[[Column2]:[Column54]],13,FALSE),"0")</f>
        <v>5</v>
      </c>
      <c r="O30" s="78">
        <f>IFERROR(VLOOKUP(Table1215[[#This Row],[Column2]],Table12[[Column2]:[Column54]],14,FALSE),"0")</f>
        <v>4</v>
      </c>
      <c r="P30" s="78">
        <f>IFERROR(VLOOKUP(Table1215[[#This Row],[Column2]],Table12[[Column2]:[Column54]],10,FALSE),"0")</f>
        <v>0</v>
      </c>
      <c r="Q30" s="78">
        <f>IFERROR(VLOOKUP(Table1215[[#This Row],[Column2]],Table12[[Column2]:[Column54]],16,FALSE),"0")</f>
        <v>4</v>
      </c>
      <c r="R30" s="80">
        <f>AVERAGE(Table1215[[#This Row],[Column14]],Table1215[[#This Row],[Column15]],Table1215[[#This Row],[Column17]])</f>
        <v>4.333333333333333</v>
      </c>
      <c r="S30" s="78">
        <f>IFERROR(VLOOKUP(Table1215[[#This Row],[Column2]],Table12[[Column2]:[Column54]],18,FALSE),"0")</f>
        <v>0</v>
      </c>
      <c r="T30" s="78">
        <f>IFERROR(VLOOKUP(Table1215[[#This Row],[Column2]],Table12[[Column2]:[Column54]],19,FALSE),"0")</f>
        <v>0</v>
      </c>
      <c r="U30" s="78">
        <f>IFERROR(VLOOKUP(Table1215[[#This Row],[Column2]],Table12[[Column2]:[Column54]],20,FALSE),"0")</f>
        <v>0</v>
      </c>
      <c r="V30" s="78">
        <f>IFERROR(VLOOKUP(Table1215[[#This Row],[Column2]],Table12[[Column2]:[Column54]],21,FALSE),"0")</f>
        <v>0</v>
      </c>
      <c r="W30" s="78">
        <f>IFERROR(VLOOKUP(Table1215[[#This Row],[Column2]],Table12[[Column2]:[Column54]],22,FALSE),"0")</f>
        <v>0</v>
      </c>
      <c r="X30" s="80">
        <f>Table1215[[#This Row],[Column19]]</f>
        <v>0</v>
      </c>
      <c r="Y30" s="78">
        <f>IFERROR(VLOOKUP(Table1215[[#This Row],[Column2]],Table12[[Column2]:[Column54]],24,FALSE),"0")</f>
        <v>5</v>
      </c>
      <c r="Z30" s="78">
        <f>IFERROR(VLOOKUP(Table1215[[#This Row],[Column2]],Table12[[Column2]:[Column54]],25,FALSE),"0")</f>
        <v>0</v>
      </c>
      <c r="AA30" s="78">
        <f>IFERROR(VLOOKUP(Table1215[[#This Row],[Column2]],Table12[[Column2]:[Column54]],26,FALSE),"0")</f>
        <v>0</v>
      </c>
      <c r="AB30" s="78">
        <f>IFERROR(VLOOKUP(Table1215[[#This Row],[Column2]],Table12[[Column2]:[Column54]],27,FALSE),"0")</f>
        <v>0</v>
      </c>
      <c r="AC30" s="78">
        <f>IFERROR(VLOOKUP(Table1215[[#This Row],[Column2]],Table12[[Column2]:[Column54]],28,FALSE),"0")</f>
        <v>0</v>
      </c>
      <c r="AD30" s="80">
        <f>Table1215[[#This Row],[Column25]]</f>
        <v>5</v>
      </c>
      <c r="AE30" s="78">
        <f>IFERROR(VLOOKUP(Table1215[[#This Row],[Column2]],Table12[[Column2]:[Column54]],30,FALSE),"0")</f>
        <v>0</v>
      </c>
      <c r="AF30" s="78">
        <f>IFERROR(VLOOKUP(Table1215[[#This Row],[Column2]],Table12[[Column2]:[Column54]],31,FALSE),"0")</f>
        <v>0</v>
      </c>
      <c r="AG30" s="78">
        <f>IFERROR(VLOOKUP(Table1215[[#This Row],[Column2]],Table12[[Column2]:[Column54]],32,FALSE),"0")</f>
        <v>0</v>
      </c>
      <c r="AH30" s="78">
        <f>IFERROR(VLOOKUP(Table1215[[#This Row],[Column2]],Table12[[Column2]:[Column54]],33,FALSE),"0")</f>
        <v>0</v>
      </c>
      <c r="AI30" s="78">
        <f>IFERROR(VLOOKUP(Table1215[[#This Row],[Column2]],Table12[[Column2]:[Column54]],34,FALSE),"0")</f>
        <v>0</v>
      </c>
      <c r="AJ30" s="80">
        <f>AVERAGE(Table1215[[#This Row],[Column31]],Table1215[[#This Row],[Column32]],Table1215[[#This Row],[Column33]])</f>
        <v>0</v>
      </c>
      <c r="AK30" s="78">
        <f>IFERROR(VLOOKUP(Table1215[[#This Row],[Column2]],Table12[[Column2]:[Column54]],36,FALSE),"0")</f>
        <v>5</v>
      </c>
      <c r="AL30" s="78">
        <f>IFERROR(VLOOKUP(Table1215[[#This Row],[Column2]],Table12[[Column2]:[Column54]],37,FALSE),"0")</f>
        <v>5</v>
      </c>
      <c r="AM30" s="78">
        <f>IFERROR(VLOOKUP(Table1215[[#This Row],[Column2]],Table12[[Column2]:[Column54]],38,FALSE),"0")</f>
        <v>0</v>
      </c>
      <c r="AN30" s="78">
        <f>IFERROR(VLOOKUP(Table1215[[#This Row],[Column2]],Table12[[Column2]:[Column54]],39,FALSE),"0")</f>
        <v>5</v>
      </c>
      <c r="AO30" s="78">
        <f>IFERROR(VLOOKUP(Table1215[[#This Row],[Column2]],Table12[[Column2]:[Column54]],40,FALSE),"0")</f>
        <v>0</v>
      </c>
      <c r="AP30" s="80">
        <f>AVERAGE(Table1215[[#This Row],[Column37]],Table1215[[#This Row],[Column38]],Table1215[[#This Row],[Column40]])</f>
        <v>5</v>
      </c>
      <c r="AQ30" s="78">
        <f>IFERROR(VLOOKUP(Table1215[[#This Row],[Column2]],Table12[[Column2]:[Column54]],42,FALSE),"0")</f>
        <v>5</v>
      </c>
      <c r="AR30" s="78">
        <f>IFERROR(VLOOKUP(Table1215[[#This Row],[Column2]],Table12[[Column2]:[Column54]],43,FALSE),"0")</f>
        <v>0</v>
      </c>
      <c r="AS30" s="78">
        <f>IFERROR(VLOOKUP(Table1215[[#This Row],[Column2]],Table12[[Column2]:[Column54]],44,FALSE),"0")</f>
        <v>0</v>
      </c>
      <c r="AT30" s="78">
        <f>IFERROR(VLOOKUP(Table1215[[#This Row],[Column2]],Table12[[Column2]:[Column54]],45,FALSE),"0")</f>
        <v>0</v>
      </c>
      <c r="AU30" s="78">
        <f>IFERROR(VLOOKUP(Table1215[[#This Row],[Column2]],Table12[[Column2]:[Column54]],46,FALSE),"0")</f>
        <v>0</v>
      </c>
      <c r="AV30" s="80">
        <f>Table1215[[#This Row],[Column43]]</f>
        <v>5</v>
      </c>
      <c r="AW30" s="78">
        <f>IFERROR(VLOOKUP(Table1215[[#This Row],[Column2]],Table12[[Column2]:[Column54]],48,FALSE),"0")</f>
        <v>0</v>
      </c>
      <c r="AX30" s="78">
        <f>IFERROR(VLOOKUP(Table1215[[#This Row],[Column2]],Table12[[Column2]:[Column54]],49,FALSE),"0")</f>
        <v>0</v>
      </c>
      <c r="AY30" s="78">
        <f>IFERROR(VLOOKUP(Table1215[[#This Row],[Column2]],Table12[[Column2]:[Column54]],50,FALSE),"0")</f>
        <v>0</v>
      </c>
      <c r="AZ30" s="78">
        <f>IFERROR(VLOOKUP(Table1215[[#This Row],[Column2]],Table12[[Column2]:[Column54]],51,FALSE),"0")</f>
        <v>5</v>
      </c>
      <c r="BA30" s="78">
        <f>IFERROR(VLOOKUP(Table1215[[#This Row],[Column2]],Table12[[Column2]:[Column54]],52,FALSE),"0")</f>
        <v>4</v>
      </c>
      <c r="BB30" s="80">
        <f>AVERAGE(Table1215[[#This Row],[Column52]],Table1215[[#This Row],[Column53]])</f>
        <v>4.5</v>
      </c>
    </row>
    <row r="31" spans="1:54" ht="23.1" customHeight="1" x14ac:dyDescent="0.3">
      <c r="A31" s="100">
        <v>28</v>
      </c>
      <c r="B31" s="83" t="s">
        <v>66</v>
      </c>
      <c r="C31" s="84" t="s">
        <v>67</v>
      </c>
      <c r="D31" s="83" t="s">
        <v>450</v>
      </c>
      <c r="E31" s="83" t="s">
        <v>35</v>
      </c>
      <c r="F31" s="83" t="str">
        <f>REPT(CHAR(160),10)&amp;Working!$E32</f>
        <v>          A</v>
      </c>
      <c r="G31" s="74">
        <f>IFERROR(VLOOKUP(Table1215[[#This Row],[Column2]],Table12[[Column2]:[Column54]],6,FALSE),"0")</f>
        <v>0</v>
      </c>
      <c r="H31" s="74">
        <f>IFERROR(VLOOKUP(Table1215[[#This Row],[Column2]],Table12[[Column2]:[Column54]],7,FALSE),"0")</f>
        <v>0</v>
      </c>
      <c r="I31" s="74">
        <f>IFERROR(VLOOKUP(Table1215[[#This Row],[Column2]],Table12[[Column2]:[Column54]],8,FALSE),"0")</f>
        <v>5</v>
      </c>
      <c r="J31" s="74">
        <f>IFERROR(VLOOKUP(Table1215[[#This Row],[Column2]],Table12[[Column2]:[Column54]],9,FALSE),"0")</f>
        <v>0</v>
      </c>
      <c r="K31" s="74">
        <f>IFERROR(VLOOKUP(Table1215[[#This Row],[Column2]],Table12[[Column2]:[Column54]],10,FALSE),"0")</f>
        <v>0</v>
      </c>
      <c r="L31" s="80">
        <f>Table1215[[#This Row],[Column9]]</f>
        <v>5</v>
      </c>
      <c r="M31" s="74">
        <f>IFERROR(VLOOKUP(Table1215[[#This Row],[Column2]],Table12[[Column2]:[Column54]],12,FALSE),"0")</f>
        <v>0</v>
      </c>
      <c r="N31" s="74">
        <f>IFERROR(VLOOKUP(Table1215[[#This Row],[Column2]],Table12[[Column2]:[Column54]],13,FALSE),"0")</f>
        <v>4</v>
      </c>
      <c r="O31" s="74">
        <f>IFERROR(VLOOKUP(Table1215[[#This Row],[Column2]],Table12[[Column2]:[Column54]],14,FALSE),"0")</f>
        <v>4</v>
      </c>
      <c r="P31" s="74">
        <f>IFERROR(VLOOKUP(Table1215[[#This Row],[Column2]],Table12[[Column2]:[Column54]],10,FALSE),"0")</f>
        <v>0</v>
      </c>
      <c r="Q31" s="74">
        <f>IFERROR(VLOOKUP(Table1215[[#This Row],[Column2]],Table12[[Column2]:[Column54]],16,FALSE),"0")</f>
        <v>4</v>
      </c>
      <c r="R31" s="80">
        <f>AVERAGE(Table1215[[#This Row],[Column14]],Table1215[[#This Row],[Column15]],Table1215[[#This Row],[Column17]])</f>
        <v>4</v>
      </c>
      <c r="S31" s="74">
        <f>IFERROR(VLOOKUP(Table1215[[#This Row],[Column2]],Table12[[Column2]:[Column54]],18,FALSE),"0")</f>
        <v>0</v>
      </c>
      <c r="T31" s="74">
        <f>IFERROR(VLOOKUP(Table1215[[#This Row],[Column2]],Table12[[Column2]:[Column54]],19,FALSE),"0")</f>
        <v>0</v>
      </c>
      <c r="U31" s="74">
        <f>IFERROR(VLOOKUP(Table1215[[#This Row],[Column2]],Table12[[Column2]:[Column54]],20,FALSE),"0")</f>
        <v>0</v>
      </c>
      <c r="V31" s="74">
        <f>IFERROR(VLOOKUP(Table1215[[#This Row],[Column2]],Table12[[Column2]:[Column54]],21,FALSE),"0")</f>
        <v>0</v>
      </c>
      <c r="W31" s="74">
        <f>IFERROR(VLOOKUP(Table1215[[#This Row],[Column2]],Table12[[Column2]:[Column54]],22,FALSE),"0")</f>
        <v>0</v>
      </c>
      <c r="X31" s="80">
        <f>Table1215[[#This Row],[Column19]]</f>
        <v>0</v>
      </c>
      <c r="Y31" s="74">
        <f>IFERROR(VLOOKUP(Table1215[[#This Row],[Column2]],Table12[[Column2]:[Column54]],24,FALSE),"0")</f>
        <v>4</v>
      </c>
      <c r="Z31" s="74">
        <f>IFERROR(VLOOKUP(Table1215[[#This Row],[Column2]],Table12[[Column2]:[Column54]],25,FALSE),"0")</f>
        <v>0</v>
      </c>
      <c r="AA31" s="74">
        <f>IFERROR(VLOOKUP(Table1215[[#This Row],[Column2]],Table12[[Column2]:[Column54]],26,FALSE),"0")</f>
        <v>0</v>
      </c>
      <c r="AB31" s="74">
        <f>IFERROR(VLOOKUP(Table1215[[#This Row],[Column2]],Table12[[Column2]:[Column54]],27,FALSE),"0")</f>
        <v>0</v>
      </c>
      <c r="AC31" s="74">
        <f>IFERROR(VLOOKUP(Table1215[[#This Row],[Column2]],Table12[[Column2]:[Column54]],28,FALSE),"0")</f>
        <v>0</v>
      </c>
      <c r="AD31" s="80">
        <f>Table1215[[#This Row],[Column25]]</f>
        <v>4</v>
      </c>
      <c r="AE31" s="74">
        <f>IFERROR(VLOOKUP(Table1215[[#This Row],[Column2]],Table12[[Column2]:[Column54]],30,FALSE),"0")</f>
        <v>0</v>
      </c>
      <c r="AF31" s="74">
        <f>IFERROR(VLOOKUP(Table1215[[#This Row],[Column2]],Table12[[Column2]:[Column54]],31,FALSE),"0")</f>
        <v>0</v>
      </c>
      <c r="AG31" s="74">
        <f>IFERROR(VLOOKUP(Table1215[[#This Row],[Column2]],Table12[[Column2]:[Column54]],32,FALSE),"0")</f>
        <v>0</v>
      </c>
      <c r="AH31" s="74">
        <f>IFERROR(VLOOKUP(Table1215[[#This Row],[Column2]],Table12[[Column2]:[Column54]],33,FALSE),"0")</f>
        <v>0</v>
      </c>
      <c r="AI31" s="74">
        <f>IFERROR(VLOOKUP(Table1215[[#This Row],[Column2]],Table12[[Column2]:[Column54]],34,FALSE),"0")</f>
        <v>0</v>
      </c>
      <c r="AJ31" s="80">
        <f>AVERAGE(Table1215[[#This Row],[Column31]],Table1215[[#This Row],[Column32]],Table1215[[#This Row],[Column33]])</f>
        <v>0</v>
      </c>
      <c r="AK31" s="74">
        <f>IFERROR(VLOOKUP(Table1215[[#This Row],[Column2]],Table12[[Column2]:[Column54]],36,FALSE),"0")</f>
        <v>3</v>
      </c>
      <c r="AL31" s="74">
        <f>IFERROR(VLOOKUP(Table1215[[#This Row],[Column2]],Table12[[Column2]:[Column54]],37,FALSE),"0")</f>
        <v>4</v>
      </c>
      <c r="AM31" s="74">
        <f>IFERROR(VLOOKUP(Table1215[[#This Row],[Column2]],Table12[[Column2]:[Column54]],38,FALSE),"0")</f>
        <v>0</v>
      </c>
      <c r="AN31" s="74">
        <f>IFERROR(VLOOKUP(Table1215[[#This Row],[Column2]],Table12[[Column2]:[Column54]],39,FALSE),"0")</f>
        <v>5</v>
      </c>
      <c r="AO31" s="74">
        <f>IFERROR(VLOOKUP(Table1215[[#This Row],[Column2]],Table12[[Column2]:[Column54]],40,FALSE),"0")</f>
        <v>0</v>
      </c>
      <c r="AP31" s="80">
        <f>AVERAGE(Table1215[[#This Row],[Column37]],Table1215[[#This Row],[Column38]],Table1215[[#This Row],[Column40]])</f>
        <v>4</v>
      </c>
      <c r="AQ31" s="74">
        <f>IFERROR(VLOOKUP(Table1215[[#This Row],[Column2]],Table12[[Column2]:[Column54]],42,FALSE),"0")</f>
        <v>4</v>
      </c>
      <c r="AR31" s="74">
        <f>IFERROR(VLOOKUP(Table1215[[#This Row],[Column2]],Table12[[Column2]:[Column54]],43,FALSE),"0")</f>
        <v>0</v>
      </c>
      <c r="AS31" s="74">
        <f>IFERROR(VLOOKUP(Table1215[[#This Row],[Column2]],Table12[[Column2]:[Column54]],44,FALSE),"0")</f>
        <v>0</v>
      </c>
      <c r="AT31" s="74">
        <f>IFERROR(VLOOKUP(Table1215[[#This Row],[Column2]],Table12[[Column2]:[Column54]],45,FALSE),"0")</f>
        <v>0</v>
      </c>
      <c r="AU31" s="74">
        <f>IFERROR(VLOOKUP(Table1215[[#This Row],[Column2]],Table12[[Column2]:[Column54]],46,FALSE),"0")</f>
        <v>0</v>
      </c>
      <c r="AV31" s="80">
        <f>Table1215[[#This Row],[Column43]]</f>
        <v>4</v>
      </c>
      <c r="AW31" s="74">
        <f>IFERROR(VLOOKUP(Table1215[[#This Row],[Column2]],Table12[[Column2]:[Column54]],48,FALSE),"0")</f>
        <v>0</v>
      </c>
      <c r="AX31" s="74">
        <f>IFERROR(VLOOKUP(Table1215[[#This Row],[Column2]],Table12[[Column2]:[Column54]],49,FALSE),"0")</f>
        <v>0</v>
      </c>
      <c r="AY31" s="74">
        <f>IFERROR(VLOOKUP(Table1215[[#This Row],[Column2]],Table12[[Column2]:[Column54]],50,FALSE),"0")</f>
        <v>0</v>
      </c>
      <c r="AZ31" s="74">
        <f>IFERROR(VLOOKUP(Table1215[[#This Row],[Column2]],Table12[[Column2]:[Column54]],51,FALSE),"0")</f>
        <v>4</v>
      </c>
      <c r="BA31" s="74">
        <f>IFERROR(VLOOKUP(Table1215[[#This Row],[Column2]],Table12[[Column2]:[Column54]],52,FALSE),"0")</f>
        <v>5</v>
      </c>
      <c r="BB31" s="80">
        <f>AVERAGE(Table1215[[#This Row],[Column52]],Table1215[[#This Row],[Column53]])</f>
        <v>4.5</v>
      </c>
    </row>
    <row r="32" spans="1:54" ht="23.1" customHeight="1" x14ac:dyDescent="0.3">
      <c r="A32" s="99">
        <v>29</v>
      </c>
      <c r="B32" s="76" t="s">
        <v>300</v>
      </c>
      <c r="C32" s="77" t="s">
        <v>301</v>
      </c>
      <c r="D32" s="76" t="s">
        <v>450</v>
      </c>
      <c r="E32" s="76" t="s">
        <v>493</v>
      </c>
      <c r="F32" s="76" t="str">
        <f>REPT(CHAR(160),10)&amp;Working!$E33</f>
        <v>          C</v>
      </c>
      <c r="G32" s="78">
        <f>IFERROR(VLOOKUP(Table1215[[#This Row],[Column2]],Table12[[Column2]:[Column54]],6,FALSE),"0")</f>
        <v>0</v>
      </c>
      <c r="H32" s="78">
        <f>IFERROR(VLOOKUP(Table1215[[#This Row],[Column2]],Table12[[Column2]:[Column54]],7,FALSE),"0")</f>
        <v>0</v>
      </c>
      <c r="I32" s="78">
        <f>IFERROR(VLOOKUP(Table1215[[#This Row],[Column2]],Table12[[Column2]:[Column54]],8,FALSE),"0")</f>
        <v>2</v>
      </c>
      <c r="J32" s="78">
        <f>IFERROR(VLOOKUP(Table1215[[#This Row],[Column2]],Table12[[Column2]:[Column54]],9,FALSE),"0")</f>
        <v>0</v>
      </c>
      <c r="K32" s="78">
        <f>IFERROR(VLOOKUP(Table1215[[#This Row],[Column2]],Table12[[Column2]:[Column54]],10,FALSE),"0")</f>
        <v>0</v>
      </c>
      <c r="L32" s="80">
        <f>Table1215[[#This Row],[Column9]]</f>
        <v>2</v>
      </c>
      <c r="M32" s="78">
        <f>IFERROR(VLOOKUP(Table1215[[#This Row],[Column2]],Table12[[Column2]:[Column54]],12,FALSE),"0")</f>
        <v>0</v>
      </c>
      <c r="N32" s="78">
        <f>IFERROR(VLOOKUP(Table1215[[#This Row],[Column2]],Table12[[Column2]:[Column54]],13,FALSE),"0")</f>
        <v>3</v>
      </c>
      <c r="O32" s="78">
        <f>IFERROR(VLOOKUP(Table1215[[#This Row],[Column2]],Table12[[Column2]:[Column54]],14,FALSE),"0")</f>
        <v>3</v>
      </c>
      <c r="P32" s="78">
        <f>IFERROR(VLOOKUP(Table1215[[#This Row],[Column2]],Table12[[Column2]:[Column54]],10,FALSE),"0")</f>
        <v>0</v>
      </c>
      <c r="Q32" s="78">
        <f>IFERROR(VLOOKUP(Table1215[[#This Row],[Column2]],Table12[[Column2]:[Column54]],16,FALSE),"0")</f>
        <v>3</v>
      </c>
      <c r="R32" s="80">
        <f>AVERAGE(Table1215[[#This Row],[Column14]],Table1215[[#This Row],[Column15]],Table1215[[#This Row],[Column17]])</f>
        <v>3</v>
      </c>
      <c r="S32" s="78">
        <f>IFERROR(VLOOKUP(Table1215[[#This Row],[Column2]],Table12[[Column2]:[Column54]],18,FALSE),"0")</f>
        <v>0</v>
      </c>
      <c r="T32" s="78">
        <f>IFERROR(VLOOKUP(Table1215[[#This Row],[Column2]],Table12[[Column2]:[Column54]],19,FALSE),"0")</f>
        <v>0</v>
      </c>
      <c r="U32" s="78">
        <f>IFERROR(VLOOKUP(Table1215[[#This Row],[Column2]],Table12[[Column2]:[Column54]],20,FALSE),"0")</f>
        <v>0</v>
      </c>
      <c r="V32" s="78">
        <f>IFERROR(VLOOKUP(Table1215[[#This Row],[Column2]],Table12[[Column2]:[Column54]],21,FALSE),"0")</f>
        <v>0</v>
      </c>
      <c r="W32" s="78">
        <f>IFERROR(VLOOKUP(Table1215[[#This Row],[Column2]],Table12[[Column2]:[Column54]],22,FALSE),"0")</f>
        <v>0</v>
      </c>
      <c r="X32" s="80">
        <f>Table1215[[#This Row],[Column19]]</f>
        <v>0</v>
      </c>
      <c r="Y32" s="78">
        <f>IFERROR(VLOOKUP(Table1215[[#This Row],[Column2]],Table12[[Column2]:[Column54]],24,FALSE),"0")</f>
        <v>2</v>
      </c>
      <c r="Z32" s="78">
        <f>IFERROR(VLOOKUP(Table1215[[#This Row],[Column2]],Table12[[Column2]:[Column54]],25,FALSE),"0")</f>
        <v>0</v>
      </c>
      <c r="AA32" s="78">
        <f>IFERROR(VLOOKUP(Table1215[[#This Row],[Column2]],Table12[[Column2]:[Column54]],26,FALSE),"0")</f>
        <v>0</v>
      </c>
      <c r="AB32" s="78">
        <f>IFERROR(VLOOKUP(Table1215[[#This Row],[Column2]],Table12[[Column2]:[Column54]],27,FALSE),"0")</f>
        <v>0</v>
      </c>
      <c r="AC32" s="78">
        <f>IFERROR(VLOOKUP(Table1215[[#This Row],[Column2]],Table12[[Column2]:[Column54]],28,FALSE),"0")</f>
        <v>0</v>
      </c>
      <c r="AD32" s="80">
        <f>Table1215[[#This Row],[Column25]]</f>
        <v>2</v>
      </c>
      <c r="AE32" s="78">
        <f>IFERROR(VLOOKUP(Table1215[[#This Row],[Column2]],Table12[[Column2]:[Column54]],30,FALSE),"0")</f>
        <v>0</v>
      </c>
      <c r="AF32" s="78">
        <f>IFERROR(VLOOKUP(Table1215[[#This Row],[Column2]],Table12[[Column2]:[Column54]],31,FALSE),"0")</f>
        <v>0</v>
      </c>
      <c r="AG32" s="78">
        <f>IFERROR(VLOOKUP(Table1215[[#This Row],[Column2]],Table12[[Column2]:[Column54]],32,FALSE),"0")</f>
        <v>0</v>
      </c>
      <c r="AH32" s="78">
        <f>IFERROR(VLOOKUP(Table1215[[#This Row],[Column2]],Table12[[Column2]:[Column54]],33,FALSE),"0")</f>
        <v>0</v>
      </c>
      <c r="AI32" s="78">
        <f>IFERROR(VLOOKUP(Table1215[[#This Row],[Column2]],Table12[[Column2]:[Column54]],34,FALSE),"0")</f>
        <v>0</v>
      </c>
      <c r="AJ32" s="80">
        <f>AVERAGE(Table1215[[#This Row],[Column31]],Table1215[[#This Row],[Column32]],Table1215[[#This Row],[Column33]])</f>
        <v>0</v>
      </c>
      <c r="AK32" s="78">
        <f>IFERROR(VLOOKUP(Table1215[[#This Row],[Column2]],Table12[[Column2]:[Column54]],36,FALSE),"0")</f>
        <v>2</v>
      </c>
      <c r="AL32" s="78">
        <f>IFERROR(VLOOKUP(Table1215[[#This Row],[Column2]],Table12[[Column2]:[Column54]],37,FALSE),"0")</f>
        <v>2</v>
      </c>
      <c r="AM32" s="78">
        <f>IFERROR(VLOOKUP(Table1215[[#This Row],[Column2]],Table12[[Column2]:[Column54]],38,FALSE),"0")</f>
        <v>0</v>
      </c>
      <c r="AN32" s="78">
        <f>IFERROR(VLOOKUP(Table1215[[#This Row],[Column2]],Table12[[Column2]:[Column54]],39,FALSE),"0")</f>
        <v>3</v>
      </c>
      <c r="AO32" s="78">
        <f>IFERROR(VLOOKUP(Table1215[[#This Row],[Column2]],Table12[[Column2]:[Column54]],40,FALSE),"0")</f>
        <v>0</v>
      </c>
      <c r="AP32" s="80">
        <f>AVERAGE(Table1215[[#This Row],[Column37]],Table1215[[#This Row],[Column38]],Table1215[[#This Row],[Column40]])</f>
        <v>2.3333333333333335</v>
      </c>
      <c r="AQ32" s="78">
        <f>IFERROR(VLOOKUP(Table1215[[#This Row],[Column2]],Table12[[Column2]:[Column54]],42,FALSE),"0")</f>
        <v>3</v>
      </c>
      <c r="AR32" s="78">
        <f>IFERROR(VLOOKUP(Table1215[[#This Row],[Column2]],Table12[[Column2]:[Column54]],43,FALSE),"0")</f>
        <v>0</v>
      </c>
      <c r="AS32" s="78">
        <f>IFERROR(VLOOKUP(Table1215[[#This Row],[Column2]],Table12[[Column2]:[Column54]],44,FALSE),"0")</f>
        <v>0</v>
      </c>
      <c r="AT32" s="78">
        <f>IFERROR(VLOOKUP(Table1215[[#This Row],[Column2]],Table12[[Column2]:[Column54]],45,FALSE),"0")</f>
        <v>0</v>
      </c>
      <c r="AU32" s="78">
        <f>IFERROR(VLOOKUP(Table1215[[#This Row],[Column2]],Table12[[Column2]:[Column54]],46,FALSE),"0")</f>
        <v>0</v>
      </c>
      <c r="AV32" s="80">
        <f>Table1215[[#This Row],[Column43]]</f>
        <v>3</v>
      </c>
      <c r="AW32" s="78">
        <f>IFERROR(VLOOKUP(Table1215[[#This Row],[Column2]],Table12[[Column2]:[Column54]],48,FALSE),"0")</f>
        <v>0</v>
      </c>
      <c r="AX32" s="78">
        <f>IFERROR(VLOOKUP(Table1215[[#This Row],[Column2]],Table12[[Column2]:[Column54]],49,FALSE),"0")</f>
        <v>0</v>
      </c>
      <c r="AY32" s="78">
        <f>IFERROR(VLOOKUP(Table1215[[#This Row],[Column2]],Table12[[Column2]:[Column54]],50,FALSE),"0")</f>
        <v>0</v>
      </c>
      <c r="AZ32" s="78">
        <f>IFERROR(VLOOKUP(Table1215[[#This Row],[Column2]],Table12[[Column2]:[Column54]],51,FALSE),"0")</f>
        <v>3</v>
      </c>
      <c r="BA32" s="78">
        <f>IFERROR(VLOOKUP(Table1215[[#This Row],[Column2]],Table12[[Column2]:[Column54]],52,FALSE),"0")</f>
        <v>3</v>
      </c>
      <c r="BB32" s="80">
        <f>AVERAGE(Table1215[[#This Row],[Column52]],Table1215[[#This Row],[Column53]])</f>
        <v>3</v>
      </c>
    </row>
    <row r="33" spans="1:54" ht="23.1" customHeight="1" x14ac:dyDescent="0.3">
      <c r="A33" s="100">
        <v>30</v>
      </c>
      <c r="B33" s="83" t="s">
        <v>40</v>
      </c>
      <c r="C33" s="84" t="s">
        <v>41</v>
      </c>
      <c r="D33" s="83" t="s">
        <v>450</v>
      </c>
      <c r="E33" s="83" t="s">
        <v>35</v>
      </c>
      <c r="F33" s="83" t="str">
        <f>REPT(CHAR(160),10)&amp;Working!$E34</f>
        <v>          A</v>
      </c>
      <c r="G33" s="74">
        <f>IFERROR(VLOOKUP(Table1215[[#This Row],[Column2]],Table12[[Column2]:[Column54]],6,FALSE),"0")</f>
        <v>0</v>
      </c>
      <c r="H33" s="74">
        <f>IFERROR(VLOOKUP(Table1215[[#This Row],[Column2]],Table12[[Column2]:[Column54]],7,FALSE),"0")</f>
        <v>0</v>
      </c>
      <c r="I33" s="74">
        <f>IFERROR(VLOOKUP(Table1215[[#This Row],[Column2]],Table12[[Column2]:[Column54]],8,FALSE),"0")</f>
        <v>4</v>
      </c>
      <c r="J33" s="74">
        <f>IFERROR(VLOOKUP(Table1215[[#This Row],[Column2]],Table12[[Column2]:[Column54]],9,FALSE),"0")</f>
        <v>0</v>
      </c>
      <c r="K33" s="74">
        <f>IFERROR(VLOOKUP(Table1215[[#This Row],[Column2]],Table12[[Column2]:[Column54]],10,FALSE),"0")</f>
        <v>0</v>
      </c>
      <c r="L33" s="80">
        <f>Table1215[[#This Row],[Column9]]</f>
        <v>4</v>
      </c>
      <c r="M33" s="74">
        <f>IFERROR(VLOOKUP(Table1215[[#This Row],[Column2]],Table12[[Column2]:[Column54]],12,FALSE),"0")</f>
        <v>0</v>
      </c>
      <c r="N33" s="74">
        <f>IFERROR(VLOOKUP(Table1215[[#This Row],[Column2]],Table12[[Column2]:[Column54]],13,FALSE),"0")</f>
        <v>4</v>
      </c>
      <c r="O33" s="74">
        <f>IFERROR(VLOOKUP(Table1215[[#This Row],[Column2]],Table12[[Column2]:[Column54]],14,FALSE),"0")</f>
        <v>4</v>
      </c>
      <c r="P33" s="74">
        <f>IFERROR(VLOOKUP(Table1215[[#This Row],[Column2]],Table12[[Column2]:[Column54]],10,FALSE),"0")</f>
        <v>0</v>
      </c>
      <c r="Q33" s="74">
        <f>IFERROR(VLOOKUP(Table1215[[#This Row],[Column2]],Table12[[Column2]:[Column54]],16,FALSE),"0")</f>
        <v>4</v>
      </c>
      <c r="R33" s="80">
        <f>AVERAGE(Table1215[[#This Row],[Column14]],Table1215[[#This Row],[Column15]],Table1215[[#This Row],[Column17]])</f>
        <v>4</v>
      </c>
      <c r="S33" s="74">
        <f>IFERROR(VLOOKUP(Table1215[[#This Row],[Column2]],Table12[[Column2]:[Column54]],18,FALSE),"0")</f>
        <v>0</v>
      </c>
      <c r="T33" s="74">
        <f>IFERROR(VLOOKUP(Table1215[[#This Row],[Column2]],Table12[[Column2]:[Column54]],19,FALSE),"0")</f>
        <v>0</v>
      </c>
      <c r="U33" s="74">
        <f>IFERROR(VLOOKUP(Table1215[[#This Row],[Column2]],Table12[[Column2]:[Column54]],20,FALSE),"0")</f>
        <v>0</v>
      </c>
      <c r="V33" s="74">
        <f>IFERROR(VLOOKUP(Table1215[[#This Row],[Column2]],Table12[[Column2]:[Column54]],21,FALSE),"0")</f>
        <v>0</v>
      </c>
      <c r="W33" s="74">
        <f>IFERROR(VLOOKUP(Table1215[[#This Row],[Column2]],Table12[[Column2]:[Column54]],22,FALSE),"0")</f>
        <v>0</v>
      </c>
      <c r="X33" s="80">
        <f>Table1215[[#This Row],[Column19]]</f>
        <v>0</v>
      </c>
      <c r="Y33" s="74">
        <f>IFERROR(VLOOKUP(Table1215[[#This Row],[Column2]],Table12[[Column2]:[Column54]],24,FALSE),"0")</f>
        <v>4</v>
      </c>
      <c r="Z33" s="74">
        <f>IFERROR(VLOOKUP(Table1215[[#This Row],[Column2]],Table12[[Column2]:[Column54]],25,FALSE),"0")</f>
        <v>0</v>
      </c>
      <c r="AA33" s="74">
        <f>IFERROR(VLOOKUP(Table1215[[#This Row],[Column2]],Table12[[Column2]:[Column54]],26,FALSE),"0")</f>
        <v>0</v>
      </c>
      <c r="AB33" s="74">
        <f>IFERROR(VLOOKUP(Table1215[[#This Row],[Column2]],Table12[[Column2]:[Column54]],27,FALSE),"0")</f>
        <v>0</v>
      </c>
      <c r="AC33" s="74">
        <f>IFERROR(VLOOKUP(Table1215[[#This Row],[Column2]],Table12[[Column2]:[Column54]],28,FALSE),"0")</f>
        <v>0</v>
      </c>
      <c r="AD33" s="80">
        <f>Table1215[[#This Row],[Column25]]</f>
        <v>4</v>
      </c>
      <c r="AE33" s="74">
        <f>IFERROR(VLOOKUP(Table1215[[#This Row],[Column2]],Table12[[Column2]:[Column54]],30,FALSE),"0")</f>
        <v>0</v>
      </c>
      <c r="AF33" s="74">
        <f>IFERROR(VLOOKUP(Table1215[[#This Row],[Column2]],Table12[[Column2]:[Column54]],31,FALSE),"0")</f>
        <v>0</v>
      </c>
      <c r="AG33" s="74">
        <f>IFERROR(VLOOKUP(Table1215[[#This Row],[Column2]],Table12[[Column2]:[Column54]],32,FALSE),"0")</f>
        <v>0</v>
      </c>
      <c r="AH33" s="74">
        <f>IFERROR(VLOOKUP(Table1215[[#This Row],[Column2]],Table12[[Column2]:[Column54]],33,FALSE),"0")</f>
        <v>0</v>
      </c>
      <c r="AI33" s="74">
        <f>IFERROR(VLOOKUP(Table1215[[#This Row],[Column2]],Table12[[Column2]:[Column54]],34,FALSE),"0")</f>
        <v>0</v>
      </c>
      <c r="AJ33" s="80">
        <f>AVERAGE(Table1215[[#This Row],[Column31]],Table1215[[#This Row],[Column32]],Table1215[[#This Row],[Column33]])</f>
        <v>0</v>
      </c>
      <c r="AK33" s="74">
        <f>IFERROR(VLOOKUP(Table1215[[#This Row],[Column2]],Table12[[Column2]:[Column54]],36,FALSE),"0")</f>
        <v>4</v>
      </c>
      <c r="AL33" s="74">
        <f>IFERROR(VLOOKUP(Table1215[[#This Row],[Column2]],Table12[[Column2]:[Column54]],37,FALSE),"0")</f>
        <v>4</v>
      </c>
      <c r="AM33" s="74">
        <f>IFERROR(VLOOKUP(Table1215[[#This Row],[Column2]],Table12[[Column2]:[Column54]],38,FALSE),"0")</f>
        <v>0</v>
      </c>
      <c r="AN33" s="74">
        <f>IFERROR(VLOOKUP(Table1215[[#This Row],[Column2]],Table12[[Column2]:[Column54]],39,FALSE),"0")</f>
        <v>4</v>
      </c>
      <c r="AO33" s="74">
        <f>IFERROR(VLOOKUP(Table1215[[#This Row],[Column2]],Table12[[Column2]:[Column54]],40,FALSE),"0")</f>
        <v>0</v>
      </c>
      <c r="AP33" s="80">
        <f>AVERAGE(Table1215[[#This Row],[Column37]],Table1215[[#This Row],[Column38]],Table1215[[#This Row],[Column40]])</f>
        <v>4</v>
      </c>
      <c r="AQ33" s="74">
        <f>IFERROR(VLOOKUP(Table1215[[#This Row],[Column2]],Table12[[Column2]:[Column54]],42,FALSE),"0")</f>
        <v>3</v>
      </c>
      <c r="AR33" s="74">
        <f>IFERROR(VLOOKUP(Table1215[[#This Row],[Column2]],Table12[[Column2]:[Column54]],43,FALSE),"0")</f>
        <v>0</v>
      </c>
      <c r="AS33" s="74">
        <f>IFERROR(VLOOKUP(Table1215[[#This Row],[Column2]],Table12[[Column2]:[Column54]],44,FALSE),"0")</f>
        <v>0</v>
      </c>
      <c r="AT33" s="74">
        <f>IFERROR(VLOOKUP(Table1215[[#This Row],[Column2]],Table12[[Column2]:[Column54]],45,FALSE),"0")</f>
        <v>0</v>
      </c>
      <c r="AU33" s="74">
        <f>IFERROR(VLOOKUP(Table1215[[#This Row],[Column2]],Table12[[Column2]:[Column54]],46,FALSE),"0")</f>
        <v>0</v>
      </c>
      <c r="AV33" s="80">
        <f>Table1215[[#This Row],[Column43]]</f>
        <v>3</v>
      </c>
      <c r="AW33" s="74">
        <f>IFERROR(VLOOKUP(Table1215[[#This Row],[Column2]],Table12[[Column2]:[Column54]],48,FALSE),"0")</f>
        <v>0</v>
      </c>
      <c r="AX33" s="74">
        <f>IFERROR(VLOOKUP(Table1215[[#This Row],[Column2]],Table12[[Column2]:[Column54]],49,FALSE),"0")</f>
        <v>0</v>
      </c>
      <c r="AY33" s="74">
        <f>IFERROR(VLOOKUP(Table1215[[#This Row],[Column2]],Table12[[Column2]:[Column54]],50,FALSE),"0")</f>
        <v>0</v>
      </c>
      <c r="AZ33" s="74">
        <f>IFERROR(VLOOKUP(Table1215[[#This Row],[Column2]],Table12[[Column2]:[Column54]],51,FALSE),"0")</f>
        <v>4</v>
      </c>
      <c r="BA33" s="74">
        <f>IFERROR(VLOOKUP(Table1215[[#This Row],[Column2]],Table12[[Column2]:[Column54]],52,FALSE),"0")</f>
        <v>4</v>
      </c>
      <c r="BB33" s="80">
        <f>AVERAGE(Table1215[[#This Row],[Column52]],Table1215[[#This Row],[Column53]])</f>
        <v>4</v>
      </c>
    </row>
    <row r="34" spans="1:54" ht="23.1" customHeight="1" x14ac:dyDescent="0.3">
      <c r="A34" s="99">
        <v>31</v>
      </c>
      <c r="B34" s="76" t="s">
        <v>110</v>
      </c>
      <c r="C34" s="77" t="s">
        <v>111</v>
      </c>
      <c r="D34" s="76" t="s">
        <v>450</v>
      </c>
      <c r="E34" s="76" t="s">
        <v>35</v>
      </c>
      <c r="F34" s="76" t="str">
        <f>REPT(CHAR(160),10)&amp;Working!$E35</f>
        <v>          A</v>
      </c>
      <c r="G34" s="78">
        <f>IFERROR(VLOOKUP(Table1215[[#This Row],[Column2]],Table12[[Column2]:[Column54]],6,FALSE),"0")</f>
        <v>0</v>
      </c>
      <c r="H34" s="78">
        <f>IFERROR(VLOOKUP(Table1215[[#This Row],[Column2]],Table12[[Column2]:[Column54]],7,FALSE),"0")</f>
        <v>0</v>
      </c>
      <c r="I34" s="78">
        <f>IFERROR(VLOOKUP(Table1215[[#This Row],[Column2]],Table12[[Column2]:[Column54]],8,FALSE),"0")</f>
        <v>4</v>
      </c>
      <c r="J34" s="78">
        <f>IFERROR(VLOOKUP(Table1215[[#This Row],[Column2]],Table12[[Column2]:[Column54]],9,FALSE),"0")</f>
        <v>0</v>
      </c>
      <c r="K34" s="78">
        <f>IFERROR(VLOOKUP(Table1215[[#This Row],[Column2]],Table12[[Column2]:[Column54]],10,FALSE),"0")</f>
        <v>0</v>
      </c>
      <c r="L34" s="80">
        <f>Table1215[[#This Row],[Column9]]</f>
        <v>4</v>
      </c>
      <c r="M34" s="78">
        <f>IFERROR(VLOOKUP(Table1215[[#This Row],[Column2]],Table12[[Column2]:[Column54]],12,FALSE),"0")</f>
        <v>0</v>
      </c>
      <c r="N34" s="78">
        <f>IFERROR(VLOOKUP(Table1215[[#This Row],[Column2]],Table12[[Column2]:[Column54]],13,FALSE),"0")</f>
        <v>4</v>
      </c>
      <c r="O34" s="78">
        <f>IFERROR(VLOOKUP(Table1215[[#This Row],[Column2]],Table12[[Column2]:[Column54]],14,FALSE),"0")</f>
        <v>4</v>
      </c>
      <c r="P34" s="78">
        <f>IFERROR(VLOOKUP(Table1215[[#This Row],[Column2]],Table12[[Column2]:[Column54]],10,FALSE),"0")</f>
        <v>0</v>
      </c>
      <c r="Q34" s="78">
        <f>IFERROR(VLOOKUP(Table1215[[#This Row],[Column2]],Table12[[Column2]:[Column54]],16,FALSE),"0")</f>
        <v>4</v>
      </c>
      <c r="R34" s="80">
        <f>AVERAGE(Table1215[[#This Row],[Column14]],Table1215[[#This Row],[Column15]],Table1215[[#This Row],[Column17]])</f>
        <v>4</v>
      </c>
      <c r="S34" s="78">
        <f>IFERROR(VLOOKUP(Table1215[[#This Row],[Column2]],Table12[[Column2]:[Column54]],18,FALSE),"0")</f>
        <v>0</v>
      </c>
      <c r="T34" s="78">
        <f>IFERROR(VLOOKUP(Table1215[[#This Row],[Column2]],Table12[[Column2]:[Column54]],19,FALSE),"0")</f>
        <v>0</v>
      </c>
      <c r="U34" s="78">
        <f>IFERROR(VLOOKUP(Table1215[[#This Row],[Column2]],Table12[[Column2]:[Column54]],20,FALSE),"0")</f>
        <v>0</v>
      </c>
      <c r="V34" s="78">
        <f>IFERROR(VLOOKUP(Table1215[[#This Row],[Column2]],Table12[[Column2]:[Column54]],21,FALSE),"0")</f>
        <v>0</v>
      </c>
      <c r="W34" s="78">
        <f>IFERROR(VLOOKUP(Table1215[[#This Row],[Column2]],Table12[[Column2]:[Column54]],22,FALSE),"0")</f>
        <v>0</v>
      </c>
      <c r="X34" s="80">
        <f>Table1215[[#This Row],[Column19]]</f>
        <v>0</v>
      </c>
      <c r="Y34" s="78">
        <f>IFERROR(VLOOKUP(Table1215[[#This Row],[Column2]],Table12[[Column2]:[Column54]],24,FALSE),"0")</f>
        <v>4</v>
      </c>
      <c r="Z34" s="78">
        <f>IFERROR(VLOOKUP(Table1215[[#This Row],[Column2]],Table12[[Column2]:[Column54]],25,FALSE),"0")</f>
        <v>0</v>
      </c>
      <c r="AA34" s="78">
        <f>IFERROR(VLOOKUP(Table1215[[#This Row],[Column2]],Table12[[Column2]:[Column54]],26,FALSE),"0")</f>
        <v>0</v>
      </c>
      <c r="AB34" s="78">
        <f>IFERROR(VLOOKUP(Table1215[[#This Row],[Column2]],Table12[[Column2]:[Column54]],27,FALSE),"0")</f>
        <v>0</v>
      </c>
      <c r="AC34" s="78">
        <f>IFERROR(VLOOKUP(Table1215[[#This Row],[Column2]],Table12[[Column2]:[Column54]],28,FALSE),"0")</f>
        <v>0</v>
      </c>
      <c r="AD34" s="80">
        <f>Table1215[[#This Row],[Column25]]</f>
        <v>4</v>
      </c>
      <c r="AE34" s="78">
        <f>IFERROR(VLOOKUP(Table1215[[#This Row],[Column2]],Table12[[Column2]:[Column54]],30,FALSE),"0")</f>
        <v>0</v>
      </c>
      <c r="AF34" s="78">
        <f>IFERROR(VLOOKUP(Table1215[[#This Row],[Column2]],Table12[[Column2]:[Column54]],31,FALSE),"0")</f>
        <v>0</v>
      </c>
      <c r="AG34" s="78">
        <f>IFERROR(VLOOKUP(Table1215[[#This Row],[Column2]],Table12[[Column2]:[Column54]],32,FALSE),"0")</f>
        <v>0</v>
      </c>
      <c r="AH34" s="78">
        <f>IFERROR(VLOOKUP(Table1215[[#This Row],[Column2]],Table12[[Column2]:[Column54]],33,FALSE),"0")</f>
        <v>0</v>
      </c>
      <c r="AI34" s="78">
        <f>IFERROR(VLOOKUP(Table1215[[#This Row],[Column2]],Table12[[Column2]:[Column54]],34,FALSE),"0")</f>
        <v>0</v>
      </c>
      <c r="AJ34" s="80">
        <f>AVERAGE(Table1215[[#This Row],[Column31]],Table1215[[#This Row],[Column32]],Table1215[[#This Row],[Column33]])</f>
        <v>0</v>
      </c>
      <c r="AK34" s="78">
        <f>IFERROR(VLOOKUP(Table1215[[#This Row],[Column2]],Table12[[Column2]:[Column54]],36,FALSE),"0")</f>
        <v>4</v>
      </c>
      <c r="AL34" s="78">
        <f>IFERROR(VLOOKUP(Table1215[[#This Row],[Column2]],Table12[[Column2]:[Column54]],37,FALSE),"0")</f>
        <v>4</v>
      </c>
      <c r="AM34" s="78">
        <f>IFERROR(VLOOKUP(Table1215[[#This Row],[Column2]],Table12[[Column2]:[Column54]],38,FALSE),"0")</f>
        <v>0</v>
      </c>
      <c r="AN34" s="78">
        <f>IFERROR(VLOOKUP(Table1215[[#This Row],[Column2]],Table12[[Column2]:[Column54]],39,FALSE),"0")</f>
        <v>4</v>
      </c>
      <c r="AO34" s="78">
        <f>IFERROR(VLOOKUP(Table1215[[#This Row],[Column2]],Table12[[Column2]:[Column54]],40,FALSE),"0")</f>
        <v>0</v>
      </c>
      <c r="AP34" s="80">
        <f>AVERAGE(Table1215[[#This Row],[Column37]],Table1215[[#This Row],[Column38]],Table1215[[#This Row],[Column40]])</f>
        <v>4</v>
      </c>
      <c r="AQ34" s="78">
        <f>IFERROR(VLOOKUP(Table1215[[#This Row],[Column2]],Table12[[Column2]:[Column54]],42,FALSE),"0")</f>
        <v>3</v>
      </c>
      <c r="AR34" s="78">
        <f>IFERROR(VLOOKUP(Table1215[[#This Row],[Column2]],Table12[[Column2]:[Column54]],43,FALSE),"0")</f>
        <v>0</v>
      </c>
      <c r="AS34" s="78">
        <f>IFERROR(VLOOKUP(Table1215[[#This Row],[Column2]],Table12[[Column2]:[Column54]],44,FALSE),"0")</f>
        <v>0</v>
      </c>
      <c r="AT34" s="78">
        <f>IFERROR(VLOOKUP(Table1215[[#This Row],[Column2]],Table12[[Column2]:[Column54]],45,FALSE),"0")</f>
        <v>0</v>
      </c>
      <c r="AU34" s="78">
        <f>IFERROR(VLOOKUP(Table1215[[#This Row],[Column2]],Table12[[Column2]:[Column54]],46,FALSE),"0")</f>
        <v>0</v>
      </c>
      <c r="AV34" s="80">
        <f>Table1215[[#This Row],[Column43]]</f>
        <v>3</v>
      </c>
      <c r="AW34" s="78">
        <f>IFERROR(VLOOKUP(Table1215[[#This Row],[Column2]],Table12[[Column2]:[Column54]],48,FALSE),"0")</f>
        <v>0</v>
      </c>
      <c r="AX34" s="78">
        <f>IFERROR(VLOOKUP(Table1215[[#This Row],[Column2]],Table12[[Column2]:[Column54]],49,FALSE),"0")</f>
        <v>0</v>
      </c>
      <c r="AY34" s="78">
        <f>IFERROR(VLOOKUP(Table1215[[#This Row],[Column2]],Table12[[Column2]:[Column54]],50,FALSE),"0")</f>
        <v>0</v>
      </c>
      <c r="AZ34" s="78">
        <f>IFERROR(VLOOKUP(Table1215[[#This Row],[Column2]],Table12[[Column2]:[Column54]],51,FALSE),"0")</f>
        <v>4</v>
      </c>
      <c r="BA34" s="78">
        <f>IFERROR(VLOOKUP(Table1215[[#This Row],[Column2]],Table12[[Column2]:[Column54]],52,FALSE),"0")</f>
        <v>4</v>
      </c>
      <c r="BB34" s="80">
        <f>AVERAGE(Table1215[[#This Row],[Column52]],Table1215[[#This Row],[Column53]])</f>
        <v>4</v>
      </c>
    </row>
    <row r="35" spans="1:54" ht="23.1" customHeight="1" x14ac:dyDescent="0.3">
      <c r="A35" s="100">
        <v>32</v>
      </c>
      <c r="B35" s="83" t="s">
        <v>243</v>
      </c>
      <c r="C35" s="84" t="s">
        <v>244</v>
      </c>
      <c r="D35" s="83" t="s">
        <v>542</v>
      </c>
      <c r="E35" s="83" t="s">
        <v>161</v>
      </c>
      <c r="F35" s="83" t="str">
        <f>REPT(CHAR(160),10)&amp;Working!$E36</f>
        <v>          B</v>
      </c>
      <c r="G35" s="74">
        <f>IFERROR(VLOOKUP(Table1215[[#This Row],[Column2]],Table12[[Column2]:[Column54]],6,FALSE),"0")</f>
        <v>0</v>
      </c>
      <c r="H35" s="74">
        <f>IFERROR(VLOOKUP(Table1215[[#This Row],[Column2]],Table12[[Column2]:[Column54]],7,FALSE),"0")</f>
        <v>0</v>
      </c>
      <c r="I35" s="74">
        <f>IFERROR(VLOOKUP(Table1215[[#This Row],[Column2]],Table12[[Column2]:[Column54]],8,FALSE),"0")</f>
        <v>4</v>
      </c>
      <c r="J35" s="74">
        <f>IFERROR(VLOOKUP(Table1215[[#This Row],[Column2]],Table12[[Column2]:[Column54]],9,FALSE),"0")</f>
        <v>0</v>
      </c>
      <c r="K35" s="74">
        <f>IFERROR(VLOOKUP(Table1215[[#This Row],[Column2]],Table12[[Column2]:[Column54]],10,FALSE),"0")</f>
        <v>0</v>
      </c>
      <c r="L35" s="80">
        <f>Table1215[[#This Row],[Column9]]</f>
        <v>4</v>
      </c>
      <c r="M35" s="74">
        <f>IFERROR(VLOOKUP(Table1215[[#This Row],[Column2]],Table12[[Column2]:[Column54]],12,FALSE),"0")</f>
        <v>0</v>
      </c>
      <c r="N35" s="74">
        <f>IFERROR(VLOOKUP(Table1215[[#This Row],[Column2]],Table12[[Column2]:[Column54]],13,FALSE),"0")</f>
        <v>4</v>
      </c>
      <c r="O35" s="74">
        <f>IFERROR(VLOOKUP(Table1215[[#This Row],[Column2]],Table12[[Column2]:[Column54]],14,FALSE),"0")</f>
        <v>4</v>
      </c>
      <c r="P35" s="74">
        <f>IFERROR(VLOOKUP(Table1215[[#This Row],[Column2]],Table12[[Column2]:[Column54]],10,FALSE),"0")</f>
        <v>0</v>
      </c>
      <c r="Q35" s="74">
        <f>IFERROR(VLOOKUP(Table1215[[#This Row],[Column2]],Table12[[Column2]:[Column54]],16,FALSE),"0")</f>
        <v>4</v>
      </c>
      <c r="R35" s="80">
        <f>AVERAGE(Table1215[[#This Row],[Column14]],Table1215[[#This Row],[Column15]],Table1215[[#This Row],[Column17]])</f>
        <v>4</v>
      </c>
      <c r="S35" s="74">
        <f>IFERROR(VLOOKUP(Table1215[[#This Row],[Column2]],Table12[[Column2]:[Column54]],18,FALSE),"0")</f>
        <v>0</v>
      </c>
      <c r="T35" s="74">
        <f>IFERROR(VLOOKUP(Table1215[[#This Row],[Column2]],Table12[[Column2]:[Column54]],19,FALSE),"0")</f>
        <v>0</v>
      </c>
      <c r="U35" s="74">
        <f>IFERROR(VLOOKUP(Table1215[[#This Row],[Column2]],Table12[[Column2]:[Column54]],20,FALSE),"0")</f>
        <v>0</v>
      </c>
      <c r="V35" s="74">
        <f>IFERROR(VLOOKUP(Table1215[[#This Row],[Column2]],Table12[[Column2]:[Column54]],21,FALSE),"0")</f>
        <v>0</v>
      </c>
      <c r="W35" s="74">
        <f>IFERROR(VLOOKUP(Table1215[[#This Row],[Column2]],Table12[[Column2]:[Column54]],22,FALSE),"0")</f>
        <v>0</v>
      </c>
      <c r="X35" s="80">
        <f>Table1215[[#This Row],[Column19]]</f>
        <v>0</v>
      </c>
      <c r="Y35" s="74">
        <f>IFERROR(VLOOKUP(Table1215[[#This Row],[Column2]],Table12[[Column2]:[Column54]],24,FALSE),"0")</f>
        <v>4</v>
      </c>
      <c r="Z35" s="74">
        <f>IFERROR(VLOOKUP(Table1215[[#This Row],[Column2]],Table12[[Column2]:[Column54]],25,FALSE),"0")</f>
        <v>0</v>
      </c>
      <c r="AA35" s="74">
        <f>IFERROR(VLOOKUP(Table1215[[#This Row],[Column2]],Table12[[Column2]:[Column54]],26,FALSE),"0")</f>
        <v>0</v>
      </c>
      <c r="AB35" s="74">
        <f>IFERROR(VLOOKUP(Table1215[[#This Row],[Column2]],Table12[[Column2]:[Column54]],27,FALSE),"0")</f>
        <v>0</v>
      </c>
      <c r="AC35" s="74">
        <f>IFERROR(VLOOKUP(Table1215[[#This Row],[Column2]],Table12[[Column2]:[Column54]],28,FALSE),"0")</f>
        <v>0</v>
      </c>
      <c r="AD35" s="80">
        <f>Table1215[[#This Row],[Column25]]</f>
        <v>4</v>
      </c>
      <c r="AE35" s="74">
        <f>IFERROR(VLOOKUP(Table1215[[#This Row],[Column2]],Table12[[Column2]:[Column54]],30,FALSE),"0")</f>
        <v>0</v>
      </c>
      <c r="AF35" s="74">
        <f>IFERROR(VLOOKUP(Table1215[[#This Row],[Column2]],Table12[[Column2]:[Column54]],31,FALSE),"0")</f>
        <v>0</v>
      </c>
      <c r="AG35" s="74">
        <f>IFERROR(VLOOKUP(Table1215[[#This Row],[Column2]],Table12[[Column2]:[Column54]],32,FALSE),"0")</f>
        <v>0</v>
      </c>
      <c r="AH35" s="74">
        <f>IFERROR(VLOOKUP(Table1215[[#This Row],[Column2]],Table12[[Column2]:[Column54]],33,FALSE),"0")</f>
        <v>0</v>
      </c>
      <c r="AI35" s="74">
        <f>IFERROR(VLOOKUP(Table1215[[#This Row],[Column2]],Table12[[Column2]:[Column54]],34,FALSE),"0")</f>
        <v>0</v>
      </c>
      <c r="AJ35" s="80">
        <f>AVERAGE(Table1215[[#This Row],[Column31]],Table1215[[#This Row],[Column32]],Table1215[[#This Row],[Column33]])</f>
        <v>0</v>
      </c>
      <c r="AK35" s="74">
        <f>IFERROR(VLOOKUP(Table1215[[#This Row],[Column2]],Table12[[Column2]:[Column54]],36,FALSE),"0")</f>
        <v>5</v>
      </c>
      <c r="AL35" s="74">
        <f>IFERROR(VLOOKUP(Table1215[[#This Row],[Column2]],Table12[[Column2]:[Column54]],37,FALSE),"0")</f>
        <v>4</v>
      </c>
      <c r="AM35" s="74">
        <f>IFERROR(VLOOKUP(Table1215[[#This Row],[Column2]],Table12[[Column2]:[Column54]],38,FALSE),"0")</f>
        <v>0</v>
      </c>
      <c r="AN35" s="74">
        <f>IFERROR(VLOOKUP(Table1215[[#This Row],[Column2]],Table12[[Column2]:[Column54]],39,FALSE),"0")</f>
        <v>5</v>
      </c>
      <c r="AO35" s="74">
        <f>IFERROR(VLOOKUP(Table1215[[#This Row],[Column2]],Table12[[Column2]:[Column54]],40,FALSE),"0")</f>
        <v>0</v>
      </c>
      <c r="AP35" s="80">
        <f>AVERAGE(Table1215[[#This Row],[Column37]],Table1215[[#This Row],[Column38]],Table1215[[#This Row],[Column40]])</f>
        <v>4.666666666666667</v>
      </c>
      <c r="AQ35" s="74">
        <f>IFERROR(VLOOKUP(Table1215[[#This Row],[Column2]],Table12[[Column2]:[Column54]],42,FALSE),"0")</f>
        <v>4</v>
      </c>
      <c r="AR35" s="74">
        <f>IFERROR(VLOOKUP(Table1215[[#This Row],[Column2]],Table12[[Column2]:[Column54]],43,FALSE),"0")</f>
        <v>0</v>
      </c>
      <c r="AS35" s="74">
        <f>IFERROR(VLOOKUP(Table1215[[#This Row],[Column2]],Table12[[Column2]:[Column54]],44,FALSE),"0")</f>
        <v>0</v>
      </c>
      <c r="AT35" s="74">
        <f>IFERROR(VLOOKUP(Table1215[[#This Row],[Column2]],Table12[[Column2]:[Column54]],45,FALSE),"0")</f>
        <v>0</v>
      </c>
      <c r="AU35" s="74">
        <f>IFERROR(VLOOKUP(Table1215[[#This Row],[Column2]],Table12[[Column2]:[Column54]],46,FALSE),"0")</f>
        <v>0</v>
      </c>
      <c r="AV35" s="80">
        <f>Table1215[[#This Row],[Column43]]</f>
        <v>4</v>
      </c>
      <c r="AW35" s="74">
        <f>IFERROR(VLOOKUP(Table1215[[#This Row],[Column2]],Table12[[Column2]:[Column54]],48,FALSE),"0")</f>
        <v>0</v>
      </c>
      <c r="AX35" s="74">
        <f>IFERROR(VLOOKUP(Table1215[[#This Row],[Column2]],Table12[[Column2]:[Column54]],49,FALSE),"0")</f>
        <v>0</v>
      </c>
      <c r="AY35" s="74">
        <f>IFERROR(VLOOKUP(Table1215[[#This Row],[Column2]],Table12[[Column2]:[Column54]],50,FALSE),"0")</f>
        <v>0</v>
      </c>
      <c r="AZ35" s="74">
        <f>IFERROR(VLOOKUP(Table1215[[#This Row],[Column2]],Table12[[Column2]:[Column54]],51,FALSE),"0")</f>
        <v>5</v>
      </c>
      <c r="BA35" s="74">
        <f>IFERROR(VLOOKUP(Table1215[[#This Row],[Column2]],Table12[[Column2]:[Column54]],52,FALSE),"0")</f>
        <v>4</v>
      </c>
      <c r="BB35" s="80">
        <f>AVERAGE(Table1215[[#This Row],[Column52]],Table1215[[#This Row],[Column53]])</f>
        <v>4.5</v>
      </c>
    </row>
    <row r="36" spans="1:54" ht="23.1" customHeight="1" x14ac:dyDescent="0.3">
      <c r="A36" s="99">
        <v>33</v>
      </c>
      <c r="B36" s="76" t="s">
        <v>211</v>
      </c>
      <c r="C36" s="77" t="s">
        <v>212</v>
      </c>
      <c r="D36" s="76" t="s">
        <v>542</v>
      </c>
      <c r="E36" s="76" t="s">
        <v>161</v>
      </c>
      <c r="F36" s="76" t="str">
        <f>REPT(CHAR(160),10)&amp;Working!$E37</f>
        <v>          B</v>
      </c>
      <c r="G36" s="78">
        <f>IFERROR(VLOOKUP(Table1215[[#This Row],[Column2]],Table12[[Column2]:[Column54]],6,FALSE),"0")</f>
        <v>0</v>
      </c>
      <c r="H36" s="78">
        <f>IFERROR(VLOOKUP(Table1215[[#This Row],[Column2]],Table12[[Column2]:[Column54]],7,FALSE),"0")</f>
        <v>0</v>
      </c>
      <c r="I36" s="78">
        <f>IFERROR(VLOOKUP(Table1215[[#This Row],[Column2]],Table12[[Column2]:[Column54]],8,FALSE),"0")</f>
        <v>4</v>
      </c>
      <c r="J36" s="78">
        <f>IFERROR(VLOOKUP(Table1215[[#This Row],[Column2]],Table12[[Column2]:[Column54]],9,FALSE),"0")</f>
        <v>0</v>
      </c>
      <c r="K36" s="78">
        <f>IFERROR(VLOOKUP(Table1215[[#This Row],[Column2]],Table12[[Column2]:[Column54]],10,FALSE),"0")</f>
        <v>0</v>
      </c>
      <c r="L36" s="80">
        <f>Table1215[[#This Row],[Column9]]</f>
        <v>4</v>
      </c>
      <c r="M36" s="78">
        <f>IFERROR(VLOOKUP(Table1215[[#This Row],[Column2]],Table12[[Column2]:[Column54]],12,FALSE),"0")</f>
        <v>0</v>
      </c>
      <c r="N36" s="78">
        <f>IFERROR(VLOOKUP(Table1215[[#This Row],[Column2]],Table12[[Column2]:[Column54]],13,FALSE),"0")</f>
        <v>4</v>
      </c>
      <c r="O36" s="78">
        <f>IFERROR(VLOOKUP(Table1215[[#This Row],[Column2]],Table12[[Column2]:[Column54]],14,FALSE),"0")</f>
        <v>4</v>
      </c>
      <c r="P36" s="78">
        <f>IFERROR(VLOOKUP(Table1215[[#This Row],[Column2]],Table12[[Column2]:[Column54]],10,FALSE),"0")</f>
        <v>0</v>
      </c>
      <c r="Q36" s="78">
        <f>IFERROR(VLOOKUP(Table1215[[#This Row],[Column2]],Table12[[Column2]:[Column54]],16,FALSE),"0")</f>
        <v>4</v>
      </c>
      <c r="R36" s="80">
        <f>AVERAGE(Table1215[[#This Row],[Column14]],Table1215[[#This Row],[Column15]],Table1215[[#This Row],[Column17]])</f>
        <v>4</v>
      </c>
      <c r="S36" s="78">
        <f>IFERROR(VLOOKUP(Table1215[[#This Row],[Column2]],Table12[[Column2]:[Column54]],18,FALSE),"0")</f>
        <v>0</v>
      </c>
      <c r="T36" s="78">
        <f>IFERROR(VLOOKUP(Table1215[[#This Row],[Column2]],Table12[[Column2]:[Column54]],19,FALSE),"0")</f>
        <v>0</v>
      </c>
      <c r="U36" s="78">
        <f>IFERROR(VLOOKUP(Table1215[[#This Row],[Column2]],Table12[[Column2]:[Column54]],20,FALSE),"0")</f>
        <v>0</v>
      </c>
      <c r="V36" s="78">
        <f>IFERROR(VLOOKUP(Table1215[[#This Row],[Column2]],Table12[[Column2]:[Column54]],21,FALSE),"0")</f>
        <v>0</v>
      </c>
      <c r="W36" s="78">
        <f>IFERROR(VLOOKUP(Table1215[[#This Row],[Column2]],Table12[[Column2]:[Column54]],22,FALSE),"0")</f>
        <v>0</v>
      </c>
      <c r="X36" s="80">
        <f>Table1215[[#This Row],[Column19]]</f>
        <v>0</v>
      </c>
      <c r="Y36" s="78">
        <f>IFERROR(VLOOKUP(Table1215[[#This Row],[Column2]],Table12[[Column2]:[Column54]],24,FALSE),"0")</f>
        <v>4</v>
      </c>
      <c r="Z36" s="78">
        <f>IFERROR(VLOOKUP(Table1215[[#This Row],[Column2]],Table12[[Column2]:[Column54]],25,FALSE),"0")</f>
        <v>0</v>
      </c>
      <c r="AA36" s="78">
        <f>IFERROR(VLOOKUP(Table1215[[#This Row],[Column2]],Table12[[Column2]:[Column54]],26,FALSE),"0")</f>
        <v>0</v>
      </c>
      <c r="AB36" s="78">
        <f>IFERROR(VLOOKUP(Table1215[[#This Row],[Column2]],Table12[[Column2]:[Column54]],27,FALSE),"0")</f>
        <v>0</v>
      </c>
      <c r="AC36" s="78">
        <f>IFERROR(VLOOKUP(Table1215[[#This Row],[Column2]],Table12[[Column2]:[Column54]],28,FALSE),"0")</f>
        <v>0</v>
      </c>
      <c r="AD36" s="80">
        <f>Table1215[[#This Row],[Column25]]</f>
        <v>4</v>
      </c>
      <c r="AE36" s="78">
        <f>IFERROR(VLOOKUP(Table1215[[#This Row],[Column2]],Table12[[Column2]:[Column54]],30,FALSE),"0")</f>
        <v>0</v>
      </c>
      <c r="AF36" s="78">
        <f>IFERROR(VLOOKUP(Table1215[[#This Row],[Column2]],Table12[[Column2]:[Column54]],31,FALSE),"0")</f>
        <v>0</v>
      </c>
      <c r="AG36" s="78">
        <f>IFERROR(VLOOKUP(Table1215[[#This Row],[Column2]],Table12[[Column2]:[Column54]],32,FALSE),"0")</f>
        <v>0</v>
      </c>
      <c r="AH36" s="78">
        <f>IFERROR(VLOOKUP(Table1215[[#This Row],[Column2]],Table12[[Column2]:[Column54]],33,FALSE),"0")</f>
        <v>0</v>
      </c>
      <c r="AI36" s="78">
        <f>IFERROR(VLOOKUP(Table1215[[#This Row],[Column2]],Table12[[Column2]:[Column54]],34,FALSE),"0")</f>
        <v>0</v>
      </c>
      <c r="AJ36" s="80">
        <f>AVERAGE(Table1215[[#This Row],[Column31]],Table1215[[#This Row],[Column32]],Table1215[[#This Row],[Column33]])</f>
        <v>0</v>
      </c>
      <c r="AK36" s="78">
        <f>IFERROR(VLOOKUP(Table1215[[#This Row],[Column2]],Table12[[Column2]:[Column54]],36,FALSE),"0")</f>
        <v>4</v>
      </c>
      <c r="AL36" s="78">
        <f>IFERROR(VLOOKUP(Table1215[[#This Row],[Column2]],Table12[[Column2]:[Column54]],37,FALSE),"0")</f>
        <v>4</v>
      </c>
      <c r="AM36" s="78">
        <f>IFERROR(VLOOKUP(Table1215[[#This Row],[Column2]],Table12[[Column2]:[Column54]],38,FALSE),"0")</f>
        <v>0</v>
      </c>
      <c r="AN36" s="78">
        <f>IFERROR(VLOOKUP(Table1215[[#This Row],[Column2]],Table12[[Column2]:[Column54]],39,FALSE),"0")</f>
        <v>4</v>
      </c>
      <c r="AO36" s="78">
        <f>IFERROR(VLOOKUP(Table1215[[#This Row],[Column2]],Table12[[Column2]:[Column54]],40,FALSE),"0")</f>
        <v>0</v>
      </c>
      <c r="AP36" s="80">
        <f>AVERAGE(Table1215[[#This Row],[Column37]],Table1215[[#This Row],[Column38]],Table1215[[#This Row],[Column40]])</f>
        <v>4</v>
      </c>
      <c r="AQ36" s="78">
        <f>IFERROR(VLOOKUP(Table1215[[#This Row],[Column2]],Table12[[Column2]:[Column54]],42,FALSE),"0")</f>
        <v>4</v>
      </c>
      <c r="AR36" s="78">
        <f>IFERROR(VLOOKUP(Table1215[[#This Row],[Column2]],Table12[[Column2]:[Column54]],43,FALSE),"0")</f>
        <v>0</v>
      </c>
      <c r="AS36" s="78">
        <f>IFERROR(VLOOKUP(Table1215[[#This Row],[Column2]],Table12[[Column2]:[Column54]],44,FALSE),"0")</f>
        <v>0</v>
      </c>
      <c r="AT36" s="78">
        <f>IFERROR(VLOOKUP(Table1215[[#This Row],[Column2]],Table12[[Column2]:[Column54]],45,FALSE),"0")</f>
        <v>0</v>
      </c>
      <c r="AU36" s="78">
        <f>IFERROR(VLOOKUP(Table1215[[#This Row],[Column2]],Table12[[Column2]:[Column54]],46,FALSE),"0")</f>
        <v>0</v>
      </c>
      <c r="AV36" s="80">
        <f>Table1215[[#This Row],[Column43]]</f>
        <v>4</v>
      </c>
      <c r="AW36" s="78">
        <f>IFERROR(VLOOKUP(Table1215[[#This Row],[Column2]],Table12[[Column2]:[Column54]],48,FALSE),"0")</f>
        <v>0</v>
      </c>
      <c r="AX36" s="78">
        <f>IFERROR(VLOOKUP(Table1215[[#This Row],[Column2]],Table12[[Column2]:[Column54]],49,FALSE),"0")</f>
        <v>0</v>
      </c>
      <c r="AY36" s="78">
        <f>IFERROR(VLOOKUP(Table1215[[#This Row],[Column2]],Table12[[Column2]:[Column54]],50,FALSE),"0")</f>
        <v>0</v>
      </c>
      <c r="AZ36" s="78">
        <f>IFERROR(VLOOKUP(Table1215[[#This Row],[Column2]],Table12[[Column2]:[Column54]],51,FALSE),"0")</f>
        <v>4</v>
      </c>
      <c r="BA36" s="78">
        <f>IFERROR(VLOOKUP(Table1215[[#This Row],[Column2]],Table12[[Column2]:[Column54]],52,FALSE),"0")</f>
        <v>4</v>
      </c>
      <c r="BB36" s="80">
        <f>AVERAGE(Table1215[[#This Row],[Column52]],Table1215[[#This Row],[Column53]])</f>
        <v>4</v>
      </c>
    </row>
    <row r="37" spans="1:54" ht="23.1" customHeight="1" x14ac:dyDescent="0.3">
      <c r="A37" s="100">
        <v>34</v>
      </c>
      <c r="B37" s="83" t="s">
        <v>95</v>
      </c>
      <c r="C37" s="84" t="s">
        <v>96</v>
      </c>
      <c r="D37" s="83" t="s">
        <v>542</v>
      </c>
      <c r="E37" s="83" t="s">
        <v>35</v>
      </c>
      <c r="F37" s="83" t="str">
        <f>REPT(CHAR(160),10)&amp;Working!$E38</f>
        <v>          A</v>
      </c>
      <c r="G37" s="74">
        <f>IFERROR(VLOOKUP(Table1215[[#This Row],[Column2]],Table12[[Column2]:[Column54]],6,FALSE),"0")</f>
        <v>0</v>
      </c>
      <c r="H37" s="74">
        <f>IFERROR(VLOOKUP(Table1215[[#This Row],[Column2]],Table12[[Column2]:[Column54]],7,FALSE),"0")</f>
        <v>0</v>
      </c>
      <c r="I37" s="74">
        <f>IFERROR(VLOOKUP(Table1215[[#This Row],[Column2]],Table12[[Column2]:[Column54]],8,FALSE),"0")</f>
        <v>4</v>
      </c>
      <c r="J37" s="74">
        <f>IFERROR(VLOOKUP(Table1215[[#This Row],[Column2]],Table12[[Column2]:[Column54]],9,FALSE),"0")</f>
        <v>0</v>
      </c>
      <c r="K37" s="74">
        <f>IFERROR(VLOOKUP(Table1215[[#This Row],[Column2]],Table12[[Column2]:[Column54]],10,FALSE),"0")</f>
        <v>0</v>
      </c>
      <c r="L37" s="80">
        <f>Table1215[[#This Row],[Column9]]</f>
        <v>4</v>
      </c>
      <c r="M37" s="74">
        <f>IFERROR(VLOOKUP(Table1215[[#This Row],[Column2]],Table12[[Column2]:[Column54]],12,FALSE),"0")</f>
        <v>0</v>
      </c>
      <c r="N37" s="74">
        <f>IFERROR(VLOOKUP(Table1215[[#This Row],[Column2]],Table12[[Column2]:[Column54]],13,FALSE),"0")</f>
        <v>5</v>
      </c>
      <c r="O37" s="74">
        <f>IFERROR(VLOOKUP(Table1215[[#This Row],[Column2]],Table12[[Column2]:[Column54]],14,FALSE),"0")</f>
        <v>4</v>
      </c>
      <c r="P37" s="74">
        <f>IFERROR(VLOOKUP(Table1215[[#This Row],[Column2]],Table12[[Column2]:[Column54]],10,FALSE),"0")</f>
        <v>0</v>
      </c>
      <c r="Q37" s="74">
        <f>IFERROR(VLOOKUP(Table1215[[#This Row],[Column2]],Table12[[Column2]:[Column54]],16,FALSE),"0")</f>
        <v>4</v>
      </c>
      <c r="R37" s="80">
        <f>AVERAGE(Table1215[[#This Row],[Column14]],Table1215[[#This Row],[Column15]],Table1215[[#This Row],[Column17]])</f>
        <v>4.333333333333333</v>
      </c>
      <c r="S37" s="74">
        <f>IFERROR(VLOOKUP(Table1215[[#This Row],[Column2]],Table12[[Column2]:[Column54]],18,FALSE),"0")</f>
        <v>0</v>
      </c>
      <c r="T37" s="74">
        <f>IFERROR(VLOOKUP(Table1215[[#This Row],[Column2]],Table12[[Column2]:[Column54]],19,FALSE),"0")</f>
        <v>0</v>
      </c>
      <c r="U37" s="74">
        <f>IFERROR(VLOOKUP(Table1215[[#This Row],[Column2]],Table12[[Column2]:[Column54]],20,FALSE),"0")</f>
        <v>0</v>
      </c>
      <c r="V37" s="74">
        <f>IFERROR(VLOOKUP(Table1215[[#This Row],[Column2]],Table12[[Column2]:[Column54]],21,FALSE),"0")</f>
        <v>0</v>
      </c>
      <c r="W37" s="74">
        <f>IFERROR(VLOOKUP(Table1215[[#This Row],[Column2]],Table12[[Column2]:[Column54]],22,FALSE),"0")</f>
        <v>0</v>
      </c>
      <c r="X37" s="80">
        <f>Table1215[[#This Row],[Column19]]</f>
        <v>0</v>
      </c>
      <c r="Y37" s="74">
        <f>IFERROR(VLOOKUP(Table1215[[#This Row],[Column2]],Table12[[Column2]:[Column54]],24,FALSE),"0")</f>
        <v>5</v>
      </c>
      <c r="Z37" s="74">
        <f>IFERROR(VLOOKUP(Table1215[[#This Row],[Column2]],Table12[[Column2]:[Column54]],25,FALSE),"0")</f>
        <v>0</v>
      </c>
      <c r="AA37" s="74">
        <f>IFERROR(VLOOKUP(Table1215[[#This Row],[Column2]],Table12[[Column2]:[Column54]],26,FALSE),"0")</f>
        <v>0</v>
      </c>
      <c r="AB37" s="74">
        <f>IFERROR(VLOOKUP(Table1215[[#This Row],[Column2]],Table12[[Column2]:[Column54]],27,FALSE),"0")</f>
        <v>0</v>
      </c>
      <c r="AC37" s="74">
        <f>IFERROR(VLOOKUP(Table1215[[#This Row],[Column2]],Table12[[Column2]:[Column54]],28,FALSE),"0")</f>
        <v>0</v>
      </c>
      <c r="AD37" s="80">
        <f>Table1215[[#This Row],[Column25]]</f>
        <v>5</v>
      </c>
      <c r="AE37" s="74">
        <f>IFERROR(VLOOKUP(Table1215[[#This Row],[Column2]],Table12[[Column2]:[Column54]],30,FALSE),"0")</f>
        <v>0</v>
      </c>
      <c r="AF37" s="74">
        <f>IFERROR(VLOOKUP(Table1215[[#This Row],[Column2]],Table12[[Column2]:[Column54]],31,FALSE),"0")</f>
        <v>0</v>
      </c>
      <c r="AG37" s="74">
        <f>IFERROR(VLOOKUP(Table1215[[#This Row],[Column2]],Table12[[Column2]:[Column54]],32,FALSE),"0")</f>
        <v>0</v>
      </c>
      <c r="AH37" s="74">
        <f>IFERROR(VLOOKUP(Table1215[[#This Row],[Column2]],Table12[[Column2]:[Column54]],33,FALSE),"0")</f>
        <v>0</v>
      </c>
      <c r="AI37" s="74">
        <f>IFERROR(VLOOKUP(Table1215[[#This Row],[Column2]],Table12[[Column2]:[Column54]],34,FALSE),"0")</f>
        <v>0</v>
      </c>
      <c r="AJ37" s="80">
        <f>AVERAGE(Table1215[[#This Row],[Column31]],Table1215[[#This Row],[Column32]],Table1215[[#This Row],[Column33]])</f>
        <v>0</v>
      </c>
      <c r="AK37" s="74">
        <f>IFERROR(VLOOKUP(Table1215[[#This Row],[Column2]],Table12[[Column2]:[Column54]],36,FALSE),"0")</f>
        <v>5</v>
      </c>
      <c r="AL37" s="74">
        <f>IFERROR(VLOOKUP(Table1215[[#This Row],[Column2]],Table12[[Column2]:[Column54]],37,FALSE),"0")</f>
        <v>5</v>
      </c>
      <c r="AM37" s="74">
        <f>IFERROR(VLOOKUP(Table1215[[#This Row],[Column2]],Table12[[Column2]:[Column54]],38,FALSE),"0")</f>
        <v>0</v>
      </c>
      <c r="AN37" s="74">
        <f>IFERROR(VLOOKUP(Table1215[[#This Row],[Column2]],Table12[[Column2]:[Column54]],39,FALSE),"0")</f>
        <v>5</v>
      </c>
      <c r="AO37" s="74">
        <f>IFERROR(VLOOKUP(Table1215[[#This Row],[Column2]],Table12[[Column2]:[Column54]],40,FALSE),"0")</f>
        <v>0</v>
      </c>
      <c r="AP37" s="80">
        <f>AVERAGE(Table1215[[#This Row],[Column37]],Table1215[[#This Row],[Column38]],Table1215[[#This Row],[Column40]])</f>
        <v>5</v>
      </c>
      <c r="AQ37" s="74">
        <f>IFERROR(VLOOKUP(Table1215[[#This Row],[Column2]],Table12[[Column2]:[Column54]],42,FALSE),"0")</f>
        <v>5</v>
      </c>
      <c r="AR37" s="74">
        <f>IFERROR(VLOOKUP(Table1215[[#This Row],[Column2]],Table12[[Column2]:[Column54]],43,FALSE),"0")</f>
        <v>0</v>
      </c>
      <c r="AS37" s="74">
        <f>IFERROR(VLOOKUP(Table1215[[#This Row],[Column2]],Table12[[Column2]:[Column54]],44,FALSE),"0")</f>
        <v>0</v>
      </c>
      <c r="AT37" s="74">
        <f>IFERROR(VLOOKUP(Table1215[[#This Row],[Column2]],Table12[[Column2]:[Column54]],45,FALSE),"0")</f>
        <v>0</v>
      </c>
      <c r="AU37" s="74">
        <f>IFERROR(VLOOKUP(Table1215[[#This Row],[Column2]],Table12[[Column2]:[Column54]],46,FALSE),"0")</f>
        <v>0</v>
      </c>
      <c r="AV37" s="80">
        <f>Table1215[[#This Row],[Column43]]</f>
        <v>5</v>
      </c>
      <c r="AW37" s="74">
        <f>IFERROR(VLOOKUP(Table1215[[#This Row],[Column2]],Table12[[Column2]:[Column54]],48,FALSE),"0")</f>
        <v>0</v>
      </c>
      <c r="AX37" s="74">
        <f>IFERROR(VLOOKUP(Table1215[[#This Row],[Column2]],Table12[[Column2]:[Column54]],49,FALSE),"0")</f>
        <v>0</v>
      </c>
      <c r="AY37" s="74">
        <f>IFERROR(VLOOKUP(Table1215[[#This Row],[Column2]],Table12[[Column2]:[Column54]],50,FALSE),"0")</f>
        <v>0</v>
      </c>
      <c r="AZ37" s="74">
        <f>IFERROR(VLOOKUP(Table1215[[#This Row],[Column2]],Table12[[Column2]:[Column54]],51,FALSE),"0")</f>
        <v>5</v>
      </c>
      <c r="BA37" s="74">
        <f>IFERROR(VLOOKUP(Table1215[[#This Row],[Column2]],Table12[[Column2]:[Column54]],52,FALSE),"0")</f>
        <v>5</v>
      </c>
      <c r="BB37" s="80">
        <f>AVERAGE(Table1215[[#This Row],[Column52]],Table1215[[#This Row],[Column53]])</f>
        <v>5</v>
      </c>
    </row>
    <row r="38" spans="1:54" ht="23.1" customHeight="1" x14ac:dyDescent="0.3">
      <c r="A38" s="99">
        <v>35</v>
      </c>
      <c r="B38" s="76" t="s">
        <v>273</v>
      </c>
      <c r="C38" s="77" t="s">
        <v>274</v>
      </c>
      <c r="D38" s="76" t="s">
        <v>450</v>
      </c>
      <c r="E38" s="76" t="s">
        <v>161</v>
      </c>
      <c r="F38" s="76" t="str">
        <f>REPT(CHAR(160),10)&amp;Working!$E39</f>
        <v>          B</v>
      </c>
      <c r="G38" s="78">
        <f>IFERROR(VLOOKUP(Table1215[[#This Row],[Column2]],Table12[[Column2]:[Column54]],6,FALSE),"0")</f>
        <v>0</v>
      </c>
      <c r="H38" s="78">
        <f>IFERROR(VLOOKUP(Table1215[[#This Row],[Column2]],Table12[[Column2]:[Column54]],7,FALSE),"0")</f>
        <v>0</v>
      </c>
      <c r="I38" s="78">
        <f>IFERROR(VLOOKUP(Table1215[[#This Row],[Column2]],Table12[[Column2]:[Column54]],8,FALSE),"0")</f>
        <v>4</v>
      </c>
      <c r="J38" s="78">
        <f>IFERROR(VLOOKUP(Table1215[[#This Row],[Column2]],Table12[[Column2]:[Column54]],9,FALSE),"0")</f>
        <v>0</v>
      </c>
      <c r="K38" s="78">
        <f>IFERROR(VLOOKUP(Table1215[[#This Row],[Column2]],Table12[[Column2]:[Column54]],10,FALSE),"0")</f>
        <v>0</v>
      </c>
      <c r="L38" s="80">
        <f>Table1215[[#This Row],[Column9]]</f>
        <v>4</v>
      </c>
      <c r="M38" s="78">
        <f>IFERROR(VLOOKUP(Table1215[[#This Row],[Column2]],Table12[[Column2]:[Column54]],12,FALSE),"0")</f>
        <v>0</v>
      </c>
      <c r="N38" s="78">
        <f>IFERROR(VLOOKUP(Table1215[[#This Row],[Column2]],Table12[[Column2]:[Column54]],13,FALSE),"0")</f>
        <v>4</v>
      </c>
      <c r="O38" s="78">
        <f>IFERROR(VLOOKUP(Table1215[[#This Row],[Column2]],Table12[[Column2]:[Column54]],14,FALSE),"0")</f>
        <v>4</v>
      </c>
      <c r="P38" s="78">
        <f>IFERROR(VLOOKUP(Table1215[[#This Row],[Column2]],Table12[[Column2]:[Column54]],10,FALSE),"0")</f>
        <v>0</v>
      </c>
      <c r="Q38" s="78">
        <f>IFERROR(VLOOKUP(Table1215[[#This Row],[Column2]],Table12[[Column2]:[Column54]],16,FALSE),"0")</f>
        <v>4</v>
      </c>
      <c r="R38" s="80">
        <f>AVERAGE(Table1215[[#This Row],[Column14]],Table1215[[#This Row],[Column15]],Table1215[[#This Row],[Column17]])</f>
        <v>4</v>
      </c>
      <c r="S38" s="78">
        <f>IFERROR(VLOOKUP(Table1215[[#This Row],[Column2]],Table12[[Column2]:[Column54]],18,FALSE),"0")</f>
        <v>0</v>
      </c>
      <c r="T38" s="78">
        <f>IFERROR(VLOOKUP(Table1215[[#This Row],[Column2]],Table12[[Column2]:[Column54]],19,FALSE),"0")</f>
        <v>0</v>
      </c>
      <c r="U38" s="78">
        <f>IFERROR(VLOOKUP(Table1215[[#This Row],[Column2]],Table12[[Column2]:[Column54]],20,FALSE),"0")</f>
        <v>0</v>
      </c>
      <c r="V38" s="78">
        <f>IFERROR(VLOOKUP(Table1215[[#This Row],[Column2]],Table12[[Column2]:[Column54]],21,FALSE),"0")</f>
        <v>0</v>
      </c>
      <c r="W38" s="78">
        <f>IFERROR(VLOOKUP(Table1215[[#This Row],[Column2]],Table12[[Column2]:[Column54]],22,FALSE),"0")</f>
        <v>0</v>
      </c>
      <c r="X38" s="80">
        <f>Table1215[[#This Row],[Column19]]</f>
        <v>0</v>
      </c>
      <c r="Y38" s="78">
        <f>IFERROR(VLOOKUP(Table1215[[#This Row],[Column2]],Table12[[Column2]:[Column54]],24,FALSE),"0")</f>
        <v>4</v>
      </c>
      <c r="Z38" s="78">
        <f>IFERROR(VLOOKUP(Table1215[[#This Row],[Column2]],Table12[[Column2]:[Column54]],25,FALSE),"0")</f>
        <v>0</v>
      </c>
      <c r="AA38" s="78">
        <f>IFERROR(VLOOKUP(Table1215[[#This Row],[Column2]],Table12[[Column2]:[Column54]],26,FALSE),"0")</f>
        <v>0</v>
      </c>
      <c r="AB38" s="78">
        <f>IFERROR(VLOOKUP(Table1215[[#This Row],[Column2]],Table12[[Column2]:[Column54]],27,FALSE),"0")</f>
        <v>0</v>
      </c>
      <c r="AC38" s="78">
        <f>IFERROR(VLOOKUP(Table1215[[#This Row],[Column2]],Table12[[Column2]:[Column54]],28,FALSE),"0")</f>
        <v>0</v>
      </c>
      <c r="AD38" s="80">
        <f>Table1215[[#This Row],[Column25]]</f>
        <v>4</v>
      </c>
      <c r="AE38" s="78">
        <f>IFERROR(VLOOKUP(Table1215[[#This Row],[Column2]],Table12[[Column2]:[Column54]],30,FALSE),"0")</f>
        <v>0</v>
      </c>
      <c r="AF38" s="78">
        <f>IFERROR(VLOOKUP(Table1215[[#This Row],[Column2]],Table12[[Column2]:[Column54]],31,FALSE),"0")</f>
        <v>0</v>
      </c>
      <c r="AG38" s="78">
        <f>IFERROR(VLOOKUP(Table1215[[#This Row],[Column2]],Table12[[Column2]:[Column54]],32,FALSE),"0")</f>
        <v>0</v>
      </c>
      <c r="AH38" s="78">
        <f>IFERROR(VLOOKUP(Table1215[[#This Row],[Column2]],Table12[[Column2]:[Column54]],33,FALSE),"0")</f>
        <v>0</v>
      </c>
      <c r="AI38" s="78">
        <f>IFERROR(VLOOKUP(Table1215[[#This Row],[Column2]],Table12[[Column2]:[Column54]],34,FALSE),"0")</f>
        <v>0</v>
      </c>
      <c r="AJ38" s="80">
        <f>AVERAGE(Table1215[[#This Row],[Column31]],Table1215[[#This Row],[Column32]],Table1215[[#This Row],[Column33]])</f>
        <v>0</v>
      </c>
      <c r="AK38" s="78">
        <f>IFERROR(VLOOKUP(Table1215[[#This Row],[Column2]],Table12[[Column2]:[Column54]],36,FALSE),"0")</f>
        <v>5</v>
      </c>
      <c r="AL38" s="78">
        <f>IFERROR(VLOOKUP(Table1215[[#This Row],[Column2]],Table12[[Column2]:[Column54]],37,FALSE),"0")</f>
        <v>4</v>
      </c>
      <c r="AM38" s="78">
        <f>IFERROR(VLOOKUP(Table1215[[#This Row],[Column2]],Table12[[Column2]:[Column54]],38,FALSE),"0")</f>
        <v>0</v>
      </c>
      <c r="AN38" s="78">
        <f>IFERROR(VLOOKUP(Table1215[[#This Row],[Column2]],Table12[[Column2]:[Column54]],39,FALSE),"0")</f>
        <v>4</v>
      </c>
      <c r="AO38" s="78">
        <f>IFERROR(VLOOKUP(Table1215[[#This Row],[Column2]],Table12[[Column2]:[Column54]],40,FALSE),"0")</f>
        <v>0</v>
      </c>
      <c r="AP38" s="80">
        <f>AVERAGE(Table1215[[#This Row],[Column37]],Table1215[[#This Row],[Column38]],Table1215[[#This Row],[Column40]])</f>
        <v>4.333333333333333</v>
      </c>
      <c r="AQ38" s="78">
        <f>IFERROR(VLOOKUP(Table1215[[#This Row],[Column2]],Table12[[Column2]:[Column54]],42,FALSE),"0")</f>
        <v>4</v>
      </c>
      <c r="AR38" s="78">
        <f>IFERROR(VLOOKUP(Table1215[[#This Row],[Column2]],Table12[[Column2]:[Column54]],43,FALSE),"0")</f>
        <v>0</v>
      </c>
      <c r="AS38" s="78">
        <f>IFERROR(VLOOKUP(Table1215[[#This Row],[Column2]],Table12[[Column2]:[Column54]],44,FALSE),"0")</f>
        <v>0</v>
      </c>
      <c r="AT38" s="78">
        <f>IFERROR(VLOOKUP(Table1215[[#This Row],[Column2]],Table12[[Column2]:[Column54]],45,FALSE),"0")</f>
        <v>0</v>
      </c>
      <c r="AU38" s="78">
        <f>IFERROR(VLOOKUP(Table1215[[#This Row],[Column2]],Table12[[Column2]:[Column54]],46,FALSE),"0")</f>
        <v>0</v>
      </c>
      <c r="AV38" s="80">
        <f>Table1215[[#This Row],[Column43]]</f>
        <v>4</v>
      </c>
      <c r="AW38" s="78">
        <f>IFERROR(VLOOKUP(Table1215[[#This Row],[Column2]],Table12[[Column2]:[Column54]],48,FALSE),"0")</f>
        <v>0</v>
      </c>
      <c r="AX38" s="78">
        <f>IFERROR(VLOOKUP(Table1215[[#This Row],[Column2]],Table12[[Column2]:[Column54]],49,FALSE),"0")</f>
        <v>0</v>
      </c>
      <c r="AY38" s="78">
        <f>IFERROR(VLOOKUP(Table1215[[#This Row],[Column2]],Table12[[Column2]:[Column54]],50,FALSE),"0")</f>
        <v>0</v>
      </c>
      <c r="AZ38" s="78">
        <f>IFERROR(VLOOKUP(Table1215[[#This Row],[Column2]],Table12[[Column2]:[Column54]],51,FALSE),"0")</f>
        <v>4</v>
      </c>
      <c r="BA38" s="78">
        <f>IFERROR(VLOOKUP(Table1215[[#This Row],[Column2]],Table12[[Column2]:[Column54]],52,FALSE),"0")</f>
        <v>4</v>
      </c>
      <c r="BB38" s="80">
        <f>AVERAGE(Table1215[[#This Row],[Column52]],Table1215[[#This Row],[Column53]])</f>
        <v>4</v>
      </c>
    </row>
    <row r="39" spans="1:54" ht="23.1" customHeight="1" x14ac:dyDescent="0.3">
      <c r="A39" s="100">
        <v>36</v>
      </c>
      <c r="B39" s="83" t="s">
        <v>112</v>
      </c>
      <c r="C39" s="84" t="s">
        <v>113</v>
      </c>
      <c r="D39" s="83" t="s">
        <v>450</v>
      </c>
      <c r="E39" s="83" t="s">
        <v>35</v>
      </c>
      <c r="F39" s="83" t="str">
        <f>REPT(CHAR(160),10)&amp;Working!$E40</f>
        <v>          A</v>
      </c>
      <c r="G39" s="74">
        <f>IFERROR(VLOOKUP(Table1215[[#This Row],[Column2]],Table12[[Column2]:[Column54]],6,FALSE),"0")</f>
        <v>0</v>
      </c>
      <c r="H39" s="74">
        <f>IFERROR(VLOOKUP(Table1215[[#This Row],[Column2]],Table12[[Column2]:[Column54]],7,FALSE),"0")</f>
        <v>0</v>
      </c>
      <c r="I39" s="74">
        <f>IFERROR(VLOOKUP(Table1215[[#This Row],[Column2]],Table12[[Column2]:[Column54]],8,FALSE),"0")</f>
        <v>2</v>
      </c>
      <c r="J39" s="74">
        <f>IFERROR(VLOOKUP(Table1215[[#This Row],[Column2]],Table12[[Column2]:[Column54]],9,FALSE),"0")</f>
        <v>0</v>
      </c>
      <c r="K39" s="74">
        <f>IFERROR(VLOOKUP(Table1215[[#This Row],[Column2]],Table12[[Column2]:[Column54]],10,FALSE),"0")</f>
        <v>0</v>
      </c>
      <c r="L39" s="80">
        <f>Table1215[[#This Row],[Column9]]</f>
        <v>2</v>
      </c>
      <c r="M39" s="74">
        <f>IFERROR(VLOOKUP(Table1215[[#This Row],[Column2]],Table12[[Column2]:[Column54]],12,FALSE),"0")</f>
        <v>0</v>
      </c>
      <c r="N39" s="74">
        <f>IFERROR(VLOOKUP(Table1215[[#This Row],[Column2]],Table12[[Column2]:[Column54]],13,FALSE),"0")</f>
        <v>2</v>
      </c>
      <c r="O39" s="74">
        <f>IFERROR(VLOOKUP(Table1215[[#This Row],[Column2]],Table12[[Column2]:[Column54]],14,FALSE),"0")</f>
        <v>3</v>
      </c>
      <c r="P39" s="74">
        <f>IFERROR(VLOOKUP(Table1215[[#This Row],[Column2]],Table12[[Column2]:[Column54]],10,FALSE),"0")</f>
        <v>0</v>
      </c>
      <c r="Q39" s="74">
        <f>IFERROR(VLOOKUP(Table1215[[#This Row],[Column2]],Table12[[Column2]:[Column54]],16,FALSE),"0")</f>
        <v>3</v>
      </c>
      <c r="R39" s="80">
        <f>AVERAGE(Table1215[[#This Row],[Column14]],Table1215[[#This Row],[Column15]],Table1215[[#This Row],[Column17]])</f>
        <v>2.6666666666666665</v>
      </c>
      <c r="S39" s="74">
        <f>IFERROR(VLOOKUP(Table1215[[#This Row],[Column2]],Table12[[Column2]:[Column54]],18,FALSE),"0")</f>
        <v>0</v>
      </c>
      <c r="T39" s="74">
        <f>IFERROR(VLOOKUP(Table1215[[#This Row],[Column2]],Table12[[Column2]:[Column54]],19,FALSE),"0")</f>
        <v>0</v>
      </c>
      <c r="U39" s="74">
        <f>IFERROR(VLOOKUP(Table1215[[#This Row],[Column2]],Table12[[Column2]:[Column54]],20,FALSE),"0")</f>
        <v>0</v>
      </c>
      <c r="V39" s="74">
        <f>IFERROR(VLOOKUP(Table1215[[#This Row],[Column2]],Table12[[Column2]:[Column54]],21,FALSE),"0")</f>
        <v>0</v>
      </c>
      <c r="W39" s="74">
        <f>IFERROR(VLOOKUP(Table1215[[#This Row],[Column2]],Table12[[Column2]:[Column54]],22,FALSE),"0")</f>
        <v>0</v>
      </c>
      <c r="X39" s="80">
        <f>Table1215[[#This Row],[Column19]]</f>
        <v>0</v>
      </c>
      <c r="Y39" s="74">
        <f>IFERROR(VLOOKUP(Table1215[[#This Row],[Column2]],Table12[[Column2]:[Column54]],24,FALSE),"0")</f>
        <v>3</v>
      </c>
      <c r="Z39" s="74">
        <f>IFERROR(VLOOKUP(Table1215[[#This Row],[Column2]],Table12[[Column2]:[Column54]],25,FALSE),"0")</f>
        <v>0</v>
      </c>
      <c r="AA39" s="74">
        <f>IFERROR(VLOOKUP(Table1215[[#This Row],[Column2]],Table12[[Column2]:[Column54]],26,FALSE),"0")</f>
        <v>0</v>
      </c>
      <c r="AB39" s="74">
        <f>IFERROR(VLOOKUP(Table1215[[#This Row],[Column2]],Table12[[Column2]:[Column54]],27,FALSE),"0")</f>
        <v>0</v>
      </c>
      <c r="AC39" s="74">
        <f>IFERROR(VLOOKUP(Table1215[[#This Row],[Column2]],Table12[[Column2]:[Column54]],28,FALSE),"0")</f>
        <v>0</v>
      </c>
      <c r="AD39" s="80">
        <f>Table1215[[#This Row],[Column25]]</f>
        <v>3</v>
      </c>
      <c r="AE39" s="74">
        <f>IFERROR(VLOOKUP(Table1215[[#This Row],[Column2]],Table12[[Column2]:[Column54]],30,FALSE),"0")</f>
        <v>0</v>
      </c>
      <c r="AF39" s="74">
        <f>IFERROR(VLOOKUP(Table1215[[#This Row],[Column2]],Table12[[Column2]:[Column54]],31,FALSE),"0")</f>
        <v>0</v>
      </c>
      <c r="AG39" s="74">
        <f>IFERROR(VLOOKUP(Table1215[[#This Row],[Column2]],Table12[[Column2]:[Column54]],32,FALSE),"0")</f>
        <v>0</v>
      </c>
      <c r="AH39" s="74">
        <f>IFERROR(VLOOKUP(Table1215[[#This Row],[Column2]],Table12[[Column2]:[Column54]],33,FALSE),"0")</f>
        <v>0</v>
      </c>
      <c r="AI39" s="74">
        <f>IFERROR(VLOOKUP(Table1215[[#This Row],[Column2]],Table12[[Column2]:[Column54]],34,FALSE),"0")</f>
        <v>0</v>
      </c>
      <c r="AJ39" s="80">
        <f>AVERAGE(Table1215[[#This Row],[Column31]],Table1215[[#This Row],[Column32]],Table1215[[#This Row],[Column33]])</f>
        <v>0</v>
      </c>
      <c r="AK39" s="74">
        <f>IFERROR(VLOOKUP(Table1215[[#This Row],[Column2]],Table12[[Column2]:[Column54]],36,FALSE),"0")</f>
        <v>3</v>
      </c>
      <c r="AL39" s="74">
        <f>IFERROR(VLOOKUP(Table1215[[#This Row],[Column2]],Table12[[Column2]:[Column54]],37,FALSE),"0")</f>
        <v>3</v>
      </c>
      <c r="AM39" s="74">
        <f>IFERROR(VLOOKUP(Table1215[[#This Row],[Column2]],Table12[[Column2]:[Column54]],38,FALSE),"0")</f>
        <v>0</v>
      </c>
      <c r="AN39" s="74">
        <f>IFERROR(VLOOKUP(Table1215[[#This Row],[Column2]],Table12[[Column2]:[Column54]],39,FALSE),"0")</f>
        <v>3</v>
      </c>
      <c r="AO39" s="74">
        <f>IFERROR(VLOOKUP(Table1215[[#This Row],[Column2]],Table12[[Column2]:[Column54]],40,FALSE),"0")</f>
        <v>0</v>
      </c>
      <c r="AP39" s="80">
        <f>AVERAGE(Table1215[[#This Row],[Column37]],Table1215[[#This Row],[Column38]],Table1215[[#This Row],[Column40]])</f>
        <v>3</v>
      </c>
      <c r="AQ39" s="74">
        <f>IFERROR(VLOOKUP(Table1215[[#This Row],[Column2]],Table12[[Column2]:[Column54]],42,FALSE),"0")</f>
        <v>3</v>
      </c>
      <c r="AR39" s="74">
        <f>IFERROR(VLOOKUP(Table1215[[#This Row],[Column2]],Table12[[Column2]:[Column54]],43,FALSE),"0")</f>
        <v>0</v>
      </c>
      <c r="AS39" s="74">
        <f>IFERROR(VLOOKUP(Table1215[[#This Row],[Column2]],Table12[[Column2]:[Column54]],44,FALSE),"0")</f>
        <v>0</v>
      </c>
      <c r="AT39" s="74">
        <f>IFERROR(VLOOKUP(Table1215[[#This Row],[Column2]],Table12[[Column2]:[Column54]],45,FALSE),"0")</f>
        <v>0</v>
      </c>
      <c r="AU39" s="74">
        <f>IFERROR(VLOOKUP(Table1215[[#This Row],[Column2]],Table12[[Column2]:[Column54]],46,FALSE),"0")</f>
        <v>0</v>
      </c>
      <c r="AV39" s="80">
        <f>Table1215[[#This Row],[Column43]]</f>
        <v>3</v>
      </c>
      <c r="AW39" s="74">
        <f>IFERROR(VLOOKUP(Table1215[[#This Row],[Column2]],Table12[[Column2]:[Column54]],48,FALSE),"0")</f>
        <v>0</v>
      </c>
      <c r="AX39" s="74">
        <f>IFERROR(VLOOKUP(Table1215[[#This Row],[Column2]],Table12[[Column2]:[Column54]],49,FALSE),"0")</f>
        <v>0</v>
      </c>
      <c r="AY39" s="74">
        <f>IFERROR(VLOOKUP(Table1215[[#This Row],[Column2]],Table12[[Column2]:[Column54]],50,FALSE),"0")</f>
        <v>0</v>
      </c>
      <c r="AZ39" s="74">
        <f>IFERROR(VLOOKUP(Table1215[[#This Row],[Column2]],Table12[[Column2]:[Column54]],51,FALSE),"0")</f>
        <v>2</v>
      </c>
      <c r="BA39" s="74">
        <f>IFERROR(VLOOKUP(Table1215[[#This Row],[Column2]],Table12[[Column2]:[Column54]],52,FALSE),"0")</f>
        <v>3</v>
      </c>
      <c r="BB39" s="80">
        <f>AVERAGE(Table1215[[#This Row],[Column52]],Table1215[[#This Row],[Column53]])</f>
        <v>2.5</v>
      </c>
    </row>
    <row r="40" spans="1:54" ht="23.1" customHeight="1" x14ac:dyDescent="0.3">
      <c r="A40" s="99">
        <v>37</v>
      </c>
      <c r="B40" s="76" t="s">
        <v>302</v>
      </c>
      <c r="C40" s="77" t="s">
        <v>303</v>
      </c>
      <c r="D40" s="76" t="s">
        <v>450</v>
      </c>
      <c r="E40" s="76" t="s">
        <v>493</v>
      </c>
      <c r="F40" s="76" t="str">
        <f>REPT(CHAR(160),10)&amp;Working!$E41</f>
        <v>          C</v>
      </c>
      <c r="G40" s="78">
        <f>IFERROR(VLOOKUP(Table1215[[#This Row],[Column2]],Table12[[Column2]:[Column54]],6,FALSE),"0")</f>
        <v>0</v>
      </c>
      <c r="H40" s="78">
        <f>IFERROR(VLOOKUP(Table1215[[#This Row],[Column2]],Table12[[Column2]:[Column54]],7,FALSE),"0")</f>
        <v>0</v>
      </c>
      <c r="I40" s="78">
        <f>IFERROR(VLOOKUP(Table1215[[#This Row],[Column2]],Table12[[Column2]:[Column54]],8,FALSE),"0")</f>
        <v>4</v>
      </c>
      <c r="J40" s="78">
        <f>IFERROR(VLOOKUP(Table1215[[#This Row],[Column2]],Table12[[Column2]:[Column54]],9,FALSE),"0")</f>
        <v>0</v>
      </c>
      <c r="K40" s="78">
        <f>IFERROR(VLOOKUP(Table1215[[#This Row],[Column2]],Table12[[Column2]:[Column54]],10,FALSE),"0")</f>
        <v>0</v>
      </c>
      <c r="L40" s="80">
        <f>Table1215[[#This Row],[Column9]]</f>
        <v>4</v>
      </c>
      <c r="M40" s="78">
        <f>IFERROR(VLOOKUP(Table1215[[#This Row],[Column2]],Table12[[Column2]:[Column54]],12,FALSE),"0")</f>
        <v>0</v>
      </c>
      <c r="N40" s="78">
        <f>IFERROR(VLOOKUP(Table1215[[#This Row],[Column2]],Table12[[Column2]:[Column54]],13,FALSE),"0")</f>
        <v>4</v>
      </c>
      <c r="O40" s="78">
        <f>IFERROR(VLOOKUP(Table1215[[#This Row],[Column2]],Table12[[Column2]:[Column54]],14,FALSE),"0")</f>
        <v>4</v>
      </c>
      <c r="P40" s="78">
        <f>IFERROR(VLOOKUP(Table1215[[#This Row],[Column2]],Table12[[Column2]:[Column54]],10,FALSE),"0")</f>
        <v>0</v>
      </c>
      <c r="Q40" s="78">
        <f>IFERROR(VLOOKUP(Table1215[[#This Row],[Column2]],Table12[[Column2]:[Column54]],16,FALSE),"0")</f>
        <v>4</v>
      </c>
      <c r="R40" s="80">
        <f>AVERAGE(Table1215[[#This Row],[Column14]],Table1215[[#This Row],[Column15]],Table1215[[#This Row],[Column17]])</f>
        <v>4</v>
      </c>
      <c r="S40" s="78">
        <f>IFERROR(VLOOKUP(Table1215[[#This Row],[Column2]],Table12[[Column2]:[Column54]],18,FALSE),"0")</f>
        <v>0</v>
      </c>
      <c r="T40" s="78">
        <f>IFERROR(VLOOKUP(Table1215[[#This Row],[Column2]],Table12[[Column2]:[Column54]],19,FALSE),"0")</f>
        <v>0</v>
      </c>
      <c r="U40" s="78">
        <f>IFERROR(VLOOKUP(Table1215[[#This Row],[Column2]],Table12[[Column2]:[Column54]],20,FALSE),"0")</f>
        <v>0</v>
      </c>
      <c r="V40" s="78">
        <f>IFERROR(VLOOKUP(Table1215[[#This Row],[Column2]],Table12[[Column2]:[Column54]],21,FALSE),"0")</f>
        <v>0</v>
      </c>
      <c r="W40" s="78">
        <f>IFERROR(VLOOKUP(Table1215[[#This Row],[Column2]],Table12[[Column2]:[Column54]],22,FALSE),"0")</f>
        <v>0</v>
      </c>
      <c r="X40" s="80">
        <f>Table1215[[#This Row],[Column19]]</f>
        <v>0</v>
      </c>
      <c r="Y40" s="78">
        <f>IFERROR(VLOOKUP(Table1215[[#This Row],[Column2]],Table12[[Column2]:[Column54]],24,FALSE),"0")</f>
        <v>4</v>
      </c>
      <c r="Z40" s="78">
        <f>IFERROR(VLOOKUP(Table1215[[#This Row],[Column2]],Table12[[Column2]:[Column54]],25,FALSE),"0")</f>
        <v>0</v>
      </c>
      <c r="AA40" s="78">
        <f>IFERROR(VLOOKUP(Table1215[[#This Row],[Column2]],Table12[[Column2]:[Column54]],26,FALSE),"0")</f>
        <v>0</v>
      </c>
      <c r="AB40" s="78">
        <f>IFERROR(VLOOKUP(Table1215[[#This Row],[Column2]],Table12[[Column2]:[Column54]],27,FALSE),"0")</f>
        <v>0</v>
      </c>
      <c r="AC40" s="78">
        <f>IFERROR(VLOOKUP(Table1215[[#This Row],[Column2]],Table12[[Column2]:[Column54]],28,FALSE),"0")</f>
        <v>0</v>
      </c>
      <c r="AD40" s="80">
        <f>Table1215[[#This Row],[Column25]]</f>
        <v>4</v>
      </c>
      <c r="AE40" s="78">
        <f>IFERROR(VLOOKUP(Table1215[[#This Row],[Column2]],Table12[[Column2]:[Column54]],30,FALSE),"0")</f>
        <v>0</v>
      </c>
      <c r="AF40" s="78">
        <f>IFERROR(VLOOKUP(Table1215[[#This Row],[Column2]],Table12[[Column2]:[Column54]],31,FALSE),"0")</f>
        <v>0</v>
      </c>
      <c r="AG40" s="78">
        <f>IFERROR(VLOOKUP(Table1215[[#This Row],[Column2]],Table12[[Column2]:[Column54]],32,FALSE),"0")</f>
        <v>0</v>
      </c>
      <c r="AH40" s="78">
        <f>IFERROR(VLOOKUP(Table1215[[#This Row],[Column2]],Table12[[Column2]:[Column54]],33,FALSE),"0")</f>
        <v>0</v>
      </c>
      <c r="AI40" s="78">
        <f>IFERROR(VLOOKUP(Table1215[[#This Row],[Column2]],Table12[[Column2]:[Column54]],34,FALSE),"0")</f>
        <v>0</v>
      </c>
      <c r="AJ40" s="80">
        <f>AVERAGE(Table1215[[#This Row],[Column31]],Table1215[[#This Row],[Column32]],Table1215[[#This Row],[Column33]])</f>
        <v>0</v>
      </c>
      <c r="AK40" s="78">
        <f>IFERROR(VLOOKUP(Table1215[[#This Row],[Column2]],Table12[[Column2]:[Column54]],36,FALSE),"0")</f>
        <v>4</v>
      </c>
      <c r="AL40" s="78">
        <f>IFERROR(VLOOKUP(Table1215[[#This Row],[Column2]],Table12[[Column2]:[Column54]],37,FALSE),"0")</f>
        <v>4</v>
      </c>
      <c r="AM40" s="78">
        <f>IFERROR(VLOOKUP(Table1215[[#This Row],[Column2]],Table12[[Column2]:[Column54]],38,FALSE),"0")</f>
        <v>0</v>
      </c>
      <c r="AN40" s="78">
        <f>IFERROR(VLOOKUP(Table1215[[#This Row],[Column2]],Table12[[Column2]:[Column54]],39,FALSE),"0")</f>
        <v>4</v>
      </c>
      <c r="AO40" s="78">
        <f>IFERROR(VLOOKUP(Table1215[[#This Row],[Column2]],Table12[[Column2]:[Column54]],40,FALSE),"0")</f>
        <v>0</v>
      </c>
      <c r="AP40" s="80">
        <f>AVERAGE(Table1215[[#This Row],[Column37]],Table1215[[#This Row],[Column38]],Table1215[[#This Row],[Column40]])</f>
        <v>4</v>
      </c>
      <c r="AQ40" s="78">
        <f>IFERROR(VLOOKUP(Table1215[[#This Row],[Column2]],Table12[[Column2]:[Column54]],42,FALSE),"0")</f>
        <v>4</v>
      </c>
      <c r="AR40" s="78">
        <f>IFERROR(VLOOKUP(Table1215[[#This Row],[Column2]],Table12[[Column2]:[Column54]],43,FALSE),"0")</f>
        <v>0</v>
      </c>
      <c r="AS40" s="78">
        <f>IFERROR(VLOOKUP(Table1215[[#This Row],[Column2]],Table12[[Column2]:[Column54]],44,FALSE),"0")</f>
        <v>0</v>
      </c>
      <c r="AT40" s="78">
        <f>IFERROR(VLOOKUP(Table1215[[#This Row],[Column2]],Table12[[Column2]:[Column54]],45,FALSE),"0")</f>
        <v>0</v>
      </c>
      <c r="AU40" s="78">
        <f>IFERROR(VLOOKUP(Table1215[[#This Row],[Column2]],Table12[[Column2]:[Column54]],46,FALSE),"0")</f>
        <v>0</v>
      </c>
      <c r="AV40" s="80">
        <f>Table1215[[#This Row],[Column43]]</f>
        <v>4</v>
      </c>
      <c r="AW40" s="78">
        <f>IFERROR(VLOOKUP(Table1215[[#This Row],[Column2]],Table12[[Column2]:[Column54]],48,FALSE),"0")</f>
        <v>0</v>
      </c>
      <c r="AX40" s="78">
        <f>IFERROR(VLOOKUP(Table1215[[#This Row],[Column2]],Table12[[Column2]:[Column54]],49,FALSE),"0")</f>
        <v>0</v>
      </c>
      <c r="AY40" s="78">
        <f>IFERROR(VLOOKUP(Table1215[[#This Row],[Column2]],Table12[[Column2]:[Column54]],50,FALSE),"0")</f>
        <v>0</v>
      </c>
      <c r="AZ40" s="78">
        <f>IFERROR(VLOOKUP(Table1215[[#This Row],[Column2]],Table12[[Column2]:[Column54]],51,FALSE),"0")</f>
        <v>4</v>
      </c>
      <c r="BA40" s="78">
        <f>IFERROR(VLOOKUP(Table1215[[#This Row],[Column2]],Table12[[Column2]:[Column54]],52,FALSE),"0")</f>
        <v>5</v>
      </c>
      <c r="BB40" s="80">
        <f>AVERAGE(Table1215[[#This Row],[Column52]],Table1215[[#This Row],[Column53]])</f>
        <v>4.5</v>
      </c>
    </row>
    <row r="41" spans="1:54" ht="23.1" customHeight="1" x14ac:dyDescent="0.3">
      <c r="A41" s="100">
        <v>38</v>
      </c>
      <c r="B41" s="83" t="s">
        <v>227</v>
      </c>
      <c r="C41" s="84" t="s">
        <v>228</v>
      </c>
      <c r="D41" s="83" t="s">
        <v>542</v>
      </c>
      <c r="E41" s="83" t="s">
        <v>161</v>
      </c>
      <c r="F41" s="83" t="str">
        <f>REPT(CHAR(160),10)&amp;Working!$E42</f>
        <v>          B</v>
      </c>
      <c r="G41" s="74">
        <f>IFERROR(VLOOKUP(Table1215[[#This Row],[Column2]],Table12[[Column2]:[Column54]],6,FALSE),"0")</f>
        <v>0</v>
      </c>
      <c r="H41" s="74">
        <f>IFERROR(VLOOKUP(Table1215[[#This Row],[Column2]],Table12[[Column2]:[Column54]],7,FALSE),"0")</f>
        <v>0</v>
      </c>
      <c r="I41" s="74">
        <f>IFERROR(VLOOKUP(Table1215[[#This Row],[Column2]],Table12[[Column2]:[Column54]],8,FALSE),"0")</f>
        <v>4</v>
      </c>
      <c r="J41" s="74">
        <f>IFERROR(VLOOKUP(Table1215[[#This Row],[Column2]],Table12[[Column2]:[Column54]],9,FALSE),"0")</f>
        <v>0</v>
      </c>
      <c r="K41" s="74">
        <f>IFERROR(VLOOKUP(Table1215[[#This Row],[Column2]],Table12[[Column2]:[Column54]],10,FALSE),"0")</f>
        <v>0</v>
      </c>
      <c r="L41" s="80">
        <f>Table1215[[#This Row],[Column9]]</f>
        <v>4</v>
      </c>
      <c r="M41" s="74">
        <f>IFERROR(VLOOKUP(Table1215[[#This Row],[Column2]],Table12[[Column2]:[Column54]],12,FALSE),"0")</f>
        <v>0</v>
      </c>
      <c r="N41" s="74">
        <f>IFERROR(VLOOKUP(Table1215[[#This Row],[Column2]],Table12[[Column2]:[Column54]],13,FALSE),"0")</f>
        <v>4</v>
      </c>
      <c r="O41" s="74">
        <f>IFERROR(VLOOKUP(Table1215[[#This Row],[Column2]],Table12[[Column2]:[Column54]],14,FALSE),"0")</f>
        <v>4</v>
      </c>
      <c r="P41" s="74">
        <f>IFERROR(VLOOKUP(Table1215[[#This Row],[Column2]],Table12[[Column2]:[Column54]],10,FALSE),"0")</f>
        <v>0</v>
      </c>
      <c r="Q41" s="74">
        <f>IFERROR(VLOOKUP(Table1215[[#This Row],[Column2]],Table12[[Column2]:[Column54]],16,FALSE),"0")</f>
        <v>4</v>
      </c>
      <c r="R41" s="80">
        <f>AVERAGE(Table1215[[#This Row],[Column14]],Table1215[[#This Row],[Column15]],Table1215[[#This Row],[Column17]])</f>
        <v>4</v>
      </c>
      <c r="S41" s="74">
        <f>IFERROR(VLOOKUP(Table1215[[#This Row],[Column2]],Table12[[Column2]:[Column54]],18,FALSE),"0")</f>
        <v>0</v>
      </c>
      <c r="T41" s="74">
        <f>IFERROR(VLOOKUP(Table1215[[#This Row],[Column2]],Table12[[Column2]:[Column54]],19,FALSE),"0")</f>
        <v>0</v>
      </c>
      <c r="U41" s="74">
        <f>IFERROR(VLOOKUP(Table1215[[#This Row],[Column2]],Table12[[Column2]:[Column54]],20,FALSE),"0")</f>
        <v>0</v>
      </c>
      <c r="V41" s="74">
        <f>IFERROR(VLOOKUP(Table1215[[#This Row],[Column2]],Table12[[Column2]:[Column54]],21,FALSE),"0")</f>
        <v>0</v>
      </c>
      <c r="W41" s="74">
        <f>IFERROR(VLOOKUP(Table1215[[#This Row],[Column2]],Table12[[Column2]:[Column54]],22,FALSE),"0")</f>
        <v>0</v>
      </c>
      <c r="X41" s="80">
        <f>Table1215[[#This Row],[Column19]]</f>
        <v>0</v>
      </c>
      <c r="Y41" s="74">
        <f>IFERROR(VLOOKUP(Table1215[[#This Row],[Column2]],Table12[[Column2]:[Column54]],24,FALSE),"0")</f>
        <v>4</v>
      </c>
      <c r="Z41" s="74">
        <f>IFERROR(VLOOKUP(Table1215[[#This Row],[Column2]],Table12[[Column2]:[Column54]],25,FALSE),"0")</f>
        <v>0</v>
      </c>
      <c r="AA41" s="74">
        <f>IFERROR(VLOOKUP(Table1215[[#This Row],[Column2]],Table12[[Column2]:[Column54]],26,FALSE),"0")</f>
        <v>0</v>
      </c>
      <c r="AB41" s="74">
        <f>IFERROR(VLOOKUP(Table1215[[#This Row],[Column2]],Table12[[Column2]:[Column54]],27,FALSE),"0")</f>
        <v>0</v>
      </c>
      <c r="AC41" s="74">
        <f>IFERROR(VLOOKUP(Table1215[[#This Row],[Column2]],Table12[[Column2]:[Column54]],28,FALSE),"0")</f>
        <v>0</v>
      </c>
      <c r="AD41" s="80">
        <f>Table1215[[#This Row],[Column25]]</f>
        <v>4</v>
      </c>
      <c r="AE41" s="74">
        <f>IFERROR(VLOOKUP(Table1215[[#This Row],[Column2]],Table12[[Column2]:[Column54]],30,FALSE),"0")</f>
        <v>0</v>
      </c>
      <c r="AF41" s="74">
        <f>IFERROR(VLOOKUP(Table1215[[#This Row],[Column2]],Table12[[Column2]:[Column54]],31,FALSE),"0")</f>
        <v>0</v>
      </c>
      <c r="AG41" s="74">
        <f>IFERROR(VLOOKUP(Table1215[[#This Row],[Column2]],Table12[[Column2]:[Column54]],32,FALSE),"0")</f>
        <v>0</v>
      </c>
      <c r="AH41" s="74">
        <f>IFERROR(VLOOKUP(Table1215[[#This Row],[Column2]],Table12[[Column2]:[Column54]],33,FALSE),"0")</f>
        <v>0</v>
      </c>
      <c r="AI41" s="74">
        <f>IFERROR(VLOOKUP(Table1215[[#This Row],[Column2]],Table12[[Column2]:[Column54]],34,FALSE),"0")</f>
        <v>0</v>
      </c>
      <c r="AJ41" s="80">
        <f>AVERAGE(Table1215[[#This Row],[Column31]],Table1215[[#This Row],[Column32]],Table1215[[#This Row],[Column33]])</f>
        <v>0</v>
      </c>
      <c r="AK41" s="74">
        <f>IFERROR(VLOOKUP(Table1215[[#This Row],[Column2]],Table12[[Column2]:[Column54]],36,FALSE),"0")</f>
        <v>4</v>
      </c>
      <c r="AL41" s="74">
        <f>IFERROR(VLOOKUP(Table1215[[#This Row],[Column2]],Table12[[Column2]:[Column54]],37,FALSE),"0")</f>
        <v>4</v>
      </c>
      <c r="AM41" s="74">
        <f>IFERROR(VLOOKUP(Table1215[[#This Row],[Column2]],Table12[[Column2]:[Column54]],38,FALSE),"0")</f>
        <v>0</v>
      </c>
      <c r="AN41" s="74">
        <f>IFERROR(VLOOKUP(Table1215[[#This Row],[Column2]],Table12[[Column2]:[Column54]],39,FALSE),"0")</f>
        <v>4</v>
      </c>
      <c r="AO41" s="74">
        <f>IFERROR(VLOOKUP(Table1215[[#This Row],[Column2]],Table12[[Column2]:[Column54]],40,FALSE),"0")</f>
        <v>0</v>
      </c>
      <c r="AP41" s="80">
        <f>AVERAGE(Table1215[[#This Row],[Column37]],Table1215[[#This Row],[Column38]],Table1215[[#This Row],[Column40]])</f>
        <v>4</v>
      </c>
      <c r="AQ41" s="74">
        <f>IFERROR(VLOOKUP(Table1215[[#This Row],[Column2]],Table12[[Column2]:[Column54]],42,FALSE),"0")</f>
        <v>4</v>
      </c>
      <c r="AR41" s="74">
        <f>IFERROR(VLOOKUP(Table1215[[#This Row],[Column2]],Table12[[Column2]:[Column54]],43,FALSE),"0")</f>
        <v>0</v>
      </c>
      <c r="AS41" s="74">
        <f>IFERROR(VLOOKUP(Table1215[[#This Row],[Column2]],Table12[[Column2]:[Column54]],44,FALSE),"0")</f>
        <v>0</v>
      </c>
      <c r="AT41" s="74">
        <f>IFERROR(VLOOKUP(Table1215[[#This Row],[Column2]],Table12[[Column2]:[Column54]],45,FALSE),"0")</f>
        <v>0</v>
      </c>
      <c r="AU41" s="74">
        <f>IFERROR(VLOOKUP(Table1215[[#This Row],[Column2]],Table12[[Column2]:[Column54]],46,FALSE),"0")</f>
        <v>0</v>
      </c>
      <c r="AV41" s="80">
        <f>Table1215[[#This Row],[Column43]]</f>
        <v>4</v>
      </c>
      <c r="AW41" s="74">
        <f>IFERROR(VLOOKUP(Table1215[[#This Row],[Column2]],Table12[[Column2]:[Column54]],48,FALSE),"0")</f>
        <v>0</v>
      </c>
      <c r="AX41" s="74">
        <f>IFERROR(VLOOKUP(Table1215[[#This Row],[Column2]],Table12[[Column2]:[Column54]],49,FALSE),"0")</f>
        <v>0</v>
      </c>
      <c r="AY41" s="74">
        <f>IFERROR(VLOOKUP(Table1215[[#This Row],[Column2]],Table12[[Column2]:[Column54]],50,FALSE),"0")</f>
        <v>0</v>
      </c>
      <c r="AZ41" s="74">
        <f>IFERROR(VLOOKUP(Table1215[[#This Row],[Column2]],Table12[[Column2]:[Column54]],51,FALSE),"0")</f>
        <v>4</v>
      </c>
      <c r="BA41" s="74">
        <f>IFERROR(VLOOKUP(Table1215[[#This Row],[Column2]],Table12[[Column2]:[Column54]],52,FALSE),"0")</f>
        <v>5</v>
      </c>
      <c r="BB41" s="80">
        <f>AVERAGE(Table1215[[#This Row],[Column52]],Table1215[[#This Row],[Column53]])</f>
        <v>4.5</v>
      </c>
    </row>
    <row r="42" spans="1:54" ht="23.1" customHeight="1" x14ac:dyDescent="0.3">
      <c r="A42" s="99">
        <v>39</v>
      </c>
      <c r="B42" s="76" t="s">
        <v>304</v>
      </c>
      <c r="C42" s="77" t="s">
        <v>305</v>
      </c>
      <c r="D42" s="76" t="s">
        <v>542</v>
      </c>
      <c r="E42" s="76" t="s">
        <v>493</v>
      </c>
      <c r="F42" s="76" t="str">
        <f>REPT(CHAR(160),10)&amp;Working!$E43</f>
        <v>          C</v>
      </c>
      <c r="G42" s="78">
        <f>IFERROR(VLOOKUP(Table1215[[#This Row],[Column2]],Table12[[Column2]:[Column54]],6,FALSE),"0")</f>
        <v>0</v>
      </c>
      <c r="H42" s="78">
        <f>IFERROR(VLOOKUP(Table1215[[#This Row],[Column2]],Table12[[Column2]:[Column54]],7,FALSE),"0")</f>
        <v>0</v>
      </c>
      <c r="I42" s="78">
        <f>IFERROR(VLOOKUP(Table1215[[#This Row],[Column2]],Table12[[Column2]:[Column54]],8,FALSE),"0")</f>
        <v>4</v>
      </c>
      <c r="J42" s="78">
        <f>IFERROR(VLOOKUP(Table1215[[#This Row],[Column2]],Table12[[Column2]:[Column54]],9,FALSE),"0")</f>
        <v>0</v>
      </c>
      <c r="K42" s="78">
        <f>IFERROR(VLOOKUP(Table1215[[#This Row],[Column2]],Table12[[Column2]:[Column54]],10,FALSE),"0")</f>
        <v>0</v>
      </c>
      <c r="L42" s="80">
        <f>Table1215[[#This Row],[Column9]]</f>
        <v>4</v>
      </c>
      <c r="M42" s="78">
        <f>IFERROR(VLOOKUP(Table1215[[#This Row],[Column2]],Table12[[Column2]:[Column54]],12,FALSE),"0")</f>
        <v>0</v>
      </c>
      <c r="N42" s="78">
        <f>IFERROR(VLOOKUP(Table1215[[#This Row],[Column2]],Table12[[Column2]:[Column54]],13,FALSE),"0")</f>
        <v>4</v>
      </c>
      <c r="O42" s="78">
        <f>IFERROR(VLOOKUP(Table1215[[#This Row],[Column2]],Table12[[Column2]:[Column54]],14,FALSE),"0")</f>
        <v>4</v>
      </c>
      <c r="P42" s="78">
        <f>IFERROR(VLOOKUP(Table1215[[#This Row],[Column2]],Table12[[Column2]:[Column54]],10,FALSE),"0")</f>
        <v>0</v>
      </c>
      <c r="Q42" s="78">
        <f>IFERROR(VLOOKUP(Table1215[[#This Row],[Column2]],Table12[[Column2]:[Column54]],16,FALSE),"0")</f>
        <v>4</v>
      </c>
      <c r="R42" s="80">
        <f>AVERAGE(Table1215[[#This Row],[Column14]],Table1215[[#This Row],[Column15]],Table1215[[#This Row],[Column17]])</f>
        <v>4</v>
      </c>
      <c r="S42" s="78">
        <f>IFERROR(VLOOKUP(Table1215[[#This Row],[Column2]],Table12[[Column2]:[Column54]],18,FALSE),"0")</f>
        <v>0</v>
      </c>
      <c r="T42" s="78">
        <f>IFERROR(VLOOKUP(Table1215[[#This Row],[Column2]],Table12[[Column2]:[Column54]],19,FALSE),"0")</f>
        <v>0</v>
      </c>
      <c r="U42" s="78">
        <f>IFERROR(VLOOKUP(Table1215[[#This Row],[Column2]],Table12[[Column2]:[Column54]],20,FALSE),"0")</f>
        <v>0</v>
      </c>
      <c r="V42" s="78">
        <f>IFERROR(VLOOKUP(Table1215[[#This Row],[Column2]],Table12[[Column2]:[Column54]],21,FALSE),"0")</f>
        <v>0</v>
      </c>
      <c r="W42" s="78">
        <f>IFERROR(VLOOKUP(Table1215[[#This Row],[Column2]],Table12[[Column2]:[Column54]],22,FALSE),"0")</f>
        <v>0</v>
      </c>
      <c r="X42" s="80">
        <f>Table1215[[#This Row],[Column19]]</f>
        <v>0</v>
      </c>
      <c r="Y42" s="78">
        <f>IFERROR(VLOOKUP(Table1215[[#This Row],[Column2]],Table12[[Column2]:[Column54]],24,FALSE),"0")</f>
        <v>4</v>
      </c>
      <c r="Z42" s="78">
        <f>IFERROR(VLOOKUP(Table1215[[#This Row],[Column2]],Table12[[Column2]:[Column54]],25,FALSE),"0")</f>
        <v>0</v>
      </c>
      <c r="AA42" s="78">
        <f>IFERROR(VLOOKUP(Table1215[[#This Row],[Column2]],Table12[[Column2]:[Column54]],26,FALSE),"0")</f>
        <v>0</v>
      </c>
      <c r="AB42" s="78">
        <f>IFERROR(VLOOKUP(Table1215[[#This Row],[Column2]],Table12[[Column2]:[Column54]],27,FALSE),"0")</f>
        <v>0</v>
      </c>
      <c r="AC42" s="78">
        <f>IFERROR(VLOOKUP(Table1215[[#This Row],[Column2]],Table12[[Column2]:[Column54]],28,FALSE),"0")</f>
        <v>0</v>
      </c>
      <c r="AD42" s="80">
        <f>Table1215[[#This Row],[Column25]]</f>
        <v>4</v>
      </c>
      <c r="AE42" s="78">
        <f>IFERROR(VLOOKUP(Table1215[[#This Row],[Column2]],Table12[[Column2]:[Column54]],30,FALSE),"0")</f>
        <v>0</v>
      </c>
      <c r="AF42" s="78">
        <f>IFERROR(VLOOKUP(Table1215[[#This Row],[Column2]],Table12[[Column2]:[Column54]],31,FALSE),"0")</f>
        <v>0</v>
      </c>
      <c r="AG42" s="78">
        <f>IFERROR(VLOOKUP(Table1215[[#This Row],[Column2]],Table12[[Column2]:[Column54]],32,FALSE),"0")</f>
        <v>0</v>
      </c>
      <c r="AH42" s="78">
        <f>IFERROR(VLOOKUP(Table1215[[#This Row],[Column2]],Table12[[Column2]:[Column54]],33,FALSE),"0")</f>
        <v>0</v>
      </c>
      <c r="AI42" s="78">
        <f>IFERROR(VLOOKUP(Table1215[[#This Row],[Column2]],Table12[[Column2]:[Column54]],34,FALSE),"0")</f>
        <v>0</v>
      </c>
      <c r="AJ42" s="80">
        <f>AVERAGE(Table1215[[#This Row],[Column31]],Table1215[[#This Row],[Column32]],Table1215[[#This Row],[Column33]])</f>
        <v>0</v>
      </c>
      <c r="AK42" s="78">
        <f>IFERROR(VLOOKUP(Table1215[[#This Row],[Column2]],Table12[[Column2]:[Column54]],36,FALSE),"0")</f>
        <v>4</v>
      </c>
      <c r="AL42" s="78">
        <f>IFERROR(VLOOKUP(Table1215[[#This Row],[Column2]],Table12[[Column2]:[Column54]],37,FALSE),"0")</f>
        <v>4</v>
      </c>
      <c r="AM42" s="78">
        <f>IFERROR(VLOOKUP(Table1215[[#This Row],[Column2]],Table12[[Column2]:[Column54]],38,FALSE),"0")</f>
        <v>0</v>
      </c>
      <c r="AN42" s="78">
        <f>IFERROR(VLOOKUP(Table1215[[#This Row],[Column2]],Table12[[Column2]:[Column54]],39,FALSE),"0")</f>
        <v>4</v>
      </c>
      <c r="AO42" s="78">
        <f>IFERROR(VLOOKUP(Table1215[[#This Row],[Column2]],Table12[[Column2]:[Column54]],40,FALSE),"0")</f>
        <v>0</v>
      </c>
      <c r="AP42" s="80">
        <f>AVERAGE(Table1215[[#This Row],[Column37]],Table1215[[#This Row],[Column38]],Table1215[[#This Row],[Column40]])</f>
        <v>4</v>
      </c>
      <c r="AQ42" s="78">
        <f>IFERROR(VLOOKUP(Table1215[[#This Row],[Column2]],Table12[[Column2]:[Column54]],42,FALSE),"0")</f>
        <v>5</v>
      </c>
      <c r="AR42" s="78">
        <f>IFERROR(VLOOKUP(Table1215[[#This Row],[Column2]],Table12[[Column2]:[Column54]],43,FALSE),"0")</f>
        <v>0</v>
      </c>
      <c r="AS42" s="78">
        <f>IFERROR(VLOOKUP(Table1215[[#This Row],[Column2]],Table12[[Column2]:[Column54]],44,FALSE),"0")</f>
        <v>0</v>
      </c>
      <c r="AT42" s="78">
        <f>IFERROR(VLOOKUP(Table1215[[#This Row],[Column2]],Table12[[Column2]:[Column54]],45,FALSE),"0")</f>
        <v>0</v>
      </c>
      <c r="AU42" s="78">
        <f>IFERROR(VLOOKUP(Table1215[[#This Row],[Column2]],Table12[[Column2]:[Column54]],46,FALSE),"0")</f>
        <v>0</v>
      </c>
      <c r="AV42" s="80">
        <f>Table1215[[#This Row],[Column43]]</f>
        <v>5</v>
      </c>
      <c r="AW42" s="78">
        <f>IFERROR(VLOOKUP(Table1215[[#This Row],[Column2]],Table12[[Column2]:[Column54]],48,FALSE),"0")</f>
        <v>0</v>
      </c>
      <c r="AX42" s="78">
        <f>IFERROR(VLOOKUP(Table1215[[#This Row],[Column2]],Table12[[Column2]:[Column54]],49,FALSE),"0")</f>
        <v>0</v>
      </c>
      <c r="AY42" s="78">
        <f>IFERROR(VLOOKUP(Table1215[[#This Row],[Column2]],Table12[[Column2]:[Column54]],50,FALSE),"0")</f>
        <v>0</v>
      </c>
      <c r="AZ42" s="78">
        <f>IFERROR(VLOOKUP(Table1215[[#This Row],[Column2]],Table12[[Column2]:[Column54]],51,FALSE),"0")</f>
        <v>4</v>
      </c>
      <c r="BA42" s="78">
        <f>IFERROR(VLOOKUP(Table1215[[#This Row],[Column2]],Table12[[Column2]:[Column54]],52,FALSE),"0")</f>
        <v>5</v>
      </c>
      <c r="BB42" s="80">
        <f>AVERAGE(Table1215[[#This Row],[Column52]],Table1215[[#This Row],[Column53]])</f>
        <v>4.5</v>
      </c>
    </row>
    <row r="43" spans="1:54" ht="23.1" customHeight="1" x14ac:dyDescent="0.3">
      <c r="A43" s="100">
        <v>40</v>
      </c>
      <c r="B43" s="83" t="s">
        <v>89</v>
      </c>
      <c r="C43" s="84" t="s">
        <v>90</v>
      </c>
      <c r="D43" s="83" t="s">
        <v>450</v>
      </c>
      <c r="E43" s="83" t="s">
        <v>35</v>
      </c>
      <c r="F43" s="83" t="str">
        <f>REPT(CHAR(160),10)&amp;Working!$E44</f>
        <v>          A</v>
      </c>
      <c r="G43" s="74">
        <f>IFERROR(VLOOKUP(Table1215[[#This Row],[Column2]],Table12[[Column2]:[Column54]],6,FALSE),"0")</f>
        <v>0</v>
      </c>
      <c r="H43" s="74">
        <f>IFERROR(VLOOKUP(Table1215[[#This Row],[Column2]],Table12[[Column2]:[Column54]],7,FALSE),"0")</f>
        <v>0</v>
      </c>
      <c r="I43" s="74">
        <f>IFERROR(VLOOKUP(Table1215[[#This Row],[Column2]],Table12[[Column2]:[Column54]],8,FALSE),"0")</f>
        <v>4</v>
      </c>
      <c r="J43" s="74">
        <f>IFERROR(VLOOKUP(Table1215[[#This Row],[Column2]],Table12[[Column2]:[Column54]],9,FALSE),"0")</f>
        <v>0</v>
      </c>
      <c r="K43" s="74">
        <f>IFERROR(VLOOKUP(Table1215[[#This Row],[Column2]],Table12[[Column2]:[Column54]],10,FALSE),"0")</f>
        <v>0</v>
      </c>
      <c r="L43" s="80">
        <f>Table1215[[#This Row],[Column9]]</f>
        <v>4</v>
      </c>
      <c r="M43" s="74">
        <f>IFERROR(VLOOKUP(Table1215[[#This Row],[Column2]],Table12[[Column2]:[Column54]],12,FALSE),"0")</f>
        <v>0</v>
      </c>
      <c r="N43" s="74">
        <f>IFERROR(VLOOKUP(Table1215[[#This Row],[Column2]],Table12[[Column2]:[Column54]],13,FALSE),"0")</f>
        <v>4</v>
      </c>
      <c r="O43" s="74">
        <f>IFERROR(VLOOKUP(Table1215[[#This Row],[Column2]],Table12[[Column2]:[Column54]],14,FALSE),"0")</f>
        <v>4</v>
      </c>
      <c r="P43" s="74">
        <f>IFERROR(VLOOKUP(Table1215[[#This Row],[Column2]],Table12[[Column2]:[Column54]],10,FALSE),"0")</f>
        <v>0</v>
      </c>
      <c r="Q43" s="74">
        <f>IFERROR(VLOOKUP(Table1215[[#This Row],[Column2]],Table12[[Column2]:[Column54]],16,FALSE),"0")</f>
        <v>4</v>
      </c>
      <c r="R43" s="80">
        <f>AVERAGE(Table1215[[#This Row],[Column14]],Table1215[[#This Row],[Column15]],Table1215[[#This Row],[Column17]])</f>
        <v>4</v>
      </c>
      <c r="S43" s="74">
        <f>IFERROR(VLOOKUP(Table1215[[#This Row],[Column2]],Table12[[Column2]:[Column54]],18,FALSE),"0")</f>
        <v>0</v>
      </c>
      <c r="T43" s="74">
        <f>IFERROR(VLOOKUP(Table1215[[#This Row],[Column2]],Table12[[Column2]:[Column54]],19,FALSE),"0")</f>
        <v>0</v>
      </c>
      <c r="U43" s="74">
        <f>IFERROR(VLOOKUP(Table1215[[#This Row],[Column2]],Table12[[Column2]:[Column54]],20,FALSE),"0")</f>
        <v>0</v>
      </c>
      <c r="V43" s="74">
        <f>IFERROR(VLOOKUP(Table1215[[#This Row],[Column2]],Table12[[Column2]:[Column54]],21,FALSE),"0")</f>
        <v>0</v>
      </c>
      <c r="W43" s="74">
        <f>IFERROR(VLOOKUP(Table1215[[#This Row],[Column2]],Table12[[Column2]:[Column54]],22,FALSE),"0")</f>
        <v>0</v>
      </c>
      <c r="X43" s="80">
        <f>Table1215[[#This Row],[Column19]]</f>
        <v>0</v>
      </c>
      <c r="Y43" s="74">
        <f>IFERROR(VLOOKUP(Table1215[[#This Row],[Column2]],Table12[[Column2]:[Column54]],24,FALSE),"0")</f>
        <v>4</v>
      </c>
      <c r="Z43" s="74">
        <f>IFERROR(VLOOKUP(Table1215[[#This Row],[Column2]],Table12[[Column2]:[Column54]],25,FALSE),"0")</f>
        <v>0</v>
      </c>
      <c r="AA43" s="74">
        <f>IFERROR(VLOOKUP(Table1215[[#This Row],[Column2]],Table12[[Column2]:[Column54]],26,FALSE),"0")</f>
        <v>0</v>
      </c>
      <c r="AB43" s="74">
        <f>IFERROR(VLOOKUP(Table1215[[#This Row],[Column2]],Table12[[Column2]:[Column54]],27,FALSE),"0")</f>
        <v>0</v>
      </c>
      <c r="AC43" s="74">
        <f>IFERROR(VLOOKUP(Table1215[[#This Row],[Column2]],Table12[[Column2]:[Column54]],28,FALSE),"0")</f>
        <v>0</v>
      </c>
      <c r="AD43" s="80">
        <f>Table1215[[#This Row],[Column25]]</f>
        <v>4</v>
      </c>
      <c r="AE43" s="74">
        <f>IFERROR(VLOOKUP(Table1215[[#This Row],[Column2]],Table12[[Column2]:[Column54]],30,FALSE),"0")</f>
        <v>0</v>
      </c>
      <c r="AF43" s="74">
        <f>IFERROR(VLOOKUP(Table1215[[#This Row],[Column2]],Table12[[Column2]:[Column54]],31,FALSE),"0")</f>
        <v>0</v>
      </c>
      <c r="AG43" s="74">
        <f>IFERROR(VLOOKUP(Table1215[[#This Row],[Column2]],Table12[[Column2]:[Column54]],32,FALSE),"0")</f>
        <v>0</v>
      </c>
      <c r="AH43" s="74">
        <f>IFERROR(VLOOKUP(Table1215[[#This Row],[Column2]],Table12[[Column2]:[Column54]],33,FALSE),"0")</f>
        <v>0</v>
      </c>
      <c r="AI43" s="74">
        <f>IFERROR(VLOOKUP(Table1215[[#This Row],[Column2]],Table12[[Column2]:[Column54]],34,FALSE),"0")</f>
        <v>0</v>
      </c>
      <c r="AJ43" s="80">
        <f>AVERAGE(Table1215[[#This Row],[Column31]],Table1215[[#This Row],[Column32]],Table1215[[#This Row],[Column33]])</f>
        <v>0</v>
      </c>
      <c r="AK43" s="74">
        <f>IFERROR(VLOOKUP(Table1215[[#This Row],[Column2]],Table12[[Column2]:[Column54]],36,FALSE),"0")</f>
        <v>4</v>
      </c>
      <c r="AL43" s="74">
        <f>IFERROR(VLOOKUP(Table1215[[#This Row],[Column2]],Table12[[Column2]:[Column54]],37,FALSE),"0")</f>
        <v>4</v>
      </c>
      <c r="AM43" s="74">
        <f>IFERROR(VLOOKUP(Table1215[[#This Row],[Column2]],Table12[[Column2]:[Column54]],38,FALSE),"0")</f>
        <v>0</v>
      </c>
      <c r="AN43" s="74">
        <f>IFERROR(VLOOKUP(Table1215[[#This Row],[Column2]],Table12[[Column2]:[Column54]],39,FALSE),"0")</f>
        <v>5</v>
      </c>
      <c r="AO43" s="74">
        <f>IFERROR(VLOOKUP(Table1215[[#This Row],[Column2]],Table12[[Column2]:[Column54]],40,FALSE),"0")</f>
        <v>0</v>
      </c>
      <c r="AP43" s="80">
        <f>AVERAGE(Table1215[[#This Row],[Column37]],Table1215[[#This Row],[Column38]],Table1215[[#This Row],[Column40]])</f>
        <v>4.333333333333333</v>
      </c>
      <c r="AQ43" s="74">
        <f>IFERROR(VLOOKUP(Table1215[[#This Row],[Column2]],Table12[[Column2]:[Column54]],42,FALSE),"0")</f>
        <v>4</v>
      </c>
      <c r="AR43" s="74">
        <f>IFERROR(VLOOKUP(Table1215[[#This Row],[Column2]],Table12[[Column2]:[Column54]],43,FALSE),"0")</f>
        <v>0</v>
      </c>
      <c r="AS43" s="74">
        <f>IFERROR(VLOOKUP(Table1215[[#This Row],[Column2]],Table12[[Column2]:[Column54]],44,FALSE),"0")</f>
        <v>0</v>
      </c>
      <c r="AT43" s="74">
        <f>IFERROR(VLOOKUP(Table1215[[#This Row],[Column2]],Table12[[Column2]:[Column54]],45,FALSE),"0")</f>
        <v>0</v>
      </c>
      <c r="AU43" s="74">
        <f>IFERROR(VLOOKUP(Table1215[[#This Row],[Column2]],Table12[[Column2]:[Column54]],46,FALSE),"0")</f>
        <v>0</v>
      </c>
      <c r="AV43" s="80">
        <f>Table1215[[#This Row],[Column43]]</f>
        <v>4</v>
      </c>
      <c r="AW43" s="74">
        <f>IFERROR(VLOOKUP(Table1215[[#This Row],[Column2]],Table12[[Column2]:[Column54]],48,FALSE),"0")</f>
        <v>0</v>
      </c>
      <c r="AX43" s="74">
        <f>IFERROR(VLOOKUP(Table1215[[#This Row],[Column2]],Table12[[Column2]:[Column54]],49,FALSE),"0")</f>
        <v>0</v>
      </c>
      <c r="AY43" s="74">
        <f>IFERROR(VLOOKUP(Table1215[[#This Row],[Column2]],Table12[[Column2]:[Column54]],50,FALSE),"0")</f>
        <v>0</v>
      </c>
      <c r="AZ43" s="74">
        <f>IFERROR(VLOOKUP(Table1215[[#This Row],[Column2]],Table12[[Column2]:[Column54]],51,FALSE),"0")</f>
        <v>4</v>
      </c>
      <c r="BA43" s="74">
        <f>IFERROR(VLOOKUP(Table1215[[#This Row],[Column2]],Table12[[Column2]:[Column54]],52,FALSE),"0")</f>
        <v>5</v>
      </c>
      <c r="BB43" s="80">
        <f>AVERAGE(Table1215[[#This Row],[Column52]],Table1215[[#This Row],[Column53]])</f>
        <v>4.5</v>
      </c>
    </row>
    <row r="44" spans="1:54" ht="23.1" customHeight="1" x14ac:dyDescent="0.3">
      <c r="A44" s="99">
        <v>41</v>
      </c>
      <c r="B44" s="76" t="s">
        <v>306</v>
      </c>
      <c r="C44" s="77" t="s">
        <v>307</v>
      </c>
      <c r="D44" s="76" t="s">
        <v>542</v>
      </c>
      <c r="E44" s="76" t="s">
        <v>493</v>
      </c>
      <c r="F44" s="76" t="str">
        <f>REPT(CHAR(160),10)&amp;Working!$E45</f>
        <v>          C</v>
      </c>
      <c r="G44" s="78">
        <f>IFERROR(VLOOKUP(Table1215[[#This Row],[Column2]],Table12[[Column2]:[Column54]],6,FALSE),"0")</f>
        <v>0</v>
      </c>
      <c r="H44" s="78">
        <f>IFERROR(VLOOKUP(Table1215[[#This Row],[Column2]],Table12[[Column2]:[Column54]],7,FALSE),"0")</f>
        <v>0</v>
      </c>
      <c r="I44" s="78">
        <f>IFERROR(VLOOKUP(Table1215[[#This Row],[Column2]],Table12[[Column2]:[Column54]],8,FALSE),"0")</f>
        <v>4</v>
      </c>
      <c r="J44" s="78">
        <f>IFERROR(VLOOKUP(Table1215[[#This Row],[Column2]],Table12[[Column2]:[Column54]],9,FALSE),"0")</f>
        <v>0</v>
      </c>
      <c r="K44" s="78">
        <f>IFERROR(VLOOKUP(Table1215[[#This Row],[Column2]],Table12[[Column2]:[Column54]],10,FALSE),"0")</f>
        <v>0</v>
      </c>
      <c r="L44" s="80">
        <f>Table1215[[#This Row],[Column9]]</f>
        <v>4</v>
      </c>
      <c r="M44" s="78">
        <f>IFERROR(VLOOKUP(Table1215[[#This Row],[Column2]],Table12[[Column2]:[Column54]],12,FALSE),"0")</f>
        <v>0</v>
      </c>
      <c r="N44" s="78">
        <f>IFERROR(VLOOKUP(Table1215[[#This Row],[Column2]],Table12[[Column2]:[Column54]],13,FALSE),"0")</f>
        <v>4</v>
      </c>
      <c r="O44" s="78">
        <f>IFERROR(VLOOKUP(Table1215[[#This Row],[Column2]],Table12[[Column2]:[Column54]],14,FALSE),"0")</f>
        <v>4</v>
      </c>
      <c r="P44" s="78">
        <f>IFERROR(VLOOKUP(Table1215[[#This Row],[Column2]],Table12[[Column2]:[Column54]],10,FALSE),"0")</f>
        <v>0</v>
      </c>
      <c r="Q44" s="78">
        <f>IFERROR(VLOOKUP(Table1215[[#This Row],[Column2]],Table12[[Column2]:[Column54]],16,FALSE),"0")</f>
        <v>4</v>
      </c>
      <c r="R44" s="80">
        <f>AVERAGE(Table1215[[#This Row],[Column14]],Table1215[[#This Row],[Column15]],Table1215[[#This Row],[Column17]])</f>
        <v>4</v>
      </c>
      <c r="S44" s="78">
        <f>IFERROR(VLOOKUP(Table1215[[#This Row],[Column2]],Table12[[Column2]:[Column54]],18,FALSE),"0")</f>
        <v>0</v>
      </c>
      <c r="T44" s="78">
        <f>IFERROR(VLOOKUP(Table1215[[#This Row],[Column2]],Table12[[Column2]:[Column54]],19,FALSE),"0")</f>
        <v>0</v>
      </c>
      <c r="U44" s="78">
        <f>IFERROR(VLOOKUP(Table1215[[#This Row],[Column2]],Table12[[Column2]:[Column54]],20,FALSE),"0")</f>
        <v>0</v>
      </c>
      <c r="V44" s="78">
        <f>IFERROR(VLOOKUP(Table1215[[#This Row],[Column2]],Table12[[Column2]:[Column54]],21,FALSE),"0")</f>
        <v>0</v>
      </c>
      <c r="W44" s="78">
        <f>IFERROR(VLOOKUP(Table1215[[#This Row],[Column2]],Table12[[Column2]:[Column54]],22,FALSE),"0")</f>
        <v>0</v>
      </c>
      <c r="X44" s="80">
        <f>Table1215[[#This Row],[Column19]]</f>
        <v>0</v>
      </c>
      <c r="Y44" s="78">
        <f>IFERROR(VLOOKUP(Table1215[[#This Row],[Column2]],Table12[[Column2]:[Column54]],24,FALSE),"0")</f>
        <v>4</v>
      </c>
      <c r="Z44" s="78">
        <f>IFERROR(VLOOKUP(Table1215[[#This Row],[Column2]],Table12[[Column2]:[Column54]],25,FALSE),"0")</f>
        <v>0</v>
      </c>
      <c r="AA44" s="78">
        <f>IFERROR(VLOOKUP(Table1215[[#This Row],[Column2]],Table12[[Column2]:[Column54]],26,FALSE),"0")</f>
        <v>0</v>
      </c>
      <c r="AB44" s="78">
        <f>IFERROR(VLOOKUP(Table1215[[#This Row],[Column2]],Table12[[Column2]:[Column54]],27,FALSE),"0")</f>
        <v>0</v>
      </c>
      <c r="AC44" s="78">
        <f>IFERROR(VLOOKUP(Table1215[[#This Row],[Column2]],Table12[[Column2]:[Column54]],28,FALSE),"0")</f>
        <v>0</v>
      </c>
      <c r="AD44" s="80">
        <f>Table1215[[#This Row],[Column25]]</f>
        <v>4</v>
      </c>
      <c r="AE44" s="78">
        <f>IFERROR(VLOOKUP(Table1215[[#This Row],[Column2]],Table12[[Column2]:[Column54]],30,FALSE),"0")</f>
        <v>0</v>
      </c>
      <c r="AF44" s="78">
        <f>IFERROR(VLOOKUP(Table1215[[#This Row],[Column2]],Table12[[Column2]:[Column54]],31,FALSE),"0")</f>
        <v>0</v>
      </c>
      <c r="AG44" s="78">
        <f>IFERROR(VLOOKUP(Table1215[[#This Row],[Column2]],Table12[[Column2]:[Column54]],32,FALSE),"0")</f>
        <v>0</v>
      </c>
      <c r="AH44" s="78">
        <f>IFERROR(VLOOKUP(Table1215[[#This Row],[Column2]],Table12[[Column2]:[Column54]],33,FALSE),"0")</f>
        <v>0</v>
      </c>
      <c r="AI44" s="78">
        <f>IFERROR(VLOOKUP(Table1215[[#This Row],[Column2]],Table12[[Column2]:[Column54]],34,FALSE),"0")</f>
        <v>0</v>
      </c>
      <c r="AJ44" s="80">
        <f>AVERAGE(Table1215[[#This Row],[Column31]],Table1215[[#This Row],[Column32]],Table1215[[#This Row],[Column33]])</f>
        <v>0</v>
      </c>
      <c r="AK44" s="78">
        <f>IFERROR(VLOOKUP(Table1215[[#This Row],[Column2]],Table12[[Column2]:[Column54]],36,FALSE),"0")</f>
        <v>4</v>
      </c>
      <c r="AL44" s="78">
        <f>IFERROR(VLOOKUP(Table1215[[#This Row],[Column2]],Table12[[Column2]:[Column54]],37,FALSE),"0")</f>
        <v>4</v>
      </c>
      <c r="AM44" s="78">
        <f>IFERROR(VLOOKUP(Table1215[[#This Row],[Column2]],Table12[[Column2]:[Column54]],38,FALSE),"0")</f>
        <v>0</v>
      </c>
      <c r="AN44" s="78">
        <f>IFERROR(VLOOKUP(Table1215[[#This Row],[Column2]],Table12[[Column2]:[Column54]],39,FALSE),"0")</f>
        <v>4</v>
      </c>
      <c r="AO44" s="78">
        <f>IFERROR(VLOOKUP(Table1215[[#This Row],[Column2]],Table12[[Column2]:[Column54]],40,FALSE),"0")</f>
        <v>0</v>
      </c>
      <c r="AP44" s="80">
        <f>AVERAGE(Table1215[[#This Row],[Column37]],Table1215[[#This Row],[Column38]],Table1215[[#This Row],[Column40]])</f>
        <v>4</v>
      </c>
      <c r="AQ44" s="78">
        <f>IFERROR(VLOOKUP(Table1215[[#This Row],[Column2]],Table12[[Column2]:[Column54]],42,FALSE),"0")</f>
        <v>4</v>
      </c>
      <c r="AR44" s="78">
        <f>IFERROR(VLOOKUP(Table1215[[#This Row],[Column2]],Table12[[Column2]:[Column54]],43,FALSE),"0")</f>
        <v>0</v>
      </c>
      <c r="AS44" s="78">
        <f>IFERROR(VLOOKUP(Table1215[[#This Row],[Column2]],Table12[[Column2]:[Column54]],44,FALSE),"0")</f>
        <v>0</v>
      </c>
      <c r="AT44" s="78">
        <f>IFERROR(VLOOKUP(Table1215[[#This Row],[Column2]],Table12[[Column2]:[Column54]],45,FALSE),"0")</f>
        <v>0</v>
      </c>
      <c r="AU44" s="78">
        <f>IFERROR(VLOOKUP(Table1215[[#This Row],[Column2]],Table12[[Column2]:[Column54]],46,FALSE),"0")</f>
        <v>0</v>
      </c>
      <c r="AV44" s="80">
        <f>Table1215[[#This Row],[Column43]]</f>
        <v>4</v>
      </c>
      <c r="AW44" s="78">
        <f>IFERROR(VLOOKUP(Table1215[[#This Row],[Column2]],Table12[[Column2]:[Column54]],48,FALSE),"0")</f>
        <v>0</v>
      </c>
      <c r="AX44" s="78">
        <f>IFERROR(VLOOKUP(Table1215[[#This Row],[Column2]],Table12[[Column2]:[Column54]],49,FALSE),"0")</f>
        <v>0</v>
      </c>
      <c r="AY44" s="78">
        <f>IFERROR(VLOOKUP(Table1215[[#This Row],[Column2]],Table12[[Column2]:[Column54]],50,FALSE),"0")</f>
        <v>0</v>
      </c>
      <c r="AZ44" s="78">
        <f>IFERROR(VLOOKUP(Table1215[[#This Row],[Column2]],Table12[[Column2]:[Column54]],51,FALSE),"0")</f>
        <v>4</v>
      </c>
      <c r="BA44" s="78">
        <f>IFERROR(VLOOKUP(Table1215[[#This Row],[Column2]],Table12[[Column2]:[Column54]],52,FALSE),"0")</f>
        <v>5</v>
      </c>
      <c r="BB44" s="80">
        <f>AVERAGE(Table1215[[#This Row],[Column52]],Table1215[[#This Row],[Column53]])</f>
        <v>4.5</v>
      </c>
    </row>
    <row r="45" spans="1:54" ht="23.1" customHeight="1" x14ac:dyDescent="0.3">
      <c r="A45" s="100">
        <v>42</v>
      </c>
      <c r="B45" s="83" t="s">
        <v>245</v>
      </c>
      <c r="C45" s="84" t="s">
        <v>246</v>
      </c>
      <c r="D45" s="83" t="s">
        <v>542</v>
      </c>
      <c r="E45" s="83" t="s">
        <v>161</v>
      </c>
      <c r="F45" s="83" t="str">
        <f>REPT(CHAR(160),10)&amp;Working!$E46</f>
        <v>          B</v>
      </c>
      <c r="G45" s="74">
        <f>IFERROR(VLOOKUP(Table1215[[#This Row],[Column2]],Table12[[Column2]:[Column54]],6,FALSE),"0")</f>
        <v>0</v>
      </c>
      <c r="H45" s="74">
        <f>IFERROR(VLOOKUP(Table1215[[#This Row],[Column2]],Table12[[Column2]:[Column54]],7,FALSE),"0")</f>
        <v>0</v>
      </c>
      <c r="I45" s="74">
        <f>IFERROR(VLOOKUP(Table1215[[#This Row],[Column2]],Table12[[Column2]:[Column54]],8,FALSE),"0")</f>
        <v>4</v>
      </c>
      <c r="J45" s="74">
        <f>IFERROR(VLOOKUP(Table1215[[#This Row],[Column2]],Table12[[Column2]:[Column54]],9,FALSE),"0")</f>
        <v>0</v>
      </c>
      <c r="K45" s="74">
        <f>IFERROR(VLOOKUP(Table1215[[#This Row],[Column2]],Table12[[Column2]:[Column54]],10,FALSE),"0")</f>
        <v>0</v>
      </c>
      <c r="L45" s="80">
        <f>Table1215[[#This Row],[Column9]]</f>
        <v>4</v>
      </c>
      <c r="M45" s="74">
        <f>IFERROR(VLOOKUP(Table1215[[#This Row],[Column2]],Table12[[Column2]:[Column54]],12,FALSE),"0")</f>
        <v>0</v>
      </c>
      <c r="N45" s="74">
        <f>IFERROR(VLOOKUP(Table1215[[#This Row],[Column2]],Table12[[Column2]:[Column54]],13,FALSE),"0")</f>
        <v>4</v>
      </c>
      <c r="O45" s="74">
        <f>IFERROR(VLOOKUP(Table1215[[#This Row],[Column2]],Table12[[Column2]:[Column54]],14,FALSE),"0")</f>
        <v>4</v>
      </c>
      <c r="P45" s="74">
        <f>IFERROR(VLOOKUP(Table1215[[#This Row],[Column2]],Table12[[Column2]:[Column54]],10,FALSE),"0")</f>
        <v>0</v>
      </c>
      <c r="Q45" s="74">
        <f>IFERROR(VLOOKUP(Table1215[[#This Row],[Column2]],Table12[[Column2]:[Column54]],16,FALSE),"0")</f>
        <v>4</v>
      </c>
      <c r="R45" s="80">
        <f>AVERAGE(Table1215[[#This Row],[Column14]],Table1215[[#This Row],[Column15]],Table1215[[#This Row],[Column17]])</f>
        <v>4</v>
      </c>
      <c r="S45" s="74">
        <f>IFERROR(VLOOKUP(Table1215[[#This Row],[Column2]],Table12[[Column2]:[Column54]],18,FALSE),"0")</f>
        <v>0</v>
      </c>
      <c r="T45" s="74">
        <f>IFERROR(VLOOKUP(Table1215[[#This Row],[Column2]],Table12[[Column2]:[Column54]],19,FALSE),"0")</f>
        <v>0</v>
      </c>
      <c r="U45" s="74">
        <f>IFERROR(VLOOKUP(Table1215[[#This Row],[Column2]],Table12[[Column2]:[Column54]],20,FALSE),"0")</f>
        <v>0</v>
      </c>
      <c r="V45" s="74">
        <f>IFERROR(VLOOKUP(Table1215[[#This Row],[Column2]],Table12[[Column2]:[Column54]],21,FALSE),"0")</f>
        <v>0</v>
      </c>
      <c r="W45" s="74">
        <f>IFERROR(VLOOKUP(Table1215[[#This Row],[Column2]],Table12[[Column2]:[Column54]],22,FALSE),"0")</f>
        <v>0</v>
      </c>
      <c r="X45" s="80">
        <f>Table1215[[#This Row],[Column19]]</f>
        <v>0</v>
      </c>
      <c r="Y45" s="74">
        <f>IFERROR(VLOOKUP(Table1215[[#This Row],[Column2]],Table12[[Column2]:[Column54]],24,FALSE),"0")</f>
        <v>4</v>
      </c>
      <c r="Z45" s="74">
        <f>IFERROR(VLOOKUP(Table1215[[#This Row],[Column2]],Table12[[Column2]:[Column54]],25,FALSE),"0")</f>
        <v>0</v>
      </c>
      <c r="AA45" s="74">
        <f>IFERROR(VLOOKUP(Table1215[[#This Row],[Column2]],Table12[[Column2]:[Column54]],26,FALSE),"0")</f>
        <v>0</v>
      </c>
      <c r="AB45" s="74">
        <f>IFERROR(VLOOKUP(Table1215[[#This Row],[Column2]],Table12[[Column2]:[Column54]],27,FALSE),"0")</f>
        <v>0</v>
      </c>
      <c r="AC45" s="74">
        <f>IFERROR(VLOOKUP(Table1215[[#This Row],[Column2]],Table12[[Column2]:[Column54]],28,FALSE),"0")</f>
        <v>0</v>
      </c>
      <c r="AD45" s="80">
        <f>Table1215[[#This Row],[Column25]]</f>
        <v>4</v>
      </c>
      <c r="AE45" s="74">
        <f>IFERROR(VLOOKUP(Table1215[[#This Row],[Column2]],Table12[[Column2]:[Column54]],30,FALSE),"0")</f>
        <v>0</v>
      </c>
      <c r="AF45" s="74">
        <f>IFERROR(VLOOKUP(Table1215[[#This Row],[Column2]],Table12[[Column2]:[Column54]],31,FALSE),"0")</f>
        <v>0</v>
      </c>
      <c r="AG45" s="74">
        <f>IFERROR(VLOOKUP(Table1215[[#This Row],[Column2]],Table12[[Column2]:[Column54]],32,FALSE),"0")</f>
        <v>0</v>
      </c>
      <c r="AH45" s="74">
        <f>IFERROR(VLOOKUP(Table1215[[#This Row],[Column2]],Table12[[Column2]:[Column54]],33,FALSE),"0")</f>
        <v>0</v>
      </c>
      <c r="AI45" s="74">
        <f>IFERROR(VLOOKUP(Table1215[[#This Row],[Column2]],Table12[[Column2]:[Column54]],34,FALSE),"0")</f>
        <v>0</v>
      </c>
      <c r="AJ45" s="80">
        <f>AVERAGE(Table1215[[#This Row],[Column31]],Table1215[[#This Row],[Column32]],Table1215[[#This Row],[Column33]])</f>
        <v>0</v>
      </c>
      <c r="AK45" s="74">
        <f>IFERROR(VLOOKUP(Table1215[[#This Row],[Column2]],Table12[[Column2]:[Column54]],36,FALSE),"0")</f>
        <v>4</v>
      </c>
      <c r="AL45" s="74">
        <f>IFERROR(VLOOKUP(Table1215[[#This Row],[Column2]],Table12[[Column2]:[Column54]],37,FALSE),"0")</f>
        <v>4</v>
      </c>
      <c r="AM45" s="74">
        <f>IFERROR(VLOOKUP(Table1215[[#This Row],[Column2]],Table12[[Column2]:[Column54]],38,FALSE),"0")</f>
        <v>0</v>
      </c>
      <c r="AN45" s="74">
        <f>IFERROR(VLOOKUP(Table1215[[#This Row],[Column2]],Table12[[Column2]:[Column54]],39,FALSE),"0")</f>
        <v>5</v>
      </c>
      <c r="AO45" s="74">
        <f>IFERROR(VLOOKUP(Table1215[[#This Row],[Column2]],Table12[[Column2]:[Column54]],40,FALSE),"0")</f>
        <v>0</v>
      </c>
      <c r="AP45" s="80">
        <f>AVERAGE(Table1215[[#This Row],[Column37]],Table1215[[#This Row],[Column38]],Table1215[[#This Row],[Column40]])</f>
        <v>4.333333333333333</v>
      </c>
      <c r="AQ45" s="74">
        <f>IFERROR(VLOOKUP(Table1215[[#This Row],[Column2]],Table12[[Column2]:[Column54]],42,FALSE),"0")</f>
        <v>4</v>
      </c>
      <c r="AR45" s="74">
        <f>IFERROR(VLOOKUP(Table1215[[#This Row],[Column2]],Table12[[Column2]:[Column54]],43,FALSE),"0")</f>
        <v>0</v>
      </c>
      <c r="AS45" s="74">
        <f>IFERROR(VLOOKUP(Table1215[[#This Row],[Column2]],Table12[[Column2]:[Column54]],44,FALSE),"0")</f>
        <v>0</v>
      </c>
      <c r="AT45" s="74">
        <f>IFERROR(VLOOKUP(Table1215[[#This Row],[Column2]],Table12[[Column2]:[Column54]],45,FALSE),"0")</f>
        <v>0</v>
      </c>
      <c r="AU45" s="74">
        <f>IFERROR(VLOOKUP(Table1215[[#This Row],[Column2]],Table12[[Column2]:[Column54]],46,FALSE),"0")</f>
        <v>0</v>
      </c>
      <c r="AV45" s="80">
        <f>Table1215[[#This Row],[Column43]]</f>
        <v>4</v>
      </c>
      <c r="AW45" s="74">
        <f>IFERROR(VLOOKUP(Table1215[[#This Row],[Column2]],Table12[[Column2]:[Column54]],48,FALSE),"0")</f>
        <v>0</v>
      </c>
      <c r="AX45" s="74">
        <f>IFERROR(VLOOKUP(Table1215[[#This Row],[Column2]],Table12[[Column2]:[Column54]],49,FALSE),"0")</f>
        <v>0</v>
      </c>
      <c r="AY45" s="74">
        <f>IFERROR(VLOOKUP(Table1215[[#This Row],[Column2]],Table12[[Column2]:[Column54]],50,FALSE),"0")</f>
        <v>0</v>
      </c>
      <c r="AZ45" s="74">
        <f>IFERROR(VLOOKUP(Table1215[[#This Row],[Column2]],Table12[[Column2]:[Column54]],51,FALSE),"0")</f>
        <v>4</v>
      </c>
      <c r="BA45" s="74">
        <f>IFERROR(VLOOKUP(Table1215[[#This Row],[Column2]],Table12[[Column2]:[Column54]],52,FALSE),"0")</f>
        <v>4</v>
      </c>
      <c r="BB45" s="80">
        <f>AVERAGE(Table1215[[#This Row],[Column52]],Table1215[[#This Row],[Column53]])</f>
        <v>4</v>
      </c>
    </row>
    <row r="46" spans="1:54" ht="23.1" customHeight="1" x14ac:dyDescent="0.3">
      <c r="A46" s="99">
        <v>43</v>
      </c>
      <c r="B46" s="76" t="s">
        <v>114</v>
      </c>
      <c r="C46" s="77" t="s">
        <v>115</v>
      </c>
      <c r="D46" s="76" t="s">
        <v>450</v>
      </c>
      <c r="E46" s="76" t="s">
        <v>35</v>
      </c>
      <c r="F46" s="76" t="str">
        <f>REPT(CHAR(160),10)&amp;Working!$E47</f>
        <v>          A</v>
      </c>
      <c r="G46" s="78">
        <f>IFERROR(VLOOKUP(Table1215[[#This Row],[Column2]],Table12[[Column2]:[Column54]],6,FALSE),"0")</f>
        <v>0</v>
      </c>
      <c r="H46" s="78">
        <f>IFERROR(VLOOKUP(Table1215[[#This Row],[Column2]],Table12[[Column2]:[Column54]],7,FALSE),"0")</f>
        <v>0</v>
      </c>
      <c r="I46" s="78">
        <f>IFERROR(VLOOKUP(Table1215[[#This Row],[Column2]],Table12[[Column2]:[Column54]],8,FALSE),"0")</f>
        <v>4</v>
      </c>
      <c r="J46" s="78">
        <f>IFERROR(VLOOKUP(Table1215[[#This Row],[Column2]],Table12[[Column2]:[Column54]],9,FALSE),"0")</f>
        <v>0</v>
      </c>
      <c r="K46" s="78">
        <f>IFERROR(VLOOKUP(Table1215[[#This Row],[Column2]],Table12[[Column2]:[Column54]],10,FALSE),"0")</f>
        <v>0</v>
      </c>
      <c r="L46" s="80">
        <f>Table1215[[#This Row],[Column9]]</f>
        <v>4</v>
      </c>
      <c r="M46" s="78">
        <f>IFERROR(VLOOKUP(Table1215[[#This Row],[Column2]],Table12[[Column2]:[Column54]],12,FALSE),"0")</f>
        <v>0</v>
      </c>
      <c r="N46" s="78">
        <f>IFERROR(VLOOKUP(Table1215[[#This Row],[Column2]],Table12[[Column2]:[Column54]],13,FALSE),"0")</f>
        <v>4</v>
      </c>
      <c r="O46" s="78">
        <f>IFERROR(VLOOKUP(Table1215[[#This Row],[Column2]],Table12[[Column2]:[Column54]],14,FALSE),"0")</f>
        <v>4</v>
      </c>
      <c r="P46" s="78">
        <f>IFERROR(VLOOKUP(Table1215[[#This Row],[Column2]],Table12[[Column2]:[Column54]],10,FALSE),"0")</f>
        <v>0</v>
      </c>
      <c r="Q46" s="78">
        <f>IFERROR(VLOOKUP(Table1215[[#This Row],[Column2]],Table12[[Column2]:[Column54]],16,FALSE),"0")</f>
        <v>4</v>
      </c>
      <c r="R46" s="80">
        <f>AVERAGE(Table1215[[#This Row],[Column14]],Table1215[[#This Row],[Column15]],Table1215[[#This Row],[Column17]])</f>
        <v>4</v>
      </c>
      <c r="S46" s="78">
        <f>IFERROR(VLOOKUP(Table1215[[#This Row],[Column2]],Table12[[Column2]:[Column54]],18,FALSE),"0")</f>
        <v>0</v>
      </c>
      <c r="T46" s="78">
        <f>IFERROR(VLOOKUP(Table1215[[#This Row],[Column2]],Table12[[Column2]:[Column54]],19,FALSE),"0")</f>
        <v>0</v>
      </c>
      <c r="U46" s="78">
        <f>IFERROR(VLOOKUP(Table1215[[#This Row],[Column2]],Table12[[Column2]:[Column54]],20,FALSE),"0")</f>
        <v>0</v>
      </c>
      <c r="V46" s="78">
        <f>IFERROR(VLOOKUP(Table1215[[#This Row],[Column2]],Table12[[Column2]:[Column54]],21,FALSE),"0")</f>
        <v>0</v>
      </c>
      <c r="W46" s="78">
        <f>IFERROR(VLOOKUP(Table1215[[#This Row],[Column2]],Table12[[Column2]:[Column54]],22,FALSE),"0")</f>
        <v>0</v>
      </c>
      <c r="X46" s="80">
        <f>Table1215[[#This Row],[Column19]]</f>
        <v>0</v>
      </c>
      <c r="Y46" s="78">
        <f>IFERROR(VLOOKUP(Table1215[[#This Row],[Column2]],Table12[[Column2]:[Column54]],24,FALSE),"0")</f>
        <v>3</v>
      </c>
      <c r="Z46" s="78">
        <f>IFERROR(VLOOKUP(Table1215[[#This Row],[Column2]],Table12[[Column2]:[Column54]],25,FALSE),"0")</f>
        <v>0</v>
      </c>
      <c r="AA46" s="78">
        <f>IFERROR(VLOOKUP(Table1215[[#This Row],[Column2]],Table12[[Column2]:[Column54]],26,FALSE),"0")</f>
        <v>0</v>
      </c>
      <c r="AB46" s="78">
        <f>IFERROR(VLOOKUP(Table1215[[#This Row],[Column2]],Table12[[Column2]:[Column54]],27,FALSE),"0")</f>
        <v>0</v>
      </c>
      <c r="AC46" s="78">
        <f>IFERROR(VLOOKUP(Table1215[[#This Row],[Column2]],Table12[[Column2]:[Column54]],28,FALSE),"0")</f>
        <v>0</v>
      </c>
      <c r="AD46" s="80">
        <f>Table1215[[#This Row],[Column25]]</f>
        <v>3</v>
      </c>
      <c r="AE46" s="78">
        <f>IFERROR(VLOOKUP(Table1215[[#This Row],[Column2]],Table12[[Column2]:[Column54]],30,FALSE),"0")</f>
        <v>0</v>
      </c>
      <c r="AF46" s="78">
        <f>IFERROR(VLOOKUP(Table1215[[#This Row],[Column2]],Table12[[Column2]:[Column54]],31,FALSE),"0")</f>
        <v>0</v>
      </c>
      <c r="AG46" s="78">
        <f>IFERROR(VLOOKUP(Table1215[[#This Row],[Column2]],Table12[[Column2]:[Column54]],32,FALSE),"0")</f>
        <v>0</v>
      </c>
      <c r="AH46" s="78">
        <f>IFERROR(VLOOKUP(Table1215[[#This Row],[Column2]],Table12[[Column2]:[Column54]],33,FALSE),"0")</f>
        <v>0</v>
      </c>
      <c r="AI46" s="78">
        <f>IFERROR(VLOOKUP(Table1215[[#This Row],[Column2]],Table12[[Column2]:[Column54]],34,FALSE),"0")</f>
        <v>0</v>
      </c>
      <c r="AJ46" s="80">
        <f>AVERAGE(Table1215[[#This Row],[Column31]],Table1215[[#This Row],[Column32]],Table1215[[#This Row],[Column33]])</f>
        <v>0</v>
      </c>
      <c r="AK46" s="78">
        <f>IFERROR(VLOOKUP(Table1215[[#This Row],[Column2]],Table12[[Column2]:[Column54]],36,FALSE),"0")</f>
        <v>4</v>
      </c>
      <c r="AL46" s="78">
        <f>IFERROR(VLOOKUP(Table1215[[#This Row],[Column2]],Table12[[Column2]:[Column54]],37,FALSE),"0")</f>
        <v>3</v>
      </c>
      <c r="AM46" s="78">
        <f>IFERROR(VLOOKUP(Table1215[[#This Row],[Column2]],Table12[[Column2]:[Column54]],38,FALSE),"0")</f>
        <v>0</v>
      </c>
      <c r="AN46" s="78">
        <f>IFERROR(VLOOKUP(Table1215[[#This Row],[Column2]],Table12[[Column2]:[Column54]],39,FALSE),"0")</f>
        <v>4</v>
      </c>
      <c r="AO46" s="78">
        <f>IFERROR(VLOOKUP(Table1215[[#This Row],[Column2]],Table12[[Column2]:[Column54]],40,FALSE),"0")</f>
        <v>0</v>
      </c>
      <c r="AP46" s="80">
        <f>AVERAGE(Table1215[[#This Row],[Column37]],Table1215[[#This Row],[Column38]],Table1215[[#This Row],[Column40]])</f>
        <v>3.6666666666666665</v>
      </c>
      <c r="AQ46" s="78">
        <f>IFERROR(VLOOKUP(Table1215[[#This Row],[Column2]],Table12[[Column2]:[Column54]],42,FALSE),"0")</f>
        <v>4</v>
      </c>
      <c r="AR46" s="78">
        <f>IFERROR(VLOOKUP(Table1215[[#This Row],[Column2]],Table12[[Column2]:[Column54]],43,FALSE),"0")</f>
        <v>0</v>
      </c>
      <c r="AS46" s="78">
        <f>IFERROR(VLOOKUP(Table1215[[#This Row],[Column2]],Table12[[Column2]:[Column54]],44,FALSE),"0")</f>
        <v>0</v>
      </c>
      <c r="AT46" s="78">
        <f>IFERROR(VLOOKUP(Table1215[[#This Row],[Column2]],Table12[[Column2]:[Column54]],45,FALSE),"0")</f>
        <v>0</v>
      </c>
      <c r="AU46" s="78">
        <f>IFERROR(VLOOKUP(Table1215[[#This Row],[Column2]],Table12[[Column2]:[Column54]],46,FALSE),"0")</f>
        <v>0</v>
      </c>
      <c r="AV46" s="80">
        <f>Table1215[[#This Row],[Column43]]</f>
        <v>4</v>
      </c>
      <c r="AW46" s="78">
        <f>IFERROR(VLOOKUP(Table1215[[#This Row],[Column2]],Table12[[Column2]:[Column54]],48,FALSE),"0")</f>
        <v>0</v>
      </c>
      <c r="AX46" s="78">
        <f>IFERROR(VLOOKUP(Table1215[[#This Row],[Column2]],Table12[[Column2]:[Column54]],49,FALSE),"0")</f>
        <v>0</v>
      </c>
      <c r="AY46" s="78">
        <f>IFERROR(VLOOKUP(Table1215[[#This Row],[Column2]],Table12[[Column2]:[Column54]],50,FALSE),"0")</f>
        <v>0</v>
      </c>
      <c r="AZ46" s="78">
        <f>IFERROR(VLOOKUP(Table1215[[#This Row],[Column2]],Table12[[Column2]:[Column54]],51,FALSE),"0")</f>
        <v>4</v>
      </c>
      <c r="BA46" s="78">
        <f>IFERROR(VLOOKUP(Table1215[[#This Row],[Column2]],Table12[[Column2]:[Column54]],52,FALSE),"0")</f>
        <v>3</v>
      </c>
      <c r="BB46" s="80">
        <f>AVERAGE(Table1215[[#This Row],[Column52]],Table1215[[#This Row],[Column53]])</f>
        <v>3.5</v>
      </c>
    </row>
    <row r="47" spans="1:54" ht="23.1" customHeight="1" x14ac:dyDescent="0.3">
      <c r="A47" s="100">
        <v>44</v>
      </c>
      <c r="B47" s="83" t="s">
        <v>116</v>
      </c>
      <c r="C47" s="84" t="s">
        <v>117</v>
      </c>
      <c r="D47" s="83" t="s">
        <v>542</v>
      </c>
      <c r="E47" s="83" t="s">
        <v>35</v>
      </c>
      <c r="F47" s="83" t="str">
        <f>REPT(CHAR(160),10)&amp;Working!$E48</f>
        <v>          A</v>
      </c>
      <c r="G47" s="74">
        <f>IFERROR(VLOOKUP(Table1215[[#This Row],[Column2]],Table12[[Column2]:[Column54]],6,FALSE),"0")</f>
        <v>0</v>
      </c>
      <c r="H47" s="74">
        <f>IFERROR(VLOOKUP(Table1215[[#This Row],[Column2]],Table12[[Column2]:[Column54]],7,FALSE),"0")</f>
        <v>0</v>
      </c>
      <c r="I47" s="74">
        <f>IFERROR(VLOOKUP(Table1215[[#This Row],[Column2]],Table12[[Column2]:[Column54]],8,FALSE),"0")</f>
        <v>3</v>
      </c>
      <c r="J47" s="74">
        <f>IFERROR(VLOOKUP(Table1215[[#This Row],[Column2]],Table12[[Column2]:[Column54]],9,FALSE),"0")</f>
        <v>0</v>
      </c>
      <c r="K47" s="74">
        <f>IFERROR(VLOOKUP(Table1215[[#This Row],[Column2]],Table12[[Column2]:[Column54]],10,FALSE),"0")</f>
        <v>0</v>
      </c>
      <c r="L47" s="80">
        <f>Table1215[[#This Row],[Column9]]</f>
        <v>3</v>
      </c>
      <c r="M47" s="74">
        <f>IFERROR(VLOOKUP(Table1215[[#This Row],[Column2]],Table12[[Column2]:[Column54]],12,FALSE),"0")</f>
        <v>0</v>
      </c>
      <c r="N47" s="74">
        <f>IFERROR(VLOOKUP(Table1215[[#This Row],[Column2]],Table12[[Column2]:[Column54]],13,FALSE),"0")</f>
        <v>3</v>
      </c>
      <c r="O47" s="74">
        <f>IFERROR(VLOOKUP(Table1215[[#This Row],[Column2]],Table12[[Column2]:[Column54]],14,FALSE),"0")</f>
        <v>3</v>
      </c>
      <c r="P47" s="74">
        <f>IFERROR(VLOOKUP(Table1215[[#This Row],[Column2]],Table12[[Column2]:[Column54]],10,FALSE),"0")</f>
        <v>0</v>
      </c>
      <c r="Q47" s="74">
        <f>IFERROR(VLOOKUP(Table1215[[#This Row],[Column2]],Table12[[Column2]:[Column54]],16,FALSE),"0")</f>
        <v>3</v>
      </c>
      <c r="R47" s="80">
        <f>AVERAGE(Table1215[[#This Row],[Column14]],Table1215[[#This Row],[Column15]],Table1215[[#This Row],[Column17]])</f>
        <v>3</v>
      </c>
      <c r="S47" s="74">
        <f>IFERROR(VLOOKUP(Table1215[[#This Row],[Column2]],Table12[[Column2]:[Column54]],18,FALSE),"0")</f>
        <v>0</v>
      </c>
      <c r="T47" s="74">
        <f>IFERROR(VLOOKUP(Table1215[[#This Row],[Column2]],Table12[[Column2]:[Column54]],19,FALSE),"0")</f>
        <v>0</v>
      </c>
      <c r="U47" s="74">
        <f>IFERROR(VLOOKUP(Table1215[[#This Row],[Column2]],Table12[[Column2]:[Column54]],20,FALSE),"0")</f>
        <v>0</v>
      </c>
      <c r="V47" s="74">
        <f>IFERROR(VLOOKUP(Table1215[[#This Row],[Column2]],Table12[[Column2]:[Column54]],21,FALSE),"0")</f>
        <v>0</v>
      </c>
      <c r="W47" s="74">
        <f>IFERROR(VLOOKUP(Table1215[[#This Row],[Column2]],Table12[[Column2]:[Column54]],22,FALSE),"0")</f>
        <v>0</v>
      </c>
      <c r="X47" s="80">
        <f>Table1215[[#This Row],[Column19]]</f>
        <v>0</v>
      </c>
      <c r="Y47" s="74">
        <f>IFERROR(VLOOKUP(Table1215[[#This Row],[Column2]],Table12[[Column2]:[Column54]],24,FALSE),"0")</f>
        <v>4</v>
      </c>
      <c r="Z47" s="74">
        <f>IFERROR(VLOOKUP(Table1215[[#This Row],[Column2]],Table12[[Column2]:[Column54]],25,FALSE),"0")</f>
        <v>0</v>
      </c>
      <c r="AA47" s="74">
        <f>IFERROR(VLOOKUP(Table1215[[#This Row],[Column2]],Table12[[Column2]:[Column54]],26,FALSE),"0")</f>
        <v>0</v>
      </c>
      <c r="AB47" s="74">
        <f>IFERROR(VLOOKUP(Table1215[[#This Row],[Column2]],Table12[[Column2]:[Column54]],27,FALSE),"0")</f>
        <v>0</v>
      </c>
      <c r="AC47" s="74">
        <f>IFERROR(VLOOKUP(Table1215[[#This Row],[Column2]],Table12[[Column2]:[Column54]],28,FALSE),"0")</f>
        <v>0</v>
      </c>
      <c r="AD47" s="80">
        <f>Table1215[[#This Row],[Column25]]</f>
        <v>4</v>
      </c>
      <c r="AE47" s="74">
        <f>IFERROR(VLOOKUP(Table1215[[#This Row],[Column2]],Table12[[Column2]:[Column54]],30,FALSE),"0")</f>
        <v>0</v>
      </c>
      <c r="AF47" s="74">
        <f>IFERROR(VLOOKUP(Table1215[[#This Row],[Column2]],Table12[[Column2]:[Column54]],31,FALSE),"0")</f>
        <v>0</v>
      </c>
      <c r="AG47" s="74">
        <f>IFERROR(VLOOKUP(Table1215[[#This Row],[Column2]],Table12[[Column2]:[Column54]],32,FALSE),"0")</f>
        <v>0</v>
      </c>
      <c r="AH47" s="74">
        <f>IFERROR(VLOOKUP(Table1215[[#This Row],[Column2]],Table12[[Column2]:[Column54]],33,FALSE),"0")</f>
        <v>0</v>
      </c>
      <c r="AI47" s="74">
        <f>IFERROR(VLOOKUP(Table1215[[#This Row],[Column2]],Table12[[Column2]:[Column54]],34,FALSE),"0")</f>
        <v>0</v>
      </c>
      <c r="AJ47" s="80">
        <f>AVERAGE(Table1215[[#This Row],[Column31]],Table1215[[#This Row],[Column32]],Table1215[[#This Row],[Column33]])</f>
        <v>0</v>
      </c>
      <c r="AK47" s="74">
        <f>IFERROR(VLOOKUP(Table1215[[#This Row],[Column2]],Table12[[Column2]:[Column54]],36,FALSE),"0")</f>
        <v>3</v>
      </c>
      <c r="AL47" s="74">
        <f>IFERROR(VLOOKUP(Table1215[[#This Row],[Column2]],Table12[[Column2]:[Column54]],37,FALSE),"0")</f>
        <v>4</v>
      </c>
      <c r="AM47" s="74">
        <f>IFERROR(VLOOKUP(Table1215[[#This Row],[Column2]],Table12[[Column2]:[Column54]],38,FALSE),"0")</f>
        <v>0</v>
      </c>
      <c r="AN47" s="74">
        <f>IFERROR(VLOOKUP(Table1215[[#This Row],[Column2]],Table12[[Column2]:[Column54]],39,FALSE),"0")</f>
        <v>3</v>
      </c>
      <c r="AO47" s="74">
        <f>IFERROR(VLOOKUP(Table1215[[#This Row],[Column2]],Table12[[Column2]:[Column54]],40,FALSE),"0")</f>
        <v>0</v>
      </c>
      <c r="AP47" s="80">
        <f>AVERAGE(Table1215[[#This Row],[Column37]],Table1215[[#This Row],[Column38]],Table1215[[#This Row],[Column40]])</f>
        <v>3.3333333333333335</v>
      </c>
      <c r="AQ47" s="74">
        <f>IFERROR(VLOOKUP(Table1215[[#This Row],[Column2]],Table12[[Column2]:[Column54]],42,FALSE),"0")</f>
        <v>3</v>
      </c>
      <c r="AR47" s="74">
        <f>IFERROR(VLOOKUP(Table1215[[#This Row],[Column2]],Table12[[Column2]:[Column54]],43,FALSE),"0")</f>
        <v>0</v>
      </c>
      <c r="AS47" s="74">
        <f>IFERROR(VLOOKUP(Table1215[[#This Row],[Column2]],Table12[[Column2]:[Column54]],44,FALSE),"0")</f>
        <v>0</v>
      </c>
      <c r="AT47" s="74">
        <f>IFERROR(VLOOKUP(Table1215[[#This Row],[Column2]],Table12[[Column2]:[Column54]],45,FALSE),"0")</f>
        <v>0</v>
      </c>
      <c r="AU47" s="74">
        <f>IFERROR(VLOOKUP(Table1215[[#This Row],[Column2]],Table12[[Column2]:[Column54]],46,FALSE),"0")</f>
        <v>0</v>
      </c>
      <c r="AV47" s="80">
        <f>Table1215[[#This Row],[Column43]]</f>
        <v>3</v>
      </c>
      <c r="AW47" s="74">
        <f>IFERROR(VLOOKUP(Table1215[[#This Row],[Column2]],Table12[[Column2]:[Column54]],48,FALSE),"0")</f>
        <v>0</v>
      </c>
      <c r="AX47" s="74">
        <f>IFERROR(VLOOKUP(Table1215[[#This Row],[Column2]],Table12[[Column2]:[Column54]],49,FALSE),"0")</f>
        <v>0</v>
      </c>
      <c r="AY47" s="74">
        <f>IFERROR(VLOOKUP(Table1215[[#This Row],[Column2]],Table12[[Column2]:[Column54]],50,FALSE),"0")</f>
        <v>0</v>
      </c>
      <c r="AZ47" s="74">
        <f>IFERROR(VLOOKUP(Table1215[[#This Row],[Column2]],Table12[[Column2]:[Column54]],51,FALSE),"0")</f>
        <v>3</v>
      </c>
      <c r="BA47" s="74">
        <f>IFERROR(VLOOKUP(Table1215[[#This Row],[Column2]],Table12[[Column2]:[Column54]],52,FALSE),"0")</f>
        <v>4</v>
      </c>
      <c r="BB47" s="80">
        <f>AVERAGE(Table1215[[#This Row],[Column52]],Table1215[[#This Row],[Column53]])</f>
        <v>3.5</v>
      </c>
    </row>
    <row r="48" spans="1:54" ht="23.1" customHeight="1" x14ac:dyDescent="0.3">
      <c r="A48" s="99">
        <v>45</v>
      </c>
      <c r="B48" s="76" t="s">
        <v>180</v>
      </c>
      <c r="C48" s="77" t="s">
        <v>181</v>
      </c>
      <c r="D48" s="76" t="s">
        <v>450</v>
      </c>
      <c r="E48" s="76" t="s">
        <v>161</v>
      </c>
      <c r="F48" s="76" t="str">
        <f>REPT(CHAR(160),10)&amp;Working!$E49</f>
        <v>          B</v>
      </c>
      <c r="G48" s="78">
        <f>IFERROR(VLOOKUP(Table1215[[#This Row],[Column2]],Table12[[Column2]:[Column54]],6,FALSE),"0")</f>
        <v>0</v>
      </c>
      <c r="H48" s="78">
        <f>IFERROR(VLOOKUP(Table1215[[#This Row],[Column2]],Table12[[Column2]:[Column54]],7,FALSE),"0")</f>
        <v>0</v>
      </c>
      <c r="I48" s="78">
        <f>IFERROR(VLOOKUP(Table1215[[#This Row],[Column2]],Table12[[Column2]:[Column54]],8,FALSE),"0")</f>
        <v>3</v>
      </c>
      <c r="J48" s="78">
        <f>IFERROR(VLOOKUP(Table1215[[#This Row],[Column2]],Table12[[Column2]:[Column54]],9,FALSE),"0")</f>
        <v>0</v>
      </c>
      <c r="K48" s="78">
        <f>IFERROR(VLOOKUP(Table1215[[#This Row],[Column2]],Table12[[Column2]:[Column54]],10,FALSE),"0")</f>
        <v>0</v>
      </c>
      <c r="L48" s="80">
        <f>Table1215[[#This Row],[Column9]]</f>
        <v>3</v>
      </c>
      <c r="M48" s="78">
        <f>IFERROR(VLOOKUP(Table1215[[#This Row],[Column2]],Table12[[Column2]:[Column54]],12,FALSE),"0")</f>
        <v>0</v>
      </c>
      <c r="N48" s="78">
        <f>IFERROR(VLOOKUP(Table1215[[#This Row],[Column2]],Table12[[Column2]:[Column54]],13,FALSE),"0")</f>
        <v>3</v>
      </c>
      <c r="O48" s="78">
        <f>IFERROR(VLOOKUP(Table1215[[#This Row],[Column2]],Table12[[Column2]:[Column54]],14,FALSE),"0")</f>
        <v>4</v>
      </c>
      <c r="P48" s="78">
        <f>IFERROR(VLOOKUP(Table1215[[#This Row],[Column2]],Table12[[Column2]:[Column54]],10,FALSE),"0")</f>
        <v>0</v>
      </c>
      <c r="Q48" s="78">
        <f>IFERROR(VLOOKUP(Table1215[[#This Row],[Column2]],Table12[[Column2]:[Column54]],16,FALSE),"0")</f>
        <v>4</v>
      </c>
      <c r="R48" s="80">
        <f>AVERAGE(Table1215[[#This Row],[Column14]],Table1215[[#This Row],[Column15]],Table1215[[#This Row],[Column17]])</f>
        <v>3.6666666666666665</v>
      </c>
      <c r="S48" s="78">
        <f>IFERROR(VLOOKUP(Table1215[[#This Row],[Column2]],Table12[[Column2]:[Column54]],18,FALSE),"0")</f>
        <v>0</v>
      </c>
      <c r="T48" s="78">
        <f>IFERROR(VLOOKUP(Table1215[[#This Row],[Column2]],Table12[[Column2]:[Column54]],19,FALSE),"0")</f>
        <v>0</v>
      </c>
      <c r="U48" s="78">
        <f>IFERROR(VLOOKUP(Table1215[[#This Row],[Column2]],Table12[[Column2]:[Column54]],20,FALSE),"0")</f>
        <v>0</v>
      </c>
      <c r="V48" s="78">
        <f>IFERROR(VLOOKUP(Table1215[[#This Row],[Column2]],Table12[[Column2]:[Column54]],21,FALSE),"0")</f>
        <v>0</v>
      </c>
      <c r="W48" s="78">
        <f>IFERROR(VLOOKUP(Table1215[[#This Row],[Column2]],Table12[[Column2]:[Column54]],22,FALSE),"0")</f>
        <v>0</v>
      </c>
      <c r="X48" s="80">
        <f>Table1215[[#This Row],[Column19]]</f>
        <v>0</v>
      </c>
      <c r="Y48" s="78">
        <f>IFERROR(VLOOKUP(Table1215[[#This Row],[Column2]],Table12[[Column2]:[Column54]],24,FALSE),"0")</f>
        <v>4</v>
      </c>
      <c r="Z48" s="78">
        <f>IFERROR(VLOOKUP(Table1215[[#This Row],[Column2]],Table12[[Column2]:[Column54]],25,FALSE),"0")</f>
        <v>0</v>
      </c>
      <c r="AA48" s="78">
        <f>IFERROR(VLOOKUP(Table1215[[#This Row],[Column2]],Table12[[Column2]:[Column54]],26,FALSE),"0")</f>
        <v>0</v>
      </c>
      <c r="AB48" s="78">
        <f>IFERROR(VLOOKUP(Table1215[[#This Row],[Column2]],Table12[[Column2]:[Column54]],27,FALSE),"0")</f>
        <v>0</v>
      </c>
      <c r="AC48" s="78">
        <f>IFERROR(VLOOKUP(Table1215[[#This Row],[Column2]],Table12[[Column2]:[Column54]],28,FALSE),"0")</f>
        <v>0</v>
      </c>
      <c r="AD48" s="80">
        <f>Table1215[[#This Row],[Column25]]</f>
        <v>4</v>
      </c>
      <c r="AE48" s="78">
        <f>IFERROR(VLOOKUP(Table1215[[#This Row],[Column2]],Table12[[Column2]:[Column54]],30,FALSE),"0")</f>
        <v>0</v>
      </c>
      <c r="AF48" s="78">
        <f>IFERROR(VLOOKUP(Table1215[[#This Row],[Column2]],Table12[[Column2]:[Column54]],31,FALSE),"0")</f>
        <v>0</v>
      </c>
      <c r="AG48" s="78">
        <f>IFERROR(VLOOKUP(Table1215[[#This Row],[Column2]],Table12[[Column2]:[Column54]],32,FALSE),"0")</f>
        <v>0</v>
      </c>
      <c r="AH48" s="78">
        <f>IFERROR(VLOOKUP(Table1215[[#This Row],[Column2]],Table12[[Column2]:[Column54]],33,FALSE),"0")</f>
        <v>0</v>
      </c>
      <c r="AI48" s="78">
        <f>IFERROR(VLOOKUP(Table1215[[#This Row],[Column2]],Table12[[Column2]:[Column54]],34,FALSE),"0")</f>
        <v>0</v>
      </c>
      <c r="AJ48" s="80">
        <f>AVERAGE(Table1215[[#This Row],[Column31]],Table1215[[#This Row],[Column32]],Table1215[[#This Row],[Column33]])</f>
        <v>0</v>
      </c>
      <c r="AK48" s="78">
        <f>IFERROR(VLOOKUP(Table1215[[#This Row],[Column2]],Table12[[Column2]:[Column54]],36,FALSE),"0")</f>
        <v>4</v>
      </c>
      <c r="AL48" s="78">
        <f>IFERROR(VLOOKUP(Table1215[[#This Row],[Column2]],Table12[[Column2]:[Column54]],37,FALSE),"0")</f>
        <v>3</v>
      </c>
      <c r="AM48" s="78">
        <f>IFERROR(VLOOKUP(Table1215[[#This Row],[Column2]],Table12[[Column2]:[Column54]],38,FALSE),"0")</f>
        <v>0</v>
      </c>
      <c r="AN48" s="78">
        <f>IFERROR(VLOOKUP(Table1215[[#This Row],[Column2]],Table12[[Column2]:[Column54]],39,FALSE),"0")</f>
        <v>4</v>
      </c>
      <c r="AO48" s="78">
        <f>IFERROR(VLOOKUP(Table1215[[#This Row],[Column2]],Table12[[Column2]:[Column54]],40,FALSE),"0")</f>
        <v>0</v>
      </c>
      <c r="AP48" s="80">
        <f>AVERAGE(Table1215[[#This Row],[Column37]],Table1215[[#This Row],[Column38]],Table1215[[#This Row],[Column40]])</f>
        <v>3.6666666666666665</v>
      </c>
      <c r="AQ48" s="78">
        <f>IFERROR(VLOOKUP(Table1215[[#This Row],[Column2]],Table12[[Column2]:[Column54]],42,FALSE),"0")</f>
        <v>4</v>
      </c>
      <c r="AR48" s="78">
        <f>IFERROR(VLOOKUP(Table1215[[#This Row],[Column2]],Table12[[Column2]:[Column54]],43,FALSE),"0")</f>
        <v>0</v>
      </c>
      <c r="AS48" s="78">
        <f>IFERROR(VLOOKUP(Table1215[[#This Row],[Column2]],Table12[[Column2]:[Column54]],44,FALSE),"0")</f>
        <v>0</v>
      </c>
      <c r="AT48" s="78">
        <f>IFERROR(VLOOKUP(Table1215[[#This Row],[Column2]],Table12[[Column2]:[Column54]],45,FALSE),"0")</f>
        <v>0</v>
      </c>
      <c r="AU48" s="78">
        <f>IFERROR(VLOOKUP(Table1215[[#This Row],[Column2]],Table12[[Column2]:[Column54]],46,FALSE),"0")</f>
        <v>0</v>
      </c>
      <c r="AV48" s="80">
        <f>Table1215[[#This Row],[Column43]]</f>
        <v>4</v>
      </c>
      <c r="AW48" s="78">
        <f>IFERROR(VLOOKUP(Table1215[[#This Row],[Column2]],Table12[[Column2]:[Column54]],48,FALSE),"0")</f>
        <v>0</v>
      </c>
      <c r="AX48" s="78">
        <f>IFERROR(VLOOKUP(Table1215[[#This Row],[Column2]],Table12[[Column2]:[Column54]],49,FALSE),"0")</f>
        <v>0</v>
      </c>
      <c r="AY48" s="78">
        <f>IFERROR(VLOOKUP(Table1215[[#This Row],[Column2]],Table12[[Column2]:[Column54]],50,FALSE),"0")</f>
        <v>0</v>
      </c>
      <c r="AZ48" s="78">
        <f>IFERROR(VLOOKUP(Table1215[[#This Row],[Column2]],Table12[[Column2]:[Column54]],51,FALSE),"0")</f>
        <v>4</v>
      </c>
      <c r="BA48" s="78">
        <f>IFERROR(VLOOKUP(Table1215[[#This Row],[Column2]],Table12[[Column2]:[Column54]],52,FALSE),"0")</f>
        <v>4</v>
      </c>
      <c r="BB48" s="80">
        <f>AVERAGE(Table1215[[#This Row],[Column52]],Table1215[[#This Row],[Column53]])</f>
        <v>4</v>
      </c>
    </row>
    <row r="49" spans="1:54" ht="23.1" customHeight="1" x14ac:dyDescent="0.3">
      <c r="A49" s="100">
        <v>46</v>
      </c>
      <c r="B49" s="83" t="s">
        <v>308</v>
      </c>
      <c r="C49" s="84" t="s">
        <v>309</v>
      </c>
      <c r="D49" s="83" t="s">
        <v>542</v>
      </c>
      <c r="E49" s="83" t="s">
        <v>493</v>
      </c>
      <c r="F49" s="83" t="str">
        <f>REPT(CHAR(160),10)&amp;Working!$E50</f>
        <v>          C</v>
      </c>
      <c r="G49" s="74">
        <f>IFERROR(VLOOKUP(Table1215[[#This Row],[Column2]],Table12[[Column2]:[Column54]],6,FALSE),"0")</f>
        <v>0</v>
      </c>
      <c r="H49" s="74">
        <f>IFERROR(VLOOKUP(Table1215[[#This Row],[Column2]],Table12[[Column2]:[Column54]],7,FALSE),"0")</f>
        <v>0</v>
      </c>
      <c r="I49" s="74">
        <f>IFERROR(VLOOKUP(Table1215[[#This Row],[Column2]],Table12[[Column2]:[Column54]],8,FALSE),"0")</f>
        <v>4</v>
      </c>
      <c r="J49" s="74">
        <f>IFERROR(VLOOKUP(Table1215[[#This Row],[Column2]],Table12[[Column2]:[Column54]],9,FALSE),"0")</f>
        <v>0</v>
      </c>
      <c r="K49" s="74">
        <f>IFERROR(VLOOKUP(Table1215[[#This Row],[Column2]],Table12[[Column2]:[Column54]],10,FALSE),"0")</f>
        <v>0</v>
      </c>
      <c r="L49" s="80">
        <f>Table1215[[#This Row],[Column9]]</f>
        <v>4</v>
      </c>
      <c r="M49" s="74">
        <f>IFERROR(VLOOKUP(Table1215[[#This Row],[Column2]],Table12[[Column2]:[Column54]],12,FALSE),"0")</f>
        <v>0</v>
      </c>
      <c r="N49" s="74">
        <f>IFERROR(VLOOKUP(Table1215[[#This Row],[Column2]],Table12[[Column2]:[Column54]],13,FALSE),"0")</f>
        <v>4</v>
      </c>
      <c r="O49" s="74">
        <f>IFERROR(VLOOKUP(Table1215[[#This Row],[Column2]],Table12[[Column2]:[Column54]],14,FALSE),"0")</f>
        <v>4</v>
      </c>
      <c r="P49" s="74">
        <f>IFERROR(VLOOKUP(Table1215[[#This Row],[Column2]],Table12[[Column2]:[Column54]],10,FALSE),"0")</f>
        <v>0</v>
      </c>
      <c r="Q49" s="74">
        <f>IFERROR(VLOOKUP(Table1215[[#This Row],[Column2]],Table12[[Column2]:[Column54]],16,FALSE),"0")</f>
        <v>4</v>
      </c>
      <c r="R49" s="80">
        <f>AVERAGE(Table1215[[#This Row],[Column14]],Table1215[[#This Row],[Column15]],Table1215[[#This Row],[Column17]])</f>
        <v>4</v>
      </c>
      <c r="S49" s="74">
        <f>IFERROR(VLOOKUP(Table1215[[#This Row],[Column2]],Table12[[Column2]:[Column54]],18,FALSE),"0")</f>
        <v>0</v>
      </c>
      <c r="T49" s="74">
        <f>IFERROR(VLOOKUP(Table1215[[#This Row],[Column2]],Table12[[Column2]:[Column54]],19,FALSE),"0")</f>
        <v>0</v>
      </c>
      <c r="U49" s="74">
        <f>IFERROR(VLOOKUP(Table1215[[#This Row],[Column2]],Table12[[Column2]:[Column54]],20,FALSE),"0")</f>
        <v>0</v>
      </c>
      <c r="V49" s="74">
        <f>IFERROR(VLOOKUP(Table1215[[#This Row],[Column2]],Table12[[Column2]:[Column54]],21,FALSE),"0")</f>
        <v>0</v>
      </c>
      <c r="W49" s="74">
        <f>IFERROR(VLOOKUP(Table1215[[#This Row],[Column2]],Table12[[Column2]:[Column54]],22,FALSE),"0")</f>
        <v>0</v>
      </c>
      <c r="X49" s="80">
        <f>Table1215[[#This Row],[Column19]]</f>
        <v>0</v>
      </c>
      <c r="Y49" s="74">
        <f>IFERROR(VLOOKUP(Table1215[[#This Row],[Column2]],Table12[[Column2]:[Column54]],24,FALSE),"0")</f>
        <v>4</v>
      </c>
      <c r="Z49" s="74">
        <f>IFERROR(VLOOKUP(Table1215[[#This Row],[Column2]],Table12[[Column2]:[Column54]],25,FALSE),"0")</f>
        <v>0</v>
      </c>
      <c r="AA49" s="74">
        <f>IFERROR(VLOOKUP(Table1215[[#This Row],[Column2]],Table12[[Column2]:[Column54]],26,FALSE),"0")</f>
        <v>0</v>
      </c>
      <c r="AB49" s="74">
        <f>IFERROR(VLOOKUP(Table1215[[#This Row],[Column2]],Table12[[Column2]:[Column54]],27,FALSE),"0")</f>
        <v>0</v>
      </c>
      <c r="AC49" s="74">
        <f>IFERROR(VLOOKUP(Table1215[[#This Row],[Column2]],Table12[[Column2]:[Column54]],28,FALSE),"0")</f>
        <v>0</v>
      </c>
      <c r="AD49" s="80">
        <f>Table1215[[#This Row],[Column25]]</f>
        <v>4</v>
      </c>
      <c r="AE49" s="74">
        <f>IFERROR(VLOOKUP(Table1215[[#This Row],[Column2]],Table12[[Column2]:[Column54]],30,FALSE),"0")</f>
        <v>0</v>
      </c>
      <c r="AF49" s="74">
        <f>IFERROR(VLOOKUP(Table1215[[#This Row],[Column2]],Table12[[Column2]:[Column54]],31,FALSE),"0")</f>
        <v>0</v>
      </c>
      <c r="AG49" s="74">
        <f>IFERROR(VLOOKUP(Table1215[[#This Row],[Column2]],Table12[[Column2]:[Column54]],32,FALSE),"0")</f>
        <v>0</v>
      </c>
      <c r="AH49" s="74">
        <f>IFERROR(VLOOKUP(Table1215[[#This Row],[Column2]],Table12[[Column2]:[Column54]],33,FALSE),"0")</f>
        <v>0</v>
      </c>
      <c r="AI49" s="74">
        <f>IFERROR(VLOOKUP(Table1215[[#This Row],[Column2]],Table12[[Column2]:[Column54]],34,FALSE),"0")</f>
        <v>0</v>
      </c>
      <c r="AJ49" s="80">
        <f>AVERAGE(Table1215[[#This Row],[Column31]],Table1215[[#This Row],[Column32]],Table1215[[#This Row],[Column33]])</f>
        <v>0</v>
      </c>
      <c r="AK49" s="74">
        <f>IFERROR(VLOOKUP(Table1215[[#This Row],[Column2]],Table12[[Column2]:[Column54]],36,FALSE),"0")</f>
        <v>4</v>
      </c>
      <c r="AL49" s="74">
        <f>IFERROR(VLOOKUP(Table1215[[#This Row],[Column2]],Table12[[Column2]:[Column54]],37,FALSE),"0")</f>
        <v>4</v>
      </c>
      <c r="AM49" s="74">
        <f>IFERROR(VLOOKUP(Table1215[[#This Row],[Column2]],Table12[[Column2]:[Column54]],38,FALSE),"0")</f>
        <v>0</v>
      </c>
      <c r="AN49" s="74">
        <f>IFERROR(VLOOKUP(Table1215[[#This Row],[Column2]],Table12[[Column2]:[Column54]],39,FALSE),"0")</f>
        <v>4</v>
      </c>
      <c r="AO49" s="74">
        <f>IFERROR(VLOOKUP(Table1215[[#This Row],[Column2]],Table12[[Column2]:[Column54]],40,FALSE),"0")</f>
        <v>0</v>
      </c>
      <c r="AP49" s="80">
        <f>AVERAGE(Table1215[[#This Row],[Column37]],Table1215[[#This Row],[Column38]],Table1215[[#This Row],[Column40]])</f>
        <v>4</v>
      </c>
      <c r="AQ49" s="74">
        <f>IFERROR(VLOOKUP(Table1215[[#This Row],[Column2]],Table12[[Column2]:[Column54]],42,FALSE),"0")</f>
        <v>4</v>
      </c>
      <c r="AR49" s="74">
        <f>IFERROR(VLOOKUP(Table1215[[#This Row],[Column2]],Table12[[Column2]:[Column54]],43,FALSE),"0")</f>
        <v>0</v>
      </c>
      <c r="AS49" s="74">
        <f>IFERROR(VLOOKUP(Table1215[[#This Row],[Column2]],Table12[[Column2]:[Column54]],44,FALSE),"0")</f>
        <v>0</v>
      </c>
      <c r="AT49" s="74">
        <f>IFERROR(VLOOKUP(Table1215[[#This Row],[Column2]],Table12[[Column2]:[Column54]],45,FALSE),"0")</f>
        <v>0</v>
      </c>
      <c r="AU49" s="74">
        <f>IFERROR(VLOOKUP(Table1215[[#This Row],[Column2]],Table12[[Column2]:[Column54]],46,FALSE),"0")</f>
        <v>0</v>
      </c>
      <c r="AV49" s="80">
        <f>Table1215[[#This Row],[Column43]]</f>
        <v>4</v>
      </c>
      <c r="AW49" s="74">
        <f>IFERROR(VLOOKUP(Table1215[[#This Row],[Column2]],Table12[[Column2]:[Column54]],48,FALSE),"0")</f>
        <v>0</v>
      </c>
      <c r="AX49" s="74">
        <f>IFERROR(VLOOKUP(Table1215[[#This Row],[Column2]],Table12[[Column2]:[Column54]],49,FALSE),"0")</f>
        <v>0</v>
      </c>
      <c r="AY49" s="74">
        <f>IFERROR(VLOOKUP(Table1215[[#This Row],[Column2]],Table12[[Column2]:[Column54]],50,FALSE),"0")</f>
        <v>0</v>
      </c>
      <c r="AZ49" s="74">
        <f>IFERROR(VLOOKUP(Table1215[[#This Row],[Column2]],Table12[[Column2]:[Column54]],51,FALSE),"0")</f>
        <v>4</v>
      </c>
      <c r="BA49" s="74">
        <f>IFERROR(VLOOKUP(Table1215[[#This Row],[Column2]],Table12[[Column2]:[Column54]],52,FALSE),"0")</f>
        <v>4</v>
      </c>
      <c r="BB49" s="80">
        <f>AVERAGE(Table1215[[#This Row],[Column52]],Table1215[[#This Row],[Column53]])</f>
        <v>4</v>
      </c>
    </row>
    <row r="50" spans="1:54" ht="23.1" customHeight="1" x14ac:dyDescent="0.3">
      <c r="A50" s="99">
        <v>47</v>
      </c>
      <c r="B50" s="76" t="s">
        <v>118</v>
      </c>
      <c r="C50" s="77" t="s">
        <v>119</v>
      </c>
      <c r="D50" s="76" t="s">
        <v>450</v>
      </c>
      <c r="E50" s="76" t="s">
        <v>35</v>
      </c>
      <c r="F50" s="76" t="str">
        <f>REPT(CHAR(160),10)&amp;Working!$E51</f>
        <v>          A</v>
      </c>
      <c r="G50" s="78">
        <f>IFERROR(VLOOKUP(Table1215[[#This Row],[Column2]],Table12[[Column2]:[Column54]],6,FALSE),"0")</f>
        <v>0</v>
      </c>
      <c r="H50" s="78">
        <f>IFERROR(VLOOKUP(Table1215[[#This Row],[Column2]],Table12[[Column2]:[Column54]],7,FALSE),"0")</f>
        <v>0</v>
      </c>
      <c r="I50" s="78">
        <f>IFERROR(VLOOKUP(Table1215[[#This Row],[Column2]],Table12[[Column2]:[Column54]],8,FALSE),"0")</f>
        <v>4</v>
      </c>
      <c r="J50" s="78">
        <f>IFERROR(VLOOKUP(Table1215[[#This Row],[Column2]],Table12[[Column2]:[Column54]],9,FALSE),"0")</f>
        <v>0</v>
      </c>
      <c r="K50" s="78">
        <f>IFERROR(VLOOKUP(Table1215[[#This Row],[Column2]],Table12[[Column2]:[Column54]],10,FALSE),"0")</f>
        <v>0</v>
      </c>
      <c r="L50" s="80">
        <f>Table1215[[#This Row],[Column9]]</f>
        <v>4</v>
      </c>
      <c r="M50" s="78">
        <f>IFERROR(VLOOKUP(Table1215[[#This Row],[Column2]],Table12[[Column2]:[Column54]],12,FALSE),"0")</f>
        <v>0</v>
      </c>
      <c r="N50" s="78">
        <f>IFERROR(VLOOKUP(Table1215[[#This Row],[Column2]],Table12[[Column2]:[Column54]],13,FALSE),"0")</f>
        <v>4</v>
      </c>
      <c r="O50" s="78">
        <f>IFERROR(VLOOKUP(Table1215[[#This Row],[Column2]],Table12[[Column2]:[Column54]],14,FALSE),"0")</f>
        <v>4</v>
      </c>
      <c r="P50" s="78">
        <f>IFERROR(VLOOKUP(Table1215[[#This Row],[Column2]],Table12[[Column2]:[Column54]],10,FALSE),"0")</f>
        <v>0</v>
      </c>
      <c r="Q50" s="78">
        <f>IFERROR(VLOOKUP(Table1215[[#This Row],[Column2]],Table12[[Column2]:[Column54]],16,FALSE),"0")</f>
        <v>4</v>
      </c>
      <c r="R50" s="80">
        <f>AVERAGE(Table1215[[#This Row],[Column14]],Table1215[[#This Row],[Column15]],Table1215[[#This Row],[Column17]])</f>
        <v>4</v>
      </c>
      <c r="S50" s="78">
        <f>IFERROR(VLOOKUP(Table1215[[#This Row],[Column2]],Table12[[Column2]:[Column54]],18,FALSE),"0")</f>
        <v>0</v>
      </c>
      <c r="T50" s="78">
        <f>IFERROR(VLOOKUP(Table1215[[#This Row],[Column2]],Table12[[Column2]:[Column54]],19,FALSE),"0")</f>
        <v>0</v>
      </c>
      <c r="U50" s="78">
        <f>IFERROR(VLOOKUP(Table1215[[#This Row],[Column2]],Table12[[Column2]:[Column54]],20,FALSE),"0")</f>
        <v>0</v>
      </c>
      <c r="V50" s="78">
        <f>IFERROR(VLOOKUP(Table1215[[#This Row],[Column2]],Table12[[Column2]:[Column54]],21,FALSE),"0")</f>
        <v>0</v>
      </c>
      <c r="W50" s="78">
        <f>IFERROR(VLOOKUP(Table1215[[#This Row],[Column2]],Table12[[Column2]:[Column54]],22,FALSE),"0")</f>
        <v>0</v>
      </c>
      <c r="X50" s="80">
        <f>Table1215[[#This Row],[Column19]]</f>
        <v>0</v>
      </c>
      <c r="Y50" s="78">
        <f>IFERROR(VLOOKUP(Table1215[[#This Row],[Column2]],Table12[[Column2]:[Column54]],24,FALSE),"0")</f>
        <v>4</v>
      </c>
      <c r="Z50" s="78">
        <f>IFERROR(VLOOKUP(Table1215[[#This Row],[Column2]],Table12[[Column2]:[Column54]],25,FALSE),"0")</f>
        <v>0</v>
      </c>
      <c r="AA50" s="78">
        <f>IFERROR(VLOOKUP(Table1215[[#This Row],[Column2]],Table12[[Column2]:[Column54]],26,FALSE),"0")</f>
        <v>0</v>
      </c>
      <c r="AB50" s="78">
        <f>IFERROR(VLOOKUP(Table1215[[#This Row],[Column2]],Table12[[Column2]:[Column54]],27,FALSE),"0")</f>
        <v>0</v>
      </c>
      <c r="AC50" s="78">
        <f>IFERROR(VLOOKUP(Table1215[[#This Row],[Column2]],Table12[[Column2]:[Column54]],28,FALSE),"0")</f>
        <v>0</v>
      </c>
      <c r="AD50" s="80">
        <f>Table1215[[#This Row],[Column25]]</f>
        <v>4</v>
      </c>
      <c r="AE50" s="78">
        <f>IFERROR(VLOOKUP(Table1215[[#This Row],[Column2]],Table12[[Column2]:[Column54]],30,FALSE),"0")</f>
        <v>0</v>
      </c>
      <c r="AF50" s="78">
        <f>IFERROR(VLOOKUP(Table1215[[#This Row],[Column2]],Table12[[Column2]:[Column54]],31,FALSE),"0")</f>
        <v>0</v>
      </c>
      <c r="AG50" s="78">
        <f>IFERROR(VLOOKUP(Table1215[[#This Row],[Column2]],Table12[[Column2]:[Column54]],32,FALSE),"0")</f>
        <v>0</v>
      </c>
      <c r="AH50" s="78">
        <f>IFERROR(VLOOKUP(Table1215[[#This Row],[Column2]],Table12[[Column2]:[Column54]],33,FALSE),"0")</f>
        <v>0</v>
      </c>
      <c r="AI50" s="78">
        <f>IFERROR(VLOOKUP(Table1215[[#This Row],[Column2]],Table12[[Column2]:[Column54]],34,FALSE),"0")</f>
        <v>0</v>
      </c>
      <c r="AJ50" s="80">
        <f>AVERAGE(Table1215[[#This Row],[Column31]],Table1215[[#This Row],[Column32]],Table1215[[#This Row],[Column33]])</f>
        <v>0</v>
      </c>
      <c r="AK50" s="78">
        <f>IFERROR(VLOOKUP(Table1215[[#This Row],[Column2]],Table12[[Column2]:[Column54]],36,FALSE),"0")</f>
        <v>4</v>
      </c>
      <c r="AL50" s="78">
        <f>IFERROR(VLOOKUP(Table1215[[#This Row],[Column2]],Table12[[Column2]:[Column54]],37,FALSE),"0")</f>
        <v>4</v>
      </c>
      <c r="AM50" s="78">
        <f>IFERROR(VLOOKUP(Table1215[[#This Row],[Column2]],Table12[[Column2]:[Column54]],38,FALSE),"0")</f>
        <v>0</v>
      </c>
      <c r="AN50" s="78">
        <f>IFERROR(VLOOKUP(Table1215[[#This Row],[Column2]],Table12[[Column2]:[Column54]],39,FALSE),"0")</f>
        <v>4</v>
      </c>
      <c r="AO50" s="78">
        <f>IFERROR(VLOOKUP(Table1215[[#This Row],[Column2]],Table12[[Column2]:[Column54]],40,FALSE),"0")</f>
        <v>0</v>
      </c>
      <c r="AP50" s="80">
        <f>AVERAGE(Table1215[[#This Row],[Column37]],Table1215[[#This Row],[Column38]],Table1215[[#This Row],[Column40]])</f>
        <v>4</v>
      </c>
      <c r="AQ50" s="78">
        <f>IFERROR(VLOOKUP(Table1215[[#This Row],[Column2]],Table12[[Column2]:[Column54]],42,FALSE),"0")</f>
        <v>4</v>
      </c>
      <c r="AR50" s="78">
        <f>IFERROR(VLOOKUP(Table1215[[#This Row],[Column2]],Table12[[Column2]:[Column54]],43,FALSE),"0")</f>
        <v>0</v>
      </c>
      <c r="AS50" s="78">
        <f>IFERROR(VLOOKUP(Table1215[[#This Row],[Column2]],Table12[[Column2]:[Column54]],44,FALSE),"0")</f>
        <v>0</v>
      </c>
      <c r="AT50" s="78">
        <f>IFERROR(VLOOKUP(Table1215[[#This Row],[Column2]],Table12[[Column2]:[Column54]],45,FALSE),"0")</f>
        <v>0</v>
      </c>
      <c r="AU50" s="78">
        <f>IFERROR(VLOOKUP(Table1215[[#This Row],[Column2]],Table12[[Column2]:[Column54]],46,FALSE),"0")</f>
        <v>0</v>
      </c>
      <c r="AV50" s="80">
        <f>Table1215[[#This Row],[Column43]]</f>
        <v>4</v>
      </c>
      <c r="AW50" s="78">
        <f>IFERROR(VLOOKUP(Table1215[[#This Row],[Column2]],Table12[[Column2]:[Column54]],48,FALSE),"0")</f>
        <v>0</v>
      </c>
      <c r="AX50" s="78">
        <f>IFERROR(VLOOKUP(Table1215[[#This Row],[Column2]],Table12[[Column2]:[Column54]],49,FALSE),"0")</f>
        <v>0</v>
      </c>
      <c r="AY50" s="78">
        <f>IFERROR(VLOOKUP(Table1215[[#This Row],[Column2]],Table12[[Column2]:[Column54]],50,FALSE),"0")</f>
        <v>0</v>
      </c>
      <c r="AZ50" s="78">
        <f>IFERROR(VLOOKUP(Table1215[[#This Row],[Column2]],Table12[[Column2]:[Column54]],51,FALSE),"0")</f>
        <v>4</v>
      </c>
      <c r="BA50" s="78">
        <f>IFERROR(VLOOKUP(Table1215[[#This Row],[Column2]],Table12[[Column2]:[Column54]],52,FALSE),"0")</f>
        <v>4</v>
      </c>
      <c r="BB50" s="80">
        <f>AVERAGE(Table1215[[#This Row],[Column52]],Table1215[[#This Row],[Column53]])</f>
        <v>4</v>
      </c>
    </row>
    <row r="51" spans="1:54" ht="23.1" customHeight="1" x14ac:dyDescent="0.3">
      <c r="A51" s="100">
        <v>48</v>
      </c>
      <c r="B51" s="83" t="s">
        <v>197</v>
      </c>
      <c r="C51" s="84" t="s">
        <v>198</v>
      </c>
      <c r="D51" s="83" t="s">
        <v>450</v>
      </c>
      <c r="E51" s="83" t="s">
        <v>161</v>
      </c>
      <c r="F51" s="83" t="str">
        <f>REPT(CHAR(160),10)&amp;Working!$E52</f>
        <v>          B</v>
      </c>
      <c r="G51" s="74">
        <f>IFERROR(VLOOKUP(Table1215[[#This Row],[Column2]],Table12[[Column2]:[Column54]],6,FALSE),"0")</f>
        <v>0</v>
      </c>
      <c r="H51" s="74">
        <f>IFERROR(VLOOKUP(Table1215[[#This Row],[Column2]],Table12[[Column2]:[Column54]],7,FALSE),"0")</f>
        <v>0</v>
      </c>
      <c r="I51" s="74">
        <f>IFERROR(VLOOKUP(Table1215[[#This Row],[Column2]],Table12[[Column2]:[Column54]],8,FALSE),"0")</f>
        <v>4</v>
      </c>
      <c r="J51" s="74">
        <f>IFERROR(VLOOKUP(Table1215[[#This Row],[Column2]],Table12[[Column2]:[Column54]],9,FALSE),"0")</f>
        <v>0</v>
      </c>
      <c r="K51" s="74">
        <f>IFERROR(VLOOKUP(Table1215[[#This Row],[Column2]],Table12[[Column2]:[Column54]],10,FALSE),"0")</f>
        <v>0</v>
      </c>
      <c r="L51" s="80">
        <f>Table1215[[#This Row],[Column9]]</f>
        <v>4</v>
      </c>
      <c r="M51" s="74">
        <f>IFERROR(VLOOKUP(Table1215[[#This Row],[Column2]],Table12[[Column2]:[Column54]],12,FALSE),"0")</f>
        <v>0</v>
      </c>
      <c r="N51" s="74">
        <f>IFERROR(VLOOKUP(Table1215[[#This Row],[Column2]],Table12[[Column2]:[Column54]],13,FALSE),"0")</f>
        <v>4</v>
      </c>
      <c r="O51" s="74">
        <f>IFERROR(VLOOKUP(Table1215[[#This Row],[Column2]],Table12[[Column2]:[Column54]],14,FALSE),"0")</f>
        <v>4</v>
      </c>
      <c r="P51" s="74">
        <f>IFERROR(VLOOKUP(Table1215[[#This Row],[Column2]],Table12[[Column2]:[Column54]],10,FALSE),"0")</f>
        <v>0</v>
      </c>
      <c r="Q51" s="74">
        <f>IFERROR(VLOOKUP(Table1215[[#This Row],[Column2]],Table12[[Column2]:[Column54]],16,FALSE),"0")</f>
        <v>4</v>
      </c>
      <c r="R51" s="80">
        <f>AVERAGE(Table1215[[#This Row],[Column14]],Table1215[[#This Row],[Column15]],Table1215[[#This Row],[Column17]])</f>
        <v>4</v>
      </c>
      <c r="S51" s="74">
        <f>IFERROR(VLOOKUP(Table1215[[#This Row],[Column2]],Table12[[Column2]:[Column54]],18,FALSE),"0")</f>
        <v>0</v>
      </c>
      <c r="T51" s="74">
        <f>IFERROR(VLOOKUP(Table1215[[#This Row],[Column2]],Table12[[Column2]:[Column54]],19,FALSE),"0")</f>
        <v>0</v>
      </c>
      <c r="U51" s="74">
        <f>IFERROR(VLOOKUP(Table1215[[#This Row],[Column2]],Table12[[Column2]:[Column54]],20,FALSE),"0")</f>
        <v>0</v>
      </c>
      <c r="V51" s="74">
        <f>IFERROR(VLOOKUP(Table1215[[#This Row],[Column2]],Table12[[Column2]:[Column54]],21,FALSE),"0")</f>
        <v>0</v>
      </c>
      <c r="W51" s="74">
        <f>IFERROR(VLOOKUP(Table1215[[#This Row],[Column2]],Table12[[Column2]:[Column54]],22,FALSE),"0")</f>
        <v>0</v>
      </c>
      <c r="X51" s="80">
        <f>Table1215[[#This Row],[Column19]]</f>
        <v>0</v>
      </c>
      <c r="Y51" s="74">
        <f>IFERROR(VLOOKUP(Table1215[[#This Row],[Column2]],Table12[[Column2]:[Column54]],24,FALSE),"0")</f>
        <v>4</v>
      </c>
      <c r="Z51" s="74">
        <f>IFERROR(VLOOKUP(Table1215[[#This Row],[Column2]],Table12[[Column2]:[Column54]],25,FALSE),"0")</f>
        <v>0</v>
      </c>
      <c r="AA51" s="74">
        <f>IFERROR(VLOOKUP(Table1215[[#This Row],[Column2]],Table12[[Column2]:[Column54]],26,FALSE),"0")</f>
        <v>0</v>
      </c>
      <c r="AB51" s="74">
        <f>IFERROR(VLOOKUP(Table1215[[#This Row],[Column2]],Table12[[Column2]:[Column54]],27,FALSE),"0")</f>
        <v>0</v>
      </c>
      <c r="AC51" s="74">
        <f>IFERROR(VLOOKUP(Table1215[[#This Row],[Column2]],Table12[[Column2]:[Column54]],28,FALSE),"0")</f>
        <v>0</v>
      </c>
      <c r="AD51" s="80">
        <f>Table1215[[#This Row],[Column25]]</f>
        <v>4</v>
      </c>
      <c r="AE51" s="74">
        <f>IFERROR(VLOOKUP(Table1215[[#This Row],[Column2]],Table12[[Column2]:[Column54]],30,FALSE),"0")</f>
        <v>0</v>
      </c>
      <c r="AF51" s="74">
        <f>IFERROR(VLOOKUP(Table1215[[#This Row],[Column2]],Table12[[Column2]:[Column54]],31,FALSE),"0")</f>
        <v>0</v>
      </c>
      <c r="AG51" s="74">
        <f>IFERROR(VLOOKUP(Table1215[[#This Row],[Column2]],Table12[[Column2]:[Column54]],32,FALSE),"0")</f>
        <v>0</v>
      </c>
      <c r="AH51" s="74">
        <f>IFERROR(VLOOKUP(Table1215[[#This Row],[Column2]],Table12[[Column2]:[Column54]],33,FALSE),"0")</f>
        <v>0</v>
      </c>
      <c r="AI51" s="74">
        <f>IFERROR(VLOOKUP(Table1215[[#This Row],[Column2]],Table12[[Column2]:[Column54]],34,FALSE),"0")</f>
        <v>0</v>
      </c>
      <c r="AJ51" s="80">
        <f>AVERAGE(Table1215[[#This Row],[Column31]],Table1215[[#This Row],[Column32]],Table1215[[#This Row],[Column33]])</f>
        <v>0</v>
      </c>
      <c r="AK51" s="74">
        <f>IFERROR(VLOOKUP(Table1215[[#This Row],[Column2]],Table12[[Column2]:[Column54]],36,FALSE),"0")</f>
        <v>4</v>
      </c>
      <c r="AL51" s="74">
        <f>IFERROR(VLOOKUP(Table1215[[#This Row],[Column2]],Table12[[Column2]:[Column54]],37,FALSE),"0")</f>
        <v>3</v>
      </c>
      <c r="AM51" s="74">
        <f>IFERROR(VLOOKUP(Table1215[[#This Row],[Column2]],Table12[[Column2]:[Column54]],38,FALSE),"0")</f>
        <v>0</v>
      </c>
      <c r="AN51" s="74">
        <f>IFERROR(VLOOKUP(Table1215[[#This Row],[Column2]],Table12[[Column2]:[Column54]],39,FALSE),"0")</f>
        <v>4</v>
      </c>
      <c r="AO51" s="74">
        <f>IFERROR(VLOOKUP(Table1215[[#This Row],[Column2]],Table12[[Column2]:[Column54]],40,FALSE),"0")</f>
        <v>0</v>
      </c>
      <c r="AP51" s="80">
        <f>AVERAGE(Table1215[[#This Row],[Column37]],Table1215[[#This Row],[Column38]],Table1215[[#This Row],[Column40]])</f>
        <v>3.6666666666666665</v>
      </c>
      <c r="AQ51" s="74">
        <f>IFERROR(VLOOKUP(Table1215[[#This Row],[Column2]],Table12[[Column2]:[Column54]],42,FALSE),"0")</f>
        <v>3</v>
      </c>
      <c r="AR51" s="74">
        <f>IFERROR(VLOOKUP(Table1215[[#This Row],[Column2]],Table12[[Column2]:[Column54]],43,FALSE),"0")</f>
        <v>0</v>
      </c>
      <c r="AS51" s="74">
        <f>IFERROR(VLOOKUP(Table1215[[#This Row],[Column2]],Table12[[Column2]:[Column54]],44,FALSE),"0")</f>
        <v>0</v>
      </c>
      <c r="AT51" s="74">
        <f>IFERROR(VLOOKUP(Table1215[[#This Row],[Column2]],Table12[[Column2]:[Column54]],45,FALSE),"0")</f>
        <v>0</v>
      </c>
      <c r="AU51" s="74">
        <f>IFERROR(VLOOKUP(Table1215[[#This Row],[Column2]],Table12[[Column2]:[Column54]],46,FALSE),"0")</f>
        <v>0</v>
      </c>
      <c r="AV51" s="80">
        <f>Table1215[[#This Row],[Column43]]</f>
        <v>3</v>
      </c>
      <c r="AW51" s="74">
        <f>IFERROR(VLOOKUP(Table1215[[#This Row],[Column2]],Table12[[Column2]:[Column54]],48,FALSE),"0")</f>
        <v>0</v>
      </c>
      <c r="AX51" s="74">
        <f>IFERROR(VLOOKUP(Table1215[[#This Row],[Column2]],Table12[[Column2]:[Column54]],49,FALSE),"0")</f>
        <v>0</v>
      </c>
      <c r="AY51" s="74">
        <f>IFERROR(VLOOKUP(Table1215[[#This Row],[Column2]],Table12[[Column2]:[Column54]],50,FALSE),"0")</f>
        <v>0</v>
      </c>
      <c r="AZ51" s="74">
        <f>IFERROR(VLOOKUP(Table1215[[#This Row],[Column2]],Table12[[Column2]:[Column54]],51,FALSE),"0")</f>
        <v>4</v>
      </c>
      <c r="BA51" s="74">
        <f>IFERROR(VLOOKUP(Table1215[[#This Row],[Column2]],Table12[[Column2]:[Column54]],52,FALSE),"0")</f>
        <v>4</v>
      </c>
      <c r="BB51" s="80">
        <f>AVERAGE(Table1215[[#This Row],[Column52]],Table1215[[#This Row],[Column53]])</f>
        <v>4</v>
      </c>
    </row>
    <row r="52" spans="1:54" ht="23.1" customHeight="1" x14ac:dyDescent="0.3">
      <c r="A52" s="99">
        <v>49</v>
      </c>
      <c r="B52" s="76" t="s">
        <v>310</v>
      </c>
      <c r="C52" s="77" t="s">
        <v>311</v>
      </c>
      <c r="D52" s="76" t="s">
        <v>450</v>
      </c>
      <c r="E52" s="76" t="s">
        <v>493</v>
      </c>
      <c r="F52" s="76" t="str">
        <f>REPT(CHAR(160),10)&amp;Working!$E53</f>
        <v>          C</v>
      </c>
      <c r="G52" s="78">
        <f>IFERROR(VLOOKUP(Table1215[[#This Row],[Column2]],Table12[[Column2]:[Column54]],6,FALSE),"0")</f>
        <v>0</v>
      </c>
      <c r="H52" s="78">
        <f>IFERROR(VLOOKUP(Table1215[[#This Row],[Column2]],Table12[[Column2]:[Column54]],7,FALSE),"0")</f>
        <v>0</v>
      </c>
      <c r="I52" s="78">
        <f>IFERROR(VLOOKUP(Table1215[[#This Row],[Column2]],Table12[[Column2]:[Column54]],8,FALSE),"0")</f>
        <v>4</v>
      </c>
      <c r="J52" s="78">
        <f>IFERROR(VLOOKUP(Table1215[[#This Row],[Column2]],Table12[[Column2]:[Column54]],9,FALSE),"0")</f>
        <v>0</v>
      </c>
      <c r="K52" s="78">
        <f>IFERROR(VLOOKUP(Table1215[[#This Row],[Column2]],Table12[[Column2]:[Column54]],10,FALSE),"0")</f>
        <v>0</v>
      </c>
      <c r="L52" s="80">
        <f>Table1215[[#This Row],[Column9]]</f>
        <v>4</v>
      </c>
      <c r="M52" s="78">
        <f>IFERROR(VLOOKUP(Table1215[[#This Row],[Column2]],Table12[[Column2]:[Column54]],12,FALSE),"0")</f>
        <v>0</v>
      </c>
      <c r="N52" s="78">
        <f>IFERROR(VLOOKUP(Table1215[[#This Row],[Column2]],Table12[[Column2]:[Column54]],13,FALSE),"0")</f>
        <v>5</v>
      </c>
      <c r="O52" s="78">
        <f>IFERROR(VLOOKUP(Table1215[[#This Row],[Column2]],Table12[[Column2]:[Column54]],14,FALSE),"0")</f>
        <v>4</v>
      </c>
      <c r="P52" s="78">
        <f>IFERROR(VLOOKUP(Table1215[[#This Row],[Column2]],Table12[[Column2]:[Column54]],10,FALSE),"0")</f>
        <v>0</v>
      </c>
      <c r="Q52" s="78">
        <f>IFERROR(VLOOKUP(Table1215[[#This Row],[Column2]],Table12[[Column2]:[Column54]],16,FALSE),"0")</f>
        <v>4</v>
      </c>
      <c r="R52" s="80">
        <f>AVERAGE(Table1215[[#This Row],[Column14]],Table1215[[#This Row],[Column15]],Table1215[[#This Row],[Column17]])</f>
        <v>4.333333333333333</v>
      </c>
      <c r="S52" s="78">
        <f>IFERROR(VLOOKUP(Table1215[[#This Row],[Column2]],Table12[[Column2]:[Column54]],18,FALSE),"0")</f>
        <v>0</v>
      </c>
      <c r="T52" s="78">
        <f>IFERROR(VLOOKUP(Table1215[[#This Row],[Column2]],Table12[[Column2]:[Column54]],19,FALSE),"0")</f>
        <v>0</v>
      </c>
      <c r="U52" s="78">
        <f>IFERROR(VLOOKUP(Table1215[[#This Row],[Column2]],Table12[[Column2]:[Column54]],20,FALSE),"0")</f>
        <v>0</v>
      </c>
      <c r="V52" s="78">
        <f>IFERROR(VLOOKUP(Table1215[[#This Row],[Column2]],Table12[[Column2]:[Column54]],21,FALSE),"0")</f>
        <v>0</v>
      </c>
      <c r="W52" s="78">
        <f>IFERROR(VLOOKUP(Table1215[[#This Row],[Column2]],Table12[[Column2]:[Column54]],22,FALSE),"0")</f>
        <v>0</v>
      </c>
      <c r="X52" s="80">
        <f>Table1215[[#This Row],[Column19]]</f>
        <v>0</v>
      </c>
      <c r="Y52" s="78">
        <f>IFERROR(VLOOKUP(Table1215[[#This Row],[Column2]],Table12[[Column2]:[Column54]],24,FALSE),"0")</f>
        <v>4</v>
      </c>
      <c r="Z52" s="78">
        <f>IFERROR(VLOOKUP(Table1215[[#This Row],[Column2]],Table12[[Column2]:[Column54]],25,FALSE),"0")</f>
        <v>0</v>
      </c>
      <c r="AA52" s="78">
        <f>IFERROR(VLOOKUP(Table1215[[#This Row],[Column2]],Table12[[Column2]:[Column54]],26,FALSE),"0")</f>
        <v>0</v>
      </c>
      <c r="AB52" s="78">
        <f>IFERROR(VLOOKUP(Table1215[[#This Row],[Column2]],Table12[[Column2]:[Column54]],27,FALSE),"0")</f>
        <v>0</v>
      </c>
      <c r="AC52" s="78">
        <f>IFERROR(VLOOKUP(Table1215[[#This Row],[Column2]],Table12[[Column2]:[Column54]],28,FALSE),"0")</f>
        <v>0</v>
      </c>
      <c r="AD52" s="80">
        <f>Table1215[[#This Row],[Column25]]</f>
        <v>4</v>
      </c>
      <c r="AE52" s="78">
        <f>IFERROR(VLOOKUP(Table1215[[#This Row],[Column2]],Table12[[Column2]:[Column54]],30,FALSE),"0")</f>
        <v>0</v>
      </c>
      <c r="AF52" s="78">
        <f>IFERROR(VLOOKUP(Table1215[[#This Row],[Column2]],Table12[[Column2]:[Column54]],31,FALSE),"0")</f>
        <v>0</v>
      </c>
      <c r="AG52" s="78">
        <f>IFERROR(VLOOKUP(Table1215[[#This Row],[Column2]],Table12[[Column2]:[Column54]],32,FALSE),"0")</f>
        <v>0</v>
      </c>
      <c r="AH52" s="78">
        <f>IFERROR(VLOOKUP(Table1215[[#This Row],[Column2]],Table12[[Column2]:[Column54]],33,FALSE),"0")</f>
        <v>0</v>
      </c>
      <c r="AI52" s="78">
        <f>IFERROR(VLOOKUP(Table1215[[#This Row],[Column2]],Table12[[Column2]:[Column54]],34,FALSE),"0")</f>
        <v>0</v>
      </c>
      <c r="AJ52" s="80">
        <f>AVERAGE(Table1215[[#This Row],[Column31]],Table1215[[#This Row],[Column32]],Table1215[[#This Row],[Column33]])</f>
        <v>0</v>
      </c>
      <c r="AK52" s="78">
        <f>IFERROR(VLOOKUP(Table1215[[#This Row],[Column2]],Table12[[Column2]:[Column54]],36,FALSE),"0")</f>
        <v>4</v>
      </c>
      <c r="AL52" s="78">
        <f>IFERROR(VLOOKUP(Table1215[[#This Row],[Column2]],Table12[[Column2]:[Column54]],37,FALSE),"0")</f>
        <v>3</v>
      </c>
      <c r="AM52" s="78">
        <f>IFERROR(VLOOKUP(Table1215[[#This Row],[Column2]],Table12[[Column2]:[Column54]],38,FALSE),"0")</f>
        <v>0</v>
      </c>
      <c r="AN52" s="78">
        <f>IFERROR(VLOOKUP(Table1215[[#This Row],[Column2]],Table12[[Column2]:[Column54]],39,FALSE),"0")</f>
        <v>4</v>
      </c>
      <c r="AO52" s="78">
        <f>IFERROR(VLOOKUP(Table1215[[#This Row],[Column2]],Table12[[Column2]:[Column54]],40,FALSE),"0")</f>
        <v>0</v>
      </c>
      <c r="AP52" s="80">
        <f>AVERAGE(Table1215[[#This Row],[Column37]],Table1215[[#This Row],[Column38]],Table1215[[#This Row],[Column40]])</f>
        <v>3.6666666666666665</v>
      </c>
      <c r="AQ52" s="78">
        <f>IFERROR(VLOOKUP(Table1215[[#This Row],[Column2]],Table12[[Column2]:[Column54]],42,FALSE),"0")</f>
        <v>5</v>
      </c>
      <c r="AR52" s="78">
        <f>IFERROR(VLOOKUP(Table1215[[#This Row],[Column2]],Table12[[Column2]:[Column54]],43,FALSE),"0")</f>
        <v>0</v>
      </c>
      <c r="AS52" s="78">
        <f>IFERROR(VLOOKUP(Table1215[[#This Row],[Column2]],Table12[[Column2]:[Column54]],44,FALSE),"0")</f>
        <v>0</v>
      </c>
      <c r="AT52" s="78">
        <f>IFERROR(VLOOKUP(Table1215[[#This Row],[Column2]],Table12[[Column2]:[Column54]],45,FALSE),"0")</f>
        <v>0</v>
      </c>
      <c r="AU52" s="78">
        <f>IFERROR(VLOOKUP(Table1215[[#This Row],[Column2]],Table12[[Column2]:[Column54]],46,FALSE),"0")</f>
        <v>0</v>
      </c>
      <c r="AV52" s="80">
        <f>Table1215[[#This Row],[Column43]]</f>
        <v>5</v>
      </c>
      <c r="AW52" s="78">
        <f>IFERROR(VLOOKUP(Table1215[[#This Row],[Column2]],Table12[[Column2]:[Column54]],48,FALSE),"0")</f>
        <v>0</v>
      </c>
      <c r="AX52" s="78">
        <f>IFERROR(VLOOKUP(Table1215[[#This Row],[Column2]],Table12[[Column2]:[Column54]],49,FALSE),"0")</f>
        <v>0</v>
      </c>
      <c r="AY52" s="78">
        <f>IFERROR(VLOOKUP(Table1215[[#This Row],[Column2]],Table12[[Column2]:[Column54]],50,FALSE),"0")</f>
        <v>0</v>
      </c>
      <c r="AZ52" s="78">
        <f>IFERROR(VLOOKUP(Table1215[[#This Row],[Column2]],Table12[[Column2]:[Column54]],51,FALSE),"0")</f>
        <v>4</v>
      </c>
      <c r="BA52" s="78">
        <f>IFERROR(VLOOKUP(Table1215[[#This Row],[Column2]],Table12[[Column2]:[Column54]],52,FALSE),"0")</f>
        <v>4</v>
      </c>
      <c r="BB52" s="80">
        <f>AVERAGE(Table1215[[#This Row],[Column52]],Table1215[[#This Row],[Column53]])</f>
        <v>4</v>
      </c>
    </row>
    <row r="53" spans="1:54" ht="23.1" customHeight="1" x14ac:dyDescent="0.3">
      <c r="A53" s="100">
        <v>50</v>
      </c>
      <c r="B53" s="83" t="s">
        <v>122</v>
      </c>
      <c r="C53" s="84" t="s">
        <v>123</v>
      </c>
      <c r="D53" s="83" t="s">
        <v>450</v>
      </c>
      <c r="E53" s="83" t="s">
        <v>35</v>
      </c>
      <c r="F53" s="83" t="str">
        <f>REPT(CHAR(160),10)&amp;Working!$E54</f>
        <v>          A</v>
      </c>
      <c r="G53" s="74">
        <f>IFERROR(VLOOKUP(Table1215[[#This Row],[Column2]],Table12[[Column2]:[Column54]],6,FALSE),"0")</f>
        <v>0</v>
      </c>
      <c r="H53" s="74">
        <f>IFERROR(VLOOKUP(Table1215[[#This Row],[Column2]],Table12[[Column2]:[Column54]],7,FALSE),"0")</f>
        <v>0</v>
      </c>
      <c r="I53" s="74">
        <f>IFERROR(VLOOKUP(Table1215[[#This Row],[Column2]],Table12[[Column2]:[Column54]],8,FALSE),"0")</f>
        <v>3</v>
      </c>
      <c r="J53" s="74">
        <f>IFERROR(VLOOKUP(Table1215[[#This Row],[Column2]],Table12[[Column2]:[Column54]],9,FALSE),"0")</f>
        <v>0</v>
      </c>
      <c r="K53" s="74">
        <f>IFERROR(VLOOKUP(Table1215[[#This Row],[Column2]],Table12[[Column2]:[Column54]],10,FALSE),"0")</f>
        <v>0</v>
      </c>
      <c r="L53" s="80">
        <f>Table1215[[#This Row],[Column9]]</f>
        <v>3</v>
      </c>
      <c r="M53" s="74">
        <f>IFERROR(VLOOKUP(Table1215[[#This Row],[Column2]],Table12[[Column2]:[Column54]],12,FALSE),"0")</f>
        <v>0</v>
      </c>
      <c r="N53" s="74">
        <f>IFERROR(VLOOKUP(Table1215[[#This Row],[Column2]],Table12[[Column2]:[Column54]],13,FALSE),"0")</f>
        <v>3</v>
      </c>
      <c r="O53" s="74">
        <f>IFERROR(VLOOKUP(Table1215[[#This Row],[Column2]],Table12[[Column2]:[Column54]],14,FALSE),"0")</f>
        <v>3</v>
      </c>
      <c r="P53" s="74">
        <f>IFERROR(VLOOKUP(Table1215[[#This Row],[Column2]],Table12[[Column2]:[Column54]],10,FALSE),"0")</f>
        <v>0</v>
      </c>
      <c r="Q53" s="74">
        <f>IFERROR(VLOOKUP(Table1215[[#This Row],[Column2]],Table12[[Column2]:[Column54]],16,FALSE),"0")</f>
        <v>3</v>
      </c>
      <c r="R53" s="80">
        <f>AVERAGE(Table1215[[#This Row],[Column14]],Table1215[[#This Row],[Column15]],Table1215[[#This Row],[Column17]])</f>
        <v>3</v>
      </c>
      <c r="S53" s="74">
        <f>IFERROR(VLOOKUP(Table1215[[#This Row],[Column2]],Table12[[Column2]:[Column54]],18,FALSE),"0")</f>
        <v>0</v>
      </c>
      <c r="T53" s="74">
        <f>IFERROR(VLOOKUP(Table1215[[#This Row],[Column2]],Table12[[Column2]:[Column54]],19,FALSE),"0")</f>
        <v>0</v>
      </c>
      <c r="U53" s="74">
        <f>IFERROR(VLOOKUP(Table1215[[#This Row],[Column2]],Table12[[Column2]:[Column54]],20,FALSE),"0")</f>
        <v>0</v>
      </c>
      <c r="V53" s="74">
        <f>IFERROR(VLOOKUP(Table1215[[#This Row],[Column2]],Table12[[Column2]:[Column54]],21,FALSE),"0")</f>
        <v>0</v>
      </c>
      <c r="W53" s="74">
        <f>IFERROR(VLOOKUP(Table1215[[#This Row],[Column2]],Table12[[Column2]:[Column54]],22,FALSE),"0")</f>
        <v>0</v>
      </c>
      <c r="X53" s="80">
        <f>Table1215[[#This Row],[Column19]]</f>
        <v>0</v>
      </c>
      <c r="Y53" s="74">
        <f>IFERROR(VLOOKUP(Table1215[[#This Row],[Column2]],Table12[[Column2]:[Column54]],24,FALSE),"0")</f>
        <v>2</v>
      </c>
      <c r="Z53" s="74">
        <f>IFERROR(VLOOKUP(Table1215[[#This Row],[Column2]],Table12[[Column2]:[Column54]],25,FALSE),"0")</f>
        <v>0</v>
      </c>
      <c r="AA53" s="74">
        <f>IFERROR(VLOOKUP(Table1215[[#This Row],[Column2]],Table12[[Column2]:[Column54]],26,FALSE),"0")</f>
        <v>0</v>
      </c>
      <c r="AB53" s="74">
        <f>IFERROR(VLOOKUP(Table1215[[#This Row],[Column2]],Table12[[Column2]:[Column54]],27,FALSE),"0")</f>
        <v>0</v>
      </c>
      <c r="AC53" s="74">
        <f>IFERROR(VLOOKUP(Table1215[[#This Row],[Column2]],Table12[[Column2]:[Column54]],28,FALSE),"0")</f>
        <v>0</v>
      </c>
      <c r="AD53" s="80">
        <f>Table1215[[#This Row],[Column25]]</f>
        <v>2</v>
      </c>
      <c r="AE53" s="74">
        <f>IFERROR(VLOOKUP(Table1215[[#This Row],[Column2]],Table12[[Column2]:[Column54]],30,FALSE),"0")</f>
        <v>0</v>
      </c>
      <c r="AF53" s="74">
        <f>IFERROR(VLOOKUP(Table1215[[#This Row],[Column2]],Table12[[Column2]:[Column54]],31,FALSE),"0")</f>
        <v>0</v>
      </c>
      <c r="AG53" s="74">
        <f>IFERROR(VLOOKUP(Table1215[[#This Row],[Column2]],Table12[[Column2]:[Column54]],32,FALSE),"0")</f>
        <v>0</v>
      </c>
      <c r="AH53" s="74">
        <f>IFERROR(VLOOKUP(Table1215[[#This Row],[Column2]],Table12[[Column2]:[Column54]],33,FALSE),"0")</f>
        <v>0</v>
      </c>
      <c r="AI53" s="74">
        <f>IFERROR(VLOOKUP(Table1215[[#This Row],[Column2]],Table12[[Column2]:[Column54]],34,FALSE),"0")</f>
        <v>0</v>
      </c>
      <c r="AJ53" s="80">
        <f>AVERAGE(Table1215[[#This Row],[Column31]],Table1215[[#This Row],[Column32]],Table1215[[#This Row],[Column33]])</f>
        <v>0</v>
      </c>
      <c r="AK53" s="74">
        <f>IFERROR(VLOOKUP(Table1215[[#This Row],[Column2]],Table12[[Column2]:[Column54]],36,FALSE),"0")</f>
        <v>3</v>
      </c>
      <c r="AL53" s="74">
        <f>IFERROR(VLOOKUP(Table1215[[#This Row],[Column2]],Table12[[Column2]:[Column54]],37,FALSE),"0")</f>
        <v>3</v>
      </c>
      <c r="AM53" s="74">
        <f>IFERROR(VLOOKUP(Table1215[[#This Row],[Column2]],Table12[[Column2]:[Column54]],38,FALSE),"0")</f>
        <v>0</v>
      </c>
      <c r="AN53" s="74">
        <f>IFERROR(VLOOKUP(Table1215[[#This Row],[Column2]],Table12[[Column2]:[Column54]],39,FALSE),"0")</f>
        <v>3</v>
      </c>
      <c r="AO53" s="74">
        <f>IFERROR(VLOOKUP(Table1215[[#This Row],[Column2]],Table12[[Column2]:[Column54]],40,FALSE),"0")</f>
        <v>0</v>
      </c>
      <c r="AP53" s="80">
        <f>AVERAGE(Table1215[[#This Row],[Column37]],Table1215[[#This Row],[Column38]],Table1215[[#This Row],[Column40]])</f>
        <v>3</v>
      </c>
      <c r="AQ53" s="74">
        <f>IFERROR(VLOOKUP(Table1215[[#This Row],[Column2]],Table12[[Column2]:[Column54]],42,FALSE),"0")</f>
        <v>3</v>
      </c>
      <c r="AR53" s="74">
        <f>IFERROR(VLOOKUP(Table1215[[#This Row],[Column2]],Table12[[Column2]:[Column54]],43,FALSE),"0")</f>
        <v>0</v>
      </c>
      <c r="AS53" s="74">
        <f>IFERROR(VLOOKUP(Table1215[[#This Row],[Column2]],Table12[[Column2]:[Column54]],44,FALSE),"0")</f>
        <v>0</v>
      </c>
      <c r="AT53" s="74">
        <f>IFERROR(VLOOKUP(Table1215[[#This Row],[Column2]],Table12[[Column2]:[Column54]],45,FALSE),"0")</f>
        <v>0</v>
      </c>
      <c r="AU53" s="74">
        <f>IFERROR(VLOOKUP(Table1215[[#This Row],[Column2]],Table12[[Column2]:[Column54]],46,FALSE),"0")</f>
        <v>0</v>
      </c>
      <c r="AV53" s="80">
        <f>Table1215[[#This Row],[Column43]]</f>
        <v>3</v>
      </c>
      <c r="AW53" s="74">
        <f>IFERROR(VLOOKUP(Table1215[[#This Row],[Column2]],Table12[[Column2]:[Column54]],48,FALSE),"0")</f>
        <v>0</v>
      </c>
      <c r="AX53" s="74">
        <f>IFERROR(VLOOKUP(Table1215[[#This Row],[Column2]],Table12[[Column2]:[Column54]],49,FALSE),"0")</f>
        <v>0</v>
      </c>
      <c r="AY53" s="74">
        <f>IFERROR(VLOOKUP(Table1215[[#This Row],[Column2]],Table12[[Column2]:[Column54]],50,FALSE),"0")</f>
        <v>0</v>
      </c>
      <c r="AZ53" s="74">
        <f>IFERROR(VLOOKUP(Table1215[[#This Row],[Column2]],Table12[[Column2]:[Column54]],51,FALSE),"0")</f>
        <v>2</v>
      </c>
      <c r="BA53" s="74">
        <f>IFERROR(VLOOKUP(Table1215[[#This Row],[Column2]],Table12[[Column2]:[Column54]],52,FALSE),"0")</f>
        <v>3</v>
      </c>
      <c r="BB53" s="80">
        <f>AVERAGE(Table1215[[#This Row],[Column52]],Table1215[[#This Row],[Column53]])</f>
        <v>2.5</v>
      </c>
    </row>
    <row r="54" spans="1:54" ht="23.1" customHeight="1" x14ac:dyDescent="0.3">
      <c r="A54" s="99">
        <v>51</v>
      </c>
      <c r="B54" s="76" t="s">
        <v>259</v>
      </c>
      <c r="C54" s="77" t="s">
        <v>260</v>
      </c>
      <c r="D54" s="76" t="s">
        <v>542</v>
      </c>
      <c r="E54" s="76" t="s">
        <v>161</v>
      </c>
      <c r="F54" s="76" t="str">
        <f>REPT(CHAR(160),10)&amp;Working!$E55</f>
        <v>          B</v>
      </c>
      <c r="G54" s="78">
        <f>IFERROR(VLOOKUP(Table1215[[#This Row],[Column2]],Table12[[Column2]:[Column54]],6,FALSE),"0")</f>
        <v>0</v>
      </c>
      <c r="H54" s="78">
        <f>IFERROR(VLOOKUP(Table1215[[#This Row],[Column2]],Table12[[Column2]:[Column54]],7,FALSE),"0")</f>
        <v>0</v>
      </c>
      <c r="I54" s="78">
        <f>IFERROR(VLOOKUP(Table1215[[#This Row],[Column2]],Table12[[Column2]:[Column54]],8,FALSE),"0")</f>
        <v>2</v>
      </c>
      <c r="J54" s="78">
        <f>IFERROR(VLOOKUP(Table1215[[#This Row],[Column2]],Table12[[Column2]:[Column54]],9,FALSE),"0")</f>
        <v>0</v>
      </c>
      <c r="K54" s="78">
        <f>IFERROR(VLOOKUP(Table1215[[#This Row],[Column2]],Table12[[Column2]:[Column54]],10,FALSE),"0")</f>
        <v>0</v>
      </c>
      <c r="L54" s="80">
        <f>Table1215[[#This Row],[Column9]]</f>
        <v>2</v>
      </c>
      <c r="M54" s="78">
        <f>IFERROR(VLOOKUP(Table1215[[#This Row],[Column2]],Table12[[Column2]:[Column54]],12,FALSE),"0")</f>
        <v>0</v>
      </c>
      <c r="N54" s="78">
        <f>IFERROR(VLOOKUP(Table1215[[#This Row],[Column2]],Table12[[Column2]:[Column54]],13,FALSE),"0")</f>
        <v>2</v>
      </c>
      <c r="O54" s="78">
        <f>IFERROR(VLOOKUP(Table1215[[#This Row],[Column2]],Table12[[Column2]:[Column54]],14,FALSE),"0")</f>
        <v>2</v>
      </c>
      <c r="P54" s="78">
        <f>IFERROR(VLOOKUP(Table1215[[#This Row],[Column2]],Table12[[Column2]:[Column54]],10,FALSE),"0")</f>
        <v>0</v>
      </c>
      <c r="Q54" s="78">
        <f>IFERROR(VLOOKUP(Table1215[[#This Row],[Column2]],Table12[[Column2]:[Column54]],16,FALSE),"0")</f>
        <v>2</v>
      </c>
      <c r="R54" s="80">
        <f>AVERAGE(Table1215[[#This Row],[Column14]],Table1215[[#This Row],[Column15]],Table1215[[#This Row],[Column17]])</f>
        <v>2</v>
      </c>
      <c r="S54" s="78">
        <f>IFERROR(VLOOKUP(Table1215[[#This Row],[Column2]],Table12[[Column2]:[Column54]],18,FALSE),"0")</f>
        <v>0</v>
      </c>
      <c r="T54" s="78">
        <f>IFERROR(VLOOKUP(Table1215[[#This Row],[Column2]],Table12[[Column2]:[Column54]],19,FALSE),"0")</f>
        <v>0</v>
      </c>
      <c r="U54" s="78">
        <f>IFERROR(VLOOKUP(Table1215[[#This Row],[Column2]],Table12[[Column2]:[Column54]],20,FALSE),"0")</f>
        <v>0</v>
      </c>
      <c r="V54" s="78">
        <f>IFERROR(VLOOKUP(Table1215[[#This Row],[Column2]],Table12[[Column2]:[Column54]],21,FALSE),"0")</f>
        <v>0</v>
      </c>
      <c r="W54" s="78">
        <f>IFERROR(VLOOKUP(Table1215[[#This Row],[Column2]],Table12[[Column2]:[Column54]],22,FALSE),"0")</f>
        <v>0</v>
      </c>
      <c r="X54" s="80">
        <f>Table1215[[#This Row],[Column19]]</f>
        <v>0</v>
      </c>
      <c r="Y54" s="78">
        <f>IFERROR(VLOOKUP(Table1215[[#This Row],[Column2]],Table12[[Column2]:[Column54]],24,FALSE),"0")</f>
        <v>3</v>
      </c>
      <c r="Z54" s="78">
        <f>IFERROR(VLOOKUP(Table1215[[#This Row],[Column2]],Table12[[Column2]:[Column54]],25,FALSE),"0")</f>
        <v>0</v>
      </c>
      <c r="AA54" s="78">
        <f>IFERROR(VLOOKUP(Table1215[[#This Row],[Column2]],Table12[[Column2]:[Column54]],26,FALSE),"0")</f>
        <v>0</v>
      </c>
      <c r="AB54" s="78">
        <f>IFERROR(VLOOKUP(Table1215[[#This Row],[Column2]],Table12[[Column2]:[Column54]],27,FALSE),"0")</f>
        <v>0</v>
      </c>
      <c r="AC54" s="78">
        <f>IFERROR(VLOOKUP(Table1215[[#This Row],[Column2]],Table12[[Column2]:[Column54]],28,FALSE),"0")</f>
        <v>0</v>
      </c>
      <c r="AD54" s="80">
        <f>Table1215[[#This Row],[Column25]]</f>
        <v>3</v>
      </c>
      <c r="AE54" s="78">
        <f>IFERROR(VLOOKUP(Table1215[[#This Row],[Column2]],Table12[[Column2]:[Column54]],30,FALSE),"0")</f>
        <v>0</v>
      </c>
      <c r="AF54" s="78">
        <f>IFERROR(VLOOKUP(Table1215[[#This Row],[Column2]],Table12[[Column2]:[Column54]],31,FALSE),"0")</f>
        <v>0</v>
      </c>
      <c r="AG54" s="78">
        <f>IFERROR(VLOOKUP(Table1215[[#This Row],[Column2]],Table12[[Column2]:[Column54]],32,FALSE),"0")</f>
        <v>0</v>
      </c>
      <c r="AH54" s="78">
        <f>IFERROR(VLOOKUP(Table1215[[#This Row],[Column2]],Table12[[Column2]:[Column54]],33,FALSE),"0")</f>
        <v>0</v>
      </c>
      <c r="AI54" s="78">
        <f>IFERROR(VLOOKUP(Table1215[[#This Row],[Column2]],Table12[[Column2]:[Column54]],34,FALSE),"0")</f>
        <v>0</v>
      </c>
      <c r="AJ54" s="80">
        <f>AVERAGE(Table1215[[#This Row],[Column31]],Table1215[[#This Row],[Column32]],Table1215[[#This Row],[Column33]])</f>
        <v>0</v>
      </c>
      <c r="AK54" s="78">
        <f>IFERROR(VLOOKUP(Table1215[[#This Row],[Column2]],Table12[[Column2]:[Column54]],36,FALSE),"0")</f>
        <v>2</v>
      </c>
      <c r="AL54" s="78">
        <f>IFERROR(VLOOKUP(Table1215[[#This Row],[Column2]],Table12[[Column2]:[Column54]],37,FALSE),"0")</f>
        <v>3</v>
      </c>
      <c r="AM54" s="78">
        <f>IFERROR(VLOOKUP(Table1215[[#This Row],[Column2]],Table12[[Column2]:[Column54]],38,FALSE),"0")</f>
        <v>0</v>
      </c>
      <c r="AN54" s="78">
        <f>IFERROR(VLOOKUP(Table1215[[#This Row],[Column2]],Table12[[Column2]:[Column54]],39,FALSE),"0")</f>
        <v>3</v>
      </c>
      <c r="AO54" s="78">
        <f>IFERROR(VLOOKUP(Table1215[[#This Row],[Column2]],Table12[[Column2]:[Column54]],40,FALSE),"0")</f>
        <v>0</v>
      </c>
      <c r="AP54" s="80">
        <f>AVERAGE(Table1215[[#This Row],[Column37]],Table1215[[#This Row],[Column38]],Table1215[[#This Row],[Column40]])</f>
        <v>2.6666666666666665</v>
      </c>
      <c r="AQ54" s="78">
        <f>IFERROR(VLOOKUP(Table1215[[#This Row],[Column2]],Table12[[Column2]:[Column54]],42,FALSE),"0")</f>
        <v>2</v>
      </c>
      <c r="AR54" s="78">
        <f>IFERROR(VLOOKUP(Table1215[[#This Row],[Column2]],Table12[[Column2]:[Column54]],43,FALSE),"0")</f>
        <v>0</v>
      </c>
      <c r="AS54" s="78">
        <f>IFERROR(VLOOKUP(Table1215[[#This Row],[Column2]],Table12[[Column2]:[Column54]],44,FALSE),"0")</f>
        <v>0</v>
      </c>
      <c r="AT54" s="78">
        <f>IFERROR(VLOOKUP(Table1215[[#This Row],[Column2]],Table12[[Column2]:[Column54]],45,FALSE),"0")</f>
        <v>0</v>
      </c>
      <c r="AU54" s="78">
        <f>IFERROR(VLOOKUP(Table1215[[#This Row],[Column2]],Table12[[Column2]:[Column54]],46,FALSE),"0")</f>
        <v>0</v>
      </c>
      <c r="AV54" s="80">
        <f>Table1215[[#This Row],[Column43]]</f>
        <v>2</v>
      </c>
      <c r="AW54" s="78">
        <f>IFERROR(VLOOKUP(Table1215[[#This Row],[Column2]],Table12[[Column2]:[Column54]],48,FALSE),"0")</f>
        <v>0</v>
      </c>
      <c r="AX54" s="78">
        <f>IFERROR(VLOOKUP(Table1215[[#This Row],[Column2]],Table12[[Column2]:[Column54]],49,FALSE),"0")</f>
        <v>0</v>
      </c>
      <c r="AY54" s="78">
        <f>IFERROR(VLOOKUP(Table1215[[#This Row],[Column2]],Table12[[Column2]:[Column54]],50,FALSE),"0")</f>
        <v>0</v>
      </c>
      <c r="AZ54" s="78">
        <f>IFERROR(VLOOKUP(Table1215[[#This Row],[Column2]],Table12[[Column2]:[Column54]],51,FALSE),"0")</f>
        <v>3</v>
      </c>
      <c r="BA54" s="78">
        <f>IFERROR(VLOOKUP(Table1215[[#This Row],[Column2]],Table12[[Column2]:[Column54]],52,FALSE),"0")</f>
        <v>2</v>
      </c>
      <c r="BB54" s="80">
        <f>AVERAGE(Table1215[[#This Row],[Column52]],Table1215[[#This Row],[Column53]])</f>
        <v>2.5</v>
      </c>
    </row>
    <row r="55" spans="1:54" ht="23.1" customHeight="1" x14ac:dyDescent="0.3">
      <c r="A55" s="100">
        <v>52</v>
      </c>
      <c r="B55" s="83" t="s">
        <v>213</v>
      </c>
      <c r="C55" s="84" t="s">
        <v>214</v>
      </c>
      <c r="D55" s="83" t="s">
        <v>450</v>
      </c>
      <c r="E55" s="83" t="s">
        <v>161</v>
      </c>
      <c r="F55" s="83" t="str">
        <f>REPT(CHAR(160),10)&amp;Working!$E56</f>
        <v>          B</v>
      </c>
      <c r="G55" s="74">
        <f>IFERROR(VLOOKUP(Table1215[[#This Row],[Column2]],Table12[[Column2]:[Column54]],6,FALSE),"0")</f>
        <v>0</v>
      </c>
      <c r="H55" s="74">
        <f>IFERROR(VLOOKUP(Table1215[[#This Row],[Column2]],Table12[[Column2]:[Column54]],7,FALSE),"0")</f>
        <v>0</v>
      </c>
      <c r="I55" s="74">
        <f>IFERROR(VLOOKUP(Table1215[[#This Row],[Column2]],Table12[[Column2]:[Column54]],8,FALSE),"0")</f>
        <v>2</v>
      </c>
      <c r="J55" s="74">
        <f>IFERROR(VLOOKUP(Table1215[[#This Row],[Column2]],Table12[[Column2]:[Column54]],9,FALSE),"0")</f>
        <v>0</v>
      </c>
      <c r="K55" s="74">
        <f>IFERROR(VLOOKUP(Table1215[[#This Row],[Column2]],Table12[[Column2]:[Column54]],10,FALSE),"0")</f>
        <v>0</v>
      </c>
      <c r="L55" s="80">
        <f>Table1215[[#This Row],[Column9]]</f>
        <v>2</v>
      </c>
      <c r="M55" s="74">
        <f>IFERROR(VLOOKUP(Table1215[[#This Row],[Column2]],Table12[[Column2]:[Column54]],12,FALSE),"0")</f>
        <v>0</v>
      </c>
      <c r="N55" s="74">
        <f>IFERROR(VLOOKUP(Table1215[[#This Row],[Column2]],Table12[[Column2]:[Column54]],13,FALSE),"0")</f>
        <v>2</v>
      </c>
      <c r="O55" s="74">
        <f>IFERROR(VLOOKUP(Table1215[[#This Row],[Column2]],Table12[[Column2]:[Column54]],14,FALSE),"0")</f>
        <v>2</v>
      </c>
      <c r="P55" s="74">
        <f>IFERROR(VLOOKUP(Table1215[[#This Row],[Column2]],Table12[[Column2]:[Column54]],10,FALSE),"0")</f>
        <v>0</v>
      </c>
      <c r="Q55" s="74">
        <f>IFERROR(VLOOKUP(Table1215[[#This Row],[Column2]],Table12[[Column2]:[Column54]],16,FALSE),"0")</f>
        <v>2</v>
      </c>
      <c r="R55" s="80">
        <f>AVERAGE(Table1215[[#This Row],[Column14]],Table1215[[#This Row],[Column15]],Table1215[[#This Row],[Column17]])</f>
        <v>2</v>
      </c>
      <c r="S55" s="74">
        <f>IFERROR(VLOOKUP(Table1215[[#This Row],[Column2]],Table12[[Column2]:[Column54]],18,FALSE),"0")</f>
        <v>0</v>
      </c>
      <c r="T55" s="74">
        <f>IFERROR(VLOOKUP(Table1215[[#This Row],[Column2]],Table12[[Column2]:[Column54]],19,FALSE),"0")</f>
        <v>0</v>
      </c>
      <c r="U55" s="74">
        <f>IFERROR(VLOOKUP(Table1215[[#This Row],[Column2]],Table12[[Column2]:[Column54]],20,FALSE),"0")</f>
        <v>0</v>
      </c>
      <c r="V55" s="74">
        <f>IFERROR(VLOOKUP(Table1215[[#This Row],[Column2]],Table12[[Column2]:[Column54]],21,FALSE),"0")</f>
        <v>0</v>
      </c>
      <c r="W55" s="74">
        <f>IFERROR(VLOOKUP(Table1215[[#This Row],[Column2]],Table12[[Column2]:[Column54]],22,FALSE),"0")</f>
        <v>0</v>
      </c>
      <c r="X55" s="80">
        <f>Table1215[[#This Row],[Column19]]</f>
        <v>0</v>
      </c>
      <c r="Y55" s="74">
        <f>IFERROR(VLOOKUP(Table1215[[#This Row],[Column2]],Table12[[Column2]:[Column54]],24,FALSE),"0")</f>
        <v>2</v>
      </c>
      <c r="Z55" s="74">
        <f>IFERROR(VLOOKUP(Table1215[[#This Row],[Column2]],Table12[[Column2]:[Column54]],25,FALSE),"0")</f>
        <v>0</v>
      </c>
      <c r="AA55" s="74">
        <f>IFERROR(VLOOKUP(Table1215[[#This Row],[Column2]],Table12[[Column2]:[Column54]],26,FALSE),"0")</f>
        <v>0</v>
      </c>
      <c r="AB55" s="74">
        <f>IFERROR(VLOOKUP(Table1215[[#This Row],[Column2]],Table12[[Column2]:[Column54]],27,FALSE),"0")</f>
        <v>0</v>
      </c>
      <c r="AC55" s="74">
        <f>IFERROR(VLOOKUP(Table1215[[#This Row],[Column2]],Table12[[Column2]:[Column54]],28,FALSE),"0")</f>
        <v>0</v>
      </c>
      <c r="AD55" s="80">
        <f>Table1215[[#This Row],[Column25]]</f>
        <v>2</v>
      </c>
      <c r="AE55" s="74">
        <f>IFERROR(VLOOKUP(Table1215[[#This Row],[Column2]],Table12[[Column2]:[Column54]],30,FALSE),"0")</f>
        <v>0</v>
      </c>
      <c r="AF55" s="74">
        <f>IFERROR(VLOOKUP(Table1215[[#This Row],[Column2]],Table12[[Column2]:[Column54]],31,FALSE),"0")</f>
        <v>0</v>
      </c>
      <c r="AG55" s="74">
        <f>IFERROR(VLOOKUP(Table1215[[#This Row],[Column2]],Table12[[Column2]:[Column54]],32,FALSE),"0")</f>
        <v>0</v>
      </c>
      <c r="AH55" s="74">
        <f>IFERROR(VLOOKUP(Table1215[[#This Row],[Column2]],Table12[[Column2]:[Column54]],33,FALSE),"0")</f>
        <v>0</v>
      </c>
      <c r="AI55" s="74">
        <f>IFERROR(VLOOKUP(Table1215[[#This Row],[Column2]],Table12[[Column2]:[Column54]],34,FALSE),"0")</f>
        <v>0</v>
      </c>
      <c r="AJ55" s="80">
        <f>AVERAGE(Table1215[[#This Row],[Column31]],Table1215[[#This Row],[Column32]],Table1215[[#This Row],[Column33]])</f>
        <v>0</v>
      </c>
      <c r="AK55" s="74">
        <f>IFERROR(VLOOKUP(Table1215[[#This Row],[Column2]],Table12[[Column2]:[Column54]],36,FALSE),"0")</f>
        <v>3</v>
      </c>
      <c r="AL55" s="74">
        <f>IFERROR(VLOOKUP(Table1215[[#This Row],[Column2]],Table12[[Column2]:[Column54]],37,FALSE),"0")</f>
        <v>3</v>
      </c>
      <c r="AM55" s="74">
        <f>IFERROR(VLOOKUP(Table1215[[#This Row],[Column2]],Table12[[Column2]:[Column54]],38,FALSE),"0")</f>
        <v>0</v>
      </c>
      <c r="AN55" s="74">
        <f>IFERROR(VLOOKUP(Table1215[[#This Row],[Column2]],Table12[[Column2]:[Column54]],39,FALSE),"0")</f>
        <v>2</v>
      </c>
      <c r="AO55" s="74">
        <f>IFERROR(VLOOKUP(Table1215[[#This Row],[Column2]],Table12[[Column2]:[Column54]],40,FALSE),"0")</f>
        <v>0</v>
      </c>
      <c r="AP55" s="80">
        <f>AVERAGE(Table1215[[#This Row],[Column37]],Table1215[[#This Row],[Column38]],Table1215[[#This Row],[Column40]])</f>
        <v>2.6666666666666665</v>
      </c>
      <c r="AQ55" s="74">
        <f>IFERROR(VLOOKUP(Table1215[[#This Row],[Column2]],Table12[[Column2]:[Column54]],42,FALSE),"0")</f>
        <v>3</v>
      </c>
      <c r="AR55" s="74">
        <f>IFERROR(VLOOKUP(Table1215[[#This Row],[Column2]],Table12[[Column2]:[Column54]],43,FALSE),"0")</f>
        <v>0</v>
      </c>
      <c r="AS55" s="74">
        <f>IFERROR(VLOOKUP(Table1215[[#This Row],[Column2]],Table12[[Column2]:[Column54]],44,FALSE),"0")</f>
        <v>0</v>
      </c>
      <c r="AT55" s="74">
        <f>IFERROR(VLOOKUP(Table1215[[#This Row],[Column2]],Table12[[Column2]:[Column54]],45,FALSE),"0")</f>
        <v>0</v>
      </c>
      <c r="AU55" s="74">
        <f>IFERROR(VLOOKUP(Table1215[[#This Row],[Column2]],Table12[[Column2]:[Column54]],46,FALSE),"0")</f>
        <v>0</v>
      </c>
      <c r="AV55" s="80">
        <f>Table1215[[#This Row],[Column43]]</f>
        <v>3</v>
      </c>
      <c r="AW55" s="74">
        <f>IFERROR(VLOOKUP(Table1215[[#This Row],[Column2]],Table12[[Column2]:[Column54]],48,FALSE),"0")</f>
        <v>0</v>
      </c>
      <c r="AX55" s="74">
        <f>IFERROR(VLOOKUP(Table1215[[#This Row],[Column2]],Table12[[Column2]:[Column54]],49,FALSE),"0")</f>
        <v>0</v>
      </c>
      <c r="AY55" s="74">
        <f>IFERROR(VLOOKUP(Table1215[[#This Row],[Column2]],Table12[[Column2]:[Column54]],50,FALSE),"0")</f>
        <v>0</v>
      </c>
      <c r="AZ55" s="74">
        <f>IFERROR(VLOOKUP(Table1215[[#This Row],[Column2]],Table12[[Column2]:[Column54]],51,FALSE),"0")</f>
        <v>3</v>
      </c>
      <c r="BA55" s="74">
        <f>IFERROR(VLOOKUP(Table1215[[#This Row],[Column2]],Table12[[Column2]:[Column54]],52,FALSE),"0")</f>
        <v>3</v>
      </c>
      <c r="BB55" s="80">
        <f>AVERAGE(Table1215[[#This Row],[Column52]],Table1215[[#This Row],[Column53]])</f>
        <v>3</v>
      </c>
    </row>
    <row r="56" spans="1:54" ht="23.1" customHeight="1" x14ac:dyDescent="0.3">
      <c r="A56" s="99">
        <v>53</v>
      </c>
      <c r="B56" s="76" t="s">
        <v>229</v>
      </c>
      <c r="C56" s="77" t="s">
        <v>230</v>
      </c>
      <c r="D56" s="76" t="s">
        <v>450</v>
      </c>
      <c r="E56" s="76" t="s">
        <v>161</v>
      </c>
      <c r="F56" s="76" t="str">
        <f>REPT(CHAR(160),10)&amp;Working!$E57</f>
        <v>          B</v>
      </c>
      <c r="G56" s="78">
        <f>IFERROR(VLOOKUP(Table1215[[#This Row],[Column2]],Table12[[Column2]:[Column54]],6,FALSE),"0")</f>
        <v>0</v>
      </c>
      <c r="H56" s="78">
        <f>IFERROR(VLOOKUP(Table1215[[#This Row],[Column2]],Table12[[Column2]:[Column54]],7,FALSE),"0")</f>
        <v>0</v>
      </c>
      <c r="I56" s="78">
        <f>IFERROR(VLOOKUP(Table1215[[#This Row],[Column2]],Table12[[Column2]:[Column54]],8,FALSE),"0")</f>
        <v>2</v>
      </c>
      <c r="J56" s="78">
        <f>IFERROR(VLOOKUP(Table1215[[#This Row],[Column2]],Table12[[Column2]:[Column54]],9,FALSE),"0")</f>
        <v>0</v>
      </c>
      <c r="K56" s="78">
        <f>IFERROR(VLOOKUP(Table1215[[#This Row],[Column2]],Table12[[Column2]:[Column54]],10,FALSE),"0")</f>
        <v>0</v>
      </c>
      <c r="L56" s="80">
        <f>Table1215[[#This Row],[Column9]]</f>
        <v>2</v>
      </c>
      <c r="M56" s="78">
        <f>IFERROR(VLOOKUP(Table1215[[#This Row],[Column2]],Table12[[Column2]:[Column54]],12,FALSE),"0")</f>
        <v>0</v>
      </c>
      <c r="N56" s="78">
        <f>IFERROR(VLOOKUP(Table1215[[#This Row],[Column2]],Table12[[Column2]:[Column54]],13,FALSE),"0")</f>
        <v>2</v>
      </c>
      <c r="O56" s="78">
        <f>IFERROR(VLOOKUP(Table1215[[#This Row],[Column2]],Table12[[Column2]:[Column54]],14,FALSE),"0")</f>
        <v>2</v>
      </c>
      <c r="P56" s="78">
        <f>IFERROR(VLOOKUP(Table1215[[#This Row],[Column2]],Table12[[Column2]:[Column54]],10,FALSE),"0")</f>
        <v>0</v>
      </c>
      <c r="Q56" s="78">
        <f>IFERROR(VLOOKUP(Table1215[[#This Row],[Column2]],Table12[[Column2]:[Column54]],16,FALSE),"0")</f>
        <v>2</v>
      </c>
      <c r="R56" s="80">
        <f>AVERAGE(Table1215[[#This Row],[Column14]],Table1215[[#This Row],[Column15]],Table1215[[#This Row],[Column17]])</f>
        <v>2</v>
      </c>
      <c r="S56" s="78">
        <f>IFERROR(VLOOKUP(Table1215[[#This Row],[Column2]],Table12[[Column2]:[Column54]],18,FALSE),"0")</f>
        <v>0</v>
      </c>
      <c r="T56" s="78">
        <f>IFERROR(VLOOKUP(Table1215[[#This Row],[Column2]],Table12[[Column2]:[Column54]],19,FALSE),"0")</f>
        <v>0</v>
      </c>
      <c r="U56" s="78">
        <f>IFERROR(VLOOKUP(Table1215[[#This Row],[Column2]],Table12[[Column2]:[Column54]],20,FALSE),"0")</f>
        <v>0</v>
      </c>
      <c r="V56" s="78">
        <f>IFERROR(VLOOKUP(Table1215[[#This Row],[Column2]],Table12[[Column2]:[Column54]],21,FALSE),"0")</f>
        <v>0</v>
      </c>
      <c r="W56" s="78">
        <f>IFERROR(VLOOKUP(Table1215[[#This Row],[Column2]],Table12[[Column2]:[Column54]],22,FALSE),"0")</f>
        <v>0</v>
      </c>
      <c r="X56" s="80">
        <f>Table1215[[#This Row],[Column19]]</f>
        <v>0</v>
      </c>
      <c r="Y56" s="78">
        <f>IFERROR(VLOOKUP(Table1215[[#This Row],[Column2]],Table12[[Column2]:[Column54]],24,FALSE),"0")</f>
        <v>2</v>
      </c>
      <c r="Z56" s="78">
        <f>IFERROR(VLOOKUP(Table1215[[#This Row],[Column2]],Table12[[Column2]:[Column54]],25,FALSE),"0")</f>
        <v>0</v>
      </c>
      <c r="AA56" s="78">
        <f>IFERROR(VLOOKUP(Table1215[[#This Row],[Column2]],Table12[[Column2]:[Column54]],26,FALSE),"0")</f>
        <v>0</v>
      </c>
      <c r="AB56" s="78">
        <f>IFERROR(VLOOKUP(Table1215[[#This Row],[Column2]],Table12[[Column2]:[Column54]],27,FALSE),"0")</f>
        <v>0</v>
      </c>
      <c r="AC56" s="78">
        <f>IFERROR(VLOOKUP(Table1215[[#This Row],[Column2]],Table12[[Column2]:[Column54]],28,FALSE),"0")</f>
        <v>0</v>
      </c>
      <c r="AD56" s="80">
        <f>Table1215[[#This Row],[Column25]]</f>
        <v>2</v>
      </c>
      <c r="AE56" s="78">
        <f>IFERROR(VLOOKUP(Table1215[[#This Row],[Column2]],Table12[[Column2]:[Column54]],30,FALSE),"0")</f>
        <v>0</v>
      </c>
      <c r="AF56" s="78">
        <f>IFERROR(VLOOKUP(Table1215[[#This Row],[Column2]],Table12[[Column2]:[Column54]],31,FALSE),"0")</f>
        <v>0</v>
      </c>
      <c r="AG56" s="78">
        <f>IFERROR(VLOOKUP(Table1215[[#This Row],[Column2]],Table12[[Column2]:[Column54]],32,FALSE),"0")</f>
        <v>0</v>
      </c>
      <c r="AH56" s="78">
        <f>IFERROR(VLOOKUP(Table1215[[#This Row],[Column2]],Table12[[Column2]:[Column54]],33,FALSE),"0")</f>
        <v>0</v>
      </c>
      <c r="AI56" s="78">
        <f>IFERROR(VLOOKUP(Table1215[[#This Row],[Column2]],Table12[[Column2]:[Column54]],34,FALSE),"0")</f>
        <v>0</v>
      </c>
      <c r="AJ56" s="80">
        <f>AVERAGE(Table1215[[#This Row],[Column31]],Table1215[[#This Row],[Column32]],Table1215[[#This Row],[Column33]])</f>
        <v>0</v>
      </c>
      <c r="AK56" s="78">
        <f>IFERROR(VLOOKUP(Table1215[[#This Row],[Column2]],Table12[[Column2]:[Column54]],36,FALSE),"0")</f>
        <v>2</v>
      </c>
      <c r="AL56" s="78">
        <f>IFERROR(VLOOKUP(Table1215[[#This Row],[Column2]],Table12[[Column2]:[Column54]],37,FALSE),"0")</f>
        <v>3</v>
      </c>
      <c r="AM56" s="78">
        <f>IFERROR(VLOOKUP(Table1215[[#This Row],[Column2]],Table12[[Column2]:[Column54]],38,FALSE),"0")</f>
        <v>0</v>
      </c>
      <c r="AN56" s="78">
        <f>IFERROR(VLOOKUP(Table1215[[#This Row],[Column2]],Table12[[Column2]:[Column54]],39,FALSE),"0")</f>
        <v>3</v>
      </c>
      <c r="AO56" s="78">
        <f>IFERROR(VLOOKUP(Table1215[[#This Row],[Column2]],Table12[[Column2]:[Column54]],40,FALSE),"0")</f>
        <v>0</v>
      </c>
      <c r="AP56" s="80">
        <f>AVERAGE(Table1215[[#This Row],[Column37]],Table1215[[#This Row],[Column38]],Table1215[[#This Row],[Column40]])</f>
        <v>2.6666666666666665</v>
      </c>
      <c r="AQ56" s="78">
        <f>IFERROR(VLOOKUP(Table1215[[#This Row],[Column2]],Table12[[Column2]:[Column54]],42,FALSE),"0")</f>
        <v>3</v>
      </c>
      <c r="AR56" s="78">
        <f>IFERROR(VLOOKUP(Table1215[[#This Row],[Column2]],Table12[[Column2]:[Column54]],43,FALSE),"0")</f>
        <v>0</v>
      </c>
      <c r="AS56" s="78">
        <f>IFERROR(VLOOKUP(Table1215[[#This Row],[Column2]],Table12[[Column2]:[Column54]],44,FALSE),"0")</f>
        <v>0</v>
      </c>
      <c r="AT56" s="78">
        <f>IFERROR(VLOOKUP(Table1215[[#This Row],[Column2]],Table12[[Column2]:[Column54]],45,FALSE),"0")</f>
        <v>0</v>
      </c>
      <c r="AU56" s="78">
        <f>IFERROR(VLOOKUP(Table1215[[#This Row],[Column2]],Table12[[Column2]:[Column54]],46,FALSE),"0")</f>
        <v>0</v>
      </c>
      <c r="AV56" s="80">
        <f>Table1215[[#This Row],[Column43]]</f>
        <v>3</v>
      </c>
      <c r="AW56" s="78">
        <f>IFERROR(VLOOKUP(Table1215[[#This Row],[Column2]],Table12[[Column2]:[Column54]],48,FALSE),"0")</f>
        <v>0</v>
      </c>
      <c r="AX56" s="78">
        <f>IFERROR(VLOOKUP(Table1215[[#This Row],[Column2]],Table12[[Column2]:[Column54]],49,FALSE),"0")</f>
        <v>0</v>
      </c>
      <c r="AY56" s="78">
        <f>IFERROR(VLOOKUP(Table1215[[#This Row],[Column2]],Table12[[Column2]:[Column54]],50,FALSE),"0")</f>
        <v>0</v>
      </c>
      <c r="AZ56" s="78">
        <f>IFERROR(VLOOKUP(Table1215[[#This Row],[Column2]],Table12[[Column2]:[Column54]],51,FALSE),"0")</f>
        <v>3</v>
      </c>
      <c r="BA56" s="78">
        <f>IFERROR(VLOOKUP(Table1215[[#This Row],[Column2]],Table12[[Column2]:[Column54]],52,FALSE),"0")</f>
        <v>2</v>
      </c>
      <c r="BB56" s="80">
        <f>AVERAGE(Table1215[[#This Row],[Column52]],Table1215[[#This Row],[Column53]])</f>
        <v>2.5</v>
      </c>
    </row>
    <row r="57" spans="1:54" ht="23.1" customHeight="1" x14ac:dyDescent="0.3">
      <c r="A57" s="100">
        <v>54</v>
      </c>
      <c r="B57" s="83" t="s">
        <v>312</v>
      </c>
      <c r="C57" s="84" t="s">
        <v>313</v>
      </c>
      <c r="D57" s="83" t="s">
        <v>450</v>
      </c>
      <c r="E57" s="83" t="s">
        <v>493</v>
      </c>
      <c r="F57" s="83" t="str">
        <f>REPT(CHAR(160),10)&amp;Working!$E58</f>
        <v>          C</v>
      </c>
      <c r="G57" s="74">
        <f>IFERROR(VLOOKUP(Table1215[[#This Row],[Column2]],Table12[[Column2]:[Column54]],6,FALSE),"0")</f>
        <v>0</v>
      </c>
      <c r="H57" s="74">
        <f>IFERROR(VLOOKUP(Table1215[[#This Row],[Column2]],Table12[[Column2]:[Column54]],7,FALSE),"0")</f>
        <v>0</v>
      </c>
      <c r="I57" s="74">
        <f>IFERROR(VLOOKUP(Table1215[[#This Row],[Column2]],Table12[[Column2]:[Column54]],8,FALSE),"0")</f>
        <v>4</v>
      </c>
      <c r="J57" s="74">
        <f>IFERROR(VLOOKUP(Table1215[[#This Row],[Column2]],Table12[[Column2]:[Column54]],9,FALSE),"0")</f>
        <v>0</v>
      </c>
      <c r="K57" s="74">
        <f>IFERROR(VLOOKUP(Table1215[[#This Row],[Column2]],Table12[[Column2]:[Column54]],10,FALSE),"0")</f>
        <v>0</v>
      </c>
      <c r="L57" s="80">
        <f>Table1215[[#This Row],[Column9]]</f>
        <v>4</v>
      </c>
      <c r="M57" s="74">
        <f>IFERROR(VLOOKUP(Table1215[[#This Row],[Column2]],Table12[[Column2]:[Column54]],12,FALSE),"0")</f>
        <v>0</v>
      </c>
      <c r="N57" s="74">
        <f>IFERROR(VLOOKUP(Table1215[[#This Row],[Column2]],Table12[[Column2]:[Column54]],13,FALSE),"0")</f>
        <v>3</v>
      </c>
      <c r="O57" s="74">
        <f>IFERROR(VLOOKUP(Table1215[[#This Row],[Column2]],Table12[[Column2]:[Column54]],14,FALSE),"0")</f>
        <v>3</v>
      </c>
      <c r="P57" s="74">
        <f>IFERROR(VLOOKUP(Table1215[[#This Row],[Column2]],Table12[[Column2]:[Column54]],10,FALSE),"0")</f>
        <v>0</v>
      </c>
      <c r="Q57" s="74">
        <f>IFERROR(VLOOKUP(Table1215[[#This Row],[Column2]],Table12[[Column2]:[Column54]],16,FALSE),"0")</f>
        <v>3</v>
      </c>
      <c r="R57" s="80">
        <f>AVERAGE(Table1215[[#This Row],[Column14]],Table1215[[#This Row],[Column15]],Table1215[[#This Row],[Column17]])</f>
        <v>3</v>
      </c>
      <c r="S57" s="74">
        <f>IFERROR(VLOOKUP(Table1215[[#This Row],[Column2]],Table12[[Column2]:[Column54]],18,FALSE),"0")</f>
        <v>0</v>
      </c>
      <c r="T57" s="74">
        <f>IFERROR(VLOOKUP(Table1215[[#This Row],[Column2]],Table12[[Column2]:[Column54]],19,FALSE),"0")</f>
        <v>0</v>
      </c>
      <c r="U57" s="74">
        <f>IFERROR(VLOOKUP(Table1215[[#This Row],[Column2]],Table12[[Column2]:[Column54]],20,FALSE),"0")</f>
        <v>0</v>
      </c>
      <c r="V57" s="74">
        <f>IFERROR(VLOOKUP(Table1215[[#This Row],[Column2]],Table12[[Column2]:[Column54]],21,FALSE),"0")</f>
        <v>0</v>
      </c>
      <c r="W57" s="74">
        <f>IFERROR(VLOOKUP(Table1215[[#This Row],[Column2]],Table12[[Column2]:[Column54]],22,FALSE),"0")</f>
        <v>0</v>
      </c>
      <c r="X57" s="80">
        <f>Table1215[[#This Row],[Column19]]</f>
        <v>0</v>
      </c>
      <c r="Y57" s="74">
        <f>IFERROR(VLOOKUP(Table1215[[#This Row],[Column2]],Table12[[Column2]:[Column54]],24,FALSE),"0")</f>
        <v>3</v>
      </c>
      <c r="Z57" s="74">
        <f>IFERROR(VLOOKUP(Table1215[[#This Row],[Column2]],Table12[[Column2]:[Column54]],25,FALSE),"0")</f>
        <v>0</v>
      </c>
      <c r="AA57" s="74">
        <f>IFERROR(VLOOKUP(Table1215[[#This Row],[Column2]],Table12[[Column2]:[Column54]],26,FALSE),"0")</f>
        <v>0</v>
      </c>
      <c r="AB57" s="74">
        <f>IFERROR(VLOOKUP(Table1215[[#This Row],[Column2]],Table12[[Column2]:[Column54]],27,FALSE),"0")</f>
        <v>0</v>
      </c>
      <c r="AC57" s="74">
        <f>IFERROR(VLOOKUP(Table1215[[#This Row],[Column2]],Table12[[Column2]:[Column54]],28,FALSE),"0")</f>
        <v>0</v>
      </c>
      <c r="AD57" s="80">
        <f>Table1215[[#This Row],[Column25]]</f>
        <v>3</v>
      </c>
      <c r="AE57" s="74">
        <f>IFERROR(VLOOKUP(Table1215[[#This Row],[Column2]],Table12[[Column2]:[Column54]],30,FALSE),"0")</f>
        <v>0</v>
      </c>
      <c r="AF57" s="74">
        <f>IFERROR(VLOOKUP(Table1215[[#This Row],[Column2]],Table12[[Column2]:[Column54]],31,FALSE),"0")</f>
        <v>0</v>
      </c>
      <c r="AG57" s="74">
        <f>IFERROR(VLOOKUP(Table1215[[#This Row],[Column2]],Table12[[Column2]:[Column54]],32,FALSE),"0")</f>
        <v>0</v>
      </c>
      <c r="AH57" s="74">
        <f>IFERROR(VLOOKUP(Table1215[[#This Row],[Column2]],Table12[[Column2]:[Column54]],33,FALSE),"0")</f>
        <v>0</v>
      </c>
      <c r="AI57" s="74">
        <f>IFERROR(VLOOKUP(Table1215[[#This Row],[Column2]],Table12[[Column2]:[Column54]],34,FALSE),"0")</f>
        <v>0</v>
      </c>
      <c r="AJ57" s="80">
        <f>AVERAGE(Table1215[[#This Row],[Column31]],Table1215[[#This Row],[Column32]],Table1215[[#This Row],[Column33]])</f>
        <v>0</v>
      </c>
      <c r="AK57" s="74">
        <f>IFERROR(VLOOKUP(Table1215[[#This Row],[Column2]],Table12[[Column2]:[Column54]],36,FALSE),"0")</f>
        <v>3</v>
      </c>
      <c r="AL57" s="74">
        <f>IFERROR(VLOOKUP(Table1215[[#This Row],[Column2]],Table12[[Column2]:[Column54]],37,FALSE),"0")</f>
        <v>3</v>
      </c>
      <c r="AM57" s="74">
        <f>IFERROR(VLOOKUP(Table1215[[#This Row],[Column2]],Table12[[Column2]:[Column54]],38,FALSE),"0")</f>
        <v>0</v>
      </c>
      <c r="AN57" s="74">
        <f>IFERROR(VLOOKUP(Table1215[[#This Row],[Column2]],Table12[[Column2]:[Column54]],39,FALSE),"0")</f>
        <v>3</v>
      </c>
      <c r="AO57" s="74">
        <f>IFERROR(VLOOKUP(Table1215[[#This Row],[Column2]],Table12[[Column2]:[Column54]],40,FALSE),"0")</f>
        <v>0</v>
      </c>
      <c r="AP57" s="80">
        <f>AVERAGE(Table1215[[#This Row],[Column37]],Table1215[[#This Row],[Column38]],Table1215[[#This Row],[Column40]])</f>
        <v>3</v>
      </c>
      <c r="AQ57" s="74">
        <f>IFERROR(VLOOKUP(Table1215[[#This Row],[Column2]],Table12[[Column2]:[Column54]],42,FALSE),"0")</f>
        <v>5</v>
      </c>
      <c r="AR57" s="74">
        <f>IFERROR(VLOOKUP(Table1215[[#This Row],[Column2]],Table12[[Column2]:[Column54]],43,FALSE),"0")</f>
        <v>0</v>
      </c>
      <c r="AS57" s="74">
        <f>IFERROR(VLOOKUP(Table1215[[#This Row],[Column2]],Table12[[Column2]:[Column54]],44,FALSE),"0")</f>
        <v>0</v>
      </c>
      <c r="AT57" s="74">
        <f>IFERROR(VLOOKUP(Table1215[[#This Row],[Column2]],Table12[[Column2]:[Column54]],45,FALSE),"0")</f>
        <v>0</v>
      </c>
      <c r="AU57" s="74">
        <f>IFERROR(VLOOKUP(Table1215[[#This Row],[Column2]],Table12[[Column2]:[Column54]],46,FALSE),"0")</f>
        <v>0</v>
      </c>
      <c r="AV57" s="80">
        <f>Table1215[[#This Row],[Column43]]</f>
        <v>5</v>
      </c>
      <c r="AW57" s="74">
        <f>IFERROR(VLOOKUP(Table1215[[#This Row],[Column2]],Table12[[Column2]:[Column54]],48,FALSE),"0")</f>
        <v>0</v>
      </c>
      <c r="AX57" s="74">
        <f>IFERROR(VLOOKUP(Table1215[[#This Row],[Column2]],Table12[[Column2]:[Column54]],49,FALSE),"0")</f>
        <v>0</v>
      </c>
      <c r="AY57" s="74">
        <f>IFERROR(VLOOKUP(Table1215[[#This Row],[Column2]],Table12[[Column2]:[Column54]],50,FALSE),"0")</f>
        <v>0</v>
      </c>
      <c r="AZ57" s="74">
        <f>IFERROR(VLOOKUP(Table1215[[#This Row],[Column2]],Table12[[Column2]:[Column54]],51,FALSE),"0")</f>
        <v>4</v>
      </c>
      <c r="BA57" s="74">
        <f>IFERROR(VLOOKUP(Table1215[[#This Row],[Column2]],Table12[[Column2]:[Column54]],52,FALSE),"0")</f>
        <v>3</v>
      </c>
      <c r="BB57" s="80">
        <f>AVERAGE(Table1215[[#This Row],[Column52]],Table1215[[#This Row],[Column53]])</f>
        <v>3.5</v>
      </c>
    </row>
    <row r="58" spans="1:54" ht="23.1" customHeight="1" x14ac:dyDescent="0.3">
      <c r="A58" s="99">
        <v>55</v>
      </c>
      <c r="B58" s="76" t="s">
        <v>247</v>
      </c>
      <c r="C58" s="77" t="s">
        <v>248</v>
      </c>
      <c r="D58" s="76" t="s">
        <v>450</v>
      </c>
      <c r="E58" s="76" t="s">
        <v>161</v>
      </c>
      <c r="F58" s="76" t="str">
        <f>REPT(CHAR(160),10)&amp;Working!$E59</f>
        <v>          B</v>
      </c>
      <c r="G58" s="78">
        <f>IFERROR(VLOOKUP(Table1215[[#This Row],[Column2]],Table12[[Column2]:[Column54]],6,FALSE),"0")</f>
        <v>0</v>
      </c>
      <c r="H58" s="78">
        <f>IFERROR(VLOOKUP(Table1215[[#This Row],[Column2]],Table12[[Column2]:[Column54]],7,FALSE),"0")</f>
        <v>0</v>
      </c>
      <c r="I58" s="78">
        <f>IFERROR(VLOOKUP(Table1215[[#This Row],[Column2]],Table12[[Column2]:[Column54]],8,FALSE),"0")</f>
        <v>3</v>
      </c>
      <c r="J58" s="78">
        <f>IFERROR(VLOOKUP(Table1215[[#This Row],[Column2]],Table12[[Column2]:[Column54]],9,FALSE),"0")</f>
        <v>0</v>
      </c>
      <c r="K58" s="78">
        <f>IFERROR(VLOOKUP(Table1215[[#This Row],[Column2]],Table12[[Column2]:[Column54]],10,FALSE),"0")</f>
        <v>0</v>
      </c>
      <c r="L58" s="80">
        <f>Table1215[[#This Row],[Column9]]</f>
        <v>3</v>
      </c>
      <c r="M58" s="78">
        <f>IFERROR(VLOOKUP(Table1215[[#This Row],[Column2]],Table12[[Column2]:[Column54]],12,FALSE),"0")</f>
        <v>0</v>
      </c>
      <c r="N58" s="78">
        <f>IFERROR(VLOOKUP(Table1215[[#This Row],[Column2]],Table12[[Column2]:[Column54]],13,FALSE),"0")</f>
        <v>4</v>
      </c>
      <c r="O58" s="78">
        <f>IFERROR(VLOOKUP(Table1215[[#This Row],[Column2]],Table12[[Column2]:[Column54]],14,FALSE),"0")</f>
        <v>3</v>
      </c>
      <c r="P58" s="78">
        <f>IFERROR(VLOOKUP(Table1215[[#This Row],[Column2]],Table12[[Column2]:[Column54]],10,FALSE),"0")</f>
        <v>0</v>
      </c>
      <c r="Q58" s="78">
        <f>IFERROR(VLOOKUP(Table1215[[#This Row],[Column2]],Table12[[Column2]:[Column54]],16,FALSE),"0")</f>
        <v>3</v>
      </c>
      <c r="R58" s="80">
        <f>AVERAGE(Table1215[[#This Row],[Column14]],Table1215[[#This Row],[Column15]],Table1215[[#This Row],[Column17]])</f>
        <v>3.3333333333333335</v>
      </c>
      <c r="S58" s="78">
        <f>IFERROR(VLOOKUP(Table1215[[#This Row],[Column2]],Table12[[Column2]:[Column54]],18,FALSE),"0")</f>
        <v>0</v>
      </c>
      <c r="T58" s="78">
        <f>IFERROR(VLOOKUP(Table1215[[#This Row],[Column2]],Table12[[Column2]:[Column54]],19,FALSE),"0")</f>
        <v>0</v>
      </c>
      <c r="U58" s="78">
        <f>IFERROR(VLOOKUP(Table1215[[#This Row],[Column2]],Table12[[Column2]:[Column54]],20,FALSE),"0")</f>
        <v>0</v>
      </c>
      <c r="V58" s="78">
        <f>IFERROR(VLOOKUP(Table1215[[#This Row],[Column2]],Table12[[Column2]:[Column54]],21,FALSE),"0")</f>
        <v>0</v>
      </c>
      <c r="W58" s="78">
        <f>IFERROR(VLOOKUP(Table1215[[#This Row],[Column2]],Table12[[Column2]:[Column54]],22,FALSE),"0")</f>
        <v>0</v>
      </c>
      <c r="X58" s="80">
        <f>Table1215[[#This Row],[Column19]]</f>
        <v>0</v>
      </c>
      <c r="Y58" s="78">
        <f>IFERROR(VLOOKUP(Table1215[[#This Row],[Column2]],Table12[[Column2]:[Column54]],24,FALSE),"0")</f>
        <v>2</v>
      </c>
      <c r="Z58" s="78">
        <f>IFERROR(VLOOKUP(Table1215[[#This Row],[Column2]],Table12[[Column2]:[Column54]],25,FALSE),"0")</f>
        <v>0</v>
      </c>
      <c r="AA58" s="78">
        <f>IFERROR(VLOOKUP(Table1215[[#This Row],[Column2]],Table12[[Column2]:[Column54]],26,FALSE),"0")</f>
        <v>0</v>
      </c>
      <c r="AB58" s="78">
        <f>IFERROR(VLOOKUP(Table1215[[#This Row],[Column2]],Table12[[Column2]:[Column54]],27,FALSE),"0")</f>
        <v>0</v>
      </c>
      <c r="AC58" s="78">
        <f>IFERROR(VLOOKUP(Table1215[[#This Row],[Column2]],Table12[[Column2]:[Column54]],28,FALSE),"0")</f>
        <v>0</v>
      </c>
      <c r="AD58" s="80">
        <f>Table1215[[#This Row],[Column25]]</f>
        <v>2</v>
      </c>
      <c r="AE58" s="78">
        <f>IFERROR(VLOOKUP(Table1215[[#This Row],[Column2]],Table12[[Column2]:[Column54]],30,FALSE),"0")</f>
        <v>0</v>
      </c>
      <c r="AF58" s="78">
        <f>IFERROR(VLOOKUP(Table1215[[#This Row],[Column2]],Table12[[Column2]:[Column54]],31,FALSE),"0")</f>
        <v>0</v>
      </c>
      <c r="AG58" s="78">
        <f>IFERROR(VLOOKUP(Table1215[[#This Row],[Column2]],Table12[[Column2]:[Column54]],32,FALSE),"0")</f>
        <v>0</v>
      </c>
      <c r="AH58" s="78">
        <f>IFERROR(VLOOKUP(Table1215[[#This Row],[Column2]],Table12[[Column2]:[Column54]],33,FALSE),"0")</f>
        <v>0</v>
      </c>
      <c r="AI58" s="78">
        <f>IFERROR(VLOOKUP(Table1215[[#This Row],[Column2]],Table12[[Column2]:[Column54]],34,FALSE),"0")</f>
        <v>0</v>
      </c>
      <c r="AJ58" s="80">
        <f>AVERAGE(Table1215[[#This Row],[Column31]],Table1215[[#This Row],[Column32]],Table1215[[#This Row],[Column33]])</f>
        <v>0</v>
      </c>
      <c r="AK58" s="78">
        <f>IFERROR(VLOOKUP(Table1215[[#This Row],[Column2]],Table12[[Column2]:[Column54]],36,FALSE),"0")</f>
        <v>3</v>
      </c>
      <c r="AL58" s="78">
        <f>IFERROR(VLOOKUP(Table1215[[#This Row],[Column2]],Table12[[Column2]:[Column54]],37,FALSE),"0")</f>
        <v>3</v>
      </c>
      <c r="AM58" s="78">
        <f>IFERROR(VLOOKUP(Table1215[[#This Row],[Column2]],Table12[[Column2]:[Column54]],38,FALSE),"0")</f>
        <v>0</v>
      </c>
      <c r="AN58" s="78">
        <f>IFERROR(VLOOKUP(Table1215[[#This Row],[Column2]],Table12[[Column2]:[Column54]],39,FALSE),"0")</f>
        <v>3</v>
      </c>
      <c r="AO58" s="78">
        <f>IFERROR(VLOOKUP(Table1215[[#This Row],[Column2]],Table12[[Column2]:[Column54]],40,FALSE),"0")</f>
        <v>0</v>
      </c>
      <c r="AP58" s="80">
        <f>AVERAGE(Table1215[[#This Row],[Column37]],Table1215[[#This Row],[Column38]],Table1215[[#This Row],[Column40]])</f>
        <v>3</v>
      </c>
      <c r="AQ58" s="78">
        <f>IFERROR(VLOOKUP(Table1215[[#This Row],[Column2]],Table12[[Column2]:[Column54]],42,FALSE),"0")</f>
        <v>3</v>
      </c>
      <c r="AR58" s="78">
        <f>IFERROR(VLOOKUP(Table1215[[#This Row],[Column2]],Table12[[Column2]:[Column54]],43,FALSE),"0")</f>
        <v>0</v>
      </c>
      <c r="AS58" s="78">
        <f>IFERROR(VLOOKUP(Table1215[[#This Row],[Column2]],Table12[[Column2]:[Column54]],44,FALSE),"0")</f>
        <v>0</v>
      </c>
      <c r="AT58" s="78">
        <f>IFERROR(VLOOKUP(Table1215[[#This Row],[Column2]],Table12[[Column2]:[Column54]],45,FALSE),"0")</f>
        <v>0</v>
      </c>
      <c r="AU58" s="78">
        <f>IFERROR(VLOOKUP(Table1215[[#This Row],[Column2]],Table12[[Column2]:[Column54]],46,FALSE),"0")</f>
        <v>0</v>
      </c>
      <c r="AV58" s="80">
        <f>Table1215[[#This Row],[Column43]]</f>
        <v>3</v>
      </c>
      <c r="AW58" s="78">
        <f>IFERROR(VLOOKUP(Table1215[[#This Row],[Column2]],Table12[[Column2]:[Column54]],48,FALSE),"0")</f>
        <v>0</v>
      </c>
      <c r="AX58" s="78">
        <f>IFERROR(VLOOKUP(Table1215[[#This Row],[Column2]],Table12[[Column2]:[Column54]],49,FALSE),"0")</f>
        <v>0</v>
      </c>
      <c r="AY58" s="78">
        <f>IFERROR(VLOOKUP(Table1215[[#This Row],[Column2]],Table12[[Column2]:[Column54]],50,FALSE),"0")</f>
        <v>0</v>
      </c>
      <c r="AZ58" s="78">
        <f>IFERROR(VLOOKUP(Table1215[[#This Row],[Column2]],Table12[[Column2]:[Column54]],51,FALSE),"0")</f>
        <v>3</v>
      </c>
      <c r="BA58" s="78">
        <f>IFERROR(VLOOKUP(Table1215[[#This Row],[Column2]],Table12[[Column2]:[Column54]],52,FALSE),"0")</f>
        <v>3</v>
      </c>
      <c r="BB58" s="80">
        <f>AVERAGE(Table1215[[#This Row],[Column52]],Table1215[[#This Row],[Column53]])</f>
        <v>3</v>
      </c>
    </row>
    <row r="59" spans="1:54" ht="23.1" customHeight="1" x14ac:dyDescent="0.3">
      <c r="A59" s="100">
        <v>56</v>
      </c>
      <c r="B59" s="83" t="s">
        <v>124</v>
      </c>
      <c r="C59" s="84" t="s">
        <v>125</v>
      </c>
      <c r="D59" s="83" t="s">
        <v>542</v>
      </c>
      <c r="E59" s="83" t="s">
        <v>35</v>
      </c>
      <c r="F59" s="83" t="str">
        <f>REPT(CHAR(160),10)&amp;Working!$E60</f>
        <v>          A</v>
      </c>
      <c r="G59" s="74">
        <f>IFERROR(VLOOKUP(Table1215[[#This Row],[Column2]],Table12[[Column2]:[Column54]],6,FALSE),"0")</f>
        <v>0</v>
      </c>
      <c r="H59" s="74">
        <f>IFERROR(VLOOKUP(Table1215[[#This Row],[Column2]],Table12[[Column2]:[Column54]],7,FALSE),"0")</f>
        <v>0</v>
      </c>
      <c r="I59" s="74">
        <f>IFERROR(VLOOKUP(Table1215[[#This Row],[Column2]],Table12[[Column2]:[Column54]],8,FALSE),"0")</f>
        <v>3</v>
      </c>
      <c r="J59" s="74">
        <f>IFERROR(VLOOKUP(Table1215[[#This Row],[Column2]],Table12[[Column2]:[Column54]],9,FALSE),"0")</f>
        <v>0</v>
      </c>
      <c r="K59" s="74">
        <f>IFERROR(VLOOKUP(Table1215[[#This Row],[Column2]],Table12[[Column2]:[Column54]],10,FALSE),"0")</f>
        <v>0</v>
      </c>
      <c r="L59" s="80">
        <f>Table1215[[#This Row],[Column9]]</f>
        <v>3</v>
      </c>
      <c r="M59" s="74">
        <f>IFERROR(VLOOKUP(Table1215[[#This Row],[Column2]],Table12[[Column2]:[Column54]],12,FALSE),"0")</f>
        <v>0</v>
      </c>
      <c r="N59" s="74">
        <f>IFERROR(VLOOKUP(Table1215[[#This Row],[Column2]],Table12[[Column2]:[Column54]],13,FALSE),"0")</f>
        <v>3</v>
      </c>
      <c r="O59" s="74">
        <f>IFERROR(VLOOKUP(Table1215[[#This Row],[Column2]],Table12[[Column2]:[Column54]],14,FALSE),"0")</f>
        <v>3</v>
      </c>
      <c r="P59" s="74">
        <f>IFERROR(VLOOKUP(Table1215[[#This Row],[Column2]],Table12[[Column2]:[Column54]],10,FALSE),"0")</f>
        <v>0</v>
      </c>
      <c r="Q59" s="74">
        <f>IFERROR(VLOOKUP(Table1215[[#This Row],[Column2]],Table12[[Column2]:[Column54]],16,FALSE),"0")</f>
        <v>3</v>
      </c>
      <c r="R59" s="80">
        <f>AVERAGE(Table1215[[#This Row],[Column14]],Table1215[[#This Row],[Column15]],Table1215[[#This Row],[Column17]])</f>
        <v>3</v>
      </c>
      <c r="S59" s="74">
        <f>IFERROR(VLOOKUP(Table1215[[#This Row],[Column2]],Table12[[Column2]:[Column54]],18,FALSE),"0")</f>
        <v>0</v>
      </c>
      <c r="T59" s="74">
        <f>IFERROR(VLOOKUP(Table1215[[#This Row],[Column2]],Table12[[Column2]:[Column54]],19,FALSE),"0")</f>
        <v>0</v>
      </c>
      <c r="U59" s="74">
        <f>IFERROR(VLOOKUP(Table1215[[#This Row],[Column2]],Table12[[Column2]:[Column54]],20,FALSE),"0")</f>
        <v>0</v>
      </c>
      <c r="V59" s="74">
        <f>IFERROR(VLOOKUP(Table1215[[#This Row],[Column2]],Table12[[Column2]:[Column54]],21,FALSE),"0")</f>
        <v>0</v>
      </c>
      <c r="W59" s="74">
        <f>IFERROR(VLOOKUP(Table1215[[#This Row],[Column2]],Table12[[Column2]:[Column54]],22,FALSE),"0")</f>
        <v>0</v>
      </c>
      <c r="X59" s="80">
        <f>Table1215[[#This Row],[Column19]]</f>
        <v>0</v>
      </c>
      <c r="Y59" s="74">
        <f>IFERROR(VLOOKUP(Table1215[[#This Row],[Column2]],Table12[[Column2]:[Column54]],24,FALSE),"0")</f>
        <v>3</v>
      </c>
      <c r="Z59" s="74">
        <f>IFERROR(VLOOKUP(Table1215[[#This Row],[Column2]],Table12[[Column2]:[Column54]],25,FALSE),"0")</f>
        <v>0</v>
      </c>
      <c r="AA59" s="74">
        <f>IFERROR(VLOOKUP(Table1215[[#This Row],[Column2]],Table12[[Column2]:[Column54]],26,FALSE),"0")</f>
        <v>0</v>
      </c>
      <c r="AB59" s="74">
        <f>IFERROR(VLOOKUP(Table1215[[#This Row],[Column2]],Table12[[Column2]:[Column54]],27,FALSE),"0")</f>
        <v>0</v>
      </c>
      <c r="AC59" s="74">
        <f>IFERROR(VLOOKUP(Table1215[[#This Row],[Column2]],Table12[[Column2]:[Column54]],28,FALSE),"0")</f>
        <v>0</v>
      </c>
      <c r="AD59" s="80">
        <f>Table1215[[#This Row],[Column25]]</f>
        <v>3</v>
      </c>
      <c r="AE59" s="74">
        <f>IFERROR(VLOOKUP(Table1215[[#This Row],[Column2]],Table12[[Column2]:[Column54]],30,FALSE),"0")</f>
        <v>0</v>
      </c>
      <c r="AF59" s="74">
        <f>IFERROR(VLOOKUP(Table1215[[#This Row],[Column2]],Table12[[Column2]:[Column54]],31,FALSE),"0")</f>
        <v>0</v>
      </c>
      <c r="AG59" s="74">
        <f>IFERROR(VLOOKUP(Table1215[[#This Row],[Column2]],Table12[[Column2]:[Column54]],32,FALSE),"0")</f>
        <v>0</v>
      </c>
      <c r="AH59" s="74">
        <f>IFERROR(VLOOKUP(Table1215[[#This Row],[Column2]],Table12[[Column2]:[Column54]],33,FALSE),"0")</f>
        <v>0</v>
      </c>
      <c r="AI59" s="74">
        <f>IFERROR(VLOOKUP(Table1215[[#This Row],[Column2]],Table12[[Column2]:[Column54]],34,FALSE),"0")</f>
        <v>0</v>
      </c>
      <c r="AJ59" s="80">
        <f>AVERAGE(Table1215[[#This Row],[Column31]],Table1215[[#This Row],[Column32]],Table1215[[#This Row],[Column33]])</f>
        <v>0</v>
      </c>
      <c r="AK59" s="74">
        <f>IFERROR(VLOOKUP(Table1215[[#This Row],[Column2]],Table12[[Column2]:[Column54]],36,FALSE),"0")</f>
        <v>3</v>
      </c>
      <c r="AL59" s="74">
        <f>IFERROR(VLOOKUP(Table1215[[#This Row],[Column2]],Table12[[Column2]:[Column54]],37,FALSE),"0")</f>
        <v>3</v>
      </c>
      <c r="AM59" s="74">
        <f>IFERROR(VLOOKUP(Table1215[[#This Row],[Column2]],Table12[[Column2]:[Column54]],38,FALSE),"0")</f>
        <v>0</v>
      </c>
      <c r="AN59" s="74">
        <f>IFERROR(VLOOKUP(Table1215[[#This Row],[Column2]],Table12[[Column2]:[Column54]],39,FALSE),"0")</f>
        <v>3</v>
      </c>
      <c r="AO59" s="74">
        <f>IFERROR(VLOOKUP(Table1215[[#This Row],[Column2]],Table12[[Column2]:[Column54]],40,FALSE),"0")</f>
        <v>0</v>
      </c>
      <c r="AP59" s="80">
        <f>AVERAGE(Table1215[[#This Row],[Column37]],Table1215[[#This Row],[Column38]],Table1215[[#This Row],[Column40]])</f>
        <v>3</v>
      </c>
      <c r="AQ59" s="74">
        <f>IFERROR(VLOOKUP(Table1215[[#This Row],[Column2]],Table12[[Column2]:[Column54]],42,FALSE),"0")</f>
        <v>3</v>
      </c>
      <c r="AR59" s="74">
        <f>IFERROR(VLOOKUP(Table1215[[#This Row],[Column2]],Table12[[Column2]:[Column54]],43,FALSE),"0")</f>
        <v>0</v>
      </c>
      <c r="AS59" s="74">
        <f>IFERROR(VLOOKUP(Table1215[[#This Row],[Column2]],Table12[[Column2]:[Column54]],44,FALSE),"0")</f>
        <v>0</v>
      </c>
      <c r="AT59" s="74">
        <f>IFERROR(VLOOKUP(Table1215[[#This Row],[Column2]],Table12[[Column2]:[Column54]],45,FALSE),"0")</f>
        <v>0</v>
      </c>
      <c r="AU59" s="74">
        <f>IFERROR(VLOOKUP(Table1215[[#This Row],[Column2]],Table12[[Column2]:[Column54]],46,FALSE),"0")</f>
        <v>0</v>
      </c>
      <c r="AV59" s="80">
        <f>Table1215[[#This Row],[Column43]]</f>
        <v>3</v>
      </c>
      <c r="AW59" s="74">
        <f>IFERROR(VLOOKUP(Table1215[[#This Row],[Column2]],Table12[[Column2]:[Column54]],48,FALSE),"0")</f>
        <v>0</v>
      </c>
      <c r="AX59" s="74">
        <f>IFERROR(VLOOKUP(Table1215[[#This Row],[Column2]],Table12[[Column2]:[Column54]],49,FALSE),"0")</f>
        <v>0</v>
      </c>
      <c r="AY59" s="74">
        <f>IFERROR(VLOOKUP(Table1215[[#This Row],[Column2]],Table12[[Column2]:[Column54]],50,FALSE),"0")</f>
        <v>0</v>
      </c>
      <c r="AZ59" s="74">
        <f>IFERROR(VLOOKUP(Table1215[[#This Row],[Column2]],Table12[[Column2]:[Column54]],51,FALSE),"0")</f>
        <v>3</v>
      </c>
      <c r="BA59" s="74">
        <f>IFERROR(VLOOKUP(Table1215[[#This Row],[Column2]],Table12[[Column2]:[Column54]],52,FALSE),"0")</f>
        <v>3</v>
      </c>
      <c r="BB59" s="80">
        <f>AVERAGE(Table1215[[#This Row],[Column52]],Table1215[[#This Row],[Column53]])</f>
        <v>3</v>
      </c>
    </row>
    <row r="60" spans="1:54" ht="23.1" customHeight="1" x14ac:dyDescent="0.3">
      <c r="A60" s="99">
        <v>57</v>
      </c>
      <c r="B60" s="76" t="s">
        <v>314</v>
      </c>
      <c r="C60" s="77" t="s">
        <v>315</v>
      </c>
      <c r="D60" s="76" t="s">
        <v>542</v>
      </c>
      <c r="E60" s="76" t="s">
        <v>493</v>
      </c>
      <c r="F60" s="76" t="str">
        <f>REPT(CHAR(160),10)&amp;Working!$E61</f>
        <v>          C</v>
      </c>
      <c r="G60" s="78">
        <f>IFERROR(VLOOKUP(Table1215[[#This Row],[Column2]],Table12[[Column2]:[Column54]],6,FALSE),"0")</f>
        <v>0</v>
      </c>
      <c r="H60" s="78">
        <f>IFERROR(VLOOKUP(Table1215[[#This Row],[Column2]],Table12[[Column2]:[Column54]],7,FALSE),"0")</f>
        <v>0</v>
      </c>
      <c r="I60" s="78">
        <f>IFERROR(VLOOKUP(Table1215[[#This Row],[Column2]],Table12[[Column2]:[Column54]],8,FALSE),"0")</f>
        <v>2</v>
      </c>
      <c r="J60" s="78">
        <f>IFERROR(VLOOKUP(Table1215[[#This Row],[Column2]],Table12[[Column2]:[Column54]],9,FALSE),"0")</f>
        <v>0</v>
      </c>
      <c r="K60" s="78">
        <f>IFERROR(VLOOKUP(Table1215[[#This Row],[Column2]],Table12[[Column2]:[Column54]],10,FALSE),"0")</f>
        <v>0</v>
      </c>
      <c r="L60" s="80">
        <f>Table1215[[#This Row],[Column9]]</f>
        <v>2</v>
      </c>
      <c r="M60" s="78">
        <f>IFERROR(VLOOKUP(Table1215[[#This Row],[Column2]],Table12[[Column2]:[Column54]],12,FALSE),"0")</f>
        <v>0</v>
      </c>
      <c r="N60" s="78">
        <f>IFERROR(VLOOKUP(Table1215[[#This Row],[Column2]],Table12[[Column2]:[Column54]],13,FALSE),"0")</f>
        <v>2</v>
      </c>
      <c r="O60" s="78">
        <f>IFERROR(VLOOKUP(Table1215[[#This Row],[Column2]],Table12[[Column2]:[Column54]],14,FALSE),"0")</f>
        <v>2</v>
      </c>
      <c r="P60" s="78">
        <f>IFERROR(VLOOKUP(Table1215[[#This Row],[Column2]],Table12[[Column2]:[Column54]],10,FALSE),"0")</f>
        <v>0</v>
      </c>
      <c r="Q60" s="78">
        <f>IFERROR(VLOOKUP(Table1215[[#This Row],[Column2]],Table12[[Column2]:[Column54]],16,FALSE),"0")</f>
        <v>2</v>
      </c>
      <c r="R60" s="80">
        <f>AVERAGE(Table1215[[#This Row],[Column14]],Table1215[[#This Row],[Column15]],Table1215[[#This Row],[Column17]])</f>
        <v>2</v>
      </c>
      <c r="S60" s="78">
        <f>IFERROR(VLOOKUP(Table1215[[#This Row],[Column2]],Table12[[Column2]:[Column54]],18,FALSE),"0")</f>
        <v>0</v>
      </c>
      <c r="T60" s="78">
        <f>IFERROR(VLOOKUP(Table1215[[#This Row],[Column2]],Table12[[Column2]:[Column54]],19,FALSE),"0")</f>
        <v>0</v>
      </c>
      <c r="U60" s="78">
        <f>IFERROR(VLOOKUP(Table1215[[#This Row],[Column2]],Table12[[Column2]:[Column54]],20,FALSE),"0")</f>
        <v>0</v>
      </c>
      <c r="V60" s="78">
        <f>IFERROR(VLOOKUP(Table1215[[#This Row],[Column2]],Table12[[Column2]:[Column54]],21,FALSE),"0")</f>
        <v>0</v>
      </c>
      <c r="W60" s="78">
        <f>IFERROR(VLOOKUP(Table1215[[#This Row],[Column2]],Table12[[Column2]:[Column54]],22,FALSE),"0")</f>
        <v>0</v>
      </c>
      <c r="X60" s="80">
        <f>Table1215[[#This Row],[Column19]]</f>
        <v>0</v>
      </c>
      <c r="Y60" s="78">
        <f>IFERROR(VLOOKUP(Table1215[[#This Row],[Column2]],Table12[[Column2]:[Column54]],24,FALSE),"0")</f>
        <v>2</v>
      </c>
      <c r="Z60" s="78">
        <f>IFERROR(VLOOKUP(Table1215[[#This Row],[Column2]],Table12[[Column2]:[Column54]],25,FALSE),"0")</f>
        <v>0</v>
      </c>
      <c r="AA60" s="78">
        <f>IFERROR(VLOOKUP(Table1215[[#This Row],[Column2]],Table12[[Column2]:[Column54]],26,FALSE),"0")</f>
        <v>0</v>
      </c>
      <c r="AB60" s="78">
        <f>IFERROR(VLOOKUP(Table1215[[#This Row],[Column2]],Table12[[Column2]:[Column54]],27,FALSE),"0")</f>
        <v>0</v>
      </c>
      <c r="AC60" s="78">
        <f>IFERROR(VLOOKUP(Table1215[[#This Row],[Column2]],Table12[[Column2]:[Column54]],28,FALSE),"0")</f>
        <v>0</v>
      </c>
      <c r="AD60" s="80">
        <f>Table1215[[#This Row],[Column25]]</f>
        <v>2</v>
      </c>
      <c r="AE60" s="78">
        <f>IFERROR(VLOOKUP(Table1215[[#This Row],[Column2]],Table12[[Column2]:[Column54]],30,FALSE),"0")</f>
        <v>0</v>
      </c>
      <c r="AF60" s="78">
        <f>IFERROR(VLOOKUP(Table1215[[#This Row],[Column2]],Table12[[Column2]:[Column54]],31,FALSE),"0")</f>
        <v>0</v>
      </c>
      <c r="AG60" s="78">
        <f>IFERROR(VLOOKUP(Table1215[[#This Row],[Column2]],Table12[[Column2]:[Column54]],32,FALSE),"0")</f>
        <v>0</v>
      </c>
      <c r="AH60" s="78">
        <f>IFERROR(VLOOKUP(Table1215[[#This Row],[Column2]],Table12[[Column2]:[Column54]],33,FALSE),"0")</f>
        <v>0</v>
      </c>
      <c r="AI60" s="78">
        <f>IFERROR(VLOOKUP(Table1215[[#This Row],[Column2]],Table12[[Column2]:[Column54]],34,FALSE),"0")</f>
        <v>0</v>
      </c>
      <c r="AJ60" s="80">
        <f>AVERAGE(Table1215[[#This Row],[Column31]],Table1215[[#This Row],[Column32]],Table1215[[#This Row],[Column33]])</f>
        <v>0</v>
      </c>
      <c r="AK60" s="78">
        <f>IFERROR(VLOOKUP(Table1215[[#This Row],[Column2]],Table12[[Column2]:[Column54]],36,FALSE),"0")</f>
        <v>2</v>
      </c>
      <c r="AL60" s="78">
        <f>IFERROR(VLOOKUP(Table1215[[#This Row],[Column2]],Table12[[Column2]:[Column54]],37,FALSE),"0")</f>
        <v>3</v>
      </c>
      <c r="AM60" s="78">
        <f>IFERROR(VLOOKUP(Table1215[[#This Row],[Column2]],Table12[[Column2]:[Column54]],38,FALSE),"0")</f>
        <v>0</v>
      </c>
      <c r="AN60" s="78">
        <f>IFERROR(VLOOKUP(Table1215[[#This Row],[Column2]],Table12[[Column2]:[Column54]],39,FALSE),"0")</f>
        <v>3</v>
      </c>
      <c r="AO60" s="78">
        <f>IFERROR(VLOOKUP(Table1215[[#This Row],[Column2]],Table12[[Column2]:[Column54]],40,FALSE),"0")</f>
        <v>0</v>
      </c>
      <c r="AP60" s="80">
        <f>AVERAGE(Table1215[[#This Row],[Column37]],Table1215[[#This Row],[Column38]],Table1215[[#This Row],[Column40]])</f>
        <v>2.6666666666666665</v>
      </c>
      <c r="AQ60" s="78">
        <f>IFERROR(VLOOKUP(Table1215[[#This Row],[Column2]],Table12[[Column2]:[Column54]],42,FALSE),"0")</f>
        <v>3</v>
      </c>
      <c r="AR60" s="78">
        <f>IFERROR(VLOOKUP(Table1215[[#This Row],[Column2]],Table12[[Column2]:[Column54]],43,FALSE),"0")</f>
        <v>0</v>
      </c>
      <c r="AS60" s="78">
        <f>IFERROR(VLOOKUP(Table1215[[#This Row],[Column2]],Table12[[Column2]:[Column54]],44,FALSE),"0")</f>
        <v>0</v>
      </c>
      <c r="AT60" s="78">
        <f>IFERROR(VLOOKUP(Table1215[[#This Row],[Column2]],Table12[[Column2]:[Column54]],45,FALSE),"0")</f>
        <v>0</v>
      </c>
      <c r="AU60" s="78">
        <f>IFERROR(VLOOKUP(Table1215[[#This Row],[Column2]],Table12[[Column2]:[Column54]],46,FALSE),"0")</f>
        <v>0</v>
      </c>
      <c r="AV60" s="80">
        <f>Table1215[[#This Row],[Column43]]</f>
        <v>3</v>
      </c>
      <c r="AW60" s="78">
        <f>IFERROR(VLOOKUP(Table1215[[#This Row],[Column2]],Table12[[Column2]:[Column54]],48,FALSE),"0")</f>
        <v>0</v>
      </c>
      <c r="AX60" s="78">
        <f>IFERROR(VLOOKUP(Table1215[[#This Row],[Column2]],Table12[[Column2]:[Column54]],49,FALSE),"0")</f>
        <v>0</v>
      </c>
      <c r="AY60" s="78">
        <f>IFERROR(VLOOKUP(Table1215[[#This Row],[Column2]],Table12[[Column2]:[Column54]],50,FALSE),"0")</f>
        <v>0</v>
      </c>
      <c r="AZ60" s="78">
        <f>IFERROR(VLOOKUP(Table1215[[#This Row],[Column2]],Table12[[Column2]:[Column54]],51,FALSE),"0")</f>
        <v>3</v>
      </c>
      <c r="BA60" s="78">
        <f>IFERROR(VLOOKUP(Table1215[[#This Row],[Column2]],Table12[[Column2]:[Column54]],52,FALSE),"0")</f>
        <v>2</v>
      </c>
      <c r="BB60" s="80">
        <f>AVERAGE(Table1215[[#This Row],[Column52]],Table1215[[#This Row],[Column53]])</f>
        <v>2.5</v>
      </c>
    </row>
    <row r="61" spans="1:54" ht="23.1" customHeight="1" x14ac:dyDescent="0.3">
      <c r="A61" s="100">
        <v>58</v>
      </c>
      <c r="B61" s="83" t="s">
        <v>316</v>
      </c>
      <c r="C61" s="84" t="s">
        <v>317</v>
      </c>
      <c r="D61" s="83" t="s">
        <v>450</v>
      </c>
      <c r="E61" s="83" t="s">
        <v>493</v>
      </c>
      <c r="F61" s="83" t="str">
        <f>REPT(CHAR(160),10)&amp;Working!$E62</f>
        <v>          C</v>
      </c>
      <c r="G61" s="74">
        <f>IFERROR(VLOOKUP(Table1215[[#This Row],[Column2]],Table12[[Column2]:[Column54]],6,FALSE),"0")</f>
        <v>0</v>
      </c>
      <c r="H61" s="74">
        <f>IFERROR(VLOOKUP(Table1215[[#This Row],[Column2]],Table12[[Column2]:[Column54]],7,FALSE),"0")</f>
        <v>0</v>
      </c>
      <c r="I61" s="74">
        <f>IFERROR(VLOOKUP(Table1215[[#This Row],[Column2]],Table12[[Column2]:[Column54]],8,FALSE),"0")</f>
        <v>1</v>
      </c>
      <c r="J61" s="74">
        <f>IFERROR(VLOOKUP(Table1215[[#This Row],[Column2]],Table12[[Column2]:[Column54]],9,FALSE),"0")</f>
        <v>0</v>
      </c>
      <c r="K61" s="74">
        <f>IFERROR(VLOOKUP(Table1215[[#This Row],[Column2]],Table12[[Column2]:[Column54]],10,FALSE),"0")</f>
        <v>0</v>
      </c>
      <c r="L61" s="80">
        <f>Table1215[[#This Row],[Column9]]</f>
        <v>1</v>
      </c>
      <c r="M61" s="74">
        <f>IFERROR(VLOOKUP(Table1215[[#This Row],[Column2]],Table12[[Column2]:[Column54]],12,FALSE),"0")</f>
        <v>0</v>
      </c>
      <c r="N61" s="74">
        <f>IFERROR(VLOOKUP(Table1215[[#This Row],[Column2]],Table12[[Column2]:[Column54]],13,FALSE),"0")</f>
        <v>1</v>
      </c>
      <c r="O61" s="74">
        <f>IFERROR(VLOOKUP(Table1215[[#This Row],[Column2]],Table12[[Column2]:[Column54]],14,FALSE),"0")</f>
        <v>1</v>
      </c>
      <c r="P61" s="74">
        <f>IFERROR(VLOOKUP(Table1215[[#This Row],[Column2]],Table12[[Column2]:[Column54]],10,FALSE),"0")</f>
        <v>0</v>
      </c>
      <c r="Q61" s="74">
        <f>IFERROR(VLOOKUP(Table1215[[#This Row],[Column2]],Table12[[Column2]:[Column54]],16,FALSE),"0")</f>
        <v>1</v>
      </c>
      <c r="R61" s="80">
        <f>AVERAGE(Table1215[[#This Row],[Column14]],Table1215[[#This Row],[Column15]],Table1215[[#This Row],[Column17]])</f>
        <v>1</v>
      </c>
      <c r="S61" s="74">
        <f>IFERROR(VLOOKUP(Table1215[[#This Row],[Column2]],Table12[[Column2]:[Column54]],18,FALSE),"0")</f>
        <v>0</v>
      </c>
      <c r="T61" s="74">
        <f>IFERROR(VLOOKUP(Table1215[[#This Row],[Column2]],Table12[[Column2]:[Column54]],19,FALSE),"0")</f>
        <v>0</v>
      </c>
      <c r="U61" s="74">
        <f>IFERROR(VLOOKUP(Table1215[[#This Row],[Column2]],Table12[[Column2]:[Column54]],20,FALSE),"0")</f>
        <v>0</v>
      </c>
      <c r="V61" s="74">
        <f>IFERROR(VLOOKUP(Table1215[[#This Row],[Column2]],Table12[[Column2]:[Column54]],21,FALSE),"0")</f>
        <v>0</v>
      </c>
      <c r="W61" s="74">
        <f>IFERROR(VLOOKUP(Table1215[[#This Row],[Column2]],Table12[[Column2]:[Column54]],22,FALSE),"0")</f>
        <v>0</v>
      </c>
      <c r="X61" s="80">
        <f>Table1215[[#This Row],[Column19]]</f>
        <v>0</v>
      </c>
      <c r="Y61" s="74">
        <f>IFERROR(VLOOKUP(Table1215[[#This Row],[Column2]],Table12[[Column2]:[Column54]],24,FALSE),"0")</f>
        <v>1</v>
      </c>
      <c r="Z61" s="74">
        <f>IFERROR(VLOOKUP(Table1215[[#This Row],[Column2]],Table12[[Column2]:[Column54]],25,FALSE),"0")</f>
        <v>0</v>
      </c>
      <c r="AA61" s="74">
        <f>IFERROR(VLOOKUP(Table1215[[#This Row],[Column2]],Table12[[Column2]:[Column54]],26,FALSE),"0")</f>
        <v>0</v>
      </c>
      <c r="AB61" s="74">
        <f>IFERROR(VLOOKUP(Table1215[[#This Row],[Column2]],Table12[[Column2]:[Column54]],27,FALSE),"0")</f>
        <v>0</v>
      </c>
      <c r="AC61" s="74">
        <f>IFERROR(VLOOKUP(Table1215[[#This Row],[Column2]],Table12[[Column2]:[Column54]],28,FALSE),"0")</f>
        <v>0</v>
      </c>
      <c r="AD61" s="80">
        <f>Table1215[[#This Row],[Column25]]</f>
        <v>1</v>
      </c>
      <c r="AE61" s="74">
        <f>IFERROR(VLOOKUP(Table1215[[#This Row],[Column2]],Table12[[Column2]:[Column54]],30,FALSE),"0")</f>
        <v>0</v>
      </c>
      <c r="AF61" s="74">
        <f>IFERROR(VLOOKUP(Table1215[[#This Row],[Column2]],Table12[[Column2]:[Column54]],31,FALSE),"0")</f>
        <v>0</v>
      </c>
      <c r="AG61" s="74">
        <f>IFERROR(VLOOKUP(Table1215[[#This Row],[Column2]],Table12[[Column2]:[Column54]],32,FALSE),"0")</f>
        <v>0</v>
      </c>
      <c r="AH61" s="74">
        <f>IFERROR(VLOOKUP(Table1215[[#This Row],[Column2]],Table12[[Column2]:[Column54]],33,FALSE),"0")</f>
        <v>0</v>
      </c>
      <c r="AI61" s="74">
        <f>IFERROR(VLOOKUP(Table1215[[#This Row],[Column2]],Table12[[Column2]:[Column54]],34,FALSE),"0")</f>
        <v>0</v>
      </c>
      <c r="AJ61" s="80">
        <f>AVERAGE(Table1215[[#This Row],[Column31]],Table1215[[#This Row],[Column32]],Table1215[[#This Row],[Column33]])</f>
        <v>0</v>
      </c>
      <c r="AK61" s="74">
        <f>IFERROR(VLOOKUP(Table1215[[#This Row],[Column2]],Table12[[Column2]:[Column54]],36,FALSE),"0")</f>
        <v>1</v>
      </c>
      <c r="AL61" s="74">
        <f>IFERROR(VLOOKUP(Table1215[[#This Row],[Column2]],Table12[[Column2]:[Column54]],37,FALSE),"0")</f>
        <v>1</v>
      </c>
      <c r="AM61" s="74">
        <f>IFERROR(VLOOKUP(Table1215[[#This Row],[Column2]],Table12[[Column2]:[Column54]],38,FALSE),"0")</f>
        <v>0</v>
      </c>
      <c r="AN61" s="74">
        <f>IFERROR(VLOOKUP(Table1215[[#This Row],[Column2]],Table12[[Column2]:[Column54]],39,FALSE),"0")</f>
        <v>1</v>
      </c>
      <c r="AO61" s="74">
        <f>IFERROR(VLOOKUP(Table1215[[#This Row],[Column2]],Table12[[Column2]:[Column54]],40,FALSE),"0")</f>
        <v>0</v>
      </c>
      <c r="AP61" s="80">
        <f>AVERAGE(Table1215[[#This Row],[Column37]],Table1215[[#This Row],[Column38]],Table1215[[#This Row],[Column40]])</f>
        <v>1</v>
      </c>
      <c r="AQ61" s="74">
        <f>IFERROR(VLOOKUP(Table1215[[#This Row],[Column2]],Table12[[Column2]:[Column54]],42,FALSE),"0")</f>
        <v>1</v>
      </c>
      <c r="AR61" s="74">
        <f>IFERROR(VLOOKUP(Table1215[[#This Row],[Column2]],Table12[[Column2]:[Column54]],43,FALSE),"0")</f>
        <v>0</v>
      </c>
      <c r="AS61" s="74">
        <f>IFERROR(VLOOKUP(Table1215[[#This Row],[Column2]],Table12[[Column2]:[Column54]],44,FALSE),"0")</f>
        <v>0</v>
      </c>
      <c r="AT61" s="74">
        <f>IFERROR(VLOOKUP(Table1215[[#This Row],[Column2]],Table12[[Column2]:[Column54]],45,FALSE),"0")</f>
        <v>0</v>
      </c>
      <c r="AU61" s="74">
        <f>IFERROR(VLOOKUP(Table1215[[#This Row],[Column2]],Table12[[Column2]:[Column54]],46,FALSE),"0")</f>
        <v>0</v>
      </c>
      <c r="AV61" s="80">
        <f>Table1215[[#This Row],[Column43]]</f>
        <v>1</v>
      </c>
      <c r="AW61" s="74">
        <f>IFERROR(VLOOKUP(Table1215[[#This Row],[Column2]],Table12[[Column2]:[Column54]],48,FALSE),"0")</f>
        <v>0</v>
      </c>
      <c r="AX61" s="74">
        <f>IFERROR(VLOOKUP(Table1215[[#This Row],[Column2]],Table12[[Column2]:[Column54]],49,FALSE),"0")</f>
        <v>0</v>
      </c>
      <c r="AY61" s="74">
        <f>IFERROR(VLOOKUP(Table1215[[#This Row],[Column2]],Table12[[Column2]:[Column54]],50,FALSE),"0")</f>
        <v>0</v>
      </c>
      <c r="AZ61" s="74">
        <f>IFERROR(VLOOKUP(Table1215[[#This Row],[Column2]],Table12[[Column2]:[Column54]],51,FALSE),"0")</f>
        <v>1</v>
      </c>
      <c r="BA61" s="74">
        <f>IFERROR(VLOOKUP(Table1215[[#This Row],[Column2]],Table12[[Column2]:[Column54]],52,FALSE),"0")</f>
        <v>1</v>
      </c>
      <c r="BB61" s="80">
        <f>AVERAGE(Table1215[[#This Row],[Column52]],Table1215[[#This Row],[Column53]])</f>
        <v>1</v>
      </c>
    </row>
    <row r="62" spans="1:54" ht="23.1" customHeight="1" x14ac:dyDescent="0.3">
      <c r="A62" s="99">
        <v>59</v>
      </c>
      <c r="B62" s="76" t="s">
        <v>126</v>
      </c>
      <c r="C62" s="77" t="s">
        <v>127</v>
      </c>
      <c r="D62" s="76" t="s">
        <v>450</v>
      </c>
      <c r="E62" s="76" t="s">
        <v>35</v>
      </c>
      <c r="F62" s="76" t="str">
        <f>REPT(CHAR(160),10)&amp;Working!$E63</f>
        <v>          A</v>
      </c>
      <c r="G62" s="78">
        <f>IFERROR(VLOOKUP(Table1215[[#This Row],[Column2]],Table12[[Column2]:[Column54]],6,FALSE),"0")</f>
        <v>0</v>
      </c>
      <c r="H62" s="78">
        <f>IFERROR(VLOOKUP(Table1215[[#This Row],[Column2]],Table12[[Column2]:[Column54]],7,FALSE),"0")</f>
        <v>0</v>
      </c>
      <c r="I62" s="78">
        <f>IFERROR(VLOOKUP(Table1215[[#This Row],[Column2]],Table12[[Column2]:[Column54]],8,FALSE),"0")</f>
        <v>3</v>
      </c>
      <c r="J62" s="78">
        <f>IFERROR(VLOOKUP(Table1215[[#This Row],[Column2]],Table12[[Column2]:[Column54]],9,FALSE),"0")</f>
        <v>0</v>
      </c>
      <c r="K62" s="78">
        <f>IFERROR(VLOOKUP(Table1215[[#This Row],[Column2]],Table12[[Column2]:[Column54]],10,FALSE),"0")</f>
        <v>0</v>
      </c>
      <c r="L62" s="80">
        <f>Table1215[[#This Row],[Column9]]</f>
        <v>3</v>
      </c>
      <c r="M62" s="78">
        <f>IFERROR(VLOOKUP(Table1215[[#This Row],[Column2]],Table12[[Column2]:[Column54]],12,FALSE),"0")</f>
        <v>0</v>
      </c>
      <c r="N62" s="78">
        <f>IFERROR(VLOOKUP(Table1215[[#This Row],[Column2]],Table12[[Column2]:[Column54]],13,FALSE),"0")</f>
        <v>4</v>
      </c>
      <c r="O62" s="78">
        <f>IFERROR(VLOOKUP(Table1215[[#This Row],[Column2]],Table12[[Column2]:[Column54]],14,FALSE),"0")</f>
        <v>3</v>
      </c>
      <c r="P62" s="78">
        <f>IFERROR(VLOOKUP(Table1215[[#This Row],[Column2]],Table12[[Column2]:[Column54]],10,FALSE),"0")</f>
        <v>0</v>
      </c>
      <c r="Q62" s="78">
        <f>IFERROR(VLOOKUP(Table1215[[#This Row],[Column2]],Table12[[Column2]:[Column54]],16,FALSE),"0")</f>
        <v>3</v>
      </c>
      <c r="R62" s="80">
        <f>AVERAGE(Table1215[[#This Row],[Column14]],Table1215[[#This Row],[Column15]],Table1215[[#This Row],[Column17]])</f>
        <v>3.3333333333333335</v>
      </c>
      <c r="S62" s="78">
        <f>IFERROR(VLOOKUP(Table1215[[#This Row],[Column2]],Table12[[Column2]:[Column54]],18,FALSE),"0")</f>
        <v>0</v>
      </c>
      <c r="T62" s="78">
        <f>IFERROR(VLOOKUP(Table1215[[#This Row],[Column2]],Table12[[Column2]:[Column54]],19,FALSE),"0")</f>
        <v>0</v>
      </c>
      <c r="U62" s="78">
        <f>IFERROR(VLOOKUP(Table1215[[#This Row],[Column2]],Table12[[Column2]:[Column54]],20,FALSE),"0")</f>
        <v>0</v>
      </c>
      <c r="V62" s="78">
        <f>IFERROR(VLOOKUP(Table1215[[#This Row],[Column2]],Table12[[Column2]:[Column54]],21,FALSE),"0")</f>
        <v>0</v>
      </c>
      <c r="W62" s="78">
        <f>IFERROR(VLOOKUP(Table1215[[#This Row],[Column2]],Table12[[Column2]:[Column54]],22,FALSE),"0")</f>
        <v>0</v>
      </c>
      <c r="X62" s="80">
        <f>Table1215[[#This Row],[Column19]]</f>
        <v>0</v>
      </c>
      <c r="Y62" s="78">
        <f>IFERROR(VLOOKUP(Table1215[[#This Row],[Column2]],Table12[[Column2]:[Column54]],24,FALSE),"0")</f>
        <v>3</v>
      </c>
      <c r="Z62" s="78">
        <f>IFERROR(VLOOKUP(Table1215[[#This Row],[Column2]],Table12[[Column2]:[Column54]],25,FALSE),"0")</f>
        <v>0</v>
      </c>
      <c r="AA62" s="78">
        <f>IFERROR(VLOOKUP(Table1215[[#This Row],[Column2]],Table12[[Column2]:[Column54]],26,FALSE),"0")</f>
        <v>0</v>
      </c>
      <c r="AB62" s="78">
        <f>IFERROR(VLOOKUP(Table1215[[#This Row],[Column2]],Table12[[Column2]:[Column54]],27,FALSE),"0")</f>
        <v>0</v>
      </c>
      <c r="AC62" s="78">
        <f>IFERROR(VLOOKUP(Table1215[[#This Row],[Column2]],Table12[[Column2]:[Column54]],28,FALSE),"0")</f>
        <v>0</v>
      </c>
      <c r="AD62" s="80">
        <f>Table1215[[#This Row],[Column25]]</f>
        <v>3</v>
      </c>
      <c r="AE62" s="78">
        <f>IFERROR(VLOOKUP(Table1215[[#This Row],[Column2]],Table12[[Column2]:[Column54]],30,FALSE),"0")</f>
        <v>0</v>
      </c>
      <c r="AF62" s="78">
        <f>IFERROR(VLOOKUP(Table1215[[#This Row],[Column2]],Table12[[Column2]:[Column54]],31,FALSE),"0")</f>
        <v>0</v>
      </c>
      <c r="AG62" s="78">
        <f>IFERROR(VLOOKUP(Table1215[[#This Row],[Column2]],Table12[[Column2]:[Column54]],32,FALSE),"0")</f>
        <v>0</v>
      </c>
      <c r="AH62" s="78">
        <f>IFERROR(VLOOKUP(Table1215[[#This Row],[Column2]],Table12[[Column2]:[Column54]],33,FALSE),"0")</f>
        <v>0</v>
      </c>
      <c r="AI62" s="78">
        <f>IFERROR(VLOOKUP(Table1215[[#This Row],[Column2]],Table12[[Column2]:[Column54]],34,FALSE),"0")</f>
        <v>0</v>
      </c>
      <c r="AJ62" s="80">
        <f>AVERAGE(Table1215[[#This Row],[Column31]],Table1215[[#This Row],[Column32]],Table1215[[#This Row],[Column33]])</f>
        <v>0</v>
      </c>
      <c r="AK62" s="78">
        <f>IFERROR(VLOOKUP(Table1215[[#This Row],[Column2]],Table12[[Column2]:[Column54]],36,FALSE),"0")</f>
        <v>3</v>
      </c>
      <c r="AL62" s="78">
        <f>IFERROR(VLOOKUP(Table1215[[#This Row],[Column2]],Table12[[Column2]:[Column54]],37,FALSE),"0")</f>
        <v>3</v>
      </c>
      <c r="AM62" s="78">
        <f>IFERROR(VLOOKUP(Table1215[[#This Row],[Column2]],Table12[[Column2]:[Column54]],38,FALSE),"0")</f>
        <v>0</v>
      </c>
      <c r="AN62" s="78">
        <f>IFERROR(VLOOKUP(Table1215[[#This Row],[Column2]],Table12[[Column2]:[Column54]],39,FALSE),"0")</f>
        <v>4</v>
      </c>
      <c r="AO62" s="78">
        <f>IFERROR(VLOOKUP(Table1215[[#This Row],[Column2]],Table12[[Column2]:[Column54]],40,FALSE),"0")</f>
        <v>0</v>
      </c>
      <c r="AP62" s="80">
        <f>AVERAGE(Table1215[[#This Row],[Column37]],Table1215[[#This Row],[Column38]],Table1215[[#This Row],[Column40]])</f>
        <v>3.3333333333333335</v>
      </c>
      <c r="AQ62" s="78">
        <f>IFERROR(VLOOKUP(Table1215[[#This Row],[Column2]],Table12[[Column2]:[Column54]],42,FALSE),"0")</f>
        <v>3</v>
      </c>
      <c r="AR62" s="78">
        <f>IFERROR(VLOOKUP(Table1215[[#This Row],[Column2]],Table12[[Column2]:[Column54]],43,FALSE),"0")</f>
        <v>0</v>
      </c>
      <c r="AS62" s="78">
        <f>IFERROR(VLOOKUP(Table1215[[#This Row],[Column2]],Table12[[Column2]:[Column54]],44,FALSE),"0")</f>
        <v>0</v>
      </c>
      <c r="AT62" s="78">
        <f>IFERROR(VLOOKUP(Table1215[[#This Row],[Column2]],Table12[[Column2]:[Column54]],45,FALSE),"0")</f>
        <v>0</v>
      </c>
      <c r="AU62" s="78">
        <f>IFERROR(VLOOKUP(Table1215[[#This Row],[Column2]],Table12[[Column2]:[Column54]],46,FALSE),"0")</f>
        <v>0</v>
      </c>
      <c r="AV62" s="80">
        <f>Table1215[[#This Row],[Column43]]</f>
        <v>3</v>
      </c>
      <c r="AW62" s="78">
        <f>IFERROR(VLOOKUP(Table1215[[#This Row],[Column2]],Table12[[Column2]:[Column54]],48,FALSE),"0")</f>
        <v>0</v>
      </c>
      <c r="AX62" s="78">
        <f>IFERROR(VLOOKUP(Table1215[[#This Row],[Column2]],Table12[[Column2]:[Column54]],49,FALSE),"0")</f>
        <v>0</v>
      </c>
      <c r="AY62" s="78">
        <f>IFERROR(VLOOKUP(Table1215[[#This Row],[Column2]],Table12[[Column2]:[Column54]],50,FALSE),"0")</f>
        <v>0</v>
      </c>
      <c r="AZ62" s="78">
        <f>IFERROR(VLOOKUP(Table1215[[#This Row],[Column2]],Table12[[Column2]:[Column54]],51,FALSE),"0")</f>
        <v>4</v>
      </c>
      <c r="BA62" s="78">
        <f>IFERROR(VLOOKUP(Table1215[[#This Row],[Column2]],Table12[[Column2]:[Column54]],52,FALSE),"0")</f>
        <v>4</v>
      </c>
      <c r="BB62" s="80">
        <f>AVERAGE(Table1215[[#This Row],[Column52]],Table1215[[#This Row],[Column53]])</f>
        <v>4</v>
      </c>
    </row>
    <row r="63" spans="1:54" ht="23.1" customHeight="1" x14ac:dyDescent="0.3">
      <c r="A63" s="100">
        <v>60</v>
      </c>
      <c r="B63" s="83" t="s">
        <v>42</v>
      </c>
      <c r="C63" s="84" t="s">
        <v>43</v>
      </c>
      <c r="D63" s="83" t="s">
        <v>450</v>
      </c>
      <c r="E63" s="83" t="s">
        <v>35</v>
      </c>
      <c r="F63" s="83" t="str">
        <f>REPT(CHAR(160),10)&amp;Working!$E64</f>
        <v>          A</v>
      </c>
      <c r="G63" s="74">
        <f>IFERROR(VLOOKUP(Table1215[[#This Row],[Column2]],Table12[[Column2]:[Column54]],6,FALSE),"0")</f>
        <v>0</v>
      </c>
      <c r="H63" s="74">
        <f>IFERROR(VLOOKUP(Table1215[[#This Row],[Column2]],Table12[[Column2]:[Column54]],7,FALSE),"0")</f>
        <v>0</v>
      </c>
      <c r="I63" s="74">
        <f>IFERROR(VLOOKUP(Table1215[[#This Row],[Column2]],Table12[[Column2]:[Column54]],8,FALSE),"0")</f>
        <v>4</v>
      </c>
      <c r="J63" s="74">
        <f>IFERROR(VLOOKUP(Table1215[[#This Row],[Column2]],Table12[[Column2]:[Column54]],9,FALSE),"0")</f>
        <v>0</v>
      </c>
      <c r="K63" s="74">
        <f>IFERROR(VLOOKUP(Table1215[[#This Row],[Column2]],Table12[[Column2]:[Column54]],10,FALSE),"0")</f>
        <v>0</v>
      </c>
      <c r="L63" s="80">
        <f>Table1215[[#This Row],[Column9]]</f>
        <v>4</v>
      </c>
      <c r="M63" s="74">
        <f>IFERROR(VLOOKUP(Table1215[[#This Row],[Column2]],Table12[[Column2]:[Column54]],12,FALSE),"0")</f>
        <v>0</v>
      </c>
      <c r="N63" s="74">
        <f>IFERROR(VLOOKUP(Table1215[[#This Row],[Column2]],Table12[[Column2]:[Column54]],13,FALSE),"0")</f>
        <v>4</v>
      </c>
      <c r="O63" s="74">
        <f>IFERROR(VLOOKUP(Table1215[[#This Row],[Column2]],Table12[[Column2]:[Column54]],14,FALSE),"0")</f>
        <v>4</v>
      </c>
      <c r="P63" s="74">
        <f>IFERROR(VLOOKUP(Table1215[[#This Row],[Column2]],Table12[[Column2]:[Column54]],10,FALSE),"0")</f>
        <v>0</v>
      </c>
      <c r="Q63" s="74">
        <f>IFERROR(VLOOKUP(Table1215[[#This Row],[Column2]],Table12[[Column2]:[Column54]],16,FALSE),"0")</f>
        <v>4</v>
      </c>
      <c r="R63" s="80">
        <f>AVERAGE(Table1215[[#This Row],[Column14]],Table1215[[#This Row],[Column15]],Table1215[[#This Row],[Column17]])</f>
        <v>4</v>
      </c>
      <c r="S63" s="74">
        <f>IFERROR(VLOOKUP(Table1215[[#This Row],[Column2]],Table12[[Column2]:[Column54]],18,FALSE),"0")</f>
        <v>0</v>
      </c>
      <c r="T63" s="74">
        <f>IFERROR(VLOOKUP(Table1215[[#This Row],[Column2]],Table12[[Column2]:[Column54]],19,FALSE),"0")</f>
        <v>0</v>
      </c>
      <c r="U63" s="74">
        <f>IFERROR(VLOOKUP(Table1215[[#This Row],[Column2]],Table12[[Column2]:[Column54]],20,FALSE),"0")</f>
        <v>0</v>
      </c>
      <c r="V63" s="74">
        <f>IFERROR(VLOOKUP(Table1215[[#This Row],[Column2]],Table12[[Column2]:[Column54]],21,FALSE),"0")</f>
        <v>0</v>
      </c>
      <c r="W63" s="74">
        <f>IFERROR(VLOOKUP(Table1215[[#This Row],[Column2]],Table12[[Column2]:[Column54]],22,FALSE),"0")</f>
        <v>0</v>
      </c>
      <c r="X63" s="80">
        <f>Table1215[[#This Row],[Column19]]</f>
        <v>0</v>
      </c>
      <c r="Y63" s="74">
        <f>IFERROR(VLOOKUP(Table1215[[#This Row],[Column2]],Table12[[Column2]:[Column54]],24,FALSE),"0")</f>
        <v>4</v>
      </c>
      <c r="Z63" s="74">
        <f>IFERROR(VLOOKUP(Table1215[[#This Row],[Column2]],Table12[[Column2]:[Column54]],25,FALSE),"0")</f>
        <v>0</v>
      </c>
      <c r="AA63" s="74">
        <f>IFERROR(VLOOKUP(Table1215[[#This Row],[Column2]],Table12[[Column2]:[Column54]],26,FALSE),"0")</f>
        <v>0</v>
      </c>
      <c r="AB63" s="74">
        <f>IFERROR(VLOOKUP(Table1215[[#This Row],[Column2]],Table12[[Column2]:[Column54]],27,FALSE),"0")</f>
        <v>0</v>
      </c>
      <c r="AC63" s="74">
        <f>IFERROR(VLOOKUP(Table1215[[#This Row],[Column2]],Table12[[Column2]:[Column54]],28,FALSE),"0")</f>
        <v>0</v>
      </c>
      <c r="AD63" s="80">
        <f>Table1215[[#This Row],[Column25]]</f>
        <v>4</v>
      </c>
      <c r="AE63" s="74">
        <f>IFERROR(VLOOKUP(Table1215[[#This Row],[Column2]],Table12[[Column2]:[Column54]],30,FALSE),"0")</f>
        <v>0</v>
      </c>
      <c r="AF63" s="74">
        <f>IFERROR(VLOOKUP(Table1215[[#This Row],[Column2]],Table12[[Column2]:[Column54]],31,FALSE),"0")</f>
        <v>0</v>
      </c>
      <c r="AG63" s="74">
        <f>IFERROR(VLOOKUP(Table1215[[#This Row],[Column2]],Table12[[Column2]:[Column54]],32,FALSE),"0")</f>
        <v>0</v>
      </c>
      <c r="AH63" s="74">
        <f>IFERROR(VLOOKUP(Table1215[[#This Row],[Column2]],Table12[[Column2]:[Column54]],33,FALSE),"0")</f>
        <v>0</v>
      </c>
      <c r="AI63" s="74">
        <f>IFERROR(VLOOKUP(Table1215[[#This Row],[Column2]],Table12[[Column2]:[Column54]],34,FALSE),"0")</f>
        <v>0</v>
      </c>
      <c r="AJ63" s="80">
        <f>AVERAGE(Table1215[[#This Row],[Column31]],Table1215[[#This Row],[Column32]],Table1215[[#This Row],[Column33]])</f>
        <v>0</v>
      </c>
      <c r="AK63" s="74">
        <f>IFERROR(VLOOKUP(Table1215[[#This Row],[Column2]],Table12[[Column2]:[Column54]],36,FALSE),"0")</f>
        <v>4</v>
      </c>
      <c r="AL63" s="74">
        <f>IFERROR(VLOOKUP(Table1215[[#This Row],[Column2]],Table12[[Column2]:[Column54]],37,FALSE),"0")</f>
        <v>4</v>
      </c>
      <c r="AM63" s="74">
        <f>IFERROR(VLOOKUP(Table1215[[#This Row],[Column2]],Table12[[Column2]:[Column54]],38,FALSE),"0")</f>
        <v>0</v>
      </c>
      <c r="AN63" s="74">
        <f>IFERROR(VLOOKUP(Table1215[[#This Row],[Column2]],Table12[[Column2]:[Column54]],39,FALSE),"0")</f>
        <v>4</v>
      </c>
      <c r="AO63" s="74">
        <f>IFERROR(VLOOKUP(Table1215[[#This Row],[Column2]],Table12[[Column2]:[Column54]],40,FALSE),"0")</f>
        <v>0</v>
      </c>
      <c r="AP63" s="80">
        <f>AVERAGE(Table1215[[#This Row],[Column37]],Table1215[[#This Row],[Column38]],Table1215[[#This Row],[Column40]])</f>
        <v>4</v>
      </c>
      <c r="AQ63" s="74">
        <f>IFERROR(VLOOKUP(Table1215[[#This Row],[Column2]],Table12[[Column2]:[Column54]],42,FALSE),"0")</f>
        <v>4</v>
      </c>
      <c r="AR63" s="74">
        <f>IFERROR(VLOOKUP(Table1215[[#This Row],[Column2]],Table12[[Column2]:[Column54]],43,FALSE),"0")</f>
        <v>0</v>
      </c>
      <c r="AS63" s="74">
        <f>IFERROR(VLOOKUP(Table1215[[#This Row],[Column2]],Table12[[Column2]:[Column54]],44,FALSE),"0")</f>
        <v>0</v>
      </c>
      <c r="AT63" s="74">
        <f>IFERROR(VLOOKUP(Table1215[[#This Row],[Column2]],Table12[[Column2]:[Column54]],45,FALSE),"0")</f>
        <v>0</v>
      </c>
      <c r="AU63" s="74">
        <f>IFERROR(VLOOKUP(Table1215[[#This Row],[Column2]],Table12[[Column2]:[Column54]],46,FALSE),"0")</f>
        <v>0</v>
      </c>
      <c r="AV63" s="80">
        <f>Table1215[[#This Row],[Column43]]</f>
        <v>4</v>
      </c>
      <c r="AW63" s="74">
        <f>IFERROR(VLOOKUP(Table1215[[#This Row],[Column2]],Table12[[Column2]:[Column54]],48,FALSE),"0")</f>
        <v>0</v>
      </c>
      <c r="AX63" s="74">
        <f>IFERROR(VLOOKUP(Table1215[[#This Row],[Column2]],Table12[[Column2]:[Column54]],49,FALSE),"0")</f>
        <v>0</v>
      </c>
      <c r="AY63" s="74">
        <f>IFERROR(VLOOKUP(Table1215[[#This Row],[Column2]],Table12[[Column2]:[Column54]],50,FALSE),"0")</f>
        <v>0</v>
      </c>
      <c r="AZ63" s="74">
        <f>IFERROR(VLOOKUP(Table1215[[#This Row],[Column2]],Table12[[Column2]:[Column54]],51,FALSE),"0")</f>
        <v>4</v>
      </c>
      <c r="BA63" s="74">
        <f>IFERROR(VLOOKUP(Table1215[[#This Row],[Column2]],Table12[[Column2]:[Column54]],52,FALSE),"0")</f>
        <v>4</v>
      </c>
      <c r="BB63" s="80">
        <f>AVERAGE(Table1215[[#This Row],[Column52]],Table1215[[#This Row],[Column53]])</f>
        <v>4</v>
      </c>
    </row>
    <row r="64" spans="1:54" ht="23.1" customHeight="1" x14ac:dyDescent="0.3">
      <c r="A64" s="99">
        <v>61</v>
      </c>
      <c r="B64" s="76" t="s">
        <v>128</v>
      </c>
      <c r="C64" s="77" t="s">
        <v>129</v>
      </c>
      <c r="D64" s="76" t="s">
        <v>450</v>
      </c>
      <c r="E64" s="76" t="s">
        <v>35</v>
      </c>
      <c r="F64" s="76" t="str">
        <f>REPT(CHAR(160),10)&amp;Working!$E65</f>
        <v>          A</v>
      </c>
      <c r="G64" s="78">
        <f>IFERROR(VLOOKUP(Table1215[[#This Row],[Column2]],Table12[[Column2]:[Column54]],6,FALSE),"0")</f>
        <v>0</v>
      </c>
      <c r="H64" s="78">
        <f>IFERROR(VLOOKUP(Table1215[[#This Row],[Column2]],Table12[[Column2]:[Column54]],7,FALSE),"0")</f>
        <v>0</v>
      </c>
      <c r="I64" s="78">
        <f>IFERROR(VLOOKUP(Table1215[[#This Row],[Column2]],Table12[[Column2]:[Column54]],8,FALSE),"0")</f>
        <v>4</v>
      </c>
      <c r="J64" s="78">
        <f>IFERROR(VLOOKUP(Table1215[[#This Row],[Column2]],Table12[[Column2]:[Column54]],9,FALSE),"0")</f>
        <v>0</v>
      </c>
      <c r="K64" s="78">
        <f>IFERROR(VLOOKUP(Table1215[[#This Row],[Column2]],Table12[[Column2]:[Column54]],10,FALSE),"0")</f>
        <v>0</v>
      </c>
      <c r="L64" s="80">
        <f>Table1215[[#This Row],[Column9]]</f>
        <v>4</v>
      </c>
      <c r="M64" s="78">
        <f>IFERROR(VLOOKUP(Table1215[[#This Row],[Column2]],Table12[[Column2]:[Column54]],12,FALSE),"0")</f>
        <v>0</v>
      </c>
      <c r="N64" s="78">
        <f>IFERROR(VLOOKUP(Table1215[[#This Row],[Column2]],Table12[[Column2]:[Column54]],13,FALSE),"0")</f>
        <v>3</v>
      </c>
      <c r="O64" s="78">
        <f>IFERROR(VLOOKUP(Table1215[[#This Row],[Column2]],Table12[[Column2]:[Column54]],14,FALSE),"0")</f>
        <v>4</v>
      </c>
      <c r="P64" s="78">
        <f>IFERROR(VLOOKUP(Table1215[[#This Row],[Column2]],Table12[[Column2]:[Column54]],10,FALSE),"0")</f>
        <v>0</v>
      </c>
      <c r="Q64" s="78">
        <f>IFERROR(VLOOKUP(Table1215[[#This Row],[Column2]],Table12[[Column2]:[Column54]],16,FALSE),"0")</f>
        <v>4</v>
      </c>
      <c r="R64" s="80">
        <f>AVERAGE(Table1215[[#This Row],[Column14]],Table1215[[#This Row],[Column15]],Table1215[[#This Row],[Column17]])</f>
        <v>3.6666666666666665</v>
      </c>
      <c r="S64" s="78">
        <f>IFERROR(VLOOKUP(Table1215[[#This Row],[Column2]],Table12[[Column2]:[Column54]],18,FALSE),"0")</f>
        <v>0</v>
      </c>
      <c r="T64" s="78">
        <f>IFERROR(VLOOKUP(Table1215[[#This Row],[Column2]],Table12[[Column2]:[Column54]],19,FALSE),"0")</f>
        <v>0</v>
      </c>
      <c r="U64" s="78">
        <f>IFERROR(VLOOKUP(Table1215[[#This Row],[Column2]],Table12[[Column2]:[Column54]],20,FALSE),"0")</f>
        <v>0</v>
      </c>
      <c r="V64" s="78">
        <f>IFERROR(VLOOKUP(Table1215[[#This Row],[Column2]],Table12[[Column2]:[Column54]],21,FALSE),"0")</f>
        <v>0</v>
      </c>
      <c r="W64" s="78">
        <f>IFERROR(VLOOKUP(Table1215[[#This Row],[Column2]],Table12[[Column2]:[Column54]],22,FALSE),"0")</f>
        <v>0</v>
      </c>
      <c r="X64" s="80">
        <f>Table1215[[#This Row],[Column19]]</f>
        <v>0</v>
      </c>
      <c r="Y64" s="78">
        <f>IFERROR(VLOOKUP(Table1215[[#This Row],[Column2]],Table12[[Column2]:[Column54]],24,FALSE),"0")</f>
        <v>4</v>
      </c>
      <c r="Z64" s="78">
        <f>IFERROR(VLOOKUP(Table1215[[#This Row],[Column2]],Table12[[Column2]:[Column54]],25,FALSE),"0")</f>
        <v>0</v>
      </c>
      <c r="AA64" s="78">
        <f>IFERROR(VLOOKUP(Table1215[[#This Row],[Column2]],Table12[[Column2]:[Column54]],26,FALSE),"0")</f>
        <v>0</v>
      </c>
      <c r="AB64" s="78">
        <f>IFERROR(VLOOKUP(Table1215[[#This Row],[Column2]],Table12[[Column2]:[Column54]],27,FALSE),"0")</f>
        <v>0</v>
      </c>
      <c r="AC64" s="78">
        <f>IFERROR(VLOOKUP(Table1215[[#This Row],[Column2]],Table12[[Column2]:[Column54]],28,FALSE),"0")</f>
        <v>0</v>
      </c>
      <c r="AD64" s="80">
        <f>Table1215[[#This Row],[Column25]]</f>
        <v>4</v>
      </c>
      <c r="AE64" s="78">
        <f>IFERROR(VLOOKUP(Table1215[[#This Row],[Column2]],Table12[[Column2]:[Column54]],30,FALSE),"0")</f>
        <v>0</v>
      </c>
      <c r="AF64" s="78">
        <f>IFERROR(VLOOKUP(Table1215[[#This Row],[Column2]],Table12[[Column2]:[Column54]],31,FALSE),"0")</f>
        <v>0</v>
      </c>
      <c r="AG64" s="78">
        <f>IFERROR(VLOOKUP(Table1215[[#This Row],[Column2]],Table12[[Column2]:[Column54]],32,FALSE),"0")</f>
        <v>0</v>
      </c>
      <c r="AH64" s="78">
        <f>IFERROR(VLOOKUP(Table1215[[#This Row],[Column2]],Table12[[Column2]:[Column54]],33,FALSE),"0")</f>
        <v>0</v>
      </c>
      <c r="AI64" s="78">
        <f>IFERROR(VLOOKUP(Table1215[[#This Row],[Column2]],Table12[[Column2]:[Column54]],34,FALSE),"0")</f>
        <v>0</v>
      </c>
      <c r="AJ64" s="80">
        <f>AVERAGE(Table1215[[#This Row],[Column31]],Table1215[[#This Row],[Column32]],Table1215[[#This Row],[Column33]])</f>
        <v>0</v>
      </c>
      <c r="AK64" s="78">
        <f>IFERROR(VLOOKUP(Table1215[[#This Row],[Column2]],Table12[[Column2]:[Column54]],36,FALSE),"0")</f>
        <v>3</v>
      </c>
      <c r="AL64" s="78">
        <f>IFERROR(VLOOKUP(Table1215[[#This Row],[Column2]],Table12[[Column2]:[Column54]],37,FALSE),"0")</f>
        <v>4</v>
      </c>
      <c r="AM64" s="78">
        <f>IFERROR(VLOOKUP(Table1215[[#This Row],[Column2]],Table12[[Column2]:[Column54]],38,FALSE),"0")</f>
        <v>0</v>
      </c>
      <c r="AN64" s="78">
        <f>IFERROR(VLOOKUP(Table1215[[#This Row],[Column2]],Table12[[Column2]:[Column54]],39,FALSE),"0")</f>
        <v>4</v>
      </c>
      <c r="AO64" s="78">
        <f>IFERROR(VLOOKUP(Table1215[[#This Row],[Column2]],Table12[[Column2]:[Column54]],40,FALSE),"0")</f>
        <v>0</v>
      </c>
      <c r="AP64" s="80">
        <f>AVERAGE(Table1215[[#This Row],[Column37]],Table1215[[#This Row],[Column38]],Table1215[[#This Row],[Column40]])</f>
        <v>3.6666666666666665</v>
      </c>
      <c r="AQ64" s="78">
        <f>IFERROR(VLOOKUP(Table1215[[#This Row],[Column2]],Table12[[Column2]:[Column54]],42,FALSE),"0")</f>
        <v>4</v>
      </c>
      <c r="AR64" s="78">
        <f>IFERROR(VLOOKUP(Table1215[[#This Row],[Column2]],Table12[[Column2]:[Column54]],43,FALSE),"0")</f>
        <v>0</v>
      </c>
      <c r="AS64" s="78">
        <f>IFERROR(VLOOKUP(Table1215[[#This Row],[Column2]],Table12[[Column2]:[Column54]],44,FALSE),"0")</f>
        <v>0</v>
      </c>
      <c r="AT64" s="78">
        <f>IFERROR(VLOOKUP(Table1215[[#This Row],[Column2]],Table12[[Column2]:[Column54]],45,FALSE),"0")</f>
        <v>0</v>
      </c>
      <c r="AU64" s="78">
        <f>IFERROR(VLOOKUP(Table1215[[#This Row],[Column2]],Table12[[Column2]:[Column54]],46,FALSE),"0")</f>
        <v>0</v>
      </c>
      <c r="AV64" s="80">
        <f>Table1215[[#This Row],[Column43]]</f>
        <v>4</v>
      </c>
      <c r="AW64" s="78">
        <f>IFERROR(VLOOKUP(Table1215[[#This Row],[Column2]],Table12[[Column2]:[Column54]],48,FALSE),"0")</f>
        <v>0</v>
      </c>
      <c r="AX64" s="78">
        <f>IFERROR(VLOOKUP(Table1215[[#This Row],[Column2]],Table12[[Column2]:[Column54]],49,FALSE),"0")</f>
        <v>0</v>
      </c>
      <c r="AY64" s="78">
        <f>IFERROR(VLOOKUP(Table1215[[#This Row],[Column2]],Table12[[Column2]:[Column54]],50,FALSE),"0")</f>
        <v>0</v>
      </c>
      <c r="AZ64" s="78">
        <f>IFERROR(VLOOKUP(Table1215[[#This Row],[Column2]],Table12[[Column2]:[Column54]],51,FALSE),"0")</f>
        <v>4</v>
      </c>
      <c r="BA64" s="78">
        <f>IFERROR(VLOOKUP(Table1215[[#This Row],[Column2]],Table12[[Column2]:[Column54]],52,FALSE),"0")</f>
        <v>4</v>
      </c>
      <c r="BB64" s="80">
        <f>AVERAGE(Table1215[[#This Row],[Column52]],Table1215[[#This Row],[Column53]])</f>
        <v>4</v>
      </c>
    </row>
    <row r="65" spans="1:54" ht="23.1" customHeight="1" x14ac:dyDescent="0.3">
      <c r="A65" s="100">
        <v>62</v>
      </c>
      <c r="B65" s="83" t="s">
        <v>275</v>
      </c>
      <c r="C65" s="84" t="s">
        <v>276</v>
      </c>
      <c r="D65" s="83" t="s">
        <v>542</v>
      </c>
      <c r="E65" s="83" t="s">
        <v>161</v>
      </c>
      <c r="F65" s="83" t="str">
        <f>REPT(CHAR(160),10)&amp;Working!$E66</f>
        <v>          B</v>
      </c>
      <c r="G65" s="74">
        <f>IFERROR(VLOOKUP(Table1215[[#This Row],[Column2]],Table12[[Column2]:[Column54]],6,FALSE),"0")</f>
        <v>0</v>
      </c>
      <c r="H65" s="74">
        <f>IFERROR(VLOOKUP(Table1215[[#This Row],[Column2]],Table12[[Column2]:[Column54]],7,FALSE),"0")</f>
        <v>0</v>
      </c>
      <c r="I65" s="74">
        <f>IFERROR(VLOOKUP(Table1215[[#This Row],[Column2]],Table12[[Column2]:[Column54]],8,FALSE),"0")</f>
        <v>3</v>
      </c>
      <c r="J65" s="74">
        <f>IFERROR(VLOOKUP(Table1215[[#This Row],[Column2]],Table12[[Column2]:[Column54]],9,FALSE),"0")</f>
        <v>0</v>
      </c>
      <c r="K65" s="74">
        <f>IFERROR(VLOOKUP(Table1215[[#This Row],[Column2]],Table12[[Column2]:[Column54]],10,FALSE),"0")</f>
        <v>0</v>
      </c>
      <c r="L65" s="80">
        <f>Table1215[[#This Row],[Column9]]</f>
        <v>3</v>
      </c>
      <c r="M65" s="74">
        <f>IFERROR(VLOOKUP(Table1215[[#This Row],[Column2]],Table12[[Column2]:[Column54]],12,FALSE),"0")</f>
        <v>0</v>
      </c>
      <c r="N65" s="74">
        <f>IFERROR(VLOOKUP(Table1215[[#This Row],[Column2]],Table12[[Column2]:[Column54]],13,FALSE),"0")</f>
        <v>3</v>
      </c>
      <c r="O65" s="74">
        <f>IFERROR(VLOOKUP(Table1215[[#This Row],[Column2]],Table12[[Column2]:[Column54]],14,FALSE),"0")</f>
        <v>3</v>
      </c>
      <c r="P65" s="74">
        <f>IFERROR(VLOOKUP(Table1215[[#This Row],[Column2]],Table12[[Column2]:[Column54]],10,FALSE),"0")</f>
        <v>0</v>
      </c>
      <c r="Q65" s="74">
        <f>IFERROR(VLOOKUP(Table1215[[#This Row],[Column2]],Table12[[Column2]:[Column54]],16,FALSE),"0")</f>
        <v>3</v>
      </c>
      <c r="R65" s="80">
        <f>AVERAGE(Table1215[[#This Row],[Column14]],Table1215[[#This Row],[Column15]],Table1215[[#This Row],[Column17]])</f>
        <v>3</v>
      </c>
      <c r="S65" s="74">
        <f>IFERROR(VLOOKUP(Table1215[[#This Row],[Column2]],Table12[[Column2]:[Column54]],18,FALSE),"0")</f>
        <v>0</v>
      </c>
      <c r="T65" s="74">
        <f>IFERROR(VLOOKUP(Table1215[[#This Row],[Column2]],Table12[[Column2]:[Column54]],19,FALSE),"0")</f>
        <v>0</v>
      </c>
      <c r="U65" s="74">
        <f>IFERROR(VLOOKUP(Table1215[[#This Row],[Column2]],Table12[[Column2]:[Column54]],20,FALSE),"0")</f>
        <v>0</v>
      </c>
      <c r="V65" s="74">
        <f>IFERROR(VLOOKUP(Table1215[[#This Row],[Column2]],Table12[[Column2]:[Column54]],21,FALSE),"0")</f>
        <v>0</v>
      </c>
      <c r="W65" s="74">
        <f>IFERROR(VLOOKUP(Table1215[[#This Row],[Column2]],Table12[[Column2]:[Column54]],22,FALSE),"0")</f>
        <v>0</v>
      </c>
      <c r="X65" s="80">
        <f>Table1215[[#This Row],[Column19]]</f>
        <v>0</v>
      </c>
      <c r="Y65" s="74">
        <f>IFERROR(VLOOKUP(Table1215[[#This Row],[Column2]],Table12[[Column2]:[Column54]],24,FALSE),"0")</f>
        <v>3</v>
      </c>
      <c r="Z65" s="74">
        <f>IFERROR(VLOOKUP(Table1215[[#This Row],[Column2]],Table12[[Column2]:[Column54]],25,FALSE),"0")</f>
        <v>0</v>
      </c>
      <c r="AA65" s="74">
        <f>IFERROR(VLOOKUP(Table1215[[#This Row],[Column2]],Table12[[Column2]:[Column54]],26,FALSE),"0")</f>
        <v>0</v>
      </c>
      <c r="AB65" s="74">
        <f>IFERROR(VLOOKUP(Table1215[[#This Row],[Column2]],Table12[[Column2]:[Column54]],27,FALSE),"0")</f>
        <v>0</v>
      </c>
      <c r="AC65" s="74">
        <f>IFERROR(VLOOKUP(Table1215[[#This Row],[Column2]],Table12[[Column2]:[Column54]],28,FALSE),"0")</f>
        <v>0</v>
      </c>
      <c r="AD65" s="80">
        <f>Table1215[[#This Row],[Column25]]</f>
        <v>3</v>
      </c>
      <c r="AE65" s="74">
        <f>IFERROR(VLOOKUP(Table1215[[#This Row],[Column2]],Table12[[Column2]:[Column54]],30,FALSE),"0")</f>
        <v>0</v>
      </c>
      <c r="AF65" s="74">
        <f>IFERROR(VLOOKUP(Table1215[[#This Row],[Column2]],Table12[[Column2]:[Column54]],31,FALSE),"0")</f>
        <v>0</v>
      </c>
      <c r="AG65" s="74">
        <f>IFERROR(VLOOKUP(Table1215[[#This Row],[Column2]],Table12[[Column2]:[Column54]],32,FALSE),"0")</f>
        <v>0</v>
      </c>
      <c r="AH65" s="74">
        <f>IFERROR(VLOOKUP(Table1215[[#This Row],[Column2]],Table12[[Column2]:[Column54]],33,FALSE),"0")</f>
        <v>0</v>
      </c>
      <c r="AI65" s="74">
        <f>IFERROR(VLOOKUP(Table1215[[#This Row],[Column2]],Table12[[Column2]:[Column54]],34,FALSE),"0")</f>
        <v>0</v>
      </c>
      <c r="AJ65" s="80">
        <f>AVERAGE(Table1215[[#This Row],[Column31]],Table1215[[#This Row],[Column32]],Table1215[[#This Row],[Column33]])</f>
        <v>0</v>
      </c>
      <c r="AK65" s="74">
        <f>IFERROR(VLOOKUP(Table1215[[#This Row],[Column2]],Table12[[Column2]:[Column54]],36,FALSE),"0")</f>
        <v>3</v>
      </c>
      <c r="AL65" s="74">
        <f>IFERROR(VLOOKUP(Table1215[[#This Row],[Column2]],Table12[[Column2]:[Column54]],37,FALSE),"0")</f>
        <v>4</v>
      </c>
      <c r="AM65" s="74">
        <f>IFERROR(VLOOKUP(Table1215[[#This Row],[Column2]],Table12[[Column2]:[Column54]],38,FALSE),"0")</f>
        <v>0</v>
      </c>
      <c r="AN65" s="74">
        <f>IFERROR(VLOOKUP(Table1215[[#This Row],[Column2]],Table12[[Column2]:[Column54]],39,FALSE),"0")</f>
        <v>4</v>
      </c>
      <c r="AO65" s="74">
        <f>IFERROR(VLOOKUP(Table1215[[#This Row],[Column2]],Table12[[Column2]:[Column54]],40,FALSE),"0")</f>
        <v>0</v>
      </c>
      <c r="AP65" s="80">
        <f>AVERAGE(Table1215[[#This Row],[Column37]],Table1215[[#This Row],[Column38]],Table1215[[#This Row],[Column40]])</f>
        <v>3.6666666666666665</v>
      </c>
      <c r="AQ65" s="74">
        <f>IFERROR(VLOOKUP(Table1215[[#This Row],[Column2]],Table12[[Column2]:[Column54]],42,FALSE),"0")</f>
        <v>3</v>
      </c>
      <c r="AR65" s="74">
        <f>IFERROR(VLOOKUP(Table1215[[#This Row],[Column2]],Table12[[Column2]:[Column54]],43,FALSE),"0")</f>
        <v>0</v>
      </c>
      <c r="AS65" s="74">
        <f>IFERROR(VLOOKUP(Table1215[[#This Row],[Column2]],Table12[[Column2]:[Column54]],44,FALSE),"0")</f>
        <v>0</v>
      </c>
      <c r="AT65" s="74">
        <f>IFERROR(VLOOKUP(Table1215[[#This Row],[Column2]],Table12[[Column2]:[Column54]],45,FALSE),"0")</f>
        <v>0</v>
      </c>
      <c r="AU65" s="74">
        <f>IFERROR(VLOOKUP(Table1215[[#This Row],[Column2]],Table12[[Column2]:[Column54]],46,FALSE),"0")</f>
        <v>0</v>
      </c>
      <c r="AV65" s="80">
        <f>Table1215[[#This Row],[Column43]]</f>
        <v>3</v>
      </c>
      <c r="AW65" s="74">
        <f>IFERROR(VLOOKUP(Table1215[[#This Row],[Column2]],Table12[[Column2]:[Column54]],48,FALSE),"0")</f>
        <v>0</v>
      </c>
      <c r="AX65" s="74">
        <f>IFERROR(VLOOKUP(Table1215[[#This Row],[Column2]],Table12[[Column2]:[Column54]],49,FALSE),"0")</f>
        <v>0</v>
      </c>
      <c r="AY65" s="74">
        <f>IFERROR(VLOOKUP(Table1215[[#This Row],[Column2]],Table12[[Column2]:[Column54]],50,FALSE),"0")</f>
        <v>0</v>
      </c>
      <c r="AZ65" s="74">
        <f>IFERROR(VLOOKUP(Table1215[[#This Row],[Column2]],Table12[[Column2]:[Column54]],51,FALSE),"0")</f>
        <v>3</v>
      </c>
      <c r="BA65" s="74">
        <f>IFERROR(VLOOKUP(Table1215[[#This Row],[Column2]],Table12[[Column2]:[Column54]],52,FALSE),"0")</f>
        <v>4</v>
      </c>
      <c r="BB65" s="80">
        <f>AVERAGE(Table1215[[#This Row],[Column52]],Table1215[[#This Row],[Column53]])</f>
        <v>3.5</v>
      </c>
    </row>
    <row r="66" spans="1:54" ht="23.1" customHeight="1" x14ac:dyDescent="0.3">
      <c r="A66" s="99">
        <v>63</v>
      </c>
      <c r="B66" s="76" t="s">
        <v>60</v>
      </c>
      <c r="C66" s="77" t="s">
        <v>61</v>
      </c>
      <c r="D66" s="76" t="s">
        <v>450</v>
      </c>
      <c r="E66" s="76" t="s">
        <v>35</v>
      </c>
      <c r="F66" s="76" t="str">
        <f>REPT(CHAR(160),10)&amp;Working!$E67</f>
        <v>          A</v>
      </c>
      <c r="G66" s="78">
        <f>IFERROR(VLOOKUP(Table1215[[#This Row],[Column2]],Table12[[Column2]:[Column54]],6,FALSE),"0")</f>
        <v>0</v>
      </c>
      <c r="H66" s="78">
        <f>IFERROR(VLOOKUP(Table1215[[#This Row],[Column2]],Table12[[Column2]:[Column54]],7,FALSE),"0")</f>
        <v>0</v>
      </c>
      <c r="I66" s="78">
        <f>IFERROR(VLOOKUP(Table1215[[#This Row],[Column2]],Table12[[Column2]:[Column54]],8,FALSE),"0")</f>
        <v>3</v>
      </c>
      <c r="J66" s="78">
        <f>IFERROR(VLOOKUP(Table1215[[#This Row],[Column2]],Table12[[Column2]:[Column54]],9,FALSE),"0")</f>
        <v>0</v>
      </c>
      <c r="K66" s="78">
        <f>IFERROR(VLOOKUP(Table1215[[#This Row],[Column2]],Table12[[Column2]:[Column54]],10,FALSE),"0")</f>
        <v>0</v>
      </c>
      <c r="L66" s="80">
        <f>Table1215[[#This Row],[Column9]]</f>
        <v>3</v>
      </c>
      <c r="M66" s="78">
        <f>IFERROR(VLOOKUP(Table1215[[#This Row],[Column2]],Table12[[Column2]:[Column54]],12,FALSE),"0")</f>
        <v>0</v>
      </c>
      <c r="N66" s="78">
        <f>IFERROR(VLOOKUP(Table1215[[#This Row],[Column2]],Table12[[Column2]:[Column54]],13,FALSE),"0")</f>
        <v>3</v>
      </c>
      <c r="O66" s="78">
        <f>IFERROR(VLOOKUP(Table1215[[#This Row],[Column2]],Table12[[Column2]:[Column54]],14,FALSE),"0")</f>
        <v>3</v>
      </c>
      <c r="P66" s="78">
        <f>IFERROR(VLOOKUP(Table1215[[#This Row],[Column2]],Table12[[Column2]:[Column54]],10,FALSE),"0")</f>
        <v>0</v>
      </c>
      <c r="Q66" s="78">
        <f>IFERROR(VLOOKUP(Table1215[[#This Row],[Column2]],Table12[[Column2]:[Column54]],16,FALSE),"0")</f>
        <v>3</v>
      </c>
      <c r="R66" s="80">
        <f>AVERAGE(Table1215[[#This Row],[Column14]],Table1215[[#This Row],[Column15]],Table1215[[#This Row],[Column17]])</f>
        <v>3</v>
      </c>
      <c r="S66" s="78">
        <f>IFERROR(VLOOKUP(Table1215[[#This Row],[Column2]],Table12[[Column2]:[Column54]],18,FALSE),"0")</f>
        <v>0</v>
      </c>
      <c r="T66" s="78">
        <f>IFERROR(VLOOKUP(Table1215[[#This Row],[Column2]],Table12[[Column2]:[Column54]],19,FALSE),"0")</f>
        <v>0</v>
      </c>
      <c r="U66" s="78">
        <f>IFERROR(VLOOKUP(Table1215[[#This Row],[Column2]],Table12[[Column2]:[Column54]],20,FALSE),"0")</f>
        <v>0</v>
      </c>
      <c r="V66" s="78">
        <f>IFERROR(VLOOKUP(Table1215[[#This Row],[Column2]],Table12[[Column2]:[Column54]],21,FALSE),"0")</f>
        <v>0</v>
      </c>
      <c r="W66" s="78">
        <f>IFERROR(VLOOKUP(Table1215[[#This Row],[Column2]],Table12[[Column2]:[Column54]],22,FALSE),"0")</f>
        <v>0</v>
      </c>
      <c r="X66" s="80">
        <f>Table1215[[#This Row],[Column19]]</f>
        <v>0</v>
      </c>
      <c r="Y66" s="78">
        <f>IFERROR(VLOOKUP(Table1215[[#This Row],[Column2]],Table12[[Column2]:[Column54]],24,FALSE),"0")</f>
        <v>4</v>
      </c>
      <c r="Z66" s="78">
        <f>IFERROR(VLOOKUP(Table1215[[#This Row],[Column2]],Table12[[Column2]:[Column54]],25,FALSE),"0")</f>
        <v>0</v>
      </c>
      <c r="AA66" s="78">
        <f>IFERROR(VLOOKUP(Table1215[[#This Row],[Column2]],Table12[[Column2]:[Column54]],26,FALSE),"0")</f>
        <v>0</v>
      </c>
      <c r="AB66" s="78">
        <f>IFERROR(VLOOKUP(Table1215[[#This Row],[Column2]],Table12[[Column2]:[Column54]],27,FALSE),"0")</f>
        <v>0</v>
      </c>
      <c r="AC66" s="78">
        <f>IFERROR(VLOOKUP(Table1215[[#This Row],[Column2]],Table12[[Column2]:[Column54]],28,FALSE),"0")</f>
        <v>0</v>
      </c>
      <c r="AD66" s="80">
        <f>Table1215[[#This Row],[Column25]]</f>
        <v>4</v>
      </c>
      <c r="AE66" s="78">
        <f>IFERROR(VLOOKUP(Table1215[[#This Row],[Column2]],Table12[[Column2]:[Column54]],30,FALSE),"0")</f>
        <v>0</v>
      </c>
      <c r="AF66" s="78">
        <f>IFERROR(VLOOKUP(Table1215[[#This Row],[Column2]],Table12[[Column2]:[Column54]],31,FALSE),"0")</f>
        <v>0</v>
      </c>
      <c r="AG66" s="78">
        <f>IFERROR(VLOOKUP(Table1215[[#This Row],[Column2]],Table12[[Column2]:[Column54]],32,FALSE),"0")</f>
        <v>0</v>
      </c>
      <c r="AH66" s="78">
        <f>IFERROR(VLOOKUP(Table1215[[#This Row],[Column2]],Table12[[Column2]:[Column54]],33,FALSE),"0")</f>
        <v>0</v>
      </c>
      <c r="AI66" s="78">
        <f>IFERROR(VLOOKUP(Table1215[[#This Row],[Column2]],Table12[[Column2]:[Column54]],34,FALSE),"0")</f>
        <v>0</v>
      </c>
      <c r="AJ66" s="80">
        <f>AVERAGE(Table1215[[#This Row],[Column31]],Table1215[[#This Row],[Column32]],Table1215[[#This Row],[Column33]])</f>
        <v>0</v>
      </c>
      <c r="AK66" s="78">
        <f>IFERROR(VLOOKUP(Table1215[[#This Row],[Column2]],Table12[[Column2]:[Column54]],36,FALSE),"0")</f>
        <v>3</v>
      </c>
      <c r="AL66" s="78">
        <f>IFERROR(VLOOKUP(Table1215[[#This Row],[Column2]],Table12[[Column2]:[Column54]],37,FALSE),"0")</f>
        <v>4</v>
      </c>
      <c r="AM66" s="78">
        <f>IFERROR(VLOOKUP(Table1215[[#This Row],[Column2]],Table12[[Column2]:[Column54]],38,FALSE),"0")</f>
        <v>0</v>
      </c>
      <c r="AN66" s="78">
        <f>IFERROR(VLOOKUP(Table1215[[#This Row],[Column2]],Table12[[Column2]:[Column54]],39,FALSE),"0")</f>
        <v>3</v>
      </c>
      <c r="AO66" s="78">
        <f>IFERROR(VLOOKUP(Table1215[[#This Row],[Column2]],Table12[[Column2]:[Column54]],40,FALSE),"0")</f>
        <v>0</v>
      </c>
      <c r="AP66" s="80">
        <f>AVERAGE(Table1215[[#This Row],[Column37]],Table1215[[#This Row],[Column38]],Table1215[[#This Row],[Column40]])</f>
        <v>3.3333333333333335</v>
      </c>
      <c r="AQ66" s="78">
        <f>IFERROR(VLOOKUP(Table1215[[#This Row],[Column2]],Table12[[Column2]:[Column54]],42,FALSE),"0")</f>
        <v>3</v>
      </c>
      <c r="AR66" s="78">
        <f>IFERROR(VLOOKUP(Table1215[[#This Row],[Column2]],Table12[[Column2]:[Column54]],43,FALSE),"0")</f>
        <v>0</v>
      </c>
      <c r="AS66" s="78">
        <f>IFERROR(VLOOKUP(Table1215[[#This Row],[Column2]],Table12[[Column2]:[Column54]],44,FALSE),"0")</f>
        <v>0</v>
      </c>
      <c r="AT66" s="78">
        <f>IFERROR(VLOOKUP(Table1215[[#This Row],[Column2]],Table12[[Column2]:[Column54]],45,FALSE),"0")</f>
        <v>0</v>
      </c>
      <c r="AU66" s="78">
        <f>IFERROR(VLOOKUP(Table1215[[#This Row],[Column2]],Table12[[Column2]:[Column54]],46,FALSE),"0")</f>
        <v>0</v>
      </c>
      <c r="AV66" s="80">
        <f>Table1215[[#This Row],[Column43]]</f>
        <v>3</v>
      </c>
      <c r="AW66" s="78">
        <f>IFERROR(VLOOKUP(Table1215[[#This Row],[Column2]],Table12[[Column2]:[Column54]],48,FALSE),"0")</f>
        <v>0</v>
      </c>
      <c r="AX66" s="78">
        <f>IFERROR(VLOOKUP(Table1215[[#This Row],[Column2]],Table12[[Column2]:[Column54]],49,FALSE),"0")</f>
        <v>0</v>
      </c>
      <c r="AY66" s="78">
        <f>IFERROR(VLOOKUP(Table1215[[#This Row],[Column2]],Table12[[Column2]:[Column54]],50,FALSE),"0")</f>
        <v>0</v>
      </c>
      <c r="AZ66" s="78">
        <f>IFERROR(VLOOKUP(Table1215[[#This Row],[Column2]],Table12[[Column2]:[Column54]],51,FALSE),"0")</f>
        <v>3</v>
      </c>
      <c r="BA66" s="78">
        <f>IFERROR(VLOOKUP(Table1215[[#This Row],[Column2]],Table12[[Column2]:[Column54]],52,FALSE),"0")</f>
        <v>3</v>
      </c>
      <c r="BB66" s="80">
        <f>AVERAGE(Table1215[[#This Row],[Column52]],Table1215[[#This Row],[Column53]])</f>
        <v>3</v>
      </c>
    </row>
    <row r="67" spans="1:54" ht="23.1" customHeight="1" x14ac:dyDescent="0.3">
      <c r="A67" s="100">
        <v>64</v>
      </c>
      <c r="B67" s="83" t="s">
        <v>318</v>
      </c>
      <c r="C67" s="84" t="s">
        <v>319</v>
      </c>
      <c r="D67" s="83" t="s">
        <v>450</v>
      </c>
      <c r="E67" s="83" t="s">
        <v>493</v>
      </c>
      <c r="F67" s="83" t="str">
        <f>REPT(CHAR(160),10)&amp;Working!$E68</f>
        <v>          C</v>
      </c>
      <c r="G67" s="74">
        <f>IFERROR(VLOOKUP(Table1215[[#This Row],[Column2]],Table12[[Column2]:[Column54]],6,FALSE),"0")</f>
        <v>0</v>
      </c>
      <c r="H67" s="74">
        <f>IFERROR(VLOOKUP(Table1215[[#This Row],[Column2]],Table12[[Column2]:[Column54]],7,FALSE),"0")</f>
        <v>0</v>
      </c>
      <c r="I67" s="74">
        <f>IFERROR(VLOOKUP(Table1215[[#This Row],[Column2]],Table12[[Column2]:[Column54]],8,FALSE),"0")</f>
        <v>0</v>
      </c>
      <c r="J67" s="74">
        <f>IFERROR(VLOOKUP(Table1215[[#This Row],[Column2]],Table12[[Column2]:[Column54]],9,FALSE),"0")</f>
        <v>0</v>
      </c>
      <c r="K67" s="74">
        <f>IFERROR(VLOOKUP(Table1215[[#This Row],[Column2]],Table12[[Column2]:[Column54]],10,FALSE),"0")</f>
        <v>0</v>
      </c>
      <c r="L67" s="80">
        <f>Table1215[[#This Row],[Column9]]</f>
        <v>0</v>
      </c>
      <c r="M67" s="74">
        <f>IFERROR(VLOOKUP(Table1215[[#This Row],[Column2]],Table12[[Column2]:[Column54]],12,FALSE),"0")</f>
        <v>0</v>
      </c>
      <c r="N67" s="74">
        <f>IFERROR(VLOOKUP(Table1215[[#This Row],[Column2]],Table12[[Column2]:[Column54]],13,FALSE),"0")</f>
        <v>0</v>
      </c>
      <c r="O67" s="74">
        <f>IFERROR(VLOOKUP(Table1215[[#This Row],[Column2]],Table12[[Column2]:[Column54]],14,FALSE),"0")</f>
        <v>0</v>
      </c>
      <c r="P67" s="74">
        <f>IFERROR(VLOOKUP(Table1215[[#This Row],[Column2]],Table12[[Column2]:[Column54]],10,FALSE),"0")</f>
        <v>0</v>
      </c>
      <c r="Q67" s="74">
        <f>IFERROR(VLOOKUP(Table1215[[#This Row],[Column2]],Table12[[Column2]:[Column54]],16,FALSE),"0")</f>
        <v>0</v>
      </c>
      <c r="R67" s="80">
        <f>AVERAGE(Table1215[[#This Row],[Column14]],Table1215[[#This Row],[Column15]],Table1215[[#This Row],[Column17]])</f>
        <v>0</v>
      </c>
      <c r="S67" s="74">
        <f>IFERROR(VLOOKUP(Table1215[[#This Row],[Column2]],Table12[[Column2]:[Column54]],18,FALSE),"0")</f>
        <v>0</v>
      </c>
      <c r="T67" s="74">
        <f>IFERROR(VLOOKUP(Table1215[[#This Row],[Column2]],Table12[[Column2]:[Column54]],19,FALSE),"0")</f>
        <v>0</v>
      </c>
      <c r="U67" s="74">
        <f>IFERROR(VLOOKUP(Table1215[[#This Row],[Column2]],Table12[[Column2]:[Column54]],20,FALSE),"0")</f>
        <v>0</v>
      </c>
      <c r="V67" s="74">
        <f>IFERROR(VLOOKUP(Table1215[[#This Row],[Column2]],Table12[[Column2]:[Column54]],21,FALSE),"0")</f>
        <v>0</v>
      </c>
      <c r="W67" s="74">
        <f>IFERROR(VLOOKUP(Table1215[[#This Row],[Column2]],Table12[[Column2]:[Column54]],22,FALSE),"0")</f>
        <v>0</v>
      </c>
      <c r="X67" s="80">
        <f>Table1215[[#This Row],[Column19]]</f>
        <v>0</v>
      </c>
      <c r="Y67" s="74">
        <f>IFERROR(VLOOKUP(Table1215[[#This Row],[Column2]],Table12[[Column2]:[Column54]],24,FALSE),"0")</f>
        <v>0</v>
      </c>
      <c r="Z67" s="74">
        <f>IFERROR(VLOOKUP(Table1215[[#This Row],[Column2]],Table12[[Column2]:[Column54]],25,FALSE),"0")</f>
        <v>0</v>
      </c>
      <c r="AA67" s="74">
        <f>IFERROR(VLOOKUP(Table1215[[#This Row],[Column2]],Table12[[Column2]:[Column54]],26,FALSE),"0")</f>
        <v>0</v>
      </c>
      <c r="AB67" s="74">
        <f>IFERROR(VLOOKUP(Table1215[[#This Row],[Column2]],Table12[[Column2]:[Column54]],27,FALSE),"0")</f>
        <v>0</v>
      </c>
      <c r="AC67" s="74">
        <f>IFERROR(VLOOKUP(Table1215[[#This Row],[Column2]],Table12[[Column2]:[Column54]],28,FALSE),"0")</f>
        <v>0</v>
      </c>
      <c r="AD67" s="80">
        <f>Table1215[[#This Row],[Column25]]</f>
        <v>0</v>
      </c>
      <c r="AE67" s="74">
        <f>IFERROR(VLOOKUP(Table1215[[#This Row],[Column2]],Table12[[Column2]:[Column54]],30,FALSE),"0")</f>
        <v>0</v>
      </c>
      <c r="AF67" s="74">
        <f>IFERROR(VLOOKUP(Table1215[[#This Row],[Column2]],Table12[[Column2]:[Column54]],31,FALSE),"0")</f>
        <v>0</v>
      </c>
      <c r="AG67" s="74">
        <f>IFERROR(VLOOKUP(Table1215[[#This Row],[Column2]],Table12[[Column2]:[Column54]],32,FALSE),"0")</f>
        <v>0</v>
      </c>
      <c r="AH67" s="74">
        <f>IFERROR(VLOOKUP(Table1215[[#This Row],[Column2]],Table12[[Column2]:[Column54]],33,FALSE),"0")</f>
        <v>0</v>
      </c>
      <c r="AI67" s="74">
        <f>IFERROR(VLOOKUP(Table1215[[#This Row],[Column2]],Table12[[Column2]:[Column54]],34,FALSE),"0")</f>
        <v>0</v>
      </c>
      <c r="AJ67" s="80">
        <f>AVERAGE(Table1215[[#This Row],[Column31]],Table1215[[#This Row],[Column32]],Table1215[[#This Row],[Column33]])</f>
        <v>0</v>
      </c>
      <c r="AK67" s="74">
        <f>IFERROR(VLOOKUP(Table1215[[#This Row],[Column2]],Table12[[Column2]:[Column54]],36,FALSE),"0")</f>
        <v>0</v>
      </c>
      <c r="AL67" s="74">
        <f>IFERROR(VLOOKUP(Table1215[[#This Row],[Column2]],Table12[[Column2]:[Column54]],37,FALSE),"0")</f>
        <v>0</v>
      </c>
      <c r="AM67" s="74">
        <f>IFERROR(VLOOKUP(Table1215[[#This Row],[Column2]],Table12[[Column2]:[Column54]],38,FALSE),"0")</f>
        <v>0</v>
      </c>
      <c r="AN67" s="74" t="str">
        <f>IFERROR(VLOOKUP(Table1215[[#This Row],[Column2]],Table12[[Column2]:[Column54]],39,FALSE),"0")</f>
        <v>A</v>
      </c>
      <c r="AO67" s="74">
        <f>IFERROR(VLOOKUP(Table1215[[#This Row],[Column2]],Table12[[Column2]:[Column54]],40,FALSE),"0")</f>
        <v>0</v>
      </c>
      <c r="AP67" s="80">
        <f>AVERAGE(Table1215[[#This Row],[Column37]],Table1215[[#This Row],[Column38]],Table1215[[#This Row],[Column40]])</f>
        <v>0</v>
      </c>
      <c r="AQ67" s="74">
        <f>IFERROR(VLOOKUP(Table1215[[#This Row],[Column2]],Table12[[Column2]:[Column54]],42,FALSE),"0")</f>
        <v>0</v>
      </c>
      <c r="AR67" s="74">
        <f>IFERROR(VLOOKUP(Table1215[[#This Row],[Column2]],Table12[[Column2]:[Column54]],43,FALSE),"0")</f>
        <v>0</v>
      </c>
      <c r="AS67" s="74">
        <f>IFERROR(VLOOKUP(Table1215[[#This Row],[Column2]],Table12[[Column2]:[Column54]],44,FALSE),"0")</f>
        <v>0</v>
      </c>
      <c r="AT67" s="74">
        <f>IFERROR(VLOOKUP(Table1215[[#This Row],[Column2]],Table12[[Column2]:[Column54]],45,FALSE),"0")</f>
        <v>0</v>
      </c>
      <c r="AU67" s="74">
        <f>IFERROR(VLOOKUP(Table1215[[#This Row],[Column2]],Table12[[Column2]:[Column54]],46,FALSE),"0")</f>
        <v>0</v>
      </c>
      <c r="AV67" s="80">
        <f>Table1215[[#This Row],[Column43]]</f>
        <v>0</v>
      </c>
      <c r="AW67" s="74">
        <f>IFERROR(VLOOKUP(Table1215[[#This Row],[Column2]],Table12[[Column2]:[Column54]],48,FALSE),"0")</f>
        <v>0</v>
      </c>
      <c r="AX67" s="74">
        <f>IFERROR(VLOOKUP(Table1215[[#This Row],[Column2]],Table12[[Column2]:[Column54]],49,FALSE),"0")</f>
        <v>0</v>
      </c>
      <c r="AY67" s="74">
        <f>IFERROR(VLOOKUP(Table1215[[#This Row],[Column2]],Table12[[Column2]:[Column54]],50,FALSE),"0")</f>
        <v>0</v>
      </c>
      <c r="AZ67" s="74">
        <f>IFERROR(VLOOKUP(Table1215[[#This Row],[Column2]],Table12[[Column2]:[Column54]],51,FALSE),"0")</f>
        <v>0</v>
      </c>
      <c r="BA67" s="74">
        <f>IFERROR(VLOOKUP(Table1215[[#This Row],[Column2]],Table12[[Column2]:[Column54]],52,FALSE),"0")</f>
        <v>0</v>
      </c>
      <c r="BB67" s="80">
        <f>AVERAGE(Table1215[[#This Row],[Column52]],Table1215[[#This Row],[Column53]])</f>
        <v>0</v>
      </c>
    </row>
    <row r="68" spans="1:54" ht="23.1" customHeight="1" x14ac:dyDescent="0.3">
      <c r="A68" s="99">
        <v>65</v>
      </c>
      <c r="B68" s="76" t="s">
        <v>91</v>
      </c>
      <c r="C68" s="77" t="s">
        <v>92</v>
      </c>
      <c r="D68" s="76" t="s">
        <v>450</v>
      </c>
      <c r="E68" s="76" t="s">
        <v>35</v>
      </c>
      <c r="F68" s="76" t="str">
        <f>REPT(CHAR(160),10)&amp;Working!$E69</f>
        <v>          A</v>
      </c>
      <c r="G68" s="78">
        <f>IFERROR(VLOOKUP(Table1215[[#This Row],[Column2]],Table12[[Column2]:[Column54]],6,FALSE),"0")</f>
        <v>0</v>
      </c>
      <c r="H68" s="78">
        <f>IFERROR(VLOOKUP(Table1215[[#This Row],[Column2]],Table12[[Column2]:[Column54]],7,FALSE),"0")</f>
        <v>0</v>
      </c>
      <c r="I68" s="78">
        <f>IFERROR(VLOOKUP(Table1215[[#This Row],[Column2]],Table12[[Column2]:[Column54]],8,FALSE),"0")</f>
        <v>3</v>
      </c>
      <c r="J68" s="78">
        <f>IFERROR(VLOOKUP(Table1215[[#This Row],[Column2]],Table12[[Column2]:[Column54]],9,FALSE),"0")</f>
        <v>0</v>
      </c>
      <c r="K68" s="78">
        <f>IFERROR(VLOOKUP(Table1215[[#This Row],[Column2]],Table12[[Column2]:[Column54]],10,FALSE),"0")</f>
        <v>0</v>
      </c>
      <c r="L68" s="80">
        <f>Table1215[[#This Row],[Column9]]</f>
        <v>3</v>
      </c>
      <c r="M68" s="78">
        <f>IFERROR(VLOOKUP(Table1215[[#This Row],[Column2]],Table12[[Column2]:[Column54]],12,FALSE),"0")</f>
        <v>0</v>
      </c>
      <c r="N68" s="78">
        <f>IFERROR(VLOOKUP(Table1215[[#This Row],[Column2]],Table12[[Column2]:[Column54]],13,FALSE),"0")</f>
        <v>3</v>
      </c>
      <c r="O68" s="78">
        <f>IFERROR(VLOOKUP(Table1215[[#This Row],[Column2]],Table12[[Column2]:[Column54]],14,FALSE),"0")</f>
        <v>3</v>
      </c>
      <c r="P68" s="78">
        <f>IFERROR(VLOOKUP(Table1215[[#This Row],[Column2]],Table12[[Column2]:[Column54]],10,FALSE),"0")</f>
        <v>0</v>
      </c>
      <c r="Q68" s="78">
        <f>IFERROR(VLOOKUP(Table1215[[#This Row],[Column2]],Table12[[Column2]:[Column54]],16,FALSE),"0")</f>
        <v>3</v>
      </c>
      <c r="R68" s="80">
        <f>AVERAGE(Table1215[[#This Row],[Column14]],Table1215[[#This Row],[Column15]],Table1215[[#This Row],[Column17]])</f>
        <v>3</v>
      </c>
      <c r="S68" s="78">
        <f>IFERROR(VLOOKUP(Table1215[[#This Row],[Column2]],Table12[[Column2]:[Column54]],18,FALSE),"0")</f>
        <v>0</v>
      </c>
      <c r="T68" s="78">
        <f>IFERROR(VLOOKUP(Table1215[[#This Row],[Column2]],Table12[[Column2]:[Column54]],19,FALSE),"0")</f>
        <v>0</v>
      </c>
      <c r="U68" s="78">
        <f>IFERROR(VLOOKUP(Table1215[[#This Row],[Column2]],Table12[[Column2]:[Column54]],20,FALSE),"0")</f>
        <v>0</v>
      </c>
      <c r="V68" s="78">
        <f>IFERROR(VLOOKUP(Table1215[[#This Row],[Column2]],Table12[[Column2]:[Column54]],21,FALSE),"0")</f>
        <v>0</v>
      </c>
      <c r="W68" s="78">
        <f>IFERROR(VLOOKUP(Table1215[[#This Row],[Column2]],Table12[[Column2]:[Column54]],22,FALSE),"0")</f>
        <v>0</v>
      </c>
      <c r="X68" s="80">
        <f>Table1215[[#This Row],[Column19]]</f>
        <v>0</v>
      </c>
      <c r="Y68" s="78">
        <f>IFERROR(VLOOKUP(Table1215[[#This Row],[Column2]],Table12[[Column2]:[Column54]],24,FALSE),"0")</f>
        <v>3</v>
      </c>
      <c r="Z68" s="78">
        <f>IFERROR(VLOOKUP(Table1215[[#This Row],[Column2]],Table12[[Column2]:[Column54]],25,FALSE),"0")</f>
        <v>0</v>
      </c>
      <c r="AA68" s="78">
        <f>IFERROR(VLOOKUP(Table1215[[#This Row],[Column2]],Table12[[Column2]:[Column54]],26,FALSE),"0")</f>
        <v>0</v>
      </c>
      <c r="AB68" s="78">
        <f>IFERROR(VLOOKUP(Table1215[[#This Row],[Column2]],Table12[[Column2]:[Column54]],27,FALSE),"0")</f>
        <v>0</v>
      </c>
      <c r="AC68" s="78">
        <f>IFERROR(VLOOKUP(Table1215[[#This Row],[Column2]],Table12[[Column2]:[Column54]],28,FALSE),"0")</f>
        <v>0</v>
      </c>
      <c r="AD68" s="80">
        <f>Table1215[[#This Row],[Column25]]</f>
        <v>3</v>
      </c>
      <c r="AE68" s="78">
        <f>IFERROR(VLOOKUP(Table1215[[#This Row],[Column2]],Table12[[Column2]:[Column54]],30,FALSE),"0")</f>
        <v>0</v>
      </c>
      <c r="AF68" s="78">
        <f>IFERROR(VLOOKUP(Table1215[[#This Row],[Column2]],Table12[[Column2]:[Column54]],31,FALSE),"0")</f>
        <v>0</v>
      </c>
      <c r="AG68" s="78">
        <f>IFERROR(VLOOKUP(Table1215[[#This Row],[Column2]],Table12[[Column2]:[Column54]],32,FALSE),"0")</f>
        <v>0</v>
      </c>
      <c r="AH68" s="78">
        <f>IFERROR(VLOOKUP(Table1215[[#This Row],[Column2]],Table12[[Column2]:[Column54]],33,FALSE),"0")</f>
        <v>0</v>
      </c>
      <c r="AI68" s="78">
        <f>IFERROR(VLOOKUP(Table1215[[#This Row],[Column2]],Table12[[Column2]:[Column54]],34,FALSE),"0")</f>
        <v>0</v>
      </c>
      <c r="AJ68" s="80">
        <f>AVERAGE(Table1215[[#This Row],[Column31]],Table1215[[#This Row],[Column32]],Table1215[[#This Row],[Column33]])</f>
        <v>0</v>
      </c>
      <c r="AK68" s="78">
        <f>IFERROR(VLOOKUP(Table1215[[#This Row],[Column2]],Table12[[Column2]:[Column54]],36,FALSE),"0")</f>
        <v>4</v>
      </c>
      <c r="AL68" s="78">
        <f>IFERROR(VLOOKUP(Table1215[[#This Row],[Column2]],Table12[[Column2]:[Column54]],37,FALSE),"0")</f>
        <v>4</v>
      </c>
      <c r="AM68" s="78">
        <f>IFERROR(VLOOKUP(Table1215[[#This Row],[Column2]],Table12[[Column2]:[Column54]],38,FALSE),"0")</f>
        <v>0</v>
      </c>
      <c r="AN68" s="78">
        <f>IFERROR(VLOOKUP(Table1215[[#This Row],[Column2]],Table12[[Column2]:[Column54]],39,FALSE),"0")</f>
        <v>4</v>
      </c>
      <c r="AO68" s="78">
        <f>IFERROR(VLOOKUP(Table1215[[#This Row],[Column2]],Table12[[Column2]:[Column54]],40,FALSE),"0")</f>
        <v>0</v>
      </c>
      <c r="AP68" s="80">
        <f>AVERAGE(Table1215[[#This Row],[Column37]],Table1215[[#This Row],[Column38]],Table1215[[#This Row],[Column40]])</f>
        <v>4</v>
      </c>
      <c r="AQ68" s="78">
        <f>IFERROR(VLOOKUP(Table1215[[#This Row],[Column2]],Table12[[Column2]:[Column54]],42,FALSE),"0")</f>
        <v>4</v>
      </c>
      <c r="AR68" s="78">
        <f>IFERROR(VLOOKUP(Table1215[[#This Row],[Column2]],Table12[[Column2]:[Column54]],43,FALSE),"0")</f>
        <v>0</v>
      </c>
      <c r="AS68" s="78">
        <f>IFERROR(VLOOKUP(Table1215[[#This Row],[Column2]],Table12[[Column2]:[Column54]],44,FALSE),"0")</f>
        <v>0</v>
      </c>
      <c r="AT68" s="78">
        <f>IFERROR(VLOOKUP(Table1215[[#This Row],[Column2]],Table12[[Column2]:[Column54]],45,FALSE),"0")</f>
        <v>0</v>
      </c>
      <c r="AU68" s="78">
        <f>IFERROR(VLOOKUP(Table1215[[#This Row],[Column2]],Table12[[Column2]:[Column54]],46,FALSE),"0")</f>
        <v>0</v>
      </c>
      <c r="AV68" s="80">
        <f>Table1215[[#This Row],[Column43]]</f>
        <v>4</v>
      </c>
      <c r="AW68" s="78">
        <f>IFERROR(VLOOKUP(Table1215[[#This Row],[Column2]],Table12[[Column2]:[Column54]],48,FALSE),"0")</f>
        <v>0</v>
      </c>
      <c r="AX68" s="78">
        <f>IFERROR(VLOOKUP(Table1215[[#This Row],[Column2]],Table12[[Column2]:[Column54]],49,FALSE),"0")</f>
        <v>0</v>
      </c>
      <c r="AY68" s="78">
        <f>IFERROR(VLOOKUP(Table1215[[#This Row],[Column2]],Table12[[Column2]:[Column54]],50,FALSE),"0")</f>
        <v>0</v>
      </c>
      <c r="AZ68" s="78">
        <f>IFERROR(VLOOKUP(Table1215[[#This Row],[Column2]],Table12[[Column2]:[Column54]],51,FALSE),"0")</f>
        <v>3</v>
      </c>
      <c r="BA68" s="78">
        <f>IFERROR(VLOOKUP(Table1215[[#This Row],[Column2]],Table12[[Column2]:[Column54]],52,FALSE),"0")</f>
        <v>3</v>
      </c>
      <c r="BB68" s="80">
        <f>AVERAGE(Table1215[[#This Row],[Column52]],Table1215[[#This Row],[Column53]])</f>
        <v>3</v>
      </c>
    </row>
    <row r="69" spans="1:54" ht="23.1" customHeight="1" x14ac:dyDescent="0.3">
      <c r="A69" s="100">
        <v>66</v>
      </c>
      <c r="B69" s="83" t="s">
        <v>261</v>
      </c>
      <c r="C69" s="84" t="s">
        <v>262</v>
      </c>
      <c r="D69" s="83" t="s">
        <v>450</v>
      </c>
      <c r="E69" s="83" t="s">
        <v>161</v>
      </c>
      <c r="F69" s="83" t="str">
        <f>REPT(CHAR(160),10)&amp;Working!$E70</f>
        <v>          B</v>
      </c>
      <c r="G69" s="74">
        <f>IFERROR(VLOOKUP(Table1215[[#This Row],[Column2]],Table12[[Column2]:[Column54]],6,FALSE),"0")</f>
        <v>0</v>
      </c>
      <c r="H69" s="74">
        <f>IFERROR(VLOOKUP(Table1215[[#This Row],[Column2]],Table12[[Column2]:[Column54]],7,FALSE),"0")</f>
        <v>0</v>
      </c>
      <c r="I69" s="74">
        <f>IFERROR(VLOOKUP(Table1215[[#This Row],[Column2]],Table12[[Column2]:[Column54]],8,FALSE),"0")</f>
        <v>0</v>
      </c>
      <c r="J69" s="74">
        <f>IFERROR(VLOOKUP(Table1215[[#This Row],[Column2]],Table12[[Column2]:[Column54]],9,FALSE),"0")</f>
        <v>0</v>
      </c>
      <c r="K69" s="74">
        <f>IFERROR(VLOOKUP(Table1215[[#This Row],[Column2]],Table12[[Column2]:[Column54]],10,FALSE),"0")</f>
        <v>0</v>
      </c>
      <c r="L69" s="80">
        <f>Table1215[[#This Row],[Column9]]</f>
        <v>0</v>
      </c>
      <c r="M69" s="74">
        <f>IFERROR(VLOOKUP(Table1215[[#This Row],[Column2]],Table12[[Column2]:[Column54]],12,FALSE),"0")</f>
        <v>0</v>
      </c>
      <c r="N69" s="74">
        <f>IFERROR(VLOOKUP(Table1215[[#This Row],[Column2]],Table12[[Column2]:[Column54]],13,FALSE),"0")</f>
        <v>0</v>
      </c>
      <c r="O69" s="74">
        <f>IFERROR(VLOOKUP(Table1215[[#This Row],[Column2]],Table12[[Column2]:[Column54]],14,FALSE),"0")</f>
        <v>0</v>
      </c>
      <c r="P69" s="74">
        <f>IFERROR(VLOOKUP(Table1215[[#This Row],[Column2]],Table12[[Column2]:[Column54]],10,FALSE),"0")</f>
        <v>0</v>
      </c>
      <c r="Q69" s="74">
        <f>IFERROR(VLOOKUP(Table1215[[#This Row],[Column2]],Table12[[Column2]:[Column54]],16,FALSE),"0")</f>
        <v>0</v>
      </c>
      <c r="R69" s="80">
        <f>AVERAGE(Table1215[[#This Row],[Column14]],Table1215[[#This Row],[Column15]],Table1215[[#This Row],[Column17]])</f>
        <v>0</v>
      </c>
      <c r="S69" s="74">
        <f>IFERROR(VLOOKUP(Table1215[[#This Row],[Column2]],Table12[[Column2]:[Column54]],18,FALSE),"0")</f>
        <v>0</v>
      </c>
      <c r="T69" s="74">
        <f>IFERROR(VLOOKUP(Table1215[[#This Row],[Column2]],Table12[[Column2]:[Column54]],19,FALSE),"0")</f>
        <v>0</v>
      </c>
      <c r="U69" s="74">
        <f>IFERROR(VLOOKUP(Table1215[[#This Row],[Column2]],Table12[[Column2]:[Column54]],20,FALSE),"0")</f>
        <v>0</v>
      </c>
      <c r="V69" s="74">
        <f>IFERROR(VLOOKUP(Table1215[[#This Row],[Column2]],Table12[[Column2]:[Column54]],21,FALSE),"0")</f>
        <v>0</v>
      </c>
      <c r="W69" s="74">
        <f>IFERROR(VLOOKUP(Table1215[[#This Row],[Column2]],Table12[[Column2]:[Column54]],22,FALSE),"0")</f>
        <v>0</v>
      </c>
      <c r="X69" s="80">
        <f>Table1215[[#This Row],[Column19]]</f>
        <v>0</v>
      </c>
      <c r="Y69" s="74">
        <f>IFERROR(VLOOKUP(Table1215[[#This Row],[Column2]],Table12[[Column2]:[Column54]],24,FALSE),"0")</f>
        <v>0</v>
      </c>
      <c r="Z69" s="74">
        <f>IFERROR(VLOOKUP(Table1215[[#This Row],[Column2]],Table12[[Column2]:[Column54]],25,FALSE),"0")</f>
        <v>0</v>
      </c>
      <c r="AA69" s="74">
        <f>IFERROR(VLOOKUP(Table1215[[#This Row],[Column2]],Table12[[Column2]:[Column54]],26,FALSE),"0")</f>
        <v>0</v>
      </c>
      <c r="AB69" s="74">
        <f>IFERROR(VLOOKUP(Table1215[[#This Row],[Column2]],Table12[[Column2]:[Column54]],27,FALSE),"0")</f>
        <v>0</v>
      </c>
      <c r="AC69" s="74">
        <f>IFERROR(VLOOKUP(Table1215[[#This Row],[Column2]],Table12[[Column2]:[Column54]],28,FALSE),"0")</f>
        <v>0</v>
      </c>
      <c r="AD69" s="80">
        <f>Table1215[[#This Row],[Column25]]</f>
        <v>0</v>
      </c>
      <c r="AE69" s="74">
        <f>IFERROR(VLOOKUP(Table1215[[#This Row],[Column2]],Table12[[Column2]:[Column54]],30,FALSE),"0")</f>
        <v>0</v>
      </c>
      <c r="AF69" s="74">
        <f>IFERROR(VLOOKUP(Table1215[[#This Row],[Column2]],Table12[[Column2]:[Column54]],31,FALSE),"0")</f>
        <v>0</v>
      </c>
      <c r="AG69" s="74">
        <f>IFERROR(VLOOKUP(Table1215[[#This Row],[Column2]],Table12[[Column2]:[Column54]],32,FALSE),"0")</f>
        <v>0</v>
      </c>
      <c r="AH69" s="74">
        <f>IFERROR(VLOOKUP(Table1215[[#This Row],[Column2]],Table12[[Column2]:[Column54]],33,FALSE),"0")</f>
        <v>0</v>
      </c>
      <c r="AI69" s="74">
        <f>IFERROR(VLOOKUP(Table1215[[#This Row],[Column2]],Table12[[Column2]:[Column54]],34,FALSE),"0")</f>
        <v>0</v>
      </c>
      <c r="AJ69" s="80">
        <f>AVERAGE(Table1215[[#This Row],[Column31]],Table1215[[#This Row],[Column32]],Table1215[[#This Row],[Column33]])</f>
        <v>0</v>
      </c>
      <c r="AK69" s="74">
        <f>IFERROR(VLOOKUP(Table1215[[#This Row],[Column2]],Table12[[Column2]:[Column54]],36,FALSE),"0")</f>
        <v>0</v>
      </c>
      <c r="AL69" s="74">
        <f>IFERROR(VLOOKUP(Table1215[[#This Row],[Column2]],Table12[[Column2]:[Column54]],37,FALSE),"0")</f>
        <v>0</v>
      </c>
      <c r="AM69" s="74">
        <f>IFERROR(VLOOKUP(Table1215[[#This Row],[Column2]],Table12[[Column2]:[Column54]],38,FALSE),"0")</f>
        <v>0</v>
      </c>
      <c r="AN69" s="74" t="str">
        <f>IFERROR(VLOOKUP(Table1215[[#This Row],[Column2]],Table12[[Column2]:[Column54]],39,FALSE),"0")</f>
        <v>A</v>
      </c>
      <c r="AO69" s="74">
        <f>IFERROR(VLOOKUP(Table1215[[#This Row],[Column2]],Table12[[Column2]:[Column54]],40,FALSE),"0")</f>
        <v>0</v>
      </c>
      <c r="AP69" s="80">
        <f>AVERAGE(Table1215[[#This Row],[Column37]],Table1215[[#This Row],[Column38]],Table1215[[#This Row],[Column40]])</f>
        <v>0</v>
      </c>
      <c r="AQ69" s="74">
        <f>IFERROR(VLOOKUP(Table1215[[#This Row],[Column2]],Table12[[Column2]:[Column54]],42,FALSE),"0")</f>
        <v>0</v>
      </c>
      <c r="AR69" s="74">
        <f>IFERROR(VLOOKUP(Table1215[[#This Row],[Column2]],Table12[[Column2]:[Column54]],43,FALSE),"0")</f>
        <v>0</v>
      </c>
      <c r="AS69" s="74">
        <f>IFERROR(VLOOKUP(Table1215[[#This Row],[Column2]],Table12[[Column2]:[Column54]],44,FALSE),"0")</f>
        <v>0</v>
      </c>
      <c r="AT69" s="74">
        <f>IFERROR(VLOOKUP(Table1215[[#This Row],[Column2]],Table12[[Column2]:[Column54]],45,FALSE),"0")</f>
        <v>0</v>
      </c>
      <c r="AU69" s="74">
        <f>IFERROR(VLOOKUP(Table1215[[#This Row],[Column2]],Table12[[Column2]:[Column54]],46,FALSE),"0")</f>
        <v>0</v>
      </c>
      <c r="AV69" s="80">
        <f>Table1215[[#This Row],[Column43]]</f>
        <v>0</v>
      </c>
      <c r="AW69" s="74">
        <f>IFERROR(VLOOKUP(Table1215[[#This Row],[Column2]],Table12[[Column2]:[Column54]],48,FALSE),"0")</f>
        <v>0</v>
      </c>
      <c r="AX69" s="74">
        <f>IFERROR(VLOOKUP(Table1215[[#This Row],[Column2]],Table12[[Column2]:[Column54]],49,FALSE),"0")</f>
        <v>0</v>
      </c>
      <c r="AY69" s="74">
        <f>IFERROR(VLOOKUP(Table1215[[#This Row],[Column2]],Table12[[Column2]:[Column54]],50,FALSE),"0")</f>
        <v>0</v>
      </c>
      <c r="AZ69" s="74">
        <f>IFERROR(VLOOKUP(Table1215[[#This Row],[Column2]],Table12[[Column2]:[Column54]],51,FALSE),"0")</f>
        <v>0</v>
      </c>
      <c r="BA69" s="74">
        <f>IFERROR(VLOOKUP(Table1215[[#This Row],[Column2]],Table12[[Column2]:[Column54]],52,FALSE),"0")</f>
        <v>0</v>
      </c>
      <c r="BB69" s="80">
        <f>AVERAGE(Table1215[[#This Row],[Column52]],Table1215[[#This Row],[Column53]])</f>
        <v>0</v>
      </c>
    </row>
    <row r="70" spans="1:54" ht="23.1" customHeight="1" x14ac:dyDescent="0.3">
      <c r="A70" s="99">
        <v>67</v>
      </c>
      <c r="B70" s="76" t="s">
        <v>277</v>
      </c>
      <c r="C70" s="77" t="s">
        <v>278</v>
      </c>
      <c r="D70" s="76" t="s">
        <v>450</v>
      </c>
      <c r="E70" s="76" t="s">
        <v>161</v>
      </c>
      <c r="F70" s="76" t="str">
        <f>REPT(CHAR(160),10)&amp;Working!$E71</f>
        <v>          B</v>
      </c>
      <c r="G70" s="78">
        <f>IFERROR(VLOOKUP(Table1215[[#This Row],[Column2]],Table12[[Column2]:[Column54]],6,FALSE),"0")</f>
        <v>0</v>
      </c>
      <c r="H70" s="78">
        <f>IFERROR(VLOOKUP(Table1215[[#This Row],[Column2]],Table12[[Column2]:[Column54]],7,FALSE),"0")</f>
        <v>0</v>
      </c>
      <c r="I70" s="78">
        <f>IFERROR(VLOOKUP(Table1215[[#This Row],[Column2]],Table12[[Column2]:[Column54]],8,FALSE),"0")</f>
        <v>3</v>
      </c>
      <c r="J70" s="78">
        <f>IFERROR(VLOOKUP(Table1215[[#This Row],[Column2]],Table12[[Column2]:[Column54]],9,FALSE),"0")</f>
        <v>0</v>
      </c>
      <c r="K70" s="78">
        <f>IFERROR(VLOOKUP(Table1215[[#This Row],[Column2]],Table12[[Column2]:[Column54]],10,FALSE),"0")</f>
        <v>0</v>
      </c>
      <c r="L70" s="80">
        <f>Table1215[[#This Row],[Column9]]</f>
        <v>3</v>
      </c>
      <c r="M70" s="78">
        <f>IFERROR(VLOOKUP(Table1215[[#This Row],[Column2]],Table12[[Column2]:[Column54]],12,FALSE),"0")</f>
        <v>0</v>
      </c>
      <c r="N70" s="78">
        <f>IFERROR(VLOOKUP(Table1215[[#This Row],[Column2]],Table12[[Column2]:[Column54]],13,FALSE),"0")</f>
        <v>3</v>
      </c>
      <c r="O70" s="78">
        <f>IFERROR(VLOOKUP(Table1215[[#This Row],[Column2]],Table12[[Column2]:[Column54]],14,FALSE),"0")</f>
        <v>3</v>
      </c>
      <c r="P70" s="78">
        <f>IFERROR(VLOOKUP(Table1215[[#This Row],[Column2]],Table12[[Column2]:[Column54]],10,FALSE),"0")</f>
        <v>0</v>
      </c>
      <c r="Q70" s="78">
        <f>IFERROR(VLOOKUP(Table1215[[#This Row],[Column2]],Table12[[Column2]:[Column54]],16,FALSE),"0")</f>
        <v>3</v>
      </c>
      <c r="R70" s="80">
        <f>AVERAGE(Table1215[[#This Row],[Column14]],Table1215[[#This Row],[Column15]],Table1215[[#This Row],[Column17]])</f>
        <v>3</v>
      </c>
      <c r="S70" s="78">
        <f>IFERROR(VLOOKUP(Table1215[[#This Row],[Column2]],Table12[[Column2]:[Column54]],18,FALSE),"0")</f>
        <v>0</v>
      </c>
      <c r="T70" s="78">
        <f>IFERROR(VLOOKUP(Table1215[[#This Row],[Column2]],Table12[[Column2]:[Column54]],19,FALSE),"0")</f>
        <v>0</v>
      </c>
      <c r="U70" s="78">
        <f>IFERROR(VLOOKUP(Table1215[[#This Row],[Column2]],Table12[[Column2]:[Column54]],20,FALSE),"0")</f>
        <v>0</v>
      </c>
      <c r="V70" s="78">
        <f>IFERROR(VLOOKUP(Table1215[[#This Row],[Column2]],Table12[[Column2]:[Column54]],21,FALSE),"0")</f>
        <v>0</v>
      </c>
      <c r="W70" s="78">
        <f>IFERROR(VLOOKUP(Table1215[[#This Row],[Column2]],Table12[[Column2]:[Column54]],22,FALSE),"0")</f>
        <v>0</v>
      </c>
      <c r="X70" s="80">
        <f>Table1215[[#This Row],[Column19]]</f>
        <v>0</v>
      </c>
      <c r="Y70" s="78">
        <f>IFERROR(VLOOKUP(Table1215[[#This Row],[Column2]],Table12[[Column2]:[Column54]],24,FALSE),"0")</f>
        <v>3</v>
      </c>
      <c r="Z70" s="78">
        <f>IFERROR(VLOOKUP(Table1215[[#This Row],[Column2]],Table12[[Column2]:[Column54]],25,FALSE),"0")</f>
        <v>0</v>
      </c>
      <c r="AA70" s="78">
        <f>IFERROR(VLOOKUP(Table1215[[#This Row],[Column2]],Table12[[Column2]:[Column54]],26,FALSE),"0")</f>
        <v>0</v>
      </c>
      <c r="AB70" s="78">
        <f>IFERROR(VLOOKUP(Table1215[[#This Row],[Column2]],Table12[[Column2]:[Column54]],27,FALSE),"0")</f>
        <v>0</v>
      </c>
      <c r="AC70" s="78">
        <f>IFERROR(VLOOKUP(Table1215[[#This Row],[Column2]],Table12[[Column2]:[Column54]],28,FALSE),"0")</f>
        <v>0</v>
      </c>
      <c r="AD70" s="80">
        <f>Table1215[[#This Row],[Column25]]</f>
        <v>3</v>
      </c>
      <c r="AE70" s="78">
        <f>IFERROR(VLOOKUP(Table1215[[#This Row],[Column2]],Table12[[Column2]:[Column54]],30,FALSE),"0")</f>
        <v>0</v>
      </c>
      <c r="AF70" s="78">
        <f>IFERROR(VLOOKUP(Table1215[[#This Row],[Column2]],Table12[[Column2]:[Column54]],31,FALSE),"0")</f>
        <v>0</v>
      </c>
      <c r="AG70" s="78">
        <f>IFERROR(VLOOKUP(Table1215[[#This Row],[Column2]],Table12[[Column2]:[Column54]],32,FALSE),"0")</f>
        <v>0</v>
      </c>
      <c r="AH70" s="78">
        <f>IFERROR(VLOOKUP(Table1215[[#This Row],[Column2]],Table12[[Column2]:[Column54]],33,FALSE),"0")</f>
        <v>0</v>
      </c>
      <c r="AI70" s="78">
        <f>IFERROR(VLOOKUP(Table1215[[#This Row],[Column2]],Table12[[Column2]:[Column54]],34,FALSE),"0")</f>
        <v>0</v>
      </c>
      <c r="AJ70" s="80">
        <f>AVERAGE(Table1215[[#This Row],[Column31]],Table1215[[#This Row],[Column32]],Table1215[[#This Row],[Column33]])</f>
        <v>0</v>
      </c>
      <c r="AK70" s="78">
        <f>IFERROR(VLOOKUP(Table1215[[#This Row],[Column2]],Table12[[Column2]:[Column54]],36,FALSE),"0")</f>
        <v>4</v>
      </c>
      <c r="AL70" s="78">
        <f>IFERROR(VLOOKUP(Table1215[[#This Row],[Column2]],Table12[[Column2]:[Column54]],37,FALSE),"0")</f>
        <v>3</v>
      </c>
      <c r="AM70" s="78">
        <f>IFERROR(VLOOKUP(Table1215[[#This Row],[Column2]],Table12[[Column2]:[Column54]],38,FALSE),"0")</f>
        <v>0</v>
      </c>
      <c r="AN70" s="78">
        <f>IFERROR(VLOOKUP(Table1215[[#This Row],[Column2]],Table12[[Column2]:[Column54]],39,FALSE),"0")</f>
        <v>3</v>
      </c>
      <c r="AO70" s="78">
        <f>IFERROR(VLOOKUP(Table1215[[#This Row],[Column2]],Table12[[Column2]:[Column54]],40,FALSE),"0")</f>
        <v>0</v>
      </c>
      <c r="AP70" s="80">
        <f>AVERAGE(Table1215[[#This Row],[Column37]],Table1215[[#This Row],[Column38]],Table1215[[#This Row],[Column40]])</f>
        <v>3.3333333333333335</v>
      </c>
      <c r="AQ70" s="78">
        <f>IFERROR(VLOOKUP(Table1215[[#This Row],[Column2]],Table12[[Column2]:[Column54]],42,FALSE),"0")</f>
        <v>5</v>
      </c>
      <c r="AR70" s="78">
        <f>IFERROR(VLOOKUP(Table1215[[#This Row],[Column2]],Table12[[Column2]:[Column54]],43,FALSE),"0")</f>
        <v>0</v>
      </c>
      <c r="AS70" s="78">
        <f>IFERROR(VLOOKUP(Table1215[[#This Row],[Column2]],Table12[[Column2]:[Column54]],44,FALSE),"0")</f>
        <v>0</v>
      </c>
      <c r="AT70" s="78">
        <f>IFERROR(VLOOKUP(Table1215[[#This Row],[Column2]],Table12[[Column2]:[Column54]],45,FALSE),"0")</f>
        <v>0</v>
      </c>
      <c r="AU70" s="78">
        <f>IFERROR(VLOOKUP(Table1215[[#This Row],[Column2]],Table12[[Column2]:[Column54]],46,FALSE),"0")</f>
        <v>0</v>
      </c>
      <c r="AV70" s="80">
        <f>Table1215[[#This Row],[Column43]]</f>
        <v>5</v>
      </c>
      <c r="AW70" s="78">
        <f>IFERROR(VLOOKUP(Table1215[[#This Row],[Column2]],Table12[[Column2]:[Column54]],48,FALSE),"0")</f>
        <v>0</v>
      </c>
      <c r="AX70" s="78">
        <f>IFERROR(VLOOKUP(Table1215[[#This Row],[Column2]],Table12[[Column2]:[Column54]],49,FALSE),"0")</f>
        <v>0</v>
      </c>
      <c r="AY70" s="78">
        <f>IFERROR(VLOOKUP(Table1215[[#This Row],[Column2]],Table12[[Column2]:[Column54]],50,FALSE),"0")</f>
        <v>0</v>
      </c>
      <c r="AZ70" s="78">
        <f>IFERROR(VLOOKUP(Table1215[[#This Row],[Column2]],Table12[[Column2]:[Column54]],51,FALSE),"0")</f>
        <v>3</v>
      </c>
      <c r="BA70" s="78">
        <f>IFERROR(VLOOKUP(Table1215[[#This Row],[Column2]],Table12[[Column2]:[Column54]],52,FALSE),"0")</f>
        <v>3</v>
      </c>
      <c r="BB70" s="80">
        <f>AVERAGE(Table1215[[#This Row],[Column52]],Table1215[[#This Row],[Column53]])</f>
        <v>3</v>
      </c>
    </row>
    <row r="71" spans="1:54" ht="23.1" customHeight="1" x14ac:dyDescent="0.3">
      <c r="A71" s="100">
        <v>68</v>
      </c>
      <c r="B71" s="83" t="s">
        <v>164</v>
      </c>
      <c r="C71" s="84" t="s">
        <v>165</v>
      </c>
      <c r="D71" s="83" t="s">
        <v>450</v>
      </c>
      <c r="E71" s="83" t="s">
        <v>161</v>
      </c>
      <c r="F71" s="83" t="str">
        <f>REPT(CHAR(160),10)&amp;Working!$E72</f>
        <v>          B</v>
      </c>
      <c r="G71" s="74">
        <f>IFERROR(VLOOKUP(Table1215[[#This Row],[Column2]],Table12[[Column2]:[Column54]],6,FALSE),"0")</f>
        <v>0</v>
      </c>
      <c r="H71" s="74">
        <f>IFERROR(VLOOKUP(Table1215[[#This Row],[Column2]],Table12[[Column2]:[Column54]],7,FALSE),"0")</f>
        <v>0</v>
      </c>
      <c r="I71" s="74">
        <f>IFERROR(VLOOKUP(Table1215[[#This Row],[Column2]],Table12[[Column2]:[Column54]],8,FALSE),"0")</f>
        <v>4</v>
      </c>
      <c r="J71" s="74">
        <f>IFERROR(VLOOKUP(Table1215[[#This Row],[Column2]],Table12[[Column2]:[Column54]],9,FALSE),"0")</f>
        <v>0</v>
      </c>
      <c r="K71" s="74">
        <f>IFERROR(VLOOKUP(Table1215[[#This Row],[Column2]],Table12[[Column2]:[Column54]],10,FALSE),"0")</f>
        <v>0</v>
      </c>
      <c r="L71" s="80">
        <f>Table1215[[#This Row],[Column9]]</f>
        <v>4</v>
      </c>
      <c r="M71" s="74">
        <f>IFERROR(VLOOKUP(Table1215[[#This Row],[Column2]],Table12[[Column2]:[Column54]],12,FALSE),"0")</f>
        <v>0</v>
      </c>
      <c r="N71" s="74">
        <f>IFERROR(VLOOKUP(Table1215[[#This Row],[Column2]],Table12[[Column2]:[Column54]],13,FALSE),"0")</f>
        <v>4</v>
      </c>
      <c r="O71" s="74">
        <f>IFERROR(VLOOKUP(Table1215[[#This Row],[Column2]],Table12[[Column2]:[Column54]],14,FALSE),"0")</f>
        <v>4</v>
      </c>
      <c r="P71" s="74">
        <f>IFERROR(VLOOKUP(Table1215[[#This Row],[Column2]],Table12[[Column2]:[Column54]],10,FALSE),"0")</f>
        <v>0</v>
      </c>
      <c r="Q71" s="74">
        <f>IFERROR(VLOOKUP(Table1215[[#This Row],[Column2]],Table12[[Column2]:[Column54]],16,FALSE),"0")</f>
        <v>4</v>
      </c>
      <c r="R71" s="80">
        <f>AVERAGE(Table1215[[#This Row],[Column14]],Table1215[[#This Row],[Column15]],Table1215[[#This Row],[Column17]])</f>
        <v>4</v>
      </c>
      <c r="S71" s="74">
        <f>IFERROR(VLOOKUP(Table1215[[#This Row],[Column2]],Table12[[Column2]:[Column54]],18,FALSE),"0")</f>
        <v>0</v>
      </c>
      <c r="T71" s="74">
        <f>IFERROR(VLOOKUP(Table1215[[#This Row],[Column2]],Table12[[Column2]:[Column54]],19,FALSE),"0")</f>
        <v>0</v>
      </c>
      <c r="U71" s="74">
        <f>IFERROR(VLOOKUP(Table1215[[#This Row],[Column2]],Table12[[Column2]:[Column54]],20,FALSE),"0")</f>
        <v>0</v>
      </c>
      <c r="V71" s="74">
        <f>IFERROR(VLOOKUP(Table1215[[#This Row],[Column2]],Table12[[Column2]:[Column54]],21,FALSE),"0")</f>
        <v>0</v>
      </c>
      <c r="W71" s="74">
        <f>IFERROR(VLOOKUP(Table1215[[#This Row],[Column2]],Table12[[Column2]:[Column54]],22,FALSE),"0")</f>
        <v>0</v>
      </c>
      <c r="X71" s="80">
        <f>Table1215[[#This Row],[Column19]]</f>
        <v>0</v>
      </c>
      <c r="Y71" s="74">
        <f>IFERROR(VLOOKUP(Table1215[[#This Row],[Column2]],Table12[[Column2]:[Column54]],24,FALSE),"0")</f>
        <v>4</v>
      </c>
      <c r="Z71" s="74">
        <f>IFERROR(VLOOKUP(Table1215[[#This Row],[Column2]],Table12[[Column2]:[Column54]],25,FALSE),"0")</f>
        <v>0</v>
      </c>
      <c r="AA71" s="74">
        <f>IFERROR(VLOOKUP(Table1215[[#This Row],[Column2]],Table12[[Column2]:[Column54]],26,FALSE),"0")</f>
        <v>0</v>
      </c>
      <c r="AB71" s="74">
        <f>IFERROR(VLOOKUP(Table1215[[#This Row],[Column2]],Table12[[Column2]:[Column54]],27,FALSE),"0")</f>
        <v>0</v>
      </c>
      <c r="AC71" s="74">
        <f>IFERROR(VLOOKUP(Table1215[[#This Row],[Column2]],Table12[[Column2]:[Column54]],28,FALSE),"0")</f>
        <v>0</v>
      </c>
      <c r="AD71" s="80">
        <f>Table1215[[#This Row],[Column25]]</f>
        <v>4</v>
      </c>
      <c r="AE71" s="74">
        <f>IFERROR(VLOOKUP(Table1215[[#This Row],[Column2]],Table12[[Column2]:[Column54]],30,FALSE),"0")</f>
        <v>0</v>
      </c>
      <c r="AF71" s="74">
        <f>IFERROR(VLOOKUP(Table1215[[#This Row],[Column2]],Table12[[Column2]:[Column54]],31,FALSE),"0")</f>
        <v>0</v>
      </c>
      <c r="AG71" s="74">
        <f>IFERROR(VLOOKUP(Table1215[[#This Row],[Column2]],Table12[[Column2]:[Column54]],32,FALSE),"0")</f>
        <v>0</v>
      </c>
      <c r="AH71" s="74">
        <f>IFERROR(VLOOKUP(Table1215[[#This Row],[Column2]],Table12[[Column2]:[Column54]],33,FALSE),"0")</f>
        <v>0</v>
      </c>
      <c r="AI71" s="74">
        <f>IFERROR(VLOOKUP(Table1215[[#This Row],[Column2]],Table12[[Column2]:[Column54]],34,FALSE),"0")</f>
        <v>0</v>
      </c>
      <c r="AJ71" s="80">
        <f>AVERAGE(Table1215[[#This Row],[Column31]],Table1215[[#This Row],[Column32]],Table1215[[#This Row],[Column33]])</f>
        <v>0</v>
      </c>
      <c r="AK71" s="74">
        <f>IFERROR(VLOOKUP(Table1215[[#This Row],[Column2]],Table12[[Column2]:[Column54]],36,FALSE),"0")</f>
        <v>3</v>
      </c>
      <c r="AL71" s="74">
        <f>IFERROR(VLOOKUP(Table1215[[#This Row],[Column2]],Table12[[Column2]:[Column54]],37,FALSE),"0")</f>
        <v>5</v>
      </c>
      <c r="AM71" s="74">
        <f>IFERROR(VLOOKUP(Table1215[[#This Row],[Column2]],Table12[[Column2]:[Column54]],38,FALSE),"0")</f>
        <v>0</v>
      </c>
      <c r="AN71" s="74">
        <f>IFERROR(VLOOKUP(Table1215[[#This Row],[Column2]],Table12[[Column2]:[Column54]],39,FALSE),"0")</f>
        <v>5</v>
      </c>
      <c r="AO71" s="74">
        <f>IFERROR(VLOOKUP(Table1215[[#This Row],[Column2]],Table12[[Column2]:[Column54]],40,FALSE),"0")</f>
        <v>0</v>
      </c>
      <c r="AP71" s="80">
        <f>AVERAGE(Table1215[[#This Row],[Column37]],Table1215[[#This Row],[Column38]],Table1215[[#This Row],[Column40]])</f>
        <v>4.333333333333333</v>
      </c>
      <c r="AQ71" s="74">
        <f>IFERROR(VLOOKUP(Table1215[[#This Row],[Column2]],Table12[[Column2]:[Column54]],42,FALSE),"0")</f>
        <v>4</v>
      </c>
      <c r="AR71" s="74">
        <f>IFERROR(VLOOKUP(Table1215[[#This Row],[Column2]],Table12[[Column2]:[Column54]],43,FALSE),"0")</f>
        <v>0</v>
      </c>
      <c r="AS71" s="74">
        <f>IFERROR(VLOOKUP(Table1215[[#This Row],[Column2]],Table12[[Column2]:[Column54]],44,FALSE),"0")</f>
        <v>0</v>
      </c>
      <c r="AT71" s="74">
        <f>IFERROR(VLOOKUP(Table1215[[#This Row],[Column2]],Table12[[Column2]:[Column54]],45,FALSE),"0")</f>
        <v>0</v>
      </c>
      <c r="AU71" s="74">
        <f>IFERROR(VLOOKUP(Table1215[[#This Row],[Column2]],Table12[[Column2]:[Column54]],46,FALSE),"0")</f>
        <v>0</v>
      </c>
      <c r="AV71" s="80">
        <f>Table1215[[#This Row],[Column43]]</f>
        <v>4</v>
      </c>
      <c r="AW71" s="74">
        <f>IFERROR(VLOOKUP(Table1215[[#This Row],[Column2]],Table12[[Column2]:[Column54]],48,FALSE),"0")</f>
        <v>0</v>
      </c>
      <c r="AX71" s="74">
        <f>IFERROR(VLOOKUP(Table1215[[#This Row],[Column2]],Table12[[Column2]:[Column54]],49,FALSE),"0")</f>
        <v>0</v>
      </c>
      <c r="AY71" s="74">
        <f>IFERROR(VLOOKUP(Table1215[[#This Row],[Column2]],Table12[[Column2]:[Column54]],50,FALSE),"0")</f>
        <v>0</v>
      </c>
      <c r="AZ71" s="74">
        <f>IFERROR(VLOOKUP(Table1215[[#This Row],[Column2]],Table12[[Column2]:[Column54]],51,FALSE),"0")</f>
        <v>4</v>
      </c>
      <c r="BA71" s="74">
        <f>IFERROR(VLOOKUP(Table1215[[#This Row],[Column2]],Table12[[Column2]:[Column54]],52,FALSE),"0")</f>
        <v>5</v>
      </c>
      <c r="BB71" s="80">
        <f>AVERAGE(Table1215[[#This Row],[Column52]],Table1215[[#This Row],[Column53]])</f>
        <v>4.5</v>
      </c>
    </row>
    <row r="72" spans="1:54" ht="23.1" customHeight="1" x14ac:dyDescent="0.3">
      <c r="A72" s="99">
        <v>69</v>
      </c>
      <c r="B72" s="76" t="s">
        <v>130</v>
      </c>
      <c r="C72" s="77" t="s">
        <v>131</v>
      </c>
      <c r="D72" s="76" t="s">
        <v>542</v>
      </c>
      <c r="E72" s="76" t="s">
        <v>35</v>
      </c>
      <c r="F72" s="76" t="str">
        <f>REPT(CHAR(160),10)&amp;Working!$E73</f>
        <v>          A</v>
      </c>
      <c r="G72" s="78">
        <f>IFERROR(VLOOKUP(Table1215[[#This Row],[Column2]],Table12[[Column2]:[Column54]],6,FALSE),"0")</f>
        <v>0</v>
      </c>
      <c r="H72" s="78">
        <f>IFERROR(VLOOKUP(Table1215[[#This Row],[Column2]],Table12[[Column2]:[Column54]],7,FALSE),"0")</f>
        <v>0</v>
      </c>
      <c r="I72" s="78">
        <f>IFERROR(VLOOKUP(Table1215[[#This Row],[Column2]],Table12[[Column2]:[Column54]],8,FALSE),"0")</f>
        <v>2</v>
      </c>
      <c r="J72" s="78">
        <f>IFERROR(VLOOKUP(Table1215[[#This Row],[Column2]],Table12[[Column2]:[Column54]],9,FALSE),"0")</f>
        <v>0</v>
      </c>
      <c r="K72" s="78">
        <f>IFERROR(VLOOKUP(Table1215[[#This Row],[Column2]],Table12[[Column2]:[Column54]],10,FALSE),"0")</f>
        <v>0</v>
      </c>
      <c r="L72" s="80">
        <f>Table1215[[#This Row],[Column9]]</f>
        <v>2</v>
      </c>
      <c r="M72" s="78">
        <f>IFERROR(VLOOKUP(Table1215[[#This Row],[Column2]],Table12[[Column2]:[Column54]],12,FALSE),"0")</f>
        <v>0</v>
      </c>
      <c r="N72" s="78">
        <f>IFERROR(VLOOKUP(Table1215[[#This Row],[Column2]],Table12[[Column2]:[Column54]],13,FALSE),"0")</f>
        <v>2</v>
      </c>
      <c r="O72" s="78">
        <f>IFERROR(VLOOKUP(Table1215[[#This Row],[Column2]],Table12[[Column2]:[Column54]],14,FALSE),"0")</f>
        <v>2</v>
      </c>
      <c r="P72" s="78">
        <f>IFERROR(VLOOKUP(Table1215[[#This Row],[Column2]],Table12[[Column2]:[Column54]],10,FALSE),"0")</f>
        <v>0</v>
      </c>
      <c r="Q72" s="78">
        <f>IFERROR(VLOOKUP(Table1215[[#This Row],[Column2]],Table12[[Column2]:[Column54]],16,FALSE),"0")</f>
        <v>2</v>
      </c>
      <c r="R72" s="80">
        <f>AVERAGE(Table1215[[#This Row],[Column14]],Table1215[[#This Row],[Column15]],Table1215[[#This Row],[Column17]])</f>
        <v>2</v>
      </c>
      <c r="S72" s="78">
        <f>IFERROR(VLOOKUP(Table1215[[#This Row],[Column2]],Table12[[Column2]:[Column54]],18,FALSE),"0")</f>
        <v>0</v>
      </c>
      <c r="T72" s="78">
        <f>IFERROR(VLOOKUP(Table1215[[#This Row],[Column2]],Table12[[Column2]:[Column54]],19,FALSE),"0")</f>
        <v>0</v>
      </c>
      <c r="U72" s="78">
        <f>IFERROR(VLOOKUP(Table1215[[#This Row],[Column2]],Table12[[Column2]:[Column54]],20,FALSE),"0")</f>
        <v>0</v>
      </c>
      <c r="V72" s="78">
        <f>IFERROR(VLOOKUP(Table1215[[#This Row],[Column2]],Table12[[Column2]:[Column54]],21,FALSE),"0")</f>
        <v>0</v>
      </c>
      <c r="W72" s="78">
        <f>IFERROR(VLOOKUP(Table1215[[#This Row],[Column2]],Table12[[Column2]:[Column54]],22,FALSE),"0")</f>
        <v>0</v>
      </c>
      <c r="X72" s="80">
        <f>Table1215[[#This Row],[Column19]]</f>
        <v>0</v>
      </c>
      <c r="Y72" s="78">
        <f>IFERROR(VLOOKUP(Table1215[[#This Row],[Column2]],Table12[[Column2]:[Column54]],24,FALSE),"0")</f>
        <v>2</v>
      </c>
      <c r="Z72" s="78">
        <f>IFERROR(VLOOKUP(Table1215[[#This Row],[Column2]],Table12[[Column2]:[Column54]],25,FALSE),"0")</f>
        <v>0</v>
      </c>
      <c r="AA72" s="78">
        <f>IFERROR(VLOOKUP(Table1215[[#This Row],[Column2]],Table12[[Column2]:[Column54]],26,FALSE),"0")</f>
        <v>0</v>
      </c>
      <c r="AB72" s="78">
        <f>IFERROR(VLOOKUP(Table1215[[#This Row],[Column2]],Table12[[Column2]:[Column54]],27,FALSE),"0")</f>
        <v>0</v>
      </c>
      <c r="AC72" s="78">
        <f>IFERROR(VLOOKUP(Table1215[[#This Row],[Column2]],Table12[[Column2]:[Column54]],28,FALSE),"0")</f>
        <v>0</v>
      </c>
      <c r="AD72" s="80">
        <f>Table1215[[#This Row],[Column25]]</f>
        <v>2</v>
      </c>
      <c r="AE72" s="78">
        <f>IFERROR(VLOOKUP(Table1215[[#This Row],[Column2]],Table12[[Column2]:[Column54]],30,FALSE),"0")</f>
        <v>0</v>
      </c>
      <c r="AF72" s="78">
        <f>IFERROR(VLOOKUP(Table1215[[#This Row],[Column2]],Table12[[Column2]:[Column54]],31,FALSE),"0")</f>
        <v>0</v>
      </c>
      <c r="AG72" s="78">
        <f>IFERROR(VLOOKUP(Table1215[[#This Row],[Column2]],Table12[[Column2]:[Column54]],32,FALSE),"0")</f>
        <v>0</v>
      </c>
      <c r="AH72" s="78">
        <f>IFERROR(VLOOKUP(Table1215[[#This Row],[Column2]],Table12[[Column2]:[Column54]],33,FALSE),"0")</f>
        <v>0</v>
      </c>
      <c r="AI72" s="78">
        <f>IFERROR(VLOOKUP(Table1215[[#This Row],[Column2]],Table12[[Column2]:[Column54]],34,FALSE),"0")</f>
        <v>0</v>
      </c>
      <c r="AJ72" s="80">
        <f>AVERAGE(Table1215[[#This Row],[Column31]],Table1215[[#This Row],[Column32]],Table1215[[#This Row],[Column33]])</f>
        <v>0</v>
      </c>
      <c r="AK72" s="78">
        <f>IFERROR(VLOOKUP(Table1215[[#This Row],[Column2]],Table12[[Column2]:[Column54]],36,FALSE),"0")</f>
        <v>2</v>
      </c>
      <c r="AL72" s="78">
        <f>IFERROR(VLOOKUP(Table1215[[#This Row],[Column2]],Table12[[Column2]:[Column54]],37,FALSE),"0")</f>
        <v>2</v>
      </c>
      <c r="AM72" s="78">
        <f>IFERROR(VLOOKUP(Table1215[[#This Row],[Column2]],Table12[[Column2]:[Column54]],38,FALSE),"0")</f>
        <v>0</v>
      </c>
      <c r="AN72" s="78">
        <f>IFERROR(VLOOKUP(Table1215[[#This Row],[Column2]],Table12[[Column2]:[Column54]],39,FALSE),"0")</f>
        <v>2</v>
      </c>
      <c r="AO72" s="78">
        <f>IFERROR(VLOOKUP(Table1215[[#This Row],[Column2]],Table12[[Column2]:[Column54]],40,FALSE),"0")</f>
        <v>0</v>
      </c>
      <c r="AP72" s="80">
        <f>AVERAGE(Table1215[[#This Row],[Column37]],Table1215[[#This Row],[Column38]],Table1215[[#This Row],[Column40]])</f>
        <v>2</v>
      </c>
      <c r="AQ72" s="78">
        <f>IFERROR(VLOOKUP(Table1215[[#This Row],[Column2]],Table12[[Column2]:[Column54]],42,FALSE),"0")</f>
        <v>2</v>
      </c>
      <c r="AR72" s="78">
        <f>IFERROR(VLOOKUP(Table1215[[#This Row],[Column2]],Table12[[Column2]:[Column54]],43,FALSE),"0")</f>
        <v>0</v>
      </c>
      <c r="AS72" s="78">
        <f>IFERROR(VLOOKUP(Table1215[[#This Row],[Column2]],Table12[[Column2]:[Column54]],44,FALSE),"0")</f>
        <v>0</v>
      </c>
      <c r="AT72" s="78">
        <f>IFERROR(VLOOKUP(Table1215[[#This Row],[Column2]],Table12[[Column2]:[Column54]],45,FALSE),"0")</f>
        <v>0</v>
      </c>
      <c r="AU72" s="78">
        <f>IFERROR(VLOOKUP(Table1215[[#This Row],[Column2]],Table12[[Column2]:[Column54]],46,FALSE),"0")</f>
        <v>0</v>
      </c>
      <c r="AV72" s="80">
        <f>Table1215[[#This Row],[Column43]]</f>
        <v>2</v>
      </c>
      <c r="AW72" s="78">
        <f>IFERROR(VLOOKUP(Table1215[[#This Row],[Column2]],Table12[[Column2]:[Column54]],48,FALSE),"0")</f>
        <v>0</v>
      </c>
      <c r="AX72" s="78">
        <f>IFERROR(VLOOKUP(Table1215[[#This Row],[Column2]],Table12[[Column2]:[Column54]],49,FALSE),"0")</f>
        <v>0</v>
      </c>
      <c r="AY72" s="78">
        <f>IFERROR(VLOOKUP(Table1215[[#This Row],[Column2]],Table12[[Column2]:[Column54]],50,FALSE),"0")</f>
        <v>0</v>
      </c>
      <c r="AZ72" s="78">
        <f>IFERROR(VLOOKUP(Table1215[[#This Row],[Column2]],Table12[[Column2]:[Column54]],51,FALSE),"0")</f>
        <v>2</v>
      </c>
      <c r="BA72" s="78">
        <f>IFERROR(VLOOKUP(Table1215[[#This Row],[Column2]],Table12[[Column2]:[Column54]],52,FALSE),"0")</f>
        <v>2</v>
      </c>
      <c r="BB72" s="80">
        <f>AVERAGE(Table1215[[#This Row],[Column52]],Table1215[[#This Row],[Column53]])</f>
        <v>2</v>
      </c>
    </row>
    <row r="73" spans="1:54" ht="23.1" customHeight="1" x14ac:dyDescent="0.3">
      <c r="A73" s="100">
        <v>70</v>
      </c>
      <c r="B73" s="83" t="s">
        <v>320</v>
      </c>
      <c r="C73" s="84" t="s">
        <v>321</v>
      </c>
      <c r="D73" s="83" t="s">
        <v>542</v>
      </c>
      <c r="E73" s="83" t="s">
        <v>493</v>
      </c>
      <c r="F73" s="83" t="str">
        <f>REPT(CHAR(160),10)&amp;Working!$E74</f>
        <v>          C</v>
      </c>
      <c r="G73" s="74">
        <f>IFERROR(VLOOKUP(Table1215[[#This Row],[Column2]],Table12[[Column2]:[Column54]],6,FALSE),"0")</f>
        <v>0</v>
      </c>
      <c r="H73" s="74">
        <f>IFERROR(VLOOKUP(Table1215[[#This Row],[Column2]],Table12[[Column2]:[Column54]],7,FALSE),"0")</f>
        <v>0</v>
      </c>
      <c r="I73" s="74">
        <f>IFERROR(VLOOKUP(Table1215[[#This Row],[Column2]],Table12[[Column2]:[Column54]],8,FALSE),"0")</f>
        <v>2</v>
      </c>
      <c r="J73" s="74">
        <f>IFERROR(VLOOKUP(Table1215[[#This Row],[Column2]],Table12[[Column2]:[Column54]],9,FALSE),"0")</f>
        <v>0</v>
      </c>
      <c r="K73" s="74">
        <f>IFERROR(VLOOKUP(Table1215[[#This Row],[Column2]],Table12[[Column2]:[Column54]],10,FALSE),"0")</f>
        <v>0</v>
      </c>
      <c r="L73" s="80">
        <f>Table1215[[#This Row],[Column9]]</f>
        <v>2</v>
      </c>
      <c r="M73" s="74">
        <f>IFERROR(VLOOKUP(Table1215[[#This Row],[Column2]],Table12[[Column2]:[Column54]],12,FALSE),"0")</f>
        <v>0</v>
      </c>
      <c r="N73" s="74">
        <f>IFERROR(VLOOKUP(Table1215[[#This Row],[Column2]],Table12[[Column2]:[Column54]],13,FALSE),"0")</f>
        <v>2</v>
      </c>
      <c r="O73" s="74">
        <f>IFERROR(VLOOKUP(Table1215[[#This Row],[Column2]],Table12[[Column2]:[Column54]],14,FALSE),"0")</f>
        <v>2</v>
      </c>
      <c r="P73" s="74">
        <f>IFERROR(VLOOKUP(Table1215[[#This Row],[Column2]],Table12[[Column2]:[Column54]],10,FALSE),"0")</f>
        <v>0</v>
      </c>
      <c r="Q73" s="74">
        <f>IFERROR(VLOOKUP(Table1215[[#This Row],[Column2]],Table12[[Column2]:[Column54]],16,FALSE),"0")</f>
        <v>2</v>
      </c>
      <c r="R73" s="80">
        <f>AVERAGE(Table1215[[#This Row],[Column14]],Table1215[[#This Row],[Column15]],Table1215[[#This Row],[Column17]])</f>
        <v>2</v>
      </c>
      <c r="S73" s="74">
        <f>IFERROR(VLOOKUP(Table1215[[#This Row],[Column2]],Table12[[Column2]:[Column54]],18,FALSE),"0")</f>
        <v>0</v>
      </c>
      <c r="T73" s="74">
        <f>IFERROR(VLOOKUP(Table1215[[#This Row],[Column2]],Table12[[Column2]:[Column54]],19,FALSE),"0")</f>
        <v>0</v>
      </c>
      <c r="U73" s="74">
        <f>IFERROR(VLOOKUP(Table1215[[#This Row],[Column2]],Table12[[Column2]:[Column54]],20,FALSE),"0")</f>
        <v>0</v>
      </c>
      <c r="V73" s="74">
        <f>IFERROR(VLOOKUP(Table1215[[#This Row],[Column2]],Table12[[Column2]:[Column54]],21,FALSE),"0")</f>
        <v>0</v>
      </c>
      <c r="W73" s="74">
        <f>IFERROR(VLOOKUP(Table1215[[#This Row],[Column2]],Table12[[Column2]:[Column54]],22,FALSE),"0")</f>
        <v>0</v>
      </c>
      <c r="X73" s="80">
        <f>Table1215[[#This Row],[Column19]]</f>
        <v>0</v>
      </c>
      <c r="Y73" s="74">
        <f>IFERROR(VLOOKUP(Table1215[[#This Row],[Column2]],Table12[[Column2]:[Column54]],24,FALSE),"0")</f>
        <v>2</v>
      </c>
      <c r="Z73" s="74">
        <f>IFERROR(VLOOKUP(Table1215[[#This Row],[Column2]],Table12[[Column2]:[Column54]],25,FALSE),"0")</f>
        <v>0</v>
      </c>
      <c r="AA73" s="74">
        <f>IFERROR(VLOOKUP(Table1215[[#This Row],[Column2]],Table12[[Column2]:[Column54]],26,FALSE),"0")</f>
        <v>0</v>
      </c>
      <c r="AB73" s="74">
        <f>IFERROR(VLOOKUP(Table1215[[#This Row],[Column2]],Table12[[Column2]:[Column54]],27,FALSE),"0")</f>
        <v>0</v>
      </c>
      <c r="AC73" s="74">
        <f>IFERROR(VLOOKUP(Table1215[[#This Row],[Column2]],Table12[[Column2]:[Column54]],28,FALSE),"0")</f>
        <v>0</v>
      </c>
      <c r="AD73" s="80">
        <f>Table1215[[#This Row],[Column25]]</f>
        <v>2</v>
      </c>
      <c r="AE73" s="74">
        <f>IFERROR(VLOOKUP(Table1215[[#This Row],[Column2]],Table12[[Column2]:[Column54]],30,FALSE),"0")</f>
        <v>0</v>
      </c>
      <c r="AF73" s="74">
        <f>IFERROR(VLOOKUP(Table1215[[#This Row],[Column2]],Table12[[Column2]:[Column54]],31,FALSE),"0")</f>
        <v>0</v>
      </c>
      <c r="AG73" s="74">
        <f>IFERROR(VLOOKUP(Table1215[[#This Row],[Column2]],Table12[[Column2]:[Column54]],32,FALSE),"0")</f>
        <v>0</v>
      </c>
      <c r="AH73" s="74">
        <f>IFERROR(VLOOKUP(Table1215[[#This Row],[Column2]],Table12[[Column2]:[Column54]],33,FALSE),"0")</f>
        <v>0</v>
      </c>
      <c r="AI73" s="74">
        <f>IFERROR(VLOOKUP(Table1215[[#This Row],[Column2]],Table12[[Column2]:[Column54]],34,FALSE),"0")</f>
        <v>0</v>
      </c>
      <c r="AJ73" s="80">
        <f>AVERAGE(Table1215[[#This Row],[Column31]],Table1215[[#This Row],[Column32]],Table1215[[#This Row],[Column33]])</f>
        <v>0</v>
      </c>
      <c r="AK73" s="74">
        <f>IFERROR(VLOOKUP(Table1215[[#This Row],[Column2]],Table12[[Column2]:[Column54]],36,FALSE),"0")</f>
        <v>2</v>
      </c>
      <c r="AL73" s="74">
        <f>IFERROR(VLOOKUP(Table1215[[#This Row],[Column2]],Table12[[Column2]:[Column54]],37,FALSE),"0")</f>
        <v>3</v>
      </c>
      <c r="AM73" s="74">
        <f>IFERROR(VLOOKUP(Table1215[[#This Row],[Column2]],Table12[[Column2]:[Column54]],38,FALSE),"0")</f>
        <v>0</v>
      </c>
      <c r="AN73" s="74">
        <f>IFERROR(VLOOKUP(Table1215[[#This Row],[Column2]],Table12[[Column2]:[Column54]],39,FALSE),"0")</f>
        <v>3</v>
      </c>
      <c r="AO73" s="74">
        <f>IFERROR(VLOOKUP(Table1215[[#This Row],[Column2]],Table12[[Column2]:[Column54]],40,FALSE),"0")</f>
        <v>0</v>
      </c>
      <c r="AP73" s="80">
        <f>AVERAGE(Table1215[[#This Row],[Column37]],Table1215[[#This Row],[Column38]],Table1215[[#This Row],[Column40]])</f>
        <v>2.6666666666666665</v>
      </c>
      <c r="AQ73" s="74">
        <f>IFERROR(VLOOKUP(Table1215[[#This Row],[Column2]],Table12[[Column2]:[Column54]],42,FALSE),"0")</f>
        <v>3</v>
      </c>
      <c r="AR73" s="74">
        <f>IFERROR(VLOOKUP(Table1215[[#This Row],[Column2]],Table12[[Column2]:[Column54]],43,FALSE),"0")</f>
        <v>0</v>
      </c>
      <c r="AS73" s="74">
        <f>IFERROR(VLOOKUP(Table1215[[#This Row],[Column2]],Table12[[Column2]:[Column54]],44,FALSE),"0")</f>
        <v>0</v>
      </c>
      <c r="AT73" s="74">
        <f>IFERROR(VLOOKUP(Table1215[[#This Row],[Column2]],Table12[[Column2]:[Column54]],45,FALSE),"0")</f>
        <v>0</v>
      </c>
      <c r="AU73" s="74">
        <f>IFERROR(VLOOKUP(Table1215[[#This Row],[Column2]],Table12[[Column2]:[Column54]],46,FALSE),"0")</f>
        <v>0</v>
      </c>
      <c r="AV73" s="80">
        <f>Table1215[[#This Row],[Column43]]</f>
        <v>3</v>
      </c>
      <c r="AW73" s="74">
        <f>IFERROR(VLOOKUP(Table1215[[#This Row],[Column2]],Table12[[Column2]:[Column54]],48,FALSE),"0")</f>
        <v>0</v>
      </c>
      <c r="AX73" s="74">
        <f>IFERROR(VLOOKUP(Table1215[[#This Row],[Column2]],Table12[[Column2]:[Column54]],49,FALSE),"0")</f>
        <v>0</v>
      </c>
      <c r="AY73" s="74">
        <f>IFERROR(VLOOKUP(Table1215[[#This Row],[Column2]],Table12[[Column2]:[Column54]],50,FALSE),"0")</f>
        <v>0</v>
      </c>
      <c r="AZ73" s="74">
        <f>IFERROR(VLOOKUP(Table1215[[#This Row],[Column2]],Table12[[Column2]:[Column54]],51,FALSE),"0")</f>
        <v>3</v>
      </c>
      <c r="BA73" s="74">
        <f>IFERROR(VLOOKUP(Table1215[[#This Row],[Column2]],Table12[[Column2]:[Column54]],52,FALSE),"0")</f>
        <v>2</v>
      </c>
      <c r="BB73" s="80">
        <f>AVERAGE(Table1215[[#This Row],[Column52]],Table1215[[#This Row],[Column53]])</f>
        <v>2.5</v>
      </c>
    </row>
    <row r="74" spans="1:54" ht="23.1" customHeight="1" x14ac:dyDescent="0.3">
      <c r="A74" s="99">
        <v>71</v>
      </c>
      <c r="B74" s="76" t="s">
        <v>132</v>
      </c>
      <c r="C74" s="77" t="s">
        <v>133</v>
      </c>
      <c r="D74" s="76" t="s">
        <v>542</v>
      </c>
      <c r="E74" s="76" t="s">
        <v>35</v>
      </c>
      <c r="F74" s="76" t="str">
        <f>REPT(CHAR(160),10)&amp;Working!$E75</f>
        <v>          A</v>
      </c>
      <c r="G74" s="78">
        <f>IFERROR(VLOOKUP(Table1215[[#This Row],[Column2]],Table12[[Column2]:[Column54]],6,FALSE),"0")</f>
        <v>0</v>
      </c>
      <c r="H74" s="78">
        <f>IFERROR(VLOOKUP(Table1215[[#This Row],[Column2]],Table12[[Column2]:[Column54]],7,FALSE),"0")</f>
        <v>0</v>
      </c>
      <c r="I74" s="78">
        <f>IFERROR(VLOOKUP(Table1215[[#This Row],[Column2]],Table12[[Column2]:[Column54]],8,FALSE),"0")</f>
        <v>3</v>
      </c>
      <c r="J74" s="78">
        <f>IFERROR(VLOOKUP(Table1215[[#This Row],[Column2]],Table12[[Column2]:[Column54]],9,FALSE),"0")</f>
        <v>0</v>
      </c>
      <c r="K74" s="78">
        <f>IFERROR(VLOOKUP(Table1215[[#This Row],[Column2]],Table12[[Column2]:[Column54]],10,FALSE),"0")</f>
        <v>0</v>
      </c>
      <c r="L74" s="80">
        <f>Table1215[[#This Row],[Column9]]</f>
        <v>3</v>
      </c>
      <c r="M74" s="78">
        <f>IFERROR(VLOOKUP(Table1215[[#This Row],[Column2]],Table12[[Column2]:[Column54]],12,FALSE),"0")</f>
        <v>0</v>
      </c>
      <c r="N74" s="78">
        <f>IFERROR(VLOOKUP(Table1215[[#This Row],[Column2]],Table12[[Column2]:[Column54]],13,FALSE),"0")</f>
        <v>2</v>
      </c>
      <c r="O74" s="78">
        <f>IFERROR(VLOOKUP(Table1215[[#This Row],[Column2]],Table12[[Column2]:[Column54]],14,FALSE),"0")</f>
        <v>2</v>
      </c>
      <c r="P74" s="78">
        <f>IFERROR(VLOOKUP(Table1215[[#This Row],[Column2]],Table12[[Column2]:[Column54]],10,FALSE),"0")</f>
        <v>0</v>
      </c>
      <c r="Q74" s="78">
        <f>IFERROR(VLOOKUP(Table1215[[#This Row],[Column2]],Table12[[Column2]:[Column54]],16,FALSE),"0")</f>
        <v>2</v>
      </c>
      <c r="R74" s="80">
        <f>AVERAGE(Table1215[[#This Row],[Column14]],Table1215[[#This Row],[Column15]],Table1215[[#This Row],[Column17]])</f>
        <v>2</v>
      </c>
      <c r="S74" s="78">
        <f>IFERROR(VLOOKUP(Table1215[[#This Row],[Column2]],Table12[[Column2]:[Column54]],18,FALSE),"0")</f>
        <v>0</v>
      </c>
      <c r="T74" s="78">
        <f>IFERROR(VLOOKUP(Table1215[[#This Row],[Column2]],Table12[[Column2]:[Column54]],19,FALSE),"0")</f>
        <v>0</v>
      </c>
      <c r="U74" s="78">
        <f>IFERROR(VLOOKUP(Table1215[[#This Row],[Column2]],Table12[[Column2]:[Column54]],20,FALSE),"0")</f>
        <v>0</v>
      </c>
      <c r="V74" s="78">
        <f>IFERROR(VLOOKUP(Table1215[[#This Row],[Column2]],Table12[[Column2]:[Column54]],21,FALSE),"0")</f>
        <v>0</v>
      </c>
      <c r="W74" s="78">
        <f>IFERROR(VLOOKUP(Table1215[[#This Row],[Column2]],Table12[[Column2]:[Column54]],22,FALSE),"0")</f>
        <v>0</v>
      </c>
      <c r="X74" s="80">
        <f>Table1215[[#This Row],[Column19]]</f>
        <v>0</v>
      </c>
      <c r="Y74" s="78">
        <f>IFERROR(VLOOKUP(Table1215[[#This Row],[Column2]],Table12[[Column2]:[Column54]],24,FALSE),"0")</f>
        <v>2</v>
      </c>
      <c r="Z74" s="78">
        <f>IFERROR(VLOOKUP(Table1215[[#This Row],[Column2]],Table12[[Column2]:[Column54]],25,FALSE),"0")</f>
        <v>0</v>
      </c>
      <c r="AA74" s="78">
        <f>IFERROR(VLOOKUP(Table1215[[#This Row],[Column2]],Table12[[Column2]:[Column54]],26,FALSE),"0")</f>
        <v>0</v>
      </c>
      <c r="AB74" s="78">
        <f>IFERROR(VLOOKUP(Table1215[[#This Row],[Column2]],Table12[[Column2]:[Column54]],27,FALSE),"0")</f>
        <v>0</v>
      </c>
      <c r="AC74" s="78">
        <f>IFERROR(VLOOKUP(Table1215[[#This Row],[Column2]],Table12[[Column2]:[Column54]],28,FALSE),"0")</f>
        <v>0</v>
      </c>
      <c r="AD74" s="80">
        <f>Table1215[[#This Row],[Column25]]</f>
        <v>2</v>
      </c>
      <c r="AE74" s="78">
        <f>IFERROR(VLOOKUP(Table1215[[#This Row],[Column2]],Table12[[Column2]:[Column54]],30,FALSE),"0")</f>
        <v>0</v>
      </c>
      <c r="AF74" s="78">
        <f>IFERROR(VLOOKUP(Table1215[[#This Row],[Column2]],Table12[[Column2]:[Column54]],31,FALSE),"0")</f>
        <v>0</v>
      </c>
      <c r="AG74" s="78">
        <f>IFERROR(VLOOKUP(Table1215[[#This Row],[Column2]],Table12[[Column2]:[Column54]],32,FALSE),"0")</f>
        <v>0</v>
      </c>
      <c r="AH74" s="78">
        <f>IFERROR(VLOOKUP(Table1215[[#This Row],[Column2]],Table12[[Column2]:[Column54]],33,FALSE),"0")</f>
        <v>0</v>
      </c>
      <c r="AI74" s="78">
        <f>IFERROR(VLOOKUP(Table1215[[#This Row],[Column2]],Table12[[Column2]:[Column54]],34,FALSE),"0")</f>
        <v>0</v>
      </c>
      <c r="AJ74" s="80">
        <f>AVERAGE(Table1215[[#This Row],[Column31]],Table1215[[#This Row],[Column32]],Table1215[[#This Row],[Column33]])</f>
        <v>0</v>
      </c>
      <c r="AK74" s="78">
        <f>IFERROR(VLOOKUP(Table1215[[#This Row],[Column2]],Table12[[Column2]:[Column54]],36,FALSE),"0")</f>
        <v>3</v>
      </c>
      <c r="AL74" s="78">
        <f>IFERROR(VLOOKUP(Table1215[[#This Row],[Column2]],Table12[[Column2]:[Column54]],37,FALSE),"0")</f>
        <v>3</v>
      </c>
      <c r="AM74" s="78">
        <f>IFERROR(VLOOKUP(Table1215[[#This Row],[Column2]],Table12[[Column2]:[Column54]],38,FALSE),"0")</f>
        <v>0</v>
      </c>
      <c r="AN74" s="78">
        <f>IFERROR(VLOOKUP(Table1215[[#This Row],[Column2]],Table12[[Column2]:[Column54]],39,FALSE),"0")</f>
        <v>3</v>
      </c>
      <c r="AO74" s="78">
        <f>IFERROR(VLOOKUP(Table1215[[#This Row],[Column2]],Table12[[Column2]:[Column54]],40,FALSE),"0")</f>
        <v>0</v>
      </c>
      <c r="AP74" s="80">
        <f>AVERAGE(Table1215[[#This Row],[Column37]],Table1215[[#This Row],[Column38]],Table1215[[#This Row],[Column40]])</f>
        <v>3</v>
      </c>
      <c r="AQ74" s="78">
        <f>IFERROR(VLOOKUP(Table1215[[#This Row],[Column2]],Table12[[Column2]:[Column54]],42,FALSE),"0")</f>
        <v>3</v>
      </c>
      <c r="AR74" s="78">
        <f>IFERROR(VLOOKUP(Table1215[[#This Row],[Column2]],Table12[[Column2]:[Column54]],43,FALSE),"0")</f>
        <v>0</v>
      </c>
      <c r="AS74" s="78">
        <f>IFERROR(VLOOKUP(Table1215[[#This Row],[Column2]],Table12[[Column2]:[Column54]],44,FALSE),"0")</f>
        <v>0</v>
      </c>
      <c r="AT74" s="78">
        <f>IFERROR(VLOOKUP(Table1215[[#This Row],[Column2]],Table12[[Column2]:[Column54]],45,FALSE),"0")</f>
        <v>0</v>
      </c>
      <c r="AU74" s="78">
        <f>IFERROR(VLOOKUP(Table1215[[#This Row],[Column2]],Table12[[Column2]:[Column54]],46,FALSE),"0")</f>
        <v>0</v>
      </c>
      <c r="AV74" s="80">
        <f>Table1215[[#This Row],[Column43]]</f>
        <v>3</v>
      </c>
      <c r="AW74" s="78">
        <f>IFERROR(VLOOKUP(Table1215[[#This Row],[Column2]],Table12[[Column2]:[Column54]],48,FALSE),"0")</f>
        <v>0</v>
      </c>
      <c r="AX74" s="78">
        <f>IFERROR(VLOOKUP(Table1215[[#This Row],[Column2]],Table12[[Column2]:[Column54]],49,FALSE),"0")</f>
        <v>0</v>
      </c>
      <c r="AY74" s="78">
        <f>IFERROR(VLOOKUP(Table1215[[#This Row],[Column2]],Table12[[Column2]:[Column54]],50,FALSE),"0")</f>
        <v>0</v>
      </c>
      <c r="AZ74" s="78">
        <f>IFERROR(VLOOKUP(Table1215[[#This Row],[Column2]],Table12[[Column2]:[Column54]],51,FALSE),"0")</f>
        <v>3</v>
      </c>
      <c r="BA74" s="78">
        <f>IFERROR(VLOOKUP(Table1215[[#This Row],[Column2]],Table12[[Column2]:[Column54]],52,FALSE),"0")</f>
        <v>3</v>
      </c>
      <c r="BB74" s="80">
        <f>AVERAGE(Table1215[[#This Row],[Column52]],Table1215[[#This Row],[Column53]])</f>
        <v>3</v>
      </c>
    </row>
    <row r="75" spans="1:54" ht="23.1" customHeight="1" x14ac:dyDescent="0.3">
      <c r="A75" s="100">
        <v>72</v>
      </c>
      <c r="B75" s="83" t="s">
        <v>166</v>
      </c>
      <c r="C75" s="84" t="s">
        <v>167</v>
      </c>
      <c r="D75" s="83" t="s">
        <v>542</v>
      </c>
      <c r="E75" s="83" t="s">
        <v>161</v>
      </c>
      <c r="F75" s="83" t="str">
        <f>REPT(CHAR(160),10)&amp;Working!$E76</f>
        <v>          B</v>
      </c>
      <c r="G75" s="74">
        <f>IFERROR(VLOOKUP(Table1215[[#This Row],[Column2]],Table12[[Column2]:[Column54]],6,FALSE),"0")</f>
        <v>0</v>
      </c>
      <c r="H75" s="74">
        <f>IFERROR(VLOOKUP(Table1215[[#This Row],[Column2]],Table12[[Column2]:[Column54]],7,FALSE),"0")</f>
        <v>0</v>
      </c>
      <c r="I75" s="74">
        <f>IFERROR(VLOOKUP(Table1215[[#This Row],[Column2]],Table12[[Column2]:[Column54]],8,FALSE),"0")</f>
        <v>2</v>
      </c>
      <c r="J75" s="74">
        <f>IFERROR(VLOOKUP(Table1215[[#This Row],[Column2]],Table12[[Column2]:[Column54]],9,FALSE),"0")</f>
        <v>0</v>
      </c>
      <c r="K75" s="74">
        <f>IFERROR(VLOOKUP(Table1215[[#This Row],[Column2]],Table12[[Column2]:[Column54]],10,FALSE),"0")</f>
        <v>0</v>
      </c>
      <c r="L75" s="80">
        <f>Table1215[[#This Row],[Column9]]</f>
        <v>2</v>
      </c>
      <c r="M75" s="74">
        <f>IFERROR(VLOOKUP(Table1215[[#This Row],[Column2]],Table12[[Column2]:[Column54]],12,FALSE),"0")</f>
        <v>0</v>
      </c>
      <c r="N75" s="74">
        <f>IFERROR(VLOOKUP(Table1215[[#This Row],[Column2]],Table12[[Column2]:[Column54]],13,FALSE),"0")</f>
        <v>2</v>
      </c>
      <c r="O75" s="74">
        <f>IFERROR(VLOOKUP(Table1215[[#This Row],[Column2]],Table12[[Column2]:[Column54]],14,FALSE),"0")</f>
        <v>2</v>
      </c>
      <c r="P75" s="74">
        <f>IFERROR(VLOOKUP(Table1215[[#This Row],[Column2]],Table12[[Column2]:[Column54]],10,FALSE),"0")</f>
        <v>0</v>
      </c>
      <c r="Q75" s="74">
        <f>IFERROR(VLOOKUP(Table1215[[#This Row],[Column2]],Table12[[Column2]:[Column54]],16,FALSE),"0")</f>
        <v>2</v>
      </c>
      <c r="R75" s="80">
        <f>AVERAGE(Table1215[[#This Row],[Column14]],Table1215[[#This Row],[Column15]],Table1215[[#This Row],[Column17]])</f>
        <v>2</v>
      </c>
      <c r="S75" s="74">
        <f>IFERROR(VLOOKUP(Table1215[[#This Row],[Column2]],Table12[[Column2]:[Column54]],18,FALSE),"0")</f>
        <v>0</v>
      </c>
      <c r="T75" s="74">
        <f>IFERROR(VLOOKUP(Table1215[[#This Row],[Column2]],Table12[[Column2]:[Column54]],19,FALSE),"0")</f>
        <v>0</v>
      </c>
      <c r="U75" s="74">
        <f>IFERROR(VLOOKUP(Table1215[[#This Row],[Column2]],Table12[[Column2]:[Column54]],20,FALSE),"0")</f>
        <v>0</v>
      </c>
      <c r="V75" s="74">
        <f>IFERROR(VLOOKUP(Table1215[[#This Row],[Column2]],Table12[[Column2]:[Column54]],21,FALSE),"0")</f>
        <v>0</v>
      </c>
      <c r="W75" s="74">
        <f>IFERROR(VLOOKUP(Table1215[[#This Row],[Column2]],Table12[[Column2]:[Column54]],22,FALSE),"0")</f>
        <v>0</v>
      </c>
      <c r="X75" s="80">
        <f>Table1215[[#This Row],[Column19]]</f>
        <v>0</v>
      </c>
      <c r="Y75" s="74">
        <f>IFERROR(VLOOKUP(Table1215[[#This Row],[Column2]],Table12[[Column2]:[Column54]],24,FALSE),"0")</f>
        <v>2</v>
      </c>
      <c r="Z75" s="74">
        <f>IFERROR(VLOOKUP(Table1215[[#This Row],[Column2]],Table12[[Column2]:[Column54]],25,FALSE),"0")</f>
        <v>0</v>
      </c>
      <c r="AA75" s="74">
        <f>IFERROR(VLOOKUP(Table1215[[#This Row],[Column2]],Table12[[Column2]:[Column54]],26,FALSE),"0")</f>
        <v>0</v>
      </c>
      <c r="AB75" s="74">
        <f>IFERROR(VLOOKUP(Table1215[[#This Row],[Column2]],Table12[[Column2]:[Column54]],27,FALSE),"0")</f>
        <v>0</v>
      </c>
      <c r="AC75" s="74">
        <f>IFERROR(VLOOKUP(Table1215[[#This Row],[Column2]],Table12[[Column2]:[Column54]],28,FALSE),"0")</f>
        <v>0</v>
      </c>
      <c r="AD75" s="80">
        <f>Table1215[[#This Row],[Column25]]</f>
        <v>2</v>
      </c>
      <c r="AE75" s="74">
        <f>IFERROR(VLOOKUP(Table1215[[#This Row],[Column2]],Table12[[Column2]:[Column54]],30,FALSE),"0")</f>
        <v>0</v>
      </c>
      <c r="AF75" s="74">
        <f>IFERROR(VLOOKUP(Table1215[[#This Row],[Column2]],Table12[[Column2]:[Column54]],31,FALSE),"0")</f>
        <v>0</v>
      </c>
      <c r="AG75" s="74">
        <f>IFERROR(VLOOKUP(Table1215[[#This Row],[Column2]],Table12[[Column2]:[Column54]],32,FALSE),"0")</f>
        <v>0</v>
      </c>
      <c r="AH75" s="74">
        <f>IFERROR(VLOOKUP(Table1215[[#This Row],[Column2]],Table12[[Column2]:[Column54]],33,FALSE),"0")</f>
        <v>0</v>
      </c>
      <c r="AI75" s="74">
        <f>IFERROR(VLOOKUP(Table1215[[#This Row],[Column2]],Table12[[Column2]:[Column54]],34,FALSE),"0")</f>
        <v>0</v>
      </c>
      <c r="AJ75" s="80">
        <f>AVERAGE(Table1215[[#This Row],[Column31]],Table1215[[#This Row],[Column32]],Table1215[[#This Row],[Column33]])</f>
        <v>0</v>
      </c>
      <c r="AK75" s="74">
        <f>IFERROR(VLOOKUP(Table1215[[#This Row],[Column2]],Table12[[Column2]:[Column54]],36,FALSE),"0")</f>
        <v>2</v>
      </c>
      <c r="AL75" s="74">
        <f>IFERROR(VLOOKUP(Table1215[[#This Row],[Column2]],Table12[[Column2]:[Column54]],37,FALSE),"0")</f>
        <v>2</v>
      </c>
      <c r="AM75" s="74">
        <f>IFERROR(VLOOKUP(Table1215[[#This Row],[Column2]],Table12[[Column2]:[Column54]],38,FALSE),"0")</f>
        <v>0</v>
      </c>
      <c r="AN75" s="74">
        <f>IFERROR(VLOOKUP(Table1215[[#This Row],[Column2]],Table12[[Column2]:[Column54]],39,FALSE),"0")</f>
        <v>3</v>
      </c>
      <c r="AO75" s="74">
        <f>IFERROR(VLOOKUP(Table1215[[#This Row],[Column2]],Table12[[Column2]:[Column54]],40,FALSE),"0")</f>
        <v>0</v>
      </c>
      <c r="AP75" s="80">
        <f>AVERAGE(Table1215[[#This Row],[Column37]],Table1215[[#This Row],[Column38]],Table1215[[#This Row],[Column40]])</f>
        <v>2.3333333333333335</v>
      </c>
      <c r="AQ75" s="74">
        <f>IFERROR(VLOOKUP(Table1215[[#This Row],[Column2]],Table12[[Column2]:[Column54]],42,FALSE),"0")</f>
        <v>2</v>
      </c>
      <c r="AR75" s="74">
        <f>IFERROR(VLOOKUP(Table1215[[#This Row],[Column2]],Table12[[Column2]:[Column54]],43,FALSE),"0")</f>
        <v>0</v>
      </c>
      <c r="AS75" s="74">
        <f>IFERROR(VLOOKUP(Table1215[[#This Row],[Column2]],Table12[[Column2]:[Column54]],44,FALSE),"0")</f>
        <v>0</v>
      </c>
      <c r="AT75" s="74">
        <f>IFERROR(VLOOKUP(Table1215[[#This Row],[Column2]],Table12[[Column2]:[Column54]],45,FALSE),"0")</f>
        <v>0</v>
      </c>
      <c r="AU75" s="74">
        <f>IFERROR(VLOOKUP(Table1215[[#This Row],[Column2]],Table12[[Column2]:[Column54]],46,FALSE),"0")</f>
        <v>0</v>
      </c>
      <c r="AV75" s="80">
        <f>Table1215[[#This Row],[Column43]]</f>
        <v>2</v>
      </c>
      <c r="AW75" s="74">
        <f>IFERROR(VLOOKUP(Table1215[[#This Row],[Column2]],Table12[[Column2]:[Column54]],48,FALSE),"0")</f>
        <v>0</v>
      </c>
      <c r="AX75" s="74">
        <f>IFERROR(VLOOKUP(Table1215[[#This Row],[Column2]],Table12[[Column2]:[Column54]],49,FALSE),"0")</f>
        <v>0</v>
      </c>
      <c r="AY75" s="74">
        <f>IFERROR(VLOOKUP(Table1215[[#This Row],[Column2]],Table12[[Column2]:[Column54]],50,FALSE),"0")</f>
        <v>0</v>
      </c>
      <c r="AZ75" s="74">
        <f>IFERROR(VLOOKUP(Table1215[[#This Row],[Column2]],Table12[[Column2]:[Column54]],51,FALSE),"0")</f>
        <v>2</v>
      </c>
      <c r="BA75" s="74">
        <f>IFERROR(VLOOKUP(Table1215[[#This Row],[Column2]],Table12[[Column2]:[Column54]],52,FALSE),"0")</f>
        <v>3</v>
      </c>
      <c r="BB75" s="80">
        <f>AVERAGE(Table1215[[#This Row],[Column52]],Table1215[[#This Row],[Column53]])</f>
        <v>2.5</v>
      </c>
    </row>
    <row r="76" spans="1:54" ht="23.1" customHeight="1" x14ac:dyDescent="0.3">
      <c r="A76" s="99">
        <v>73</v>
      </c>
      <c r="B76" s="76" t="s">
        <v>182</v>
      </c>
      <c r="C76" s="77" t="s">
        <v>183</v>
      </c>
      <c r="D76" s="76" t="s">
        <v>450</v>
      </c>
      <c r="E76" s="76" t="s">
        <v>161</v>
      </c>
      <c r="F76" s="76" t="str">
        <f>REPT(CHAR(160),10)&amp;Working!$E77</f>
        <v>          B</v>
      </c>
      <c r="G76" s="78">
        <f>IFERROR(VLOOKUP(Table1215[[#This Row],[Column2]],Table12[[Column2]:[Column54]],6,FALSE),"0")</f>
        <v>0</v>
      </c>
      <c r="H76" s="78">
        <f>IFERROR(VLOOKUP(Table1215[[#This Row],[Column2]],Table12[[Column2]:[Column54]],7,FALSE),"0")</f>
        <v>0</v>
      </c>
      <c r="I76" s="78">
        <f>IFERROR(VLOOKUP(Table1215[[#This Row],[Column2]],Table12[[Column2]:[Column54]],8,FALSE),"0")</f>
        <v>3</v>
      </c>
      <c r="J76" s="78">
        <f>IFERROR(VLOOKUP(Table1215[[#This Row],[Column2]],Table12[[Column2]:[Column54]],9,FALSE),"0")</f>
        <v>0</v>
      </c>
      <c r="K76" s="78">
        <f>IFERROR(VLOOKUP(Table1215[[#This Row],[Column2]],Table12[[Column2]:[Column54]],10,FALSE),"0")</f>
        <v>0</v>
      </c>
      <c r="L76" s="80">
        <f>Table1215[[#This Row],[Column9]]</f>
        <v>3</v>
      </c>
      <c r="M76" s="78">
        <f>IFERROR(VLOOKUP(Table1215[[#This Row],[Column2]],Table12[[Column2]:[Column54]],12,FALSE),"0")</f>
        <v>0</v>
      </c>
      <c r="N76" s="78">
        <f>IFERROR(VLOOKUP(Table1215[[#This Row],[Column2]],Table12[[Column2]:[Column54]],13,FALSE),"0")</f>
        <v>3</v>
      </c>
      <c r="O76" s="78">
        <f>IFERROR(VLOOKUP(Table1215[[#This Row],[Column2]],Table12[[Column2]:[Column54]],14,FALSE),"0")</f>
        <v>3</v>
      </c>
      <c r="P76" s="78">
        <f>IFERROR(VLOOKUP(Table1215[[#This Row],[Column2]],Table12[[Column2]:[Column54]],10,FALSE),"0")</f>
        <v>0</v>
      </c>
      <c r="Q76" s="78">
        <f>IFERROR(VLOOKUP(Table1215[[#This Row],[Column2]],Table12[[Column2]:[Column54]],16,FALSE),"0")</f>
        <v>3</v>
      </c>
      <c r="R76" s="80">
        <f>AVERAGE(Table1215[[#This Row],[Column14]],Table1215[[#This Row],[Column15]],Table1215[[#This Row],[Column17]])</f>
        <v>3</v>
      </c>
      <c r="S76" s="78">
        <f>IFERROR(VLOOKUP(Table1215[[#This Row],[Column2]],Table12[[Column2]:[Column54]],18,FALSE),"0")</f>
        <v>0</v>
      </c>
      <c r="T76" s="78">
        <f>IFERROR(VLOOKUP(Table1215[[#This Row],[Column2]],Table12[[Column2]:[Column54]],19,FALSE),"0")</f>
        <v>0</v>
      </c>
      <c r="U76" s="78">
        <f>IFERROR(VLOOKUP(Table1215[[#This Row],[Column2]],Table12[[Column2]:[Column54]],20,FALSE),"0")</f>
        <v>0</v>
      </c>
      <c r="V76" s="78">
        <f>IFERROR(VLOOKUP(Table1215[[#This Row],[Column2]],Table12[[Column2]:[Column54]],21,FALSE),"0")</f>
        <v>0</v>
      </c>
      <c r="W76" s="78">
        <f>IFERROR(VLOOKUP(Table1215[[#This Row],[Column2]],Table12[[Column2]:[Column54]],22,FALSE),"0")</f>
        <v>0</v>
      </c>
      <c r="X76" s="80">
        <f>Table1215[[#This Row],[Column19]]</f>
        <v>0</v>
      </c>
      <c r="Y76" s="78">
        <f>IFERROR(VLOOKUP(Table1215[[#This Row],[Column2]],Table12[[Column2]:[Column54]],24,FALSE),"0")</f>
        <v>3</v>
      </c>
      <c r="Z76" s="78">
        <f>IFERROR(VLOOKUP(Table1215[[#This Row],[Column2]],Table12[[Column2]:[Column54]],25,FALSE),"0")</f>
        <v>0</v>
      </c>
      <c r="AA76" s="78">
        <f>IFERROR(VLOOKUP(Table1215[[#This Row],[Column2]],Table12[[Column2]:[Column54]],26,FALSE),"0")</f>
        <v>0</v>
      </c>
      <c r="AB76" s="78">
        <f>IFERROR(VLOOKUP(Table1215[[#This Row],[Column2]],Table12[[Column2]:[Column54]],27,FALSE),"0")</f>
        <v>0</v>
      </c>
      <c r="AC76" s="78">
        <f>IFERROR(VLOOKUP(Table1215[[#This Row],[Column2]],Table12[[Column2]:[Column54]],28,FALSE),"0")</f>
        <v>0</v>
      </c>
      <c r="AD76" s="80">
        <f>Table1215[[#This Row],[Column25]]</f>
        <v>3</v>
      </c>
      <c r="AE76" s="78">
        <f>IFERROR(VLOOKUP(Table1215[[#This Row],[Column2]],Table12[[Column2]:[Column54]],30,FALSE),"0")</f>
        <v>0</v>
      </c>
      <c r="AF76" s="78">
        <f>IFERROR(VLOOKUP(Table1215[[#This Row],[Column2]],Table12[[Column2]:[Column54]],31,FALSE),"0")</f>
        <v>0</v>
      </c>
      <c r="AG76" s="78">
        <f>IFERROR(VLOOKUP(Table1215[[#This Row],[Column2]],Table12[[Column2]:[Column54]],32,FALSE),"0")</f>
        <v>0</v>
      </c>
      <c r="AH76" s="78">
        <f>IFERROR(VLOOKUP(Table1215[[#This Row],[Column2]],Table12[[Column2]:[Column54]],33,FALSE),"0")</f>
        <v>0</v>
      </c>
      <c r="AI76" s="78">
        <f>IFERROR(VLOOKUP(Table1215[[#This Row],[Column2]],Table12[[Column2]:[Column54]],34,FALSE),"0")</f>
        <v>0</v>
      </c>
      <c r="AJ76" s="80">
        <f>AVERAGE(Table1215[[#This Row],[Column31]],Table1215[[#This Row],[Column32]],Table1215[[#This Row],[Column33]])</f>
        <v>0</v>
      </c>
      <c r="AK76" s="78">
        <f>IFERROR(VLOOKUP(Table1215[[#This Row],[Column2]],Table12[[Column2]:[Column54]],36,FALSE),"0")</f>
        <v>3</v>
      </c>
      <c r="AL76" s="78">
        <f>IFERROR(VLOOKUP(Table1215[[#This Row],[Column2]],Table12[[Column2]:[Column54]],37,FALSE),"0")</f>
        <v>4</v>
      </c>
      <c r="AM76" s="78">
        <f>IFERROR(VLOOKUP(Table1215[[#This Row],[Column2]],Table12[[Column2]:[Column54]],38,FALSE),"0")</f>
        <v>0</v>
      </c>
      <c r="AN76" s="78">
        <f>IFERROR(VLOOKUP(Table1215[[#This Row],[Column2]],Table12[[Column2]:[Column54]],39,FALSE),"0")</f>
        <v>4</v>
      </c>
      <c r="AO76" s="78">
        <f>IFERROR(VLOOKUP(Table1215[[#This Row],[Column2]],Table12[[Column2]:[Column54]],40,FALSE),"0")</f>
        <v>0</v>
      </c>
      <c r="AP76" s="80">
        <f>AVERAGE(Table1215[[#This Row],[Column37]],Table1215[[#This Row],[Column38]],Table1215[[#This Row],[Column40]])</f>
        <v>3.6666666666666665</v>
      </c>
      <c r="AQ76" s="78">
        <f>IFERROR(VLOOKUP(Table1215[[#This Row],[Column2]],Table12[[Column2]:[Column54]],42,FALSE),"0")</f>
        <v>4</v>
      </c>
      <c r="AR76" s="78">
        <f>IFERROR(VLOOKUP(Table1215[[#This Row],[Column2]],Table12[[Column2]:[Column54]],43,FALSE),"0")</f>
        <v>0</v>
      </c>
      <c r="AS76" s="78">
        <f>IFERROR(VLOOKUP(Table1215[[#This Row],[Column2]],Table12[[Column2]:[Column54]],44,FALSE),"0")</f>
        <v>0</v>
      </c>
      <c r="AT76" s="78">
        <f>IFERROR(VLOOKUP(Table1215[[#This Row],[Column2]],Table12[[Column2]:[Column54]],45,FALSE),"0")</f>
        <v>0</v>
      </c>
      <c r="AU76" s="78">
        <f>IFERROR(VLOOKUP(Table1215[[#This Row],[Column2]],Table12[[Column2]:[Column54]],46,FALSE),"0")</f>
        <v>0</v>
      </c>
      <c r="AV76" s="80">
        <f>Table1215[[#This Row],[Column43]]</f>
        <v>4</v>
      </c>
      <c r="AW76" s="78">
        <f>IFERROR(VLOOKUP(Table1215[[#This Row],[Column2]],Table12[[Column2]:[Column54]],48,FALSE),"0")</f>
        <v>0</v>
      </c>
      <c r="AX76" s="78">
        <f>IFERROR(VLOOKUP(Table1215[[#This Row],[Column2]],Table12[[Column2]:[Column54]],49,FALSE),"0")</f>
        <v>0</v>
      </c>
      <c r="AY76" s="78">
        <f>IFERROR(VLOOKUP(Table1215[[#This Row],[Column2]],Table12[[Column2]:[Column54]],50,FALSE),"0")</f>
        <v>0</v>
      </c>
      <c r="AZ76" s="78">
        <f>IFERROR(VLOOKUP(Table1215[[#This Row],[Column2]],Table12[[Column2]:[Column54]],51,FALSE),"0")</f>
        <v>3</v>
      </c>
      <c r="BA76" s="78">
        <f>IFERROR(VLOOKUP(Table1215[[#This Row],[Column2]],Table12[[Column2]:[Column54]],52,FALSE),"0")</f>
        <v>3</v>
      </c>
      <c r="BB76" s="80">
        <f>AVERAGE(Table1215[[#This Row],[Column52]],Table1215[[#This Row],[Column53]])</f>
        <v>3</v>
      </c>
    </row>
    <row r="77" spans="1:54" ht="23.1" customHeight="1" x14ac:dyDescent="0.3">
      <c r="A77" s="100">
        <v>74</v>
      </c>
      <c r="B77" s="83" t="s">
        <v>322</v>
      </c>
      <c r="C77" s="84" t="s">
        <v>323</v>
      </c>
      <c r="D77" s="83" t="s">
        <v>450</v>
      </c>
      <c r="E77" s="83" t="s">
        <v>493</v>
      </c>
      <c r="F77" s="83" t="str">
        <f>REPT(CHAR(160),10)&amp;Working!$E78</f>
        <v>          C</v>
      </c>
      <c r="G77" s="74">
        <f>IFERROR(VLOOKUP(Table1215[[#This Row],[Column2]],Table12[[Column2]:[Column54]],6,FALSE),"0")</f>
        <v>0</v>
      </c>
      <c r="H77" s="74">
        <f>IFERROR(VLOOKUP(Table1215[[#This Row],[Column2]],Table12[[Column2]:[Column54]],7,FALSE),"0")</f>
        <v>0</v>
      </c>
      <c r="I77" s="74">
        <f>IFERROR(VLOOKUP(Table1215[[#This Row],[Column2]],Table12[[Column2]:[Column54]],8,FALSE),"0")</f>
        <v>2</v>
      </c>
      <c r="J77" s="74">
        <f>IFERROR(VLOOKUP(Table1215[[#This Row],[Column2]],Table12[[Column2]:[Column54]],9,FALSE),"0")</f>
        <v>0</v>
      </c>
      <c r="K77" s="74">
        <f>IFERROR(VLOOKUP(Table1215[[#This Row],[Column2]],Table12[[Column2]:[Column54]],10,FALSE),"0")</f>
        <v>0</v>
      </c>
      <c r="L77" s="80">
        <f>Table1215[[#This Row],[Column9]]</f>
        <v>2</v>
      </c>
      <c r="M77" s="74">
        <f>IFERROR(VLOOKUP(Table1215[[#This Row],[Column2]],Table12[[Column2]:[Column54]],12,FALSE),"0")</f>
        <v>0</v>
      </c>
      <c r="N77" s="74">
        <f>IFERROR(VLOOKUP(Table1215[[#This Row],[Column2]],Table12[[Column2]:[Column54]],13,FALSE),"0")</f>
        <v>2</v>
      </c>
      <c r="O77" s="74">
        <f>IFERROR(VLOOKUP(Table1215[[#This Row],[Column2]],Table12[[Column2]:[Column54]],14,FALSE),"0")</f>
        <v>2</v>
      </c>
      <c r="P77" s="74">
        <f>IFERROR(VLOOKUP(Table1215[[#This Row],[Column2]],Table12[[Column2]:[Column54]],10,FALSE),"0")</f>
        <v>0</v>
      </c>
      <c r="Q77" s="74">
        <f>IFERROR(VLOOKUP(Table1215[[#This Row],[Column2]],Table12[[Column2]:[Column54]],16,FALSE),"0")</f>
        <v>2</v>
      </c>
      <c r="R77" s="80">
        <f>AVERAGE(Table1215[[#This Row],[Column14]],Table1215[[#This Row],[Column15]],Table1215[[#This Row],[Column17]])</f>
        <v>2</v>
      </c>
      <c r="S77" s="74">
        <f>IFERROR(VLOOKUP(Table1215[[#This Row],[Column2]],Table12[[Column2]:[Column54]],18,FALSE),"0")</f>
        <v>0</v>
      </c>
      <c r="T77" s="74">
        <f>IFERROR(VLOOKUP(Table1215[[#This Row],[Column2]],Table12[[Column2]:[Column54]],19,FALSE),"0")</f>
        <v>0</v>
      </c>
      <c r="U77" s="74">
        <f>IFERROR(VLOOKUP(Table1215[[#This Row],[Column2]],Table12[[Column2]:[Column54]],20,FALSE),"0")</f>
        <v>0</v>
      </c>
      <c r="V77" s="74">
        <f>IFERROR(VLOOKUP(Table1215[[#This Row],[Column2]],Table12[[Column2]:[Column54]],21,FALSE),"0")</f>
        <v>0</v>
      </c>
      <c r="W77" s="74">
        <f>IFERROR(VLOOKUP(Table1215[[#This Row],[Column2]],Table12[[Column2]:[Column54]],22,FALSE),"0")</f>
        <v>0</v>
      </c>
      <c r="X77" s="80">
        <f>Table1215[[#This Row],[Column19]]</f>
        <v>0</v>
      </c>
      <c r="Y77" s="74">
        <f>IFERROR(VLOOKUP(Table1215[[#This Row],[Column2]],Table12[[Column2]:[Column54]],24,FALSE),"0")</f>
        <v>2</v>
      </c>
      <c r="Z77" s="74">
        <f>IFERROR(VLOOKUP(Table1215[[#This Row],[Column2]],Table12[[Column2]:[Column54]],25,FALSE),"0")</f>
        <v>0</v>
      </c>
      <c r="AA77" s="74">
        <f>IFERROR(VLOOKUP(Table1215[[#This Row],[Column2]],Table12[[Column2]:[Column54]],26,FALSE),"0")</f>
        <v>0</v>
      </c>
      <c r="AB77" s="74">
        <f>IFERROR(VLOOKUP(Table1215[[#This Row],[Column2]],Table12[[Column2]:[Column54]],27,FALSE),"0")</f>
        <v>0</v>
      </c>
      <c r="AC77" s="74">
        <f>IFERROR(VLOOKUP(Table1215[[#This Row],[Column2]],Table12[[Column2]:[Column54]],28,FALSE),"0")</f>
        <v>0</v>
      </c>
      <c r="AD77" s="80">
        <f>Table1215[[#This Row],[Column25]]</f>
        <v>2</v>
      </c>
      <c r="AE77" s="74">
        <f>IFERROR(VLOOKUP(Table1215[[#This Row],[Column2]],Table12[[Column2]:[Column54]],30,FALSE),"0")</f>
        <v>0</v>
      </c>
      <c r="AF77" s="74">
        <f>IFERROR(VLOOKUP(Table1215[[#This Row],[Column2]],Table12[[Column2]:[Column54]],31,FALSE),"0")</f>
        <v>0</v>
      </c>
      <c r="AG77" s="74">
        <f>IFERROR(VLOOKUP(Table1215[[#This Row],[Column2]],Table12[[Column2]:[Column54]],32,FALSE),"0")</f>
        <v>0</v>
      </c>
      <c r="AH77" s="74">
        <f>IFERROR(VLOOKUP(Table1215[[#This Row],[Column2]],Table12[[Column2]:[Column54]],33,FALSE),"0")</f>
        <v>0</v>
      </c>
      <c r="AI77" s="74">
        <f>IFERROR(VLOOKUP(Table1215[[#This Row],[Column2]],Table12[[Column2]:[Column54]],34,FALSE),"0")</f>
        <v>0</v>
      </c>
      <c r="AJ77" s="80">
        <f>AVERAGE(Table1215[[#This Row],[Column31]],Table1215[[#This Row],[Column32]],Table1215[[#This Row],[Column33]])</f>
        <v>0</v>
      </c>
      <c r="AK77" s="74">
        <f>IFERROR(VLOOKUP(Table1215[[#This Row],[Column2]],Table12[[Column2]:[Column54]],36,FALSE),"0")</f>
        <v>3</v>
      </c>
      <c r="AL77" s="74">
        <f>IFERROR(VLOOKUP(Table1215[[#This Row],[Column2]],Table12[[Column2]:[Column54]],37,FALSE),"0")</f>
        <v>3</v>
      </c>
      <c r="AM77" s="74">
        <f>IFERROR(VLOOKUP(Table1215[[#This Row],[Column2]],Table12[[Column2]:[Column54]],38,FALSE),"0")</f>
        <v>0</v>
      </c>
      <c r="AN77" s="74">
        <f>IFERROR(VLOOKUP(Table1215[[#This Row],[Column2]],Table12[[Column2]:[Column54]],39,FALSE),"0")</f>
        <v>3</v>
      </c>
      <c r="AO77" s="74">
        <f>IFERROR(VLOOKUP(Table1215[[#This Row],[Column2]],Table12[[Column2]:[Column54]],40,FALSE),"0")</f>
        <v>0</v>
      </c>
      <c r="AP77" s="80">
        <f>AVERAGE(Table1215[[#This Row],[Column37]],Table1215[[#This Row],[Column38]],Table1215[[#This Row],[Column40]])</f>
        <v>3</v>
      </c>
      <c r="AQ77" s="74">
        <f>IFERROR(VLOOKUP(Table1215[[#This Row],[Column2]],Table12[[Column2]:[Column54]],42,FALSE),"0")</f>
        <v>4</v>
      </c>
      <c r="AR77" s="74">
        <f>IFERROR(VLOOKUP(Table1215[[#This Row],[Column2]],Table12[[Column2]:[Column54]],43,FALSE),"0")</f>
        <v>0</v>
      </c>
      <c r="AS77" s="74">
        <f>IFERROR(VLOOKUP(Table1215[[#This Row],[Column2]],Table12[[Column2]:[Column54]],44,FALSE),"0")</f>
        <v>0</v>
      </c>
      <c r="AT77" s="74">
        <f>IFERROR(VLOOKUP(Table1215[[#This Row],[Column2]],Table12[[Column2]:[Column54]],45,FALSE),"0")</f>
        <v>0</v>
      </c>
      <c r="AU77" s="74">
        <f>IFERROR(VLOOKUP(Table1215[[#This Row],[Column2]],Table12[[Column2]:[Column54]],46,FALSE),"0")</f>
        <v>0</v>
      </c>
      <c r="AV77" s="80">
        <f>Table1215[[#This Row],[Column43]]</f>
        <v>4</v>
      </c>
      <c r="AW77" s="74">
        <f>IFERROR(VLOOKUP(Table1215[[#This Row],[Column2]],Table12[[Column2]:[Column54]],48,FALSE),"0")</f>
        <v>0</v>
      </c>
      <c r="AX77" s="74">
        <f>IFERROR(VLOOKUP(Table1215[[#This Row],[Column2]],Table12[[Column2]:[Column54]],49,FALSE),"0")</f>
        <v>0</v>
      </c>
      <c r="AY77" s="74">
        <f>IFERROR(VLOOKUP(Table1215[[#This Row],[Column2]],Table12[[Column2]:[Column54]],50,FALSE),"0")</f>
        <v>0</v>
      </c>
      <c r="AZ77" s="74">
        <f>IFERROR(VLOOKUP(Table1215[[#This Row],[Column2]],Table12[[Column2]:[Column54]],51,FALSE),"0")</f>
        <v>3</v>
      </c>
      <c r="BA77" s="74">
        <f>IFERROR(VLOOKUP(Table1215[[#This Row],[Column2]],Table12[[Column2]:[Column54]],52,FALSE),"0")</f>
        <v>3</v>
      </c>
      <c r="BB77" s="80">
        <f>AVERAGE(Table1215[[#This Row],[Column52]],Table1215[[#This Row],[Column53]])</f>
        <v>3</v>
      </c>
    </row>
    <row r="78" spans="1:54" ht="23.1" customHeight="1" x14ac:dyDescent="0.3">
      <c r="A78" s="99">
        <v>75</v>
      </c>
      <c r="B78" s="76" t="s">
        <v>324</v>
      </c>
      <c r="C78" s="77" t="s">
        <v>325</v>
      </c>
      <c r="D78" s="76" t="s">
        <v>450</v>
      </c>
      <c r="E78" s="76" t="s">
        <v>493</v>
      </c>
      <c r="F78" s="76" t="str">
        <f>REPT(CHAR(160),10)&amp;Working!$E79</f>
        <v>          C</v>
      </c>
      <c r="G78" s="78">
        <f>IFERROR(VLOOKUP(Table1215[[#This Row],[Column2]],Table12[[Column2]:[Column54]],6,FALSE),"0")</f>
        <v>0</v>
      </c>
      <c r="H78" s="78">
        <f>IFERROR(VLOOKUP(Table1215[[#This Row],[Column2]],Table12[[Column2]:[Column54]],7,FALSE),"0")</f>
        <v>0</v>
      </c>
      <c r="I78" s="78">
        <f>IFERROR(VLOOKUP(Table1215[[#This Row],[Column2]],Table12[[Column2]:[Column54]],8,FALSE),"0")</f>
        <v>2</v>
      </c>
      <c r="J78" s="78">
        <f>IFERROR(VLOOKUP(Table1215[[#This Row],[Column2]],Table12[[Column2]:[Column54]],9,FALSE),"0")</f>
        <v>0</v>
      </c>
      <c r="K78" s="78">
        <f>IFERROR(VLOOKUP(Table1215[[#This Row],[Column2]],Table12[[Column2]:[Column54]],10,FALSE),"0")</f>
        <v>0</v>
      </c>
      <c r="L78" s="80">
        <f>Table1215[[#This Row],[Column9]]</f>
        <v>2</v>
      </c>
      <c r="M78" s="78">
        <f>IFERROR(VLOOKUP(Table1215[[#This Row],[Column2]],Table12[[Column2]:[Column54]],12,FALSE),"0")</f>
        <v>0</v>
      </c>
      <c r="N78" s="78">
        <f>IFERROR(VLOOKUP(Table1215[[#This Row],[Column2]],Table12[[Column2]:[Column54]],13,FALSE),"0")</f>
        <v>2</v>
      </c>
      <c r="O78" s="78">
        <f>IFERROR(VLOOKUP(Table1215[[#This Row],[Column2]],Table12[[Column2]:[Column54]],14,FALSE),"0")</f>
        <v>2</v>
      </c>
      <c r="P78" s="78">
        <f>IFERROR(VLOOKUP(Table1215[[#This Row],[Column2]],Table12[[Column2]:[Column54]],10,FALSE),"0")</f>
        <v>0</v>
      </c>
      <c r="Q78" s="78">
        <f>IFERROR(VLOOKUP(Table1215[[#This Row],[Column2]],Table12[[Column2]:[Column54]],16,FALSE),"0")</f>
        <v>2</v>
      </c>
      <c r="R78" s="80">
        <f>AVERAGE(Table1215[[#This Row],[Column14]],Table1215[[#This Row],[Column15]],Table1215[[#This Row],[Column17]])</f>
        <v>2</v>
      </c>
      <c r="S78" s="78">
        <f>IFERROR(VLOOKUP(Table1215[[#This Row],[Column2]],Table12[[Column2]:[Column54]],18,FALSE),"0")</f>
        <v>0</v>
      </c>
      <c r="T78" s="78">
        <f>IFERROR(VLOOKUP(Table1215[[#This Row],[Column2]],Table12[[Column2]:[Column54]],19,FALSE),"0")</f>
        <v>0</v>
      </c>
      <c r="U78" s="78">
        <f>IFERROR(VLOOKUP(Table1215[[#This Row],[Column2]],Table12[[Column2]:[Column54]],20,FALSE),"0")</f>
        <v>0</v>
      </c>
      <c r="V78" s="78">
        <f>IFERROR(VLOOKUP(Table1215[[#This Row],[Column2]],Table12[[Column2]:[Column54]],21,FALSE),"0")</f>
        <v>0</v>
      </c>
      <c r="W78" s="78">
        <f>IFERROR(VLOOKUP(Table1215[[#This Row],[Column2]],Table12[[Column2]:[Column54]],22,FALSE),"0")</f>
        <v>0</v>
      </c>
      <c r="X78" s="80">
        <f>Table1215[[#This Row],[Column19]]</f>
        <v>0</v>
      </c>
      <c r="Y78" s="78">
        <f>IFERROR(VLOOKUP(Table1215[[#This Row],[Column2]],Table12[[Column2]:[Column54]],24,FALSE),"0")</f>
        <v>2</v>
      </c>
      <c r="Z78" s="78">
        <f>IFERROR(VLOOKUP(Table1215[[#This Row],[Column2]],Table12[[Column2]:[Column54]],25,FALSE),"0")</f>
        <v>0</v>
      </c>
      <c r="AA78" s="78">
        <f>IFERROR(VLOOKUP(Table1215[[#This Row],[Column2]],Table12[[Column2]:[Column54]],26,FALSE),"0")</f>
        <v>0</v>
      </c>
      <c r="AB78" s="78">
        <f>IFERROR(VLOOKUP(Table1215[[#This Row],[Column2]],Table12[[Column2]:[Column54]],27,FALSE),"0")</f>
        <v>0</v>
      </c>
      <c r="AC78" s="78">
        <f>IFERROR(VLOOKUP(Table1215[[#This Row],[Column2]],Table12[[Column2]:[Column54]],28,FALSE),"0")</f>
        <v>0</v>
      </c>
      <c r="AD78" s="80">
        <f>Table1215[[#This Row],[Column25]]</f>
        <v>2</v>
      </c>
      <c r="AE78" s="78">
        <f>IFERROR(VLOOKUP(Table1215[[#This Row],[Column2]],Table12[[Column2]:[Column54]],30,FALSE),"0")</f>
        <v>0</v>
      </c>
      <c r="AF78" s="78">
        <f>IFERROR(VLOOKUP(Table1215[[#This Row],[Column2]],Table12[[Column2]:[Column54]],31,FALSE),"0")</f>
        <v>0</v>
      </c>
      <c r="AG78" s="78">
        <f>IFERROR(VLOOKUP(Table1215[[#This Row],[Column2]],Table12[[Column2]:[Column54]],32,FALSE),"0")</f>
        <v>0</v>
      </c>
      <c r="AH78" s="78">
        <f>IFERROR(VLOOKUP(Table1215[[#This Row],[Column2]],Table12[[Column2]:[Column54]],33,FALSE),"0")</f>
        <v>0</v>
      </c>
      <c r="AI78" s="78">
        <f>IFERROR(VLOOKUP(Table1215[[#This Row],[Column2]],Table12[[Column2]:[Column54]],34,FALSE),"0")</f>
        <v>0</v>
      </c>
      <c r="AJ78" s="80">
        <f>AVERAGE(Table1215[[#This Row],[Column31]],Table1215[[#This Row],[Column32]],Table1215[[#This Row],[Column33]])</f>
        <v>0</v>
      </c>
      <c r="AK78" s="78">
        <f>IFERROR(VLOOKUP(Table1215[[#This Row],[Column2]],Table12[[Column2]:[Column54]],36,FALSE),"0")</f>
        <v>2</v>
      </c>
      <c r="AL78" s="78">
        <f>IFERROR(VLOOKUP(Table1215[[#This Row],[Column2]],Table12[[Column2]:[Column54]],37,FALSE),"0")</f>
        <v>2</v>
      </c>
      <c r="AM78" s="78">
        <f>IFERROR(VLOOKUP(Table1215[[#This Row],[Column2]],Table12[[Column2]:[Column54]],38,FALSE),"0")</f>
        <v>0</v>
      </c>
      <c r="AN78" s="78">
        <f>IFERROR(VLOOKUP(Table1215[[#This Row],[Column2]],Table12[[Column2]:[Column54]],39,FALSE),"0")</f>
        <v>2</v>
      </c>
      <c r="AO78" s="78">
        <f>IFERROR(VLOOKUP(Table1215[[#This Row],[Column2]],Table12[[Column2]:[Column54]],40,FALSE),"0")</f>
        <v>0</v>
      </c>
      <c r="AP78" s="80">
        <f>AVERAGE(Table1215[[#This Row],[Column37]],Table1215[[#This Row],[Column38]],Table1215[[#This Row],[Column40]])</f>
        <v>2</v>
      </c>
      <c r="AQ78" s="78">
        <f>IFERROR(VLOOKUP(Table1215[[#This Row],[Column2]],Table12[[Column2]:[Column54]],42,FALSE),"0")</f>
        <v>2</v>
      </c>
      <c r="AR78" s="78">
        <f>IFERROR(VLOOKUP(Table1215[[#This Row],[Column2]],Table12[[Column2]:[Column54]],43,FALSE),"0")</f>
        <v>0</v>
      </c>
      <c r="AS78" s="78">
        <f>IFERROR(VLOOKUP(Table1215[[#This Row],[Column2]],Table12[[Column2]:[Column54]],44,FALSE),"0")</f>
        <v>0</v>
      </c>
      <c r="AT78" s="78">
        <f>IFERROR(VLOOKUP(Table1215[[#This Row],[Column2]],Table12[[Column2]:[Column54]],45,FALSE),"0")</f>
        <v>0</v>
      </c>
      <c r="AU78" s="78">
        <f>IFERROR(VLOOKUP(Table1215[[#This Row],[Column2]],Table12[[Column2]:[Column54]],46,FALSE),"0")</f>
        <v>0</v>
      </c>
      <c r="AV78" s="80">
        <f>Table1215[[#This Row],[Column43]]</f>
        <v>2</v>
      </c>
      <c r="AW78" s="78">
        <f>IFERROR(VLOOKUP(Table1215[[#This Row],[Column2]],Table12[[Column2]:[Column54]],48,FALSE),"0")</f>
        <v>0</v>
      </c>
      <c r="AX78" s="78">
        <f>IFERROR(VLOOKUP(Table1215[[#This Row],[Column2]],Table12[[Column2]:[Column54]],49,FALSE),"0")</f>
        <v>0</v>
      </c>
      <c r="AY78" s="78">
        <f>IFERROR(VLOOKUP(Table1215[[#This Row],[Column2]],Table12[[Column2]:[Column54]],50,FALSE),"0")</f>
        <v>0</v>
      </c>
      <c r="AZ78" s="78">
        <f>IFERROR(VLOOKUP(Table1215[[#This Row],[Column2]],Table12[[Column2]:[Column54]],51,FALSE),"0")</f>
        <v>3</v>
      </c>
      <c r="BA78" s="78">
        <f>IFERROR(VLOOKUP(Table1215[[#This Row],[Column2]],Table12[[Column2]:[Column54]],52,FALSE),"0")</f>
        <v>2</v>
      </c>
      <c r="BB78" s="80">
        <f>AVERAGE(Table1215[[#This Row],[Column52]],Table1215[[#This Row],[Column53]])</f>
        <v>2.5</v>
      </c>
    </row>
    <row r="79" spans="1:54" ht="23.1" customHeight="1" x14ac:dyDescent="0.3">
      <c r="A79" s="100">
        <v>76</v>
      </c>
      <c r="B79" s="83" t="s">
        <v>326</v>
      </c>
      <c r="C79" s="84" t="s">
        <v>327</v>
      </c>
      <c r="D79" s="83" t="s">
        <v>450</v>
      </c>
      <c r="E79" s="83" t="s">
        <v>493</v>
      </c>
      <c r="F79" s="83" t="str">
        <f>REPT(CHAR(160),10)&amp;Working!$E80</f>
        <v>          C</v>
      </c>
      <c r="G79" s="74">
        <f>IFERROR(VLOOKUP(Table1215[[#This Row],[Column2]],Table12[[Column2]:[Column54]],6,FALSE),"0")</f>
        <v>0</v>
      </c>
      <c r="H79" s="74">
        <f>IFERROR(VLOOKUP(Table1215[[#This Row],[Column2]],Table12[[Column2]:[Column54]],7,FALSE),"0")</f>
        <v>0</v>
      </c>
      <c r="I79" s="74">
        <f>IFERROR(VLOOKUP(Table1215[[#This Row],[Column2]],Table12[[Column2]:[Column54]],8,FALSE),"0")</f>
        <v>5</v>
      </c>
      <c r="J79" s="74">
        <f>IFERROR(VLOOKUP(Table1215[[#This Row],[Column2]],Table12[[Column2]:[Column54]],9,FALSE),"0")</f>
        <v>0</v>
      </c>
      <c r="K79" s="74">
        <f>IFERROR(VLOOKUP(Table1215[[#This Row],[Column2]],Table12[[Column2]:[Column54]],10,FALSE),"0")</f>
        <v>0</v>
      </c>
      <c r="L79" s="80">
        <f>Table1215[[#This Row],[Column9]]</f>
        <v>5</v>
      </c>
      <c r="M79" s="74">
        <f>IFERROR(VLOOKUP(Table1215[[#This Row],[Column2]],Table12[[Column2]:[Column54]],12,FALSE),"0")</f>
        <v>0</v>
      </c>
      <c r="N79" s="74">
        <f>IFERROR(VLOOKUP(Table1215[[#This Row],[Column2]],Table12[[Column2]:[Column54]],13,FALSE),"0")</f>
        <v>5</v>
      </c>
      <c r="O79" s="74">
        <f>IFERROR(VLOOKUP(Table1215[[#This Row],[Column2]],Table12[[Column2]:[Column54]],14,FALSE),"0")</f>
        <v>4</v>
      </c>
      <c r="P79" s="74">
        <f>IFERROR(VLOOKUP(Table1215[[#This Row],[Column2]],Table12[[Column2]:[Column54]],10,FALSE),"0")</f>
        <v>0</v>
      </c>
      <c r="Q79" s="74">
        <f>IFERROR(VLOOKUP(Table1215[[#This Row],[Column2]],Table12[[Column2]:[Column54]],16,FALSE),"0")</f>
        <v>4</v>
      </c>
      <c r="R79" s="80">
        <f>AVERAGE(Table1215[[#This Row],[Column14]],Table1215[[#This Row],[Column15]],Table1215[[#This Row],[Column17]])</f>
        <v>4.333333333333333</v>
      </c>
      <c r="S79" s="74">
        <f>IFERROR(VLOOKUP(Table1215[[#This Row],[Column2]],Table12[[Column2]:[Column54]],18,FALSE),"0")</f>
        <v>0</v>
      </c>
      <c r="T79" s="74">
        <f>IFERROR(VLOOKUP(Table1215[[#This Row],[Column2]],Table12[[Column2]:[Column54]],19,FALSE),"0")</f>
        <v>0</v>
      </c>
      <c r="U79" s="74">
        <f>IFERROR(VLOOKUP(Table1215[[#This Row],[Column2]],Table12[[Column2]:[Column54]],20,FALSE),"0")</f>
        <v>0</v>
      </c>
      <c r="V79" s="74">
        <f>IFERROR(VLOOKUP(Table1215[[#This Row],[Column2]],Table12[[Column2]:[Column54]],21,FALSE),"0")</f>
        <v>0</v>
      </c>
      <c r="W79" s="74">
        <f>IFERROR(VLOOKUP(Table1215[[#This Row],[Column2]],Table12[[Column2]:[Column54]],22,FALSE),"0")</f>
        <v>0</v>
      </c>
      <c r="X79" s="80">
        <f>Table1215[[#This Row],[Column19]]</f>
        <v>0</v>
      </c>
      <c r="Y79" s="74">
        <f>IFERROR(VLOOKUP(Table1215[[#This Row],[Column2]],Table12[[Column2]:[Column54]],24,FALSE),"0")</f>
        <v>5</v>
      </c>
      <c r="Z79" s="74">
        <f>IFERROR(VLOOKUP(Table1215[[#This Row],[Column2]],Table12[[Column2]:[Column54]],25,FALSE),"0")</f>
        <v>0</v>
      </c>
      <c r="AA79" s="74">
        <f>IFERROR(VLOOKUP(Table1215[[#This Row],[Column2]],Table12[[Column2]:[Column54]],26,FALSE),"0")</f>
        <v>0</v>
      </c>
      <c r="AB79" s="74">
        <f>IFERROR(VLOOKUP(Table1215[[#This Row],[Column2]],Table12[[Column2]:[Column54]],27,FALSE),"0")</f>
        <v>0</v>
      </c>
      <c r="AC79" s="74">
        <f>IFERROR(VLOOKUP(Table1215[[#This Row],[Column2]],Table12[[Column2]:[Column54]],28,FALSE),"0")</f>
        <v>0</v>
      </c>
      <c r="AD79" s="80">
        <f>Table1215[[#This Row],[Column25]]</f>
        <v>5</v>
      </c>
      <c r="AE79" s="74">
        <f>IFERROR(VLOOKUP(Table1215[[#This Row],[Column2]],Table12[[Column2]:[Column54]],30,FALSE),"0")</f>
        <v>0</v>
      </c>
      <c r="AF79" s="74">
        <f>IFERROR(VLOOKUP(Table1215[[#This Row],[Column2]],Table12[[Column2]:[Column54]],31,FALSE),"0")</f>
        <v>0</v>
      </c>
      <c r="AG79" s="74">
        <f>IFERROR(VLOOKUP(Table1215[[#This Row],[Column2]],Table12[[Column2]:[Column54]],32,FALSE),"0")</f>
        <v>0</v>
      </c>
      <c r="AH79" s="74">
        <f>IFERROR(VLOOKUP(Table1215[[#This Row],[Column2]],Table12[[Column2]:[Column54]],33,FALSE),"0")</f>
        <v>0</v>
      </c>
      <c r="AI79" s="74">
        <f>IFERROR(VLOOKUP(Table1215[[#This Row],[Column2]],Table12[[Column2]:[Column54]],34,FALSE),"0")</f>
        <v>0</v>
      </c>
      <c r="AJ79" s="80">
        <f>AVERAGE(Table1215[[#This Row],[Column31]],Table1215[[#This Row],[Column32]],Table1215[[#This Row],[Column33]])</f>
        <v>0</v>
      </c>
      <c r="AK79" s="74">
        <f>IFERROR(VLOOKUP(Table1215[[#This Row],[Column2]],Table12[[Column2]:[Column54]],36,FALSE),"0")</f>
        <v>5</v>
      </c>
      <c r="AL79" s="74">
        <f>IFERROR(VLOOKUP(Table1215[[#This Row],[Column2]],Table12[[Column2]:[Column54]],37,FALSE),"0")</f>
        <v>5</v>
      </c>
      <c r="AM79" s="74">
        <f>IFERROR(VLOOKUP(Table1215[[#This Row],[Column2]],Table12[[Column2]:[Column54]],38,FALSE),"0")</f>
        <v>0</v>
      </c>
      <c r="AN79" s="74">
        <f>IFERROR(VLOOKUP(Table1215[[#This Row],[Column2]],Table12[[Column2]:[Column54]],39,FALSE),"0")</f>
        <v>5</v>
      </c>
      <c r="AO79" s="74">
        <f>IFERROR(VLOOKUP(Table1215[[#This Row],[Column2]],Table12[[Column2]:[Column54]],40,FALSE),"0")</f>
        <v>0</v>
      </c>
      <c r="AP79" s="80">
        <f>AVERAGE(Table1215[[#This Row],[Column37]],Table1215[[#This Row],[Column38]],Table1215[[#This Row],[Column40]])</f>
        <v>5</v>
      </c>
      <c r="AQ79" s="74">
        <f>IFERROR(VLOOKUP(Table1215[[#This Row],[Column2]],Table12[[Column2]:[Column54]],42,FALSE),"0")</f>
        <v>5</v>
      </c>
      <c r="AR79" s="74">
        <f>IFERROR(VLOOKUP(Table1215[[#This Row],[Column2]],Table12[[Column2]:[Column54]],43,FALSE),"0")</f>
        <v>0</v>
      </c>
      <c r="AS79" s="74">
        <f>IFERROR(VLOOKUP(Table1215[[#This Row],[Column2]],Table12[[Column2]:[Column54]],44,FALSE),"0")</f>
        <v>0</v>
      </c>
      <c r="AT79" s="74">
        <f>IFERROR(VLOOKUP(Table1215[[#This Row],[Column2]],Table12[[Column2]:[Column54]],45,FALSE),"0")</f>
        <v>0</v>
      </c>
      <c r="AU79" s="74">
        <f>IFERROR(VLOOKUP(Table1215[[#This Row],[Column2]],Table12[[Column2]:[Column54]],46,FALSE),"0")</f>
        <v>0</v>
      </c>
      <c r="AV79" s="80">
        <f>Table1215[[#This Row],[Column43]]</f>
        <v>5</v>
      </c>
      <c r="AW79" s="74">
        <f>IFERROR(VLOOKUP(Table1215[[#This Row],[Column2]],Table12[[Column2]:[Column54]],48,FALSE),"0")</f>
        <v>0</v>
      </c>
      <c r="AX79" s="74">
        <f>IFERROR(VLOOKUP(Table1215[[#This Row],[Column2]],Table12[[Column2]:[Column54]],49,FALSE),"0")</f>
        <v>0</v>
      </c>
      <c r="AY79" s="74">
        <f>IFERROR(VLOOKUP(Table1215[[#This Row],[Column2]],Table12[[Column2]:[Column54]],50,FALSE),"0")</f>
        <v>0</v>
      </c>
      <c r="AZ79" s="74">
        <f>IFERROR(VLOOKUP(Table1215[[#This Row],[Column2]],Table12[[Column2]:[Column54]],51,FALSE),"0")</f>
        <v>4</v>
      </c>
      <c r="BA79" s="74">
        <f>IFERROR(VLOOKUP(Table1215[[#This Row],[Column2]],Table12[[Column2]:[Column54]],52,FALSE),"0")</f>
        <v>5</v>
      </c>
      <c r="BB79" s="80">
        <f>AVERAGE(Table1215[[#This Row],[Column52]],Table1215[[#This Row],[Column53]])</f>
        <v>4.5</v>
      </c>
    </row>
    <row r="80" spans="1:54" ht="23.1" customHeight="1" x14ac:dyDescent="0.3">
      <c r="A80" s="99">
        <v>77</v>
      </c>
      <c r="B80" s="76" t="s">
        <v>328</v>
      </c>
      <c r="C80" s="77" t="s">
        <v>329</v>
      </c>
      <c r="D80" s="76" t="s">
        <v>450</v>
      </c>
      <c r="E80" s="76" t="s">
        <v>493</v>
      </c>
      <c r="F80" s="76" t="str">
        <f>REPT(CHAR(160),10)&amp;Working!$E81</f>
        <v>          C</v>
      </c>
      <c r="G80" s="78">
        <f>IFERROR(VLOOKUP(Table1215[[#This Row],[Column2]],Table12[[Column2]:[Column54]],6,FALSE),"0")</f>
        <v>0</v>
      </c>
      <c r="H80" s="78">
        <f>IFERROR(VLOOKUP(Table1215[[#This Row],[Column2]],Table12[[Column2]:[Column54]],7,FALSE),"0")</f>
        <v>0</v>
      </c>
      <c r="I80" s="78">
        <f>IFERROR(VLOOKUP(Table1215[[#This Row],[Column2]],Table12[[Column2]:[Column54]],8,FALSE),"0")</f>
        <v>3</v>
      </c>
      <c r="J80" s="78">
        <f>IFERROR(VLOOKUP(Table1215[[#This Row],[Column2]],Table12[[Column2]:[Column54]],9,FALSE),"0")</f>
        <v>0</v>
      </c>
      <c r="K80" s="78">
        <f>IFERROR(VLOOKUP(Table1215[[#This Row],[Column2]],Table12[[Column2]:[Column54]],10,FALSE),"0")</f>
        <v>0</v>
      </c>
      <c r="L80" s="80">
        <f>Table1215[[#This Row],[Column9]]</f>
        <v>3</v>
      </c>
      <c r="M80" s="78">
        <f>IFERROR(VLOOKUP(Table1215[[#This Row],[Column2]],Table12[[Column2]:[Column54]],12,FALSE),"0")</f>
        <v>0</v>
      </c>
      <c r="N80" s="78">
        <f>IFERROR(VLOOKUP(Table1215[[#This Row],[Column2]],Table12[[Column2]:[Column54]],13,FALSE),"0")</f>
        <v>2</v>
      </c>
      <c r="O80" s="78">
        <f>IFERROR(VLOOKUP(Table1215[[#This Row],[Column2]],Table12[[Column2]:[Column54]],14,FALSE),"0")</f>
        <v>3</v>
      </c>
      <c r="P80" s="78">
        <f>IFERROR(VLOOKUP(Table1215[[#This Row],[Column2]],Table12[[Column2]:[Column54]],10,FALSE),"0")</f>
        <v>0</v>
      </c>
      <c r="Q80" s="78">
        <f>IFERROR(VLOOKUP(Table1215[[#This Row],[Column2]],Table12[[Column2]:[Column54]],16,FALSE),"0")</f>
        <v>3</v>
      </c>
      <c r="R80" s="80">
        <f>AVERAGE(Table1215[[#This Row],[Column14]],Table1215[[#This Row],[Column15]],Table1215[[#This Row],[Column17]])</f>
        <v>2.6666666666666665</v>
      </c>
      <c r="S80" s="78">
        <f>IFERROR(VLOOKUP(Table1215[[#This Row],[Column2]],Table12[[Column2]:[Column54]],18,FALSE),"0")</f>
        <v>0</v>
      </c>
      <c r="T80" s="78">
        <f>IFERROR(VLOOKUP(Table1215[[#This Row],[Column2]],Table12[[Column2]:[Column54]],19,FALSE),"0")</f>
        <v>0</v>
      </c>
      <c r="U80" s="78">
        <f>IFERROR(VLOOKUP(Table1215[[#This Row],[Column2]],Table12[[Column2]:[Column54]],20,FALSE),"0")</f>
        <v>0</v>
      </c>
      <c r="V80" s="78">
        <f>IFERROR(VLOOKUP(Table1215[[#This Row],[Column2]],Table12[[Column2]:[Column54]],21,FALSE),"0")</f>
        <v>0</v>
      </c>
      <c r="W80" s="78">
        <f>IFERROR(VLOOKUP(Table1215[[#This Row],[Column2]],Table12[[Column2]:[Column54]],22,FALSE),"0")</f>
        <v>0</v>
      </c>
      <c r="X80" s="80">
        <f>Table1215[[#This Row],[Column19]]</f>
        <v>0</v>
      </c>
      <c r="Y80" s="78">
        <f>IFERROR(VLOOKUP(Table1215[[#This Row],[Column2]],Table12[[Column2]:[Column54]],24,FALSE),"0")</f>
        <v>3</v>
      </c>
      <c r="Z80" s="78">
        <f>IFERROR(VLOOKUP(Table1215[[#This Row],[Column2]],Table12[[Column2]:[Column54]],25,FALSE),"0")</f>
        <v>0</v>
      </c>
      <c r="AA80" s="78">
        <f>IFERROR(VLOOKUP(Table1215[[#This Row],[Column2]],Table12[[Column2]:[Column54]],26,FALSE),"0")</f>
        <v>0</v>
      </c>
      <c r="AB80" s="78">
        <f>IFERROR(VLOOKUP(Table1215[[#This Row],[Column2]],Table12[[Column2]:[Column54]],27,FALSE),"0")</f>
        <v>0</v>
      </c>
      <c r="AC80" s="78">
        <f>IFERROR(VLOOKUP(Table1215[[#This Row],[Column2]],Table12[[Column2]:[Column54]],28,FALSE),"0")</f>
        <v>0</v>
      </c>
      <c r="AD80" s="80">
        <f>Table1215[[#This Row],[Column25]]</f>
        <v>3</v>
      </c>
      <c r="AE80" s="78">
        <f>IFERROR(VLOOKUP(Table1215[[#This Row],[Column2]],Table12[[Column2]:[Column54]],30,FALSE),"0")</f>
        <v>0</v>
      </c>
      <c r="AF80" s="78">
        <f>IFERROR(VLOOKUP(Table1215[[#This Row],[Column2]],Table12[[Column2]:[Column54]],31,FALSE),"0")</f>
        <v>0</v>
      </c>
      <c r="AG80" s="78">
        <f>IFERROR(VLOOKUP(Table1215[[#This Row],[Column2]],Table12[[Column2]:[Column54]],32,FALSE),"0")</f>
        <v>0</v>
      </c>
      <c r="AH80" s="78">
        <f>IFERROR(VLOOKUP(Table1215[[#This Row],[Column2]],Table12[[Column2]:[Column54]],33,FALSE),"0")</f>
        <v>0</v>
      </c>
      <c r="AI80" s="78">
        <f>IFERROR(VLOOKUP(Table1215[[#This Row],[Column2]],Table12[[Column2]:[Column54]],34,FALSE),"0")</f>
        <v>0</v>
      </c>
      <c r="AJ80" s="80">
        <f>AVERAGE(Table1215[[#This Row],[Column31]],Table1215[[#This Row],[Column32]],Table1215[[#This Row],[Column33]])</f>
        <v>0</v>
      </c>
      <c r="AK80" s="78">
        <f>IFERROR(VLOOKUP(Table1215[[#This Row],[Column2]],Table12[[Column2]:[Column54]],36,FALSE),"0")</f>
        <v>2</v>
      </c>
      <c r="AL80" s="78">
        <f>IFERROR(VLOOKUP(Table1215[[#This Row],[Column2]],Table12[[Column2]:[Column54]],37,FALSE),"0")</f>
        <v>3</v>
      </c>
      <c r="AM80" s="78">
        <f>IFERROR(VLOOKUP(Table1215[[#This Row],[Column2]],Table12[[Column2]:[Column54]],38,FALSE),"0")</f>
        <v>0</v>
      </c>
      <c r="AN80" s="78">
        <f>IFERROR(VLOOKUP(Table1215[[#This Row],[Column2]],Table12[[Column2]:[Column54]],39,FALSE),"0")</f>
        <v>3</v>
      </c>
      <c r="AO80" s="78">
        <f>IFERROR(VLOOKUP(Table1215[[#This Row],[Column2]],Table12[[Column2]:[Column54]],40,FALSE),"0")</f>
        <v>0</v>
      </c>
      <c r="AP80" s="80">
        <f>AVERAGE(Table1215[[#This Row],[Column37]],Table1215[[#This Row],[Column38]],Table1215[[#This Row],[Column40]])</f>
        <v>2.6666666666666665</v>
      </c>
      <c r="AQ80" s="78">
        <f>IFERROR(VLOOKUP(Table1215[[#This Row],[Column2]],Table12[[Column2]:[Column54]],42,FALSE),"0")</f>
        <v>3</v>
      </c>
      <c r="AR80" s="78">
        <f>IFERROR(VLOOKUP(Table1215[[#This Row],[Column2]],Table12[[Column2]:[Column54]],43,FALSE),"0")</f>
        <v>0</v>
      </c>
      <c r="AS80" s="78">
        <f>IFERROR(VLOOKUP(Table1215[[#This Row],[Column2]],Table12[[Column2]:[Column54]],44,FALSE),"0")</f>
        <v>0</v>
      </c>
      <c r="AT80" s="78">
        <f>IFERROR(VLOOKUP(Table1215[[#This Row],[Column2]],Table12[[Column2]:[Column54]],45,FALSE),"0")</f>
        <v>0</v>
      </c>
      <c r="AU80" s="78">
        <f>IFERROR(VLOOKUP(Table1215[[#This Row],[Column2]],Table12[[Column2]:[Column54]],46,FALSE),"0")</f>
        <v>0</v>
      </c>
      <c r="AV80" s="80">
        <f>Table1215[[#This Row],[Column43]]</f>
        <v>3</v>
      </c>
      <c r="AW80" s="78">
        <f>IFERROR(VLOOKUP(Table1215[[#This Row],[Column2]],Table12[[Column2]:[Column54]],48,FALSE),"0")</f>
        <v>0</v>
      </c>
      <c r="AX80" s="78">
        <f>IFERROR(VLOOKUP(Table1215[[#This Row],[Column2]],Table12[[Column2]:[Column54]],49,FALSE),"0")</f>
        <v>0</v>
      </c>
      <c r="AY80" s="78">
        <f>IFERROR(VLOOKUP(Table1215[[#This Row],[Column2]],Table12[[Column2]:[Column54]],50,FALSE),"0")</f>
        <v>0</v>
      </c>
      <c r="AZ80" s="78">
        <f>IFERROR(VLOOKUP(Table1215[[#This Row],[Column2]],Table12[[Column2]:[Column54]],51,FALSE),"0")</f>
        <v>3</v>
      </c>
      <c r="BA80" s="78">
        <f>IFERROR(VLOOKUP(Table1215[[#This Row],[Column2]],Table12[[Column2]:[Column54]],52,FALSE),"0")</f>
        <v>3</v>
      </c>
      <c r="BB80" s="80">
        <f>AVERAGE(Table1215[[#This Row],[Column52]],Table1215[[#This Row],[Column53]])</f>
        <v>3</v>
      </c>
    </row>
    <row r="81" spans="1:54" ht="23.1" customHeight="1" x14ac:dyDescent="0.3">
      <c r="A81" s="100">
        <v>78</v>
      </c>
      <c r="B81" s="83" t="s">
        <v>330</v>
      </c>
      <c r="C81" s="84" t="s">
        <v>331</v>
      </c>
      <c r="D81" s="83" t="s">
        <v>450</v>
      </c>
      <c r="E81" s="83" t="s">
        <v>493</v>
      </c>
      <c r="F81" s="83" t="str">
        <f>REPT(CHAR(160),10)&amp;Working!$E82</f>
        <v>          C</v>
      </c>
      <c r="G81" s="74">
        <f>IFERROR(VLOOKUP(Table1215[[#This Row],[Column2]],Table12[[Column2]:[Column54]],6,FALSE),"0")</f>
        <v>0</v>
      </c>
      <c r="H81" s="74">
        <f>IFERROR(VLOOKUP(Table1215[[#This Row],[Column2]],Table12[[Column2]:[Column54]],7,FALSE),"0")</f>
        <v>0</v>
      </c>
      <c r="I81" s="74">
        <f>IFERROR(VLOOKUP(Table1215[[#This Row],[Column2]],Table12[[Column2]:[Column54]],8,FALSE),"0")</f>
        <v>2</v>
      </c>
      <c r="J81" s="74">
        <f>IFERROR(VLOOKUP(Table1215[[#This Row],[Column2]],Table12[[Column2]:[Column54]],9,FALSE),"0")</f>
        <v>0</v>
      </c>
      <c r="K81" s="74">
        <f>IFERROR(VLOOKUP(Table1215[[#This Row],[Column2]],Table12[[Column2]:[Column54]],10,FALSE),"0")</f>
        <v>0</v>
      </c>
      <c r="L81" s="80">
        <f>Table1215[[#This Row],[Column9]]</f>
        <v>2</v>
      </c>
      <c r="M81" s="74">
        <f>IFERROR(VLOOKUP(Table1215[[#This Row],[Column2]],Table12[[Column2]:[Column54]],12,FALSE),"0")</f>
        <v>0</v>
      </c>
      <c r="N81" s="74">
        <f>IFERROR(VLOOKUP(Table1215[[#This Row],[Column2]],Table12[[Column2]:[Column54]],13,FALSE),"0")</f>
        <v>2</v>
      </c>
      <c r="O81" s="74">
        <f>IFERROR(VLOOKUP(Table1215[[#This Row],[Column2]],Table12[[Column2]:[Column54]],14,FALSE),"0")</f>
        <v>2</v>
      </c>
      <c r="P81" s="74">
        <f>IFERROR(VLOOKUP(Table1215[[#This Row],[Column2]],Table12[[Column2]:[Column54]],10,FALSE),"0")</f>
        <v>0</v>
      </c>
      <c r="Q81" s="74">
        <f>IFERROR(VLOOKUP(Table1215[[#This Row],[Column2]],Table12[[Column2]:[Column54]],16,FALSE),"0")</f>
        <v>2</v>
      </c>
      <c r="R81" s="80">
        <f>AVERAGE(Table1215[[#This Row],[Column14]],Table1215[[#This Row],[Column15]],Table1215[[#This Row],[Column17]])</f>
        <v>2</v>
      </c>
      <c r="S81" s="74">
        <f>IFERROR(VLOOKUP(Table1215[[#This Row],[Column2]],Table12[[Column2]:[Column54]],18,FALSE),"0")</f>
        <v>0</v>
      </c>
      <c r="T81" s="74">
        <f>IFERROR(VLOOKUP(Table1215[[#This Row],[Column2]],Table12[[Column2]:[Column54]],19,FALSE),"0")</f>
        <v>0</v>
      </c>
      <c r="U81" s="74">
        <f>IFERROR(VLOOKUP(Table1215[[#This Row],[Column2]],Table12[[Column2]:[Column54]],20,FALSE),"0")</f>
        <v>0</v>
      </c>
      <c r="V81" s="74">
        <f>IFERROR(VLOOKUP(Table1215[[#This Row],[Column2]],Table12[[Column2]:[Column54]],21,FALSE),"0")</f>
        <v>0</v>
      </c>
      <c r="W81" s="74">
        <f>IFERROR(VLOOKUP(Table1215[[#This Row],[Column2]],Table12[[Column2]:[Column54]],22,FALSE),"0")</f>
        <v>0</v>
      </c>
      <c r="X81" s="80">
        <f>Table1215[[#This Row],[Column19]]</f>
        <v>0</v>
      </c>
      <c r="Y81" s="74">
        <f>IFERROR(VLOOKUP(Table1215[[#This Row],[Column2]],Table12[[Column2]:[Column54]],24,FALSE),"0")</f>
        <v>2</v>
      </c>
      <c r="Z81" s="74">
        <f>IFERROR(VLOOKUP(Table1215[[#This Row],[Column2]],Table12[[Column2]:[Column54]],25,FALSE),"0")</f>
        <v>0</v>
      </c>
      <c r="AA81" s="74">
        <f>IFERROR(VLOOKUP(Table1215[[#This Row],[Column2]],Table12[[Column2]:[Column54]],26,FALSE),"0")</f>
        <v>0</v>
      </c>
      <c r="AB81" s="74">
        <f>IFERROR(VLOOKUP(Table1215[[#This Row],[Column2]],Table12[[Column2]:[Column54]],27,FALSE),"0")</f>
        <v>0</v>
      </c>
      <c r="AC81" s="74">
        <f>IFERROR(VLOOKUP(Table1215[[#This Row],[Column2]],Table12[[Column2]:[Column54]],28,FALSE),"0")</f>
        <v>0</v>
      </c>
      <c r="AD81" s="80">
        <f>Table1215[[#This Row],[Column25]]</f>
        <v>2</v>
      </c>
      <c r="AE81" s="74">
        <f>IFERROR(VLOOKUP(Table1215[[#This Row],[Column2]],Table12[[Column2]:[Column54]],30,FALSE),"0")</f>
        <v>0</v>
      </c>
      <c r="AF81" s="74">
        <f>IFERROR(VLOOKUP(Table1215[[#This Row],[Column2]],Table12[[Column2]:[Column54]],31,FALSE),"0")</f>
        <v>0</v>
      </c>
      <c r="AG81" s="74">
        <f>IFERROR(VLOOKUP(Table1215[[#This Row],[Column2]],Table12[[Column2]:[Column54]],32,FALSE),"0")</f>
        <v>0</v>
      </c>
      <c r="AH81" s="74">
        <f>IFERROR(VLOOKUP(Table1215[[#This Row],[Column2]],Table12[[Column2]:[Column54]],33,FALSE),"0")</f>
        <v>0</v>
      </c>
      <c r="AI81" s="74">
        <f>IFERROR(VLOOKUP(Table1215[[#This Row],[Column2]],Table12[[Column2]:[Column54]],34,FALSE),"0")</f>
        <v>0</v>
      </c>
      <c r="AJ81" s="80">
        <f>AVERAGE(Table1215[[#This Row],[Column31]],Table1215[[#This Row],[Column32]],Table1215[[#This Row],[Column33]])</f>
        <v>0</v>
      </c>
      <c r="AK81" s="74">
        <f>IFERROR(VLOOKUP(Table1215[[#This Row],[Column2]],Table12[[Column2]:[Column54]],36,FALSE),"0")</f>
        <v>2</v>
      </c>
      <c r="AL81" s="74">
        <f>IFERROR(VLOOKUP(Table1215[[#This Row],[Column2]],Table12[[Column2]:[Column54]],37,FALSE),"0")</f>
        <v>3</v>
      </c>
      <c r="AM81" s="74">
        <f>IFERROR(VLOOKUP(Table1215[[#This Row],[Column2]],Table12[[Column2]:[Column54]],38,FALSE),"0")</f>
        <v>0</v>
      </c>
      <c r="AN81" s="74">
        <f>IFERROR(VLOOKUP(Table1215[[#This Row],[Column2]],Table12[[Column2]:[Column54]],39,FALSE),"0")</f>
        <v>3</v>
      </c>
      <c r="AO81" s="74">
        <f>IFERROR(VLOOKUP(Table1215[[#This Row],[Column2]],Table12[[Column2]:[Column54]],40,FALSE),"0")</f>
        <v>0</v>
      </c>
      <c r="AP81" s="80">
        <f>AVERAGE(Table1215[[#This Row],[Column37]],Table1215[[#This Row],[Column38]],Table1215[[#This Row],[Column40]])</f>
        <v>2.6666666666666665</v>
      </c>
      <c r="AQ81" s="74">
        <f>IFERROR(VLOOKUP(Table1215[[#This Row],[Column2]],Table12[[Column2]:[Column54]],42,FALSE),"0")</f>
        <v>3</v>
      </c>
      <c r="AR81" s="74">
        <f>IFERROR(VLOOKUP(Table1215[[#This Row],[Column2]],Table12[[Column2]:[Column54]],43,FALSE),"0")</f>
        <v>0</v>
      </c>
      <c r="AS81" s="74">
        <f>IFERROR(VLOOKUP(Table1215[[#This Row],[Column2]],Table12[[Column2]:[Column54]],44,FALSE),"0")</f>
        <v>0</v>
      </c>
      <c r="AT81" s="74">
        <f>IFERROR(VLOOKUP(Table1215[[#This Row],[Column2]],Table12[[Column2]:[Column54]],45,FALSE),"0")</f>
        <v>0</v>
      </c>
      <c r="AU81" s="74">
        <f>IFERROR(VLOOKUP(Table1215[[#This Row],[Column2]],Table12[[Column2]:[Column54]],46,FALSE),"0")</f>
        <v>0</v>
      </c>
      <c r="AV81" s="80">
        <f>Table1215[[#This Row],[Column43]]</f>
        <v>3</v>
      </c>
      <c r="AW81" s="74">
        <f>IFERROR(VLOOKUP(Table1215[[#This Row],[Column2]],Table12[[Column2]:[Column54]],48,FALSE),"0")</f>
        <v>0</v>
      </c>
      <c r="AX81" s="74">
        <f>IFERROR(VLOOKUP(Table1215[[#This Row],[Column2]],Table12[[Column2]:[Column54]],49,FALSE),"0")</f>
        <v>0</v>
      </c>
      <c r="AY81" s="74">
        <f>IFERROR(VLOOKUP(Table1215[[#This Row],[Column2]],Table12[[Column2]:[Column54]],50,FALSE),"0")</f>
        <v>0</v>
      </c>
      <c r="AZ81" s="74">
        <f>IFERROR(VLOOKUP(Table1215[[#This Row],[Column2]],Table12[[Column2]:[Column54]],51,FALSE),"0")</f>
        <v>3</v>
      </c>
      <c r="BA81" s="74">
        <f>IFERROR(VLOOKUP(Table1215[[#This Row],[Column2]],Table12[[Column2]:[Column54]],52,FALSE),"0")</f>
        <v>2</v>
      </c>
      <c r="BB81" s="80">
        <f>AVERAGE(Table1215[[#This Row],[Column52]],Table1215[[#This Row],[Column53]])</f>
        <v>2.5</v>
      </c>
    </row>
    <row r="82" spans="1:54" ht="23.1" customHeight="1" x14ac:dyDescent="0.3">
      <c r="A82" s="99">
        <v>79</v>
      </c>
      <c r="B82" s="76" t="s">
        <v>199</v>
      </c>
      <c r="C82" s="77" t="s">
        <v>200</v>
      </c>
      <c r="D82" s="76" t="s">
        <v>450</v>
      </c>
      <c r="E82" s="76" t="s">
        <v>161</v>
      </c>
      <c r="F82" s="76" t="str">
        <f>REPT(CHAR(160),10)&amp;Working!$E83</f>
        <v>          B</v>
      </c>
      <c r="G82" s="78">
        <f>IFERROR(VLOOKUP(Table1215[[#This Row],[Column2]],Table12[[Column2]:[Column54]],6,FALSE),"0")</f>
        <v>0</v>
      </c>
      <c r="H82" s="78">
        <f>IFERROR(VLOOKUP(Table1215[[#This Row],[Column2]],Table12[[Column2]:[Column54]],7,FALSE),"0")</f>
        <v>0</v>
      </c>
      <c r="I82" s="78">
        <f>IFERROR(VLOOKUP(Table1215[[#This Row],[Column2]],Table12[[Column2]:[Column54]],8,FALSE),"0")</f>
        <v>3</v>
      </c>
      <c r="J82" s="78">
        <f>IFERROR(VLOOKUP(Table1215[[#This Row],[Column2]],Table12[[Column2]:[Column54]],9,FALSE),"0")</f>
        <v>0</v>
      </c>
      <c r="K82" s="78">
        <f>IFERROR(VLOOKUP(Table1215[[#This Row],[Column2]],Table12[[Column2]:[Column54]],10,FALSE),"0")</f>
        <v>0</v>
      </c>
      <c r="L82" s="80">
        <f>Table1215[[#This Row],[Column9]]</f>
        <v>3</v>
      </c>
      <c r="M82" s="78">
        <f>IFERROR(VLOOKUP(Table1215[[#This Row],[Column2]],Table12[[Column2]:[Column54]],12,FALSE),"0")</f>
        <v>0</v>
      </c>
      <c r="N82" s="78">
        <f>IFERROR(VLOOKUP(Table1215[[#This Row],[Column2]],Table12[[Column2]:[Column54]],13,FALSE),"0")</f>
        <v>2</v>
      </c>
      <c r="O82" s="78">
        <f>IFERROR(VLOOKUP(Table1215[[#This Row],[Column2]],Table12[[Column2]:[Column54]],14,FALSE),"0")</f>
        <v>2</v>
      </c>
      <c r="P82" s="78">
        <f>IFERROR(VLOOKUP(Table1215[[#This Row],[Column2]],Table12[[Column2]:[Column54]],10,FALSE),"0")</f>
        <v>0</v>
      </c>
      <c r="Q82" s="78">
        <f>IFERROR(VLOOKUP(Table1215[[#This Row],[Column2]],Table12[[Column2]:[Column54]],16,FALSE),"0")</f>
        <v>2</v>
      </c>
      <c r="R82" s="80">
        <f>AVERAGE(Table1215[[#This Row],[Column14]],Table1215[[#This Row],[Column15]],Table1215[[#This Row],[Column17]])</f>
        <v>2</v>
      </c>
      <c r="S82" s="78">
        <f>IFERROR(VLOOKUP(Table1215[[#This Row],[Column2]],Table12[[Column2]:[Column54]],18,FALSE),"0")</f>
        <v>0</v>
      </c>
      <c r="T82" s="78">
        <f>IFERROR(VLOOKUP(Table1215[[#This Row],[Column2]],Table12[[Column2]:[Column54]],19,FALSE),"0")</f>
        <v>0</v>
      </c>
      <c r="U82" s="78">
        <f>IFERROR(VLOOKUP(Table1215[[#This Row],[Column2]],Table12[[Column2]:[Column54]],20,FALSE),"0")</f>
        <v>0</v>
      </c>
      <c r="V82" s="78">
        <f>IFERROR(VLOOKUP(Table1215[[#This Row],[Column2]],Table12[[Column2]:[Column54]],21,FALSE),"0")</f>
        <v>0</v>
      </c>
      <c r="W82" s="78">
        <f>IFERROR(VLOOKUP(Table1215[[#This Row],[Column2]],Table12[[Column2]:[Column54]],22,FALSE),"0")</f>
        <v>0</v>
      </c>
      <c r="X82" s="80">
        <f>Table1215[[#This Row],[Column19]]</f>
        <v>0</v>
      </c>
      <c r="Y82" s="78">
        <f>IFERROR(VLOOKUP(Table1215[[#This Row],[Column2]],Table12[[Column2]:[Column54]],24,FALSE),"0")</f>
        <v>3</v>
      </c>
      <c r="Z82" s="78">
        <f>IFERROR(VLOOKUP(Table1215[[#This Row],[Column2]],Table12[[Column2]:[Column54]],25,FALSE),"0")</f>
        <v>0</v>
      </c>
      <c r="AA82" s="78">
        <f>IFERROR(VLOOKUP(Table1215[[#This Row],[Column2]],Table12[[Column2]:[Column54]],26,FALSE),"0")</f>
        <v>0</v>
      </c>
      <c r="AB82" s="78">
        <f>IFERROR(VLOOKUP(Table1215[[#This Row],[Column2]],Table12[[Column2]:[Column54]],27,FALSE),"0")</f>
        <v>0</v>
      </c>
      <c r="AC82" s="78">
        <f>IFERROR(VLOOKUP(Table1215[[#This Row],[Column2]],Table12[[Column2]:[Column54]],28,FALSE),"0")</f>
        <v>0</v>
      </c>
      <c r="AD82" s="80">
        <f>Table1215[[#This Row],[Column25]]</f>
        <v>3</v>
      </c>
      <c r="AE82" s="78">
        <f>IFERROR(VLOOKUP(Table1215[[#This Row],[Column2]],Table12[[Column2]:[Column54]],30,FALSE),"0")</f>
        <v>0</v>
      </c>
      <c r="AF82" s="78">
        <f>IFERROR(VLOOKUP(Table1215[[#This Row],[Column2]],Table12[[Column2]:[Column54]],31,FALSE),"0")</f>
        <v>0</v>
      </c>
      <c r="AG82" s="78">
        <f>IFERROR(VLOOKUP(Table1215[[#This Row],[Column2]],Table12[[Column2]:[Column54]],32,FALSE),"0")</f>
        <v>0</v>
      </c>
      <c r="AH82" s="78">
        <f>IFERROR(VLOOKUP(Table1215[[#This Row],[Column2]],Table12[[Column2]:[Column54]],33,FALSE),"0")</f>
        <v>0</v>
      </c>
      <c r="AI82" s="78">
        <f>IFERROR(VLOOKUP(Table1215[[#This Row],[Column2]],Table12[[Column2]:[Column54]],34,FALSE),"0")</f>
        <v>0</v>
      </c>
      <c r="AJ82" s="80">
        <f>AVERAGE(Table1215[[#This Row],[Column31]],Table1215[[#This Row],[Column32]],Table1215[[#This Row],[Column33]])</f>
        <v>0</v>
      </c>
      <c r="AK82" s="78">
        <f>IFERROR(VLOOKUP(Table1215[[#This Row],[Column2]],Table12[[Column2]:[Column54]],36,FALSE),"0")</f>
        <v>3</v>
      </c>
      <c r="AL82" s="78">
        <f>IFERROR(VLOOKUP(Table1215[[#This Row],[Column2]],Table12[[Column2]:[Column54]],37,FALSE),"0")</f>
        <v>3</v>
      </c>
      <c r="AM82" s="78">
        <f>IFERROR(VLOOKUP(Table1215[[#This Row],[Column2]],Table12[[Column2]:[Column54]],38,FALSE),"0")</f>
        <v>0</v>
      </c>
      <c r="AN82" s="78">
        <f>IFERROR(VLOOKUP(Table1215[[#This Row],[Column2]],Table12[[Column2]:[Column54]],39,FALSE),"0")</f>
        <v>3</v>
      </c>
      <c r="AO82" s="78">
        <f>IFERROR(VLOOKUP(Table1215[[#This Row],[Column2]],Table12[[Column2]:[Column54]],40,FALSE),"0")</f>
        <v>0</v>
      </c>
      <c r="AP82" s="80">
        <f>AVERAGE(Table1215[[#This Row],[Column37]],Table1215[[#This Row],[Column38]],Table1215[[#This Row],[Column40]])</f>
        <v>3</v>
      </c>
      <c r="AQ82" s="78">
        <f>IFERROR(VLOOKUP(Table1215[[#This Row],[Column2]],Table12[[Column2]:[Column54]],42,FALSE),"0")</f>
        <v>3</v>
      </c>
      <c r="AR82" s="78">
        <f>IFERROR(VLOOKUP(Table1215[[#This Row],[Column2]],Table12[[Column2]:[Column54]],43,FALSE),"0")</f>
        <v>0</v>
      </c>
      <c r="AS82" s="78">
        <f>IFERROR(VLOOKUP(Table1215[[#This Row],[Column2]],Table12[[Column2]:[Column54]],44,FALSE),"0")</f>
        <v>0</v>
      </c>
      <c r="AT82" s="78">
        <f>IFERROR(VLOOKUP(Table1215[[#This Row],[Column2]],Table12[[Column2]:[Column54]],45,FALSE),"0")</f>
        <v>0</v>
      </c>
      <c r="AU82" s="78">
        <f>IFERROR(VLOOKUP(Table1215[[#This Row],[Column2]],Table12[[Column2]:[Column54]],46,FALSE),"0")</f>
        <v>0</v>
      </c>
      <c r="AV82" s="80">
        <f>Table1215[[#This Row],[Column43]]</f>
        <v>3</v>
      </c>
      <c r="AW82" s="78">
        <f>IFERROR(VLOOKUP(Table1215[[#This Row],[Column2]],Table12[[Column2]:[Column54]],48,FALSE),"0")</f>
        <v>0</v>
      </c>
      <c r="AX82" s="78">
        <f>IFERROR(VLOOKUP(Table1215[[#This Row],[Column2]],Table12[[Column2]:[Column54]],49,FALSE),"0")</f>
        <v>0</v>
      </c>
      <c r="AY82" s="78">
        <f>IFERROR(VLOOKUP(Table1215[[#This Row],[Column2]],Table12[[Column2]:[Column54]],50,FALSE),"0")</f>
        <v>0</v>
      </c>
      <c r="AZ82" s="78">
        <f>IFERROR(VLOOKUP(Table1215[[#This Row],[Column2]],Table12[[Column2]:[Column54]],51,FALSE),"0")</f>
        <v>3</v>
      </c>
      <c r="BA82" s="78">
        <f>IFERROR(VLOOKUP(Table1215[[#This Row],[Column2]],Table12[[Column2]:[Column54]],52,FALSE),"0")</f>
        <v>3</v>
      </c>
      <c r="BB82" s="80">
        <f>AVERAGE(Table1215[[#This Row],[Column52]],Table1215[[#This Row],[Column53]])</f>
        <v>3</v>
      </c>
    </row>
    <row r="83" spans="1:54" ht="23.1" customHeight="1" x14ac:dyDescent="0.3">
      <c r="A83" s="100">
        <v>80</v>
      </c>
      <c r="B83" s="83" t="s">
        <v>332</v>
      </c>
      <c r="C83" s="84" t="s">
        <v>333</v>
      </c>
      <c r="D83" s="83" t="s">
        <v>450</v>
      </c>
      <c r="E83" s="83" t="s">
        <v>493</v>
      </c>
      <c r="F83" s="83" t="str">
        <f>REPT(CHAR(160),10)&amp;Working!$E84</f>
        <v>          C</v>
      </c>
      <c r="G83" s="74">
        <f>IFERROR(VLOOKUP(Table1215[[#This Row],[Column2]],Table12[[Column2]:[Column54]],6,FALSE),"0")</f>
        <v>0</v>
      </c>
      <c r="H83" s="74">
        <f>IFERROR(VLOOKUP(Table1215[[#This Row],[Column2]],Table12[[Column2]:[Column54]],7,FALSE),"0")</f>
        <v>0</v>
      </c>
      <c r="I83" s="74">
        <f>IFERROR(VLOOKUP(Table1215[[#This Row],[Column2]],Table12[[Column2]:[Column54]],8,FALSE),"0")</f>
        <v>2</v>
      </c>
      <c r="J83" s="74">
        <f>IFERROR(VLOOKUP(Table1215[[#This Row],[Column2]],Table12[[Column2]:[Column54]],9,FALSE),"0")</f>
        <v>0</v>
      </c>
      <c r="K83" s="74">
        <f>IFERROR(VLOOKUP(Table1215[[#This Row],[Column2]],Table12[[Column2]:[Column54]],10,FALSE),"0")</f>
        <v>0</v>
      </c>
      <c r="L83" s="80">
        <f>Table1215[[#This Row],[Column9]]</f>
        <v>2</v>
      </c>
      <c r="M83" s="74">
        <f>IFERROR(VLOOKUP(Table1215[[#This Row],[Column2]],Table12[[Column2]:[Column54]],12,FALSE),"0")</f>
        <v>0</v>
      </c>
      <c r="N83" s="74">
        <f>IFERROR(VLOOKUP(Table1215[[#This Row],[Column2]],Table12[[Column2]:[Column54]],13,FALSE),"0")</f>
        <v>2</v>
      </c>
      <c r="O83" s="74">
        <f>IFERROR(VLOOKUP(Table1215[[#This Row],[Column2]],Table12[[Column2]:[Column54]],14,FALSE),"0")</f>
        <v>2</v>
      </c>
      <c r="P83" s="74">
        <f>IFERROR(VLOOKUP(Table1215[[#This Row],[Column2]],Table12[[Column2]:[Column54]],10,FALSE),"0")</f>
        <v>0</v>
      </c>
      <c r="Q83" s="74">
        <f>IFERROR(VLOOKUP(Table1215[[#This Row],[Column2]],Table12[[Column2]:[Column54]],16,FALSE),"0")</f>
        <v>2</v>
      </c>
      <c r="R83" s="80">
        <f>AVERAGE(Table1215[[#This Row],[Column14]],Table1215[[#This Row],[Column15]],Table1215[[#This Row],[Column17]])</f>
        <v>2</v>
      </c>
      <c r="S83" s="74">
        <f>IFERROR(VLOOKUP(Table1215[[#This Row],[Column2]],Table12[[Column2]:[Column54]],18,FALSE),"0")</f>
        <v>0</v>
      </c>
      <c r="T83" s="74">
        <f>IFERROR(VLOOKUP(Table1215[[#This Row],[Column2]],Table12[[Column2]:[Column54]],19,FALSE),"0")</f>
        <v>0</v>
      </c>
      <c r="U83" s="74">
        <f>IFERROR(VLOOKUP(Table1215[[#This Row],[Column2]],Table12[[Column2]:[Column54]],20,FALSE),"0")</f>
        <v>0</v>
      </c>
      <c r="V83" s="74">
        <f>IFERROR(VLOOKUP(Table1215[[#This Row],[Column2]],Table12[[Column2]:[Column54]],21,FALSE),"0")</f>
        <v>0</v>
      </c>
      <c r="W83" s="74">
        <f>IFERROR(VLOOKUP(Table1215[[#This Row],[Column2]],Table12[[Column2]:[Column54]],22,FALSE),"0")</f>
        <v>0</v>
      </c>
      <c r="X83" s="80">
        <f>Table1215[[#This Row],[Column19]]</f>
        <v>0</v>
      </c>
      <c r="Y83" s="74">
        <f>IFERROR(VLOOKUP(Table1215[[#This Row],[Column2]],Table12[[Column2]:[Column54]],24,FALSE),"0")</f>
        <v>2</v>
      </c>
      <c r="Z83" s="74">
        <f>IFERROR(VLOOKUP(Table1215[[#This Row],[Column2]],Table12[[Column2]:[Column54]],25,FALSE),"0")</f>
        <v>0</v>
      </c>
      <c r="AA83" s="74">
        <f>IFERROR(VLOOKUP(Table1215[[#This Row],[Column2]],Table12[[Column2]:[Column54]],26,FALSE),"0")</f>
        <v>0</v>
      </c>
      <c r="AB83" s="74">
        <f>IFERROR(VLOOKUP(Table1215[[#This Row],[Column2]],Table12[[Column2]:[Column54]],27,FALSE),"0")</f>
        <v>0</v>
      </c>
      <c r="AC83" s="74">
        <f>IFERROR(VLOOKUP(Table1215[[#This Row],[Column2]],Table12[[Column2]:[Column54]],28,FALSE),"0")</f>
        <v>0</v>
      </c>
      <c r="AD83" s="80">
        <f>Table1215[[#This Row],[Column25]]</f>
        <v>2</v>
      </c>
      <c r="AE83" s="74">
        <f>IFERROR(VLOOKUP(Table1215[[#This Row],[Column2]],Table12[[Column2]:[Column54]],30,FALSE),"0")</f>
        <v>0</v>
      </c>
      <c r="AF83" s="74">
        <f>IFERROR(VLOOKUP(Table1215[[#This Row],[Column2]],Table12[[Column2]:[Column54]],31,FALSE),"0")</f>
        <v>0</v>
      </c>
      <c r="AG83" s="74">
        <f>IFERROR(VLOOKUP(Table1215[[#This Row],[Column2]],Table12[[Column2]:[Column54]],32,FALSE),"0")</f>
        <v>0</v>
      </c>
      <c r="AH83" s="74">
        <f>IFERROR(VLOOKUP(Table1215[[#This Row],[Column2]],Table12[[Column2]:[Column54]],33,FALSE),"0")</f>
        <v>0</v>
      </c>
      <c r="AI83" s="74">
        <f>IFERROR(VLOOKUP(Table1215[[#This Row],[Column2]],Table12[[Column2]:[Column54]],34,FALSE),"0")</f>
        <v>0</v>
      </c>
      <c r="AJ83" s="80">
        <f>AVERAGE(Table1215[[#This Row],[Column31]],Table1215[[#This Row],[Column32]],Table1215[[#This Row],[Column33]])</f>
        <v>0</v>
      </c>
      <c r="AK83" s="74">
        <f>IFERROR(VLOOKUP(Table1215[[#This Row],[Column2]],Table12[[Column2]:[Column54]],36,FALSE),"0")</f>
        <v>2</v>
      </c>
      <c r="AL83" s="74">
        <f>IFERROR(VLOOKUP(Table1215[[#This Row],[Column2]],Table12[[Column2]:[Column54]],37,FALSE),"0")</f>
        <v>3</v>
      </c>
      <c r="AM83" s="74">
        <f>IFERROR(VLOOKUP(Table1215[[#This Row],[Column2]],Table12[[Column2]:[Column54]],38,FALSE),"0")</f>
        <v>0</v>
      </c>
      <c r="AN83" s="74">
        <f>IFERROR(VLOOKUP(Table1215[[#This Row],[Column2]],Table12[[Column2]:[Column54]],39,FALSE),"0")</f>
        <v>3</v>
      </c>
      <c r="AO83" s="74">
        <f>IFERROR(VLOOKUP(Table1215[[#This Row],[Column2]],Table12[[Column2]:[Column54]],40,FALSE),"0")</f>
        <v>0</v>
      </c>
      <c r="AP83" s="80">
        <f>AVERAGE(Table1215[[#This Row],[Column37]],Table1215[[#This Row],[Column38]],Table1215[[#This Row],[Column40]])</f>
        <v>2.6666666666666665</v>
      </c>
      <c r="AQ83" s="74">
        <f>IFERROR(VLOOKUP(Table1215[[#This Row],[Column2]],Table12[[Column2]:[Column54]],42,FALSE),"0")</f>
        <v>3</v>
      </c>
      <c r="AR83" s="74">
        <f>IFERROR(VLOOKUP(Table1215[[#This Row],[Column2]],Table12[[Column2]:[Column54]],43,FALSE),"0")</f>
        <v>0</v>
      </c>
      <c r="AS83" s="74">
        <f>IFERROR(VLOOKUP(Table1215[[#This Row],[Column2]],Table12[[Column2]:[Column54]],44,FALSE),"0")</f>
        <v>0</v>
      </c>
      <c r="AT83" s="74">
        <f>IFERROR(VLOOKUP(Table1215[[#This Row],[Column2]],Table12[[Column2]:[Column54]],45,FALSE),"0")</f>
        <v>0</v>
      </c>
      <c r="AU83" s="74">
        <f>IFERROR(VLOOKUP(Table1215[[#This Row],[Column2]],Table12[[Column2]:[Column54]],46,FALSE),"0")</f>
        <v>0</v>
      </c>
      <c r="AV83" s="80">
        <f>Table1215[[#This Row],[Column43]]</f>
        <v>3</v>
      </c>
      <c r="AW83" s="74">
        <f>IFERROR(VLOOKUP(Table1215[[#This Row],[Column2]],Table12[[Column2]:[Column54]],48,FALSE),"0")</f>
        <v>0</v>
      </c>
      <c r="AX83" s="74">
        <f>IFERROR(VLOOKUP(Table1215[[#This Row],[Column2]],Table12[[Column2]:[Column54]],49,FALSE),"0")</f>
        <v>0</v>
      </c>
      <c r="AY83" s="74">
        <f>IFERROR(VLOOKUP(Table1215[[#This Row],[Column2]],Table12[[Column2]:[Column54]],50,FALSE),"0")</f>
        <v>0</v>
      </c>
      <c r="AZ83" s="74">
        <f>IFERROR(VLOOKUP(Table1215[[#This Row],[Column2]],Table12[[Column2]:[Column54]],51,FALSE),"0")</f>
        <v>3</v>
      </c>
      <c r="BA83" s="74">
        <f>IFERROR(VLOOKUP(Table1215[[#This Row],[Column2]],Table12[[Column2]:[Column54]],52,FALSE),"0")</f>
        <v>3</v>
      </c>
      <c r="BB83" s="80">
        <f>AVERAGE(Table1215[[#This Row],[Column52]],Table1215[[#This Row],[Column53]])</f>
        <v>3</v>
      </c>
    </row>
    <row r="84" spans="1:54" ht="23.1" customHeight="1" x14ac:dyDescent="0.3">
      <c r="A84" s="99">
        <v>81</v>
      </c>
      <c r="B84" s="76" t="s">
        <v>334</v>
      </c>
      <c r="C84" s="77" t="s">
        <v>335</v>
      </c>
      <c r="D84" s="76" t="s">
        <v>542</v>
      </c>
      <c r="E84" s="76" t="s">
        <v>493</v>
      </c>
      <c r="F84" s="76" t="str">
        <f>REPT(CHAR(160),10)&amp;Working!$E85</f>
        <v>          C</v>
      </c>
      <c r="G84" s="78">
        <f>IFERROR(VLOOKUP(Table1215[[#This Row],[Column2]],Table12[[Column2]:[Column54]],6,FALSE),"0")</f>
        <v>0</v>
      </c>
      <c r="H84" s="78">
        <f>IFERROR(VLOOKUP(Table1215[[#This Row],[Column2]],Table12[[Column2]:[Column54]],7,FALSE),"0")</f>
        <v>0</v>
      </c>
      <c r="I84" s="78">
        <f>IFERROR(VLOOKUP(Table1215[[#This Row],[Column2]],Table12[[Column2]:[Column54]],8,FALSE),"0")</f>
        <v>3</v>
      </c>
      <c r="J84" s="78">
        <f>IFERROR(VLOOKUP(Table1215[[#This Row],[Column2]],Table12[[Column2]:[Column54]],9,FALSE),"0")</f>
        <v>0</v>
      </c>
      <c r="K84" s="78">
        <f>IFERROR(VLOOKUP(Table1215[[#This Row],[Column2]],Table12[[Column2]:[Column54]],10,FALSE),"0")</f>
        <v>0</v>
      </c>
      <c r="L84" s="80">
        <f>Table1215[[#This Row],[Column9]]</f>
        <v>3</v>
      </c>
      <c r="M84" s="78">
        <f>IFERROR(VLOOKUP(Table1215[[#This Row],[Column2]],Table12[[Column2]:[Column54]],12,FALSE),"0")</f>
        <v>0</v>
      </c>
      <c r="N84" s="78">
        <f>IFERROR(VLOOKUP(Table1215[[#This Row],[Column2]],Table12[[Column2]:[Column54]],13,FALSE),"0")</f>
        <v>3</v>
      </c>
      <c r="O84" s="78">
        <f>IFERROR(VLOOKUP(Table1215[[#This Row],[Column2]],Table12[[Column2]:[Column54]],14,FALSE),"0")</f>
        <v>2</v>
      </c>
      <c r="P84" s="78">
        <f>IFERROR(VLOOKUP(Table1215[[#This Row],[Column2]],Table12[[Column2]:[Column54]],10,FALSE),"0")</f>
        <v>0</v>
      </c>
      <c r="Q84" s="78">
        <f>IFERROR(VLOOKUP(Table1215[[#This Row],[Column2]],Table12[[Column2]:[Column54]],16,FALSE),"0")</f>
        <v>2</v>
      </c>
      <c r="R84" s="80">
        <f>AVERAGE(Table1215[[#This Row],[Column14]],Table1215[[#This Row],[Column15]],Table1215[[#This Row],[Column17]])</f>
        <v>2.3333333333333335</v>
      </c>
      <c r="S84" s="78">
        <f>IFERROR(VLOOKUP(Table1215[[#This Row],[Column2]],Table12[[Column2]:[Column54]],18,FALSE),"0")</f>
        <v>0</v>
      </c>
      <c r="T84" s="78">
        <f>IFERROR(VLOOKUP(Table1215[[#This Row],[Column2]],Table12[[Column2]:[Column54]],19,FALSE),"0")</f>
        <v>0</v>
      </c>
      <c r="U84" s="78">
        <f>IFERROR(VLOOKUP(Table1215[[#This Row],[Column2]],Table12[[Column2]:[Column54]],20,FALSE),"0")</f>
        <v>0</v>
      </c>
      <c r="V84" s="78">
        <f>IFERROR(VLOOKUP(Table1215[[#This Row],[Column2]],Table12[[Column2]:[Column54]],21,FALSE),"0")</f>
        <v>0</v>
      </c>
      <c r="W84" s="78">
        <f>IFERROR(VLOOKUP(Table1215[[#This Row],[Column2]],Table12[[Column2]:[Column54]],22,FALSE),"0")</f>
        <v>0</v>
      </c>
      <c r="X84" s="80">
        <f>Table1215[[#This Row],[Column19]]</f>
        <v>0</v>
      </c>
      <c r="Y84" s="78">
        <f>IFERROR(VLOOKUP(Table1215[[#This Row],[Column2]],Table12[[Column2]:[Column54]],24,FALSE),"0")</f>
        <v>2</v>
      </c>
      <c r="Z84" s="78">
        <f>IFERROR(VLOOKUP(Table1215[[#This Row],[Column2]],Table12[[Column2]:[Column54]],25,FALSE),"0")</f>
        <v>0</v>
      </c>
      <c r="AA84" s="78">
        <f>IFERROR(VLOOKUP(Table1215[[#This Row],[Column2]],Table12[[Column2]:[Column54]],26,FALSE),"0")</f>
        <v>0</v>
      </c>
      <c r="AB84" s="78">
        <f>IFERROR(VLOOKUP(Table1215[[#This Row],[Column2]],Table12[[Column2]:[Column54]],27,FALSE),"0")</f>
        <v>0</v>
      </c>
      <c r="AC84" s="78">
        <f>IFERROR(VLOOKUP(Table1215[[#This Row],[Column2]],Table12[[Column2]:[Column54]],28,FALSE),"0")</f>
        <v>0</v>
      </c>
      <c r="AD84" s="80">
        <f>Table1215[[#This Row],[Column25]]</f>
        <v>2</v>
      </c>
      <c r="AE84" s="78">
        <f>IFERROR(VLOOKUP(Table1215[[#This Row],[Column2]],Table12[[Column2]:[Column54]],30,FALSE),"0")</f>
        <v>0</v>
      </c>
      <c r="AF84" s="78">
        <f>IFERROR(VLOOKUP(Table1215[[#This Row],[Column2]],Table12[[Column2]:[Column54]],31,FALSE),"0")</f>
        <v>0</v>
      </c>
      <c r="AG84" s="78">
        <f>IFERROR(VLOOKUP(Table1215[[#This Row],[Column2]],Table12[[Column2]:[Column54]],32,FALSE),"0")</f>
        <v>0</v>
      </c>
      <c r="AH84" s="78">
        <f>IFERROR(VLOOKUP(Table1215[[#This Row],[Column2]],Table12[[Column2]:[Column54]],33,FALSE),"0")</f>
        <v>0</v>
      </c>
      <c r="AI84" s="78">
        <f>IFERROR(VLOOKUP(Table1215[[#This Row],[Column2]],Table12[[Column2]:[Column54]],34,FALSE),"0")</f>
        <v>0</v>
      </c>
      <c r="AJ84" s="80">
        <f>AVERAGE(Table1215[[#This Row],[Column31]],Table1215[[#This Row],[Column32]],Table1215[[#This Row],[Column33]])</f>
        <v>0</v>
      </c>
      <c r="AK84" s="78">
        <f>IFERROR(VLOOKUP(Table1215[[#This Row],[Column2]],Table12[[Column2]:[Column54]],36,FALSE),"0")</f>
        <v>2</v>
      </c>
      <c r="AL84" s="78">
        <f>IFERROR(VLOOKUP(Table1215[[#This Row],[Column2]],Table12[[Column2]:[Column54]],37,FALSE),"0")</f>
        <v>3</v>
      </c>
      <c r="AM84" s="78">
        <f>IFERROR(VLOOKUP(Table1215[[#This Row],[Column2]],Table12[[Column2]:[Column54]],38,FALSE),"0")</f>
        <v>0</v>
      </c>
      <c r="AN84" s="78">
        <f>IFERROR(VLOOKUP(Table1215[[#This Row],[Column2]],Table12[[Column2]:[Column54]],39,FALSE),"0")</f>
        <v>3</v>
      </c>
      <c r="AO84" s="78">
        <f>IFERROR(VLOOKUP(Table1215[[#This Row],[Column2]],Table12[[Column2]:[Column54]],40,FALSE),"0")</f>
        <v>0</v>
      </c>
      <c r="AP84" s="80">
        <f>AVERAGE(Table1215[[#This Row],[Column37]],Table1215[[#This Row],[Column38]],Table1215[[#This Row],[Column40]])</f>
        <v>2.6666666666666665</v>
      </c>
      <c r="AQ84" s="78">
        <f>IFERROR(VLOOKUP(Table1215[[#This Row],[Column2]],Table12[[Column2]:[Column54]],42,FALSE),"0")</f>
        <v>3</v>
      </c>
      <c r="AR84" s="78">
        <f>IFERROR(VLOOKUP(Table1215[[#This Row],[Column2]],Table12[[Column2]:[Column54]],43,FALSE),"0")</f>
        <v>0</v>
      </c>
      <c r="AS84" s="78">
        <f>IFERROR(VLOOKUP(Table1215[[#This Row],[Column2]],Table12[[Column2]:[Column54]],44,FALSE),"0")</f>
        <v>0</v>
      </c>
      <c r="AT84" s="78">
        <f>IFERROR(VLOOKUP(Table1215[[#This Row],[Column2]],Table12[[Column2]:[Column54]],45,FALSE),"0")</f>
        <v>0</v>
      </c>
      <c r="AU84" s="78">
        <f>IFERROR(VLOOKUP(Table1215[[#This Row],[Column2]],Table12[[Column2]:[Column54]],46,FALSE),"0")</f>
        <v>0</v>
      </c>
      <c r="AV84" s="80">
        <f>Table1215[[#This Row],[Column43]]</f>
        <v>3</v>
      </c>
      <c r="AW84" s="78">
        <f>IFERROR(VLOOKUP(Table1215[[#This Row],[Column2]],Table12[[Column2]:[Column54]],48,FALSE),"0")</f>
        <v>0</v>
      </c>
      <c r="AX84" s="78">
        <f>IFERROR(VLOOKUP(Table1215[[#This Row],[Column2]],Table12[[Column2]:[Column54]],49,FALSE),"0")</f>
        <v>0</v>
      </c>
      <c r="AY84" s="78">
        <f>IFERROR(VLOOKUP(Table1215[[#This Row],[Column2]],Table12[[Column2]:[Column54]],50,FALSE),"0")</f>
        <v>0</v>
      </c>
      <c r="AZ84" s="78">
        <f>IFERROR(VLOOKUP(Table1215[[#This Row],[Column2]],Table12[[Column2]:[Column54]],51,FALSE),"0")</f>
        <v>3</v>
      </c>
      <c r="BA84" s="78">
        <f>IFERROR(VLOOKUP(Table1215[[#This Row],[Column2]],Table12[[Column2]:[Column54]],52,FALSE),"0")</f>
        <v>3</v>
      </c>
      <c r="BB84" s="80">
        <f>AVERAGE(Table1215[[#This Row],[Column52]],Table1215[[#This Row],[Column53]])</f>
        <v>3</v>
      </c>
    </row>
    <row r="85" spans="1:54" ht="23.1" customHeight="1" x14ac:dyDescent="0.3">
      <c r="A85" s="100">
        <v>82</v>
      </c>
      <c r="B85" s="83" t="s">
        <v>81</v>
      </c>
      <c r="C85" s="84" t="s">
        <v>82</v>
      </c>
      <c r="D85" s="83" t="s">
        <v>542</v>
      </c>
      <c r="E85" s="83" t="s">
        <v>35</v>
      </c>
      <c r="F85" s="83" t="str">
        <f>REPT(CHAR(160),10)&amp;Working!$E86</f>
        <v>          A</v>
      </c>
      <c r="G85" s="74">
        <f>IFERROR(VLOOKUP(Table1215[[#This Row],[Column2]],Table12[[Column2]:[Column54]],6,FALSE),"0")</f>
        <v>0</v>
      </c>
      <c r="H85" s="74">
        <f>IFERROR(VLOOKUP(Table1215[[#This Row],[Column2]],Table12[[Column2]:[Column54]],7,FALSE),"0")</f>
        <v>0</v>
      </c>
      <c r="I85" s="74">
        <f>IFERROR(VLOOKUP(Table1215[[#This Row],[Column2]],Table12[[Column2]:[Column54]],8,FALSE),"0")</f>
        <v>4</v>
      </c>
      <c r="J85" s="74">
        <f>IFERROR(VLOOKUP(Table1215[[#This Row],[Column2]],Table12[[Column2]:[Column54]],9,FALSE),"0")</f>
        <v>0</v>
      </c>
      <c r="K85" s="74">
        <f>IFERROR(VLOOKUP(Table1215[[#This Row],[Column2]],Table12[[Column2]:[Column54]],10,FALSE),"0")</f>
        <v>0</v>
      </c>
      <c r="L85" s="80">
        <f>Table1215[[#This Row],[Column9]]</f>
        <v>4</v>
      </c>
      <c r="M85" s="74">
        <f>IFERROR(VLOOKUP(Table1215[[#This Row],[Column2]],Table12[[Column2]:[Column54]],12,FALSE),"0")</f>
        <v>0</v>
      </c>
      <c r="N85" s="74">
        <f>IFERROR(VLOOKUP(Table1215[[#This Row],[Column2]],Table12[[Column2]:[Column54]],13,FALSE),"0")</f>
        <v>4</v>
      </c>
      <c r="O85" s="74">
        <f>IFERROR(VLOOKUP(Table1215[[#This Row],[Column2]],Table12[[Column2]:[Column54]],14,FALSE),"0")</f>
        <v>4</v>
      </c>
      <c r="P85" s="74">
        <f>IFERROR(VLOOKUP(Table1215[[#This Row],[Column2]],Table12[[Column2]:[Column54]],10,FALSE),"0")</f>
        <v>0</v>
      </c>
      <c r="Q85" s="74">
        <f>IFERROR(VLOOKUP(Table1215[[#This Row],[Column2]],Table12[[Column2]:[Column54]],16,FALSE),"0")</f>
        <v>4</v>
      </c>
      <c r="R85" s="80">
        <f>AVERAGE(Table1215[[#This Row],[Column14]],Table1215[[#This Row],[Column15]],Table1215[[#This Row],[Column17]])</f>
        <v>4</v>
      </c>
      <c r="S85" s="74">
        <f>IFERROR(VLOOKUP(Table1215[[#This Row],[Column2]],Table12[[Column2]:[Column54]],18,FALSE),"0")</f>
        <v>0</v>
      </c>
      <c r="T85" s="74">
        <f>IFERROR(VLOOKUP(Table1215[[#This Row],[Column2]],Table12[[Column2]:[Column54]],19,FALSE),"0")</f>
        <v>0</v>
      </c>
      <c r="U85" s="74">
        <f>IFERROR(VLOOKUP(Table1215[[#This Row],[Column2]],Table12[[Column2]:[Column54]],20,FALSE),"0")</f>
        <v>0</v>
      </c>
      <c r="V85" s="74">
        <f>IFERROR(VLOOKUP(Table1215[[#This Row],[Column2]],Table12[[Column2]:[Column54]],21,FALSE),"0")</f>
        <v>0</v>
      </c>
      <c r="W85" s="74">
        <f>IFERROR(VLOOKUP(Table1215[[#This Row],[Column2]],Table12[[Column2]:[Column54]],22,FALSE),"0")</f>
        <v>0</v>
      </c>
      <c r="X85" s="80">
        <f>Table1215[[#This Row],[Column19]]</f>
        <v>0</v>
      </c>
      <c r="Y85" s="74">
        <f>IFERROR(VLOOKUP(Table1215[[#This Row],[Column2]],Table12[[Column2]:[Column54]],24,FALSE),"0")</f>
        <v>4</v>
      </c>
      <c r="Z85" s="74">
        <f>IFERROR(VLOOKUP(Table1215[[#This Row],[Column2]],Table12[[Column2]:[Column54]],25,FALSE),"0")</f>
        <v>0</v>
      </c>
      <c r="AA85" s="74">
        <f>IFERROR(VLOOKUP(Table1215[[#This Row],[Column2]],Table12[[Column2]:[Column54]],26,FALSE),"0")</f>
        <v>0</v>
      </c>
      <c r="AB85" s="74">
        <f>IFERROR(VLOOKUP(Table1215[[#This Row],[Column2]],Table12[[Column2]:[Column54]],27,FALSE),"0")</f>
        <v>0</v>
      </c>
      <c r="AC85" s="74">
        <f>IFERROR(VLOOKUP(Table1215[[#This Row],[Column2]],Table12[[Column2]:[Column54]],28,FALSE),"0")</f>
        <v>0</v>
      </c>
      <c r="AD85" s="80">
        <f>Table1215[[#This Row],[Column25]]</f>
        <v>4</v>
      </c>
      <c r="AE85" s="74">
        <f>IFERROR(VLOOKUP(Table1215[[#This Row],[Column2]],Table12[[Column2]:[Column54]],30,FALSE),"0")</f>
        <v>0</v>
      </c>
      <c r="AF85" s="74">
        <f>IFERROR(VLOOKUP(Table1215[[#This Row],[Column2]],Table12[[Column2]:[Column54]],31,FALSE),"0")</f>
        <v>0</v>
      </c>
      <c r="AG85" s="74">
        <f>IFERROR(VLOOKUP(Table1215[[#This Row],[Column2]],Table12[[Column2]:[Column54]],32,FALSE),"0")</f>
        <v>0</v>
      </c>
      <c r="AH85" s="74">
        <f>IFERROR(VLOOKUP(Table1215[[#This Row],[Column2]],Table12[[Column2]:[Column54]],33,FALSE),"0")</f>
        <v>0</v>
      </c>
      <c r="AI85" s="74">
        <f>IFERROR(VLOOKUP(Table1215[[#This Row],[Column2]],Table12[[Column2]:[Column54]],34,FALSE),"0")</f>
        <v>0</v>
      </c>
      <c r="AJ85" s="80">
        <f>AVERAGE(Table1215[[#This Row],[Column31]],Table1215[[#This Row],[Column32]],Table1215[[#This Row],[Column33]])</f>
        <v>0</v>
      </c>
      <c r="AK85" s="74">
        <f>IFERROR(VLOOKUP(Table1215[[#This Row],[Column2]],Table12[[Column2]:[Column54]],36,FALSE),"0")</f>
        <v>4</v>
      </c>
      <c r="AL85" s="74">
        <f>IFERROR(VLOOKUP(Table1215[[#This Row],[Column2]],Table12[[Column2]:[Column54]],37,FALSE),"0")</f>
        <v>5</v>
      </c>
      <c r="AM85" s="74">
        <f>IFERROR(VLOOKUP(Table1215[[#This Row],[Column2]],Table12[[Column2]:[Column54]],38,FALSE),"0")</f>
        <v>0</v>
      </c>
      <c r="AN85" s="74">
        <f>IFERROR(VLOOKUP(Table1215[[#This Row],[Column2]],Table12[[Column2]:[Column54]],39,FALSE),"0")</f>
        <v>5</v>
      </c>
      <c r="AO85" s="74">
        <f>IFERROR(VLOOKUP(Table1215[[#This Row],[Column2]],Table12[[Column2]:[Column54]],40,FALSE),"0")</f>
        <v>0</v>
      </c>
      <c r="AP85" s="80">
        <f>AVERAGE(Table1215[[#This Row],[Column37]],Table1215[[#This Row],[Column38]],Table1215[[#This Row],[Column40]])</f>
        <v>4.666666666666667</v>
      </c>
      <c r="AQ85" s="74">
        <f>IFERROR(VLOOKUP(Table1215[[#This Row],[Column2]],Table12[[Column2]:[Column54]],42,FALSE),"0")</f>
        <v>5</v>
      </c>
      <c r="AR85" s="74">
        <f>IFERROR(VLOOKUP(Table1215[[#This Row],[Column2]],Table12[[Column2]:[Column54]],43,FALSE),"0")</f>
        <v>0</v>
      </c>
      <c r="AS85" s="74">
        <f>IFERROR(VLOOKUP(Table1215[[#This Row],[Column2]],Table12[[Column2]:[Column54]],44,FALSE),"0")</f>
        <v>0</v>
      </c>
      <c r="AT85" s="74">
        <f>IFERROR(VLOOKUP(Table1215[[#This Row],[Column2]],Table12[[Column2]:[Column54]],45,FALSE),"0")</f>
        <v>0</v>
      </c>
      <c r="AU85" s="74">
        <f>IFERROR(VLOOKUP(Table1215[[#This Row],[Column2]],Table12[[Column2]:[Column54]],46,FALSE),"0")</f>
        <v>0</v>
      </c>
      <c r="AV85" s="80">
        <f>Table1215[[#This Row],[Column43]]</f>
        <v>5</v>
      </c>
      <c r="AW85" s="74">
        <f>IFERROR(VLOOKUP(Table1215[[#This Row],[Column2]],Table12[[Column2]:[Column54]],48,FALSE),"0")</f>
        <v>0</v>
      </c>
      <c r="AX85" s="74">
        <f>IFERROR(VLOOKUP(Table1215[[#This Row],[Column2]],Table12[[Column2]:[Column54]],49,FALSE),"0")</f>
        <v>0</v>
      </c>
      <c r="AY85" s="74">
        <f>IFERROR(VLOOKUP(Table1215[[#This Row],[Column2]],Table12[[Column2]:[Column54]],50,FALSE),"0")</f>
        <v>0</v>
      </c>
      <c r="AZ85" s="74">
        <f>IFERROR(VLOOKUP(Table1215[[#This Row],[Column2]],Table12[[Column2]:[Column54]],51,FALSE),"0")</f>
        <v>3</v>
      </c>
      <c r="BA85" s="74">
        <f>IFERROR(VLOOKUP(Table1215[[#This Row],[Column2]],Table12[[Column2]:[Column54]],52,FALSE),"0")</f>
        <v>4</v>
      </c>
      <c r="BB85" s="80">
        <f>AVERAGE(Table1215[[#This Row],[Column52]],Table1215[[#This Row],[Column53]])</f>
        <v>3.5</v>
      </c>
    </row>
    <row r="86" spans="1:54" ht="23.1" customHeight="1" x14ac:dyDescent="0.3">
      <c r="A86" s="99">
        <v>83</v>
      </c>
      <c r="B86" s="76" t="s">
        <v>70</v>
      </c>
      <c r="C86" s="77" t="s">
        <v>71</v>
      </c>
      <c r="D86" s="76" t="s">
        <v>450</v>
      </c>
      <c r="E86" s="76" t="s">
        <v>35</v>
      </c>
      <c r="F86" s="76" t="str">
        <f>REPT(CHAR(160),10)&amp;Working!$E87</f>
        <v>          A</v>
      </c>
      <c r="G86" s="78">
        <f>IFERROR(VLOOKUP(Table1215[[#This Row],[Column2]],Table12[[Column2]:[Column54]],6,FALSE),"0")</f>
        <v>0</v>
      </c>
      <c r="H86" s="78">
        <f>IFERROR(VLOOKUP(Table1215[[#This Row],[Column2]],Table12[[Column2]:[Column54]],7,FALSE),"0")</f>
        <v>0</v>
      </c>
      <c r="I86" s="78">
        <f>IFERROR(VLOOKUP(Table1215[[#This Row],[Column2]],Table12[[Column2]:[Column54]],8,FALSE),"0")</f>
        <v>3</v>
      </c>
      <c r="J86" s="78">
        <f>IFERROR(VLOOKUP(Table1215[[#This Row],[Column2]],Table12[[Column2]:[Column54]],9,FALSE),"0")</f>
        <v>0</v>
      </c>
      <c r="K86" s="78">
        <f>IFERROR(VLOOKUP(Table1215[[#This Row],[Column2]],Table12[[Column2]:[Column54]],10,FALSE),"0")</f>
        <v>0</v>
      </c>
      <c r="L86" s="80">
        <f>Table1215[[#This Row],[Column9]]</f>
        <v>3</v>
      </c>
      <c r="M86" s="78">
        <f>IFERROR(VLOOKUP(Table1215[[#This Row],[Column2]],Table12[[Column2]:[Column54]],12,FALSE),"0")</f>
        <v>0</v>
      </c>
      <c r="N86" s="78">
        <f>IFERROR(VLOOKUP(Table1215[[#This Row],[Column2]],Table12[[Column2]:[Column54]],13,FALSE),"0")</f>
        <v>4</v>
      </c>
      <c r="O86" s="78">
        <f>IFERROR(VLOOKUP(Table1215[[#This Row],[Column2]],Table12[[Column2]:[Column54]],14,FALSE),"0")</f>
        <v>3</v>
      </c>
      <c r="P86" s="78">
        <f>IFERROR(VLOOKUP(Table1215[[#This Row],[Column2]],Table12[[Column2]:[Column54]],10,FALSE),"0")</f>
        <v>0</v>
      </c>
      <c r="Q86" s="78">
        <f>IFERROR(VLOOKUP(Table1215[[#This Row],[Column2]],Table12[[Column2]:[Column54]],16,FALSE),"0")</f>
        <v>3</v>
      </c>
      <c r="R86" s="80">
        <f>AVERAGE(Table1215[[#This Row],[Column14]],Table1215[[#This Row],[Column15]],Table1215[[#This Row],[Column17]])</f>
        <v>3.3333333333333335</v>
      </c>
      <c r="S86" s="78">
        <f>IFERROR(VLOOKUP(Table1215[[#This Row],[Column2]],Table12[[Column2]:[Column54]],18,FALSE),"0")</f>
        <v>0</v>
      </c>
      <c r="T86" s="78">
        <f>IFERROR(VLOOKUP(Table1215[[#This Row],[Column2]],Table12[[Column2]:[Column54]],19,FALSE),"0")</f>
        <v>0</v>
      </c>
      <c r="U86" s="78">
        <f>IFERROR(VLOOKUP(Table1215[[#This Row],[Column2]],Table12[[Column2]:[Column54]],20,FALSE),"0")</f>
        <v>0</v>
      </c>
      <c r="V86" s="78">
        <f>IFERROR(VLOOKUP(Table1215[[#This Row],[Column2]],Table12[[Column2]:[Column54]],21,FALSE),"0")</f>
        <v>0</v>
      </c>
      <c r="W86" s="78">
        <f>IFERROR(VLOOKUP(Table1215[[#This Row],[Column2]],Table12[[Column2]:[Column54]],22,FALSE),"0")</f>
        <v>0</v>
      </c>
      <c r="X86" s="80">
        <f>Table1215[[#This Row],[Column19]]</f>
        <v>0</v>
      </c>
      <c r="Y86" s="78">
        <f>IFERROR(VLOOKUP(Table1215[[#This Row],[Column2]],Table12[[Column2]:[Column54]],24,FALSE),"0")</f>
        <v>4</v>
      </c>
      <c r="Z86" s="78">
        <f>IFERROR(VLOOKUP(Table1215[[#This Row],[Column2]],Table12[[Column2]:[Column54]],25,FALSE),"0")</f>
        <v>0</v>
      </c>
      <c r="AA86" s="78">
        <f>IFERROR(VLOOKUP(Table1215[[#This Row],[Column2]],Table12[[Column2]:[Column54]],26,FALSE),"0")</f>
        <v>0</v>
      </c>
      <c r="AB86" s="78">
        <f>IFERROR(VLOOKUP(Table1215[[#This Row],[Column2]],Table12[[Column2]:[Column54]],27,FALSE),"0")</f>
        <v>0</v>
      </c>
      <c r="AC86" s="78">
        <f>IFERROR(VLOOKUP(Table1215[[#This Row],[Column2]],Table12[[Column2]:[Column54]],28,FALSE),"0")</f>
        <v>0</v>
      </c>
      <c r="AD86" s="80">
        <f>Table1215[[#This Row],[Column25]]</f>
        <v>4</v>
      </c>
      <c r="AE86" s="78">
        <f>IFERROR(VLOOKUP(Table1215[[#This Row],[Column2]],Table12[[Column2]:[Column54]],30,FALSE),"0")</f>
        <v>0</v>
      </c>
      <c r="AF86" s="78">
        <f>IFERROR(VLOOKUP(Table1215[[#This Row],[Column2]],Table12[[Column2]:[Column54]],31,FALSE),"0")</f>
        <v>0</v>
      </c>
      <c r="AG86" s="78">
        <f>IFERROR(VLOOKUP(Table1215[[#This Row],[Column2]],Table12[[Column2]:[Column54]],32,FALSE),"0")</f>
        <v>0</v>
      </c>
      <c r="AH86" s="78">
        <f>IFERROR(VLOOKUP(Table1215[[#This Row],[Column2]],Table12[[Column2]:[Column54]],33,FALSE),"0")</f>
        <v>0</v>
      </c>
      <c r="AI86" s="78">
        <f>IFERROR(VLOOKUP(Table1215[[#This Row],[Column2]],Table12[[Column2]:[Column54]],34,FALSE),"0")</f>
        <v>0</v>
      </c>
      <c r="AJ86" s="80">
        <f>AVERAGE(Table1215[[#This Row],[Column31]],Table1215[[#This Row],[Column32]],Table1215[[#This Row],[Column33]])</f>
        <v>0</v>
      </c>
      <c r="AK86" s="78">
        <f>IFERROR(VLOOKUP(Table1215[[#This Row],[Column2]],Table12[[Column2]:[Column54]],36,FALSE),"0")</f>
        <v>2</v>
      </c>
      <c r="AL86" s="78">
        <f>IFERROR(VLOOKUP(Table1215[[#This Row],[Column2]],Table12[[Column2]:[Column54]],37,FALSE),"0")</f>
        <v>3</v>
      </c>
      <c r="AM86" s="78">
        <f>IFERROR(VLOOKUP(Table1215[[#This Row],[Column2]],Table12[[Column2]:[Column54]],38,FALSE),"0")</f>
        <v>0</v>
      </c>
      <c r="AN86" s="78">
        <f>IFERROR(VLOOKUP(Table1215[[#This Row],[Column2]],Table12[[Column2]:[Column54]],39,FALSE),"0")</f>
        <v>3</v>
      </c>
      <c r="AO86" s="78">
        <f>IFERROR(VLOOKUP(Table1215[[#This Row],[Column2]],Table12[[Column2]:[Column54]],40,FALSE),"0")</f>
        <v>0</v>
      </c>
      <c r="AP86" s="80">
        <f>AVERAGE(Table1215[[#This Row],[Column37]],Table1215[[#This Row],[Column38]],Table1215[[#This Row],[Column40]])</f>
        <v>2.6666666666666665</v>
      </c>
      <c r="AQ86" s="78">
        <f>IFERROR(VLOOKUP(Table1215[[#This Row],[Column2]],Table12[[Column2]:[Column54]],42,FALSE),"0")</f>
        <v>3</v>
      </c>
      <c r="AR86" s="78">
        <f>IFERROR(VLOOKUP(Table1215[[#This Row],[Column2]],Table12[[Column2]:[Column54]],43,FALSE),"0")</f>
        <v>0</v>
      </c>
      <c r="AS86" s="78">
        <f>IFERROR(VLOOKUP(Table1215[[#This Row],[Column2]],Table12[[Column2]:[Column54]],44,FALSE),"0")</f>
        <v>0</v>
      </c>
      <c r="AT86" s="78">
        <f>IFERROR(VLOOKUP(Table1215[[#This Row],[Column2]],Table12[[Column2]:[Column54]],45,FALSE),"0")</f>
        <v>0</v>
      </c>
      <c r="AU86" s="78">
        <f>IFERROR(VLOOKUP(Table1215[[#This Row],[Column2]],Table12[[Column2]:[Column54]],46,FALSE),"0")</f>
        <v>0</v>
      </c>
      <c r="AV86" s="80">
        <f>Table1215[[#This Row],[Column43]]</f>
        <v>3</v>
      </c>
      <c r="AW86" s="78">
        <f>IFERROR(VLOOKUP(Table1215[[#This Row],[Column2]],Table12[[Column2]:[Column54]],48,FALSE),"0")</f>
        <v>0</v>
      </c>
      <c r="AX86" s="78">
        <f>IFERROR(VLOOKUP(Table1215[[#This Row],[Column2]],Table12[[Column2]:[Column54]],49,FALSE),"0")</f>
        <v>0</v>
      </c>
      <c r="AY86" s="78">
        <f>IFERROR(VLOOKUP(Table1215[[#This Row],[Column2]],Table12[[Column2]:[Column54]],50,FALSE),"0")</f>
        <v>0</v>
      </c>
      <c r="AZ86" s="78">
        <f>IFERROR(VLOOKUP(Table1215[[#This Row],[Column2]],Table12[[Column2]:[Column54]],51,FALSE),"0")</f>
        <v>2</v>
      </c>
      <c r="BA86" s="78">
        <f>IFERROR(VLOOKUP(Table1215[[#This Row],[Column2]],Table12[[Column2]:[Column54]],52,FALSE),"0")</f>
        <v>4</v>
      </c>
      <c r="BB86" s="80">
        <f>AVERAGE(Table1215[[#This Row],[Column52]],Table1215[[#This Row],[Column53]])</f>
        <v>3</v>
      </c>
    </row>
    <row r="87" spans="1:54" ht="23.1" customHeight="1" x14ac:dyDescent="0.3">
      <c r="A87" s="100">
        <v>84</v>
      </c>
      <c r="B87" s="83" t="s">
        <v>336</v>
      </c>
      <c r="C87" s="84" t="s">
        <v>337</v>
      </c>
      <c r="D87" s="83" t="s">
        <v>450</v>
      </c>
      <c r="E87" s="83" t="s">
        <v>493</v>
      </c>
      <c r="F87" s="83" t="str">
        <f>REPT(CHAR(160),10)&amp;Working!$E88</f>
        <v>          C</v>
      </c>
      <c r="G87" s="74">
        <f>IFERROR(VLOOKUP(Table1215[[#This Row],[Column2]],Table12[[Column2]:[Column54]],6,FALSE),"0")</f>
        <v>0</v>
      </c>
      <c r="H87" s="74">
        <f>IFERROR(VLOOKUP(Table1215[[#This Row],[Column2]],Table12[[Column2]:[Column54]],7,FALSE),"0")</f>
        <v>0</v>
      </c>
      <c r="I87" s="74">
        <f>IFERROR(VLOOKUP(Table1215[[#This Row],[Column2]],Table12[[Column2]:[Column54]],8,FALSE),"0")</f>
        <v>4</v>
      </c>
      <c r="J87" s="74">
        <f>IFERROR(VLOOKUP(Table1215[[#This Row],[Column2]],Table12[[Column2]:[Column54]],9,FALSE),"0")</f>
        <v>0</v>
      </c>
      <c r="K87" s="74">
        <f>IFERROR(VLOOKUP(Table1215[[#This Row],[Column2]],Table12[[Column2]:[Column54]],10,FALSE),"0")</f>
        <v>0</v>
      </c>
      <c r="L87" s="80">
        <f>Table1215[[#This Row],[Column9]]</f>
        <v>4</v>
      </c>
      <c r="M87" s="74">
        <f>IFERROR(VLOOKUP(Table1215[[#This Row],[Column2]],Table12[[Column2]:[Column54]],12,FALSE),"0")</f>
        <v>0</v>
      </c>
      <c r="N87" s="74">
        <f>IFERROR(VLOOKUP(Table1215[[#This Row],[Column2]],Table12[[Column2]:[Column54]],13,FALSE),"0")</f>
        <v>3</v>
      </c>
      <c r="O87" s="74">
        <f>IFERROR(VLOOKUP(Table1215[[#This Row],[Column2]],Table12[[Column2]:[Column54]],14,FALSE),"0")</f>
        <v>3</v>
      </c>
      <c r="P87" s="74">
        <f>IFERROR(VLOOKUP(Table1215[[#This Row],[Column2]],Table12[[Column2]:[Column54]],10,FALSE),"0")</f>
        <v>0</v>
      </c>
      <c r="Q87" s="74">
        <f>IFERROR(VLOOKUP(Table1215[[#This Row],[Column2]],Table12[[Column2]:[Column54]],16,FALSE),"0")</f>
        <v>3</v>
      </c>
      <c r="R87" s="80">
        <f>AVERAGE(Table1215[[#This Row],[Column14]],Table1215[[#This Row],[Column15]],Table1215[[#This Row],[Column17]])</f>
        <v>3</v>
      </c>
      <c r="S87" s="74">
        <f>IFERROR(VLOOKUP(Table1215[[#This Row],[Column2]],Table12[[Column2]:[Column54]],18,FALSE),"0")</f>
        <v>0</v>
      </c>
      <c r="T87" s="74">
        <f>IFERROR(VLOOKUP(Table1215[[#This Row],[Column2]],Table12[[Column2]:[Column54]],19,FALSE),"0")</f>
        <v>0</v>
      </c>
      <c r="U87" s="74">
        <f>IFERROR(VLOOKUP(Table1215[[#This Row],[Column2]],Table12[[Column2]:[Column54]],20,FALSE),"0")</f>
        <v>0</v>
      </c>
      <c r="V87" s="74">
        <f>IFERROR(VLOOKUP(Table1215[[#This Row],[Column2]],Table12[[Column2]:[Column54]],21,FALSE),"0")</f>
        <v>0</v>
      </c>
      <c r="W87" s="74">
        <f>IFERROR(VLOOKUP(Table1215[[#This Row],[Column2]],Table12[[Column2]:[Column54]],22,FALSE),"0")</f>
        <v>0</v>
      </c>
      <c r="X87" s="80">
        <f>Table1215[[#This Row],[Column19]]</f>
        <v>0</v>
      </c>
      <c r="Y87" s="74">
        <f>IFERROR(VLOOKUP(Table1215[[#This Row],[Column2]],Table12[[Column2]:[Column54]],24,FALSE),"0")</f>
        <v>4</v>
      </c>
      <c r="Z87" s="74">
        <f>IFERROR(VLOOKUP(Table1215[[#This Row],[Column2]],Table12[[Column2]:[Column54]],25,FALSE),"0")</f>
        <v>0</v>
      </c>
      <c r="AA87" s="74">
        <f>IFERROR(VLOOKUP(Table1215[[#This Row],[Column2]],Table12[[Column2]:[Column54]],26,FALSE),"0")</f>
        <v>0</v>
      </c>
      <c r="AB87" s="74">
        <f>IFERROR(VLOOKUP(Table1215[[#This Row],[Column2]],Table12[[Column2]:[Column54]],27,FALSE),"0")</f>
        <v>0</v>
      </c>
      <c r="AC87" s="74">
        <f>IFERROR(VLOOKUP(Table1215[[#This Row],[Column2]],Table12[[Column2]:[Column54]],28,FALSE),"0")</f>
        <v>0</v>
      </c>
      <c r="AD87" s="80">
        <f>Table1215[[#This Row],[Column25]]</f>
        <v>4</v>
      </c>
      <c r="AE87" s="74">
        <f>IFERROR(VLOOKUP(Table1215[[#This Row],[Column2]],Table12[[Column2]:[Column54]],30,FALSE),"0")</f>
        <v>0</v>
      </c>
      <c r="AF87" s="74">
        <f>IFERROR(VLOOKUP(Table1215[[#This Row],[Column2]],Table12[[Column2]:[Column54]],31,FALSE),"0")</f>
        <v>0</v>
      </c>
      <c r="AG87" s="74">
        <f>IFERROR(VLOOKUP(Table1215[[#This Row],[Column2]],Table12[[Column2]:[Column54]],32,FALSE),"0")</f>
        <v>0</v>
      </c>
      <c r="AH87" s="74">
        <f>IFERROR(VLOOKUP(Table1215[[#This Row],[Column2]],Table12[[Column2]:[Column54]],33,FALSE),"0")</f>
        <v>0</v>
      </c>
      <c r="AI87" s="74">
        <f>IFERROR(VLOOKUP(Table1215[[#This Row],[Column2]],Table12[[Column2]:[Column54]],34,FALSE),"0")</f>
        <v>0</v>
      </c>
      <c r="AJ87" s="80">
        <f>AVERAGE(Table1215[[#This Row],[Column31]],Table1215[[#This Row],[Column32]],Table1215[[#This Row],[Column33]])</f>
        <v>0</v>
      </c>
      <c r="AK87" s="74">
        <f>IFERROR(VLOOKUP(Table1215[[#This Row],[Column2]],Table12[[Column2]:[Column54]],36,FALSE),"0")</f>
        <v>3</v>
      </c>
      <c r="AL87" s="74">
        <f>IFERROR(VLOOKUP(Table1215[[#This Row],[Column2]],Table12[[Column2]:[Column54]],37,FALSE),"0")</f>
        <v>4</v>
      </c>
      <c r="AM87" s="74">
        <f>IFERROR(VLOOKUP(Table1215[[#This Row],[Column2]],Table12[[Column2]:[Column54]],38,FALSE),"0")</f>
        <v>0</v>
      </c>
      <c r="AN87" s="74">
        <f>IFERROR(VLOOKUP(Table1215[[#This Row],[Column2]],Table12[[Column2]:[Column54]],39,FALSE),"0")</f>
        <v>4</v>
      </c>
      <c r="AO87" s="74">
        <f>IFERROR(VLOOKUP(Table1215[[#This Row],[Column2]],Table12[[Column2]:[Column54]],40,FALSE),"0")</f>
        <v>0</v>
      </c>
      <c r="AP87" s="80">
        <f>AVERAGE(Table1215[[#This Row],[Column37]],Table1215[[#This Row],[Column38]],Table1215[[#This Row],[Column40]])</f>
        <v>3.6666666666666665</v>
      </c>
      <c r="AQ87" s="74">
        <f>IFERROR(VLOOKUP(Table1215[[#This Row],[Column2]],Table12[[Column2]:[Column54]],42,FALSE),"0")</f>
        <v>3</v>
      </c>
      <c r="AR87" s="74">
        <f>IFERROR(VLOOKUP(Table1215[[#This Row],[Column2]],Table12[[Column2]:[Column54]],43,FALSE),"0")</f>
        <v>0</v>
      </c>
      <c r="AS87" s="74">
        <f>IFERROR(VLOOKUP(Table1215[[#This Row],[Column2]],Table12[[Column2]:[Column54]],44,FALSE),"0")</f>
        <v>0</v>
      </c>
      <c r="AT87" s="74">
        <f>IFERROR(VLOOKUP(Table1215[[#This Row],[Column2]],Table12[[Column2]:[Column54]],45,FALSE),"0")</f>
        <v>0</v>
      </c>
      <c r="AU87" s="74">
        <f>IFERROR(VLOOKUP(Table1215[[#This Row],[Column2]],Table12[[Column2]:[Column54]],46,FALSE),"0")</f>
        <v>0</v>
      </c>
      <c r="AV87" s="80">
        <f>Table1215[[#This Row],[Column43]]</f>
        <v>3</v>
      </c>
      <c r="AW87" s="74">
        <f>IFERROR(VLOOKUP(Table1215[[#This Row],[Column2]],Table12[[Column2]:[Column54]],48,FALSE),"0")</f>
        <v>0</v>
      </c>
      <c r="AX87" s="74">
        <f>IFERROR(VLOOKUP(Table1215[[#This Row],[Column2]],Table12[[Column2]:[Column54]],49,FALSE),"0")</f>
        <v>0</v>
      </c>
      <c r="AY87" s="74">
        <f>IFERROR(VLOOKUP(Table1215[[#This Row],[Column2]],Table12[[Column2]:[Column54]],50,FALSE),"0")</f>
        <v>0</v>
      </c>
      <c r="AZ87" s="74">
        <f>IFERROR(VLOOKUP(Table1215[[#This Row],[Column2]],Table12[[Column2]:[Column54]],51,FALSE),"0")</f>
        <v>3</v>
      </c>
      <c r="BA87" s="74">
        <f>IFERROR(VLOOKUP(Table1215[[#This Row],[Column2]],Table12[[Column2]:[Column54]],52,FALSE),"0")</f>
        <v>4</v>
      </c>
      <c r="BB87" s="80">
        <f>AVERAGE(Table1215[[#This Row],[Column52]],Table1215[[#This Row],[Column53]])</f>
        <v>3.5</v>
      </c>
    </row>
    <row r="88" spans="1:54" ht="23.1" customHeight="1" x14ac:dyDescent="0.3">
      <c r="A88" s="99">
        <v>85</v>
      </c>
      <c r="B88" s="76" t="s">
        <v>134</v>
      </c>
      <c r="C88" s="77" t="s">
        <v>135</v>
      </c>
      <c r="D88" s="76" t="s">
        <v>450</v>
      </c>
      <c r="E88" s="76" t="s">
        <v>35</v>
      </c>
      <c r="F88" s="76" t="str">
        <f>REPT(CHAR(160),10)&amp;Working!$E89</f>
        <v>          A</v>
      </c>
      <c r="G88" s="78">
        <f>IFERROR(VLOOKUP(Table1215[[#This Row],[Column2]],Table12[[Column2]:[Column54]],6,FALSE),"0")</f>
        <v>0</v>
      </c>
      <c r="H88" s="78">
        <f>IFERROR(VLOOKUP(Table1215[[#This Row],[Column2]],Table12[[Column2]:[Column54]],7,FALSE),"0")</f>
        <v>0</v>
      </c>
      <c r="I88" s="78">
        <f>IFERROR(VLOOKUP(Table1215[[#This Row],[Column2]],Table12[[Column2]:[Column54]],8,FALSE),"0")</f>
        <v>3</v>
      </c>
      <c r="J88" s="78">
        <f>IFERROR(VLOOKUP(Table1215[[#This Row],[Column2]],Table12[[Column2]:[Column54]],9,FALSE),"0")</f>
        <v>0</v>
      </c>
      <c r="K88" s="78">
        <f>IFERROR(VLOOKUP(Table1215[[#This Row],[Column2]],Table12[[Column2]:[Column54]],10,FALSE),"0")</f>
        <v>0</v>
      </c>
      <c r="L88" s="80">
        <f>Table1215[[#This Row],[Column9]]</f>
        <v>3</v>
      </c>
      <c r="M88" s="78">
        <f>IFERROR(VLOOKUP(Table1215[[#This Row],[Column2]],Table12[[Column2]:[Column54]],12,FALSE),"0")</f>
        <v>0</v>
      </c>
      <c r="N88" s="78">
        <f>IFERROR(VLOOKUP(Table1215[[#This Row],[Column2]],Table12[[Column2]:[Column54]],13,FALSE),"0")</f>
        <v>3</v>
      </c>
      <c r="O88" s="78">
        <f>IFERROR(VLOOKUP(Table1215[[#This Row],[Column2]],Table12[[Column2]:[Column54]],14,FALSE),"0")</f>
        <v>3</v>
      </c>
      <c r="P88" s="78">
        <f>IFERROR(VLOOKUP(Table1215[[#This Row],[Column2]],Table12[[Column2]:[Column54]],10,FALSE),"0")</f>
        <v>0</v>
      </c>
      <c r="Q88" s="78">
        <f>IFERROR(VLOOKUP(Table1215[[#This Row],[Column2]],Table12[[Column2]:[Column54]],16,FALSE),"0")</f>
        <v>3</v>
      </c>
      <c r="R88" s="80">
        <f>AVERAGE(Table1215[[#This Row],[Column14]],Table1215[[#This Row],[Column15]],Table1215[[#This Row],[Column17]])</f>
        <v>3</v>
      </c>
      <c r="S88" s="78">
        <f>IFERROR(VLOOKUP(Table1215[[#This Row],[Column2]],Table12[[Column2]:[Column54]],18,FALSE),"0")</f>
        <v>0</v>
      </c>
      <c r="T88" s="78">
        <f>IFERROR(VLOOKUP(Table1215[[#This Row],[Column2]],Table12[[Column2]:[Column54]],19,FALSE),"0")</f>
        <v>0</v>
      </c>
      <c r="U88" s="78">
        <f>IFERROR(VLOOKUP(Table1215[[#This Row],[Column2]],Table12[[Column2]:[Column54]],20,FALSE),"0")</f>
        <v>0</v>
      </c>
      <c r="V88" s="78">
        <f>IFERROR(VLOOKUP(Table1215[[#This Row],[Column2]],Table12[[Column2]:[Column54]],21,FALSE),"0")</f>
        <v>0</v>
      </c>
      <c r="W88" s="78">
        <f>IFERROR(VLOOKUP(Table1215[[#This Row],[Column2]],Table12[[Column2]:[Column54]],22,FALSE),"0")</f>
        <v>0</v>
      </c>
      <c r="X88" s="80">
        <f>Table1215[[#This Row],[Column19]]</f>
        <v>0</v>
      </c>
      <c r="Y88" s="78">
        <f>IFERROR(VLOOKUP(Table1215[[#This Row],[Column2]],Table12[[Column2]:[Column54]],24,FALSE),"0")</f>
        <v>3</v>
      </c>
      <c r="Z88" s="78">
        <f>IFERROR(VLOOKUP(Table1215[[#This Row],[Column2]],Table12[[Column2]:[Column54]],25,FALSE),"0")</f>
        <v>0</v>
      </c>
      <c r="AA88" s="78">
        <f>IFERROR(VLOOKUP(Table1215[[#This Row],[Column2]],Table12[[Column2]:[Column54]],26,FALSE),"0")</f>
        <v>0</v>
      </c>
      <c r="AB88" s="78">
        <f>IFERROR(VLOOKUP(Table1215[[#This Row],[Column2]],Table12[[Column2]:[Column54]],27,FALSE),"0")</f>
        <v>0</v>
      </c>
      <c r="AC88" s="78">
        <f>IFERROR(VLOOKUP(Table1215[[#This Row],[Column2]],Table12[[Column2]:[Column54]],28,FALSE),"0")</f>
        <v>0</v>
      </c>
      <c r="AD88" s="80">
        <f>Table1215[[#This Row],[Column25]]</f>
        <v>3</v>
      </c>
      <c r="AE88" s="78">
        <f>IFERROR(VLOOKUP(Table1215[[#This Row],[Column2]],Table12[[Column2]:[Column54]],30,FALSE),"0")</f>
        <v>0</v>
      </c>
      <c r="AF88" s="78">
        <f>IFERROR(VLOOKUP(Table1215[[#This Row],[Column2]],Table12[[Column2]:[Column54]],31,FALSE),"0")</f>
        <v>0</v>
      </c>
      <c r="AG88" s="78">
        <f>IFERROR(VLOOKUP(Table1215[[#This Row],[Column2]],Table12[[Column2]:[Column54]],32,FALSE),"0")</f>
        <v>0</v>
      </c>
      <c r="AH88" s="78">
        <f>IFERROR(VLOOKUP(Table1215[[#This Row],[Column2]],Table12[[Column2]:[Column54]],33,FALSE),"0")</f>
        <v>0</v>
      </c>
      <c r="AI88" s="78">
        <f>IFERROR(VLOOKUP(Table1215[[#This Row],[Column2]],Table12[[Column2]:[Column54]],34,FALSE),"0")</f>
        <v>0</v>
      </c>
      <c r="AJ88" s="80">
        <f>AVERAGE(Table1215[[#This Row],[Column31]],Table1215[[#This Row],[Column32]],Table1215[[#This Row],[Column33]])</f>
        <v>0</v>
      </c>
      <c r="AK88" s="78">
        <f>IFERROR(VLOOKUP(Table1215[[#This Row],[Column2]],Table12[[Column2]:[Column54]],36,FALSE),"0")</f>
        <v>3</v>
      </c>
      <c r="AL88" s="78">
        <f>IFERROR(VLOOKUP(Table1215[[#This Row],[Column2]],Table12[[Column2]:[Column54]],37,FALSE),"0")</f>
        <v>4</v>
      </c>
      <c r="AM88" s="78">
        <f>IFERROR(VLOOKUP(Table1215[[#This Row],[Column2]],Table12[[Column2]:[Column54]],38,FALSE),"0")</f>
        <v>0</v>
      </c>
      <c r="AN88" s="78">
        <f>IFERROR(VLOOKUP(Table1215[[#This Row],[Column2]],Table12[[Column2]:[Column54]],39,FALSE),"0")</f>
        <v>4</v>
      </c>
      <c r="AO88" s="78">
        <f>IFERROR(VLOOKUP(Table1215[[#This Row],[Column2]],Table12[[Column2]:[Column54]],40,FALSE),"0")</f>
        <v>0</v>
      </c>
      <c r="AP88" s="80">
        <f>AVERAGE(Table1215[[#This Row],[Column37]],Table1215[[#This Row],[Column38]],Table1215[[#This Row],[Column40]])</f>
        <v>3.6666666666666665</v>
      </c>
      <c r="AQ88" s="78">
        <f>IFERROR(VLOOKUP(Table1215[[#This Row],[Column2]],Table12[[Column2]:[Column54]],42,FALSE),"0")</f>
        <v>4</v>
      </c>
      <c r="AR88" s="78">
        <f>IFERROR(VLOOKUP(Table1215[[#This Row],[Column2]],Table12[[Column2]:[Column54]],43,FALSE),"0")</f>
        <v>0</v>
      </c>
      <c r="AS88" s="78">
        <f>IFERROR(VLOOKUP(Table1215[[#This Row],[Column2]],Table12[[Column2]:[Column54]],44,FALSE),"0")</f>
        <v>0</v>
      </c>
      <c r="AT88" s="78">
        <f>IFERROR(VLOOKUP(Table1215[[#This Row],[Column2]],Table12[[Column2]:[Column54]],45,FALSE),"0")</f>
        <v>0</v>
      </c>
      <c r="AU88" s="78">
        <f>IFERROR(VLOOKUP(Table1215[[#This Row],[Column2]],Table12[[Column2]:[Column54]],46,FALSE),"0")</f>
        <v>0</v>
      </c>
      <c r="AV88" s="80">
        <f>Table1215[[#This Row],[Column43]]</f>
        <v>4</v>
      </c>
      <c r="AW88" s="78">
        <f>IFERROR(VLOOKUP(Table1215[[#This Row],[Column2]],Table12[[Column2]:[Column54]],48,FALSE),"0")</f>
        <v>0</v>
      </c>
      <c r="AX88" s="78">
        <f>IFERROR(VLOOKUP(Table1215[[#This Row],[Column2]],Table12[[Column2]:[Column54]],49,FALSE),"0")</f>
        <v>0</v>
      </c>
      <c r="AY88" s="78">
        <f>IFERROR(VLOOKUP(Table1215[[#This Row],[Column2]],Table12[[Column2]:[Column54]],50,FALSE),"0")</f>
        <v>0</v>
      </c>
      <c r="AZ88" s="78">
        <f>IFERROR(VLOOKUP(Table1215[[#This Row],[Column2]],Table12[[Column2]:[Column54]],51,FALSE),"0")</f>
        <v>3</v>
      </c>
      <c r="BA88" s="78">
        <f>IFERROR(VLOOKUP(Table1215[[#This Row],[Column2]],Table12[[Column2]:[Column54]],52,FALSE),"0")</f>
        <v>4</v>
      </c>
      <c r="BB88" s="80">
        <f>AVERAGE(Table1215[[#This Row],[Column52]],Table1215[[#This Row],[Column53]])</f>
        <v>3.5</v>
      </c>
    </row>
    <row r="89" spans="1:54" ht="23.1" customHeight="1" x14ac:dyDescent="0.3">
      <c r="A89" s="100">
        <v>86</v>
      </c>
      <c r="B89" s="83" t="s">
        <v>215</v>
      </c>
      <c r="C89" s="84" t="s">
        <v>216</v>
      </c>
      <c r="D89" s="83" t="s">
        <v>450</v>
      </c>
      <c r="E89" s="83" t="s">
        <v>161</v>
      </c>
      <c r="F89" s="83" t="str">
        <f>REPT(CHAR(160),10)&amp;Working!$E90</f>
        <v>          B</v>
      </c>
      <c r="G89" s="74">
        <f>IFERROR(VLOOKUP(Table1215[[#This Row],[Column2]],Table12[[Column2]:[Column54]],6,FALSE),"0")</f>
        <v>0</v>
      </c>
      <c r="H89" s="74">
        <f>IFERROR(VLOOKUP(Table1215[[#This Row],[Column2]],Table12[[Column2]:[Column54]],7,FALSE),"0")</f>
        <v>0</v>
      </c>
      <c r="I89" s="74">
        <f>IFERROR(VLOOKUP(Table1215[[#This Row],[Column2]],Table12[[Column2]:[Column54]],8,FALSE),"0")</f>
        <v>2</v>
      </c>
      <c r="J89" s="74">
        <f>IFERROR(VLOOKUP(Table1215[[#This Row],[Column2]],Table12[[Column2]:[Column54]],9,FALSE),"0")</f>
        <v>0</v>
      </c>
      <c r="K89" s="74">
        <f>IFERROR(VLOOKUP(Table1215[[#This Row],[Column2]],Table12[[Column2]:[Column54]],10,FALSE),"0")</f>
        <v>0</v>
      </c>
      <c r="L89" s="80">
        <f>Table1215[[#This Row],[Column9]]</f>
        <v>2</v>
      </c>
      <c r="M89" s="74">
        <f>IFERROR(VLOOKUP(Table1215[[#This Row],[Column2]],Table12[[Column2]:[Column54]],12,FALSE),"0")</f>
        <v>0</v>
      </c>
      <c r="N89" s="74">
        <f>IFERROR(VLOOKUP(Table1215[[#This Row],[Column2]],Table12[[Column2]:[Column54]],13,FALSE),"0")</f>
        <v>2</v>
      </c>
      <c r="O89" s="74">
        <f>IFERROR(VLOOKUP(Table1215[[#This Row],[Column2]],Table12[[Column2]:[Column54]],14,FALSE),"0")</f>
        <v>2</v>
      </c>
      <c r="P89" s="74">
        <f>IFERROR(VLOOKUP(Table1215[[#This Row],[Column2]],Table12[[Column2]:[Column54]],10,FALSE),"0")</f>
        <v>0</v>
      </c>
      <c r="Q89" s="74">
        <f>IFERROR(VLOOKUP(Table1215[[#This Row],[Column2]],Table12[[Column2]:[Column54]],16,FALSE),"0")</f>
        <v>2</v>
      </c>
      <c r="R89" s="80">
        <f>AVERAGE(Table1215[[#This Row],[Column14]],Table1215[[#This Row],[Column15]],Table1215[[#This Row],[Column17]])</f>
        <v>2</v>
      </c>
      <c r="S89" s="74">
        <f>IFERROR(VLOOKUP(Table1215[[#This Row],[Column2]],Table12[[Column2]:[Column54]],18,FALSE),"0")</f>
        <v>0</v>
      </c>
      <c r="T89" s="74">
        <f>IFERROR(VLOOKUP(Table1215[[#This Row],[Column2]],Table12[[Column2]:[Column54]],19,FALSE),"0")</f>
        <v>0</v>
      </c>
      <c r="U89" s="74">
        <f>IFERROR(VLOOKUP(Table1215[[#This Row],[Column2]],Table12[[Column2]:[Column54]],20,FALSE),"0")</f>
        <v>0</v>
      </c>
      <c r="V89" s="74">
        <f>IFERROR(VLOOKUP(Table1215[[#This Row],[Column2]],Table12[[Column2]:[Column54]],21,FALSE),"0")</f>
        <v>0</v>
      </c>
      <c r="W89" s="74">
        <f>IFERROR(VLOOKUP(Table1215[[#This Row],[Column2]],Table12[[Column2]:[Column54]],22,FALSE),"0")</f>
        <v>0</v>
      </c>
      <c r="X89" s="80">
        <f>Table1215[[#This Row],[Column19]]</f>
        <v>0</v>
      </c>
      <c r="Y89" s="74">
        <f>IFERROR(VLOOKUP(Table1215[[#This Row],[Column2]],Table12[[Column2]:[Column54]],24,FALSE),"0")</f>
        <v>2</v>
      </c>
      <c r="Z89" s="74">
        <f>IFERROR(VLOOKUP(Table1215[[#This Row],[Column2]],Table12[[Column2]:[Column54]],25,FALSE),"0")</f>
        <v>0</v>
      </c>
      <c r="AA89" s="74">
        <f>IFERROR(VLOOKUP(Table1215[[#This Row],[Column2]],Table12[[Column2]:[Column54]],26,FALSE),"0")</f>
        <v>0</v>
      </c>
      <c r="AB89" s="74">
        <f>IFERROR(VLOOKUP(Table1215[[#This Row],[Column2]],Table12[[Column2]:[Column54]],27,FALSE),"0")</f>
        <v>0</v>
      </c>
      <c r="AC89" s="74">
        <f>IFERROR(VLOOKUP(Table1215[[#This Row],[Column2]],Table12[[Column2]:[Column54]],28,FALSE),"0")</f>
        <v>0</v>
      </c>
      <c r="AD89" s="80">
        <f>Table1215[[#This Row],[Column25]]</f>
        <v>2</v>
      </c>
      <c r="AE89" s="74">
        <f>IFERROR(VLOOKUP(Table1215[[#This Row],[Column2]],Table12[[Column2]:[Column54]],30,FALSE),"0")</f>
        <v>0</v>
      </c>
      <c r="AF89" s="74">
        <f>IFERROR(VLOOKUP(Table1215[[#This Row],[Column2]],Table12[[Column2]:[Column54]],31,FALSE),"0")</f>
        <v>0</v>
      </c>
      <c r="AG89" s="74">
        <f>IFERROR(VLOOKUP(Table1215[[#This Row],[Column2]],Table12[[Column2]:[Column54]],32,FALSE),"0")</f>
        <v>0</v>
      </c>
      <c r="AH89" s="74">
        <f>IFERROR(VLOOKUP(Table1215[[#This Row],[Column2]],Table12[[Column2]:[Column54]],33,FALSE),"0")</f>
        <v>0</v>
      </c>
      <c r="AI89" s="74">
        <f>IFERROR(VLOOKUP(Table1215[[#This Row],[Column2]],Table12[[Column2]:[Column54]],34,FALSE),"0")</f>
        <v>0</v>
      </c>
      <c r="AJ89" s="80">
        <f>AVERAGE(Table1215[[#This Row],[Column31]],Table1215[[#This Row],[Column32]],Table1215[[#This Row],[Column33]])</f>
        <v>0</v>
      </c>
      <c r="AK89" s="74">
        <f>IFERROR(VLOOKUP(Table1215[[#This Row],[Column2]],Table12[[Column2]:[Column54]],36,FALSE),"0")</f>
        <v>2</v>
      </c>
      <c r="AL89" s="74">
        <f>IFERROR(VLOOKUP(Table1215[[#This Row],[Column2]],Table12[[Column2]:[Column54]],37,FALSE),"0")</f>
        <v>3</v>
      </c>
      <c r="AM89" s="74">
        <f>IFERROR(VLOOKUP(Table1215[[#This Row],[Column2]],Table12[[Column2]:[Column54]],38,FALSE),"0")</f>
        <v>0</v>
      </c>
      <c r="AN89" s="74">
        <f>IFERROR(VLOOKUP(Table1215[[#This Row],[Column2]],Table12[[Column2]:[Column54]],39,FALSE),"0")</f>
        <v>3</v>
      </c>
      <c r="AO89" s="74">
        <f>IFERROR(VLOOKUP(Table1215[[#This Row],[Column2]],Table12[[Column2]:[Column54]],40,FALSE),"0")</f>
        <v>0</v>
      </c>
      <c r="AP89" s="80">
        <f>AVERAGE(Table1215[[#This Row],[Column37]],Table1215[[#This Row],[Column38]],Table1215[[#This Row],[Column40]])</f>
        <v>2.6666666666666665</v>
      </c>
      <c r="AQ89" s="74">
        <f>IFERROR(VLOOKUP(Table1215[[#This Row],[Column2]],Table12[[Column2]:[Column54]],42,FALSE),"0")</f>
        <v>3</v>
      </c>
      <c r="AR89" s="74">
        <f>IFERROR(VLOOKUP(Table1215[[#This Row],[Column2]],Table12[[Column2]:[Column54]],43,FALSE),"0")</f>
        <v>0</v>
      </c>
      <c r="AS89" s="74">
        <f>IFERROR(VLOOKUP(Table1215[[#This Row],[Column2]],Table12[[Column2]:[Column54]],44,FALSE),"0")</f>
        <v>0</v>
      </c>
      <c r="AT89" s="74">
        <f>IFERROR(VLOOKUP(Table1215[[#This Row],[Column2]],Table12[[Column2]:[Column54]],45,FALSE),"0")</f>
        <v>0</v>
      </c>
      <c r="AU89" s="74">
        <f>IFERROR(VLOOKUP(Table1215[[#This Row],[Column2]],Table12[[Column2]:[Column54]],46,FALSE),"0")</f>
        <v>0</v>
      </c>
      <c r="AV89" s="80">
        <f>Table1215[[#This Row],[Column43]]</f>
        <v>3</v>
      </c>
      <c r="AW89" s="74">
        <f>IFERROR(VLOOKUP(Table1215[[#This Row],[Column2]],Table12[[Column2]:[Column54]],48,FALSE),"0")</f>
        <v>0</v>
      </c>
      <c r="AX89" s="74">
        <f>IFERROR(VLOOKUP(Table1215[[#This Row],[Column2]],Table12[[Column2]:[Column54]],49,FALSE),"0")</f>
        <v>0</v>
      </c>
      <c r="AY89" s="74">
        <f>IFERROR(VLOOKUP(Table1215[[#This Row],[Column2]],Table12[[Column2]:[Column54]],50,FALSE),"0")</f>
        <v>0</v>
      </c>
      <c r="AZ89" s="74">
        <f>IFERROR(VLOOKUP(Table1215[[#This Row],[Column2]],Table12[[Column2]:[Column54]],51,FALSE),"0")</f>
        <v>3</v>
      </c>
      <c r="BA89" s="74">
        <f>IFERROR(VLOOKUP(Table1215[[#This Row],[Column2]],Table12[[Column2]:[Column54]],52,FALSE),"0")</f>
        <v>2</v>
      </c>
      <c r="BB89" s="80">
        <f>AVERAGE(Table1215[[#This Row],[Column52]],Table1215[[#This Row],[Column53]])</f>
        <v>2.5</v>
      </c>
    </row>
    <row r="90" spans="1:54" ht="23.1" customHeight="1" x14ac:dyDescent="0.3">
      <c r="A90" s="99">
        <v>87</v>
      </c>
      <c r="B90" s="76" t="s">
        <v>338</v>
      </c>
      <c r="C90" s="77" t="s">
        <v>339</v>
      </c>
      <c r="D90" s="76" t="s">
        <v>542</v>
      </c>
      <c r="E90" s="76" t="s">
        <v>493</v>
      </c>
      <c r="F90" s="76" t="str">
        <f>REPT(CHAR(160),10)&amp;Working!$E91</f>
        <v>          C</v>
      </c>
      <c r="G90" s="78">
        <f>IFERROR(VLOOKUP(Table1215[[#This Row],[Column2]],Table12[[Column2]:[Column54]],6,FALSE),"0")</f>
        <v>0</v>
      </c>
      <c r="H90" s="78">
        <f>IFERROR(VLOOKUP(Table1215[[#This Row],[Column2]],Table12[[Column2]:[Column54]],7,FALSE),"0")</f>
        <v>0</v>
      </c>
      <c r="I90" s="78">
        <f>IFERROR(VLOOKUP(Table1215[[#This Row],[Column2]],Table12[[Column2]:[Column54]],8,FALSE),"0")</f>
        <v>3</v>
      </c>
      <c r="J90" s="78">
        <f>IFERROR(VLOOKUP(Table1215[[#This Row],[Column2]],Table12[[Column2]:[Column54]],9,FALSE),"0")</f>
        <v>0</v>
      </c>
      <c r="K90" s="78">
        <f>IFERROR(VLOOKUP(Table1215[[#This Row],[Column2]],Table12[[Column2]:[Column54]],10,FALSE),"0")</f>
        <v>0</v>
      </c>
      <c r="L90" s="80">
        <f>Table1215[[#This Row],[Column9]]</f>
        <v>3</v>
      </c>
      <c r="M90" s="78">
        <f>IFERROR(VLOOKUP(Table1215[[#This Row],[Column2]],Table12[[Column2]:[Column54]],12,FALSE),"0")</f>
        <v>0</v>
      </c>
      <c r="N90" s="78">
        <f>IFERROR(VLOOKUP(Table1215[[#This Row],[Column2]],Table12[[Column2]:[Column54]],13,FALSE),"0")</f>
        <v>3</v>
      </c>
      <c r="O90" s="78">
        <f>IFERROR(VLOOKUP(Table1215[[#This Row],[Column2]],Table12[[Column2]:[Column54]],14,FALSE),"0")</f>
        <v>3</v>
      </c>
      <c r="P90" s="78">
        <f>IFERROR(VLOOKUP(Table1215[[#This Row],[Column2]],Table12[[Column2]:[Column54]],10,FALSE),"0")</f>
        <v>0</v>
      </c>
      <c r="Q90" s="78">
        <f>IFERROR(VLOOKUP(Table1215[[#This Row],[Column2]],Table12[[Column2]:[Column54]],16,FALSE),"0")</f>
        <v>3</v>
      </c>
      <c r="R90" s="80">
        <f>AVERAGE(Table1215[[#This Row],[Column14]],Table1215[[#This Row],[Column15]],Table1215[[#This Row],[Column17]])</f>
        <v>3</v>
      </c>
      <c r="S90" s="78">
        <f>IFERROR(VLOOKUP(Table1215[[#This Row],[Column2]],Table12[[Column2]:[Column54]],18,FALSE),"0")</f>
        <v>0</v>
      </c>
      <c r="T90" s="78">
        <f>IFERROR(VLOOKUP(Table1215[[#This Row],[Column2]],Table12[[Column2]:[Column54]],19,FALSE),"0")</f>
        <v>0</v>
      </c>
      <c r="U90" s="78">
        <f>IFERROR(VLOOKUP(Table1215[[#This Row],[Column2]],Table12[[Column2]:[Column54]],20,FALSE),"0")</f>
        <v>0</v>
      </c>
      <c r="V90" s="78">
        <f>IFERROR(VLOOKUP(Table1215[[#This Row],[Column2]],Table12[[Column2]:[Column54]],21,FALSE),"0")</f>
        <v>0</v>
      </c>
      <c r="W90" s="78">
        <f>IFERROR(VLOOKUP(Table1215[[#This Row],[Column2]],Table12[[Column2]:[Column54]],22,FALSE),"0")</f>
        <v>0</v>
      </c>
      <c r="X90" s="80">
        <f>Table1215[[#This Row],[Column19]]</f>
        <v>0</v>
      </c>
      <c r="Y90" s="78">
        <f>IFERROR(VLOOKUP(Table1215[[#This Row],[Column2]],Table12[[Column2]:[Column54]],24,FALSE),"0")</f>
        <v>3</v>
      </c>
      <c r="Z90" s="78">
        <f>IFERROR(VLOOKUP(Table1215[[#This Row],[Column2]],Table12[[Column2]:[Column54]],25,FALSE),"0")</f>
        <v>0</v>
      </c>
      <c r="AA90" s="78">
        <f>IFERROR(VLOOKUP(Table1215[[#This Row],[Column2]],Table12[[Column2]:[Column54]],26,FALSE),"0")</f>
        <v>0</v>
      </c>
      <c r="AB90" s="78">
        <f>IFERROR(VLOOKUP(Table1215[[#This Row],[Column2]],Table12[[Column2]:[Column54]],27,FALSE),"0")</f>
        <v>0</v>
      </c>
      <c r="AC90" s="78">
        <f>IFERROR(VLOOKUP(Table1215[[#This Row],[Column2]],Table12[[Column2]:[Column54]],28,FALSE),"0")</f>
        <v>0</v>
      </c>
      <c r="AD90" s="80">
        <f>Table1215[[#This Row],[Column25]]</f>
        <v>3</v>
      </c>
      <c r="AE90" s="78">
        <f>IFERROR(VLOOKUP(Table1215[[#This Row],[Column2]],Table12[[Column2]:[Column54]],30,FALSE),"0")</f>
        <v>0</v>
      </c>
      <c r="AF90" s="78">
        <f>IFERROR(VLOOKUP(Table1215[[#This Row],[Column2]],Table12[[Column2]:[Column54]],31,FALSE),"0")</f>
        <v>0</v>
      </c>
      <c r="AG90" s="78">
        <f>IFERROR(VLOOKUP(Table1215[[#This Row],[Column2]],Table12[[Column2]:[Column54]],32,FALSE),"0")</f>
        <v>0</v>
      </c>
      <c r="AH90" s="78">
        <f>IFERROR(VLOOKUP(Table1215[[#This Row],[Column2]],Table12[[Column2]:[Column54]],33,FALSE),"0")</f>
        <v>0</v>
      </c>
      <c r="AI90" s="78">
        <f>IFERROR(VLOOKUP(Table1215[[#This Row],[Column2]],Table12[[Column2]:[Column54]],34,FALSE),"0")</f>
        <v>0</v>
      </c>
      <c r="AJ90" s="80">
        <f>AVERAGE(Table1215[[#This Row],[Column31]],Table1215[[#This Row],[Column32]],Table1215[[#This Row],[Column33]])</f>
        <v>0</v>
      </c>
      <c r="AK90" s="78">
        <f>IFERROR(VLOOKUP(Table1215[[#This Row],[Column2]],Table12[[Column2]:[Column54]],36,FALSE),"0")</f>
        <v>4</v>
      </c>
      <c r="AL90" s="78">
        <f>IFERROR(VLOOKUP(Table1215[[#This Row],[Column2]],Table12[[Column2]:[Column54]],37,FALSE),"0")</f>
        <v>3</v>
      </c>
      <c r="AM90" s="78">
        <f>IFERROR(VLOOKUP(Table1215[[#This Row],[Column2]],Table12[[Column2]:[Column54]],38,FALSE),"0")</f>
        <v>0</v>
      </c>
      <c r="AN90" s="78">
        <f>IFERROR(VLOOKUP(Table1215[[#This Row],[Column2]],Table12[[Column2]:[Column54]],39,FALSE),"0")</f>
        <v>4</v>
      </c>
      <c r="AO90" s="78">
        <f>IFERROR(VLOOKUP(Table1215[[#This Row],[Column2]],Table12[[Column2]:[Column54]],40,FALSE),"0")</f>
        <v>0</v>
      </c>
      <c r="AP90" s="80">
        <f>AVERAGE(Table1215[[#This Row],[Column37]],Table1215[[#This Row],[Column38]],Table1215[[#This Row],[Column40]])</f>
        <v>3.6666666666666665</v>
      </c>
      <c r="AQ90" s="78">
        <f>IFERROR(VLOOKUP(Table1215[[#This Row],[Column2]],Table12[[Column2]:[Column54]],42,FALSE),"0")</f>
        <v>3</v>
      </c>
      <c r="AR90" s="78">
        <f>IFERROR(VLOOKUP(Table1215[[#This Row],[Column2]],Table12[[Column2]:[Column54]],43,FALSE),"0")</f>
        <v>0</v>
      </c>
      <c r="AS90" s="78">
        <f>IFERROR(VLOOKUP(Table1215[[#This Row],[Column2]],Table12[[Column2]:[Column54]],44,FALSE),"0")</f>
        <v>0</v>
      </c>
      <c r="AT90" s="78">
        <f>IFERROR(VLOOKUP(Table1215[[#This Row],[Column2]],Table12[[Column2]:[Column54]],45,FALSE),"0")</f>
        <v>0</v>
      </c>
      <c r="AU90" s="78">
        <f>IFERROR(VLOOKUP(Table1215[[#This Row],[Column2]],Table12[[Column2]:[Column54]],46,FALSE),"0")</f>
        <v>0</v>
      </c>
      <c r="AV90" s="80">
        <f>Table1215[[#This Row],[Column43]]</f>
        <v>3</v>
      </c>
      <c r="AW90" s="78">
        <f>IFERROR(VLOOKUP(Table1215[[#This Row],[Column2]],Table12[[Column2]:[Column54]],48,FALSE),"0")</f>
        <v>0</v>
      </c>
      <c r="AX90" s="78">
        <f>IFERROR(VLOOKUP(Table1215[[#This Row],[Column2]],Table12[[Column2]:[Column54]],49,FALSE),"0")</f>
        <v>0</v>
      </c>
      <c r="AY90" s="78">
        <f>IFERROR(VLOOKUP(Table1215[[#This Row],[Column2]],Table12[[Column2]:[Column54]],50,FALSE),"0")</f>
        <v>0</v>
      </c>
      <c r="AZ90" s="78">
        <f>IFERROR(VLOOKUP(Table1215[[#This Row],[Column2]],Table12[[Column2]:[Column54]],51,FALSE),"0")</f>
        <v>2</v>
      </c>
      <c r="BA90" s="78">
        <f>IFERROR(VLOOKUP(Table1215[[#This Row],[Column2]],Table12[[Column2]:[Column54]],52,FALSE),"0")</f>
        <v>4</v>
      </c>
      <c r="BB90" s="80">
        <f>AVERAGE(Table1215[[#This Row],[Column52]],Table1215[[#This Row],[Column53]])</f>
        <v>3</v>
      </c>
    </row>
    <row r="91" spans="1:54" ht="23.1" customHeight="1" x14ac:dyDescent="0.3">
      <c r="A91" s="100">
        <v>88</v>
      </c>
      <c r="B91" s="83" t="s">
        <v>136</v>
      </c>
      <c r="C91" s="84" t="s">
        <v>137</v>
      </c>
      <c r="D91" s="83" t="s">
        <v>542</v>
      </c>
      <c r="E91" s="83" t="s">
        <v>35</v>
      </c>
      <c r="F91" s="83" t="str">
        <f>REPT(CHAR(160),10)&amp;Working!$E92</f>
        <v>          A</v>
      </c>
      <c r="G91" s="74">
        <f>IFERROR(VLOOKUP(Table1215[[#This Row],[Column2]],Table12[[Column2]:[Column54]],6,FALSE),"0")</f>
        <v>0</v>
      </c>
      <c r="H91" s="74">
        <f>IFERROR(VLOOKUP(Table1215[[#This Row],[Column2]],Table12[[Column2]:[Column54]],7,FALSE),"0")</f>
        <v>0</v>
      </c>
      <c r="I91" s="74">
        <f>IFERROR(VLOOKUP(Table1215[[#This Row],[Column2]],Table12[[Column2]:[Column54]],8,FALSE),"0")</f>
        <v>3</v>
      </c>
      <c r="J91" s="74">
        <f>IFERROR(VLOOKUP(Table1215[[#This Row],[Column2]],Table12[[Column2]:[Column54]],9,FALSE),"0")</f>
        <v>0</v>
      </c>
      <c r="K91" s="74">
        <f>IFERROR(VLOOKUP(Table1215[[#This Row],[Column2]],Table12[[Column2]:[Column54]],10,FALSE),"0")</f>
        <v>0</v>
      </c>
      <c r="L91" s="80">
        <f>Table1215[[#This Row],[Column9]]</f>
        <v>3</v>
      </c>
      <c r="M91" s="74">
        <f>IFERROR(VLOOKUP(Table1215[[#This Row],[Column2]],Table12[[Column2]:[Column54]],12,FALSE),"0")</f>
        <v>0</v>
      </c>
      <c r="N91" s="74">
        <f>IFERROR(VLOOKUP(Table1215[[#This Row],[Column2]],Table12[[Column2]:[Column54]],13,FALSE),"0")</f>
        <v>3</v>
      </c>
      <c r="O91" s="74">
        <f>IFERROR(VLOOKUP(Table1215[[#This Row],[Column2]],Table12[[Column2]:[Column54]],14,FALSE),"0")</f>
        <v>3</v>
      </c>
      <c r="P91" s="74">
        <f>IFERROR(VLOOKUP(Table1215[[#This Row],[Column2]],Table12[[Column2]:[Column54]],10,FALSE),"0")</f>
        <v>0</v>
      </c>
      <c r="Q91" s="74">
        <f>IFERROR(VLOOKUP(Table1215[[#This Row],[Column2]],Table12[[Column2]:[Column54]],16,FALSE),"0")</f>
        <v>3</v>
      </c>
      <c r="R91" s="80">
        <f>AVERAGE(Table1215[[#This Row],[Column14]],Table1215[[#This Row],[Column15]],Table1215[[#This Row],[Column17]])</f>
        <v>3</v>
      </c>
      <c r="S91" s="74">
        <f>IFERROR(VLOOKUP(Table1215[[#This Row],[Column2]],Table12[[Column2]:[Column54]],18,FALSE),"0")</f>
        <v>0</v>
      </c>
      <c r="T91" s="74">
        <f>IFERROR(VLOOKUP(Table1215[[#This Row],[Column2]],Table12[[Column2]:[Column54]],19,FALSE),"0")</f>
        <v>0</v>
      </c>
      <c r="U91" s="74">
        <f>IFERROR(VLOOKUP(Table1215[[#This Row],[Column2]],Table12[[Column2]:[Column54]],20,FALSE),"0")</f>
        <v>0</v>
      </c>
      <c r="V91" s="74">
        <f>IFERROR(VLOOKUP(Table1215[[#This Row],[Column2]],Table12[[Column2]:[Column54]],21,FALSE),"0")</f>
        <v>0</v>
      </c>
      <c r="W91" s="74">
        <f>IFERROR(VLOOKUP(Table1215[[#This Row],[Column2]],Table12[[Column2]:[Column54]],22,FALSE),"0")</f>
        <v>0</v>
      </c>
      <c r="X91" s="80">
        <f>Table1215[[#This Row],[Column19]]</f>
        <v>0</v>
      </c>
      <c r="Y91" s="74">
        <f>IFERROR(VLOOKUP(Table1215[[#This Row],[Column2]],Table12[[Column2]:[Column54]],24,FALSE),"0")</f>
        <v>3</v>
      </c>
      <c r="Z91" s="74">
        <f>IFERROR(VLOOKUP(Table1215[[#This Row],[Column2]],Table12[[Column2]:[Column54]],25,FALSE),"0")</f>
        <v>0</v>
      </c>
      <c r="AA91" s="74">
        <f>IFERROR(VLOOKUP(Table1215[[#This Row],[Column2]],Table12[[Column2]:[Column54]],26,FALSE),"0")</f>
        <v>0</v>
      </c>
      <c r="AB91" s="74">
        <f>IFERROR(VLOOKUP(Table1215[[#This Row],[Column2]],Table12[[Column2]:[Column54]],27,FALSE),"0")</f>
        <v>0</v>
      </c>
      <c r="AC91" s="74">
        <f>IFERROR(VLOOKUP(Table1215[[#This Row],[Column2]],Table12[[Column2]:[Column54]],28,FALSE),"0")</f>
        <v>0</v>
      </c>
      <c r="AD91" s="80">
        <f>Table1215[[#This Row],[Column25]]</f>
        <v>3</v>
      </c>
      <c r="AE91" s="74">
        <f>IFERROR(VLOOKUP(Table1215[[#This Row],[Column2]],Table12[[Column2]:[Column54]],30,FALSE),"0")</f>
        <v>0</v>
      </c>
      <c r="AF91" s="74">
        <f>IFERROR(VLOOKUP(Table1215[[#This Row],[Column2]],Table12[[Column2]:[Column54]],31,FALSE),"0")</f>
        <v>0</v>
      </c>
      <c r="AG91" s="74">
        <f>IFERROR(VLOOKUP(Table1215[[#This Row],[Column2]],Table12[[Column2]:[Column54]],32,FALSE),"0")</f>
        <v>0</v>
      </c>
      <c r="AH91" s="74">
        <f>IFERROR(VLOOKUP(Table1215[[#This Row],[Column2]],Table12[[Column2]:[Column54]],33,FALSE),"0")</f>
        <v>0</v>
      </c>
      <c r="AI91" s="74">
        <f>IFERROR(VLOOKUP(Table1215[[#This Row],[Column2]],Table12[[Column2]:[Column54]],34,FALSE),"0")</f>
        <v>0</v>
      </c>
      <c r="AJ91" s="80">
        <f>AVERAGE(Table1215[[#This Row],[Column31]],Table1215[[#This Row],[Column32]],Table1215[[#This Row],[Column33]])</f>
        <v>0</v>
      </c>
      <c r="AK91" s="74">
        <f>IFERROR(VLOOKUP(Table1215[[#This Row],[Column2]],Table12[[Column2]:[Column54]],36,FALSE),"0")</f>
        <v>3</v>
      </c>
      <c r="AL91" s="74">
        <f>IFERROR(VLOOKUP(Table1215[[#This Row],[Column2]],Table12[[Column2]:[Column54]],37,FALSE),"0")</f>
        <v>4</v>
      </c>
      <c r="AM91" s="74">
        <f>IFERROR(VLOOKUP(Table1215[[#This Row],[Column2]],Table12[[Column2]:[Column54]],38,FALSE),"0")</f>
        <v>0</v>
      </c>
      <c r="AN91" s="74">
        <f>IFERROR(VLOOKUP(Table1215[[#This Row],[Column2]],Table12[[Column2]:[Column54]],39,FALSE),"0")</f>
        <v>4</v>
      </c>
      <c r="AO91" s="74">
        <f>IFERROR(VLOOKUP(Table1215[[#This Row],[Column2]],Table12[[Column2]:[Column54]],40,FALSE),"0")</f>
        <v>0</v>
      </c>
      <c r="AP91" s="80">
        <f>AVERAGE(Table1215[[#This Row],[Column37]],Table1215[[#This Row],[Column38]],Table1215[[#This Row],[Column40]])</f>
        <v>3.6666666666666665</v>
      </c>
      <c r="AQ91" s="74">
        <f>IFERROR(VLOOKUP(Table1215[[#This Row],[Column2]],Table12[[Column2]:[Column54]],42,FALSE),"0")</f>
        <v>3</v>
      </c>
      <c r="AR91" s="74">
        <f>IFERROR(VLOOKUP(Table1215[[#This Row],[Column2]],Table12[[Column2]:[Column54]],43,FALSE),"0")</f>
        <v>0</v>
      </c>
      <c r="AS91" s="74">
        <f>IFERROR(VLOOKUP(Table1215[[#This Row],[Column2]],Table12[[Column2]:[Column54]],44,FALSE),"0")</f>
        <v>0</v>
      </c>
      <c r="AT91" s="74">
        <f>IFERROR(VLOOKUP(Table1215[[#This Row],[Column2]],Table12[[Column2]:[Column54]],45,FALSE),"0")</f>
        <v>0</v>
      </c>
      <c r="AU91" s="74">
        <f>IFERROR(VLOOKUP(Table1215[[#This Row],[Column2]],Table12[[Column2]:[Column54]],46,FALSE),"0")</f>
        <v>0</v>
      </c>
      <c r="AV91" s="80">
        <f>Table1215[[#This Row],[Column43]]</f>
        <v>3</v>
      </c>
      <c r="AW91" s="74">
        <f>IFERROR(VLOOKUP(Table1215[[#This Row],[Column2]],Table12[[Column2]:[Column54]],48,FALSE),"0")</f>
        <v>0</v>
      </c>
      <c r="AX91" s="74">
        <f>IFERROR(VLOOKUP(Table1215[[#This Row],[Column2]],Table12[[Column2]:[Column54]],49,FALSE),"0")</f>
        <v>0</v>
      </c>
      <c r="AY91" s="74">
        <f>IFERROR(VLOOKUP(Table1215[[#This Row],[Column2]],Table12[[Column2]:[Column54]],50,FALSE),"0")</f>
        <v>0</v>
      </c>
      <c r="AZ91" s="74">
        <f>IFERROR(VLOOKUP(Table1215[[#This Row],[Column2]],Table12[[Column2]:[Column54]],51,FALSE),"0")</f>
        <v>4</v>
      </c>
      <c r="BA91" s="74">
        <f>IFERROR(VLOOKUP(Table1215[[#This Row],[Column2]],Table12[[Column2]:[Column54]],52,FALSE),"0")</f>
        <v>3</v>
      </c>
      <c r="BB91" s="80">
        <f>AVERAGE(Table1215[[#This Row],[Column52]],Table1215[[#This Row],[Column53]])</f>
        <v>3.5</v>
      </c>
    </row>
    <row r="92" spans="1:54" ht="23.1" customHeight="1" x14ac:dyDescent="0.3">
      <c r="A92" s="99">
        <v>89</v>
      </c>
      <c r="B92" s="76" t="s">
        <v>62</v>
      </c>
      <c r="C92" s="77" t="s">
        <v>63</v>
      </c>
      <c r="D92" s="76" t="s">
        <v>542</v>
      </c>
      <c r="E92" s="76" t="s">
        <v>35</v>
      </c>
      <c r="F92" s="76" t="str">
        <f>REPT(CHAR(160),10)&amp;Working!$E93</f>
        <v>          A</v>
      </c>
      <c r="G92" s="78">
        <f>IFERROR(VLOOKUP(Table1215[[#This Row],[Column2]],Table12[[Column2]:[Column54]],6,FALSE),"0")</f>
        <v>0</v>
      </c>
      <c r="H92" s="78">
        <f>IFERROR(VLOOKUP(Table1215[[#This Row],[Column2]],Table12[[Column2]:[Column54]],7,FALSE),"0")</f>
        <v>0</v>
      </c>
      <c r="I92" s="78">
        <f>IFERROR(VLOOKUP(Table1215[[#This Row],[Column2]],Table12[[Column2]:[Column54]],8,FALSE),"0")</f>
        <v>3</v>
      </c>
      <c r="J92" s="78">
        <f>IFERROR(VLOOKUP(Table1215[[#This Row],[Column2]],Table12[[Column2]:[Column54]],9,FALSE),"0")</f>
        <v>0</v>
      </c>
      <c r="K92" s="78">
        <f>IFERROR(VLOOKUP(Table1215[[#This Row],[Column2]],Table12[[Column2]:[Column54]],10,FALSE),"0")</f>
        <v>0</v>
      </c>
      <c r="L92" s="80">
        <f>Table1215[[#This Row],[Column9]]</f>
        <v>3</v>
      </c>
      <c r="M92" s="78">
        <f>IFERROR(VLOOKUP(Table1215[[#This Row],[Column2]],Table12[[Column2]:[Column54]],12,FALSE),"0")</f>
        <v>0</v>
      </c>
      <c r="N92" s="78">
        <f>IFERROR(VLOOKUP(Table1215[[#This Row],[Column2]],Table12[[Column2]:[Column54]],13,FALSE),"0")</f>
        <v>3</v>
      </c>
      <c r="O92" s="78">
        <f>IFERROR(VLOOKUP(Table1215[[#This Row],[Column2]],Table12[[Column2]:[Column54]],14,FALSE),"0")</f>
        <v>2</v>
      </c>
      <c r="P92" s="78">
        <f>IFERROR(VLOOKUP(Table1215[[#This Row],[Column2]],Table12[[Column2]:[Column54]],10,FALSE),"0")</f>
        <v>0</v>
      </c>
      <c r="Q92" s="78">
        <f>IFERROR(VLOOKUP(Table1215[[#This Row],[Column2]],Table12[[Column2]:[Column54]],16,FALSE),"0")</f>
        <v>2</v>
      </c>
      <c r="R92" s="80">
        <f>AVERAGE(Table1215[[#This Row],[Column14]],Table1215[[#This Row],[Column15]],Table1215[[#This Row],[Column17]])</f>
        <v>2.3333333333333335</v>
      </c>
      <c r="S92" s="78">
        <f>IFERROR(VLOOKUP(Table1215[[#This Row],[Column2]],Table12[[Column2]:[Column54]],18,FALSE),"0")</f>
        <v>0</v>
      </c>
      <c r="T92" s="78">
        <f>IFERROR(VLOOKUP(Table1215[[#This Row],[Column2]],Table12[[Column2]:[Column54]],19,FALSE),"0")</f>
        <v>0</v>
      </c>
      <c r="U92" s="78">
        <f>IFERROR(VLOOKUP(Table1215[[#This Row],[Column2]],Table12[[Column2]:[Column54]],20,FALSE),"0")</f>
        <v>0</v>
      </c>
      <c r="V92" s="78">
        <f>IFERROR(VLOOKUP(Table1215[[#This Row],[Column2]],Table12[[Column2]:[Column54]],21,FALSE),"0")</f>
        <v>0</v>
      </c>
      <c r="W92" s="78">
        <f>IFERROR(VLOOKUP(Table1215[[#This Row],[Column2]],Table12[[Column2]:[Column54]],22,FALSE),"0")</f>
        <v>0</v>
      </c>
      <c r="X92" s="80">
        <f>Table1215[[#This Row],[Column19]]</f>
        <v>0</v>
      </c>
      <c r="Y92" s="78">
        <f>IFERROR(VLOOKUP(Table1215[[#This Row],[Column2]],Table12[[Column2]:[Column54]],24,FALSE),"0")</f>
        <v>3</v>
      </c>
      <c r="Z92" s="78">
        <f>IFERROR(VLOOKUP(Table1215[[#This Row],[Column2]],Table12[[Column2]:[Column54]],25,FALSE),"0")</f>
        <v>0</v>
      </c>
      <c r="AA92" s="78">
        <f>IFERROR(VLOOKUP(Table1215[[#This Row],[Column2]],Table12[[Column2]:[Column54]],26,FALSE),"0")</f>
        <v>0</v>
      </c>
      <c r="AB92" s="78">
        <f>IFERROR(VLOOKUP(Table1215[[#This Row],[Column2]],Table12[[Column2]:[Column54]],27,FALSE),"0")</f>
        <v>0</v>
      </c>
      <c r="AC92" s="78">
        <f>IFERROR(VLOOKUP(Table1215[[#This Row],[Column2]],Table12[[Column2]:[Column54]],28,FALSE),"0")</f>
        <v>0</v>
      </c>
      <c r="AD92" s="80">
        <f>Table1215[[#This Row],[Column25]]</f>
        <v>3</v>
      </c>
      <c r="AE92" s="78">
        <f>IFERROR(VLOOKUP(Table1215[[#This Row],[Column2]],Table12[[Column2]:[Column54]],30,FALSE),"0")</f>
        <v>0</v>
      </c>
      <c r="AF92" s="78">
        <f>IFERROR(VLOOKUP(Table1215[[#This Row],[Column2]],Table12[[Column2]:[Column54]],31,FALSE),"0")</f>
        <v>0</v>
      </c>
      <c r="AG92" s="78">
        <f>IFERROR(VLOOKUP(Table1215[[#This Row],[Column2]],Table12[[Column2]:[Column54]],32,FALSE),"0")</f>
        <v>0</v>
      </c>
      <c r="AH92" s="78">
        <f>IFERROR(VLOOKUP(Table1215[[#This Row],[Column2]],Table12[[Column2]:[Column54]],33,FALSE),"0")</f>
        <v>0</v>
      </c>
      <c r="AI92" s="78">
        <f>IFERROR(VLOOKUP(Table1215[[#This Row],[Column2]],Table12[[Column2]:[Column54]],34,FALSE),"0")</f>
        <v>0</v>
      </c>
      <c r="AJ92" s="80">
        <f>AVERAGE(Table1215[[#This Row],[Column31]],Table1215[[#This Row],[Column32]],Table1215[[#This Row],[Column33]])</f>
        <v>0</v>
      </c>
      <c r="AK92" s="78">
        <f>IFERROR(VLOOKUP(Table1215[[#This Row],[Column2]],Table12[[Column2]:[Column54]],36,FALSE),"0")</f>
        <v>2</v>
      </c>
      <c r="AL92" s="78">
        <f>IFERROR(VLOOKUP(Table1215[[#This Row],[Column2]],Table12[[Column2]:[Column54]],37,FALSE),"0")</f>
        <v>3</v>
      </c>
      <c r="AM92" s="78">
        <f>IFERROR(VLOOKUP(Table1215[[#This Row],[Column2]],Table12[[Column2]:[Column54]],38,FALSE),"0")</f>
        <v>0</v>
      </c>
      <c r="AN92" s="78">
        <f>IFERROR(VLOOKUP(Table1215[[#This Row],[Column2]],Table12[[Column2]:[Column54]],39,FALSE),"0")</f>
        <v>3</v>
      </c>
      <c r="AO92" s="78">
        <f>IFERROR(VLOOKUP(Table1215[[#This Row],[Column2]],Table12[[Column2]:[Column54]],40,FALSE),"0")</f>
        <v>0</v>
      </c>
      <c r="AP92" s="80">
        <f>AVERAGE(Table1215[[#This Row],[Column37]],Table1215[[#This Row],[Column38]],Table1215[[#This Row],[Column40]])</f>
        <v>2.6666666666666665</v>
      </c>
      <c r="AQ92" s="78">
        <f>IFERROR(VLOOKUP(Table1215[[#This Row],[Column2]],Table12[[Column2]:[Column54]],42,FALSE),"0")</f>
        <v>3</v>
      </c>
      <c r="AR92" s="78">
        <f>IFERROR(VLOOKUP(Table1215[[#This Row],[Column2]],Table12[[Column2]:[Column54]],43,FALSE),"0")</f>
        <v>0</v>
      </c>
      <c r="AS92" s="78">
        <f>IFERROR(VLOOKUP(Table1215[[#This Row],[Column2]],Table12[[Column2]:[Column54]],44,FALSE),"0")</f>
        <v>0</v>
      </c>
      <c r="AT92" s="78">
        <f>IFERROR(VLOOKUP(Table1215[[#This Row],[Column2]],Table12[[Column2]:[Column54]],45,FALSE),"0")</f>
        <v>0</v>
      </c>
      <c r="AU92" s="78">
        <f>IFERROR(VLOOKUP(Table1215[[#This Row],[Column2]],Table12[[Column2]:[Column54]],46,FALSE),"0")</f>
        <v>0</v>
      </c>
      <c r="AV92" s="80">
        <f>Table1215[[#This Row],[Column43]]</f>
        <v>3</v>
      </c>
      <c r="AW92" s="78">
        <f>IFERROR(VLOOKUP(Table1215[[#This Row],[Column2]],Table12[[Column2]:[Column54]],48,FALSE),"0")</f>
        <v>0</v>
      </c>
      <c r="AX92" s="78">
        <f>IFERROR(VLOOKUP(Table1215[[#This Row],[Column2]],Table12[[Column2]:[Column54]],49,FALSE),"0")</f>
        <v>0</v>
      </c>
      <c r="AY92" s="78">
        <f>IFERROR(VLOOKUP(Table1215[[#This Row],[Column2]],Table12[[Column2]:[Column54]],50,FALSE),"0")</f>
        <v>0</v>
      </c>
      <c r="AZ92" s="78">
        <f>IFERROR(VLOOKUP(Table1215[[#This Row],[Column2]],Table12[[Column2]:[Column54]],51,FALSE),"0")</f>
        <v>2</v>
      </c>
      <c r="BA92" s="78">
        <f>IFERROR(VLOOKUP(Table1215[[#This Row],[Column2]],Table12[[Column2]:[Column54]],52,FALSE),"0")</f>
        <v>2</v>
      </c>
      <c r="BB92" s="80">
        <f>AVERAGE(Table1215[[#This Row],[Column52]],Table1215[[#This Row],[Column53]])</f>
        <v>2</v>
      </c>
    </row>
    <row r="93" spans="1:54" ht="23.1" customHeight="1" x14ac:dyDescent="0.3">
      <c r="A93" s="100">
        <v>90</v>
      </c>
      <c r="B93" s="83" t="s">
        <v>38</v>
      </c>
      <c r="C93" s="84" t="s">
        <v>39</v>
      </c>
      <c r="D93" s="83" t="s">
        <v>544</v>
      </c>
      <c r="E93" s="83" t="s">
        <v>35</v>
      </c>
      <c r="F93" s="83" t="str">
        <f>REPT(CHAR(160),10)&amp;Working!$E94</f>
        <v>          A</v>
      </c>
      <c r="G93" s="74">
        <f>IFERROR(VLOOKUP(Table1215[[#This Row],[Column2]],Table12[[Column2]:[Column54]],6,FALSE),"0")</f>
        <v>0</v>
      </c>
      <c r="H93" s="74">
        <f>IFERROR(VLOOKUP(Table1215[[#This Row],[Column2]],Table12[[Column2]:[Column54]],7,FALSE),"0")</f>
        <v>0</v>
      </c>
      <c r="I93" s="74">
        <f>IFERROR(VLOOKUP(Table1215[[#This Row],[Column2]],Table12[[Column2]:[Column54]],8,FALSE),"0")</f>
        <v>3</v>
      </c>
      <c r="J93" s="74">
        <f>IFERROR(VLOOKUP(Table1215[[#This Row],[Column2]],Table12[[Column2]:[Column54]],9,FALSE),"0")</f>
        <v>0</v>
      </c>
      <c r="K93" s="74">
        <f>IFERROR(VLOOKUP(Table1215[[#This Row],[Column2]],Table12[[Column2]:[Column54]],10,FALSE),"0")</f>
        <v>0</v>
      </c>
      <c r="L93" s="80">
        <f>Table1215[[#This Row],[Column9]]</f>
        <v>3</v>
      </c>
      <c r="M93" s="74">
        <f>IFERROR(VLOOKUP(Table1215[[#This Row],[Column2]],Table12[[Column2]:[Column54]],12,FALSE),"0")</f>
        <v>0</v>
      </c>
      <c r="N93" s="74">
        <f>IFERROR(VLOOKUP(Table1215[[#This Row],[Column2]],Table12[[Column2]:[Column54]],13,FALSE),"0")</f>
        <v>4</v>
      </c>
      <c r="O93" s="74">
        <f>IFERROR(VLOOKUP(Table1215[[#This Row],[Column2]],Table12[[Column2]:[Column54]],14,FALSE),"0")</f>
        <v>3</v>
      </c>
      <c r="P93" s="74">
        <f>IFERROR(VLOOKUP(Table1215[[#This Row],[Column2]],Table12[[Column2]:[Column54]],10,FALSE),"0")</f>
        <v>0</v>
      </c>
      <c r="Q93" s="74">
        <f>IFERROR(VLOOKUP(Table1215[[#This Row],[Column2]],Table12[[Column2]:[Column54]],16,FALSE),"0")</f>
        <v>3</v>
      </c>
      <c r="R93" s="80">
        <f>AVERAGE(Table1215[[#This Row],[Column14]],Table1215[[#This Row],[Column15]],Table1215[[#This Row],[Column17]])</f>
        <v>3.3333333333333335</v>
      </c>
      <c r="S93" s="74">
        <f>IFERROR(VLOOKUP(Table1215[[#This Row],[Column2]],Table12[[Column2]:[Column54]],18,FALSE),"0")</f>
        <v>0</v>
      </c>
      <c r="T93" s="74">
        <f>IFERROR(VLOOKUP(Table1215[[#This Row],[Column2]],Table12[[Column2]:[Column54]],19,FALSE),"0")</f>
        <v>0</v>
      </c>
      <c r="U93" s="74">
        <f>IFERROR(VLOOKUP(Table1215[[#This Row],[Column2]],Table12[[Column2]:[Column54]],20,FALSE),"0")</f>
        <v>0</v>
      </c>
      <c r="V93" s="74">
        <f>IFERROR(VLOOKUP(Table1215[[#This Row],[Column2]],Table12[[Column2]:[Column54]],21,FALSE),"0")</f>
        <v>0</v>
      </c>
      <c r="W93" s="74">
        <f>IFERROR(VLOOKUP(Table1215[[#This Row],[Column2]],Table12[[Column2]:[Column54]],22,FALSE),"0")</f>
        <v>0</v>
      </c>
      <c r="X93" s="80">
        <f>Table1215[[#This Row],[Column19]]</f>
        <v>0</v>
      </c>
      <c r="Y93" s="74">
        <f>IFERROR(VLOOKUP(Table1215[[#This Row],[Column2]],Table12[[Column2]:[Column54]],24,FALSE),"0")</f>
        <v>4</v>
      </c>
      <c r="Z93" s="74">
        <f>IFERROR(VLOOKUP(Table1215[[#This Row],[Column2]],Table12[[Column2]:[Column54]],25,FALSE),"0")</f>
        <v>0</v>
      </c>
      <c r="AA93" s="74">
        <f>IFERROR(VLOOKUP(Table1215[[#This Row],[Column2]],Table12[[Column2]:[Column54]],26,FALSE),"0")</f>
        <v>0</v>
      </c>
      <c r="AB93" s="74">
        <f>IFERROR(VLOOKUP(Table1215[[#This Row],[Column2]],Table12[[Column2]:[Column54]],27,FALSE),"0")</f>
        <v>0</v>
      </c>
      <c r="AC93" s="74">
        <f>IFERROR(VLOOKUP(Table1215[[#This Row],[Column2]],Table12[[Column2]:[Column54]],28,FALSE),"0")</f>
        <v>0</v>
      </c>
      <c r="AD93" s="80">
        <f>Table1215[[#This Row],[Column25]]</f>
        <v>4</v>
      </c>
      <c r="AE93" s="74">
        <f>IFERROR(VLOOKUP(Table1215[[#This Row],[Column2]],Table12[[Column2]:[Column54]],30,FALSE),"0")</f>
        <v>0</v>
      </c>
      <c r="AF93" s="74">
        <f>IFERROR(VLOOKUP(Table1215[[#This Row],[Column2]],Table12[[Column2]:[Column54]],31,FALSE),"0")</f>
        <v>0</v>
      </c>
      <c r="AG93" s="74">
        <f>IFERROR(VLOOKUP(Table1215[[#This Row],[Column2]],Table12[[Column2]:[Column54]],32,FALSE),"0")</f>
        <v>0</v>
      </c>
      <c r="AH93" s="74">
        <f>IFERROR(VLOOKUP(Table1215[[#This Row],[Column2]],Table12[[Column2]:[Column54]],33,FALSE),"0")</f>
        <v>0</v>
      </c>
      <c r="AI93" s="74">
        <f>IFERROR(VLOOKUP(Table1215[[#This Row],[Column2]],Table12[[Column2]:[Column54]],34,FALSE),"0")</f>
        <v>0</v>
      </c>
      <c r="AJ93" s="80">
        <f>AVERAGE(Table1215[[#This Row],[Column31]],Table1215[[#This Row],[Column32]],Table1215[[#This Row],[Column33]])</f>
        <v>0</v>
      </c>
      <c r="AK93" s="74">
        <f>IFERROR(VLOOKUP(Table1215[[#This Row],[Column2]],Table12[[Column2]:[Column54]],36,FALSE),"0")</f>
        <v>4</v>
      </c>
      <c r="AL93" s="74">
        <f>IFERROR(VLOOKUP(Table1215[[#This Row],[Column2]],Table12[[Column2]:[Column54]],37,FALSE),"0")</f>
        <v>3</v>
      </c>
      <c r="AM93" s="74">
        <f>IFERROR(VLOOKUP(Table1215[[#This Row],[Column2]],Table12[[Column2]:[Column54]],38,FALSE),"0")</f>
        <v>0</v>
      </c>
      <c r="AN93" s="74">
        <f>IFERROR(VLOOKUP(Table1215[[#This Row],[Column2]],Table12[[Column2]:[Column54]],39,FALSE),"0")</f>
        <v>3</v>
      </c>
      <c r="AO93" s="74">
        <f>IFERROR(VLOOKUP(Table1215[[#This Row],[Column2]],Table12[[Column2]:[Column54]],40,FALSE),"0")</f>
        <v>0</v>
      </c>
      <c r="AP93" s="80">
        <f>AVERAGE(Table1215[[#This Row],[Column37]],Table1215[[#This Row],[Column38]],Table1215[[#This Row],[Column40]])</f>
        <v>3.3333333333333335</v>
      </c>
      <c r="AQ93" s="74">
        <f>IFERROR(VLOOKUP(Table1215[[#This Row],[Column2]],Table12[[Column2]:[Column54]],42,FALSE),"0")</f>
        <v>3</v>
      </c>
      <c r="AR93" s="74">
        <f>IFERROR(VLOOKUP(Table1215[[#This Row],[Column2]],Table12[[Column2]:[Column54]],43,FALSE),"0")</f>
        <v>0</v>
      </c>
      <c r="AS93" s="74">
        <f>IFERROR(VLOOKUP(Table1215[[#This Row],[Column2]],Table12[[Column2]:[Column54]],44,FALSE),"0")</f>
        <v>0</v>
      </c>
      <c r="AT93" s="74">
        <f>IFERROR(VLOOKUP(Table1215[[#This Row],[Column2]],Table12[[Column2]:[Column54]],45,FALSE),"0")</f>
        <v>0</v>
      </c>
      <c r="AU93" s="74">
        <f>IFERROR(VLOOKUP(Table1215[[#This Row],[Column2]],Table12[[Column2]:[Column54]],46,FALSE),"0")</f>
        <v>0</v>
      </c>
      <c r="AV93" s="80">
        <f>Table1215[[#This Row],[Column43]]</f>
        <v>3</v>
      </c>
      <c r="AW93" s="74">
        <f>IFERROR(VLOOKUP(Table1215[[#This Row],[Column2]],Table12[[Column2]:[Column54]],48,FALSE),"0")</f>
        <v>0</v>
      </c>
      <c r="AX93" s="74">
        <f>IFERROR(VLOOKUP(Table1215[[#This Row],[Column2]],Table12[[Column2]:[Column54]],49,FALSE),"0")</f>
        <v>0</v>
      </c>
      <c r="AY93" s="74">
        <f>IFERROR(VLOOKUP(Table1215[[#This Row],[Column2]],Table12[[Column2]:[Column54]],50,FALSE),"0")</f>
        <v>0</v>
      </c>
      <c r="AZ93" s="74">
        <f>IFERROR(VLOOKUP(Table1215[[#This Row],[Column2]],Table12[[Column2]:[Column54]],51,FALSE),"0")</f>
        <v>2</v>
      </c>
      <c r="BA93" s="74">
        <f>IFERROR(VLOOKUP(Table1215[[#This Row],[Column2]],Table12[[Column2]:[Column54]],52,FALSE),"0")</f>
        <v>4</v>
      </c>
      <c r="BB93" s="80">
        <f>AVERAGE(Table1215[[#This Row],[Column52]],Table1215[[#This Row],[Column53]])</f>
        <v>3</v>
      </c>
    </row>
    <row r="94" spans="1:54" ht="23.1" customHeight="1" x14ac:dyDescent="0.3">
      <c r="A94" s="99">
        <v>91</v>
      </c>
      <c r="B94" s="76" t="s">
        <v>138</v>
      </c>
      <c r="C94" s="77" t="s">
        <v>139</v>
      </c>
      <c r="D94" s="76" t="s">
        <v>450</v>
      </c>
      <c r="E94" s="76" t="s">
        <v>35</v>
      </c>
      <c r="F94" s="76" t="str">
        <f>REPT(CHAR(160),10)&amp;Working!$E95</f>
        <v>          A</v>
      </c>
      <c r="G94" s="78">
        <f>IFERROR(VLOOKUP(Table1215[[#This Row],[Column2]],Table12[[Column2]:[Column54]],6,FALSE),"0")</f>
        <v>0</v>
      </c>
      <c r="H94" s="78">
        <f>IFERROR(VLOOKUP(Table1215[[#This Row],[Column2]],Table12[[Column2]:[Column54]],7,FALSE),"0")</f>
        <v>0</v>
      </c>
      <c r="I94" s="78">
        <f>IFERROR(VLOOKUP(Table1215[[#This Row],[Column2]],Table12[[Column2]:[Column54]],8,FALSE),"0")</f>
        <v>2</v>
      </c>
      <c r="J94" s="78">
        <f>IFERROR(VLOOKUP(Table1215[[#This Row],[Column2]],Table12[[Column2]:[Column54]],9,FALSE),"0")</f>
        <v>0</v>
      </c>
      <c r="K94" s="78">
        <f>IFERROR(VLOOKUP(Table1215[[#This Row],[Column2]],Table12[[Column2]:[Column54]],10,FALSE),"0")</f>
        <v>0</v>
      </c>
      <c r="L94" s="80">
        <f>Table1215[[#This Row],[Column9]]</f>
        <v>2</v>
      </c>
      <c r="M94" s="78">
        <f>IFERROR(VLOOKUP(Table1215[[#This Row],[Column2]],Table12[[Column2]:[Column54]],12,FALSE),"0")</f>
        <v>0</v>
      </c>
      <c r="N94" s="78">
        <f>IFERROR(VLOOKUP(Table1215[[#This Row],[Column2]],Table12[[Column2]:[Column54]],13,FALSE),"0")</f>
        <v>2</v>
      </c>
      <c r="O94" s="78">
        <f>IFERROR(VLOOKUP(Table1215[[#This Row],[Column2]],Table12[[Column2]:[Column54]],14,FALSE),"0")</f>
        <v>2</v>
      </c>
      <c r="P94" s="78">
        <f>IFERROR(VLOOKUP(Table1215[[#This Row],[Column2]],Table12[[Column2]:[Column54]],10,FALSE),"0")</f>
        <v>0</v>
      </c>
      <c r="Q94" s="78">
        <f>IFERROR(VLOOKUP(Table1215[[#This Row],[Column2]],Table12[[Column2]:[Column54]],16,FALSE),"0")</f>
        <v>2</v>
      </c>
      <c r="R94" s="80">
        <f>AVERAGE(Table1215[[#This Row],[Column14]],Table1215[[#This Row],[Column15]],Table1215[[#This Row],[Column17]])</f>
        <v>2</v>
      </c>
      <c r="S94" s="78">
        <f>IFERROR(VLOOKUP(Table1215[[#This Row],[Column2]],Table12[[Column2]:[Column54]],18,FALSE),"0")</f>
        <v>0</v>
      </c>
      <c r="T94" s="78">
        <f>IFERROR(VLOOKUP(Table1215[[#This Row],[Column2]],Table12[[Column2]:[Column54]],19,FALSE),"0")</f>
        <v>0</v>
      </c>
      <c r="U94" s="78">
        <f>IFERROR(VLOOKUP(Table1215[[#This Row],[Column2]],Table12[[Column2]:[Column54]],20,FALSE),"0")</f>
        <v>0</v>
      </c>
      <c r="V94" s="78">
        <f>IFERROR(VLOOKUP(Table1215[[#This Row],[Column2]],Table12[[Column2]:[Column54]],21,FALSE),"0")</f>
        <v>0</v>
      </c>
      <c r="W94" s="78">
        <f>IFERROR(VLOOKUP(Table1215[[#This Row],[Column2]],Table12[[Column2]:[Column54]],22,FALSE),"0")</f>
        <v>0</v>
      </c>
      <c r="X94" s="80">
        <f>Table1215[[#This Row],[Column19]]</f>
        <v>0</v>
      </c>
      <c r="Y94" s="78">
        <f>IFERROR(VLOOKUP(Table1215[[#This Row],[Column2]],Table12[[Column2]:[Column54]],24,FALSE),"0")</f>
        <v>2</v>
      </c>
      <c r="Z94" s="78">
        <f>IFERROR(VLOOKUP(Table1215[[#This Row],[Column2]],Table12[[Column2]:[Column54]],25,FALSE),"0")</f>
        <v>0</v>
      </c>
      <c r="AA94" s="78">
        <f>IFERROR(VLOOKUP(Table1215[[#This Row],[Column2]],Table12[[Column2]:[Column54]],26,FALSE),"0")</f>
        <v>0</v>
      </c>
      <c r="AB94" s="78">
        <f>IFERROR(VLOOKUP(Table1215[[#This Row],[Column2]],Table12[[Column2]:[Column54]],27,FALSE),"0")</f>
        <v>0</v>
      </c>
      <c r="AC94" s="78">
        <f>IFERROR(VLOOKUP(Table1215[[#This Row],[Column2]],Table12[[Column2]:[Column54]],28,FALSE),"0")</f>
        <v>0</v>
      </c>
      <c r="AD94" s="80">
        <f>Table1215[[#This Row],[Column25]]</f>
        <v>2</v>
      </c>
      <c r="AE94" s="78">
        <f>IFERROR(VLOOKUP(Table1215[[#This Row],[Column2]],Table12[[Column2]:[Column54]],30,FALSE),"0")</f>
        <v>0</v>
      </c>
      <c r="AF94" s="78">
        <f>IFERROR(VLOOKUP(Table1215[[#This Row],[Column2]],Table12[[Column2]:[Column54]],31,FALSE),"0")</f>
        <v>0</v>
      </c>
      <c r="AG94" s="78">
        <f>IFERROR(VLOOKUP(Table1215[[#This Row],[Column2]],Table12[[Column2]:[Column54]],32,FALSE),"0")</f>
        <v>0</v>
      </c>
      <c r="AH94" s="78">
        <f>IFERROR(VLOOKUP(Table1215[[#This Row],[Column2]],Table12[[Column2]:[Column54]],33,FALSE),"0")</f>
        <v>0</v>
      </c>
      <c r="AI94" s="78">
        <f>IFERROR(VLOOKUP(Table1215[[#This Row],[Column2]],Table12[[Column2]:[Column54]],34,FALSE),"0")</f>
        <v>0</v>
      </c>
      <c r="AJ94" s="80">
        <f>AVERAGE(Table1215[[#This Row],[Column31]],Table1215[[#This Row],[Column32]],Table1215[[#This Row],[Column33]])</f>
        <v>0</v>
      </c>
      <c r="AK94" s="78">
        <f>IFERROR(VLOOKUP(Table1215[[#This Row],[Column2]],Table12[[Column2]:[Column54]],36,FALSE),"0")</f>
        <v>2</v>
      </c>
      <c r="AL94" s="78">
        <f>IFERROR(VLOOKUP(Table1215[[#This Row],[Column2]],Table12[[Column2]:[Column54]],37,FALSE),"0")</f>
        <v>2</v>
      </c>
      <c r="AM94" s="78">
        <f>IFERROR(VLOOKUP(Table1215[[#This Row],[Column2]],Table12[[Column2]:[Column54]],38,FALSE),"0")</f>
        <v>0</v>
      </c>
      <c r="AN94" s="78">
        <f>IFERROR(VLOOKUP(Table1215[[#This Row],[Column2]],Table12[[Column2]:[Column54]],39,FALSE),"0")</f>
        <v>2</v>
      </c>
      <c r="AO94" s="78">
        <f>IFERROR(VLOOKUP(Table1215[[#This Row],[Column2]],Table12[[Column2]:[Column54]],40,FALSE),"0")</f>
        <v>0</v>
      </c>
      <c r="AP94" s="80">
        <f>AVERAGE(Table1215[[#This Row],[Column37]],Table1215[[#This Row],[Column38]],Table1215[[#This Row],[Column40]])</f>
        <v>2</v>
      </c>
      <c r="AQ94" s="78">
        <f>IFERROR(VLOOKUP(Table1215[[#This Row],[Column2]],Table12[[Column2]:[Column54]],42,FALSE),"0")</f>
        <v>3</v>
      </c>
      <c r="AR94" s="78">
        <f>IFERROR(VLOOKUP(Table1215[[#This Row],[Column2]],Table12[[Column2]:[Column54]],43,FALSE),"0")</f>
        <v>0</v>
      </c>
      <c r="AS94" s="78">
        <f>IFERROR(VLOOKUP(Table1215[[#This Row],[Column2]],Table12[[Column2]:[Column54]],44,FALSE),"0")</f>
        <v>0</v>
      </c>
      <c r="AT94" s="78">
        <f>IFERROR(VLOOKUP(Table1215[[#This Row],[Column2]],Table12[[Column2]:[Column54]],45,FALSE),"0")</f>
        <v>0</v>
      </c>
      <c r="AU94" s="78">
        <f>IFERROR(VLOOKUP(Table1215[[#This Row],[Column2]],Table12[[Column2]:[Column54]],46,FALSE),"0")</f>
        <v>0</v>
      </c>
      <c r="AV94" s="80">
        <f>Table1215[[#This Row],[Column43]]</f>
        <v>3</v>
      </c>
      <c r="AW94" s="78">
        <f>IFERROR(VLOOKUP(Table1215[[#This Row],[Column2]],Table12[[Column2]:[Column54]],48,FALSE),"0")</f>
        <v>0</v>
      </c>
      <c r="AX94" s="78">
        <f>IFERROR(VLOOKUP(Table1215[[#This Row],[Column2]],Table12[[Column2]:[Column54]],49,FALSE),"0")</f>
        <v>0</v>
      </c>
      <c r="AY94" s="78">
        <f>IFERROR(VLOOKUP(Table1215[[#This Row],[Column2]],Table12[[Column2]:[Column54]],50,FALSE),"0")</f>
        <v>0</v>
      </c>
      <c r="AZ94" s="78">
        <f>IFERROR(VLOOKUP(Table1215[[#This Row],[Column2]],Table12[[Column2]:[Column54]],51,FALSE),"0")</f>
        <v>3</v>
      </c>
      <c r="BA94" s="78">
        <f>IFERROR(VLOOKUP(Table1215[[#This Row],[Column2]],Table12[[Column2]:[Column54]],52,FALSE),"0")</f>
        <v>2</v>
      </c>
      <c r="BB94" s="80">
        <f>AVERAGE(Table1215[[#This Row],[Column52]],Table1215[[#This Row],[Column53]])</f>
        <v>2.5</v>
      </c>
    </row>
    <row r="95" spans="1:54" ht="23.1" customHeight="1" x14ac:dyDescent="0.3">
      <c r="A95" s="100">
        <v>92</v>
      </c>
      <c r="B95" s="83" t="s">
        <v>231</v>
      </c>
      <c r="C95" s="84" t="s">
        <v>232</v>
      </c>
      <c r="D95" s="83" t="s">
        <v>450</v>
      </c>
      <c r="E95" s="83" t="s">
        <v>161</v>
      </c>
      <c r="F95" s="83" t="str">
        <f>REPT(CHAR(160),10)&amp;Working!$E96</f>
        <v>          B</v>
      </c>
      <c r="G95" s="74">
        <f>IFERROR(VLOOKUP(Table1215[[#This Row],[Column2]],Table12[[Column2]:[Column54]],6,FALSE),"0")</f>
        <v>0</v>
      </c>
      <c r="H95" s="74">
        <f>IFERROR(VLOOKUP(Table1215[[#This Row],[Column2]],Table12[[Column2]:[Column54]],7,FALSE),"0")</f>
        <v>0</v>
      </c>
      <c r="I95" s="74">
        <f>IFERROR(VLOOKUP(Table1215[[#This Row],[Column2]],Table12[[Column2]:[Column54]],8,FALSE),"0")</f>
        <v>4</v>
      </c>
      <c r="J95" s="74">
        <f>IFERROR(VLOOKUP(Table1215[[#This Row],[Column2]],Table12[[Column2]:[Column54]],9,FALSE),"0")</f>
        <v>0</v>
      </c>
      <c r="K95" s="74">
        <f>IFERROR(VLOOKUP(Table1215[[#This Row],[Column2]],Table12[[Column2]:[Column54]],10,FALSE),"0")</f>
        <v>0</v>
      </c>
      <c r="L95" s="80">
        <f>Table1215[[#This Row],[Column9]]</f>
        <v>4</v>
      </c>
      <c r="M95" s="74">
        <f>IFERROR(VLOOKUP(Table1215[[#This Row],[Column2]],Table12[[Column2]:[Column54]],12,FALSE),"0")</f>
        <v>0</v>
      </c>
      <c r="N95" s="74">
        <f>IFERROR(VLOOKUP(Table1215[[#This Row],[Column2]],Table12[[Column2]:[Column54]],13,FALSE),"0")</f>
        <v>3</v>
      </c>
      <c r="O95" s="74">
        <f>IFERROR(VLOOKUP(Table1215[[#This Row],[Column2]],Table12[[Column2]:[Column54]],14,FALSE),"0")</f>
        <v>4</v>
      </c>
      <c r="P95" s="74">
        <f>IFERROR(VLOOKUP(Table1215[[#This Row],[Column2]],Table12[[Column2]:[Column54]],10,FALSE),"0")</f>
        <v>0</v>
      </c>
      <c r="Q95" s="74">
        <f>IFERROR(VLOOKUP(Table1215[[#This Row],[Column2]],Table12[[Column2]:[Column54]],16,FALSE),"0")</f>
        <v>4</v>
      </c>
      <c r="R95" s="80">
        <f>AVERAGE(Table1215[[#This Row],[Column14]],Table1215[[#This Row],[Column15]],Table1215[[#This Row],[Column17]])</f>
        <v>3.6666666666666665</v>
      </c>
      <c r="S95" s="74">
        <f>IFERROR(VLOOKUP(Table1215[[#This Row],[Column2]],Table12[[Column2]:[Column54]],18,FALSE),"0")</f>
        <v>0</v>
      </c>
      <c r="T95" s="74">
        <f>IFERROR(VLOOKUP(Table1215[[#This Row],[Column2]],Table12[[Column2]:[Column54]],19,FALSE),"0")</f>
        <v>0</v>
      </c>
      <c r="U95" s="74">
        <f>IFERROR(VLOOKUP(Table1215[[#This Row],[Column2]],Table12[[Column2]:[Column54]],20,FALSE),"0")</f>
        <v>0</v>
      </c>
      <c r="V95" s="74">
        <f>IFERROR(VLOOKUP(Table1215[[#This Row],[Column2]],Table12[[Column2]:[Column54]],21,FALSE),"0")</f>
        <v>0</v>
      </c>
      <c r="W95" s="74">
        <f>IFERROR(VLOOKUP(Table1215[[#This Row],[Column2]],Table12[[Column2]:[Column54]],22,FALSE),"0")</f>
        <v>0</v>
      </c>
      <c r="X95" s="80">
        <f>Table1215[[#This Row],[Column19]]</f>
        <v>0</v>
      </c>
      <c r="Y95" s="74">
        <f>IFERROR(VLOOKUP(Table1215[[#This Row],[Column2]],Table12[[Column2]:[Column54]],24,FALSE),"0")</f>
        <v>3</v>
      </c>
      <c r="Z95" s="74">
        <f>IFERROR(VLOOKUP(Table1215[[#This Row],[Column2]],Table12[[Column2]:[Column54]],25,FALSE),"0")</f>
        <v>0</v>
      </c>
      <c r="AA95" s="74">
        <f>IFERROR(VLOOKUP(Table1215[[#This Row],[Column2]],Table12[[Column2]:[Column54]],26,FALSE),"0")</f>
        <v>0</v>
      </c>
      <c r="AB95" s="74">
        <f>IFERROR(VLOOKUP(Table1215[[#This Row],[Column2]],Table12[[Column2]:[Column54]],27,FALSE),"0")</f>
        <v>0</v>
      </c>
      <c r="AC95" s="74">
        <f>IFERROR(VLOOKUP(Table1215[[#This Row],[Column2]],Table12[[Column2]:[Column54]],28,FALSE),"0")</f>
        <v>0</v>
      </c>
      <c r="AD95" s="80">
        <f>Table1215[[#This Row],[Column25]]</f>
        <v>3</v>
      </c>
      <c r="AE95" s="74">
        <f>IFERROR(VLOOKUP(Table1215[[#This Row],[Column2]],Table12[[Column2]:[Column54]],30,FALSE),"0")</f>
        <v>0</v>
      </c>
      <c r="AF95" s="74">
        <f>IFERROR(VLOOKUP(Table1215[[#This Row],[Column2]],Table12[[Column2]:[Column54]],31,FALSE),"0")</f>
        <v>0</v>
      </c>
      <c r="AG95" s="74">
        <f>IFERROR(VLOOKUP(Table1215[[#This Row],[Column2]],Table12[[Column2]:[Column54]],32,FALSE),"0")</f>
        <v>0</v>
      </c>
      <c r="AH95" s="74">
        <f>IFERROR(VLOOKUP(Table1215[[#This Row],[Column2]],Table12[[Column2]:[Column54]],33,FALSE),"0")</f>
        <v>0</v>
      </c>
      <c r="AI95" s="74">
        <f>IFERROR(VLOOKUP(Table1215[[#This Row],[Column2]],Table12[[Column2]:[Column54]],34,FALSE),"0")</f>
        <v>0</v>
      </c>
      <c r="AJ95" s="80">
        <f>AVERAGE(Table1215[[#This Row],[Column31]],Table1215[[#This Row],[Column32]],Table1215[[#This Row],[Column33]])</f>
        <v>0</v>
      </c>
      <c r="AK95" s="74">
        <f>IFERROR(VLOOKUP(Table1215[[#This Row],[Column2]],Table12[[Column2]:[Column54]],36,FALSE),"0")</f>
        <v>3</v>
      </c>
      <c r="AL95" s="74">
        <f>IFERROR(VLOOKUP(Table1215[[#This Row],[Column2]],Table12[[Column2]:[Column54]],37,FALSE),"0")</f>
        <v>3</v>
      </c>
      <c r="AM95" s="74">
        <f>IFERROR(VLOOKUP(Table1215[[#This Row],[Column2]],Table12[[Column2]:[Column54]],38,FALSE),"0")</f>
        <v>0</v>
      </c>
      <c r="AN95" s="74">
        <f>IFERROR(VLOOKUP(Table1215[[#This Row],[Column2]],Table12[[Column2]:[Column54]],39,FALSE),"0")</f>
        <v>4</v>
      </c>
      <c r="AO95" s="74">
        <f>IFERROR(VLOOKUP(Table1215[[#This Row],[Column2]],Table12[[Column2]:[Column54]],40,FALSE),"0")</f>
        <v>0</v>
      </c>
      <c r="AP95" s="80">
        <f>AVERAGE(Table1215[[#This Row],[Column37]],Table1215[[#This Row],[Column38]],Table1215[[#This Row],[Column40]])</f>
        <v>3.3333333333333335</v>
      </c>
      <c r="AQ95" s="74">
        <f>IFERROR(VLOOKUP(Table1215[[#This Row],[Column2]],Table12[[Column2]:[Column54]],42,FALSE),"0")</f>
        <v>4</v>
      </c>
      <c r="AR95" s="74">
        <f>IFERROR(VLOOKUP(Table1215[[#This Row],[Column2]],Table12[[Column2]:[Column54]],43,FALSE),"0")</f>
        <v>0</v>
      </c>
      <c r="AS95" s="74">
        <f>IFERROR(VLOOKUP(Table1215[[#This Row],[Column2]],Table12[[Column2]:[Column54]],44,FALSE),"0")</f>
        <v>0</v>
      </c>
      <c r="AT95" s="74">
        <f>IFERROR(VLOOKUP(Table1215[[#This Row],[Column2]],Table12[[Column2]:[Column54]],45,FALSE),"0")</f>
        <v>0</v>
      </c>
      <c r="AU95" s="74">
        <f>IFERROR(VLOOKUP(Table1215[[#This Row],[Column2]],Table12[[Column2]:[Column54]],46,FALSE),"0")</f>
        <v>0</v>
      </c>
      <c r="AV95" s="80">
        <f>Table1215[[#This Row],[Column43]]</f>
        <v>4</v>
      </c>
      <c r="AW95" s="74">
        <f>IFERROR(VLOOKUP(Table1215[[#This Row],[Column2]],Table12[[Column2]:[Column54]],48,FALSE),"0")</f>
        <v>0</v>
      </c>
      <c r="AX95" s="74">
        <f>IFERROR(VLOOKUP(Table1215[[#This Row],[Column2]],Table12[[Column2]:[Column54]],49,FALSE),"0")</f>
        <v>0</v>
      </c>
      <c r="AY95" s="74">
        <f>IFERROR(VLOOKUP(Table1215[[#This Row],[Column2]],Table12[[Column2]:[Column54]],50,FALSE),"0")</f>
        <v>0</v>
      </c>
      <c r="AZ95" s="74">
        <f>IFERROR(VLOOKUP(Table1215[[#This Row],[Column2]],Table12[[Column2]:[Column54]],51,FALSE),"0")</f>
        <v>2</v>
      </c>
      <c r="BA95" s="74">
        <f>IFERROR(VLOOKUP(Table1215[[#This Row],[Column2]],Table12[[Column2]:[Column54]],52,FALSE),"0")</f>
        <v>4</v>
      </c>
      <c r="BB95" s="80">
        <f>AVERAGE(Table1215[[#This Row],[Column52]],Table1215[[#This Row],[Column53]])</f>
        <v>3</v>
      </c>
    </row>
    <row r="96" spans="1:54" ht="23.1" customHeight="1" x14ac:dyDescent="0.3">
      <c r="A96" s="99">
        <v>93</v>
      </c>
      <c r="B96" s="76" t="s">
        <v>340</v>
      </c>
      <c r="C96" s="77" t="s">
        <v>341</v>
      </c>
      <c r="D96" s="76" t="s">
        <v>542</v>
      </c>
      <c r="E96" s="76" t="s">
        <v>493</v>
      </c>
      <c r="F96" s="76" t="str">
        <f>REPT(CHAR(160),10)&amp;Working!$E97</f>
        <v>          C</v>
      </c>
      <c r="G96" s="78">
        <f>IFERROR(VLOOKUP(Table1215[[#This Row],[Column2]],Table12[[Column2]:[Column54]],6,FALSE),"0")</f>
        <v>0</v>
      </c>
      <c r="H96" s="78">
        <f>IFERROR(VLOOKUP(Table1215[[#This Row],[Column2]],Table12[[Column2]:[Column54]],7,FALSE),"0")</f>
        <v>0</v>
      </c>
      <c r="I96" s="78">
        <f>IFERROR(VLOOKUP(Table1215[[#This Row],[Column2]],Table12[[Column2]:[Column54]],8,FALSE),"0")</f>
        <v>2</v>
      </c>
      <c r="J96" s="78">
        <f>IFERROR(VLOOKUP(Table1215[[#This Row],[Column2]],Table12[[Column2]:[Column54]],9,FALSE),"0")</f>
        <v>0</v>
      </c>
      <c r="K96" s="78">
        <f>IFERROR(VLOOKUP(Table1215[[#This Row],[Column2]],Table12[[Column2]:[Column54]],10,FALSE),"0")</f>
        <v>0</v>
      </c>
      <c r="L96" s="80">
        <f>Table1215[[#This Row],[Column9]]</f>
        <v>2</v>
      </c>
      <c r="M96" s="78">
        <f>IFERROR(VLOOKUP(Table1215[[#This Row],[Column2]],Table12[[Column2]:[Column54]],12,FALSE),"0")</f>
        <v>0</v>
      </c>
      <c r="N96" s="78">
        <f>IFERROR(VLOOKUP(Table1215[[#This Row],[Column2]],Table12[[Column2]:[Column54]],13,FALSE),"0")</f>
        <v>2</v>
      </c>
      <c r="O96" s="78">
        <f>IFERROR(VLOOKUP(Table1215[[#This Row],[Column2]],Table12[[Column2]:[Column54]],14,FALSE),"0")</f>
        <v>2</v>
      </c>
      <c r="P96" s="78">
        <f>IFERROR(VLOOKUP(Table1215[[#This Row],[Column2]],Table12[[Column2]:[Column54]],10,FALSE),"0")</f>
        <v>0</v>
      </c>
      <c r="Q96" s="78">
        <f>IFERROR(VLOOKUP(Table1215[[#This Row],[Column2]],Table12[[Column2]:[Column54]],16,FALSE),"0")</f>
        <v>2</v>
      </c>
      <c r="R96" s="80">
        <f>AVERAGE(Table1215[[#This Row],[Column14]],Table1215[[#This Row],[Column15]],Table1215[[#This Row],[Column17]])</f>
        <v>2</v>
      </c>
      <c r="S96" s="78">
        <f>IFERROR(VLOOKUP(Table1215[[#This Row],[Column2]],Table12[[Column2]:[Column54]],18,FALSE),"0")</f>
        <v>0</v>
      </c>
      <c r="T96" s="78">
        <f>IFERROR(VLOOKUP(Table1215[[#This Row],[Column2]],Table12[[Column2]:[Column54]],19,FALSE),"0")</f>
        <v>0</v>
      </c>
      <c r="U96" s="78">
        <f>IFERROR(VLOOKUP(Table1215[[#This Row],[Column2]],Table12[[Column2]:[Column54]],20,FALSE),"0")</f>
        <v>0</v>
      </c>
      <c r="V96" s="78">
        <f>IFERROR(VLOOKUP(Table1215[[#This Row],[Column2]],Table12[[Column2]:[Column54]],21,FALSE),"0")</f>
        <v>0</v>
      </c>
      <c r="W96" s="78">
        <f>IFERROR(VLOOKUP(Table1215[[#This Row],[Column2]],Table12[[Column2]:[Column54]],22,FALSE),"0")</f>
        <v>0</v>
      </c>
      <c r="X96" s="80">
        <f>Table1215[[#This Row],[Column19]]</f>
        <v>0</v>
      </c>
      <c r="Y96" s="78">
        <f>IFERROR(VLOOKUP(Table1215[[#This Row],[Column2]],Table12[[Column2]:[Column54]],24,FALSE),"0")</f>
        <v>2</v>
      </c>
      <c r="Z96" s="78">
        <f>IFERROR(VLOOKUP(Table1215[[#This Row],[Column2]],Table12[[Column2]:[Column54]],25,FALSE),"0")</f>
        <v>0</v>
      </c>
      <c r="AA96" s="78">
        <f>IFERROR(VLOOKUP(Table1215[[#This Row],[Column2]],Table12[[Column2]:[Column54]],26,FALSE),"0")</f>
        <v>0</v>
      </c>
      <c r="AB96" s="78">
        <f>IFERROR(VLOOKUP(Table1215[[#This Row],[Column2]],Table12[[Column2]:[Column54]],27,FALSE),"0")</f>
        <v>0</v>
      </c>
      <c r="AC96" s="78">
        <f>IFERROR(VLOOKUP(Table1215[[#This Row],[Column2]],Table12[[Column2]:[Column54]],28,FALSE),"0")</f>
        <v>0</v>
      </c>
      <c r="AD96" s="80">
        <f>Table1215[[#This Row],[Column25]]</f>
        <v>2</v>
      </c>
      <c r="AE96" s="78">
        <f>IFERROR(VLOOKUP(Table1215[[#This Row],[Column2]],Table12[[Column2]:[Column54]],30,FALSE),"0")</f>
        <v>0</v>
      </c>
      <c r="AF96" s="78">
        <f>IFERROR(VLOOKUP(Table1215[[#This Row],[Column2]],Table12[[Column2]:[Column54]],31,FALSE),"0")</f>
        <v>0</v>
      </c>
      <c r="AG96" s="78">
        <f>IFERROR(VLOOKUP(Table1215[[#This Row],[Column2]],Table12[[Column2]:[Column54]],32,FALSE),"0")</f>
        <v>0</v>
      </c>
      <c r="AH96" s="78">
        <f>IFERROR(VLOOKUP(Table1215[[#This Row],[Column2]],Table12[[Column2]:[Column54]],33,FALSE),"0")</f>
        <v>0</v>
      </c>
      <c r="AI96" s="78">
        <f>IFERROR(VLOOKUP(Table1215[[#This Row],[Column2]],Table12[[Column2]:[Column54]],34,FALSE),"0")</f>
        <v>0</v>
      </c>
      <c r="AJ96" s="80">
        <f>AVERAGE(Table1215[[#This Row],[Column31]],Table1215[[#This Row],[Column32]],Table1215[[#This Row],[Column33]])</f>
        <v>0</v>
      </c>
      <c r="AK96" s="78">
        <f>IFERROR(VLOOKUP(Table1215[[#This Row],[Column2]],Table12[[Column2]:[Column54]],36,FALSE),"0")</f>
        <v>2</v>
      </c>
      <c r="AL96" s="78">
        <f>IFERROR(VLOOKUP(Table1215[[#This Row],[Column2]],Table12[[Column2]:[Column54]],37,FALSE),"0")</f>
        <v>2</v>
      </c>
      <c r="AM96" s="78">
        <f>IFERROR(VLOOKUP(Table1215[[#This Row],[Column2]],Table12[[Column2]:[Column54]],38,FALSE),"0")</f>
        <v>0</v>
      </c>
      <c r="AN96" s="78">
        <f>IFERROR(VLOOKUP(Table1215[[#This Row],[Column2]],Table12[[Column2]:[Column54]],39,FALSE),"0")</f>
        <v>2</v>
      </c>
      <c r="AO96" s="78">
        <f>IFERROR(VLOOKUP(Table1215[[#This Row],[Column2]],Table12[[Column2]:[Column54]],40,FALSE),"0")</f>
        <v>0</v>
      </c>
      <c r="AP96" s="80">
        <f>AVERAGE(Table1215[[#This Row],[Column37]],Table1215[[#This Row],[Column38]],Table1215[[#This Row],[Column40]])</f>
        <v>2</v>
      </c>
      <c r="AQ96" s="78">
        <f>IFERROR(VLOOKUP(Table1215[[#This Row],[Column2]],Table12[[Column2]:[Column54]],42,FALSE),"0")</f>
        <v>2</v>
      </c>
      <c r="AR96" s="78">
        <f>IFERROR(VLOOKUP(Table1215[[#This Row],[Column2]],Table12[[Column2]:[Column54]],43,FALSE),"0")</f>
        <v>0</v>
      </c>
      <c r="AS96" s="78">
        <f>IFERROR(VLOOKUP(Table1215[[#This Row],[Column2]],Table12[[Column2]:[Column54]],44,FALSE),"0")</f>
        <v>0</v>
      </c>
      <c r="AT96" s="78">
        <f>IFERROR(VLOOKUP(Table1215[[#This Row],[Column2]],Table12[[Column2]:[Column54]],45,FALSE),"0")</f>
        <v>0</v>
      </c>
      <c r="AU96" s="78">
        <f>IFERROR(VLOOKUP(Table1215[[#This Row],[Column2]],Table12[[Column2]:[Column54]],46,FALSE),"0")</f>
        <v>0</v>
      </c>
      <c r="AV96" s="80">
        <f>Table1215[[#This Row],[Column43]]</f>
        <v>2</v>
      </c>
      <c r="AW96" s="78">
        <f>IFERROR(VLOOKUP(Table1215[[#This Row],[Column2]],Table12[[Column2]:[Column54]],48,FALSE),"0")</f>
        <v>0</v>
      </c>
      <c r="AX96" s="78">
        <f>IFERROR(VLOOKUP(Table1215[[#This Row],[Column2]],Table12[[Column2]:[Column54]],49,FALSE),"0")</f>
        <v>0</v>
      </c>
      <c r="AY96" s="78">
        <f>IFERROR(VLOOKUP(Table1215[[#This Row],[Column2]],Table12[[Column2]:[Column54]],50,FALSE),"0")</f>
        <v>0</v>
      </c>
      <c r="AZ96" s="78">
        <f>IFERROR(VLOOKUP(Table1215[[#This Row],[Column2]],Table12[[Column2]:[Column54]],51,FALSE),"0")</f>
        <v>3</v>
      </c>
      <c r="BA96" s="78">
        <f>IFERROR(VLOOKUP(Table1215[[#This Row],[Column2]],Table12[[Column2]:[Column54]],52,FALSE),"0")</f>
        <v>3</v>
      </c>
      <c r="BB96" s="80">
        <f>AVERAGE(Table1215[[#This Row],[Column52]],Table1215[[#This Row],[Column53]])</f>
        <v>3</v>
      </c>
    </row>
    <row r="97" spans="1:54" ht="23.1" customHeight="1" x14ac:dyDescent="0.3">
      <c r="A97" s="100">
        <v>94</v>
      </c>
      <c r="B97" s="83" t="s">
        <v>97</v>
      </c>
      <c r="C97" s="84" t="s">
        <v>98</v>
      </c>
      <c r="D97" s="83" t="s">
        <v>450</v>
      </c>
      <c r="E97" s="83" t="s">
        <v>35</v>
      </c>
      <c r="F97" s="83" t="str">
        <f>REPT(CHAR(160),10)&amp;Working!$E98</f>
        <v>          A</v>
      </c>
      <c r="G97" s="74">
        <f>IFERROR(VLOOKUP(Table1215[[#This Row],[Column2]],Table12[[Column2]:[Column54]],6,FALSE),"0")</f>
        <v>0</v>
      </c>
      <c r="H97" s="74">
        <f>IFERROR(VLOOKUP(Table1215[[#This Row],[Column2]],Table12[[Column2]:[Column54]],7,FALSE),"0")</f>
        <v>0</v>
      </c>
      <c r="I97" s="74">
        <f>IFERROR(VLOOKUP(Table1215[[#This Row],[Column2]],Table12[[Column2]:[Column54]],8,FALSE),"0")</f>
        <v>2</v>
      </c>
      <c r="J97" s="74">
        <f>IFERROR(VLOOKUP(Table1215[[#This Row],[Column2]],Table12[[Column2]:[Column54]],9,FALSE),"0")</f>
        <v>0</v>
      </c>
      <c r="K97" s="74">
        <f>IFERROR(VLOOKUP(Table1215[[#This Row],[Column2]],Table12[[Column2]:[Column54]],10,FALSE),"0")</f>
        <v>0</v>
      </c>
      <c r="L97" s="80">
        <f>Table1215[[#This Row],[Column9]]</f>
        <v>2</v>
      </c>
      <c r="M97" s="74">
        <f>IFERROR(VLOOKUP(Table1215[[#This Row],[Column2]],Table12[[Column2]:[Column54]],12,FALSE),"0")</f>
        <v>0</v>
      </c>
      <c r="N97" s="74">
        <f>IFERROR(VLOOKUP(Table1215[[#This Row],[Column2]],Table12[[Column2]:[Column54]],13,FALSE),"0")</f>
        <v>2</v>
      </c>
      <c r="O97" s="74">
        <f>IFERROR(VLOOKUP(Table1215[[#This Row],[Column2]],Table12[[Column2]:[Column54]],14,FALSE),"0")</f>
        <v>2</v>
      </c>
      <c r="P97" s="74">
        <f>IFERROR(VLOOKUP(Table1215[[#This Row],[Column2]],Table12[[Column2]:[Column54]],10,FALSE),"0")</f>
        <v>0</v>
      </c>
      <c r="Q97" s="74">
        <f>IFERROR(VLOOKUP(Table1215[[#This Row],[Column2]],Table12[[Column2]:[Column54]],16,FALSE),"0")</f>
        <v>2</v>
      </c>
      <c r="R97" s="80">
        <f>AVERAGE(Table1215[[#This Row],[Column14]],Table1215[[#This Row],[Column15]],Table1215[[#This Row],[Column17]])</f>
        <v>2</v>
      </c>
      <c r="S97" s="74">
        <f>IFERROR(VLOOKUP(Table1215[[#This Row],[Column2]],Table12[[Column2]:[Column54]],18,FALSE),"0")</f>
        <v>0</v>
      </c>
      <c r="T97" s="74">
        <f>IFERROR(VLOOKUP(Table1215[[#This Row],[Column2]],Table12[[Column2]:[Column54]],19,FALSE),"0")</f>
        <v>0</v>
      </c>
      <c r="U97" s="74">
        <f>IFERROR(VLOOKUP(Table1215[[#This Row],[Column2]],Table12[[Column2]:[Column54]],20,FALSE),"0")</f>
        <v>0</v>
      </c>
      <c r="V97" s="74">
        <f>IFERROR(VLOOKUP(Table1215[[#This Row],[Column2]],Table12[[Column2]:[Column54]],21,FALSE),"0")</f>
        <v>0</v>
      </c>
      <c r="W97" s="74">
        <f>IFERROR(VLOOKUP(Table1215[[#This Row],[Column2]],Table12[[Column2]:[Column54]],22,FALSE),"0")</f>
        <v>0</v>
      </c>
      <c r="X97" s="80">
        <f>Table1215[[#This Row],[Column19]]</f>
        <v>0</v>
      </c>
      <c r="Y97" s="74">
        <f>IFERROR(VLOOKUP(Table1215[[#This Row],[Column2]],Table12[[Column2]:[Column54]],24,FALSE),"0")</f>
        <v>2</v>
      </c>
      <c r="Z97" s="74">
        <f>IFERROR(VLOOKUP(Table1215[[#This Row],[Column2]],Table12[[Column2]:[Column54]],25,FALSE),"0")</f>
        <v>0</v>
      </c>
      <c r="AA97" s="74">
        <f>IFERROR(VLOOKUP(Table1215[[#This Row],[Column2]],Table12[[Column2]:[Column54]],26,FALSE),"0")</f>
        <v>0</v>
      </c>
      <c r="AB97" s="74">
        <f>IFERROR(VLOOKUP(Table1215[[#This Row],[Column2]],Table12[[Column2]:[Column54]],27,FALSE),"0")</f>
        <v>0</v>
      </c>
      <c r="AC97" s="74">
        <f>IFERROR(VLOOKUP(Table1215[[#This Row],[Column2]],Table12[[Column2]:[Column54]],28,FALSE),"0")</f>
        <v>0</v>
      </c>
      <c r="AD97" s="80">
        <f>Table1215[[#This Row],[Column25]]</f>
        <v>2</v>
      </c>
      <c r="AE97" s="74">
        <f>IFERROR(VLOOKUP(Table1215[[#This Row],[Column2]],Table12[[Column2]:[Column54]],30,FALSE),"0")</f>
        <v>0</v>
      </c>
      <c r="AF97" s="74">
        <f>IFERROR(VLOOKUP(Table1215[[#This Row],[Column2]],Table12[[Column2]:[Column54]],31,FALSE),"0")</f>
        <v>0</v>
      </c>
      <c r="AG97" s="74">
        <f>IFERROR(VLOOKUP(Table1215[[#This Row],[Column2]],Table12[[Column2]:[Column54]],32,FALSE),"0")</f>
        <v>0</v>
      </c>
      <c r="AH97" s="74">
        <f>IFERROR(VLOOKUP(Table1215[[#This Row],[Column2]],Table12[[Column2]:[Column54]],33,FALSE),"0")</f>
        <v>0</v>
      </c>
      <c r="AI97" s="74">
        <f>IFERROR(VLOOKUP(Table1215[[#This Row],[Column2]],Table12[[Column2]:[Column54]],34,FALSE),"0")</f>
        <v>0</v>
      </c>
      <c r="AJ97" s="80">
        <f>AVERAGE(Table1215[[#This Row],[Column31]],Table1215[[#This Row],[Column32]],Table1215[[#This Row],[Column33]])</f>
        <v>0</v>
      </c>
      <c r="AK97" s="74">
        <f>IFERROR(VLOOKUP(Table1215[[#This Row],[Column2]],Table12[[Column2]:[Column54]],36,FALSE),"0")</f>
        <v>2</v>
      </c>
      <c r="AL97" s="74">
        <f>IFERROR(VLOOKUP(Table1215[[#This Row],[Column2]],Table12[[Column2]:[Column54]],37,FALSE),"0")</f>
        <v>2</v>
      </c>
      <c r="AM97" s="74">
        <f>IFERROR(VLOOKUP(Table1215[[#This Row],[Column2]],Table12[[Column2]:[Column54]],38,FALSE),"0")</f>
        <v>0</v>
      </c>
      <c r="AN97" s="74">
        <f>IFERROR(VLOOKUP(Table1215[[#This Row],[Column2]],Table12[[Column2]:[Column54]],39,FALSE),"0")</f>
        <v>2</v>
      </c>
      <c r="AO97" s="74">
        <f>IFERROR(VLOOKUP(Table1215[[#This Row],[Column2]],Table12[[Column2]:[Column54]],40,FALSE),"0")</f>
        <v>0</v>
      </c>
      <c r="AP97" s="80">
        <f>AVERAGE(Table1215[[#This Row],[Column37]],Table1215[[#This Row],[Column38]],Table1215[[#This Row],[Column40]])</f>
        <v>2</v>
      </c>
      <c r="AQ97" s="74">
        <f>IFERROR(VLOOKUP(Table1215[[#This Row],[Column2]],Table12[[Column2]:[Column54]],42,FALSE),"0")</f>
        <v>2</v>
      </c>
      <c r="AR97" s="74">
        <f>IFERROR(VLOOKUP(Table1215[[#This Row],[Column2]],Table12[[Column2]:[Column54]],43,FALSE),"0")</f>
        <v>0</v>
      </c>
      <c r="AS97" s="74">
        <f>IFERROR(VLOOKUP(Table1215[[#This Row],[Column2]],Table12[[Column2]:[Column54]],44,FALSE),"0")</f>
        <v>0</v>
      </c>
      <c r="AT97" s="74">
        <f>IFERROR(VLOOKUP(Table1215[[#This Row],[Column2]],Table12[[Column2]:[Column54]],45,FALSE),"0")</f>
        <v>0</v>
      </c>
      <c r="AU97" s="74">
        <f>IFERROR(VLOOKUP(Table1215[[#This Row],[Column2]],Table12[[Column2]:[Column54]],46,FALSE),"0")</f>
        <v>0</v>
      </c>
      <c r="AV97" s="80">
        <f>Table1215[[#This Row],[Column43]]</f>
        <v>2</v>
      </c>
      <c r="AW97" s="74">
        <f>IFERROR(VLOOKUP(Table1215[[#This Row],[Column2]],Table12[[Column2]:[Column54]],48,FALSE),"0")</f>
        <v>0</v>
      </c>
      <c r="AX97" s="74">
        <f>IFERROR(VLOOKUP(Table1215[[#This Row],[Column2]],Table12[[Column2]:[Column54]],49,FALSE),"0")</f>
        <v>0</v>
      </c>
      <c r="AY97" s="74">
        <f>IFERROR(VLOOKUP(Table1215[[#This Row],[Column2]],Table12[[Column2]:[Column54]],50,FALSE),"0")</f>
        <v>0</v>
      </c>
      <c r="AZ97" s="74">
        <f>IFERROR(VLOOKUP(Table1215[[#This Row],[Column2]],Table12[[Column2]:[Column54]],51,FALSE),"0")</f>
        <v>3</v>
      </c>
      <c r="BA97" s="74">
        <f>IFERROR(VLOOKUP(Table1215[[#This Row],[Column2]],Table12[[Column2]:[Column54]],52,FALSE),"0")</f>
        <v>2</v>
      </c>
      <c r="BB97" s="80">
        <f>AVERAGE(Table1215[[#This Row],[Column52]],Table1215[[#This Row],[Column53]])</f>
        <v>2.5</v>
      </c>
    </row>
    <row r="98" spans="1:54" ht="23.1" customHeight="1" x14ac:dyDescent="0.3">
      <c r="A98" s="99">
        <v>95</v>
      </c>
      <c r="B98" s="76" t="s">
        <v>249</v>
      </c>
      <c r="C98" s="77" t="s">
        <v>250</v>
      </c>
      <c r="D98" s="76" t="s">
        <v>450</v>
      </c>
      <c r="E98" s="76" t="s">
        <v>161</v>
      </c>
      <c r="F98" s="76" t="str">
        <f>REPT(CHAR(160),10)&amp;Working!$E99</f>
        <v>          B</v>
      </c>
      <c r="G98" s="78">
        <f>IFERROR(VLOOKUP(Table1215[[#This Row],[Column2]],Table12[[Column2]:[Column54]],6,FALSE),"0")</f>
        <v>0</v>
      </c>
      <c r="H98" s="78">
        <f>IFERROR(VLOOKUP(Table1215[[#This Row],[Column2]],Table12[[Column2]:[Column54]],7,FALSE),"0")</f>
        <v>0</v>
      </c>
      <c r="I98" s="78">
        <f>IFERROR(VLOOKUP(Table1215[[#This Row],[Column2]],Table12[[Column2]:[Column54]],8,FALSE),"0")</f>
        <v>3</v>
      </c>
      <c r="J98" s="78">
        <f>IFERROR(VLOOKUP(Table1215[[#This Row],[Column2]],Table12[[Column2]:[Column54]],9,FALSE),"0")</f>
        <v>0</v>
      </c>
      <c r="K98" s="78">
        <f>IFERROR(VLOOKUP(Table1215[[#This Row],[Column2]],Table12[[Column2]:[Column54]],10,FALSE),"0")</f>
        <v>0</v>
      </c>
      <c r="L98" s="80">
        <f>Table1215[[#This Row],[Column9]]</f>
        <v>3</v>
      </c>
      <c r="M98" s="78">
        <f>IFERROR(VLOOKUP(Table1215[[#This Row],[Column2]],Table12[[Column2]:[Column54]],12,FALSE),"0")</f>
        <v>0</v>
      </c>
      <c r="N98" s="78">
        <f>IFERROR(VLOOKUP(Table1215[[#This Row],[Column2]],Table12[[Column2]:[Column54]],13,FALSE),"0")</f>
        <v>3</v>
      </c>
      <c r="O98" s="78">
        <f>IFERROR(VLOOKUP(Table1215[[#This Row],[Column2]],Table12[[Column2]:[Column54]],14,FALSE),"0")</f>
        <v>4</v>
      </c>
      <c r="P98" s="78">
        <f>IFERROR(VLOOKUP(Table1215[[#This Row],[Column2]],Table12[[Column2]:[Column54]],10,FALSE),"0")</f>
        <v>0</v>
      </c>
      <c r="Q98" s="78">
        <f>IFERROR(VLOOKUP(Table1215[[#This Row],[Column2]],Table12[[Column2]:[Column54]],16,FALSE),"0")</f>
        <v>4</v>
      </c>
      <c r="R98" s="80">
        <f>AVERAGE(Table1215[[#This Row],[Column14]],Table1215[[#This Row],[Column15]],Table1215[[#This Row],[Column17]])</f>
        <v>3.6666666666666665</v>
      </c>
      <c r="S98" s="78">
        <f>IFERROR(VLOOKUP(Table1215[[#This Row],[Column2]],Table12[[Column2]:[Column54]],18,FALSE),"0")</f>
        <v>0</v>
      </c>
      <c r="T98" s="78">
        <f>IFERROR(VLOOKUP(Table1215[[#This Row],[Column2]],Table12[[Column2]:[Column54]],19,FALSE),"0")</f>
        <v>0</v>
      </c>
      <c r="U98" s="78">
        <f>IFERROR(VLOOKUP(Table1215[[#This Row],[Column2]],Table12[[Column2]:[Column54]],20,FALSE),"0")</f>
        <v>0</v>
      </c>
      <c r="V98" s="78">
        <f>IFERROR(VLOOKUP(Table1215[[#This Row],[Column2]],Table12[[Column2]:[Column54]],21,FALSE),"0")</f>
        <v>0</v>
      </c>
      <c r="W98" s="78">
        <f>IFERROR(VLOOKUP(Table1215[[#This Row],[Column2]],Table12[[Column2]:[Column54]],22,FALSE),"0")</f>
        <v>0</v>
      </c>
      <c r="X98" s="80">
        <f>Table1215[[#This Row],[Column19]]</f>
        <v>0</v>
      </c>
      <c r="Y98" s="78">
        <f>IFERROR(VLOOKUP(Table1215[[#This Row],[Column2]],Table12[[Column2]:[Column54]],24,FALSE),"0")</f>
        <v>2</v>
      </c>
      <c r="Z98" s="78">
        <f>IFERROR(VLOOKUP(Table1215[[#This Row],[Column2]],Table12[[Column2]:[Column54]],25,FALSE),"0")</f>
        <v>0</v>
      </c>
      <c r="AA98" s="78">
        <f>IFERROR(VLOOKUP(Table1215[[#This Row],[Column2]],Table12[[Column2]:[Column54]],26,FALSE),"0")</f>
        <v>0</v>
      </c>
      <c r="AB98" s="78">
        <f>IFERROR(VLOOKUP(Table1215[[#This Row],[Column2]],Table12[[Column2]:[Column54]],27,FALSE),"0")</f>
        <v>0</v>
      </c>
      <c r="AC98" s="78">
        <f>IFERROR(VLOOKUP(Table1215[[#This Row],[Column2]],Table12[[Column2]:[Column54]],28,FALSE),"0")</f>
        <v>0</v>
      </c>
      <c r="AD98" s="80">
        <f>Table1215[[#This Row],[Column25]]</f>
        <v>2</v>
      </c>
      <c r="AE98" s="78">
        <f>IFERROR(VLOOKUP(Table1215[[#This Row],[Column2]],Table12[[Column2]:[Column54]],30,FALSE),"0")</f>
        <v>0</v>
      </c>
      <c r="AF98" s="78">
        <f>IFERROR(VLOOKUP(Table1215[[#This Row],[Column2]],Table12[[Column2]:[Column54]],31,FALSE),"0")</f>
        <v>0</v>
      </c>
      <c r="AG98" s="78">
        <f>IFERROR(VLOOKUP(Table1215[[#This Row],[Column2]],Table12[[Column2]:[Column54]],32,FALSE),"0")</f>
        <v>0</v>
      </c>
      <c r="AH98" s="78">
        <f>IFERROR(VLOOKUP(Table1215[[#This Row],[Column2]],Table12[[Column2]:[Column54]],33,FALSE),"0")</f>
        <v>0</v>
      </c>
      <c r="AI98" s="78">
        <f>IFERROR(VLOOKUP(Table1215[[#This Row],[Column2]],Table12[[Column2]:[Column54]],34,FALSE),"0")</f>
        <v>0</v>
      </c>
      <c r="AJ98" s="80">
        <f>AVERAGE(Table1215[[#This Row],[Column31]],Table1215[[#This Row],[Column32]],Table1215[[#This Row],[Column33]])</f>
        <v>0</v>
      </c>
      <c r="AK98" s="78">
        <f>IFERROR(VLOOKUP(Table1215[[#This Row],[Column2]],Table12[[Column2]:[Column54]],36,FALSE),"0")</f>
        <v>2</v>
      </c>
      <c r="AL98" s="78">
        <f>IFERROR(VLOOKUP(Table1215[[#This Row],[Column2]],Table12[[Column2]:[Column54]],37,FALSE),"0")</f>
        <v>2</v>
      </c>
      <c r="AM98" s="78">
        <f>IFERROR(VLOOKUP(Table1215[[#This Row],[Column2]],Table12[[Column2]:[Column54]],38,FALSE),"0")</f>
        <v>0</v>
      </c>
      <c r="AN98" s="78">
        <f>IFERROR(VLOOKUP(Table1215[[#This Row],[Column2]],Table12[[Column2]:[Column54]],39,FALSE),"0")</f>
        <v>3</v>
      </c>
      <c r="AO98" s="78">
        <f>IFERROR(VLOOKUP(Table1215[[#This Row],[Column2]],Table12[[Column2]:[Column54]],40,FALSE),"0")</f>
        <v>0</v>
      </c>
      <c r="AP98" s="80">
        <f>AVERAGE(Table1215[[#This Row],[Column37]],Table1215[[#This Row],[Column38]],Table1215[[#This Row],[Column40]])</f>
        <v>2.3333333333333335</v>
      </c>
      <c r="AQ98" s="78">
        <f>IFERROR(VLOOKUP(Table1215[[#This Row],[Column2]],Table12[[Column2]:[Column54]],42,FALSE),"0")</f>
        <v>3</v>
      </c>
      <c r="AR98" s="78">
        <f>IFERROR(VLOOKUP(Table1215[[#This Row],[Column2]],Table12[[Column2]:[Column54]],43,FALSE),"0")</f>
        <v>0</v>
      </c>
      <c r="AS98" s="78">
        <f>IFERROR(VLOOKUP(Table1215[[#This Row],[Column2]],Table12[[Column2]:[Column54]],44,FALSE),"0")</f>
        <v>0</v>
      </c>
      <c r="AT98" s="78">
        <f>IFERROR(VLOOKUP(Table1215[[#This Row],[Column2]],Table12[[Column2]:[Column54]],45,FALSE),"0")</f>
        <v>0</v>
      </c>
      <c r="AU98" s="78">
        <f>IFERROR(VLOOKUP(Table1215[[#This Row],[Column2]],Table12[[Column2]:[Column54]],46,FALSE),"0")</f>
        <v>0</v>
      </c>
      <c r="AV98" s="80">
        <f>Table1215[[#This Row],[Column43]]</f>
        <v>3</v>
      </c>
      <c r="AW98" s="78">
        <f>IFERROR(VLOOKUP(Table1215[[#This Row],[Column2]],Table12[[Column2]:[Column54]],48,FALSE),"0")</f>
        <v>0</v>
      </c>
      <c r="AX98" s="78">
        <f>IFERROR(VLOOKUP(Table1215[[#This Row],[Column2]],Table12[[Column2]:[Column54]],49,FALSE),"0")</f>
        <v>0</v>
      </c>
      <c r="AY98" s="78">
        <f>IFERROR(VLOOKUP(Table1215[[#This Row],[Column2]],Table12[[Column2]:[Column54]],50,FALSE),"0")</f>
        <v>0</v>
      </c>
      <c r="AZ98" s="78">
        <f>IFERROR(VLOOKUP(Table1215[[#This Row],[Column2]],Table12[[Column2]:[Column54]],51,FALSE),"0")</f>
        <v>2</v>
      </c>
      <c r="BA98" s="78">
        <f>IFERROR(VLOOKUP(Table1215[[#This Row],[Column2]],Table12[[Column2]:[Column54]],52,FALSE),"0")</f>
        <v>4</v>
      </c>
      <c r="BB98" s="80">
        <f>AVERAGE(Table1215[[#This Row],[Column52]],Table1215[[#This Row],[Column53]])</f>
        <v>3</v>
      </c>
    </row>
    <row r="99" spans="1:54" ht="23.1" customHeight="1" x14ac:dyDescent="0.3">
      <c r="A99" s="100">
        <v>96</v>
      </c>
      <c r="B99" s="83" t="s">
        <v>342</v>
      </c>
      <c r="C99" s="84" t="s">
        <v>343</v>
      </c>
      <c r="D99" s="83" t="s">
        <v>450</v>
      </c>
      <c r="E99" s="83" t="s">
        <v>493</v>
      </c>
      <c r="F99" s="83" t="str">
        <f>REPT(CHAR(160),10)&amp;Working!$E100</f>
        <v>          C</v>
      </c>
      <c r="G99" s="74">
        <f>IFERROR(VLOOKUP(Table1215[[#This Row],[Column2]],Table12[[Column2]:[Column54]],6,FALSE),"0")</f>
        <v>0</v>
      </c>
      <c r="H99" s="74">
        <f>IFERROR(VLOOKUP(Table1215[[#This Row],[Column2]],Table12[[Column2]:[Column54]],7,FALSE),"0")</f>
        <v>0</v>
      </c>
      <c r="I99" s="74">
        <f>IFERROR(VLOOKUP(Table1215[[#This Row],[Column2]],Table12[[Column2]:[Column54]],8,FALSE),"0")</f>
        <v>2</v>
      </c>
      <c r="J99" s="74">
        <f>IFERROR(VLOOKUP(Table1215[[#This Row],[Column2]],Table12[[Column2]:[Column54]],9,FALSE),"0")</f>
        <v>0</v>
      </c>
      <c r="K99" s="74">
        <f>IFERROR(VLOOKUP(Table1215[[#This Row],[Column2]],Table12[[Column2]:[Column54]],10,FALSE),"0")</f>
        <v>0</v>
      </c>
      <c r="L99" s="80">
        <f>Table1215[[#This Row],[Column9]]</f>
        <v>2</v>
      </c>
      <c r="M99" s="74">
        <f>IFERROR(VLOOKUP(Table1215[[#This Row],[Column2]],Table12[[Column2]:[Column54]],12,FALSE),"0")</f>
        <v>0</v>
      </c>
      <c r="N99" s="74">
        <f>IFERROR(VLOOKUP(Table1215[[#This Row],[Column2]],Table12[[Column2]:[Column54]],13,FALSE),"0")</f>
        <v>2</v>
      </c>
      <c r="O99" s="74">
        <f>IFERROR(VLOOKUP(Table1215[[#This Row],[Column2]],Table12[[Column2]:[Column54]],14,FALSE),"0")</f>
        <v>2</v>
      </c>
      <c r="P99" s="74">
        <f>IFERROR(VLOOKUP(Table1215[[#This Row],[Column2]],Table12[[Column2]:[Column54]],10,FALSE),"0")</f>
        <v>0</v>
      </c>
      <c r="Q99" s="74">
        <f>IFERROR(VLOOKUP(Table1215[[#This Row],[Column2]],Table12[[Column2]:[Column54]],16,FALSE),"0")</f>
        <v>2</v>
      </c>
      <c r="R99" s="80">
        <f>AVERAGE(Table1215[[#This Row],[Column14]],Table1215[[#This Row],[Column15]],Table1215[[#This Row],[Column17]])</f>
        <v>2</v>
      </c>
      <c r="S99" s="74">
        <f>IFERROR(VLOOKUP(Table1215[[#This Row],[Column2]],Table12[[Column2]:[Column54]],18,FALSE),"0")</f>
        <v>0</v>
      </c>
      <c r="T99" s="74">
        <f>IFERROR(VLOOKUP(Table1215[[#This Row],[Column2]],Table12[[Column2]:[Column54]],19,FALSE),"0")</f>
        <v>0</v>
      </c>
      <c r="U99" s="74">
        <f>IFERROR(VLOOKUP(Table1215[[#This Row],[Column2]],Table12[[Column2]:[Column54]],20,FALSE),"0")</f>
        <v>0</v>
      </c>
      <c r="V99" s="74">
        <f>IFERROR(VLOOKUP(Table1215[[#This Row],[Column2]],Table12[[Column2]:[Column54]],21,FALSE),"0")</f>
        <v>0</v>
      </c>
      <c r="W99" s="74">
        <f>IFERROR(VLOOKUP(Table1215[[#This Row],[Column2]],Table12[[Column2]:[Column54]],22,FALSE),"0")</f>
        <v>0</v>
      </c>
      <c r="X99" s="80">
        <f>Table1215[[#This Row],[Column19]]</f>
        <v>0</v>
      </c>
      <c r="Y99" s="74">
        <f>IFERROR(VLOOKUP(Table1215[[#This Row],[Column2]],Table12[[Column2]:[Column54]],24,FALSE),"0")</f>
        <v>2</v>
      </c>
      <c r="Z99" s="74">
        <f>IFERROR(VLOOKUP(Table1215[[#This Row],[Column2]],Table12[[Column2]:[Column54]],25,FALSE),"0")</f>
        <v>0</v>
      </c>
      <c r="AA99" s="74">
        <f>IFERROR(VLOOKUP(Table1215[[#This Row],[Column2]],Table12[[Column2]:[Column54]],26,FALSE),"0")</f>
        <v>0</v>
      </c>
      <c r="AB99" s="74">
        <f>IFERROR(VLOOKUP(Table1215[[#This Row],[Column2]],Table12[[Column2]:[Column54]],27,FALSE),"0")</f>
        <v>0</v>
      </c>
      <c r="AC99" s="74">
        <f>IFERROR(VLOOKUP(Table1215[[#This Row],[Column2]],Table12[[Column2]:[Column54]],28,FALSE),"0")</f>
        <v>0</v>
      </c>
      <c r="AD99" s="80">
        <f>Table1215[[#This Row],[Column25]]</f>
        <v>2</v>
      </c>
      <c r="AE99" s="74">
        <f>IFERROR(VLOOKUP(Table1215[[#This Row],[Column2]],Table12[[Column2]:[Column54]],30,FALSE),"0")</f>
        <v>0</v>
      </c>
      <c r="AF99" s="74">
        <f>IFERROR(VLOOKUP(Table1215[[#This Row],[Column2]],Table12[[Column2]:[Column54]],31,FALSE),"0")</f>
        <v>0</v>
      </c>
      <c r="AG99" s="74">
        <f>IFERROR(VLOOKUP(Table1215[[#This Row],[Column2]],Table12[[Column2]:[Column54]],32,FALSE),"0")</f>
        <v>0</v>
      </c>
      <c r="AH99" s="74">
        <f>IFERROR(VLOOKUP(Table1215[[#This Row],[Column2]],Table12[[Column2]:[Column54]],33,FALSE),"0")</f>
        <v>0</v>
      </c>
      <c r="AI99" s="74">
        <f>IFERROR(VLOOKUP(Table1215[[#This Row],[Column2]],Table12[[Column2]:[Column54]],34,FALSE),"0")</f>
        <v>0</v>
      </c>
      <c r="AJ99" s="80">
        <f>AVERAGE(Table1215[[#This Row],[Column31]],Table1215[[#This Row],[Column32]],Table1215[[#This Row],[Column33]])</f>
        <v>0</v>
      </c>
      <c r="AK99" s="74">
        <f>IFERROR(VLOOKUP(Table1215[[#This Row],[Column2]],Table12[[Column2]:[Column54]],36,FALSE),"0")</f>
        <v>2</v>
      </c>
      <c r="AL99" s="74">
        <f>IFERROR(VLOOKUP(Table1215[[#This Row],[Column2]],Table12[[Column2]:[Column54]],37,FALSE),"0")</f>
        <v>3</v>
      </c>
      <c r="AM99" s="74">
        <f>IFERROR(VLOOKUP(Table1215[[#This Row],[Column2]],Table12[[Column2]:[Column54]],38,FALSE),"0")</f>
        <v>0</v>
      </c>
      <c r="AN99" s="74">
        <f>IFERROR(VLOOKUP(Table1215[[#This Row],[Column2]],Table12[[Column2]:[Column54]],39,FALSE),"0")</f>
        <v>3</v>
      </c>
      <c r="AO99" s="74">
        <f>IFERROR(VLOOKUP(Table1215[[#This Row],[Column2]],Table12[[Column2]:[Column54]],40,FALSE),"0")</f>
        <v>0</v>
      </c>
      <c r="AP99" s="80">
        <f>AVERAGE(Table1215[[#This Row],[Column37]],Table1215[[#This Row],[Column38]],Table1215[[#This Row],[Column40]])</f>
        <v>2.6666666666666665</v>
      </c>
      <c r="AQ99" s="74">
        <f>IFERROR(VLOOKUP(Table1215[[#This Row],[Column2]],Table12[[Column2]:[Column54]],42,FALSE),"0")</f>
        <v>3</v>
      </c>
      <c r="AR99" s="74">
        <f>IFERROR(VLOOKUP(Table1215[[#This Row],[Column2]],Table12[[Column2]:[Column54]],43,FALSE),"0")</f>
        <v>0</v>
      </c>
      <c r="AS99" s="74">
        <f>IFERROR(VLOOKUP(Table1215[[#This Row],[Column2]],Table12[[Column2]:[Column54]],44,FALSE),"0")</f>
        <v>0</v>
      </c>
      <c r="AT99" s="74">
        <f>IFERROR(VLOOKUP(Table1215[[#This Row],[Column2]],Table12[[Column2]:[Column54]],45,FALSE),"0")</f>
        <v>0</v>
      </c>
      <c r="AU99" s="74">
        <f>IFERROR(VLOOKUP(Table1215[[#This Row],[Column2]],Table12[[Column2]:[Column54]],46,FALSE),"0")</f>
        <v>0</v>
      </c>
      <c r="AV99" s="80">
        <f>Table1215[[#This Row],[Column43]]</f>
        <v>3</v>
      </c>
      <c r="AW99" s="74">
        <f>IFERROR(VLOOKUP(Table1215[[#This Row],[Column2]],Table12[[Column2]:[Column54]],48,FALSE),"0")</f>
        <v>0</v>
      </c>
      <c r="AX99" s="74">
        <f>IFERROR(VLOOKUP(Table1215[[#This Row],[Column2]],Table12[[Column2]:[Column54]],49,FALSE),"0")</f>
        <v>0</v>
      </c>
      <c r="AY99" s="74">
        <f>IFERROR(VLOOKUP(Table1215[[#This Row],[Column2]],Table12[[Column2]:[Column54]],50,FALSE),"0")</f>
        <v>0</v>
      </c>
      <c r="AZ99" s="74">
        <f>IFERROR(VLOOKUP(Table1215[[#This Row],[Column2]],Table12[[Column2]:[Column54]],51,FALSE),"0")</f>
        <v>3</v>
      </c>
      <c r="BA99" s="74">
        <f>IFERROR(VLOOKUP(Table1215[[#This Row],[Column2]],Table12[[Column2]:[Column54]],52,FALSE),"0")</f>
        <v>3</v>
      </c>
      <c r="BB99" s="80">
        <f>AVERAGE(Table1215[[#This Row],[Column52]],Table1215[[#This Row],[Column53]])</f>
        <v>3</v>
      </c>
    </row>
    <row r="100" spans="1:54" ht="23.1" customHeight="1" x14ac:dyDescent="0.3">
      <c r="A100" s="99">
        <v>97</v>
      </c>
      <c r="B100" s="76" t="s">
        <v>184</v>
      </c>
      <c r="C100" s="77" t="s">
        <v>185</v>
      </c>
      <c r="D100" s="76" t="s">
        <v>542</v>
      </c>
      <c r="E100" s="76" t="s">
        <v>161</v>
      </c>
      <c r="F100" s="76" t="str">
        <f>REPT(CHAR(160),10)&amp;Working!$E101</f>
        <v>          B</v>
      </c>
      <c r="G100" s="78">
        <f>IFERROR(VLOOKUP(Table1215[[#This Row],[Column2]],Table12[[Column2]:[Column54]],6,FALSE),"0")</f>
        <v>0</v>
      </c>
      <c r="H100" s="78">
        <f>IFERROR(VLOOKUP(Table1215[[#This Row],[Column2]],Table12[[Column2]:[Column54]],7,FALSE),"0")</f>
        <v>0</v>
      </c>
      <c r="I100" s="78">
        <f>IFERROR(VLOOKUP(Table1215[[#This Row],[Column2]],Table12[[Column2]:[Column54]],8,FALSE),"0")</f>
        <v>2</v>
      </c>
      <c r="J100" s="78">
        <f>IFERROR(VLOOKUP(Table1215[[#This Row],[Column2]],Table12[[Column2]:[Column54]],9,FALSE),"0")</f>
        <v>0</v>
      </c>
      <c r="K100" s="78">
        <f>IFERROR(VLOOKUP(Table1215[[#This Row],[Column2]],Table12[[Column2]:[Column54]],10,FALSE),"0")</f>
        <v>0</v>
      </c>
      <c r="L100" s="80">
        <f>Table1215[[#This Row],[Column9]]</f>
        <v>2</v>
      </c>
      <c r="M100" s="78">
        <f>IFERROR(VLOOKUP(Table1215[[#This Row],[Column2]],Table12[[Column2]:[Column54]],12,FALSE),"0")</f>
        <v>0</v>
      </c>
      <c r="N100" s="78">
        <f>IFERROR(VLOOKUP(Table1215[[#This Row],[Column2]],Table12[[Column2]:[Column54]],13,FALSE),"0")</f>
        <v>2</v>
      </c>
      <c r="O100" s="78">
        <f>IFERROR(VLOOKUP(Table1215[[#This Row],[Column2]],Table12[[Column2]:[Column54]],14,FALSE),"0")</f>
        <v>3</v>
      </c>
      <c r="P100" s="78">
        <f>IFERROR(VLOOKUP(Table1215[[#This Row],[Column2]],Table12[[Column2]:[Column54]],10,FALSE),"0")</f>
        <v>0</v>
      </c>
      <c r="Q100" s="78">
        <f>IFERROR(VLOOKUP(Table1215[[#This Row],[Column2]],Table12[[Column2]:[Column54]],16,FALSE),"0")</f>
        <v>3</v>
      </c>
      <c r="R100" s="80">
        <f>AVERAGE(Table1215[[#This Row],[Column14]],Table1215[[#This Row],[Column15]],Table1215[[#This Row],[Column17]])</f>
        <v>2.6666666666666665</v>
      </c>
      <c r="S100" s="78">
        <f>IFERROR(VLOOKUP(Table1215[[#This Row],[Column2]],Table12[[Column2]:[Column54]],18,FALSE),"0")</f>
        <v>0</v>
      </c>
      <c r="T100" s="78">
        <f>IFERROR(VLOOKUP(Table1215[[#This Row],[Column2]],Table12[[Column2]:[Column54]],19,FALSE),"0")</f>
        <v>0</v>
      </c>
      <c r="U100" s="78">
        <f>IFERROR(VLOOKUP(Table1215[[#This Row],[Column2]],Table12[[Column2]:[Column54]],20,FALSE),"0")</f>
        <v>0</v>
      </c>
      <c r="V100" s="78">
        <f>IFERROR(VLOOKUP(Table1215[[#This Row],[Column2]],Table12[[Column2]:[Column54]],21,FALSE),"0")</f>
        <v>0</v>
      </c>
      <c r="W100" s="78">
        <f>IFERROR(VLOOKUP(Table1215[[#This Row],[Column2]],Table12[[Column2]:[Column54]],22,FALSE),"0")</f>
        <v>0</v>
      </c>
      <c r="X100" s="80">
        <f>Table1215[[#This Row],[Column19]]</f>
        <v>0</v>
      </c>
      <c r="Y100" s="78">
        <f>IFERROR(VLOOKUP(Table1215[[#This Row],[Column2]],Table12[[Column2]:[Column54]],24,FALSE),"0")</f>
        <v>2</v>
      </c>
      <c r="Z100" s="78">
        <f>IFERROR(VLOOKUP(Table1215[[#This Row],[Column2]],Table12[[Column2]:[Column54]],25,FALSE),"0")</f>
        <v>0</v>
      </c>
      <c r="AA100" s="78">
        <f>IFERROR(VLOOKUP(Table1215[[#This Row],[Column2]],Table12[[Column2]:[Column54]],26,FALSE),"0")</f>
        <v>0</v>
      </c>
      <c r="AB100" s="78">
        <f>IFERROR(VLOOKUP(Table1215[[#This Row],[Column2]],Table12[[Column2]:[Column54]],27,FALSE),"0")</f>
        <v>0</v>
      </c>
      <c r="AC100" s="78">
        <f>IFERROR(VLOOKUP(Table1215[[#This Row],[Column2]],Table12[[Column2]:[Column54]],28,FALSE),"0")</f>
        <v>0</v>
      </c>
      <c r="AD100" s="80">
        <f>Table1215[[#This Row],[Column25]]</f>
        <v>2</v>
      </c>
      <c r="AE100" s="78">
        <f>IFERROR(VLOOKUP(Table1215[[#This Row],[Column2]],Table12[[Column2]:[Column54]],30,FALSE),"0")</f>
        <v>0</v>
      </c>
      <c r="AF100" s="78">
        <f>IFERROR(VLOOKUP(Table1215[[#This Row],[Column2]],Table12[[Column2]:[Column54]],31,FALSE),"0")</f>
        <v>0</v>
      </c>
      <c r="AG100" s="78">
        <f>IFERROR(VLOOKUP(Table1215[[#This Row],[Column2]],Table12[[Column2]:[Column54]],32,FALSE),"0")</f>
        <v>0</v>
      </c>
      <c r="AH100" s="78">
        <f>IFERROR(VLOOKUP(Table1215[[#This Row],[Column2]],Table12[[Column2]:[Column54]],33,FALSE),"0")</f>
        <v>0</v>
      </c>
      <c r="AI100" s="78">
        <f>IFERROR(VLOOKUP(Table1215[[#This Row],[Column2]],Table12[[Column2]:[Column54]],34,FALSE),"0")</f>
        <v>0</v>
      </c>
      <c r="AJ100" s="80">
        <f>AVERAGE(Table1215[[#This Row],[Column31]],Table1215[[#This Row],[Column32]],Table1215[[#This Row],[Column33]])</f>
        <v>0</v>
      </c>
      <c r="AK100" s="78">
        <f>IFERROR(VLOOKUP(Table1215[[#This Row],[Column2]],Table12[[Column2]:[Column54]],36,FALSE),"0")</f>
        <v>3</v>
      </c>
      <c r="AL100" s="78">
        <f>IFERROR(VLOOKUP(Table1215[[#This Row],[Column2]],Table12[[Column2]:[Column54]],37,FALSE),"0")</f>
        <v>4</v>
      </c>
      <c r="AM100" s="78">
        <f>IFERROR(VLOOKUP(Table1215[[#This Row],[Column2]],Table12[[Column2]:[Column54]],38,FALSE),"0")</f>
        <v>0</v>
      </c>
      <c r="AN100" s="78">
        <f>IFERROR(VLOOKUP(Table1215[[#This Row],[Column2]],Table12[[Column2]:[Column54]],39,FALSE),"0")</f>
        <v>4</v>
      </c>
      <c r="AO100" s="78">
        <f>IFERROR(VLOOKUP(Table1215[[#This Row],[Column2]],Table12[[Column2]:[Column54]],40,FALSE),"0")</f>
        <v>0</v>
      </c>
      <c r="AP100" s="80">
        <f>AVERAGE(Table1215[[#This Row],[Column37]],Table1215[[#This Row],[Column38]],Table1215[[#This Row],[Column40]])</f>
        <v>3.6666666666666665</v>
      </c>
      <c r="AQ100" s="78">
        <f>IFERROR(VLOOKUP(Table1215[[#This Row],[Column2]],Table12[[Column2]:[Column54]],42,FALSE),"0")</f>
        <v>3</v>
      </c>
      <c r="AR100" s="78">
        <f>IFERROR(VLOOKUP(Table1215[[#This Row],[Column2]],Table12[[Column2]:[Column54]],43,FALSE),"0")</f>
        <v>0</v>
      </c>
      <c r="AS100" s="78">
        <f>IFERROR(VLOOKUP(Table1215[[#This Row],[Column2]],Table12[[Column2]:[Column54]],44,FALSE),"0")</f>
        <v>0</v>
      </c>
      <c r="AT100" s="78">
        <f>IFERROR(VLOOKUP(Table1215[[#This Row],[Column2]],Table12[[Column2]:[Column54]],45,FALSE),"0")</f>
        <v>0</v>
      </c>
      <c r="AU100" s="78">
        <f>IFERROR(VLOOKUP(Table1215[[#This Row],[Column2]],Table12[[Column2]:[Column54]],46,FALSE),"0")</f>
        <v>0</v>
      </c>
      <c r="AV100" s="80">
        <f>Table1215[[#This Row],[Column43]]</f>
        <v>3</v>
      </c>
      <c r="AW100" s="78">
        <f>IFERROR(VLOOKUP(Table1215[[#This Row],[Column2]],Table12[[Column2]:[Column54]],48,FALSE),"0")</f>
        <v>0</v>
      </c>
      <c r="AX100" s="78">
        <f>IFERROR(VLOOKUP(Table1215[[#This Row],[Column2]],Table12[[Column2]:[Column54]],49,FALSE),"0")</f>
        <v>0</v>
      </c>
      <c r="AY100" s="78">
        <f>IFERROR(VLOOKUP(Table1215[[#This Row],[Column2]],Table12[[Column2]:[Column54]],50,FALSE),"0")</f>
        <v>0</v>
      </c>
      <c r="AZ100" s="78">
        <f>IFERROR(VLOOKUP(Table1215[[#This Row],[Column2]],Table12[[Column2]:[Column54]],51,FALSE),"0")</f>
        <v>3</v>
      </c>
      <c r="BA100" s="78">
        <f>IFERROR(VLOOKUP(Table1215[[#This Row],[Column2]],Table12[[Column2]:[Column54]],52,FALSE),"0")</f>
        <v>3</v>
      </c>
      <c r="BB100" s="80">
        <f>AVERAGE(Table1215[[#This Row],[Column52]],Table1215[[#This Row],[Column53]])</f>
        <v>3</v>
      </c>
    </row>
    <row r="101" spans="1:54" ht="23.1" customHeight="1" x14ac:dyDescent="0.3">
      <c r="A101" s="100">
        <v>98</v>
      </c>
      <c r="B101" s="83" t="s">
        <v>344</v>
      </c>
      <c r="C101" s="84" t="s">
        <v>345</v>
      </c>
      <c r="D101" s="83" t="s">
        <v>542</v>
      </c>
      <c r="E101" s="83" t="s">
        <v>493</v>
      </c>
      <c r="F101" s="83" t="str">
        <f>REPT(CHAR(160),10)&amp;Working!$E102</f>
        <v>          C</v>
      </c>
      <c r="G101" s="74">
        <f>IFERROR(VLOOKUP(Table1215[[#This Row],[Column2]],Table12[[Column2]:[Column54]],6,FALSE),"0")</f>
        <v>0</v>
      </c>
      <c r="H101" s="74">
        <f>IFERROR(VLOOKUP(Table1215[[#This Row],[Column2]],Table12[[Column2]:[Column54]],7,FALSE),"0")</f>
        <v>0</v>
      </c>
      <c r="I101" s="74">
        <f>IFERROR(VLOOKUP(Table1215[[#This Row],[Column2]],Table12[[Column2]:[Column54]],8,FALSE),"0")</f>
        <v>3</v>
      </c>
      <c r="J101" s="74">
        <f>IFERROR(VLOOKUP(Table1215[[#This Row],[Column2]],Table12[[Column2]:[Column54]],9,FALSE),"0")</f>
        <v>0</v>
      </c>
      <c r="K101" s="74">
        <f>IFERROR(VLOOKUP(Table1215[[#This Row],[Column2]],Table12[[Column2]:[Column54]],10,FALSE),"0")</f>
        <v>0</v>
      </c>
      <c r="L101" s="80">
        <f>Table1215[[#This Row],[Column9]]</f>
        <v>3</v>
      </c>
      <c r="M101" s="74">
        <f>IFERROR(VLOOKUP(Table1215[[#This Row],[Column2]],Table12[[Column2]:[Column54]],12,FALSE),"0")</f>
        <v>0</v>
      </c>
      <c r="N101" s="74">
        <f>IFERROR(VLOOKUP(Table1215[[#This Row],[Column2]],Table12[[Column2]:[Column54]],13,FALSE),"0")</f>
        <v>3</v>
      </c>
      <c r="O101" s="74">
        <f>IFERROR(VLOOKUP(Table1215[[#This Row],[Column2]],Table12[[Column2]:[Column54]],14,FALSE),"0")</f>
        <v>3</v>
      </c>
      <c r="P101" s="74">
        <f>IFERROR(VLOOKUP(Table1215[[#This Row],[Column2]],Table12[[Column2]:[Column54]],10,FALSE),"0")</f>
        <v>0</v>
      </c>
      <c r="Q101" s="74">
        <f>IFERROR(VLOOKUP(Table1215[[#This Row],[Column2]],Table12[[Column2]:[Column54]],16,FALSE),"0")</f>
        <v>3</v>
      </c>
      <c r="R101" s="80">
        <f>AVERAGE(Table1215[[#This Row],[Column14]],Table1215[[#This Row],[Column15]],Table1215[[#This Row],[Column17]])</f>
        <v>3</v>
      </c>
      <c r="S101" s="74">
        <f>IFERROR(VLOOKUP(Table1215[[#This Row],[Column2]],Table12[[Column2]:[Column54]],18,FALSE),"0")</f>
        <v>0</v>
      </c>
      <c r="T101" s="74">
        <f>IFERROR(VLOOKUP(Table1215[[#This Row],[Column2]],Table12[[Column2]:[Column54]],19,FALSE),"0")</f>
        <v>0</v>
      </c>
      <c r="U101" s="74">
        <f>IFERROR(VLOOKUP(Table1215[[#This Row],[Column2]],Table12[[Column2]:[Column54]],20,FALSE),"0")</f>
        <v>0</v>
      </c>
      <c r="V101" s="74">
        <f>IFERROR(VLOOKUP(Table1215[[#This Row],[Column2]],Table12[[Column2]:[Column54]],21,FALSE),"0")</f>
        <v>0</v>
      </c>
      <c r="W101" s="74">
        <f>IFERROR(VLOOKUP(Table1215[[#This Row],[Column2]],Table12[[Column2]:[Column54]],22,FALSE),"0")</f>
        <v>0</v>
      </c>
      <c r="X101" s="80">
        <f>Table1215[[#This Row],[Column19]]</f>
        <v>0</v>
      </c>
      <c r="Y101" s="74">
        <f>IFERROR(VLOOKUP(Table1215[[#This Row],[Column2]],Table12[[Column2]:[Column54]],24,FALSE),"0")</f>
        <v>3</v>
      </c>
      <c r="Z101" s="74">
        <f>IFERROR(VLOOKUP(Table1215[[#This Row],[Column2]],Table12[[Column2]:[Column54]],25,FALSE),"0")</f>
        <v>0</v>
      </c>
      <c r="AA101" s="74">
        <f>IFERROR(VLOOKUP(Table1215[[#This Row],[Column2]],Table12[[Column2]:[Column54]],26,FALSE),"0")</f>
        <v>0</v>
      </c>
      <c r="AB101" s="74">
        <f>IFERROR(VLOOKUP(Table1215[[#This Row],[Column2]],Table12[[Column2]:[Column54]],27,FALSE),"0")</f>
        <v>0</v>
      </c>
      <c r="AC101" s="74">
        <f>IFERROR(VLOOKUP(Table1215[[#This Row],[Column2]],Table12[[Column2]:[Column54]],28,FALSE),"0")</f>
        <v>0</v>
      </c>
      <c r="AD101" s="80">
        <f>Table1215[[#This Row],[Column25]]</f>
        <v>3</v>
      </c>
      <c r="AE101" s="74">
        <f>IFERROR(VLOOKUP(Table1215[[#This Row],[Column2]],Table12[[Column2]:[Column54]],30,FALSE),"0")</f>
        <v>0</v>
      </c>
      <c r="AF101" s="74">
        <f>IFERROR(VLOOKUP(Table1215[[#This Row],[Column2]],Table12[[Column2]:[Column54]],31,FALSE),"0")</f>
        <v>0</v>
      </c>
      <c r="AG101" s="74">
        <f>IFERROR(VLOOKUP(Table1215[[#This Row],[Column2]],Table12[[Column2]:[Column54]],32,FALSE),"0")</f>
        <v>0</v>
      </c>
      <c r="AH101" s="74">
        <f>IFERROR(VLOOKUP(Table1215[[#This Row],[Column2]],Table12[[Column2]:[Column54]],33,FALSE),"0")</f>
        <v>0</v>
      </c>
      <c r="AI101" s="74">
        <f>IFERROR(VLOOKUP(Table1215[[#This Row],[Column2]],Table12[[Column2]:[Column54]],34,FALSE),"0")</f>
        <v>0</v>
      </c>
      <c r="AJ101" s="80">
        <f>AVERAGE(Table1215[[#This Row],[Column31]],Table1215[[#This Row],[Column32]],Table1215[[#This Row],[Column33]])</f>
        <v>0</v>
      </c>
      <c r="AK101" s="74">
        <f>IFERROR(VLOOKUP(Table1215[[#This Row],[Column2]],Table12[[Column2]:[Column54]],36,FALSE),"0")</f>
        <v>3</v>
      </c>
      <c r="AL101" s="74">
        <f>IFERROR(VLOOKUP(Table1215[[#This Row],[Column2]],Table12[[Column2]:[Column54]],37,FALSE),"0")</f>
        <v>3</v>
      </c>
      <c r="AM101" s="74">
        <f>IFERROR(VLOOKUP(Table1215[[#This Row],[Column2]],Table12[[Column2]:[Column54]],38,FALSE),"0")</f>
        <v>0</v>
      </c>
      <c r="AN101" s="74">
        <f>IFERROR(VLOOKUP(Table1215[[#This Row],[Column2]],Table12[[Column2]:[Column54]],39,FALSE),"0")</f>
        <v>3</v>
      </c>
      <c r="AO101" s="74">
        <f>IFERROR(VLOOKUP(Table1215[[#This Row],[Column2]],Table12[[Column2]:[Column54]],40,FALSE),"0")</f>
        <v>0</v>
      </c>
      <c r="AP101" s="80">
        <f>AVERAGE(Table1215[[#This Row],[Column37]],Table1215[[#This Row],[Column38]],Table1215[[#This Row],[Column40]])</f>
        <v>3</v>
      </c>
      <c r="AQ101" s="74">
        <f>IFERROR(VLOOKUP(Table1215[[#This Row],[Column2]],Table12[[Column2]:[Column54]],42,FALSE),"0")</f>
        <v>3</v>
      </c>
      <c r="AR101" s="74">
        <f>IFERROR(VLOOKUP(Table1215[[#This Row],[Column2]],Table12[[Column2]:[Column54]],43,FALSE),"0")</f>
        <v>0</v>
      </c>
      <c r="AS101" s="74">
        <f>IFERROR(VLOOKUP(Table1215[[#This Row],[Column2]],Table12[[Column2]:[Column54]],44,FALSE),"0")</f>
        <v>0</v>
      </c>
      <c r="AT101" s="74">
        <f>IFERROR(VLOOKUP(Table1215[[#This Row],[Column2]],Table12[[Column2]:[Column54]],45,FALSE),"0")</f>
        <v>0</v>
      </c>
      <c r="AU101" s="74">
        <f>IFERROR(VLOOKUP(Table1215[[#This Row],[Column2]],Table12[[Column2]:[Column54]],46,FALSE),"0")</f>
        <v>0</v>
      </c>
      <c r="AV101" s="80">
        <f>Table1215[[#This Row],[Column43]]</f>
        <v>3</v>
      </c>
      <c r="AW101" s="74">
        <f>IFERROR(VLOOKUP(Table1215[[#This Row],[Column2]],Table12[[Column2]:[Column54]],48,FALSE),"0")</f>
        <v>0</v>
      </c>
      <c r="AX101" s="74">
        <f>IFERROR(VLOOKUP(Table1215[[#This Row],[Column2]],Table12[[Column2]:[Column54]],49,FALSE),"0")</f>
        <v>0</v>
      </c>
      <c r="AY101" s="74">
        <f>IFERROR(VLOOKUP(Table1215[[#This Row],[Column2]],Table12[[Column2]:[Column54]],50,FALSE),"0")</f>
        <v>0</v>
      </c>
      <c r="AZ101" s="74">
        <f>IFERROR(VLOOKUP(Table1215[[#This Row],[Column2]],Table12[[Column2]:[Column54]],51,FALSE),"0")</f>
        <v>3</v>
      </c>
      <c r="BA101" s="74">
        <f>IFERROR(VLOOKUP(Table1215[[#This Row],[Column2]],Table12[[Column2]:[Column54]],52,FALSE),"0")</f>
        <v>3</v>
      </c>
      <c r="BB101" s="80">
        <f>AVERAGE(Table1215[[#This Row],[Column52]],Table1215[[#This Row],[Column53]])</f>
        <v>3</v>
      </c>
    </row>
    <row r="102" spans="1:54" ht="23.1" customHeight="1" x14ac:dyDescent="0.3">
      <c r="A102" s="99">
        <v>99</v>
      </c>
      <c r="B102" s="76" t="s">
        <v>263</v>
      </c>
      <c r="C102" s="77" t="s">
        <v>264</v>
      </c>
      <c r="D102" s="76" t="s">
        <v>450</v>
      </c>
      <c r="E102" s="76" t="s">
        <v>161</v>
      </c>
      <c r="F102" s="76" t="str">
        <f>REPT(CHAR(160),10)&amp;Working!$E103</f>
        <v>          B</v>
      </c>
      <c r="G102" s="78">
        <f>IFERROR(VLOOKUP(Table1215[[#This Row],[Column2]],Table12[[Column2]:[Column54]],6,FALSE),"0")</f>
        <v>0</v>
      </c>
      <c r="H102" s="78">
        <f>IFERROR(VLOOKUP(Table1215[[#This Row],[Column2]],Table12[[Column2]:[Column54]],7,FALSE),"0")</f>
        <v>0</v>
      </c>
      <c r="I102" s="78">
        <f>IFERROR(VLOOKUP(Table1215[[#This Row],[Column2]],Table12[[Column2]:[Column54]],8,FALSE),"0")</f>
        <v>2</v>
      </c>
      <c r="J102" s="78">
        <f>IFERROR(VLOOKUP(Table1215[[#This Row],[Column2]],Table12[[Column2]:[Column54]],9,FALSE),"0")</f>
        <v>0</v>
      </c>
      <c r="K102" s="78">
        <f>IFERROR(VLOOKUP(Table1215[[#This Row],[Column2]],Table12[[Column2]:[Column54]],10,FALSE),"0")</f>
        <v>0</v>
      </c>
      <c r="L102" s="80">
        <f>Table1215[[#This Row],[Column9]]</f>
        <v>2</v>
      </c>
      <c r="M102" s="78">
        <f>IFERROR(VLOOKUP(Table1215[[#This Row],[Column2]],Table12[[Column2]:[Column54]],12,FALSE),"0")</f>
        <v>0</v>
      </c>
      <c r="N102" s="78">
        <f>IFERROR(VLOOKUP(Table1215[[#This Row],[Column2]],Table12[[Column2]:[Column54]],13,FALSE),"0")</f>
        <v>3</v>
      </c>
      <c r="O102" s="78">
        <f>IFERROR(VLOOKUP(Table1215[[#This Row],[Column2]],Table12[[Column2]:[Column54]],14,FALSE),"0")</f>
        <v>2</v>
      </c>
      <c r="P102" s="78">
        <f>IFERROR(VLOOKUP(Table1215[[#This Row],[Column2]],Table12[[Column2]:[Column54]],10,FALSE),"0")</f>
        <v>0</v>
      </c>
      <c r="Q102" s="78">
        <f>IFERROR(VLOOKUP(Table1215[[#This Row],[Column2]],Table12[[Column2]:[Column54]],16,FALSE),"0")</f>
        <v>2</v>
      </c>
      <c r="R102" s="80">
        <f>AVERAGE(Table1215[[#This Row],[Column14]],Table1215[[#This Row],[Column15]],Table1215[[#This Row],[Column17]])</f>
        <v>2.3333333333333335</v>
      </c>
      <c r="S102" s="78">
        <f>IFERROR(VLOOKUP(Table1215[[#This Row],[Column2]],Table12[[Column2]:[Column54]],18,FALSE),"0")</f>
        <v>0</v>
      </c>
      <c r="T102" s="78">
        <f>IFERROR(VLOOKUP(Table1215[[#This Row],[Column2]],Table12[[Column2]:[Column54]],19,FALSE),"0")</f>
        <v>0</v>
      </c>
      <c r="U102" s="78">
        <f>IFERROR(VLOOKUP(Table1215[[#This Row],[Column2]],Table12[[Column2]:[Column54]],20,FALSE),"0")</f>
        <v>0</v>
      </c>
      <c r="V102" s="78">
        <f>IFERROR(VLOOKUP(Table1215[[#This Row],[Column2]],Table12[[Column2]:[Column54]],21,FALSE),"0")</f>
        <v>0</v>
      </c>
      <c r="W102" s="78">
        <f>IFERROR(VLOOKUP(Table1215[[#This Row],[Column2]],Table12[[Column2]:[Column54]],22,FALSE),"0")</f>
        <v>0</v>
      </c>
      <c r="X102" s="80">
        <f>Table1215[[#This Row],[Column19]]</f>
        <v>0</v>
      </c>
      <c r="Y102" s="78">
        <f>IFERROR(VLOOKUP(Table1215[[#This Row],[Column2]],Table12[[Column2]:[Column54]],24,FALSE),"0")</f>
        <v>2</v>
      </c>
      <c r="Z102" s="78">
        <f>IFERROR(VLOOKUP(Table1215[[#This Row],[Column2]],Table12[[Column2]:[Column54]],25,FALSE),"0")</f>
        <v>0</v>
      </c>
      <c r="AA102" s="78">
        <f>IFERROR(VLOOKUP(Table1215[[#This Row],[Column2]],Table12[[Column2]:[Column54]],26,FALSE),"0")</f>
        <v>0</v>
      </c>
      <c r="AB102" s="78">
        <f>IFERROR(VLOOKUP(Table1215[[#This Row],[Column2]],Table12[[Column2]:[Column54]],27,FALSE),"0")</f>
        <v>0</v>
      </c>
      <c r="AC102" s="78">
        <f>IFERROR(VLOOKUP(Table1215[[#This Row],[Column2]],Table12[[Column2]:[Column54]],28,FALSE),"0")</f>
        <v>0</v>
      </c>
      <c r="AD102" s="80">
        <f>Table1215[[#This Row],[Column25]]</f>
        <v>2</v>
      </c>
      <c r="AE102" s="78">
        <f>IFERROR(VLOOKUP(Table1215[[#This Row],[Column2]],Table12[[Column2]:[Column54]],30,FALSE),"0")</f>
        <v>0</v>
      </c>
      <c r="AF102" s="78">
        <f>IFERROR(VLOOKUP(Table1215[[#This Row],[Column2]],Table12[[Column2]:[Column54]],31,FALSE),"0")</f>
        <v>0</v>
      </c>
      <c r="AG102" s="78">
        <f>IFERROR(VLOOKUP(Table1215[[#This Row],[Column2]],Table12[[Column2]:[Column54]],32,FALSE),"0")</f>
        <v>0</v>
      </c>
      <c r="AH102" s="78">
        <f>IFERROR(VLOOKUP(Table1215[[#This Row],[Column2]],Table12[[Column2]:[Column54]],33,FALSE),"0")</f>
        <v>0</v>
      </c>
      <c r="AI102" s="78">
        <f>IFERROR(VLOOKUP(Table1215[[#This Row],[Column2]],Table12[[Column2]:[Column54]],34,FALSE),"0")</f>
        <v>0</v>
      </c>
      <c r="AJ102" s="80">
        <f>AVERAGE(Table1215[[#This Row],[Column31]],Table1215[[#This Row],[Column32]],Table1215[[#This Row],[Column33]])</f>
        <v>0</v>
      </c>
      <c r="AK102" s="78">
        <f>IFERROR(VLOOKUP(Table1215[[#This Row],[Column2]],Table12[[Column2]:[Column54]],36,FALSE),"0")</f>
        <v>2</v>
      </c>
      <c r="AL102" s="78">
        <f>IFERROR(VLOOKUP(Table1215[[#This Row],[Column2]],Table12[[Column2]:[Column54]],37,FALSE),"0")</f>
        <v>3</v>
      </c>
      <c r="AM102" s="78">
        <f>IFERROR(VLOOKUP(Table1215[[#This Row],[Column2]],Table12[[Column2]:[Column54]],38,FALSE),"0")</f>
        <v>0</v>
      </c>
      <c r="AN102" s="78">
        <f>IFERROR(VLOOKUP(Table1215[[#This Row],[Column2]],Table12[[Column2]:[Column54]],39,FALSE),"0")</f>
        <v>3</v>
      </c>
      <c r="AO102" s="78">
        <f>IFERROR(VLOOKUP(Table1215[[#This Row],[Column2]],Table12[[Column2]:[Column54]],40,FALSE),"0")</f>
        <v>0</v>
      </c>
      <c r="AP102" s="80">
        <f>AVERAGE(Table1215[[#This Row],[Column37]],Table1215[[#This Row],[Column38]],Table1215[[#This Row],[Column40]])</f>
        <v>2.6666666666666665</v>
      </c>
      <c r="AQ102" s="78">
        <f>IFERROR(VLOOKUP(Table1215[[#This Row],[Column2]],Table12[[Column2]:[Column54]],42,FALSE),"0")</f>
        <v>2</v>
      </c>
      <c r="AR102" s="78">
        <f>IFERROR(VLOOKUP(Table1215[[#This Row],[Column2]],Table12[[Column2]:[Column54]],43,FALSE),"0")</f>
        <v>0</v>
      </c>
      <c r="AS102" s="78">
        <f>IFERROR(VLOOKUP(Table1215[[#This Row],[Column2]],Table12[[Column2]:[Column54]],44,FALSE),"0")</f>
        <v>0</v>
      </c>
      <c r="AT102" s="78">
        <f>IFERROR(VLOOKUP(Table1215[[#This Row],[Column2]],Table12[[Column2]:[Column54]],45,FALSE),"0")</f>
        <v>0</v>
      </c>
      <c r="AU102" s="78">
        <f>IFERROR(VLOOKUP(Table1215[[#This Row],[Column2]],Table12[[Column2]:[Column54]],46,FALSE),"0")</f>
        <v>0</v>
      </c>
      <c r="AV102" s="80">
        <f>Table1215[[#This Row],[Column43]]</f>
        <v>2</v>
      </c>
      <c r="AW102" s="78">
        <f>IFERROR(VLOOKUP(Table1215[[#This Row],[Column2]],Table12[[Column2]:[Column54]],48,FALSE),"0")</f>
        <v>0</v>
      </c>
      <c r="AX102" s="78">
        <f>IFERROR(VLOOKUP(Table1215[[#This Row],[Column2]],Table12[[Column2]:[Column54]],49,FALSE),"0")</f>
        <v>0</v>
      </c>
      <c r="AY102" s="78">
        <f>IFERROR(VLOOKUP(Table1215[[#This Row],[Column2]],Table12[[Column2]:[Column54]],50,FALSE),"0")</f>
        <v>0</v>
      </c>
      <c r="AZ102" s="78">
        <f>IFERROR(VLOOKUP(Table1215[[#This Row],[Column2]],Table12[[Column2]:[Column54]],51,FALSE),"0")</f>
        <v>1</v>
      </c>
      <c r="BA102" s="78">
        <f>IFERROR(VLOOKUP(Table1215[[#This Row],[Column2]],Table12[[Column2]:[Column54]],52,FALSE),"0")</f>
        <v>3</v>
      </c>
      <c r="BB102" s="80">
        <f>AVERAGE(Table1215[[#This Row],[Column52]],Table1215[[#This Row],[Column53]])</f>
        <v>2</v>
      </c>
    </row>
    <row r="103" spans="1:54" ht="23.1" customHeight="1" x14ac:dyDescent="0.3">
      <c r="A103" s="100">
        <v>100</v>
      </c>
      <c r="B103" s="83" t="s">
        <v>140</v>
      </c>
      <c r="C103" s="84" t="s">
        <v>141</v>
      </c>
      <c r="D103" s="83" t="s">
        <v>450</v>
      </c>
      <c r="E103" s="83" t="s">
        <v>35</v>
      </c>
      <c r="F103" s="83" t="str">
        <f>REPT(CHAR(160),10)&amp;Working!$E104</f>
        <v>          A</v>
      </c>
      <c r="G103" s="74">
        <f>IFERROR(VLOOKUP(Table1215[[#This Row],[Column2]],Table12[[Column2]:[Column54]],6,FALSE),"0")</f>
        <v>0</v>
      </c>
      <c r="H103" s="74">
        <f>IFERROR(VLOOKUP(Table1215[[#This Row],[Column2]],Table12[[Column2]:[Column54]],7,FALSE),"0")</f>
        <v>0</v>
      </c>
      <c r="I103" s="74">
        <f>IFERROR(VLOOKUP(Table1215[[#This Row],[Column2]],Table12[[Column2]:[Column54]],8,FALSE),"0")</f>
        <v>2</v>
      </c>
      <c r="J103" s="74">
        <f>IFERROR(VLOOKUP(Table1215[[#This Row],[Column2]],Table12[[Column2]:[Column54]],9,FALSE),"0")</f>
        <v>0</v>
      </c>
      <c r="K103" s="74">
        <f>IFERROR(VLOOKUP(Table1215[[#This Row],[Column2]],Table12[[Column2]:[Column54]],10,FALSE),"0")</f>
        <v>0</v>
      </c>
      <c r="L103" s="80">
        <f>Table1215[[#This Row],[Column9]]</f>
        <v>2</v>
      </c>
      <c r="M103" s="74">
        <f>IFERROR(VLOOKUP(Table1215[[#This Row],[Column2]],Table12[[Column2]:[Column54]],12,FALSE),"0")</f>
        <v>0</v>
      </c>
      <c r="N103" s="74">
        <f>IFERROR(VLOOKUP(Table1215[[#This Row],[Column2]],Table12[[Column2]:[Column54]],13,FALSE),"0")</f>
        <v>2</v>
      </c>
      <c r="O103" s="74">
        <f>IFERROR(VLOOKUP(Table1215[[#This Row],[Column2]],Table12[[Column2]:[Column54]],14,FALSE),"0")</f>
        <v>2</v>
      </c>
      <c r="P103" s="74">
        <f>IFERROR(VLOOKUP(Table1215[[#This Row],[Column2]],Table12[[Column2]:[Column54]],10,FALSE),"0")</f>
        <v>0</v>
      </c>
      <c r="Q103" s="74">
        <f>IFERROR(VLOOKUP(Table1215[[#This Row],[Column2]],Table12[[Column2]:[Column54]],16,FALSE),"0")</f>
        <v>2</v>
      </c>
      <c r="R103" s="80">
        <f>AVERAGE(Table1215[[#This Row],[Column14]],Table1215[[#This Row],[Column15]],Table1215[[#This Row],[Column17]])</f>
        <v>2</v>
      </c>
      <c r="S103" s="74">
        <f>IFERROR(VLOOKUP(Table1215[[#This Row],[Column2]],Table12[[Column2]:[Column54]],18,FALSE),"0")</f>
        <v>0</v>
      </c>
      <c r="T103" s="74">
        <f>IFERROR(VLOOKUP(Table1215[[#This Row],[Column2]],Table12[[Column2]:[Column54]],19,FALSE),"0")</f>
        <v>0</v>
      </c>
      <c r="U103" s="74">
        <f>IFERROR(VLOOKUP(Table1215[[#This Row],[Column2]],Table12[[Column2]:[Column54]],20,FALSE),"0")</f>
        <v>0</v>
      </c>
      <c r="V103" s="74">
        <f>IFERROR(VLOOKUP(Table1215[[#This Row],[Column2]],Table12[[Column2]:[Column54]],21,FALSE),"0")</f>
        <v>0</v>
      </c>
      <c r="W103" s="74">
        <f>IFERROR(VLOOKUP(Table1215[[#This Row],[Column2]],Table12[[Column2]:[Column54]],22,FALSE),"0")</f>
        <v>0</v>
      </c>
      <c r="X103" s="80">
        <f>Table1215[[#This Row],[Column19]]</f>
        <v>0</v>
      </c>
      <c r="Y103" s="74">
        <f>IFERROR(VLOOKUP(Table1215[[#This Row],[Column2]],Table12[[Column2]:[Column54]],24,FALSE),"0")</f>
        <v>2</v>
      </c>
      <c r="Z103" s="74">
        <f>IFERROR(VLOOKUP(Table1215[[#This Row],[Column2]],Table12[[Column2]:[Column54]],25,FALSE),"0")</f>
        <v>0</v>
      </c>
      <c r="AA103" s="74">
        <f>IFERROR(VLOOKUP(Table1215[[#This Row],[Column2]],Table12[[Column2]:[Column54]],26,FALSE),"0")</f>
        <v>0</v>
      </c>
      <c r="AB103" s="74">
        <f>IFERROR(VLOOKUP(Table1215[[#This Row],[Column2]],Table12[[Column2]:[Column54]],27,FALSE),"0")</f>
        <v>0</v>
      </c>
      <c r="AC103" s="74">
        <f>IFERROR(VLOOKUP(Table1215[[#This Row],[Column2]],Table12[[Column2]:[Column54]],28,FALSE),"0")</f>
        <v>0</v>
      </c>
      <c r="AD103" s="80">
        <f>Table1215[[#This Row],[Column25]]</f>
        <v>2</v>
      </c>
      <c r="AE103" s="74">
        <f>IFERROR(VLOOKUP(Table1215[[#This Row],[Column2]],Table12[[Column2]:[Column54]],30,FALSE),"0")</f>
        <v>0</v>
      </c>
      <c r="AF103" s="74">
        <f>IFERROR(VLOOKUP(Table1215[[#This Row],[Column2]],Table12[[Column2]:[Column54]],31,FALSE),"0")</f>
        <v>0</v>
      </c>
      <c r="AG103" s="74">
        <f>IFERROR(VLOOKUP(Table1215[[#This Row],[Column2]],Table12[[Column2]:[Column54]],32,FALSE),"0")</f>
        <v>0</v>
      </c>
      <c r="AH103" s="74">
        <f>IFERROR(VLOOKUP(Table1215[[#This Row],[Column2]],Table12[[Column2]:[Column54]],33,FALSE),"0")</f>
        <v>0</v>
      </c>
      <c r="AI103" s="74">
        <f>IFERROR(VLOOKUP(Table1215[[#This Row],[Column2]],Table12[[Column2]:[Column54]],34,FALSE),"0")</f>
        <v>0</v>
      </c>
      <c r="AJ103" s="80">
        <f>AVERAGE(Table1215[[#This Row],[Column31]],Table1215[[#This Row],[Column32]],Table1215[[#This Row],[Column33]])</f>
        <v>0</v>
      </c>
      <c r="AK103" s="74">
        <f>IFERROR(VLOOKUP(Table1215[[#This Row],[Column2]],Table12[[Column2]:[Column54]],36,FALSE),"0")</f>
        <v>3</v>
      </c>
      <c r="AL103" s="74">
        <f>IFERROR(VLOOKUP(Table1215[[#This Row],[Column2]],Table12[[Column2]:[Column54]],37,FALSE),"0")</f>
        <v>2</v>
      </c>
      <c r="AM103" s="74">
        <f>IFERROR(VLOOKUP(Table1215[[#This Row],[Column2]],Table12[[Column2]:[Column54]],38,FALSE),"0")</f>
        <v>0</v>
      </c>
      <c r="AN103" s="74">
        <f>IFERROR(VLOOKUP(Table1215[[#This Row],[Column2]],Table12[[Column2]:[Column54]],39,FALSE),"0")</f>
        <v>2</v>
      </c>
      <c r="AO103" s="74">
        <f>IFERROR(VLOOKUP(Table1215[[#This Row],[Column2]],Table12[[Column2]:[Column54]],40,FALSE),"0")</f>
        <v>0</v>
      </c>
      <c r="AP103" s="80">
        <f>AVERAGE(Table1215[[#This Row],[Column37]],Table1215[[#This Row],[Column38]],Table1215[[#This Row],[Column40]])</f>
        <v>2.3333333333333335</v>
      </c>
      <c r="AQ103" s="74">
        <f>IFERROR(VLOOKUP(Table1215[[#This Row],[Column2]],Table12[[Column2]:[Column54]],42,FALSE),"0")</f>
        <v>3</v>
      </c>
      <c r="AR103" s="74">
        <f>IFERROR(VLOOKUP(Table1215[[#This Row],[Column2]],Table12[[Column2]:[Column54]],43,FALSE),"0")</f>
        <v>0</v>
      </c>
      <c r="AS103" s="74">
        <f>IFERROR(VLOOKUP(Table1215[[#This Row],[Column2]],Table12[[Column2]:[Column54]],44,FALSE),"0")</f>
        <v>0</v>
      </c>
      <c r="AT103" s="74">
        <f>IFERROR(VLOOKUP(Table1215[[#This Row],[Column2]],Table12[[Column2]:[Column54]],45,FALSE),"0")</f>
        <v>0</v>
      </c>
      <c r="AU103" s="74">
        <f>IFERROR(VLOOKUP(Table1215[[#This Row],[Column2]],Table12[[Column2]:[Column54]],46,FALSE),"0")</f>
        <v>0</v>
      </c>
      <c r="AV103" s="80">
        <f>Table1215[[#This Row],[Column43]]</f>
        <v>3</v>
      </c>
      <c r="AW103" s="74">
        <f>IFERROR(VLOOKUP(Table1215[[#This Row],[Column2]],Table12[[Column2]:[Column54]],48,FALSE),"0")</f>
        <v>0</v>
      </c>
      <c r="AX103" s="74">
        <f>IFERROR(VLOOKUP(Table1215[[#This Row],[Column2]],Table12[[Column2]:[Column54]],49,FALSE),"0")</f>
        <v>0</v>
      </c>
      <c r="AY103" s="74">
        <f>IFERROR(VLOOKUP(Table1215[[#This Row],[Column2]],Table12[[Column2]:[Column54]],50,FALSE),"0")</f>
        <v>0</v>
      </c>
      <c r="AZ103" s="74">
        <f>IFERROR(VLOOKUP(Table1215[[#This Row],[Column2]],Table12[[Column2]:[Column54]],51,FALSE),"0")</f>
        <v>2</v>
      </c>
      <c r="BA103" s="74">
        <f>IFERROR(VLOOKUP(Table1215[[#This Row],[Column2]],Table12[[Column2]:[Column54]],52,FALSE),"0")</f>
        <v>3</v>
      </c>
      <c r="BB103" s="80">
        <f>AVERAGE(Table1215[[#This Row],[Column52]],Table1215[[#This Row],[Column53]])</f>
        <v>2.5</v>
      </c>
    </row>
    <row r="104" spans="1:54" ht="23.1" customHeight="1" x14ac:dyDescent="0.3">
      <c r="A104" s="99">
        <v>101</v>
      </c>
      <c r="B104" s="76" t="s">
        <v>346</v>
      </c>
      <c r="C104" s="77" t="s">
        <v>347</v>
      </c>
      <c r="D104" s="76" t="s">
        <v>450</v>
      </c>
      <c r="E104" s="76" t="s">
        <v>493</v>
      </c>
      <c r="F104" s="76" t="str">
        <f>REPT(CHAR(160),10)&amp;Working!$E105</f>
        <v>          C</v>
      </c>
      <c r="G104" s="78">
        <f>IFERROR(VLOOKUP(Table1215[[#This Row],[Column2]],Table12[[Column2]:[Column54]],6,FALSE),"0")</f>
        <v>0</v>
      </c>
      <c r="H104" s="78">
        <f>IFERROR(VLOOKUP(Table1215[[#This Row],[Column2]],Table12[[Column2]:[Column54]],7,FALSE),"0")</f>
        <v>0</v>
      </c>
      <c r="I104" s="78">
        <f>IFERROR(VLOOKUP(Table1215[[#This Row],[Column2]],Table12[[Column2]:[Column54]],8,FALSE),"0")</f>
        <v>3</v>
      </c>
      <c r="J104" s="78">
        <f>IFERROR(VLOOKUP(Table1215[[#This Row],[Column2]],Table12[[Column2]:[Column54]],9,FALSE),"0")</f>
        <v>0</v>
      </c>
      <c r="K104" s="78">
        <f>IFERROR(VLOOKUP(Table1215[[#This Row],[Column2]],Table12[[Column2]:[Column54]],10,FALSE),"0")</f>
        <v>0</v>
      </c>
      <c r="L104" s="80">
        <f>Table1215[[#This Row],[Column9]]</f>
        <v>3</v>
      </c>
      <c r="M104" s="78">
        <f>IFERROR(VLOOKUP(Table1215[[#This Row],[Column2]],Table12[[Column2]:[Column54]],12,FALSE),"0")</f>
        <v>0</v>
      </c>
      <c r="N104" s="78">
        <f>IFERROR(VLOOKUP(Table1215[[#This Row],[Column2]],Table12[[Column2]:[Column54]],13,FALSE),"0")</f>
        <v>3</v>
      </c>
      <c r="O104" s="78">
        <f>IFERROR(VLOOKUP(Table1215[[#This Row],[Column2]],Table12[[Column2]:[Column54]],14,FALSE),"0")</f>
        <v>4</v>
      </c>
      <c r="P104" s="78">
        <f>IFERROR(VLOOKUP(Table1215[[#This Row],[Column2]],Table12[[Column2]:[Column54]],10,FALSE),"0")</f>
        <v>0</v>
      </c>
      <c r="Q104" s="78">
        <f>IFERROR(VLOOKUP(Table1215[[#This Row],[Column2]],Table12[[Column2]:[Column54]],16,FALSE),"0")</f>
        <v>4</v>
      </c>
      <c r="R104" s="80">
        <f>AVERAGE(Table1215[[#This Row],[Column14]],Table1215[[#This Row],[Column15]],Table1215[[#This Row],[Column17]])</f>
        <v>3.6666666666666665</v>
      </c>
      <c r="S104" s="78">
        <f>IFERROR(VLOOKUP(Table1215[[#This Row],[Column2]],Table12[[Column2]:[Column54]],18,FALSE),"0")</f>
        <v>0</v>
      </c>
      <c r="T104" s="78">
        <f>IFERROR(VLOOKUP(Table1215[[#This Row],[Column2]],Table12[[Column2]:[Column54]],19,FALSE),"0")</f>
        <v>0</v>
      </c>
      <c r="U104" s="78">
        <f>IFERROR(VLOOKUP(Table1215[[#This Row],[Column2]],Table12[[Column2]:[Column54]],20,FALSE),"0")</f>
        <v>0</v>
      </c>
      <c r="V104" s="78">
        <f>IFERROR(VLOOKUP(Table1215[[#This Row],[Column2]],Table12[[Column2]:[Column54]],21,FALSE),"0")</f>
        <v>0</v>
      </c>
      <c r="W104" s="78">
        <f>IFERROR(VLOOKUP(Table1215[[#This Row],[Column2]],Table12[[Column2]:[Column54]],22,FALSE),"0")</f>
        <v>0</v>
      </c>
      <c r="X104" s="80">
        <f>Table1215[[#This Row],[Column19]]</f>
        <v>0</v>
      </c>
      <c r="Y104" s="78">
        <f>IFERROR(VLOOKUP(Table1215[[#This Row],[Column2]],Table12[[Column2]:[Column54]],24,FALSE),"0")</f>
        <v>3</v>
      </c>
      <c r="Z104" s="78">
        <f>IFERROR(VLOOKUP(Table1215[[#This Row],[Column2]],Table12[[Column2]:[Column54]],25,FALSE),"0")</f>
        <v>0</v>
      </c>
      <c r="AA104" s="78">
        <f>IFERROR(VLOOKUP(Table1215[[#This Row],[Column2]],Table12[[Column2]:[Column54]],26,FALSE),"0")</f>
        <v>0</v>
      </c>
      <c r="AB104" s="78">
        <f>IFERROR(VLOOKUP(Table1215[[#This Row],[Column2]],Table12[[Column2]:[Column54]],27,FALSE),"0")</f>
        <v>0</v>
      </c>
      <c r="AC104" s="78">
        <f>IFERROR(VLOOKUP(Table1215[[#This Row],[Column2]],Table12[[Column2]:[Column54]],28,FALSE),"0")</f>
        <v>0</v>
      </c>
      <c r="AD104" s="80">
        <f>Table1215[[#This Row],[Column25]]</f>
        <v>3</v>
      </c>
      <c r="AE104" s="78">
        <f>IFERROR(VLOOKUP(Table1215[[#This Row],[Column2]],Table12[[Column2]:[Column54]],30,FALSE),"0")</f>
        <v>0</v>
      </c>
      <c r="AF104" s="78">
        <f>IFERROR(VLOOKUP(Table1215[[#This Row],[Column2]],Table12[[Column2]:[Column54]],31,FALSE),"0")</f>
        <v>0</v>
      </c>
      <c r="AG104" s="78">
        <f>IFERROR(VLOOKUP(Table1215[[#This Row],[Column2]],Table12[[Column2]:[Column54]],32,FALSE),"0")</f>
        <v>0</v>
      </c>
      <c r="AH104" s="78">
        <f>IFERROR(VLOOKUP(Table1215[[#This Row],[Column2]],Table12[[Column2]:[Column54]],33,FALSE),"0")</f>
        <v>0</v>
      </c>
      <c r="AI104" s="78">
        <f>IFERROR(VLOOKUP(Table1215[[#This Row],[Column2]],Table12[[Column2]:[Column54]],34,FALSE),"0")</f>
        <v>0</v>
      </c>
      <c r="AJ104" s="80">
        <f>AVERAGE(Table1215[[#This Row],[Column31]],Table1215[[#This Row],[Column32]],Table1215[[#This Row],[Column33]])</f>
        <v>0</v>
      </c>
      <c r="AK104" s="78">
        <f>IFERROR(VLOOKUP(Table1215[[#This Row],[Column2]],Table12[[Column2]:[Column54]],36,FALSE),"0")</f>
        <v>3</v>
      </c>
      <c r="AL104" s="78">
        <f>IFERROR(VLOOKUP(Table1215[[#This Row],[Column2]],Table12[[Column2]:[Column54]],37,FALSE),"0")</f>
        <v>3</v>
      </c>
      <c r="AM104" s="78">
        <f>IFERROR(VLOOKUP(Table1215[[#This Row],[Column2]],Table12[[Column2]:[Column54]],38,FALSE),"0")</f>
        <v>0</v>
      </c>
      <c r="AN104" s="78">
        <f>IFERROR(VLOOKUP(Table1215[[#This Row],[Column2]],Table12[[Column2]:[Column54]],39,FALSE),"0")</f>
        <v>4</v>
      </c>
      <c r="AO104" s="78">
        <f>IFERROR(VLOOKUP(Table1215[[#This Row],[Column2]],Table12[[Column2]:[Column54]],40,FALSE),"0")</f>
        <v>0</v>
      </c>
      <c r="AP104" s="80">
        <f>AVERAGE(Table1215[[#This Row],[Column37]],Table1215[[#This Row],[Column38]],Table1215[[#This Row],[Column40]])</f>
        <v>3.3333333333333335</v>
      </c>
      <c r="AQ104" s="78">
        <f>IFERROR(VLOOKUP(Table1215[[#This Row],[Column2]],Table12[[Column2]:[Column54]],42,FALSE),"0")</f>
        <v>3</v>
      </c>
      <c r="AR104" s="78">
        <f>IFERROR(VLOOKUP(Table1215[[#This Row],[Column2]],Table12[[Column2]:[Column54]],43,FALSE),"0")</f>
        <v>0</v>
      </c>
      <c r="AS104" s="78">
        <f>IFERROR(VLOOKUP(Table1215[[#This Row],[Column2]],Table12[[Column2]:[Column54]],44,FALSE),"0")</f>
        <v>0</v>
      </c>
      <c r="AT104" s="78">
        <f>IFERROR(VLOOKUP(Table1215[[#This Row],[Column2]],Table12[[Column2]:[Column54]],45,FALSE),"0")</f>
        <v>0</v>
      </c>
      <c r="AU104" s="78">
        <f>IFERROR(VLOOKUP(Table1215[[#This Row],[Column2]],Table12[[Column2]:[Column54]],46,FALSE),"0")</f>
        <v>0</v>
      </c>
      <c r="AV104" s="80">
        <f>Table1215[[#This Row],[Column43]]</f>
        <v>3</v>
      </c>
      <c r="AW104" s="78">
        <f>IFERROR(VLOOKUP(Table1215[[#This Row],[Column2]],Table12[[Column2]:[Column54]],48,FALSE),"0")</f>
        <v>0</v>
      </c>
      <c r="AX104" s="78">
        <f>IFERROR(VLOOKUP(Table1215[[#This Row],[Column2]],Table12[[Column2]:[Column54]],49,FALSE),"0")</f>
        <v>0</v>
      </c>
      <c r="AY104" s="78">
        <f>IFERROR(VLOOKUP(Table1215[[#This Row],[Column2]],Table12[[Column2]:[Column54]],50,FALSE),"0")</f>
        <v>0</v>
      </c>
      <c r="AZ104" s="78">
        <f>IFERROR(VLOOKUP(Table1215[[#This Row],[Column2]],Table12[[Column2]:[Column54]],51,FALSE),"0")</f>
        <v>3</v>
      </c>
      <c r="BA104" s="78">
        <f>IFERROR(VLOOKUP(Table1215[[#This Row],[Column2]],Table12[[Column2]:[Column54]],52,FALSE),"0")</f>
        <v>4</v>
      </c>
      <c r="BB104" s="80">
        <f>AVERAGE(Table1215[[#This Row],[Column52]],Table1215[[#This Row],[Column53]])</f>
        <v>3.5</v>
      </c>
    </row>
    <row r="105" spans="1:54" ht="23.1" customHeight="1" x14ac:dyDescent="0.3">
      <c r="A105" s="100">
        <v>102</v>
      </c>
      <c r="B105" s="83" t="s">
        <v>348</v>
      </c>
      <c r="C105" s="84" t="s">
        <v>349</v>
      </c>
      <c r="D105" s="83" t="s">
        <v>542</v>
      </c>
      <c r="E105" s="83" t="s">
        <v>493</v>
      </c>
      <c r="F105" s="83" t="str">
        <f>REPT(CHAR(160),10)&amp;Working!$E106</f>
        <v>          C</v>
      </c>
      <c r="G105" s="74">
        <f>IFERROR(VLOOKUP(Table1215[[#This Row],[Column2]],Table12[[Column2]:[Column54]],6,FALSE),"0")</f>
        <v>0</v>
      </c>
      <c r="H105" s="74">
        <f>IFERROR(VLOOKUP(Table1215[[#This Row],[Column2]],Table12[[Column2]:[Column54]],7,FALSE),"0")</f>
        <v>0</v>
      </c>
      <c r="I105" s="74">
        <f>IFERROR(VLOOKUP(Table1215[[#This Row],[Column2]],Table12[[Column2]:[Column54]],8,FALSE),"0")</f>
        <v>2</v>
      </c>
      <c r="J105" s="74">
        <f>IFERROR(VLOOKUP(Table1215[[#This Row],[Column2]],Table12[[Column2]:[Column54]],9,FALSE),"0")</f>
        <v>0</v>
      </c>
      <c r="K105" s="74">
        <f>IFERROR(VLOOKUP(Table1215[[#This Row],[Column2]],Table12[[Column2]:[Column54]],10,FALSE),"0")</f>
        <v>0</v>
      </c>
      <c r="L105" s="80">
        <f>Table1215[[#This Row],[Column9]]</f>
        <v>2</v>
      </c>
      <c r="M105" s="74">
        <f>IFERROR(VLOOKUP(Table1215[[#This Row],[Column2]],Table12[[Column2]:[Column54]],12,FALSE),"0")</f>
        <v>0</v>
      </c>
      <c r="N105" s="74">
        <f>IFERROR(VLOOKUP(Table1215[[#This Row],[Column2]],Table12[[Column2]:[Column54]],13,FALSE),"0")</f>
        <v>4</v>
      </c>
      <c r="O105" s="74">
        <f>IFERROR(VLOOKUP(Table1215[[#This Row],[Column2]],Table12[[Column2]:[Column54]],14,FALSE),"0")</f>
        <v>3</v>
      </c>
      <c r="P105" s="74">
        <f>IFERROR(VLOOKUP(Table1215[[#This Row],[Column2]],Table12[[Column2]:[Column54]],10,FALSE),"0")</f>
        <v>0</v>
      </c>
      <c r="Q105" s="74">
        <f>IFERROR(VLOOKUP(Table1215[[#This Row],[Column2]],Table12[[Column2]:[Column54]],16,FALSE),"0")</f>
        <v>3</v>
      </c>
      <c r="R105" s="80">
        <f>AVERAGE(Table1215[[#This Row],[Column14]],Table1215[[#This Row],[Column15]],Table1215[[#This Row],[Column17]])</f>
        <v>3.3333333333333335</v>
      </c>
      <c r="S105" s="74">
        <f>IFERROR(VLOOKUP(Table1215[[#This Row],[Column2]],Table12[[Column2]:[Column54]],18,FALSE),"0")</f>
        <v>0</v>
      </c>
      <c r="T105" s="74">
        <f>IFERROR(VLOOKUP(Table1215[[#This Row],[Column2]],Table12[[Column2]:[Column54]],19,FALSE),"0")</f>
        <v>0</v>
      </c>
      <c r="U105" s="74">
        <f>IFERROR(VLOOKUP(Table1215[[#This Row],[Column2]],Table12[[Column2]:[Column54]],20,FALSE),"0")</f>
        <v>0</v>
      </c>
      <c r="V105" s="74">
        <f>IFERROR(VLOOKUP(Table1215[[#This Row],[Column2]],Table12[[Column2]:[Column54]],21,FALSE),"0")</f>
        <v>0</v>
      </c>
      <c r="W105" s="74">
        <f>IFERROR(VLOOKUP(Table1215[[#This Row],[Column2]],Table12[[Column2]:[Column54]],22,FALSE),"0")</f>
        <v>0</v>
      </c>
      <c r="X105" s="80">
        <f>Table1215[[#This Row],[Column19]]</f>
        <v>0</v>
      </c>
      <c r="Y105" s="74">
        <f>IFERROR(VLOOKUP(Table1215[[#This Row],[Column2]],Table12[[Column2]:[Column54]],24,FALSE),"0")</f>
        <v>3</v>
      </c>
      <c r="Z105" s="74">
        <f>IFERROR(VLOOKUP(Table1215[[#This Row],[Column2]],Table12[[Column2]:[Column54]],25,FALSE),"0")</f>
        <v>0</v>
      </c>
      <c r="AA105" s="74">
        <f>IFERROR(VLOOKUP(Table1215[[#This Row],[Column2]],Table12[[Column2]:[Column54]],26,FALSE),"0")</f>
        <v>0</v>
      </c>
      <c r="AB105" s="74">
        <f>IFERROR(VLOOKUP(Table1215[[#This Row],[Column2]],Table12[[Column2]:[Column54]],27,FALSE),"0")</f>
        <v>0</v>
      </c>
      <c r="AC105" s="74">
        <f>IFERROR(VLOOKUP(Table1215[[#This Row],[Column2]],Table12[[Column2]:[Column54]],28,FALSE),"0")</f>
        <v>0</v>
      </c>
      <c r="AD105" s="80">
        <f>Table1215[[#This Row],[Column25]]</f>
        <v>3</v>
      </c>
      <c r="AE105" s="74">
        <f>IFERROR(VLOOKUP(Table1215[[#This Row],[Column2]],Table12[[Column2]:[Column54]],30,FALSE),"0")</f>
        <v>0</v>
      </c>
      <c r="AF105" s="74">
        <f>IFERROR(VLOOKUP(Table1215[[#This Row],[Column2]],Table12[[Column2]:[Column54]],31,FALSE),"0")</f>
        <v>0</v>
      </c>
      <c r="AG105" s="74">
        <f>IFERROR(VLOOKUP(Table1215[[#This Row],[Column2]],Table12[[Column2]:[Column54]],32,FALSE),"0")</f>
        <v>0</v>
      </c>
      <c r="AH105" s="74">
        <f>IFERROR(VLOOKUP(Table1215[[#This Row],[Column2]],Table12[[Column2]:[Column54]],33,FALSE),"0")</f>
        <v>0</v>
      </c>
      <c r="AI105" s="74">
        <f>IFERROR(VLOOKUP(Table1215[[#This Row],[Column2]],Table12[[Column2]:[Column54]],34,FALSE),"0")</f>
        <v>0</v>
      </c>
      <c r="AJ105" s="80">
        <f>AVERAGE(Table1215[[#This Row],[Column31]],Table1215[[#This Row],[Column32]],Table1215[[#This Row],[Column33]])</f>
        <v>0</v>
      </c>
      <c r="AK105" s="74">
        <f>IFERROR(VLOOKUP(Table1215[[#This Row],[Column2]],Table12[[Column2]:[Column54]],36,FALSE),"0")</f>
        <v>4</v>
      </c>
      <c r="AL105" s="74">
        <f>IFERROR(VLOOKUP(Table1215[[#This Row],[Column2]],Table12[[Column2]:[Column54]],37,FALSE),"0")</f>
        <v>4</v>
      </c>
      <c r="AM105" s="74">
        <f>IFERROR(VLOOKUP(Table1215[[#This Row],[Column2]],Table12[[Column2]:[Column54]],38,FALSE),"0")</f>
        <v>0</v>
      </c>
      <c r="AN105" s="74">
        <f>IFERROR(VLOOKUP(Table1215[[#This Row],[Column2]],Table12[[Column2]:[Column54]],39,FALSE),"0")</f>
        <v>3</v>
      </c>
      <c r="AO105" s="74">
        <f>IFERROR(VLOOKUP(Table1215[[#This Row],[Column2]],Table12[[Column2]:[Column54]],40,FALSE),"0")</f>
        <v>0</v>
      </c>
      <c r="AP105" s="80">
        <f>AVERAGE(Table1215[[#This Row],[Column37]],Table1215[[#This Row],[Column38]],Table1215[[#This Row],[Column40]])</f>
        <v>3.6666666666666665</v>
      </c>
      <c r="AQ105" s="74">
        <f>IFERROR(VLOOKUP(Table1215[[#This Row],[Column2]],Table12[[Column2]:[Column54]],42,FALSE),"0")</f>
        <v>4</v>
      </c>
      <c r="AR105" s="74">
        <f>IFERROR(VLOOKUP(Table1215[[#This Row],[Column2]],Table12[[Column2]:[Column54]],43,FALSE),"0")</f>
        <v>0</v>
      </c>
      <c r="AS105" s="74">
        <f>IFERROR(VLOOKUP(Table1215[[#This Row],[Column2]],Table12[[Column2]:[Column54]],44,FALSE),"0")</f>
        <v>0</v>
      </c>
      <c r="AT105" s="74">
        <f>IFERROR(VLOOKUP(Table1215[[#This Row],[Column2]],Table12[[Column2]:[Column54]],45,FALSE),"0")</f>
        <v>0</v>
      </c>
      <c r="AU105" s="74">
        <f>IFERROR(VLOOKUP(Table1215[[#This Row],[Column2]],Table12[[Column2]:[Column54]],46,FALSE),"0")</f>
        <v>0</v>
      </c>
      <c r="AV105" s="80">
        <f>Table1215[[#This Row],[Column43]]</f>
        <v>4</v>
      </c>
      <c r="AW105" s="74">
        <f>IFERROR(VLOOKUP(Table1215[[#This Row],[Column2]],Table12[[Column2]:[Column54]],48,FALSE),"0")</f>
        <v>0</v>
      </c>
      <c r="AX105" s="74">
        <f>IFERROR(VLOOKUP(Table1215[[#This Row],[Column2]],Table12[[Column2]:[Column54]],49,FALSE),"0")</f>
        <v>0</v>
      </c>
      <c r="AY105" s="74">
        <f>IFERROR(VLOOKUP(Table1215[[#This Row],[Column2]],Table12[[Column2]:[Column54]],50,FALSE),"0")</f>
        <v>0</v>
      </c>
      <c r="AZ105" s="74">
        <f>IFERROR(VLOOKUP(Table1215[[#This Row],[Column2]],Table12[[Column2]:[Column54]],51,FALSE),"0")</f>
        <v>2</v>
      </c>
      <c r="BA105" s="74">
        <f>IFERROR(VLOOKUP(Table1215[[#This Row],[Column2]],Table12[[Column2]:[Column54]],52,FALSE),"0")</f>
        <v>4</v>
      </c>
      <c r="BB105" s="80">
        <f>AVERAGE(Table1215[[#This Row],[Column52]],Table1215[[#This Row],[Column53]])</f>
        <v>3</v>
      </c>
    </row>
    <row r="106" spans="1:54" ht="23.1" customHeight="1" x14ac:dyDescent="0.3">
      <c r="A106" s="99">
        <v>103</v>
      </c>
      <c r="B106" s="76" t="s">
        <v>142</v>
      </c>
      <c r="C106" s="77" t="s">
        <v>143</v>
      </c>
      <c r="D106" s="76" t="s">
        <v>542</v>
      </c>
      <c r="E106" s="76" t="s">
        <v>35</v>
      </c>
      <c r="F106" s="76" t="str">
        <f>REPT(CHAR(160),10)&amp;Working!$E107</f>
        <v>          A</v>
      </c>
      <c r="G106" s="78">
        <f>IFERROR(VLOOKUP(Table1215[[#This Row],[Column2]],Table12[[Column2]:[Column54]],6,FALSE),"0")</f>
        <v>0</v>
      </c>
      <c r="H106" s="78">
        <f>IFERROR(VLOOKUP(Table1215[[#This Row],[Column2]],Table12[[Column2]:[Column54]],7,FALSE),"0")</f>
        <v>0</v>
      </c>
      <c r="I106" s="78">
        <f>IFERROR(VLOOKUP(Table1215[[#This Row],[Column2]],Table12[[Column2]:[Column54]],8,FALSE),"0")</f>
        <v>2</v>
      </c>
      <c r="J106" s="78">
        <f>IFERROR(VLOOKUP(Table1215[[#This Row],[Column2]],Table12[[Column2]:[Column54]],9,FALSE),"0")</f>
        <v>0</v>
      </c>
      <c r="K106" s="78">
        <f>IFERROR(VLOOKUP(Table1215[[#This Row],[Column2]],Table12[[Column2]:[Column54]],10,FALSE),"0")</f>
        <v>0</v>
      </c>
      <c r="L106" s="80">
        <f>Table1215[[#This Row],[Column9]]</f>
        <v>2</v>
      </c>
      <c r="M106" s="78">
        <f>IFERROR(VLOOKUP(Table1215[[#This Row],[Column2]],Table12[[Column2]:[Column54]],12,FALSE),"0")</f>
        <v>0</v>
      </c>
      <c r="N106" s="78">
        <f>IFERROR(VLOOKUP(Table1215[[#This Row],[Column2]],Table12[[Column2]:[Column54]],13,FALSE),"0")</f>
        <v>3</v>
      </c>
      <c r="O106" s="78">
        <f>IFERROR(VLOOKUP(Table1215[[#This Row],[Column2]],Table12[[Column2]:[Column54]],14,FALSE),"0")</f>
        <v>2</v>
      </c>
      <c r="P106" s="78">
        <f>IFERROR(VLOOKUP(Table1215[[#This Row],[Column2]],Table12[[Column2]:[Column54]],10,FALSE),"0")</f>
        <v>0</v>
      </c>
      <c r="Q106" s="78">
        <f>IFERROR(VLOOKUP(Table1215[[#This Row],[Column2]],Table12[[Column2]:[Column54]],16,FALSE),"0")</f>
        <v>2</v>
      </c>
      <c r="R106" s="80">
        <f>AVERAGE(Table1215[[#This Row],[Column14]],Table1215[[#This Row],[Column15]],Table1215[[#This Row],[Column17]])</f>
        <v>2.3333333333333335</v>
      </c>
      <c r="S106" s="78">
        <f>IFERROR(VLOOKUP(Table1215[[#This Row],[Column2]],Table12[[Column2]:[Column54]],18,FALSE),"0")</f>
        <v>0</v>
      </c>
      <c r="T106" s="78">
        <f>IFERROR(VLOOKUP(Table1215[[#This Row],[Column2]],Table12[[Column2]:[Column54]],19,FALSE),"0")</f>
        <v>0</v>
      </c>
      <c r="U106" s="78">
        <f>IFERROR(VLOOKUP(Table1215[[#This Row],[Column2]],Table12[[Column2]:[Column54]],20,FALSE),"0")</f>
        <v>0</v>
      </c>
      <c r="V106" s="78">
        <f>IFERROR(VLOOKUP(Table1215[[#This Row],[Column2]],Table12[[Column2]:[Column54]],21,FALSE),"0")</f>
        <v>0</v>
      </c>
      <c r="W106" s="78">
        <f>IFERROR(VLOOKUP(Table1215[[#This Row],[Column2]],Table12[[Column2]:[Column54]],22,FALSE),"0")</f>
        <v>0</v>
      </c>
      <c r="X106" s="80">
        <f>Table1215[[#This Row],[Column19]]</f>
        <v>0</v>
      </c>
      <c r="Y106" s="78">
        <f>IFERROR(VLOOKUP(Table1215[[#This Row],[Column2]],Table12[[Column2]:[Column54]],24,FALSE),"0")</f>
        <v>2</v>
      </c>
      <c r="Z106" s="78">
        <f>IFERROR(VLOOKUP(Table1215[[#This Row],[Column2]],Table12[[Column2]:[Column54]],25,FALSE),"0")</f>
        <v>0</v>
      </c>
      <c r="AA106" s="78">
        <f>IFERROR(VLOOKUP(Table1215[[#This Row],[Column2]],Table12[[Column2]:[Column54]],26,FALSE),"0")</f>
        <v>0</v>
      </c>
      <c r="AB106" s="78">
        <f>IFERROR(VLOOKUP(Table1215[[#This Row],[Column2]],Table12[[Column2]:[Column54]],27,FALSE),"0")</f>
        <v>0</v>
      </c>
      <c r="AC106" s="78">
        <f>IFERROR(VLOOKUP(Table1215[[#This Row],[Column2]],Table12[[Column2]:[Column54]],28,FALSE),"0")</f>
        <v>0</v>
      </c>
      <c r="AD106" s="80">
        <f>Table1215[[#This Row],[Column25]]</f>
        <v>2</v>
      </c>
      <c r="AE106" s="78">
        <f>IFERROR(VLOOKUP(Table1215[[#This Row],[Column2]],Table12[[Column2]:[Column54]],30,FALSE),"0")</f>
        <v>0</v>
      </c>
      <c r="AF106" s="78">
        <f>IFERROR(VLOOKUP(Table1215[[#This Row],[Column2]],Table12[[Column2]:[Column54]],31,FALSE),"0")</f>
        <v>0</v>
      </c>
      <c r="AG106" s="78">
        <f>IFERROR(VLOOKUP(Table1215[[#This Row],[Column2]],Table12[[Column2]:[Column54]],32,FALSE),"0")</f>
        <v>0</v>
      </c>
      <c r="AH106" s="78">
        <f>IFERROR(VLOOKUP(Table1215[[#This Row],[Column2]],Table12[[Column2]:[Column54]],33,FALSE),"0")</f>
        <v>0</v>
      </c>
      <c r="AI106" s="78">
        <f>IFERROR(VLOOKUP(Table1215[[#This Row],[Column2]],Table12[[Column2]:[Column54]],34,FALSE),"0")</f>
        <v>0</v>
      </c>
      <c r="AJ106" s="80">
        <f>AVERAGE(Table1215[[#This Row],[Column31]],Table1215[[#This Row],[Column32]],Table1215[[#This Row],[Column33]])</f>
        <v>0</v>
      </c>
      <c r="AK106" s="78">
        <f>IFERROR(VLOOKUP(Table1215[[#This Row],[Column2]],Table12[[Column2]:[Column54]],36,FALSE),"0")</f>
        <v>1</v>
      </c>
      <c r="AL106" s="78">
        <f>IFERROR(VLOOKUP(Table1215[[#This Row],[Column2]],Table12[[Column2]:[Column54]],37,FALSE),"0")</f>
        <v>2</v>
      </c>
      <c r="AM106" s="78">
        <f>IFERROR(VLOOKUP(Table1215[[#This Row],[Column2]],Table12[[Column2]:[Column54]],38,FALSE),"0")</f>
        <v>0</v>
      </c>
      <c r="AN106" s="78">
        <f>IFERROR(VLOOKUP(Table1215[[#This Row],[Column2]],Table12[[Column2]:[Column54]],39,FALSE),"0")</f>
        <v>2</v>
      </c>
      <c r="AO106" s="78">
        <f>IFERROR(VLOOKUP(Table1215[[#This Row],[Column2]],Table12[[Column2]:[Column54]],40,FALSE),"0")</f>
        <v>0</v>
      </c>
      <c r="AP106" s="80">
        <f>AVERAGE(Table1215[[#This Row],[Column37]],Table1215[[#This Row],[Column38]],Table1215[[#This Row],[Column40]])</f>
        <v>1.6666666666666667</v>
      </c>
      <c r="AQ106" s="78">
        <f>IFERROR(VLOOKUP(Table1215[[#This Row],[Column2]],Table12[[Column2]:[Column54]],42,FALSE),"0")</f>
        <v>2</v>
      </c>
      <c r="AR106" s="78">
        <f>IFERROR(VLOOKUP(Table1215[[#This Row],[Column2]],Table12[[Column2]:[Column54]],43,FALSE),"0")</f>
        <v>0</v>
      </c>
      <c r="AS106" s="78">
        <f>IFERROR(VLOOKUP(Table1215[[#This Row],[Column2]],Table12[[Column2]:[Column54]],44,FALSE),"0")</f>
        <v>0</v>
      </c>
      <c r="AT106" s="78">
        <f>IFERROR(VLOOKUP(Table1215[[#This Row],[Column2]],Table12[[Column2]:[Column54]],45,FALSE),"0")</f>
        <v>0</v>
      </c>
      <c r="AU106" s="78">
        <f>IFERROR(VLOOKUP(Table1215[[#This Row],[Column2]],Table12[[Column2]:[Column54]],46,FALSE),"0")</f>
        <v>0</v>
      </c>
      <c r="AV106" s="80">
        <f>Table1215[[#This Row],[Column43]]</f>
        <v>2</v>
      </c>
      <c r="AW106" s="78">
        <f>IFERROR(VLOOKUP(Table1215[[#This Row],[Column2]],Table12[[Column2]:[Column54]],48,FALSE),"0")</f>
        <v>0</v>
      </c>
      <c r="AX106" s="78">
        <f>IFERROR(VLOOKUP(Table1215[[#This Row],[Column2]],Table12[[Column2]:[Column54]],49,FALSE),"0")</f>
        <v>0</v>
      </c>
      <c r="AY106" s="78">
        <f>IFERROR(VLOOKUP(Table1215[[#This Row],[Column2]],Table12[[Column2]:[Column54]],50,FALSE),"0")</f>
        <v>0</v>
      </c>
      <c r="AZ106" s="78">
        <f>IFERROR(VLOOKUP(Table1215[[#This Row],[Column2]],Table12[[Column2]:[Column54]],51,FALSE),"0")</f>
        <v>1</v>
      </c>
      <c r="BA106" s="78">
        <f>IFERROR(VLOOKUP(Table1215[[#This Row],[Column2]],Table12[[Column2]:[Column54]],52,FALSE),"0")</f>
        <v>2</v>
      </c>
      <c r="BB106" s="80">
        <f>AVERAGE(Table1215[[#This Row],[Column52]],Table1215[[#This Row],[Column53]])</f>
        <v>1.5</v>
      </c>
    </row>
    <row r="107" spans="1:54" ht="23.1" customHeight="1" x14ac:dyDescent="0.3">
      <c r="A107" s="100">
        <v>104</v>
      </c>
      <c r="B107" s="83" t="s">
        <v>77</v>
      </c>
      <c r="C107" s="84" t="s">
        <v>78</v>
      </c>
      <c r="D107" s="83" t="s">
        <v>450</v>
      </c>
      <c r="E107" s="83" t="s">
        <v>35</v>
      </c>
      <c r="F107" s="83" t="str">
        <f>REPT(CHAR(160),10)&amp;Working!$E108</f>
        <v>          A</v>
      </c>
      <c r="G107" s="74">
        <f>IFERROR(VLOOKUP(Table1215[[#This Row],[Column2]],Table12[[Column2]:[Column54]],6,FALSE),"0")</f>
        <v>0</v>
      </c>
      <c r="H107" s="74">
        <f>IFERROR(VLOOKUP(Table1215[[#This Row],[Column2]],Table12[[Column2]:[Column54]],7,FALSE),"0")</f>
        <v>0</v>
      </c>
      <c r="I107" s="74">
        <f>IFERROR(VLOOKUP(Table1215[[#This Row],[Column2]],Table12[[Column2]:[Column54]],8,FALSE),"0")</f>
        <v>4</v>
      </c>
      <c r="J107" s="74">
        <f>IFERROR(VLOOKUP(Table1215[[#This Row],[Column2]],Table12[[Column2]:[Column54]],9,FALSE),"0")</f>
        <v>0</v>
      </c>
      <c r="K107" s="74">
        <f>IFERROR(VLOOKUP(Table1215[[#This Row],[Column2]],Table12[[Column2]:[Column54]],10,FALSE),"0")</f>
        <v>0</v>
      </c>
      <c r="L107" s="80">
        <f>Table1215[[#This Row],[Column9]]</f>
        <v>4</v>
      </c>
      <c r="M107" s="74">
        <f>IFERROR(VLOOKUP(Table1215[[#This Row],[Column2]],Table12[[Column2]:[Column54]],12,FALSE),"0")</f>
        <v>0</v>
      </c>
      <c r="N107" s="74">
        <f>IFERROR(VLOOKUP(Table1215[[#This Row],[Column2]],Table12[[Column2]:[Column54]],13,FALSE),"0")</f>
        <v>4</v>
      </c>
      <c r="O107" s="74">
        <f>IFERROR(VLOOKUP(Table1215[[#This Row],[Column2]],Table12[[Column2]:[Column54]],14,FALSE),"0")</f>
        <v>4</v>
      </c>
      <c r="P107" s="74">
        <f>IFERROR(VLOOKUP(Table1215[[#This Row],[Column2]],Table12[[Column2]:[Column54]],10,FALSE),"0")</f>
        <v>0</v>
      </c>
      <c r="Q107" s="74">
        <f>IFERROR(VLOOKUP(Table1215[[#This Row],[Column2]],Table12[[Column2]:[Column54]],16,FALSE),"0")</f>
        <v>4</v>
      </c>
      <c r="R107" s="80">
        <f>AVERAGE(Table1215[[#This Row],[Column14]],Table1215[[#This Row],[Column15]],Table1215[[#This Row],[Column17]])</f>
        <v>4</v>
      </c>
      <c r="S107" s="74">
        <f>IFERROR(VLOOKUP(Table1215[[#This Row],[Column2]],Table12[[Column2]:[Column54]],18,FALSE),"0")</f>
        <v>0</v>
      </c>
      <c r="T107" s="74">
        <f>IFERROR(VLOOKUP(Table1215[[#This Row],[Column2]],Table12[[Column2]:[Column54]],19,FALSE),"0")</f>
        <v>0</v>
      </c>
      <c r="U107" s="74">
        <f>IFERROR(VLOOKUP(Table1215[[#This Row],[Column2]],Table12[[Column2]:[Column54]],20,FALSE),"0")</f>
        <v>0</v>
      </c>
      <c r="V107" s="74">
        <f>IFERROR(VLOOKUP(Table1215[[#This Row],[Column2]],Table12[[Column2]:[Column54]],21,FALSE),"0")</f>
        <v>0</v>
      </c>
      <c r="W107" s="74">
        <f>IFERROR(VLOOKUP(Table1215[[#This Row],[Column2]],Table12[[Column2]:[Column54]],22,FALSE),"0")</f>
        <v>0</v>
      </c>
      <c r="X107" s="80">
        <f>Table1215[[#This Row],[Column19]]</f>
        <v>0</v>
      </c>
      <c r="Y107" s="74">
        <f>IFERROR(VLOOKUP(Table1215[[#This Row],[Column2]],Table12[[Column2]:[Column54]],24,FALSE),"0")</f>
        <v>4</v>
      </c>
      <c r="Z107" s="74">
        <f>IFERROR(VLOOKUP(Table1215[[#This Row],[Column2]],Table12[[Column2]:[Column54]],25,FALSE),"0")</f>
        <v>0</v>
      </c>
      <c r="AA107" s="74">
        <f>IFERROR(VLOOKUP(Table1215[[#This Row],[Column2]],Table12[[Column2]:[Column54]],26,FALSE),"0")</f>
        <v>0</v>
      </c>
      <c r="AB107" s="74">
        <f>IFERROR(VLOOKUP(Table1215[[#This Row],[Column2]],Table12[[Column2]:[Column54]],27,FALSE),"0")</f>
        <v>0</v>
      </c>
      <c r="AC107" s="74">
        <f>IFERROR(VLOOKUP(Table1215[[#This Row],[Column2]],Table12[[Column2]:[Column54]],28,FALSE),"0")</f>
        <v>0</v>
      </c>
      <c r="AD107" s="80">
        <f>Table1215[[#This Row],[Column25]]</f>
        <v>4</v>
      </c>
      <c r="AE107" s="74">
        <f>IFERROR(VLOOKUP(Table1215[[#This Row],[Column2]],Table12[[Column2]:[Column54]],30,FALSE),"0")</f>
        <v>0</v>
      </c>
      <c r="AF107" s="74">
        <f>IFERROR(VLOOKUP(Table1215[[#This Row],[Column2]],Table12[[Column2]:[Column54]],31,FALSE),"0")</f>
        <v>0</v>
      </c>
      <c r="AG107" s="74">
        <f>IFERROR(VLOOKUP(Table1215[[#This Row],[Column2]],Table12[[Column2]:[Column54]],32,FALSE),"0")</f>
        <v>0</v>
      </c>
      <c r="AH107" s="74">
        <f>IFERROR(VLOOKUP(Table1215[[#This Row],[Column2]],Table12[[Column2]:[Column54]],33,FALSE),"0")</f>
        <v>0</v>
      </c>
      <c r="AI107" s="74">
        <f>IFERROR(VLOOKUP(Table1215[[#This Row],[Column2]],Table12[[Column2]:[Column54]],34,FALSE),"0")</f>
        <v>0</v>
      </c>
      <c r="AJ107" s="80">
        <f>AVERAGE(Table1215[[#This Row],[Column31]],Table1215[[#This Row],[Column32]],Table1215[[#This Row],[Column33]])</f>
        <v>0</v>
      </c>
      <c r="AK107" s="74">
        <f>IFERROR(VLOOKUP(Table1215[[#This Row],[Column2]],Table12[[Column2]:[Column54]],36,FALSE),"0")</f>
        <v>5</v>
      </c>
      <c r="AL107" s="74">
        <f>IFERROR(VLOOKUP(Table1215[[#This Row],[Column2]],Table12[[Column2]:[Column54]],37,FALSE),"0")</f>
        <v>5</v>
      </c>
      <c r="AM107" s="74">
        <f>IFERROR(VLOOKUP(Table1215[[#This Row],[Column2]],Table12[[Column2]:[Column54]],38,FALSE),"0")</f>
        <v>0</v>
      </c>
      <c r="AN107" s="74">
        <f>IFERROR(VLOOKUP(Table1215[[#This Row],[Column2]],Table12[[Column2]:[Column54]],39,FALSE),"0")</f>
        <v>5</v>
      </c>
      <c r="AO107" s="74">
        <f>IFERROR(VLOOKUP(Table1215[[#This Row],[Column2]],Table12[[Column2]:[Column54]],40,FALSE),"0")</f>
        <v>0</v>
      </c>
      <c r="AP107" s="80">
        <f>AVERAGE(Table1215[[#This Row],[Column37]],Table1215[[#This Row],[Column38]],Table1215[[#This Row],[Column40]])</f>
        <v>5</v>
      </c>
      <c r="AQ107" s="74">
        <f>IFERROR(VLOOKUP(Table1215[[#This Row],[Column2]],Table12[[Column2]:[Column54]],42,FALSE),"0")</f>
        <v>5</v>
      </c>
      <c r="AR107" s="74">
        <f>IFERROR(VLOOKUP(Table1215[[#This Row],[Column2]],Table12[[Column2]:[Column54]],43,FALSE),"0")</f>
        <v>0</v>
      </c>
      <c r="AS107" s="74">
        <f>IFERROR(VLOOKUP(Table1215[[#This Row],[Column2]],Table12[[Column2]:[Column54]],44,FALSE),"0")</f>
        <v>0</v>
      </c>
      <c r="AT107" s="74">
        <f>IFERROR(VLOOKUP(Table1215[[#This Row],[Column2]],Table12[[Column2]:[Column54]],45,FALSE),"0")</f>
        <v>0</v>
      </c>
      <c r="AU107" s="74">
        <f>IFERROR(VLOOKUP(Table1215[[#This Row],[Column2]],Table12[[Column2]:[Column54]],46,FALSE),"0")</f>
        <v>0</v>
      </c>
      <c r="AV107" s="80">
        <f>Table1215[[#This Row],[Column43]]</f>
        <v>5</v>
      </c>
      <c r="AW107" s="74">
        <f>IFERROR(VLOOKUP(Table1215[[#This Row],[Column2]],Table12[[Column2]:[Column54]],48,FALSE),"0")</f>
        <v>0</v>
      </c>
      <c r="AX107" s="74">
        <f>IFERROR(VLOOKUP(Table1215[[#This Row],[Column2]],Table12[[Column2]:[Column54]],49,FALSE),"0")</f>
        <v>0</v>
      </c>
      <c r="AY107" s="74">
        <f>IFERROR(VLOOKUP(Table1215[[#This Row],[Column2]],Table12[[Column2]:[Column54]],50,FALSE),"0")</f>
        <v>0</v>
      </c>
      <c r="AZ107" s="74">
        <f>IFERROR(VLOOKUP(Table1215[[#This Row],[Column2]],Table12[[Column2]:[Column54]],51,FALSE),"0")</f>
        <v>4</v>
      </c>
      <c r="BA107" s="74">
        <f>IFERROR(VLOOKUP(Table1215[[#This Row],[Column2]],Table12[[Column2]:[Column54]],52,FALSE),"0")</f>
        <v>5</v>
      </c>
      <c r="BB107" s="80">
        <f>AVERAGE(Table1215[[#This Row],[Column52]],Table1215[[#This Row],[Column53]])</f>
        <v>4.5</v>
      </c>
    </row>
    <row r="108" spans="1:54" ht="23.1" customHeight="1" x14ac:dyDescent="0.3">
      <c r="A108" s="99">
        <v>105</v>
      </c>
      <c r="B108" s="76" t="s">
        <v>144</v>
      </c>
      <c r="C108" s="77" t="s">
        <v>145</v>
      </c>
      <c r="D108" s="76" t="s">
        <v>542</v>
      </c>
      <c r="E108" s="76" t="s">
        <v>35</v>
      </c>
      <c r="F108" s="76" t="str">
        <f>REPT(CHAR(160),10)&amp;Working!$E109</f>
        <v>          A</v>
      </c>
      <c r="G108" s="78">
        <f>IFERROR(VLOOKUP(Table1215[[#This Row],[Column2]],Table12[[Column2]:[Column54]],6,FALSE),"0")</f>
        <v>0</v>
      </c>
      <c r="H108" s="78">
        <f>IFERROR(VLOOKUP(Table1215[[#This Row],[Column2]],Table12[[Column2]:[Column54]],7,FALSE),"0")</f>
        <v>0</v>
      </c>
      <c r="I108" s="78">
        <f>IFERROR(VLOOKUP(Table1215[[#This Row],[Column2]],Table12[[Column2]:[Column54]],8,FALSE),"0")</f>
        <v>3</v>
      </c>
      <c r="J108" s="78">
        <f>IFERROR(VLOOKUP(Table1215[[#This Row],[Column2]],Table12[[Column2]:[Column54]],9,FALSE),"0")</f>
        <v>0</v>
      </c>
      <c r="K108" s="78">
        <f>IFERROR(VLOOKUP(Table1215[[#This Row],[Column2]],Table12[[Column2]:[Column54]],10,FALSE),"0")</f>
        <v>0</v>
      </c>
      <c r="L108" s="80">
        <f>Table1215[[#This Row],[Column9]]</f>
        <v>3</v>
      </c>
      <c r="M108" s="78">
        <f>IFERROR(VLOOKUP(Table1215[[#This Row],[Column2]],Table12[[Column2]:[Column54]],12,FALSE),"0")</f>
        <v>0</v>
      </c>
      <c r="N108" s="78">
        <f>IFERROR(VLOOKUP(Table1215[[#This Row],[Column2]],Table12[[Column2]:[Column54]],13,FALSE),"0")</f>
        <v>4</v>
      </c>
      <c r="O108" s="78">
        <f>IFERROR(VLOOKUP(Table1215[[#This Row],[Column2]],Table12[[Column2]:[Column54]],14,FALSE),"0")</f>
        <v>4</v>
      </c>
      <c r="P108" s="78">
        <f>IFERROR(VLOOKUP(Table1215[[#This Row],[Column2]],Table12[[Column2]:[Column54]],10,FALSE),"0")</f>
        <v>0</v>
      </c>
      <c r="Q108" s="78">
        <f>IFERROR(VLOOKUP(Table1215[[#This Row],[Column2]],Table12[[Column2]:[Column54]],16,FALSE),"0")</f>
        <v>4</v>
      </c>
      <c r="R108" s="80">
        <f>AVERAGE(Table1215[[#This Row],[Column14]],Table1215[[#This Row],[Column15]],Table1215[[#This Row],[Column17]])</f>
        <v>4</v>
      </c>
      <c r="S108" s="78">
        <f>IFERROR(VLOOKUP(Table1215[[#This Row],[Column2]],Table12[[Column2]:[Column54]],18,FALSE),"0")</f>
        <v>0</v>
      </c>
      <c r="T108" s="78">
        <f>IFERROR(VLOOKUP(Table1215[[#This Row],[Column2]],Table12[[Column2]:[Column54]],19,FALSE),"0")</f>
        <v>0</v>
      </c>
      <c r="U108" s="78">
        <f>IFERROR(VLOOKUP(Table1215[[#This Row],[Column2]],Table12[[Column2]:[Column54]],20,FALSE),"0")</f>
        <v>0</v>
      </c>
      <c r="V108" s="78">
        <f>IFERROR(VLOOKUP(Table1215[[#This Row],[Column2]],Table12[[Column2]:[Column54]],21,FALSE),"0")</f>
        <v>0</v>
      </c>
      <c r="W108" s="78">
        <f>IFERROR(VLOOKUP(Table1215[[#This Row],[Column2]],Table12[[Column2]:[Column54]],22,FALSE),"0")</f>
        <v>0</v>
      </c>
      <c r="X108" s="80">
        <f>Table1215[[#This Row],[Column19]]</f>
        <v>0</v>
      </c>
      <c r="Y108" s="78">
        <f>IFERROR(VLOOKUP(Table1215[[#This Row],[Column2]],Table12[[Column2]:[Column54]],24,FALSE),"0")</f>
        <v>5</v>
      </c>
      <c r="Z108" s="78">
        <f>IFERROR(VLOOKUP(Table1215[[#This Row],[Column2]],Table12[[Column2]:[Column54]],25,FALSE),"0")</f>
        <v>0</v>
      </c>
      <c r="AA108" s="78">
        <f>IFERROR(VLOOKUP(Table1215[[#This Row],[Column2]],Table12[[Column2]:[Column54]],26,FALSE),"0")</f>
        <v>0</v>
      </c>
      <c r="AB108" s="78">
        <f>IFERROR(VLOOKUP(Table1215[[#This Row],[Column2]],Table12[[Column2]:[Column54]],27,FALSE),"0")</f>
        <v>0</v>
      </c>
      <c r="AC108" s="78">
        <f>IFERROR(VLOOKUP(Table1215[[#This Row],[Column2]],Table12[[Column2]:[Column54]],28,FALSE),"0")</f>
        <v>0</v>
      </c>
      <c r="AD108" s="80">
        <f>Table1215[[#This Row],[Column25]]</f>
        <v>5</v>
      </c>
      <c r="AE108" s="78">
        <f>IFERROR(VLOOKUP(Table1215[[#This Row],[Column2]],Table12[[Column2]:[Column54]],30,FALSE),"0")</f>
        <v>0</v>
      </c>
      <c r="AF108" s="78">
        <f>IFERROR(VLOOKUP(Table1215[[#This Row],[Column2]],Table12[[Column2]:[Column54]],31,FALSE),"0")</f>
        <v>0</v>
      </c>
      <c r="AG108" s="78">
        <f>IFERROR(VLOOKUP(Table1215[[#This Row],[Column2]],Table12[[Column2]:[Column54]],32,FALSE),"0")</f>
        <v>0</v>
      </c>
      <c r="AH108" s="78">
        <f>IFERROR(VLOOKUP(Table1215[[#This Row],[Column2]],Table12[[Column2]:[Column54]],33,FALSE),"0")</f>
        <v>0</v>
      </c>
      <c r="AI108" s="78">
        <f>IFERROR(VLOOKUP(Table1215[[#This Row],[Column2]],Table12[[Column2]:[Column54]],34,FALSE),"0")</f>
        <v>0</v>
      </c>
      <c r="AJ108" s="80">
        <f>AVERAGE(Table1215[[#This Row],[Column31]],Table1215[[#This Row],[Column32]],Table1215[[#This Row],[Column33]])</f>
        <v>0</v>
      </c>
      <c r="AK108" s="78">
        <f>IFERROR(VLOOKUP(Table1215[[#This Row],[Column2]],Table12[[Column2]:[Column54]],36,FALSE),"0")</f>
        <v>3</v>
      </c>
      <c r="AL108" s="78">
        <f>IFERROR(VLOOKUP(Table1215[[#This Row],[Column2]],Table12[[Column2]:[Column54]],37,FALSE),"0")</f>
        <v>4</v>
      </c>
      <c r="AM108" s="78">
        <f>IFERROR(VLOOKUP(Table1215[[#This Row],[Column2]],Table12[[Column2]:[Column54]],38,FALSE),"0")</f>
        <v>0</v>
      </c>
      <c r="AN108" s="78">
        <f>IFERROR(VLOOKUP(Table1215[[#This Row],[Column2]],Table12[[Column2]:[Column54]],39,FALSE),"0")</f>
        <v>4</v>
      </c>
      <c r="AO108" s="78">
        <f>IFERROR(VLOOKUP(Table1215[[#This Row],[Column2]],Table12[[Column2]:[Column54]],40,FALSE),"0")</f>
        <v>0</v>
      </c>
      <c r="AP108" s="80">
        <f>AVERAGE(Table1215[[#This Row],[Column37]],Table1215[[#This Row],[Column38]],Table1215[[#This Row],[Column40]])</f>
        <v>3.6666666666666665</v>
      </c>
      <c r="AQ108" s="78">
        <f>IFERROR(VLOOKUP(Table1215[[#This Row],[Column2]],Table12[[Column2]:[Column54]],42,FALSE),"0")</f>
        <v>5</v>
      </c>
      <c r="AR108" s="78">
        <f>IFERROR(VLOOKUP(Table1215[[#This Row],[Column2]],Table12[[Column2]:[Column54]],43,FALSE),"0")</f>
        <v>0</v>
      </c>
      <c r="AS108" s="78">
        <f>IFERROR(VLOOKUP(Table1215[[#This Row],[Column2]],Table12[[Column2]:[Column54]],44,FALSE),"0")</f>
        <v>0</v>
      </c>
      <c r="AT108" s="78">
        <f>IFERROR(VLOOKUP(Table1215[[#This Row],[Column2]],Table12[[Column2]:[Column54]],45,FALSE),"0")</f>
        <v>0</v>
      </c>
      <c r="AU108" s="78">
        <f>IFERROR(VLOOKUP(Table1215[[#This Row],[Column2]],Table12[[Column2]:[Column54]],46,FALSE),"0")</f>
        <v>0</v>
      </c>
      <c r="AV108" s="80">
        <f>Table1215[[#This Row],[Column43]]</f>
        <v>5</v>
      </c>
      <c r="AW108" s="78">
        <f>IFERROR(VLOOKUP(Table1215[[#This Row],[Column2]],Table12[[Column2]:[Column54]],48,FALSE),"0")</f>
        <v>0</v>
      </c>
      <c r="AX108" s="78">
        <f>IFERROR(VLOOKUP(Table1215[[#This Row],[Column2]],Table12[[Column2]:[Column54]],49,FALSE),"0")</f>
        <v>0</v>
      </c>
      <c r="AY108" s="78">
        <f>IFERROR(VLOOKUP(Table1215[[#This Row],[Column2]],Table12[[Column2]:[Column54]],50,FALSE),"0")</f>
        <v>0</v>
      </c>
      <c r="AZ108" s="78">
        <f>IFERROR(VLOOKUP(Table1215[[#This Row],[Column2]],Table12[[Column2]:[Column54]],51,FALSE),"0")</f>
        <v>2</v>
      </c>
      <c r="BA108" s="78">
        <f>IFERROR(VLOOKUP(Table1215[[#This Row],[Column2]],Table12[[Column2]:[Column54]],52,FALSE),"0")</f>
        <v>4</v>
      </c>
      <c r="BB108" s="80">
        <f>AVERAGE(Table1215[[#This Row],[Column52]],Table1215[[#This Row],[Column53]])</f>
        <v>3</v>
      </c>
    </row>
    <row r="109" spans="1:54" ht="23.1" customHeight="1" x14ac:dyDescent="0.3">
      <c r="A109" s="100">
        <v>106</v>
      </c>
      <c r="B109" s="83" t="s">
        <v>350</v>
      </c>
      <c r="C109" s="84" t="s">
        <v>351</v>
      </c>
      <c r="D109" s="83" t="s">
        <v>450</v>
      </c>
      <c r="E109" s="83" t="s">
        <v>493</v>
      </c>
      <c r="F109" s="83" t="str">
        <f>REPT(CHAR(160),10)&amp;Working!$E110</f>
        <v>          C</v>
      </c>
      <c r="G109" s="74">
        <f>IFERROR(VLOOKUP(Table1215[[#This Row],[Column2]],Table12[[Column2]:[Column54]],6,FALSE),"0")</f>
        <v>0</v>
      </c>
      <c r="H109" s="74">
        <f>IFERROR(VLOOKUP(Table1215[[#This Row],[Column2]],Table12[[Column2]:[Column54]],7,FALSE),"0")</f>
        <v>0</v>
      </c>
      <c r="I109" s="74">
        <f>IFERROR(VLOOKUP(Table1215[[#This Row],[Column2]],Table12[[Column2]:[Column54]],8,FALSE),"0")</f>
        <v>5</v>
      </c>
      <c r="J109" s="74">
        <f>IFERROR(VLOOKUP(Table1215[[#This Row],[Column2]],Table12[[Column2]:[Column54]],9,FALSE),"0")</f>
        <v>0</v>
      </c>
      <c r="K109" s="74">
        <f>IFERROR(VLOOKUP(Table1215[[#This Row],[Column2]],Table12[[Column2]:[Column54]],10,FALSE),"0")</f>
        <v>0</v>
      </c>
      <c r="L109" s="80">
        <f>Table1215[[#This Row],[Column9]]</f>
        <v>5</v>
      </c>
      <c r="M109" s="74">
        <f>IFERROR(VLOOKUP(Table1215[[#This Row],[Column2]],Table12[[Column2]:[Column54]],12,FALSE),"0")</f>
        <v>0</v>
      </c>
      <c r="N109" s="74">
        <f>IFERROR(VLOOKUP(Table1215[[#This Row],[Column2]],Table12[[Column2]:[Column54]],13,FALSE),"0")</f>
        <v>5</v>
      </c>
      <c r="O109" s="74">
        <f>IFERROR(VLOOKUP(Table1215[[#This Row],[Column2]],Table12[[Column2]:[Column54]],14,FALSE),"0")</f>
        <v>4</v>
      </c>
      <c r="P109" s="74">
        <f>IFERROR(VLOOKUP(Table1215[[#This Row],[Column2]],Table12[[Column2]:[Column54]],10,FALSE),"0")</f>
        <v>0</v>
      </c>
      <c r="Q109" s="74">
        <f>IFERROR(VLOOKUP(Table1215[[#This Row],[Column2]],Table12[[Column2]:[Column54]],16,FALSE),"0")</f>
        <v>4</v>
      </c>
      <c r="R109" s="80">
        <f>AVERAGE(Table1215[[#This Row],[Column14]],Table1215[[#This Row],[Column15]],Table1215[[#This Row],[Column17]])</f>
        <v>4.333333333333333</v>
      </c>
      <c r="S109" s="74">
        <f>IFERROR(VLOOKUP(Table1215[[#This Row],[Column2]],Table12[[Column2]:[Column54]],18,FALSE),"0")</f>
        <v>0</v>
      </c>
      <c r="T109" s="74">
        <f>IFERROR(VLOOKUP(Table1215[[#This Row],[Column2]],Table12[[Column2]:[Column54]],19,FALSE),"0")</f>
        <v>0</v>
      </c>
      <c r="U109" s="74">
        <f>IFERROR(VLOOKUP(Table1215[[#This Row],[Column2]],Table12[[Column2]:[Column54]],20,FALSE),"0")</f>
        <v>0</v>
      </c>
      <c r="V109" s="74">
        <f>IFERROR(VLOOKUP(Table1215[[#This Row],[Column2]],Table12[[Column2]:[Column54]],21,FALSE),"0")</f>
        <v>0</v>
      </c>
      <c r="W109" s="74">
        <f>IFERROR(VLOOKUP(Table1215[[#This Row],[Column2]],Table12[[Column2]:[Column54]],22,FALSE),"0")</f>
        <v>0</v>
      </c>
      <c r="X109" s="80">
        <f>Table1215[[#This Row],[Column19]]</f>
        <v>0</v>
      </c>
      <c r="Y109" s="74">
        <f>IFERROR(VLOOKUP(Table1215[[#This Row],[Column2]],Table12[[Column2]:[Column54]],24,FALSE),"0")</f>
        <v>5</v>
      </c>
      <c r="Z109" s="74">
        <f>IFERROR(VLOOKUP(Table1215[[#This Row],[Column2]],Table12[[Column2]:[Column54]],25,FALSE),"0")</f>
        <v>0</v>
      </c>
      <c r="AA109" s="74">
        <f>IFERROR(VLOOKUP(Table1215[[#This Row],[Column2]],Table12[[Column2]:[Column54]],26,FALSE),"0")</f>
        <v>0</v>
      </c>
      <c r="AB109" s="74">
        <f>IFERROR(VLOOKUP(Table1215[[#This Row],[Column2]],Table12[[Column2]:[Column54]],27,FALSE),"0")</f>
        <v>0</v>
      </c>
      <c r="AC109" s="74">
        <f>IFERROR(VLOOKUP(Table1215[[#This Row],[Column2]],Table12[[Column2]:[Column54]],28,FALSE),"0")</f>
        <v>0</v>
      </c>
      <c r="AD109" s="80">
        <f>Table1215[[#This Row],[Column25]]</f>
        <v>5</v>
      </c>
      <c r="AE109" s="74">
        <f>IFERROR(VLOOKUP(Table1215[[#This Row],[Column2]],Table12[[Column2]:[Column54]],30,FALSE),"0")</f>
        <v>0</v>
      </c>
      <c r="AF109" s="74">
        <f>IFERROR(VLOOKUP(Table1215[[#This Row],[Column2]],Table12[[Column2]:[Column54]],31,FALSE),"0")</f>
        <v>0</v>
      </c>
      <c r="AG109" s="74">
        <f>IFERROR(VLOOKUP(Table1215[[#This Row],[Column2]],Table12[[Column2]:[Column54]],32,FALSE),"0")</f>
        <v>0</v>
      </c>
      <c r="AH109" s="74">
        <f>IFERROR(VLOOKUP(Table1215[[#This Row],[Column2]],Table12[[Column2]:[Column54]],33,FALSE),"0")</f>
        <v>0</v>
      </c>
      <c r="AI109" s="74">
        <f>IFERROR(VLOOKUP(Table1215[[#This Row],[Column2]],Table12[[Column2]:[Column54]],34,FALSE),"0")</f>
        <v>0</v>
      </c>
      <c r="AJ109" s="80">
        <f>AVERAGE(Table1215[[#This Row],[Column31]],Table1215[[#This Row],[Column32]],Table1215[[#This Row],[Column33]])</f>
        <v>0</v>
      </c>
      <c r="AK109" s="74">
        <f>IFERROR(VLOOKUP(Table1215[[#This Row],[Column2]],Table12[[Column2]:[Column54]],36,FALSE),"0")</f>
        <v>5</v>
      </c>
      <c r="AL109" s="74">
        <f>IFERROR(VLOOKUP(Table1215[[#This Row],[Column2]],Table12[[Column2]:[Column54]],37,FALSE),"0")</f>
        <v>5</v>
      </c>
      <c r="AM109" s="74">
        <f>IFERROR(VLOOKUP(Table1215[[#This Row],[Column2]],Table12[[Column2]:[Column54]],38,FALSE),"0")</f>
        <v>0</v>
      </c>
      <c r="AN109" s="74">
        <f>IFERROR(VLOOKUP(Table1215[[#This Row],[Column2]],Table12[[Column2]:[Column54]],39,FALSE),"0")</f>
        <v>5</v>
      </c>
      <c r="AO109" s="74">
        <f>IFERROR(VLOOKUP(Table1215[[#This Row],[Column2]],Table12[[Column2]:[Column54]],40,FALSE),"0")</f>
        <v>0</v>
      </c>
      <c r="AP109" s="80">
        <f>AVERAGE(Table1215[[#This Row],[Column37]],Table1215[[#This Row],[Column38]],Table1215[[#This Row],[Column40]])</f>
        <v>5</v>
      </c>
      <c r="AQ109" s="74">
        <f>IFERROR(VLOOKUP(Table1215[[#This Row],[Column2]],Table12[[Column2]:[Column54]],42,FALSE),"0")</f>
        <v>5</v>
      </c>
      <c r="AR109" s="74">
        <f>IFERROR(VLOOKUP(Table1215[[#This Row],[Column2]],Table12[[Column2]:[Column54]],43,FALSE),"0")</f>
        <v>0</v>
      </c>
      <c r="AS109" s="74">
        <f>IFERROR(VLOOKUP(Table1215[[#This Row],[Column2]],Table12[[Column2]:[Column54]],44,FALSE),"0")</f>
        <v>0</v>
      </c>
      <c r="AT109" s="74">
        <f>IFERROR(VLOOKUP(Table1215[[#This Row],[Column2]],Table12[[Column2]:[Column54]],45,FALSE),"0")</f>
        <v>0</v>
      </c>
      <c r="AU109" s="74">
        <f>IFERROR(VLOOKUP(Table1215[[#This Row],[Column2]],Table12[[Column2]:[Column54]],46,FALSE),"0")</f>
        <v>0</v>
      </c>
      <c r="AV109" s="80">
        <f>Table1215[[#This Row],[Column43]]</f>
        <v>5</v>
      </c>
      <c r="AW109" s="74">
        <f>IFERROR(VLOOKUP(Table1215[[#This Row],[Column2]],Table12[[Column2]:[Column54]],48,FALSE),"0")</f>
        <v>0</v>
      </c>
      <c r="AX109" s="74">
        <f>IFERROR(VLOOKUP(Table1215[[#This Row],[Column2]],Table12[[Column2]:[Column54]],49,FALSE),"0")</f>
        <v>0</v>
      </c>
      <c r="AY109" s="74">
        <f>IFERROR(VLOOKUP(Table1215[[#This Row],[Column2]],Table12[[Column2]:[Column54]],50,FALSE),"0")</f>
        <v>0</v>
      </c>
      <c r="AZ109" s="74">
        <f>IFERROR(VLOOKUP(Table1215[[#This Row],[Column2]],Table12[[Column2]:[Column54]],51,FALSE),"0")</f>
        <v>4</v>
      </c>
      <c r="BA109" s="74">
        <f>IFERROR(VLOOKUP(Table1215[[#This Row],[Column2]],Table12[[Column2]:[Column54]],52,FALSE),"0")</f>
        <v>5</v>
      </c>
      <c r="BB109" s="80">
        <f>AVERAGE(Table1215[[#This Row],[Column52]],Table1215[[#This Row],[Column53]])</f>
        <v>4.5</v>
      </c>
    </row>
    <row r="110" spans="1:54" ht="23.1" customHeight="1" x14ac:dyDescent="0.3">
      <c r="A110" s="99">
        <v>107</v>
      </c>
      <c r="B110" s="76" t="s">
        <v>352</v>
      </c>
      <c r="C110" s="77" t="s">
        <v>353</v>
      </c>
      <c r="D110" s="76" t="s">
        <v>542</v>
      </c>
      <c r="E110" s="76" t="s">
        <v>493</v>
      </c>
      <c r="F110" s="76" t="str">
        <f>REPT(CHAR(160),10)&amp;Working!$E111</f>
        <v>          C</v>
      </c>
      <c r="G110" s="78">
        <f>IFERROR(VLOOKUP(Table1215[[#This Row],[Column2]],Table12[[Column2]:[Column54]],6,FALSE),"0")</f>
        <v>0</v>
      </c>
      <c r="H110" s="78">
        <f>IFERROR(VLOOKUP(Table1215[[#This Row],[Column2]],Table12[[Column2]:[Column54]],7,FALSE),"0")</f>
        <v>0</v>
      </c>
      <c r="I110" s="78">
        <f>IFERROR(VLOOKUP(Table1215[[#This Row],[Column2]],Table12[[Column2]:[Column54]],8,FALSE),"0")</f>
        <v>3</v>
      </c>
      <c r="J110" s="78">
        <f>IFERROR(VLOOKUP(Table1215[[#This Row],[Column2]],Table12[[Column2]:[Column54]],9,FALSE),"0")</f>
        <v>0</v>
      </c>
      <c r="K110" s="78">
        <f>IFERROR(VLOOKUP(Table1215[[#This Row],[Column2]],Table12[[Column2]:[Column54]],10,FALSE),"0")</f>
        <v>0</v>
      </c>
      <c r="L110" s="80">
        <f>Table1215[[#This Row],[Column9]]</f>
        <v>3</v>
      </c>
      <c r="M110" s="78">
        <f>IFERROR(VLOOKUP(Table1215[[#This Row],[Column2]],Table12[[Column2]:[Column54]],12,FALSE),"0")</f>
        <v>0</v>
      </c>
      <c r="N110" s="78">
        <f>IFERROR(VLOOKUP(Table1215[[#This Row],[Column2]],Table12[[Column2]:[Column54]],13,FALSE),"0")</f>
        <v>4</v>
      </c>
      <c r="O110" s="78">
        <f>IFERROR(VLOOKUP(Table1215[[#This Row],[Column2]],Table12[[Column2]:[Column54]],14,FALSE),"0")</f>
        <v>4</v>
      </c>
      <c r="P110" s="78">
        <f>IFERROR(VLOOKUP(Table1215[[#This Row],[Column2]],Table12[[Column2]:[Column54]],10,FALSE),"0")</f>
        <v>0</v>
      </c>
      <c r="Q110" s="78">
        <f>IFERROR(VLOOKUP(Table1215[[#This Row],[Column2]],Table12[[Column2]:[Column54]],16,FALSE),"0")</f>
        <v>4</v>
      </c>
      <c r="R110" s="80">
        <f>AVERAGE(Table1215[[#This Row],[Column14]],Table1215[[#This Row],[Column15]],Table1215[[#This Row],[Column17]])</f>
        <v>4</v>
      </c>
      <c r="S110" s="78">
        <f>IFERROR(VLOOKUP(Table1215[[#This Row],[Column2]],Table12[[Column2]:[Column54]],18,FALSE),"0")</f>
        <v>0</v>
      </c>
      <c r="T110" s="78">
        <f>IFERROR(VLOOKUP(Table1215[[#This Row],[Column2]],Table12[[Column2]:[Column54]],19,FALSE),"0")</f>
        <v>0</v>
      </c>
      <c r="U110" s="78">
        <f>IFERROR(VLOOKUP(Table1215[[#This Row],[Column2]],Table12[[Column2]:[Column54]],20,FALSE),"0")</f>
        <v>0</v>
      </c>
      <c r="V110" s="78">
        <f>IFERROR(VLOOKUP(Table1215[[#This Row],[Column2]],Table12[[Column2]:[Column54]],21,FALSE),"0")</f>
        <v>0</v>
      </c>
      <c r="W110" s="78">
        <f>IFERROR(VLOOKUP(Table1215[[#This Row],[Column2]],Table12[[Column2]:[Column54]],22,FALSE),"0")</f>
        <v>0</v>
      </c>
      <c r="X110" s="80">
        <f>Table1215[[#This Row],[Column19]]</f>
        <v>0</v>
      </c>
      <c r="Y110" s="78">
        <f>IFERROR(VLOOKUP(Table1215[[#This Row],[Column2]],Table12[[Column2]:[Column54]],24,FALSE),"0")</f>
        <v>4</v>
      </c>
      <c r="Z110" s="78">
        <f>IFERROR(VLOOKUP(Table1215[[#This Row],[Column2]],Table12[[Column2]:[Column54]],25,FALSE),"0")</f>
        <v>0</v>
      </c>
      <c r="AA110" s="78">
        <f>IFERROR(VLOOKUP(Table1215[[#This Row],[Column2]],Table12[[Column2]:[Column54]],26,FALSE),"0")</f>
        <v>0</v>
      </c>
      <c r="AB110" s="78">
        <f>IFERROR(VLOOKUP(Table1215[[#This Row],[Column2]],Table12[[Column2]:[Column54]],27,FALSE),"0")</f>
        <v>0</v>
      </c>
      <c r="AC110" s="78">
        <f>IFERROR(VLOOKUP(Table1215[[#This Row],[Column2]],Table12[[Column2]:[Column54]],28,FALSE),"0")</f>
        <v>0</v>
      </c>
      <c r="AD110" s="80">
        <f>Table1215[[#This Row],[Column25]]</f>
        <v>4</v>
      </c>
      <c r="AE110" s="78">
        <f>IFERROR(VLOOKUP(Table1215[[#This Row],[Column2]],Table12[[Column2]:[Column54]],30,FALSE),"0")</f>
        <v>0</v>
      </c>
      <c r="AF110" s="78">
        <f>IFERROR(VLOOKUP(Table1215[[#This Row],[Column2]],Table12[[Column2]:[Column54]],31,FALSE),"0")</f>
        <v>0</v>
      </c>
      <c r="AG110" s="78">
        <f>IFERROR(VLOOKUP(Table1215[[#This Row],[Column2]],Table12[[Column2]:[Column54]],32,FALSE),"0")</f>
        <v>0</v>
      </c>
      <c r="AH110" s="78">
        <f>IFERROR(VLOOKUP(Table1215[[#This Row],[Column2]],Table12[[Column2]:[Column54]],33,FALSE),"0")</f>
        <v>0</v>
      </c>
      <c r="AI110" s="78">
        <f>IFERROR(VLOOKUP(Table1215[[#This Row],[Column2]],Table12[[Column2]:[Column54]],34,FALSE),"0")</f>
        <v>0</v>
      </c>
      <c r="AJ110" s="80">
        <f>AVERAGE(Table1215[[#This Row],[Column31]],Table1215[[#This Row],[Column32]],Table1215[[#This Row],[Column33]])</f>
        <v>0</v>
      </c>
      <c r="AK110" s="78">
        <f>IFERROR(VLOOKUP(Table1215[[#This Row],[Column2]],Table12[[Column2]:[Column54]],36,FALSE),"0")</f>
        <v>2</v>
      </c>
      <c r="AL110" s="78">
        <f>IFERROR(VLOOKUP(Table1215[[#This Row],[Column2]],Table12[[Column2]:[Column54]],37,FALSE),"0")</f>
        <v>4</v>
      </c>
      <c r="AM110" s="78">
        <f>IFERROR(VLOOKUP(Table1215[[#This Row],[Column2]],Table12[[Column2]:[Column54]],38,FALSE),"0")</f>
        <v>0</v>
      </c>
      <c r="AN110" s="78">
        <f>IFERROR(VLOOKUP(Table1215[[#This Row],[Column2]],Table12[[Column2]:[Column54]],39,FALSE),"0")</f>
        <v>4</v>
      </c>
      <c r="AO110" s="78">
        <f>IFERROR(VLOOKUP(Table1215[[#This Row],[Column2]],Table12[[Column2]:[Column54]],40,FALSE),"0")</f>
        <v>0</v>
      </c>
      <c r="AP110" s="80">
        <f>AVERAGE(Table1215[[#This Row],[Column37]],Table1215[[#This Row],[Column38]],Table1215[[#This Row],[Column40]])</f>
        <v>3.3333333333333335</v>
      </c>
      <c r="AQ110" s="78">
        <f>IFERROR(VLOOKUP(Table1215[[#This Row],[Column2]],Table12[[Column2]:[Column54]],42,FALSE),"0")</f>
        <v>3</v>
      </c>
      <c r="AR110" s="78">
        <f>IFERROR(VLOOKUP(Table1215[[#This Row],[Column2]],Table12[[Column2]:[Column54]],43,FALSE),"0")</f>
        <v>0</v>
      </c>
      <c r="AS110" s="78">
        <f>IFERROR(VLOOKUP(Table1215[[#This Row],[Column2]],Table12[[Column2]:[Column54]],44,FALSE),"0")</f>
        <v>0</v>
      </c>
      <c r="AT110" s="78">
        <f>IFERROR(VLOOKUP(Table1215[[#This Row],[Column2]],Table12[[Column2]:[Column54]],45,FALSE),"0")</f>
        <v>0</v>
      </c>
      <c r="AU110" s="78">
        <f>IFERROR(VLOOKUP(Table1215[[#This Row],[Column2]],Table12[[Column2]:[Column54]],46,FALSE),"0")</f>
        <v>0</v>
      </c>
      <c r="AV110" s="80">
        <f>Table1215[[#This Row],[Column43]]</f>
        <v>3</v>
      </c>
      <c r="AW110" s="78">
        <f>IFERROR(VLOOKUP(Table1215[[#This Row],[Column2]],Table12[[Column2]:[Column54]],48,FALSE),"0")</f>
        <v>0</v>
      </c>
      <c r="AX110" s="78">
        <f>IFERROR(VLOOKUP(Table1215[[#This Row],[Column2]],Table12[[Column2]:[Column54]],49,FALSE),"0")</f>
        <v>0</v>
      </c>
      <c r="AY110" s="78">
        <f>IFERROR(VLOOKUP(Table1215[[#This Row],[Column2]],Table12[[Column2]:[Column54]],50,FALSE),"0")</f>
        <v>0</v>
      </c>
      <c r="AZ110" s="78">
        <f>IFERROR(VLOOKUP(Table1215[[#This Row],[Column2]],Table12[[Column2]:[Column54]],51,FALSE),"0")</f>
        <v>2</v>
      </c>
      <c r="BA110" s="78">
        <f>IFERROR(VLOOKUP(Table1215[[#This Row],[Column2]],Table12[[Column2]:[Column54]],52,FALSE),"0")</f>
        <v>5</v>
      </c>
      <c r="BB110" s="80">
        <f>AVERAGE(Table1215[[#This Row],[Column52]],Table1215[[#This Row],[Column53]])</f>
        <v>3.5</v>
      </c>
    </row>
    <row r="111" spans="1:54" ht="23.1" customHeight="1" x14ac:dyDescent="0.3">
      <c r="A111" s="100">
        <v>108</v>
      </c>
      <c r="B111" s="83" t="s">
        <v>279</v>
      </c>
      <c r="C111" s="84" t="s">
        <v>280</v>
      </c>
      <c r="D111" s="83" t="s">
        <v>450</v>
      </c>
      <c r="E111" s="83" t="s">
        <v>161</v>
      </c>
      <c r="F111" s="83" t="str">
        <f>REPT(CHAR(160),10)&amp;Working!$E112</f>
        <v>          B</v>
      </c>
      <c r="G111" s="74">
        <f>IFERROR(VLOOKUP(Table1215[[#This Row],[Column2]],Table12[[Column2]:[Column54]],6,FALSE),"0")</f>
        <v>0</v>
      </c>
      <c r="H111" s="74">
        <f>IFERROR(VLOOKUP(Table1215[[#This Row],[Column2]],Table12[[Column2]:[Column54]],7,FALSE),"0")</f>
        <v>0</v>
      </c>
      <c r="I111" s="74">
        <f>IFERROR(VLOOKUP(Table1215[[#This Row],[Column2]],Table12[[Column2]:[Column54]],8,FALSE),"0")</f>
        <v>2</v>
      </c>
      <c r="J111" s="74">
        <f>IFERROR(VLOOKUP(Table1215[[#This Row],[Column2]],Table12[[Column2]:[Column54]],9,FALSE),"0")</f>
        <v>0</v>
      </c>
      <c r="K111" s="74">
        <f>IFERROR(VLOOKUP(Table1215[[#This Row],[Column2]],Table12[[Column2]:[Column54]],10,FALSE),"0")</f>
        <v>0</v>
      </c>
      <c r="L111" s="80">
        <f>Table1215[[#This Row],[Column9]]</f>
        <v>2</v>
      </c>
      <c r="M111" s="74">
        <f>IFERROR(VLOOKUP(Table1215[[#This Row],[Column2]],Table12[[Column2]:[Column54]],12,FALSE),"0")</f>
        <v>0</v>
      </c>
      <c r="N111" s="74">
        <f>IFERROR(VLOOKUP(Table1215[[#This Row],[Column2]],Table12[[Column2]:[Column54]],13,FALSE),"0")</f>
        <v>2</v>
      </c>
      <c r="O111" s="74">
        <f>IFERROR(VLOOKUP(Table1215[[#This Row],[Column2]],Table12[[Column2]:[Column54]],14,FALSE),"0")</f>
        <v>1</v>
      </c>
      <c r="P111" s="74">
        <f>IFERROR(VLOOKUP(Table1215[[#This Row],[Column2]],Table12[[Column2]:[Column54]],10,FALSE),"0")</f>
        <v>0</v>
      </c>
      <c r="Q111" s="74">
        <f>IFERROR(VLOOKUP(Table1215[[#This Row],[Column2]],Table12[[Column2]:[Column54]],16,FALSE),"0")</f>
        <v>1</v>
      </c>
      <c r="R111" s="80">
        <f>AVERAGE(Table1215[[#This Row],[Column14]],Table1215[[#This Row],[Column15]],Table1215[[#This Row],[Column17]])</f>
        <v>1.3333333333333333</v>
      </c>
      <c r="S111" s="74">
        <f>IFERROR(VLOOKUP(Table1215[[#This Row],[Column2]],Table12[[Column2]:[Column54]],18,FALSE),"0")</f>
        <v>0</v>
      </c>
      <c r="T111" s="74">
        <f>IFERROR(VLOOKUP(Table1215[[#This Row],[Column2]],Table12[[Column2]:[Column54]],19,FALSE),"0")</f>
        <v>0</v>
      </c>
      <c r="U111" s="74">
        <f>IFERROR(VLOOKUP(Table1215[[#This Row],[Column2]],Table12[[Column2]:[Column54]],20,FALSE),"0")</f>
        <v>0</v>
      </c>
      <c r="V111" s="74">
        <f>IFERROR(VLOOKUP(Table1215[[#This Row],[Column2]],Table12[[Column2]:[Column54]],21,FALSE),"0")</f>
        <v>0</v>
      </c>
      <c r="W111" s="74">
        <f>IFERROR(VLOOKUP(Table1215[[#This Row],[Column2]],Table12[[Column2]:[Column54]],22,FALSE),"0")</f>
        <v>0</v>
      </c>
      <c r="X111" s="80">
        <f>Table1215[[#This Row],[Column19]]</f>
        <v>0</v>
      </c>
      <c r="Y111" s="74">
        <f>IFERROR(VLOOKUP(Table1215[[#This Row],[Column2]],Table12[[Column2]:[Column54]],24,FALSE),"0")</f>
        <v>2</v>
      </c>
      <c r="Z111" s="74">
        <f>IFERROR(VLOOKUP(Table1215[[#This Row],[Column2]],Table12[[Column2]:[Column54]],25,FALSE),"0")</f>
        <v>0</v>
      </c>
      <c r="AA111" s="74">
        <f>IFERROR(VLOOKUP(Table1215[[#This Row],[Column2]],Table12[[Column2]:[Column54]],26,FALSE),"0")</f>
        <v>0</v>
      </c>
      <c r="AB111" s="74">
        <f>IFERROR(VLOOKUP(Table1215[[#This Row],[Column2]],Table12[[Column2]:[Column54]],27,FALSE),"0")</f>
        <v>0</v>
      </c>
      <c r="AC111" s="74">
        <f>IFERROR(VLOOKUP(Table1215[[#This Row],[Column2]],Table12[[Column2]:[Column54]],28,FALSE),"0")</f>
        <v>0</v>
      </c>
      <c r="AD111" s="80">
        <f>Table1215[[#This Row],[Column25]]</f>
        <v>2</v>
      </c>
      <c r="AE111" s="74">
        <f>IFERROR(VLOOKUP(Table1215[[#This Row],[Column2]],Table12[[Column2]:[Column54]],30,FALSE),"0")</f>
        <v>0</v>
      </c>
      <c r="AF111" s="74">
        <f>IFERROR(VLOOKUP(Table1215[[#This Row],[Column2]],Table12[[Column2]:[Column54]],31,FALSE),"0")</f>
        <v>0</v>
      </c>
      <c r="AG111" s="74">
        <f>IFERROR(VLOOKUP(Table1215[[#This Row],[Column2]],Table12[[Column2]:[Column54]],32,FALSE),"0")</f>
        <v>0</v>
      </c>
      <c r="AH111" s="74">
        <f>IFERROR(VLOOKUP(Table1215[[#This Row],[Column2]],Table12[[Column2]:[Column54]],33,FALSE),"0")</f>
        <v>0</v>
      </c>
      <c r="AI111" s="74">
        <f>IFERROR(VLOOKUP(Table1215[[#This Row],[Column2]],Table12[[Column2]:[Column54]],34,FALSE),"0")</f>
        <v>0</v>
      </c>
      <c r="AJ111" s="80">
        <f>AVERAGE(Table1215[[#This Row],[Column31]],Table1215[[#This Row],[Column32]],Table1215[[#This Row],[Column33]])</f>
        <v>0</v>
      </c>
      <c r="AK111" s="74">
        <f>IFERROR(VLOOKUP(Table1215[[#This Row],[Column2]],Table12[[Column2]:[Column54]],36,FALSE),"0")</f>
        <v>2</v>
      </c>
      <c r="AL111" s="74">
        <f>IFERROR(VLOOKUP(Table1215[[#This Row],[Column2]],Table12[[Column2]:[Column54]],37,FALSE),"0")</f>
        <v>3</v>
      </c>
      <c r="AM111" s="74">
        <f>IFERROR(VLOOKUP(Table1215[[#This Row],[Column2]],Table12[[Column2]:[Column54]],38,FALSE),"0")</f>
        <v>0</v>
      </c>
      <c r="AN111" s="74">
        <f>IFERROR(VLOOKUP(Table1215[[#This Row],[Column2]],Table12[[Column2]:[Column54]],39,FALSE),"0")</f>
        <v>3</v>
      </c>
      <c r="AO111" s="74">
        <f>IFERROR(VLOOKUP(Table1215[[#This Row],[Column2]],Table12[[Column2]:[Column54]],40,FALSE),"0")</f>
        <v>0</v>
      </c>
      <c r="AP111" s="80">
        <f>AVERAGE(Table1215[[#This Row],[Column37]],Table1215[[#This Row],[Column38]],Table1215[[#This Row],[Column40]])</f>
        <v>2.6666666666666665</v>
      </c>
      <c r="AQ111" s="74">
        <f>IFERROR(VLOOKUP(Table1215[[#This Row],[Column2]],Table12[[Column2]:[Column54]],42,FALSE),"0")</f>
        <v>4</v>
      </c>
      <c r="AR111" s="74">
        <f>IFERROR(VLOOKUP(Table1215[[#This Row],[Column2]],Table12[[Column2]:[Column54]],43,FALSE),"0")</f>
        <v>0</v>
      </c>
      <c r="AS111" s="74">
        <f>IFERROR(VLOOKUP(Table1215[[#This Row],[Column2]],Table12[[Column2]:[Column54]],44,FALSE),"0")</f>
        <v>0</v>
      </c>
      <c r="AT111" s="74">
        <f>IFERROR(VLOOKUP(Table1215[[#This Row],[Column2]],Table12[[Column2]:[Column54]],45,FALSE),"0")</f>
        <v>0</v>
      </c>
      <c r="AU111" s="74">
        <f>IFERROR(VLOOKUP(Table1215[[#This Row],[Column2]],Table12[[Column2]:[Column54]],46,FALSE),"0")</f>
        <v>0</v>
      </c>
      <c r="AV111" s="80">
        <f>Table1215[[#This Row],[Column43]]</f>
        <v>4</v>
      </c>
      <c r="AW111" s="74">
        <f>IFERROR(VLOOKUP(Table1215[[#This Row],[Column2]],Table12[[Column2]:[Column54]],48,FALSE),"0")</f>
        <v>0</v>
      </c>
      <c r="AX111" s="74">
        <f>IFERROR(VLOOKUP(Table1215[[#This Row],[Column2]],Table12[[Column2]:[Column54]],49,FALSE),"0")</f>
        <v>0</v>
      </c>
      <c r="AY111" s="74">
        <f>IFERROR(VLOOKUP(Table1215[[#This Row],[Column2]],Table12[[Column2]:[Column54]],50,FALSE),"0")</f>
        <v>0</v>
      </c>
      <c r="AZ111" s="74">
        <f>IFERROR(VLOOKUP(Table1215[[#This Row],[Column2]],Table12[[Column2]:[Column54]],51,FALSE),"0")</f>
        <v>1</v>
      </c>
      <c r="BA111" s="74">
        <f>IFERROR(VLOOKUP(Table1215[[#This Row],[Column2]],Table12[[Column2]:[Column54]],52,FALSE),"0")</f>
        <v>3</v>
      </c>
      <c r="BB111" s="80">
        <f>AVERAGE(Table1215[[#This Row],[Column52]],Table1215[[#This Row],[Column53]])</f>
        <v>2</v>
      </c>
    </row>
    <row r="112" spans="1:54" ht="23.1" customHeight="1" x14ac:dyDescent="0.3">
      <c r="A112" s="99">
        <v>109</v>
      </c>
      <c r="B112" s="76" t="s">
        <v>168</v>
      </c>
      <c r="C112" s="77" t="s">
        <v>169</v>
      </c>
      <c r="D112" s="76" t="s">
        <v>450</v>
      </c>
      <c r="E112" s="76" t="s">
        <v>161</v>
      </c>
      <c r="F112" s="76" t="str">
        <f>REPT(CHAR(160),10)&amp;Working!$E113</f>
        <v>          B</v>
      </c>
      <c r="G112" s="78">
        <f>IFERROR(VLOOKUP(Table1215[[#This Row],[Column2]],Table12[[Column2]:[Column54]],6,FALSE),"0")</f>
        <v>0</v>
      </c>
      <c r="H112" s="78">
        <f>IFERROR(VLOOKUP(Table1215[[#This Row],[Column2]],Table12[[Column2]:[Column54]],7,FALSE),"0")</f>
        <v>0</v>
      </c>
      <c r="I112" s="78">
        <f>IFERROR(VLOOKUP(Table1215[[#This Row],[Column2]],Table12[[Column2]:[Column54]],8,FALSE),"0")</f>
        <v>3</v>
      </c>
      <c r="J112" s="78">
        <f>IFERROR(VLOOKUP(Table1215[[#This Row],[Column2]],Table12[[Column2]:[Column54]],9,FALSE),"0")</f>
        <v>0</v>
      </c>
      <c r="K112" s="78">
        <f>IFERROR(VLOOKUP(Table1215[[#This Row],[Column2]],Table12[[Column2]:[Column54]],10,FALSE),"0")</f>
        <v>0</v>
      </c>
      <c r="L112" s="80">
        <f>Table1215[[#This Row],[Column9]]</f>
        <v>3</v>
      </c>
      <c r="M112" s="78">
        <f>IFERROR(VLOOKUP(Table1215[[#This Row],[Column2]],Table12[[Column2]:[Column54]],12,FALSE),"0")</f>
        <v>0</v>
      </c>
      <c r="N112" s="78">
        <f>IFERROR(VLOOKUP(Table1215[[#This Row],[Column2]],Table12[[Column2]:[Column54]],13,FALSE),"0")</f>
        <v>4</v>
      </c>
      <c r="O112" s="78">
        <f>IFERROR(VLOOKUP(Table1215[[#This Row],[Column2]],Table12[[Column2]:[Column54]],14,FALSE),"0")</f>
        <v>4</v>
      </c>
      <c r="P112" s="78">
        <f>IFERROR(VLOOKUP(Table1215[[#This Row],[Column2]],Table12[[Column2]:[Column54]],10,FALSE),"0")</f>
        <v>0</v>
      </c>
      <c r="Q112" s="78">
        <f>IFERROR(VLOOKUP(Table1215[[#This Row],[Column2]],Table12[[Column2]:[Column54]],16,FALSE),"0")</f>
        <v>4</v>
      </c>
      <c r="R112" s="80">
        <f>AVERAGE(Table1215[[#This Row],[Column14]],Table1215[[#This Row],[Column15]],Table1215[[#This Row],[Column17]])</f>
        <v>4</v>
      </c>
      <c r="S112" s="78">
        <f>IFERROR(VLOOKUP(Table1215[[#This Row],[Column2]],Table12[[Column2]:[Column54]],18,FALSE),"0")</f>
        <v>0</v>
      </c>
      <c r="T112" s="78">
        <f>IFERROR(VLOOKUP(Table1215[[#This Row],[Column2]],Table12[[Column2]:[Column54]],19,FALSE),"0")</f>
        <v>0</v>
      </c>
      <c r="U112" s="78">
        <f>IFERROR(VLOOKUP(Table1215[[#This Row],[Column2]],Table12[[Column2]:[Column54]],20,FALSE),"0")</f>
        <v>0</v>
      </c>
      <c r="V112" s="78">
        <f>IFERROR(VLOOKUP(Table1215[[#This Row],[Column2]],Table12[[Column2]:[Column54]],21,FALSE),"0")</f>
        <v>0</v>
      </c>
      <c r="W112" s="78">
        <f>IFERROR(VLOOKUP(Table1215[[#This Row],[Column2]],Table12[[Column2]:[Column54]],22,FALSE),"0")</f>
        <v>0</v>
      </c>
      <c r="X112" s="80">
        <f>Table1215[[#This Row],[Column19]]</f>
        <v>0</v>
      </c>
      <c r="Y112" s="78">
        <f>IFERROR(VLOOKUP(Table1215[[#This Row],[Column2]],Table12[[Column2]:[Column54]],24,FALSE),"0")</f>
        <v>4</v>
      </c>
      <c r="Z112" s="78">
        <f>IFERROR(VLOOKUP(Table1215[[#This Row],[Column2]],Table12[[Column2]:[Column54]],25,FALSE),"0")</f>
        <v>0</v>
      </c>
      <c r="AA112" s="78">
        <f>IFERROR(VLOOKUP(Table1215[[#This Row],[Column2]],Table12[[Column2]:[Column54]],26,FALSE),"0")</f>
        <v>0</v>
      </c>
      <c r="AB112" s="78">
        <f>IFERROR(VLOOKUP(Table1215[[#This Row],[Column2]],Table12[[Column2]:[Column54]],27,FALSE),"0")</f>
        <v>0</v>
      </c>
      <c r="AC112" s="78">
        <f>IFERROR(VLOOKUP(Table1215[[#This Row],[Column2]],Table12[[Column2]:[Column54]],28,FALSE),"0")</f>
        <v>0</v>
      </c>
      <c r="AD112" s="80">
        <f>Table1215[[#This Row],[Column25]]</f>
        <v>4</v>
      </c>
      <c r="AE112" s="78">
        <f>IFERROR(VLOOKUP(Table1215[[#This Row],[Column2]],Table12[[Column2]:[Column54]],30,FALSE),"0")</f>
        <v>0</v>
      </c>
      <c r="AF112" s="78">
        <f>IFERROR(VLOOKUP(Table1215[[#This Row],[Column2]],Table12[[Column2]:[Column54]],31,FALSE),"0")</f>
        <v>0</v>
      </c>
      <c r="AG112" s="78">
        <f>IFERROR(VLOOKUP(Table1215[[#This Row],[Column2]],Table12[[Column2]:[Column54]],32,FALSE),"0")</f>
        <v>0</v>
      </c>
      <c r="AH112" s="78">
        <f>IFERROR(VLOOKUP(Table1215[[#This Row],[Column2]],Table12[[Column2]:[Column54]],33,FALSE),"0")</f>
        <v>0</v>
      </c>
      <c r="AI112" s="78">
        <f>IFERROR(VLOOKUP(Table1215[[#This Row],[Column2]],Table12[[Column2]:[Column54]],34,FALSE),"0")</f>
        <v>0</v>
      </c>
      <c r="AJ112" s="80">
        <f>AVERAGE(Table1215[[#This Row],[Column31]],Table1215[[#This Row],[Column32]],Table1215[[#This Row],[Column33]])</f>
        <v>0</v>
      </c>
      <c r="AK112" s="78">
        <f>IFERROR(VLOOKUP(Table1215[[#This Row],[Column2]],Table12[[Column2]:[Column54]],36,FALSE),"0")</f>
        <v>3</v>
      </c>
      <c r="AL112" s="78">
        <f>IFERROR(VLOOKUP(Table1215[[#This Row],[Column2]],Table12[[Column2]:[Column54]],37,FALSE),"0")</f>
        <v>4</v>
      </c>
      <c r="AM112" s="78">
        <f>IFERROR(VLOOKUP(Table1215[[#This Row],[Column2]],Table12[[Column2]:[Column54]],38,FALSE),"0")</f>
        <v>0</v>
      </c>
      <c r="AN112" s="78">
        <f>IFERROR(VLOOKUP(Table1215[[#This Row],[Column2]],Table12[[Column2]:[Column54]],39,FALSE),"0")</f>
        <v>4</v>
      </c>
      <c r="AO112" s="78">
        <f>IFERROR(VLOOKUP(Table1215[[#This Row],[Column2]],Table12[[Column2]:[Column54]],40,FALSE),"0")</f>
        <v>0</v>
      </c>
      <c r="AP112" s="80">
        <f>AVERAGE(Table1215[[#This Row],[Column37]],Table1215[[#This Row],[Column38]],Table1215[[#This Row],[Column40]])</f>
        <v>3.6666666666666665</v>
      </c>
      <c r="AQ112" s="78">
        <f>IFERROR(VLOOKUP(Table1215[[#This Row],[Column2]],Table12[[Column2]:[Column54]],42,FALSE),"0")</f>
        <v>4</v>
      </c>
      <c r="AR112" s="78">
        <f>IFERROR(VLOOKUP(Table1215[[#This Row],[Column2]],Table12[[Column2]:[Column54]],43,FALSE),"0")</f>
        <v>0</v>
      </c>
      <c r="AS112" s="78">
        <f>IFERROR(VLOOKUP(Table1215[[#This Row],[Column2]],Table12[[Column2]:[Column54]],44,FALSE),"0")</f>
        <v>0</v>
      </c>
      <c r="AT112" s="78">
        <f>IFERROR(VLOOKUP(Table1215[[#This Row],[Column2]],Table12[[Column2]:[Column54]],45,FALSE),"0")</f>
        <v>0</v>
      </c>
      <c r="AU112" s="78">
        <f>IFERROR(VLOOKUP(Table1215[[#This Row],[Column2]],Table12[[Column2]:[Column54]],46,FALSE),"0")</f>
        <v>0</v>
      </c>
      <c r="AV112" s="80">
        <f>Table1215[[#This Row],[Column43]]</f>
        <v>4</v>
      </c>
      <c r="AW112" s="78">
        <f>IFERROR(VLOOKUP(Table1215[[#This Row],[Column2]],Table12[[Column2]:[Column54]],48,FALSE),"0")</f>
        <v>0</v>
      </c>
      <c r="AX112" s="78">
        <f>IFERROR(VLOOKUP(Table1215[[#This Row],[Column2]],Table12[[Column2]:[Column54]],49,FALSE),"0")</f>
        <v>0</v>
      </c>
      <c r="AY112" s="78">
        <f>IFERROR(VLOOKUP(Table1215[[#This Row],[Column2]],Table12[[Column2]:[Column54]],50,FALSE),"0")</f>
        <v>0</v>
      </c>
      <c r="AZ112" s="78">
        <f>IFERROR(VLOOKUP(Table1215[[#This Row],[Column2]],Table12[[Column2]:[Column54]],51,FALSE),"0")</f>
        <v>2</v>
      </c>
      <c r="BA112" s="78">
        <f>IFERROR(VLOOKUP(Table1215[[#This Row],[Column2]],Table12[[Column2]:[Column54]],52,FALSE),"0")</f>
        <v>4</v>
      </c>
      <c r="BB112" s="80">
        <f>AVERAGE(Table1215[[#This Row],[Column52]],Table1215[[#This Row],[Column53]])</f>
        <v>3</v>
      </c>
    </row>
    <row r="113" spans="1:54" ht="23.1" customHeight="1" x14ac:dyDescent="0.3">
      <c r="A113" s="100">
        <v>110</v>
      </c>
      <c r="B113" s="83" t="s">
        <v>186</v>
      </c>
      <c r="C113" s="84" t="s">
        <v>187</v>
      </c>
      <c r="D113" s="83" t="s">
        <v>450</v>
      </c>
      <c r="E113" s="83" t="s">
        <v>161</v>
      </c>
      <c r="F113" s="83" t="str">
        <f>REPT(CHAR(160),10)&amp;Working!$E114</f>
        <v>          B</v>
      </c>
      <c r="G113" s="74">
        <f>IFERROR(VLOOKUP(Table1215[[#This Row],[Column2]],Table12[[Column2]:[Column54]],6,FALSE),"0")</f>
        <v>0</v>
      </c>
      <c r="H113" s="74">
        <f>IFERROR(VLOOKUP(Table1215[[#This Row],[Column2]],Table12[[Column2]:[Column54]],7,FALSE),"0")</f>
        <v>0</v>
      </c>
      <c r="I113" s="74">
        <f>IFERROR(VLOOKUP(Table1215[[#This Row],[Column2]],Table12[[Column2]:[Column54]],8,FALSE),"0")</f>
        <v>4</v>
      </c>
      <c r="J113" s="74">
        <f>IFERROR(VLOOKUP(Table1215[[#This Row],[Column2]],Table12[[Column2]:[Column54]],9,FALSE),"0")</f>
        <v>0</v>
      </c>
      <c r="K113" s="74">
        <f>IFERROR(VLOOKUP(Table1215[[#This Row],[Column2]],Table12[[Column2]:[Column54]],10,FALSE),"0")</f>
        <v>0</v>
      </c>
      <c r="L113" s="80">
        <f>Table1215[[#This Row],[Column9]]</f>
        <v>4</v>
      </c>
      <c r="M113" s="74">
        <f>IFERROR(VLOOKUP(Table1215[[#This Row],[Column2]],Table12[[Column2]:[Column54]],12,FALSE),"0")</f>
        <v>0</v>
      </c>
      <c r="N113" s="74">
        <f>IFERROR(VLOOKUP(Table1215[[#This Row],[Column2]],Table12[[Column2]:[Column54]],13,FALSE),"0")</f>
        <v>4</v>
      </c>
      <c r="O113" s="74">
        <f>IFERROR(VLOOKUP(Table1215[[#This Row],[Column2]],Table12[[Column2]:[Column54]],14,FALSE),"0")</f>
        <v>4</v>
      </c>
      <c r="P113" s="74">
        <f>IFERROR(VLOOKUP(Table1215[[#This Row],[Column2]],Table12[[Column2]:[Column54]],10,FALSE),"0")</f>
        <v>0</v>
      </c>
      <c r="Q113" s="74">
        <f>IFERROR(VLOOKUP(Table1215[[#This Row],[Column2]],Table12[[Column2]:[Column54]],16,FALSE),"0")</f>
        <v>4</v>
      </c>
      <c r="R113" s="80">
        <f>AVERAGE(Table1215[[#This Row],[Column14]],Table1215[[#This Row],[Column15]],Table1215[[#This Row],[Column17]])</f>
        <v>4</v>
      </c>
      <c r="S113" s="74">
        <f>IFERROR(VLOOKUP(Table1215[[#This Row],[Column2]],Table12[[Column2]:[Column54]],18,FALSE),"0")</f>
        <v>0</v>
      </c>
      <c r="T113" s="74">
        <f>IFERROR(VLOOKUP(Table1215[[#This Row],[Column2]],Table12[[Column2]:[Column54]],19,FALSE),"0")</f>
        <v>0</v>
      </c>
      <c r="U113" s="74">
        <f>IFERROR(VLOOKUP(Table1215[[#This Row],[Column2]],Table12[[Column2]:[Column54]],20,FALSE),"0")</f>
        <v>0</v>
      </c>
      <c r="V113" s="74">
        <f>IFERROR(VLOOKUP(Table1215[[#This Row],[Column2]],Table12[[Column2]:[Column54]],21,FALSE),"0")</f>
        <v>0</v>
      </c>
      <c r="W113" s="74">
        <f>IFERROR(VLOOKUP(Table1215[[#This Row],[Column2]],Table12[[Column2]:[Column54]],22,FALSE),"0")</f>
        <v>0</v>
      </c>
      <c r="X113" s="80">
        <f>Table1215[[#This Row],[Column19]]</f>
        <v>0</v>
      </c>
      <c r="Y113" s="74">
        <f>IFERROR(VLOOKUP(Table1215[[#This Row],[Column2]],Table12[[Column2]:[Column54]],24,FALSE),"0")</f>
        <v>4</v>
      </c>
      <c r="Z113" s="74">
        <f>IFERROR(VLOOKUP(Table1215[[#This Row],[Column2]],Table12[[Column2]:[Column54]],25,FALSE),"0")</f>
        <v>0</v>
      </c>
      <c r="AA113" s="74">
        <f>IFERROR(VLOOKUP(Table1215[[#This Row],[Column2]],Table12[[Column2]:[Column54]],26,FALSE),"0")</f>
        <v>0</v>
      </c>
      <c r="AB113" s="74">
        <f>IFERROR(VLOOKUP(Table1215[[#This Row],[Column2]],Table12[[Column2]:[Column54]],27,FALSE),"0")</f>
        <v>0</v>
      </c>
      <c r="AC113" s="74">
        <f>IFERROR(VLOOKUP(Table1215[[#This Row],[Column2]],Table12[[Column2]:[Column54]],28,FALSE),"0")</f>
        <v>0</v>
      </c>
      <c r="AD113" s="80">
        <f>Table1215[[#This Row],[Column25]]</f>
        <v>4</v>
      </c>
      <c r="AE113" s="74">
        <f>IFERROR(VLOOKUP(Table1215[[#This Row],[Column2]],Table12[[Column2]:[Column54]],30,FALSE),"0")</f>
        <v>0</v>
      </c>
      <c r="AF113" s="74">
        <f>IFERROR(VLOOKUP(Table1215[[#This Row],[Column2]],Table12[[Column2]:[Column54]],31,FALSE),"0")</f>
        <v>0</v>
      </c>
      <c r="AG113" s="74">
        <f>IFERROR(VLOOKUP(Table1215[[#This Row],[Column2]],Table12[[Column2]:[Column54]],32,FALSE),"0")</f>
        <v>0</v>
      </c>
      <c r="AH113" s="74">
        <f>IFERROR(VLOOKUP(Table1215[[#This Row],[Column2]],Table12[[Column2]:[Column54]],33,FALSE),"0")</f>
        <v>0</v>
      </c>
      <c r="AI113" s="74">
        <f>IFERROR(VLOOKUP(Table1215[[#This Row],[Column2]],Table12[[Column2]:[Column54]],34,FALSE),"0")</f>
        <v>0</v>
      </c>
      <c r="AJ113" s="80">
        <f>AVERAGE(Table1215[[#This Row],[Column31]],Table1215[[#This Row],[Column32]],Table1215[[#This Row],[Column33]])</f>
        <v>0</v>
      </c>
      <c r="AK113" s="74">
        <f>IFERROR(VLOOKUP(Table1215[[#This Row],[Column2]],Table12[[Column2]:[Column54]],36,FALSE),"0")</f>
        <v>5</v>
      </c>
      <c r="AL113" s="74">
        <f>IFERROR(VLOOKUP(Table1215[[#This Row],[Column2]],Table12[[Column2]:[Column54]],37,FALSE),"0")</f>
        <v>4</v>
      </c>
      <c r="AM113" s="74">
        <f>IFERROR(VLOOKUP(Table1215[[#This Row],[Column2]],Table12[[Column2]:[Column54]],38,FALSE),"0")</f>
        <v>0</v>
      </c>
      <c r="AN113" s="74">
        <f>IFERROR(VLOOKUP(Table1215[[#This Row],[Column2]],Table12[[Column2]:[Column54]],39,FALSE),"0")</f>
        <v>5</v>
      </c>
      <c r="AO113" s="74">
        <f>IFERROR(VLOOKUP(Table1215[[#This Row],[Column2]],Table12[[Column2]:[Column54]],40,FALSE),"0")</f>
        <v>0</v>
      </c>
      <c r="AP113" s="80">
        <f>AVERAGE(Table1215[[#This Row],[Column37]],Table1215[[#This Row],[Column38]],Table1215[[#This Row],[Column40]])</f>
        <v>4.666666666666667</v>
      </c>
      <c r="AQ113" s="74">
        <f>IFERROR(VLOOKUP(Table1215[[#This Row],[Column2]],Table12[[Column2]:[Column54]],42,FALSE),"0")</f>
        <v>5</v>
      </c>
      <c r="AR113" s="74">
        <f>IFERROR(VLOOKUP(Table1215[[#This Row],[Column2]],Table12[[Column2]:[Column54]],43,FALSE),"0")</f>
        <v>0</v>
      </c>
      <c r="AS113" s="74">
        <f>IFERROR(VLOOKUP(Table1215[[#This Row],[Column2]],Table12[[Column2]:[Column54]],44,FALSE),"0")</f>
        <v>0</v>
      </c>
      <c r="AT113" s="74">
        <f>IFERROR(VLOOKUP(Table1215[[#This Row],[Column2]],Table12[[Column2]:[Column54]],45,FALSE),"0")</f>
        <v>0</v>
      </c>
      <c r="AU113" s="74">
        <f>IFERROR(VLOOKUP(Table1215[[#This Row],[Column2]],Table12[[Column2]:[Column54]],46,FALSE),"0")</f>
        <v>0</v>
      </c>
      <c r="AV113" s="80">
        <f>Table1215[[#This Row],[Column43]]</f>
        <v>5</v>
      </c>
      <c r="AW113" s="74">
        <f>IFERROR(VLOOKUP(Table1215[[#This Row],[Column2]],Table12[[Column2]:[Column54]],48,FALSE),"0")</f>
        <v>0</v>
      </c>
      <c r="AX113" s="74">
        <f>IFERROR(VLOOKUP(Table1215[[#This Row],[Column2]],Table12[[Column2]:[Column54]],49,FALSE),"0")</f>
        <v>0</v>
      </c>
      <c r="AY113" s="74">
        <f>IFERROR(VLOOKUP(Table1215[[#This Row],[Column2]],Table12[[Column2]:[Column54]],50,FALSE),"0")</f>
        <v>0</v>
      </c>
      <c r="AZ113" s="74">
        <f>IFERROR(VLOOKUP(Table1215[[#This Row],[Column2]],Table12[[Column2]:[Column54]],51,FALSE),"0")</f>
        <v>5</v>
      </c>
      <c r="BA113" s="74">
        <f>IFERROR(VLOOKUP(Table1215[[#This Row],[Column2]],Table12[[Column2]:[Column54]],52,FALSE),"0")</f>
        <v>4</v>
      </c>
      <c r="BB113" s="80">
        <f>AVERAGE(Table1215[[#This Row],[Column52]],Table1215[[#This Row],[Column53]])</f>
        <v>4.5</v>
      </c>
    </row>
    <row r="114" spans="1:54" ht="23.1" customHeight="1" x14ac:dyDescent="0.3">
      <c r="A114" s="99">
        <v>111</v>
      </c>
      <c r="B114" s="76" t="s">
        <v>233</v>
      </c>
      <c r="C114" s="77" t="s">
        <v>234</v>
      </c>
      <c r="D114" s="76" t="s">
        <v>450</v>
      </c>
      <c r="E114" s="76" t="s">
        <v>161</v>
      </c>
      <c r="F114" s="76" t="str">
        <f>REPT(CHAR(160),10)&amp;Working!$E115</f>
        <v>          B</v>
      </c>
      <c r="G114" s="78">
        <f>IFERROR(VLOOKUP(Table1215[[#This Row],[Column2]],Table12[[Column2]:[Column54]],6,FALSE),"0")</f>
        <v>0</v>
      </c>
      <c r="H114" s="78">
        <f>IFERROR(VLOOKUP(Table1215[[#This Row],[Column2]],Table12[[Column2]:[Column54]],7,FALSE),"0")</f>
        <v>0</v>
      </c>
      <c r="I114" s="78">
        <f>IFERROR(VLOOKUP(Table1215[[#This Row],[Column2]],Table12[[Column2]:[Column54]],8,FALSE),"0")</f>
        <v>0</v>
      </c>
      <c r="J114" s="78">
        <f>IFERROR(VLOOKUP(Table1215[[#This Row],[Column2]],Table12[[Column2]:[Column54]],9,FALSE),"0")</f>
        <v>0</v>
      </c>
      <c r="K114" s="78">
        <f>IFERROR(VLOOKUP(Table1215[[#This Row],[Column2]],Table12[[Column2]:[Column54]],10,FALSE),"0")</f>
        <v>0</v>
      </c>
      <c r="L114" s="80">
        <f>Table1215[[#This Row],[Column9]]</f>
        <v>0</v>
      </c>
      <c r="M114" s="78">
        <f>IFERROR(VLOOKUP(Table1215[[#This Row],[Column2]],Table12[[Column2]:[Column54]],12,FALSE),"0")</f>
        <v>0</v>
      </c>
      <c r="N114" s="78">
        <f>IFERROR(VLOOKUP(Table1215[[#This Row],[Column2]],Table12[[Column2]:[Column54]],13,FALSE),"0")</f>
        <v>0</v>
      </c>
      <c r="O114" s="78">
        <f>IFERROR(VLOOKUP(Table1215[[#This Row],[Column2]],Table12[[Column2]:[Column54]],14,FALSE),"0")</f>
        <v>0</v>
      </c>
      <c r="P114" s="78">
        <f>IFERROR(VLOOKUP(Table1215[[#This Row],[Column2]],Table12[[Column2]:[Column54]],10,FALSE),"0")</f>
        <v>0</v>
      </c>
      <c r="Q114" s="78">
        <f>IFERROR(VLOOKUP(Table1215[[#This Row],[Column2]],Table12[[Column2]:[Column54]],16,FALSE),"0")</f>
        <v>0</v>
      </c>
      <c r="R114" s="80">
        <f>AVERAGE(Table1215[[#This Row],[Column14]],Table1215[[#This Row],[Column15]],Table1215[[#This Row],[Column17]])</f>
        <v>0</v>
      </c>
      <c r="S114" s="78">
        <f>IFERROR(VLOOKUP(Table1215[[#This Row],[Column2]],Table12[[Column2]:[Column54]],18,FALSE),"0")</f>
        <v>0</v>
      </c>
      <c r="T114" s="78">
        <f>IFERROR(VLOOKUP(Table1215[[#This Row],[Column2]],Table12[[Column2]:[Column54]],19,FALSE),"0")</f>
        <v>0</v>
      </c>
      <c r="U114" s="78">
        <f>IFERROR(VLOOKUP(Table1215[[#This Row],[Column2]],Table12[[Column2]:[Column54]],20,FALSE),"0")</f>
        <v>0</v>
      </c>
      <c r="V114" s="78">
        <f>IFERROR(VLOOKUP(Table1215[[#This Row],[Column2]],Table12[[Column2]:[Column54]],21,FALSE),"0")</f>
        <v>0</v>
      </c>
      <c r="W114" s="78">
        <f>IFERROR(VLOOKUP(Table1215[[#This Row],[Column2]],Table12[[Column2]:[Column54]],22,FALSE),"0")</f>
        <v>0</v>
      </c>
      <c r="X114" s="80">
        <f>Table1215[[#This Row],[Column19]]</f>
        <v>0</v>
      </c>
      <c r="Y114" s="78">
        <f>IFERROR(VLOOKUP(Table1215[[#This Row],[Column2]],Table12[[Column2]:[Column54]],24,FALSE),"0")</f>
        <v>0</v>
      </c>
      <c r="Z114" s="78">
        <f>IFERROR(VLOOKUP(Table1215[[#This Row],[Column2]],Table12[[Column2]:[Column54]],25,FALSE),"0")</f>
        <v>0</v>
      </c>
      <c r="AA114" s="78">
        <f>IFERROR(VLOOKUP(Table1215[[#This Row],[Column2]],Table12[[Column2]:[Column54]],26,FALSE),"0")</f>
        <v>0</v>
      </c>
      <c r="AB114" s="78">
        <f>IFERROR(VLOOKUP(Table1215[[#This Row],[Column2]],Table12[[Column2]:[Column54]],27,FALSE),"0")</f>
        <v>0</v>
      </c>
      <c r="AC114" s="78">
        <f>IFERROR(VLOOKUP(Table1215[[#This Row],[Column2]],Table12[[Column2]:[Column54]],28,FALSE),"0")</f>
        <v>0</v>
      </c>
      <c r="AD114" s="80">
        <f>Table1215[[#This Row],[Column25]]</f>
        <v>0</v>
      </c>
      <c r="AE114" s="78">
        <f>IFERROR(VLOOKUP(Table1215[[#This Row],[Column2]],Table12[[Column2]:[Column54]],30,FALSE),"0")</f>
        <v>0</v>
      </c>
      <c r="AF114" s="78">
        <f>IFERROR(VLOOKUP(Table1215[[#This Row],[Column2]],Table12[[Column2]:[Column54]],31,FALSE),"0")</f>
        <v>0</v>
      </c>
      <c r="AG114" s="78">
        <f>IFERROR(VLOOKUP(Table1215[[#This Row],[Column2]],Table12[[Column2]:[Column54]],32,FALSE),"0")</f>
        <v>0</v>
      </c>
      <c r="AH114" s="78">
        <f>IFERROR(VLOOKUP(Table1215[[#This Row],[Column2]],Table12[[Column2]:[Column54]],33,FALSE),"0")</f>
        <v>0</v>
      </c>
      <c r="AI114" s="78">
        <f>IFERROR(VLOOKUP(Table1215[[#This Row],[Column2]],Table12[[Column2]:[Column54]],34,FALSE),"0")</f>
        <v>0</v>
      </c>
      <c r="AJ114" s="80">
        <f>AVERAGE(Table1215[[#This Row],[Column31]],Table1215[[#This Row],[Column32]],Table1215[[#This Row],[Column33]])</f>
        <v>0</v>
      </c>
      <c r="AK114" s="78">
        <f>IFERROR(VLOOKUP(Table1215[[#This Row],[Column2]],Table12[[Column2]:[Column54]],36,FALSE),"0")</f>
        <v>0</v>
      </c>
      <c r="AL114" s="78">
        <f>IFERROR(VLOOKUP(Table1215[[#This Row],[Column2]],Table12[[Column2]:[Column54]],37,FALSE),"0")</f>
        <v>0</v>
      </c>
      <c r="AM114" s="78">
        <f>IFERROR(VLOOKUP(Table1215[[#This Row],[Column2]],Table12[[Column2]:[Column54]],38,FALSE),"0")</f>
        <v>0</v>
      </c>
      <c r="AN114" s="78">
        <f>IFERROR(VLOOKUP(Table1215[[#This Row],[Column2]],Table12[[Column2]:[Column54]],39,FALSE),"0")</f>
        <v>0</v>
      </c>
      <c r="AO114" s="78">
        <f>IFERROR(VLOOKUP(Table1215[[#This Row],[Column2]],Table12[[Column2]:[Column54]],40,FALSE),"0")</f>
        <v>0</v>
      </c>
      <c r="AP114" s="80">
        <f>AVERAGE(Table1215[[#This Row],[Column37]],Table1215[[#This Row],[Column38]],Table1215[[#This Row],[Column40]])</f>
        <v>0</v>
      </c>
      <c r="AQ114" s="78">
        <f>IFERROR(VLOOKUP(Table1215[[#This Row],[Column2]],Table12[[Column2]:[Column54]],42,FALSE),"0")</f>
        <v>0</v>
      </c>
      <c r="AR114" s="78">
        <f>IFERROR(VLOOKUP(Table1215[[#This Row],[Column2]],Table12[[Column2]:[Column54]],43,FALSE),"0")</f>
        <v>0</v>
      </c>
      <c r="AS114" s="78">
        <f>IFERROR(VLOOKUP(Table1215[[#This Row],[Column2]],Table12[[Column2]:[Column54]],44,FALSE),"0")</f>
        <v>0</v>
      </c>
      <c r="AT114" s="78">
        <f>IFERROR(VLOOKUP(Table1215[[#This Row],[Column2]],Table12[[Column2]:[Column54]],45,FALSE),"0")</f>
        <v>0</v>
      </c>
      <c r="AU114" s="78">
        <f>IFERROR(VLOOKUP(Table1215[[#This Row],[Column2]],Table12[[Column2]:[Column54]],46,FALSE),"0")</f>
        <v>0</v>
      </c>
      <c r="AV114" s="80">
        <f>Table1215[[#This Row],[Column43]]</f>
        <v>0</v>
      </c>
      <c r="AW114" s="78">
        <f>IFERROR(VLOOKUP(Table1215[[#This Row],[Column2]],Table12[[Column2]:[Column54]],48,FALSE),"0")</f>
        <v>0</v>
      </c>
      <c r="AX114" s="78">
        <f>IFERROR(VLOOKUP(Table1215[[#This Row],[Column2]],Table12[[Column2]:[Column54]],49,FALSE),"0")</f>
        <v>0</v>
      </c>
      <c r="AY114" s="78">
        <f>IFERROR(VLOOKUP(Table1215[[#This Row],[Column2]],Table12[[Column2]:[Column54]],50,FALSE),"0")</f>
        <v>0</v>
      </c>
      <c r="AZ114" s="78">
        <f>IFERROR(VLOOKUP(Table1215[[#This Row],[Column2]],Table12[[Column2]:[Column54]],51,FALSE),"0")</f>
        <v>0</v>
      </c>
      <c r="BA114" s="78">
        <f>IFERROR(VLOOKUP(Table1215[[#This Row],[Column2]],Table12[[Column2]:[Column54]],52,FALSE),"0")</f>
        <v>0</v>
      </c>
      <c r="BB114" s="80">
        <f>AVERAGE(Table1215[[#This Row],[Column52]],Table1215[[#This Row],[Column53]])</f>
        <v>0</v>
      </c>
    </row>
    <row r="115" spans="1:54" ht="23.1" customHeight="1" x14ac:dyDescent="0.3">
      <c r="A115" s="100">
        <v>112</v>
      </c>
      <c r="B115" s="83" t="s">
        <v>146</v>
      </c>
      <c r="C115" s="84" t="s">
        <v>147</v>
      </c>
      <c r="D115" s="83" t="s">
        <v>450</v>
      </c>
      <c r="E115" s="83" t="s">
        <v>35</v>
      </c>
      <c r="F115" s="83" t="str">
        <f>REPT(CHAR(160),10)&amp;Working!$E116</f>
        <v>          A</v>
      </c>
      <c r="G115" s="74">
        <f>IFERROR(VLOOKUP(Table1215[[#This Row],[Column2]],Table12[[Column2]:[Column54]],6,FALSE),"0")</f>
        <v>0</v>
      </c>
      <c r="H115" s="74">
        <f>IFERROR(VLOOKUP(Table1215[[#This Row],[Column2]],Table12[[Column2]:[Column54]],7,FALSE),"0")</f>
        <v>0</v>
      </c>
      <c r="I115" s="74">
        <f>IFERROR(VLOOKUP(Table1215[[#This Row],[Column2]],Table12[[Column2]:[Column54]],8,FALSE),"0")</f>
        <v>3</v>
      </c>
      <c r="J115" s="74">
        <f>IFERROR(VLOOKUP(Table1215[[#This Row],[Column2]],Table12[[Column2]:[Column54]],9,FALSE),"0")</f>
        <v>0</v>
      </c>
      <c r="K115" s="74">
        <f>IFERROR(VLOOKUP(Table1215[[#This Row],[Column2]],Table12[[Column2]:[Column54]],10,FALSE),"0")</f>
        <v>0</v>
      </c>
      <c r="L115" s="80">
        <f>Table1215[[#This Row],[Column9]]</f>
        <v>3</v>
      </c>
      <c r="M115" s="74">
        <f>IFERROR(VLOOKUP(Table1215[[#This Row],[Column2]],Table12[[Column2]:[Column54]],12,FALSE),"0")</f>
        <v>0</v>
      </c>
      <c r="N115" s="74">
        <f>IFERROR(VLOOKUP(Table1215[[#This Row],[Column2]],Table12[[Column2]:[Column54]],13,FALSE),"0")</f>
        <v>3</v>
      </c>
      <c r="O115" s="74">
        <f>IFERROR(VLOOKUP(Table1215[[#This Row],[Column2]],Table12[[Column2]:[Column54]],14,FALSE),"0")</f>
        <v>3</v>
      </c>
      <c r="P115" s="74">
        <f>IFERROR(VLOOKUP(Table1215[[#This Row],[Column2]],Table12[[Column2]:[Column54]],10,FALSE),"0")</f>
        <v>0</v>
      </c>
      <c r="Q115" s="74">
        <f>IFERROR(VLOOKUP(Table1215[[#This Row],[Column2]],Table12[[Column2]:[Column54]],16,FALSE),"0")</f>
        <v>3</v>
      </c>
      <c r="R115" s="80">
        <f>AVERAGE(Table1215[[#This Row],[Column14]],Table1215[[#This Row],[Column15]],Table1215[[#This Row],[Column17]])</f>
        <v>3</v>
      </c>
      <c r="S115" s="74">
        <f>IFERROR(VLOOKUP(Table1215[[#This Row],[Column2]],Table12[[Column2]:[Column54]],18,FALSE),"0")</f>
        <v>0</v>
      </c>
      <c r="T115" s="74">
        <f>IFERROR(VLOOKUP(Table1215[[#This Row],[Column2]],Table12[[Column2]:[Column54]],19,FALSE),"0")</f>
        <v>0</v>
      </c>
      <c r="U115" s="74">
        <f>IFERROR(VLOOKUP(Table1215[[#This Row],[Column2]],Table12[[Column2]:[Column54]],20,FALSE),"0")</f>
        <v>0</v>
      </c>
      <c r="V115" s="74">
        <f>IFERROR(VLOOKUP(Table1215[[#This Row],[Column2]],Table12[[Column2]:[Column54]],21,FALSE),"0")</f>
        <v>0</v>
      </c>
      <c r="W115" s="74">
        <f>IFERROR(VLOOKUP(Table1215[[#This Row],[Column2]],Table12[[Column2]:[Column54]],22,FALSE),"0")</f>
        <v>0</v>
      </c>
      <c r="X115" s="80">
        <f>Table1215[[#This Row],[Column19]]</f>
        <v>0</v>
      </c>
      <c r="Y115" s="74">
        <f>IFERROR(VLOOKUP(Table1215[[#This Row],[Column2]],Table12[[Column2]:[Column54]],24,FALSE),"0")</f>
        <v>3</v>
      </c>
      <c r="Z115" s="74">
        <f>IFERROR(VLOOKUP(Table1215[[#This Row],[Column2]],Table12[[Column2]:[Column54]],25,FALSE),"0")</f>
        <v>0</v>
      </c>
      <c r="AA115" s="74">
        <f>IFERROR(VLOOKUP(Table1215[[#This Row],[Column2]],Table12[[Column2]:[Column54]],26,FALSE),"0")</f>
        <v>0</v>
      </c>
      <c r="AB115" s="74">
        <f>IFERROR(VLOOKUP(Table1215[[#This Row],[Column2]],Table12[[Column2]:[Column54]],27,FALSE),"0")</f>
        <v>0</v>
      </c>
      <c r="AC115" s="74">
        <f>IFERROR(VLOOKUP(Table1215[[#This Row],[Column2]],Table12[[Column2]:[Column54]],28,FALSE),"0")</f>
        <v>0</v>
      </c>
      <c r="AD115" s="80">
        <f>Table1215[[#This Row],[Column25]]</f>
        <v>3</v>
      </c>
      <c r="AE115" s="74">
        <f>IFERROR(VLOOKUP(Table1215[[#This Row],[Column2]],Table12[[Column2]:[Column54]],30,FALSE),"0")</f>
        <v>0</v>
      </c>
      <c r="AF115" s="74">
        <f>IFERROR(VLOOKUP(Table1215[[#This Row],[Column2]],Table12[[Column2]:[Column54]],31,FALSE),"0")</f>
        <v>0</v>
      </c>
      <c r="AG115" s="74">
        <f>IFERROR(VLOOKUP(Table1215[[#This Row],[Column2]],Table12[[Column2]:[Column54]],32,FALSE),"0")</f>
        <v>0</v>
      </c>
      <c r="AH115" s="74">
        <f>IFERROR(VLOOKUP(Table1215[[#This Row],[Column2]],Table12[[Column2]:[Column54]],33,FALSE),"0")</f>
        <v>0</v>
      </c>
      <c r="AI115" s="74">
        <f>IFERROR(VLOOKUP(Table1215[[#This Row],[Column2]],Table12[[Column2]:[Column54]],34,FALSE),"0")</f>
        <v>0</v>
      </c>
      <c r="AJ115" s="80">
        <f>AVERAGE(Table1215[[#This Row],[Column31]],Table1215[[#This Row],[Column32]],Table1215[[#This Row],[Column33]])</f>
        <v>0</v>
      </c>
      <c r="AK115" s="74">
        <f>IFERROR(VLOOKUP(Table1215[[#This Row],[Column2]],Table12[[Column2]:[Column54]],36,FALSE),"0")</f>
        <v>3</v>
      </c>
      <c r="AL115" s="74">
        <f>IFERROR(VLOOKUP(Table1215[[#This Row],[Column2]],Table12[[Column2]:[Column54]],37,FALSE),"0")</f>
        <v>4</v>
      </c>
      <c r="AM115" s="74">
        <f>IFERROR(VLOOKUP(Table1215[[#This Row],[Column2]],Table12[[Column2]:[Column54]],38,FALSE),"0")</f>
        <v>0</v>
      </c>
      <c r="AN115" s="74">
        <f>IFERROR(VLOOKUP(Table1215[[#This Row],[Column2]],Table12[[Column2]:[Column54]],39,FALSE),"0")</f>
        <v>3</v>
      </c>
      <c r="AO115" s="74">
        <f>IFERROR(VLOOKUP(Table1215[[#This Row],[Column2]],Table12[[Column2]:[Column54]],40,FALSE),"0")</f>
        <v>0</v>
      </c>
      <c r="AP115" s="80">
        <f>AVERAGE(Table1215[[#This Row],[Column37]],Table1215[[#This Row],[Column38]],Table1215[[#This Row],[Column40]])</f>
        <v>3.3333333333333335</v>
      </c>
      <c r="AQ115" s="74">
        <f>IFERROR(VLOOKUP(Table1215[[#This Row],[Column2]],Table12[[Column2]:[Column54]],42,FALSE),"0")</f>
        <v>3</v>
      </c>
      <c r="AR115" s="74">
        <f>IFERROR(VLOOKUP(Table1215[[#This Row],[Column2]],Table12[[Column2]:[Column54]],43,FALSE),"0")</f>
        <v>0</v>
      </c>
      <c r="AS115" s="74">
        <f>IFERROR(VLOOKUP(Table1215[[#This Row],[Column2]],Table12[[Column2]:[Column54]],44,FALSE),"0")</f>
        <v>0</v>
      </c>
      <c r="AT115" s="74">
        <f>IFERROR(VLOOKUP(Table1215[[#This Row],[Column2]],Table12[[Column2]:[Column54]],45,FALSE),"0")</f>
        <v>0</v>
      </c>
      <c r="AU115" s="74">
        <f>IFERROR(VLOOKUP(Table1215[[#This Row],[Column2]],Table12[[Column2]:[Column54]],46,FALSE),"0")</f>
        <v>0</v>
      </c>
      <c r="AV115" s="80">
        <f>Table1215[[#This Row],[Column43]]</f>
        <v>3</v>
      </c>
      <c r="AW115" s="74">
        <f>IFERROR(VLOOKUP(Table1215[[#This Row],[Column2]],Table12[[Column2]:[Column54]],48,FALSE),"0")</f>
        <v>0</v>
      </c>
      <c r="AX115" s="74">
        <f>IFERROR(VLOOKUP(Table1215[[#This Row],[Column2]],Table12[[Column2]:[Column54]],49,FALSE),"0")</f>
        <v>0</v>
      </c>
      <c r="AY115" s="74">
        <f>IFERROR(VLOOKUP(Table1215[[#This Row],[Column2]],Table12[[Column2]:[Column54]],50,FALSE),"0")</f>
        <v>0</v>
      </c>
      <c r="AZ115" s="74">
        <f>IFERROR(VLOOKUP(Table1215[[#This Row],[Column2]],Table12[[Column2]:[Column54]],51,FALSE),"0")</f>
        <v>2</v>
      </c>
      <c r="BA115" s="74">
        <f>IFERROR(VLOOKUP(Table1215[[#This Row],[Column2]],Table12[[Column2]:[Column54]],52,FALSE),"0")</f>
        <v>4</v>
      </c>
      <c r="BB115" s="80">
        <f>AVERAGE(Table1215[[#This Row],[Column52]],Table1215[[#This Row],[Column53]])</f>
        <v>3</v>
      </c>
    </row>
    <row r="116" spans="1:54" ht="23.1" customHeight="1" x14ac:dyDescent="0.3">
      <c r="A116" s="99">
        <v>113</v>
      </c>
      <c r="B116" s="76" t="s">
        <v>201</v>
      </c>
      <c r="C116" s="77" t="s">
        <v>202</v>
      </c>
      <c r="D116" s="76" t="s">
        <v>450</v>
      </c>
      <c r="E116" s="76" t="s">
        <v>161</v>
      </c>
      <c r="F116" s="76" t="str">
        <f>REPT(CHAR(160),10)&amp;Working!$E117</f>
        <v>          B</v>
      </c>
      <c r="G116" s="78">
        <f>IFERROR(VLOOKUP(Table1215[[#This Row],[Column2]],Table12[[Column2]:[Column54]],6,FALSE),"0")</f>
        <v>0</v>
      </c>
      <c r="H116" s="78">
        <f>IFERROR(VLOOKUP(Table1215[[#This Row],[Column2]],Table12[[Column2]:[Column54]],7,FALSE),"0")</f>
        <v>0</v>
      </c>
      <c r="I116" s="78">
        <f>IFERROR(VLOOKUP(Table1215[[#This Row],[Column2]],Table12[[Column2]:[Column54]],8,FALSE),"0")</f>
        <v>4</v>
      </c>
      <c r="J116" s="78">
        <f>IFERROR(VLOOKUP(Table1215[[#This Row],[Column2]],Table12[[Column2]:[Column54]],9,FALSE),"0")</f>
        <v>0</v>
      </c>
      <c r="K116" s="78">
        <f>IFERROR(VLOOKUP(Table1215[[#This Row],[Column2]],Table12[[Column2]:[Column54]],10,FALSE),"0")</f>
        <v>0</v>
      </c>
      <c r="L116" s="80">
        <f>Table1215[[#This Row],[Column9]]</f>
        <v>4</v>
      </c>
      <c r="M116" s="78">
        <f>IFERROR(VLOOKUP(Table1215[[#This Row],[Column2]],Table12[[Column2]:[Column54]],12,FALSE),"0")</f>
        <v>0</v>
      </c>
      <c r="N116" s="78">
        <f>IFERROR(VLOOKUP(Table1215[[#This Row],[Column2]],Table12[[Column2]:[Column54]],13,FALSE),"0")</f>
        <v>3</v>
      </c>
      <c r="O116" s="78">
        <f>IFERROR(VLOOKUP(Table1215[[#This Row],[Column2]],Table12[[Column2]:[Column54]],14,FALSE),"0")</f>
        <v>3</v>
      </c>
      <c r="P116" s="78">
        <f>IFERROR(VLOOKUP(Table1215[[#This Row],[Column2]],Table12[[Column2]:[Column54]],10,FALSE),"0")</f>
        <v>0</v>
      </c>
      <c r="Q116" s="78">
        <f>IFERROR(VLOOKUP(Table1215[[#This Row],[Column2]],Table12[[Column2]:[Column54]],16,FALSE),"0")</f>
        <v>3</v>
      </c>
      <c r="R116" s="80">
        <f>AVERAGE(Table1215[[#This Row],[Column14]],Table1215[[#This Row],[Column15]],Table1215[[#This Row],[Column17]])</f>
        <v>3</v>
      </c>
      <c r="S116" s="78">
        <f>IFERROR(VLOOKUP(Table1215[[#This Row],[Column2]],Table12[[Column2]:[Column54]],18,FALSE),"0")</f>
        <v>0</v>
      </c>
      <c r="T116" s="78">
        <f>IFERROR(VLOOKUP(Table1215[[#This Row],[Column2]],Table12[[Column2]:[Column54]],19,FALSE),"0")</f>
        <v>0</v>
      </c>
      <c r="U116" s="78">
        <f>IFERROR(VLOOKUP(Table1215[[#This Row],[Column2]],Table12[[Column2]:[Column54]],20,FALSE),"0")</f>
        <v>0</v>
      </c>
      <c r="V116" s="78">
        <f>IFERROR(VLOOKUP(Table1215[[#This Row],[Column2]],Table12[[Column2]:[Column54]],21,FALSE),"0")</f>
        <v>0</v>
      </c>
      <c r="W116" s="78">
        <f>IFERROR(VLOOKUP(Table1215[[#This Row],[Column2]],Table12[[Column2]:[Column54]],22,FALSE),"0")</f>
        <v>0</v>
      </c>
      <c r="X116" s="80">
        <f>Table1215[[#This Row],[Column19]]</f>
        <v>0</v>
      </c>
      <c r="Y116" s="78">
        <f>IFERROR(VLOOKUP(Table1215[[#This Row],[Column2]],Table12[[Column2]:[Column54]],24,FALSE),"0")</f>
        <v>3</v>
      </c>
      <c r="Z116" s="78">
        <f>IFERROR(VLOOKUP(Table1215[[#This Row],[Column2]],Table12[[Column2]:[Column54]],25,FALSE),"0")</f>
        <v>0</v>
      </c>
      <c r="AA116" s="78">
        <f>IFERROR(VLOOKUP(Table1215[[#This Row],[Column2]],Table12[[Column2]:[Column54]],26,FALSE),"0")</f>
        <v>0</v>
      </c>
      <c r="AB116" s="78">
        <f>IFERROR(VLOOKUP(Table1215[[#This Row],[Column2]],Table12[[Column2]:[Column54]],27,FALSE),"0")</f>
        <v>0</v>
      </c>
      <c r="AC116" s="78">
        <f>IFERROR(VLOOKUP(Table1215[[#This Row],[Column2]],Table12[[Column2]:[Column54]],28,FALSE),"0")</f>
        <v>0</v>
      </c>
      <c r="AD116" s="80">
        <f>Table1215[[#This Row],[Column25]]</f>
        <v>3</v>
      </c>
      <c r="AE116" s="78">
        <f>IFERROR(VLOOKUP(Table1215[[#This Row],[Column2]],Table12[[Column2]:[Column54]],30,FALSE),"0")</f>
        <v>0</v>
      </c>
      <c r="AF116" s="78">
        <f>IFERROR(VLOOKUP(Table1215[[#This Row],[Column2]],Table12[[Column2]:[Column54]],31,FALSE),"0")</f>
        <v>0</v>
      </c>
      <c r="AG116" s="78">
        <f>IFERROR(VLOOKUP(Table1215[[#This Row],[Column2]],Table12[[Column2]:[Column54]],32,FALSE),"0")</f>
        <v>0</v>
      </c>
      <c r="AH116" s="78">
        <f>IFERROR(VLOOKUP(Table1215[[#This Row],[Column2]],Table12[[Column2]:[Column54]],33,FALSE),"0")</f>
        <v>0</v>
      </c>
      <c r="AI116" s="78">
        <f>IFERROR(VLOOKUP(Table1215[[#This Row],[Column2]],Table12[[Column2]:[Column54]],34,FALSE),"0")</f>
        <v>0</v>
      </c>
      <c r="AJ116" s="80">
        <f>AVERAGE(Table1215[[#This Row],[Column31]],Table1215[[#This Row],[Column32]],Table1215[[#This Row],[Column33]])</f>
        <v>0</v>
      </c>
      <c r="AK116" s="78">
        <f>IFERROR(VLOOKUP(Table1215[[#This Row],[Column2]],Table12[[Column2]:[Column54]],36,FALSE),"0")</f>
        <v>2</v>
      </c>
      <c r="AL116" s="78">
        <f>IFERROR(VLOOKUP(Table1215[[#This Row],[Column2]],Table12[[Column2]:[Column54]],37,FALSE),"0")</f>
        <v>4</v>
      </c>
      <c r="AM116" s="78">
        <f>IFERROR(VLOOKUP(Table1215[[#This Row],[Column2]],Table12[[Column2]:[Column54]],38,FALSE),"0")</f>
        <v>0</v>
      </c>
      <c r="AN116" s="78">
        <f>IFERROR(VLOOKUP(Table1215[[#This Row],[Column2]],Table12[[Column2]:[Column54]],39,FALSE),"0")</f>
        <v>4</v>
      </c>
      <c r="AO116" s="78">
        <f>IFERROR(VLOOKUP(Table1215[[#This Row],[Column2]],Table12[[Column2]:[Column54]],40,FALSE),"0")</f>
        <v>0</v>
      </c>
      <c r="AP116" s="80">
        <f>AVERAGE(Table1215[[#This Row],[Column37]],Table1215[[#This Row],[Column38]],Table1215[[#This Row],[Column40]])</f>
        <v>3.3333333333333335</v>
      </c>
      <c r="AQ116" s="78">
        <f>IFERROR(VLOOKUP(Table1215[[#This Row],[Column2]],Table12[[Column2]:[Column54]],42,FALSE),"0")</f>
        <v>4</v>
      </c>
      <c r="AR116" s="78">
        <f>IFERROR(VLOOKUP(Table1215[[#This Row],[Column2]],Table12[[Column2]:[Column54]],43,FALSE),"0")</f>
        <v>0</v>
      </c>
      <c r="AS116" s="78">
        <f>IFERROR(VLOOKUP(Table1215[[#This Row],[Column2]],Table12[[Column2]:[Column54]],44,FALSE),"0")</f>
        <v>0</v>
      </c>
      <c r="AT116" s="78">
        <f>IFERROR(VLOOKUP(Table1215[[#This Row],[Column2]],Table12[[Column2]:[Column54]],45,FALSE),"0")</f>
        <v>0</v>
      </c>
      <c r="AU116" s="78">
        <f>IFERROR(VLOOKUP(Table1215[[#This Row],[Column2]],Table12[[Column2]:[Column54]],46,FALSE),"0")</f>
        <v>0</v>
      </c>
      <c r="AV116" s="80">
        <f>Table1215[[#This Row],[Column43]]</f>
        <v>4</v>
      </c>
      <c r="AW116" s="78">
        <f>IFERROR(VLOOKUP(Table1215[[#This Row],[Column2]],Table12[[Column2]:[Column54]],48,FALSE),"0")</f>
        <v>0</v>
      </c>
      <c r="AX116" s="78">
        <f>IFERROR(VLOOKUP(Table1215[[#This Row],[Column2]],Table12[[Column2]:[Column54]],49,FALSE),"0")</f>
        <v>0</v>
      </c>
      <c r="AY116" s="78">
        <f>IFERROR(VLOOKUP(Table1215[[#This Row],[Column2]],Table12[[Column2]:[Column54]],50,FALSE),"0")</f>
        <v>0</v>
      </c>
      <c r="AZ116" s="78">
        <f>IFERROR(VLOOKUP(Table1215[[#This Row],[Column2]],Table12[[Column2]:[Column54]],51,FALSE),"0")</f>
        <v>2</v>
      </c>
      <c r="BA116" s="78">
        <f>IFERROR(VLOOKUP(Table1215[[#This Row],[Column2]],Table12[[Column2]:[Column54]],52,FALSE),"0")</f>
        <v>4</v>
      </c>
      <c r="BB116" s="80">
        <f>AVERAGE(Table1215[[#This Row],[Column52]],Table1215[[#This Row],[Column53]])</f>
        <v>3</v>
      </c>
    </row>
    <row r="117" spans="1:54" ht="23.1" customHeight="1" x14ac:dyDescent="0.3">
      <c r="A117" s="100">
        <v>114</v>
      </c>
      <c r="B117" s="83" t="s">
        <v>217</v>
      </c>
      <c r="C117" s="84" t="s">
        <v>218</v>
      </c>
      <c r="D117" s="83" t="s">
        <v>450</v>
      </c>
      <c r="E117" s="83" t="s">
        <v>161</v>
      </c>
      <c r="F117" s="83" t="str">
        <f>REPT(CHAR(160),10)&amp;Working!$E118</f>
        <v>          B</v>
      </c>
      <c r="G117" s="74">
        <f>IFERROR(VLOOKUP(Table1215[[#This Row],[Column2]],Table12[[Column2]:[Column54]],6,FALSE),"0")</f>
        <v>0</v>
      </c>
      <c r="H117" s="74">
        <f>IFERROR(VLOOKUP(Table1215[[#This Row],[Column2]],Table12[[Column2]:[Column54]],7,FALSE),"0")</f>
        <v>0</v>
      </c>
      <c r="I117" s="74">
        <f>IFERROR(VLOOKUP(Table1215[[#This Row],[Column2]],Table12[[Column2]:[Column54]],8,FALSE),"0")</f>
        <v>3</v>
      </c>
      <c r="J117" s="74">
        <f>IFERROR(VLOOKUP(Table1215[[#This Row],[Column2]],Table12[[Column2]:[Column54]],9,FALSE),"0")</f>
        <v>0</v>
      </c>
      <c r="K117" s="74">
        <f>IFERROR(VLOOKUP(Table1215[[#This Row],[Column2]],Table12[[Column2]:[Column54]],10,FALSE),"0")</f>
        <v>0</v>
      </c>
      <c r="L117" s="80">
        <f>Table1215[[#This Row],[Column9]]</f>
        <v>3</v>
      </c>
      <c r="M117" s="74">
        <f>IFERROR(VLOOKUP(Table1215[[#This Row],[Column2]],Table12[[Column2]:[Column54]],12,FALSE),"0")</f>
        <v>0</v>
      </c>
      <c r="N117" s="74">
        <f>IFERROR(VLOOKUP(Table1215[[#This Row],[Column2]],Table12[[Column2]:[Column54]],13,FALSE),"0")</f>
        <v>3</v>
      </c>
      <c r="O117" s="74">
        <f>IFERROR(VLOOKUP(Table1215[[#This Row],[Column2]],Table12[[Column2]:[Column54]],14,FALSE),"0")</f>
        <v>3</v>
      </c>
      <c r="P117" s="74">
        <f>IFERROR(VLOOKUP(Table1215[[#This Row],[Column2]],Table12[[Column2]:[Column54]],10,FALSE),"0")</f>
        <v>0</v>
      </c>
      <c r="Q117" s="74">
        <f>IFERROR(VLOOKUP(Table1215[[#This Row],[Column2]],Table12[[Column2]:[Column54]],16,FALSE),"0")</f>
        <v>3</v>
      </c>
      <c r="R117" s="80">
        <f>AVERAGE(Table1215[[#This Row],[Column14]],Table1215[[#This Row],[Column15]],Table1215[[#This Row],[Column17]])</f>
        <v>3</v>
      </c>
      <c r="S117" s="74">
        <f>IFERROR(VLOOKUP(Table1215[[#This Row],[Column2]],Table12[[Column2]:[Column54]],18,FALSE),"0")</f>
        <v>0</v>
      </c>
      <c r="T117" s="74">
        <f>IFERROR(VLOOKUP(Table1215[[#This Row],[Column2]],Table12[[Column2]:[Column54]],19,FALSE),"0")</f>
        <v>0</v>
      </c>
      <c r="U117" s="74">
        <f>IFERROR(VLOOKUP(Table1215[[#This Row],[Column2]],Table12[[Column2]:[Column54]],20,FALSE),"0")</f>
        <v>0</v>
      </c>
      <c r="V117" s="74">
        <f>IFERROR(VLOOKUP(Table1215[[#This Row],[Column2]],Table12[[Column2]:[Column54]],21,FALSE),"0")</f>
        <v>0</v>
      </c>
      <c r="W117" s="74">
        <f>IFERROR(VLOOKUP(Table1215[[#This Row],[Column2]],Table12[[Column2]:[Column54]],22,FALSE),"0")</f>
        <v>0</v>
      </c>
      <c r="X117" s="80">
        <f>Table1215[[#This Row],[Column19]]</f>
        <v>0</v>
      </c>
      <c r="Y117" s="74">
        <f>IFERROR(VLOOKUP(Table1215[[#This Row],[Column2]],Table12[[Column2]:[Column54]],24,FALSE),"0")</f>
        <v>3</v>
      </c>
      <c r="Z117" s="74">
        <f>IFERROR(VLOOKUP(Table1215[[#This Row],[Column2]],Table12[[Column2]:[Column54]],25,FALSE),"0")</f>
        <v>0</v>
      </c>
      <c r="AA117" s="74">
        <f>IFERROR(VLOOKUP(Table1215[[#This Row],[Column2]],Table12[[Column2]:[Column54]],26,FALSE),"0")</f>
        <v>0</v>
      </c>
      <c r="AB117" s="74">
        <f>IFERROR(VLOOKUP(Table1215[[#This Row],[Column2]],Table12[[Column2]:[Column54]],27,FALSE),"0")</f>
        <v>0</v>
      </c>
      <c r="AC117" s="74">
        <f>IFERROR(VLOOKUP(Table1215[[#This Row],[Column2]],Table12[[Column2]:[Column54]],28,FALSE),"0")</f>
        <v>0</v>
      </c>
      <c r="AD117" s="80">
        <f>Table1215[[#This Row],[Column25]]</f>
        <v>3</v>
      </c>
      <c r="AE117" s="74">
        <f>IFERROR(VLOOKUP(Table1215[[#This Row],[Column2]],Table12[[Column2]:[Column54]],30,FALSE),"0")</f>
        <v>0</v>
      </c>
      <c r="AF117" s="74">
        <f>IFERROR(VLOOKUP(Table1215[[#This Row],[Column2]],Table12[[Column2]:[Column54]],31,FALSE),"0")</f>
        <v>0</v>
      </c>
      <c r="AG117" s="74">
        <f>IFERROR(VLOOKUP(Table1215[[#This Row],[Column2]],Table12[[Column2]:[Column54]],32,FALSE),"0")</f>
        <v>0</v>
      </c>
      <c r="AH117" s="74">
        <f>IFERROR(VLOOKUP(Table1215[[#This Row],[Column2]],Table12[[Column2]:[Column54]],33,FALSE),"0")</f>
        <v>0</v>
      </c>
      <c r="AI117" s="74">
        <f>IFERROR(VLOOKUP(Table1215[[#This Row],[Column2]],Table12[[Column2]:[Column54]],34,FALSE),"0")</f>
        <v>0</v>
      </c>
      <c r="AJ117" s="80">
        <f>AVERAGE(Table1215[[#This Row],[Column31]],Table1215[[#This Row],[Column32]],Table1215[[#This Row],[Column33]])</f>
        <v>0</v>
      </c>
      <c r="AK117" s="74">
        <f>IFERROR(VLOOKUP(Table1215[[#This Row],[Column2]],Table12[[Column2]:[Column54]],36,FALSE),"0")</f>
        <v>2</v>
      </c>
      <c r="AL117" s="74">
        <f>IFERROR(VLOOKUP(Table1215[[#This Row],[Column2]],Table12[[Column2]:[Column54]],37,FALSE),"0")</f>
        <v>3</v>
      </c>
      <c r="AM117" s="74">
        <f>IFERROR(VLOOKUP(Table1215[[#This Row],[Column2]],Table12[[Column2]:[Column54]],38,FALSE),"0")</f>
        <v>0</v>
      </c>
      <c r="AN117" s="74">
        <f>IFERROR(VLOOKUP(Table1215[[#This Row],[Column2]],Table12[[Column2]:[Column54]],39,FALSE),"0")</f>
        <v>3</v>
      </c>
      <c r="AO117" s="74">
        <f>IFERROR(VLOOKUP(Table1215[[#This Row],[Column2]],Table12[[Column2]:[Column54]],40,FALSE),"0")</f>
        <v>0</v>
      </c>
      <c r="AP117" s="80">
        <f>AVERAGE(Table1215[[#This Row],[Column37]],Table1215[[#This Row],[Column38]],Table1215[[#This Row],[Column40]])</f>
        <v>2.6666666666666665</v>
      </c>
      <c r="AQ117" s="74">
        <f>IFERROR(VLOOKUP(Table1215[[#This Row],[Column2]],Table12[[Column2]:[Column54]],42,FALSE),"0")</f>
        <v>3</v>
      </c>
      <c r="AR117" s="74">
        <f>IFERROR(VLOOKUP(Table1215[[#This Row],[Column2]],Table12[[Column2]:[Column54]],43,FALSE),"0")</f>
        <v>0</v>
      </c>
      <c r="AS117" s="74">
        <f>IFERROR(VLOOKUP(Table1215[[#This Row],[Column2]],Table12[[Column2]:[Column54]],44,FALSE),"0")</f>
        <v>0</v>
      </c>
      <c r="AT117" s="74">
        <f>IFERROR(VLOOKUP(Table1215[[#This Row],[Column2]],Table12[[Column2]:[Column54]],45,FALSE),"0")</f>
        <v>0</v>
      </c>
      <c r="AU117" s="74">
        <f>IFERROR(VLOOKUP(Table1215[[#This Row],[Column2]],Table12[[Column2]:[Column54]],46,FALSE),"0")</f>
        <v>0</v>
      </c>
      <c r="AV117" s="80">
        <f>Table1215[[#This Row],[Column43]]</f>
        <v>3</v>
      </c>
      <c r="AW117" s="74">
        <f>IFERROR(VLOOKUP(Table1215[[#This Row],[Column2]],Table12[[Column2]:[Column54]],48,FALSE),"0")</f>
        <v>0</v>
      </c>
      <c r="AX117" s="74">
        <f>IFERROR(VLOOKUP(Table1215[[#This Row],[Column2]],Table12[[Column2]:[Column54]],49,FALSE),"0")</f>
        <v>0</v>
      </c>
      <c r="AY117" s="74">
        <f>IFERROR(VLOOKUP(Table1215[[#This Row],[Column2]],Table12[[Column2]:[Column54]],50,FALSE),"0")</f>
        <v>0</v>
      </c>
      <c r="AZ117" s="74">
        <f>IFERROR(VLOOKUP(Table1215[[#This Row],[Column2]],Table12[[Column2]:[Column54]],51,FALSE),"0")</f>
        <v>2</v>
      </c>
      <c r="BA117" s="74">
        <f>IFERROR(VLOOKUP(Table1215[[#This Row],[Column2]],Table12[[Column2]:[Column54]],52,FALSE),"0")</f>
        <v>4</v>
      </c>
      <c r="BB117" s="80">
        <f>AVERAGE(Table1215[[#This Row],[Column52]],Table1215[[#This Row],[Column53]])</f>
        <v>3</v>
      </c>
    </row>
    <row r="118" spans="1:54" ht="23.1" customHeight="1" x14ac:dyDescent="0.3">
      <c r="A118" s="99">
        <v>115</v>
      </c>
      <c r="B118" s="76" t="s">
        <v>235</v>
      </c>
      <c r="C118" s="77" t="s">
        <v>236</v>
      </c>
      <c r="D118" s="76" t="s">
        <v>450</v>
      </c>
      <c r="E118" s="76" t="s">
        <v>161</v>
      </c>
      <c r="F118" s="76" t="str">
        <f>REPT(CHAR(160),10)&amp;Working!$E119</f>
        <v>          B</v>
      </c>
      <c r="G118" s="78">
        <f>IFERROR(VLOOKUP(Table1215[[#This Row],[Column2]],Table12[[Column2]:[Column54]],6,FALSE),"0")</f>
        <v>0</v>
      </c>
      <c r="H118" s="78">
        <f>IFERROR(VLOOKUP(Table1215[[#This Row],[Column2]],Table12[[Column2]:[Column54]],7,FALSE),"0")</f>
        <v>0</v>
      </c>
      <c r="I118" s="78">
        <f>IFERROR(VLOOKUP(Table1215[[#This Row],[Column2]],Table12[[Column2]:[Column54]],8,FALSE),"0")</f>
        <v>3</v>
      </c>
      <c r="J118" s="78">
        <f>IFERROR(VLOOKUP(Table1215[[#This Row],[Column2]],Table12[[Column2]:[Column54]],9,FALSE),"0")</f>
        <v>0</v>
      </c>
      <c r="K118" s="78">
        <f>IFERROR(VLOOKUP(Table1215[[#This Row],[Column2]],Table12[[Column2]:[Column54]],10,FALSE),"0")</f>
        <v>0</v>
      </c>
      <c r="L118" s="80">
        <f>Table1215[[#This Row],[Column9]]</f>
        <v>3</v>
      </c>
      <c r="M118" s="78">
        <f>IFERROR(VLOOKUP(Table1215[[#This Row],[Column2]],Table12[[Column2]:[Column54]],12,FALSE),"0")</f>
        <v>0</v>
      </c>
      <c r="N118" s="78">
        <f>IFERROR(VLOOKUP(Table1215[[#This Row],[Column2]],Table12[[Column2]:[Column54]],13,FALSE),"0")</f>
        <v>3</v>
      </c>
      <c r="O118" s="78">
        <f>IFERROR(VLOOKUP(Table1215[[#This Row],[Column2]],Table12[[Column2]:[Column54]],14,FALSE),"0")</f>
        <v>3</v>
      </c>
      <c r="P118" s="78">
        <f>IFERROR(VLOOKUP(Table1215[[#This Row],[Column2]],Table12[[Column2]:[Column54]],10,FALSE),"0")</f>
        <v>0</v>
      </c>
      <c r="Q118" s="78">
        <f>IFERROR(VLOOKUP(Table1215[[#This Row],[Column2]],Table12[[Column2]:[Column54]],16,FALSE),"0")</f>
        <v>3</v>
      </c>
      <c r="R118" s="80">
        <f>AVERAGE(Table1215[[#This Row],[Column14]],Table1215[[#This Row],[Column15]],Table1215[[#This Row],[Column17]])</f>
        <v>3</v>
      </c>
      <c r="S118" s="78">
        <f>IFERROR(VLOOKUP(Table1215[[#This Row],[Column2]],Table12[[Column2]:[Column54]],18,FALSE),"0")</f>
        <v>0</v>
      </c>
      <c r="T118" s="78">
        <f>IFERROR(VLOOKUP(Table1215[[#This Row],[Column2]],Table12[[Column2]:[Column54]],19,FALSE),"0")</f>
        <v>0</v>
      </c>
      <c r="U118" s="78">
        <f>IFERROR(VLOOKUP(Table1215[[#This Row],[Column2]],Table12[[Column2]:[Column54]],20,FALSE),"0")</f>
        <v>0</v>
      </c>
      <c r="V118" s="78">
        <f>IFERROR(VLOOKUP(Table1215[[#This Row],[Column2]],Table12[[Column2]:[Column54]],21,FALSE),"0")</f>
        <v>0</v>
      </c>
      <c r="W118" s="78">
        <f>IFERROR(VLOOKUP(Table1215[[#This Row],[Column2]],Table12[[Column2]:[Column54]],22,FALSE),"0")</f>
        <v>0</v>
      </c>
      <c r="X118" s="80">
        <f>Table1215[[#This Row],[Column19]]</f>
        <v>0</v>
      </c>
      <c r="Y118" s="78">
        <f>IFERROR(VLOOKUP(Table1215[[#This Row],[Column2]],Table12[[Column2]:[Column54]],24,FALSE),"0")</f>
        <v>3</v>
      </c>
      <c r="Z118" s="78">
        <f>IFERROR(VLOOKUP(Table1215[[#This Row],[Column2]],Table12[[Column2]:[Column54]],25,FALSE),"0")</f>
        <v>0</v>
      </c>
      <c r="AA118" s="78">
        <f>IFERROR(VLOOKUP(Table1215[[#This Row],[Column2]],Table12[[Column2]:[Column54]],26,FALSE),"0")</f>
        <v>0</v>
      </c>
      <c r="AB118" s="78">
        <f>IFERROR(VLOOKUP(Table1215[[#This Row],[Column2]],Table12[[Column2]:[Column54]],27,FALSE),"0")</f>
        <v>0</v>
      </c>
      <c r="AC118" s="78">
        <f>IFERROR(VLOOKUP(Table1215[[#This Row],[Column2]],Table12[[Column2]:[Column54]],28,FALSE),"0")</f>
        <v>0</v>
      </c>
      <c r="AD118" s="80">
        <f>Table1215[[#This Row],[Column25]]</f>
        <v>3</v>
      </c>
      <c r="AE118" s="78">
        <f>IFERROR(VLOOKUP(Table1215[[#This Row],[Column2]],Table12[[Column2]:[Column54]],30,FALSE),"0")</f>
        <v>0</v>
      </c>
      <c r="AF118" s="78">
        <f>IFERROR(VLOOKUP(Table1215[[#This Row],[Column2]],Table12[[Column2]:[Column54]],31,FALSE),"0")</f>
        <v>0</v>
      </c>
      <c r="AG118" s="78">
        <f>IFERROR(VLOOKUP(Table1215[[#This Row],[Column2]],Table12[[Column2]:[Column54]],32,FALSE),"0")</f>
        <v>0</v>
      </c>
      <c r="AH118" s="78">
        <f>IFERROR(VLOOKUP(Table1215[[#This Row],[Column2]],Table12[[Column2]:[Column54]],33,FALSE),"0")</f>
        <v>0</v>
      </c>
      <c r="AI118" s="78">
        <f>IFERROR(VLOOKUP(Table1215[[#This Row],[Column2]],Table12[[Column2]:[Column54]],34,FALSE),"0")</f>
        <v>0</v>
      </c>
      <c r="AJ118" s="80">
        <f>AVERAGE(Table1215[[#This Row],[Column31]],Table1215[[#This Row],[Column32]],Table1215[[#This Row],[Column33]])</f>
        <v>0</v>
      </c>
      <c r="AK118" s="78">
        <f>IFERROR(VLOOKUP(Table1215[[#This Row],[Column2]],Table12[[Column2]:[Column54]],36,FALSE),"0")</f>
        <v>3</v>
      </c>
      <c r="AL118" s="78">
        <f>IFERROR(VLOOKUP(Table1215[[#This Row],[Column2]],Table12[[Column2]:[Column54]],37,FALSE),"0")</f>
        <v>2</v>
      </c>
      <c r="AM118" s="78">
        <f>IFERROR(VLOOKUP(Table1215[[#This Row],[Column2]],Table12[[Column2]:[Column54]],38,FALSE),"0")</f>
        <v>0</v>
      </c>
      <c r="AN118" s="78">
        <f>IFERROR(VLOOKUP(Table1215[[#This Row],[Column2]],Table12[[Column2]:[Column54]],39,FALSE),"0")</f>
        <v>3</v>
      </c>
      <c r="AO118" s="78">
        <f>IFERROR(VLOOKUP(Table1215[[#This Row],[Column2]],Table12[[Column2]:[Column54]],40,FALSE),"0")</f>
        <v>0</v>
      </c>
      <c r="AP118" s="80">
        <f>AVERAGE(Table1215[[#This Row],[Column37]],Table1215[[#This Row],[Column38]],Table1215[[#This Row],[Column40]])</f>
        <v>2.6666666666666665</v>
      </c>
      <c r="AQ118" s="78">
        <f>IFERROR(VLOOKUP(Table1215[[#This Row],[Column2]],Table12[[Column2]:[Column54]],42,FALSE),"0")</f>
        <v>4</v>
      </c>
      <c r="AR118" s="78">
        <f>IFERROR(VLOOKUP(Table1215[[#This Row],[Column2]],Table12[[Column2]:[Column54]],43,FALSE),"0")</f>
        <v>0</v>
      </c>
      <c r="AS118" s="78">
        <f>IFERROR(VLOOKUP(Table1215[[#This Row],[Column2]],Table12[[Column2]:[Column54]],44,FALSE),"0")</f>
        <v>0</v>
      </c>
      <c r="AT118" s="78">
        <f>IFERROR(VLOOKUP(Table1215[[#This Row],[Column2]],Table12[[Column2]:[Column54]],45,FALSE),"0")</f>
        <v>0</v>
      </c>
      <c r="AU118" s="78">
        <f>IFERROR(VLOOKUP(Table1215[[#This Row],[Column2]],Table12[[Column2]:[Column54]],46,FALSE),"0")</f>
        <v>0</v>
      </c>
      <c r="AV118" s="80">
        <f>Table1215[[#This Row],[Column43]]</f>
        <v>4</v>
      </c>
      <c r="AW118" s="78">
        <f>IFERROR(VLOOKUP(Table1215[[#This Row],[Column2]],Table12[[Column2]:[Column54]],48,FALSE),"0")</f>
        <v>0</v>
      </c>
      <c r="AX118" s="78">
        <f>IFERROR(VLOOKUP(Table1215[[#This Row],[Column2]],Table12[[Column2]:[Column54]],49,FALSE),"0")</f>
        <v>0</v>
      </c>
      <c r="AY118" s="78">
        <f>IFERROR(VLOOKUP(Table1215[[#This Row],[Column2]],Table12[[Column2]:[Column54]],50,FALSE),"0")</f>
        <v>0</v>
      </c>
      <c r="AZ118" s="78">
        <f>IFERROR(VLOOKUP(Table1215[[#This Row],[Column2]],Table12[[Column2]:[Column54]],51,FALSE),"0")</f>
        <v>2</v>
      </c>
      <c r="BA118" s="78">
        <f>IFERROR(VLOOKUP(Table1215[[#This Row],[Column2]],Table12[[Column2]:[Column54]],52,FALSE),"0")</f>
        <v>4</v>
      </c>
      <c r="BB118" s="80">
        <f>AVERAGE(Table1215[[#This Row],[Column52]],Table1215[[#This Row],[Column53]])</f>
        <v>3</v>
      </c>
    </row>
    <row r="119" spans="1:54" ht="23.1" customHeight="1" x14ac:dyDescent="0.3">
      <c r="A119" s="100">
        <v>116</v>
      </c>
      <c r="B119" s="83" t="s">
        <v>354</v>
      </c>
      <c r="C119" s="84" t="s">
        <v>355</v>
      </c>
      <c r="D119" s="83" t="s">
        <v>544</v>
      </c>
      <c r="E119" s="83" t="s">
        <v>493</v>
      </c>
      <c r="F119" s="83" t="str">
        <f>REPT(CHAR(160),10)&amp;Working!$E120</f>
        <v>          C</v>
      </c>
      <c r="G119" s="74">
        <f>IFERROR(VLOOKUP(Table1215[[#This Row],[Column2]],Table12[[Column2]:[Column54]],6,FALSE),"0")</f>
        <v>0</v>
      </c>
      <c r="H119" s="74">
        <f>IFERROR(VLOOKUP(Table1215[[#This Row],[Column2]],Table12[[Column2]:[Column54]],7,FALSE),"0")</f>
        <v>0</v>
      </c>
      <c r="I119" s="74">
        <f>IFERROR(VLOOKUP(Table1215[[#This Row],[Column2]],Table12[[Column2]:[Column54]],8,FALSE),"0")</f>
        <v>4</v>
      </c>
      <c r="J119" s="74">
        <f>IFERROR(VLOOKUP(Table1215[[#This Row],[Column2]],Table12[[Column2]:[Column54]],9,FALSE),"0")</f>
        <v>0</v>
      </c>
      <c r="K119" s="74">
        <f>IFERROR(VLOOKUP(Table1215[[#This Row],[Column2]],Table12[[Column2]:[Column54]],10,FALSE),"0")</f>
        <v>0</v>
      </c>
      <c r="L119" s="80">
        <f>Table1215[[#This Row],[Column9]]</f>
        <v>4</v>
      </c>
      <c r="M119" s="74">
        <f>IFERROR(VLOOKUP(Table1215[[#This Row],[Column2]],Table12[[Column2]:[Column54]],12,FALSE),"0")</f>
        <v>0</v>
      </c>
      <c r="N119" s="74">
        <f>IFERROR(VLOOKUP(Table1215[[#This Row],[Column2]],Table12[[Column2]:[Column54]],13,FALSE),"0")</f>
        <v>4</v>
      </c>
      <c r="O119" s="74">
        <f>IFERROR(VLOOKUP(Table1215[[#This Row],[Column2]],Table12[[Column2]:[Column54]],14,FALSE),"0")</f>
        <v>4</v>
      </c>
      <c r="P119" s="74">
        <f>IFERROR(VLOOKUP(Table1215[[#This Row],[Column2]],Table12[[Column2]:[Column54]],10,FALSE),"0")</f>
        <v>0</v>
      </c>
      <c r="Q119" s="74">
        <f>IFERROR(VLOOKUP(Table1215[[#This Row],[Column2]],Table12[[Column2]:[Column54]],16,FALSE),"0")</f>
        <v>4</v>
      </c>
      <c r="R119" s="80">
        <f>AVERAGE(Table1215[[#This Row],[Column14]],Table1215[[#This Row],[Column15]],Table1215[[#This Row],[Column17]])</f>
        <v>4</v>
      </c>
      <c r="S119" s="74">
        <f>IFERROR(VLOOKUP(Table1215[[#This Row],[Column2]],Table12[[Column2]:[Column54]],18,FALSE),"0")</f>
        <v>0</v>
      </c>
      <c r="T119" s="74">
        <f>IFERROR(VLOOKUP(Table1215[[#This Row],[Column2]],Table12[[Column2]:[Column54]],19,FALSE),"0")</f>
        <v>0</v>
      </c>
      <c r="U119" s="74">
        <f>IFERROR(VLOOKUP(Table1215[[#This Row],[Column2]],Table12[[Column2]:[Column54]],20,FALSE),"0")</f>
        <v>0</v>
      </c>
      <c r="V119" s="74">
        <f>IFERROR(VLOOKUP(Table1215[[#This Row],[Column2]],Table12[[Column2]:[Column54]],21,FALSE),"0")</f>
        <v>0</v>
      </c>
      <c r="W119" s="74">
        <f>IFERROR(VLOOKUP(Table1215[[#This Row],[Column2]],Table12[[Column2]:[Column54]],22,FALSE),"0")</f>
        <v>0</v>
      </c>
      <c r="X119" s="80">
        <f>Table1215[[#This Row],[Column19]]</f>
        <v>0</v>
      </c>
      <c r="Y119" s="74">
        <f>IFERROR(VLOOKUP(Table1215[[#This Row],[Column2]],Table12[[Column2]:[Column54]],24,FALSE),"0")</f>
        <v>4</v>
      </c>
      <c r="Z119" s="74">
        <f>IFERROR(VLOOKUP(Table1215[[#This Row],[Column2]],Table12[[Column2]:[Column54]],25,FALSE),"0")</f>
        <v>0</v>
      </c>
      <c r="AA119" s="74">
        <f>IFERROR(VLOOKUP(Table1215[[#This Row],[Column2]],Table12[[Column2]:[Column54]],26,FALSE),"0")</f>
        <v>0</v>
      </c>
      <c r="AB119" s="74">
        <f>IFERROR(VLOOKUP(Table1215[[#This Row],[Column2]],Table12[[Column2]:[Column54]],27,FALSE),"0")</f>
        <v>0</v>
      </c>
      <c r="AC119" s="74">
        <f>IFERROR(VLOOKUP(Table1215[[#This Row],[Column2]],Table12[[Column2]:[Column54]],28,FALSE),"0")</f>
        <v>0</v>
      </c>
      <c r="AD119" s="80">
        <f>Table1215[[#This Row],[Column25]]</f>
        <v>4</v>
      </c>
      <c r="AE119" s="74">
        <f>IFERROR(VLOOKUP(Table1215[[#This Row],[Column2]],Table12[[Column2]:[Column54]],30,FALSE),"0")</f>
        <v>0</v>
      </c>
      <c r="AF119" s="74">
        <f>IFERROR(VLOOKUP(Table1215[[#This Row],[Column2]],Table12[[Column2]:[Column54]],31,FALSE),"0")</f>
        <v>0</v>
      </c>
      <c r="AG119" s="74">
        <f>IFERROR(VLOOKUP(Table1215[[#This Row],[Column2]],Table12[[Column2]:[Column54]],32,FALSE),"0")</f>
        <v>0</v>
      </c>
      <c r="AH119" s="74">
        <f>IFERROR(VLOOKUP(Table1215[[#This Row],[Column2]],Table12[[Column2]:[Column54]],33,FALSE),"0")</f>
        <v>0</v>
      </c>
      <c r="AI119" s="74">
        <f>IFERROR(VLOOKUP(Table1215[[#This Row],[Column2]],Table12[[Column2]:[Column54]],34,FALSE),"0")</f>
        <v>0</v>
      </c>
      <c r="AJ119" s="80">
        <f>AVERAGE(Table1215[[#This Row],[Column31]],Table1215[[#This Row],[Column32]],Table1215[[#This Row],[Column33]])</f>
        <v>0</v>
      </c>
      <c r="AK119" s="74">
        <f>IFERROR(VLOOKUP(Table1215[[#This Row],[Column2]],Table12[[Column2]:[Column54]],36,FALSE),"0")</f>
        <v>3</v>
      </c>
      <c r="AL119" s="74">
        <f>IFERROR(VLOOKUP(Table1215[[#This Row],[Column2]],Table12[[Column2]:[Column54]],37,FALSE),"0")</f>
        <v>5</v>
      </c>
      <c r="AM119" s="74">
        <f>IFERROR(VLOOKUP(Table1215[[#This Row],[Column2]],Table12[[Column2]:[Column54]],38,FALSE),"0")</f>
        <v>0</v>
      </c>
      <c r="AN119" s="74">
        <f>IFERROR(VLOOKUP(Table1215[[#This Row],[Column2]],Table12[[Column2]:[Column54]],39,FALSE),"0")</f>
        <v>4</v>
      </c>
      <c r="AO119" s="74">
        <f>IFERROR(VLOOKUP(Table1215[[#This Row],[Column2]],Table12[[Column2]:[Column54]],40,FALSE),"0")</f>
        <v>0</v>
      </c>
      <c r="AP119" s="80">
        <f>AVERAGE(Table1215[[#This Row],[Column37]],Table1215[[#This Row],[Column38]],Table1215[[#This Row],[Column40]])</f>
        <v>4</v>
      </c>
      <c r="AQ119" s="74">
        <f>IFERROR(VLOOKUP(Table1215[[#This Row],[Column2]],Table12[[Column2]:[Column54]],42,FALSE),"0")</f>
        <v>3</v>
      </c>
      <c r="AR119" s="74">
        <f>IFERROR(VLOOKUP(Table1215[[#This Row],[Column2]],Table12[[Column2]:[Column54]],43,FALSE),"0")</f>
        <v>0</v>
      </c>
      <c r="AS119" s="74">
        <f>IFERROR(VLOOKUP(Table1215[[#This Row],[Column2]],Table12[[Column2]:[Column54]],44,FALSE),"0")</f>
        <v>0</v>
      </c>
      <c r="AT119" s="74">
        <f>IFERROR(VLOOKUP(Table1215[[#This Row],[Column2]],Table12[[Column2]:[Column54]],45,FALSE),"0")</f>
        <v>0</v>
      </c>
      <c r="AU119" s="74">
        <f>IFERROR(VLOOKUP(Table1215[[#This Row],[Column2]],Table12[[Column2]:[Column54]],46,FALSE),"0")</f>
        <v>0</v>
      </c>
      <c r="AV119" s="80">
        <f>Table1215[[#This Row],[Column43]]</f>
        <v>3</v>
      </c>
      <c r="AW119" s="74">
        <f>IFERROR(VLOOKUP(Table1215[[#This Row],[Column2]],Table12[[Column2]:[Column54]],48,FALSE),"0")</f>
        <v>0</v>
      </c>
      <c r="AX119" s="74">
        <f>IFERROR(VLOOKUP(Table1215[[#This Row],[Column2]],Table12[[Column2]:[Column54]],49,FALSE),"0")</f>
        <v>0</v>
      </c>
      <c r="AY119" s="74">
        <f>IFERROR(VLOOKUP(Table1215[[#This Row],[Column2]],Table12[[Column2]:[Column54]],50,FALSE),"0")</f>
        <v>0</v>
      </c>
      <c r="AZ119" s="74">
        <f>IFERROR(VLOOKUP(Table1215[[#This Row],[Column2]],Table12[[Column2]:[Column54]],51,FALSE),"0")</f>
        <v>2</v>
      </c>
      <c r="BA119" s="74">
        <f>IFERROR(VLOOKUP(Table1215[[#This Row],[Column2]],Table12[[Column2]:[Column54]],52,FALSE),"0")</f>
        <v>4</v>
      </c>
      <c r="BB119" s="80">
        <f>AVERAGE(Table1215[[#This Row],[Column52]],Table1215[[#This Row],[Column53]])</f>
        <v>3</v>
      </c>
    </row>
    <row r="120" spans="1:54" ht="23.1" customHeight="1" x14ac:dyDescent="0.3">
      <c r="A120" s="99">
        <v>117</v>
      </c>
      <c r="B120" s="76" t="s">
        <v>203</v>
      </c>
      <c r="C120" s="77" t="s">
        <v>204</v>
      </c>
      <c r="D120" s="76" t="s">
        <v>542</v>
      </c>
      <c r="E120" s="76" t="s">
        <v>161</v>
      </c>
      <c r="F120" s="76" t="str">
        <f>REPT(CHAR(160),10)&amp;Working!$E121</f>
        <v>          B</v>
      </c>
      <c r="G120" s="78">
        <f>IFERROR(VLOOKUP(Table1215[[#This Row],[Column2]],Table12[[Column2]:[Column54]],6,FALSE),"0")</f>
        <v>0</v>
      </c>
      <c r="H120" s="78">
        <f>IFERROR(VLOOKUP(Table1215[[#This Row],[Column2]],Table12[[Column2]:[Column54]],7,FALSE),"0")</f>
        <v>0</v>
      </c>
      <c r="I120" s="78">
        <f>IFERROR(VLOOKUP(Table1215[[#This Row],[Column2]],Table12[[Column2]:[Column54]],8,FALSE),"0")</f>
        <v>4</v>
      </c>
      <c r="J120" s="78">
        <f>IFERROR(VLOOKUP(Table1215[[#This Row],[Column2]],Table12[[Column2]:[Column54]],9,FALSE),"0")</f>
        <v>0</v>
      </c>
      <c r="K120" s="78">
        <f>IFERROR(VLOOKUP(Table1215[[#This Row],[Column2]],Table12[[Column2]:[Column54]],10,FALSE),"0")</f>
        <v>0</v>
      </c>
      <c r="L120" s="80">
        <f>Table1215[[#This Row],[Column9]]</f>
        <v>4</v>
      </c>
      <c r="M120" s="78">
        <f>IFERROR(VLOOKUP(Table1215[[#This Row],[Column2]],Table12[[Column2]:[Column54]],12,FALSE),"0")</f>
        <v>0</v>
      </c>
      <c r="N120" s="78">
        <f>IFERROR(VLOOKUP(Table1215[[#This Row],[Column2]],Table12[[Column2]:[Column54]],13,FALSE),"0")</f>
        <v>4</v>
      </c>
      <c r="O120" s="78">
        <f>IFERROR(VLOOKUP(Table1215[[#This Row],[Column2]],Table12[[Column2]:[Column54]],14,FALSE),"0")</f>
        <v>4</v>
      </c>
      <c r="P120" s="78">
        <f>IFERROR(VLOOKUP(Table1215[[#This Row],[Column2]],Table12[[Column2]:[Column54]],10,FALSE),"0")</f>
        <v>0</v>
      </c>
      <c r="Q120" s="78">
        <f>IFERROR(VLOOKUP(Table1215[[#This Row],[Column2]],Table12[[Column2]:[Column54]],16,FALSE),"0")</f>
        <v>4</v>
      </c>
      <c r="R120" s="80">
        <f>AVERAGE(Table1215[[#This Row],[Column14]],Table1215[[#This Row],[Column15]],Table1215[[#This Row],[Column17]])</f>
        <v>4</v>
      </c>
      <c r="S120" s="78">
        <f>IFERROR(VLOOKUP(Table1215[[#This Row],[Column2]],Table12[[Column2]:[Column54]],18,FALSE),"0")</f>
        <v>0</v>
      </c>
      <c r="T120" s="78">
        <f>IFERROR(VLOOKUP(Table1215[[#This Row],[Column2]],Table12[[Column2]:[Column54]],19,FALSE),"0")</f>
        <v>0</v>
      </c>
      <c r="U120" s="78">
        <f>IFERROR(VLOOKUP(Table1215[[#This Row],[Column2]],Table12[[Column2]:[Column54]],20,FALSE),"0")</f>
        <v>0</v>
      </c>
      <c r="V120" s="78">
        <f>IFERROR(VLOOKUP(Table1215[[#This Row],[Column2]],Table12[[Column2]:[Column54]],21,FALSE),"0")</f>
        <v>0</v>
      </c>
      <c r="W120" s="78">
        <f>IFERROR(VLOOKUP(Table1215[[#This Row],[Column2]],Table12[[Column2]:[Column54]],22,FALSE),"0")</f>
        <v>0</v>
      </c>
      <c r="X120" s="80">
        <f>Table1215[[#This Row],[Column19]]</f>
        <v>0</v>
      </c>
      <c r="Y120" s="78">
        <f>IFERROR(VLOOKUP(Table1215[[#This Row],[Column2]],Table12[[Column2]:[Column54]],24,FALSE),"0")</f>
        <v>5</v>
      </c>
      <c r="Z120" s="78">
        <f>IFERROR(VLOOKUP(Table1215[[#This Row],[Column2]],Table12[[Column2]:[Column54]],25,FALSE),"0")</f>
        <v>0</v>
      </c>
      <c r="AA120" s="78">
        <f>IFERROR(VLOOKUP(Table1215[[#This Row],[Column2]],Table12[[Column2]:[Column54]],26,FALSE),"0")</f>
        <v>0</v>
      </c>
      <c r="AB120" s="78">
        <f>IFERROR(VLOOKUP(Table1215[[#This Row],[Column2]],Table12[[Column2]:[Column54]],27,FALSE),"0")</f>
        <v>0</v>
      </c>
      <c r="AC120" s="78">
        <f>IFERROR(VLOOKUP(Table1215[[#This Row],[Column2]],Table12[[Column2]:[Column54]],28,FALSE),"0")</f>
        <v>0</v>
      </c>
      <c r="AD120" s="80">
        <f>Table1215[[#This Row],[Column25]]</f>
        <v>5</v>
      </c>
      <c r="AE120" s="78">
        <f>IFERROR(VLOOKUP(Table1215[[#This Row],[Column2]],Table12[[Column2]:[Column54]],30,FALSE),"0")</f>
        <v>0</v>
      </c>
      <c r="AF120" s="78">
        <f>IFERROR(VLOOKUP(Table1215[[#This Row],[Column2]],Table12[[Column2]:[Column54]],31,FALSE),"0")</f>
        <v>0</v>
      </c>
      <c r="AG120" s="78">
        <f>IFERROR(VLOOKUP(Table1215[[#This Row],[Column2]],Table12[[Column2]:[Column54]],32,FALSE),"0")</f>
        <v>0</v>
      </c>
      <c r="AH120" s="78">
        <f>IFERROR(VLOOKUP(Table1215[[#This Row],[Column2]],Table12[[Column2]:[Column54]],33,FALSE),"0")</f>
        <v>0</v>
      </c>
      <c r="AI120" s="78">
        <f>IFERROR(VLOOKUP(Table1215[[#This Row],[Column2]],Table12[[Column2]:[Column54]],34,FALSE),"0")</f>
        <v>0</v>
      </c>
      <c r="AJ120" s="80">
        <f>AVERAGE(Table1215[[#This Row],[Column31]],Table1215[[#This Row],[Column32]],Table1215[[#This Row],[Column33]])</f>
        <v>0</v>
      </c>
      <c r="AK120" s="78">
        <f>IFERROR(VLOOKUP(Table1215[[#This Row],[Column2]],Table12[[Column2]:[Column54]],36,FALSE),"0")</f>
        <v>4</v>
      </c>
      <c r="AL120" s="78">
        <f>IFERROR(VLOOKUP(Table1215[[#This Row],[Column2]],Table12[[Column2]:[Column54]],37,FALSE),"0")</f>
        <v>4</v>
      </c>
      <c r="AM120" s="78">
        <f>IFERROR(VLOOKUP(Table1215[[#This Row],[Column2]],Table12[[Column2]:[Column54]],38,FALSE),"0")</f>
        <v>0</v>
      </c>
      <c r="AN120" s="78">
        <f>IFERROR(VLOOKUP(Table1215[[#This Row],[Column2]],Table12[[Column2]:[Column54]],39,FALSE),"0")</f>
        <v>4</v>
      </c>
      <c r="AO120" s="78">
        <f>IFERROR(VLOOKUP(Table1215[[#This Row],[Column2]],Table12[[Column2]:[Column54]],40,FALSE),"0")</f>
        <v>0</v>
      </c>
      <c r="AP120" s="80">
        <f>AVERAGE(Table1215[[#This Row],[Column37]],Table1215[[#This Row],[Column38]],Table1215[[#This Row],[Column40]])</f>
        <v>4</v>
      </c>
      <c r="AQ120" s="78">
        <f>IFERROR(VLOOKUP(Table1215[[#This Row],[Column2]],Table12[[Column2]:[Column54]],42,FALSE),"0")</f>
        <v>4</v>
      </c>
      <c r="AR120" s="78">
        <f>IFERROR(VLOOKUP(Table1215[[#This Row],[Column2]],Table12[[Column2]:[Column54]],43,FALSE),"0")</f>
        <v>0</v>
      </c>
      <c r="AS120" s="78">
        <f>IFERROR(VLOOKUP(Table1215[[#This Row],[Column2]],Table12[[Column2]:[Column54]],44,FALSE),"0")</f>
        <v>0</v>
      </c>
      <c r="AT120" s="78">
        <f>IFERROR(VLOOKUP(Table1215[[#This Row],[Column2]],Table12[[Column2]:[Column54]],45,FALSE),"0")</f>
        <v>0</v>
      </c>
      <c r="AU120" s="78">
        <f>IFERROR(VLOOKUP(Table1215[[#This Row],[Column2]],Table12[[Column2]:[Column54]],46,FALSE),"0")</f>
        <v>0</v>
      </c>
      <c r="AV120" s="80">
        <f>Table1215[[#This Row],[Column43]]</f>
        <v>4</v>
      </c>
      <c r="AW120" s="78">
        <f>IFERROR(VLOOKUP(Table1215[[#This Row],[Column2]],Table12[[Column2]:[Column54]],48,FALSE),"0")</f>
        <v>0</v>
      </c>
      <c r="AX120" s="78">
        <f>IFERROR(VLOOKUP(Table1215[[#This Row],[Column2]],Table12[[Column2]:[Column54]],49,FALSE),"0")</f>
        <v>0</v>
      </c>
      <c r="AY120" s="78">
        <f>IFERROR(VLOOKUP(Table1215[[#This Row],[Column2]],Table12[[Column2]:[Column54]],50,FALSE),"0")</f>
        <v>0</v>
      </c>
      <c r="AZ120" s="78">
        <f>IFERROR(VLOOKUP(Table1215[[#This Row],[Column2]],Table12[[Column2]:[Column54]],51,FALSE),"0")</f>
        <v>2</v>
      </c>
      <c r="BA120" s="78">
        <f>IFERROR(VLOOKUP(Table1215[[#This Row],[Column2]],Table12[[Column2]:[Column54]],52,FALSE),"0")</f>
        <v>4</v>
      </c>
      <c r="BB120" s="80">
        <f>AVERAGE(Table1215[[#This Row],[Column52]],Table1215[[#This Row],[Column53]])</f>
        <v>3</v>
      </c>
    </row>
    <row r="121" spans="1:54" ht="23.1" customHeight="1" x14ac:dyDescent="0.3">
      <c r="A121" s="100">
        <v>118</v>
      </c>
      <c r="B121" s="83" t="s">
        <v>356</v>
      </c>
      <c r="C121" s="84" t="s">
        <v>357</v>
      </c>
      <c r="D121" s="83" t="s">
        <v>542</v>
      </c>
      <c r="E121" s="83" t="s">
        <v>493</v>
      </c>
      <c r="F121" s="83" t="str">
        <f>REPT(CHAR(160),10)&amp;Working!$E122</f>
        <v>          C</v>
      </c>
      <c r="G121" s="74">
        <f>IFERROR(VLOOKUP(Table1215[[#This Row],[Column2]],Table12[[Column2]:[Column54]],6,FALSE),"0")</f>
        <v>0</v>
      </c>
      <c r="H121" s="74">
        <f>IFERROR(VLOOKUP(Table1215[[#This Row],[Column2]],Table12[[Column2]:[Column54]],7,FALSE),"0")</f>
        <v>0</v>
      </c>
      <c r="I121" s="74">
        <f>IFERROR(VLOOKUP(Table1215[[#This Row],[Column2]],Table12[[Column2]:[Column54]],8,FALSE),"0")</f>
        <v>2</v>
      </c>
      <c r="J121" s="74">
        <f>IFERROR(VLOOKUP(Table1215[[#This Row],[Column2]],Table12[[Column2]:[Column54]],9,FALSE),"0")</f>
        <v>0</v>
      </c>
      <c r="K121" s="74">
        <f>IFERROR(VLOOKUP(Table1215[[#This Row],[Column2]],Table12[[Column2]:[Column54]],10,FALSE),"0")</f>
        <v>0</v>
      </c>
      <c r="L121" s="80">
        <f>Table1215[[#This Row],[Column9]]</f>
        <v>2</v>
      </c>
      <c r="M121" s="74">
        <f>IFERROR(VLOOKUP(Table1215[[#This Row],[Column2]],Table12[[Column2]:[Column54]],12,FALSE),"0")</f>
        <v>0</v>
      </c>
      <c r="N121" s="74">
        <f>IFERROR(VLOOKUP(Table1215[[#This Row],[Column2]],Table12[[Column2]:[Column54]],13,FALSE),"0")</f>
        <v>3</v>
      </c>
      <c r="O121" s="74">
        <f>IFERROR(VLOOKUP(Table1215[[#This Row],[Column2]],Table12[[Column2]:[Column54]],14,FALSE),"0")</f>
        <v>3</v>
      </c>
      <c r="P121" s="74">
        <f>IFERROR(VLOOKUP(Table1215[[#This Row],[Column2]],Table12[[Column2]:[Column54]],10,FALSE),"0")</f>
        <v>0</v>
      </c>
      <c r="Q121" s="74">
        <f>IFERROR(VLOOKUP(Table1215[[#This Row],[Column2]],Table12[[Column2]:[Column54]],16,FALSE),"0")</f>
        <v>3</v>
      </c>
      <c r="R121" s="80">
        <f>AVERAGE(Table1215[[#This Row],[Column14]],Table1215[[#This Row],[Column15]],Table1215[[#This Row],[Column17]])</f>
        <v>3</v>
      </c>
      <c r="S121" s="74">
        <f>IFERROR(VLOOKUP(Table1215[[#This Row],[Column2]],Table12[[Column2]:[Column54]],18,FALSE),"0")</f>
        <v>0</v>
      </c>
      <c r="T121" s="74">
        <f>IFERROR(VLOOKUP(Table1215[[#This Row],[Column2]],Table12[[Column2]:[Column54]],19,FALSE),"0")</f>
        <v>0</v>
      </c>
      <c r="U121" s="74">
        <f>IFERROR(VLOOKUP(Table1215[[#This Row],[Column2]],Table12[[Column2]:[Column54]],20,FALSE),"0")</f>
        <v>0</v>
      </c>
      <c r="V121" s="74">
        <f>IFERROR(VLOOKUP(Table1215[[#This Row],[Column2]],Table12[[Column2]:[Column54]],21,FALSE),"0")</f>
        <v>0</v>
      </c>
      <c r="W121" s="74">
        <f>IFERROR(VLOOKUP(Table1215[[#This Row],[Column2]],Table12[[Column2]:[Column54]],22,FALSE),"0")</f>
        <v>0</v>
      </c>
      <c r="X121" s="80">
        <f>Table1215[[#This Row],[Column19]]</f>
        <v>0</v>
      </c>
      <c r="Y121" s="74">
        <f>IFERROR(VLOOKUP(Table1215[[#This Row],[Column2]],Table12[[Column2]:[Column54]],24,FALSE),"0")</f>
        <v>3</v>
      </c>
      <c r="Z121" s="74">
        <f>IFERROR(VLOOKUP(Table1215[[#This Row],[Column2]],Table12[[Column2]:[Column54]],25,FALSE),"0")</f>
        <v>0</v>
      </c>
      <c r="AA121" s="74">
        <f>IFERROR(VLOOKUP(Table1215[[#This Row],[Column2]],Table12[[Column2]:[Column54]],26,FALSE),"0")</f>
        <v>0</v>
      </c>
      <c r="AB121" s="74">
        <f>IFERROR(VLOOKUP(Table1215[[#This Row],[Column2]],Table12[[Column2]:[Column54]],27,FALSE),"0")</f>
        <v>0</v>
      </c>
      <c r="AC121" s="74">
        <f>IFERROR(VLOOKUP(Table1215[[#This Row],[Column2]],Table12[[Column2]:[Column54]],28,FALSE),"0")</f>
        <v>0</v>
      </c>
      <c r="AD121" s="80">
        <f>Table1215[[#This Row],[Column25]]</f>
        <v>3</v>
      </c>
      <c r="AE121" s="74">
        <f>IFERROR(VLOOKUP(Table1215[[#This Row],[Column2]],Table12[[Column2]:[Column54]],30,FALSE),"0")</f>
        <v>0</v>
      </c>
      <c r="AF121" s="74">
        <f>IFERROR(VLOOKUP(Table1215[[#This Row],[Column2]],Table12[[Column2]:[Column54]],31,FALSE),"0")</f>
        <v>0</v>
      </c>
      <c r="AG121" s="74">
        <f>IFERROR(VLOOKUP(Table1215[[#This Row],[Column2]],Table12[[Column2]:[Column54]],32,FALSE),"0")</f>
        <v>0</v>
      </c>
      <c r="AH121" s="74">
        <f>IFERROR(VLOOKUP(Table1215[[#This Row],[Column2]],Table12[[Column2]:[Column54]],33,FALSE),"0")</f>
        <v>0</v>
      </c>
      <c r="AI121" s="74">
        <f>IFERROR(VLOOKUP(Table1215[[#This Row],[Column2]],Table12[[Column2]:[Column54]],34,FALSE),"0")</f>
        <v>0</v>
      </c>
      <c r="AJ121" s="80">
        <f>AVERAGE(Table1215[[#This Row],[Column31]],Table1215[[#This Row],[Column32]],Table1215[[#This Row],[Column33]])</f>
        <v>0</v>
      </c>
      <c r="AK121" s="74">
        <f>IFERROR(VLOOKUP(Table1215[[#This Row],[Column2]],Table12[[Column2]:[Column54]],36,FALSE),"0")</f>
        <v>1</v>
      </c>
      <c r="AL121" s="74">
        <f>IFERROR(VLOOKUP(Table1215[[#This Row],[Column2]],Table12[[Column2]:[Column54]],37,FALSE),"0")</f>
        <v>3</v>
      </c>
      <c r="AM121" s="74">
        <f>IFERROR(VLOOKUP(Table1215[[#This Row],[Column2]],Table12[[Column2]:[Column54]],38,FALSE),"0")</f>
        <v>0</v>
      </c>
      <c r="AN121" s="74">
        <f>IFERROR(VLOOKUP(Table1215[[#This Row],[Column2]],Table12[[Column2]:[Column54]],39,FALSE),"0")</f>
        <v>2</v>
      </c>
      <c r="AO121" s="74">
        <f>IFERROR(VLOOKUP(Table1215[[#This Row],[Column2]],Table12[[Column2]:[Column54]],40,FALSE),"0")</f>
        <v>0</v>
      </c>
      <c r="AP121" s="80">
        <f>AVERAGE(Table1215[[#This Row],[Column37]],Table1215[[#This Row],[Column38]],Table1215[[#This Row],[Column40]])</f>
        <v>2</v>
      </c>
      <c r="AQ121" s="74">
        <f>IFERROR(VLOOKUP(Table1215[[#This Row],[Column2]],Table12[[Column2]:[Column54]],42,FALSE),"0")</f>
        <v>2</v>
      </c>
      <c r="AR121" s="74">
        <f>IFERROR(VLOOKUP(Table1215[[#This Row],[Column2]],Table12[[Column2]:[Column54]],43,FALSE),"0")</f>
        <v>0</v>
      </c>
      <c r="AS121" s="74">
        <f>IFERROR(VLOOKUP(Table1215[[#This Row],[Column2]],Table12[[Column2]:[Column54]],44,FALSE),"0")</f>
        <v>0</v>
      </c>
      <c r="AT121" s="74">
        <f>IFERROR(VLOOKUP(Table1215[[#This Row],[Column2]],Table12[[Column2]:[Column54]],45,FALSE),"0")</f>
        <v>0</v>
      </c>
      <c r="AU121" s="74">
        <f>IFERROR(VLOOKUP(Table1215[[#This Row],[Column2]],Table12[[Column2]:[Column54]],46,FALSE),"0")</f>
        <v>0</v>
      </c>
      <c r="AV121" s="80">
        <f>Table1215[[#This Row],[Column43]]</f>
        <v>2</v>
      </c>
      <c r="AW121" s="74">
        <f>IFERROR(VLOOKUP(Table1215[[#This Row],[Column2]],Table12[[Column2]:[Column54]],48,FALSE),"0")</f>
        <v>0</v>
      </c>
      <c r="AX121" s="74">
        <f>IFERROR(VLOOKUP(Table1215[[#This Row],[Column2]],Table12[[Column2]:[Column54]],49,FALSE),"0")</f>
        <v>0</v>
      </c>
      <c r="AY121" s="74">
        <f>IFERROR(VLOOKUP(Table1215[[#This Row],[Column2]],Table12[[Column2]:[Column54]],50,FALSE),"0")</f>
        <v>0</v>
      </c>
      <c r="AZ121" s="74">
        <f>IFERROR(VLOOKUP(Table1215[[#This Row],[Column2]],Table12[[Column2]:[Column54]],51,FALSE),"0")</f>
        <v>2</v>
      </c>
      <c r="BA121" s="74">
        <f>IFERROR(VLOOKUP(Table1215[[#This Row],[Column2]],Table12[[Column2]:[Column54]],52,FALSE),"0")</f>
        <v>3</v>
      </c>
      <c r="BB121" s="80">
        <f>AVERAGE(Table1215[[#This Row],[Column52]],Table1215[[#This Row],[Column53]])</f>
        <v>2.5</v>
      </c>
    </row>
    <row r="122" spans="1:54" ht="23.1" customHeight="1" x14ac:dyDescent="0.3">
      <c r="A122" s="99">
        <v>119</v>
      </c>
      <c r="B122" s="76" t="s">
        <v>358</v>
      </c>
      <c r="C122" s="77" t="s">
        <v>359</v>
      </c>
      <c r="D122" s="76" t="s">
        <v>542</v>
      </c>
      <c r="E122" s="76" t="s">
        <v>493</v>
      </c>
      <c r="F122" s="76" t="str">
        <f>REPT(CHAR(160),10)&amp;Working!$E123</f>
        <v>          C</v>
      </c>
      <c r="G122" s="78">
        <f>IFERROR(VLOOKUP(Table1215[[#This Row],[Column2]],Table12[[Column2]:[Column54]],6,FALSE),"0")</f>
        <v>0</v>
      </c>
      <c r="H122" s="78">
        <f>IFERROR(VLOOKUP(Table1215[[#This Row],[Column2]],Table12[[Column2]:[Column54]],7,FALSE),"0")</f>
        <v>0</v>
      </c>
      <c r="I122" s="78">
        <f>IFERROR(VLOOKUP(Table1215[[#This Row],[Column2]],Table12[[Column2]:[Column54]],8,FALSE),"0")</f>
        <v>4</v>
      </c>
      <c r="J122" s="78">
        <f>IFERROR(VLOOKUP(Table1215[[#This Row],[Column2]],Table12[[Column2]:[Column54]],9,FALSE),"0")</f>
        <v>0</v>
      </c>
      <c r="K122" s="78">
        <f>IFERROR(VLOOKUP(Table1215[[#This Row],[Column2]],Table12[[Column2]:[Column54]],10,FALSE),"0")</f>
        <v>0</v>
      </c>
      <c r="L122" s="80">
        <f>Table1215[[#This Row],[Column9]]</f>
        <v>4</v>
      </c>
      <c r="M122" s="78">
        <f>IFERROR(VLOOKUP(Table1215[[#This Row],[Column2]],Table12[[Column2]:[Column54]],12,FALSE),"0")</f>
        <v>0</v>
      </c>
      <c r="N122" s="78">
        <f>IFERROR(VLOOKUP(Table1215[[#This Row],[Column2]],Table12[[Column2]:[Column54]],13,FALSE),"0")</f>
        <v>4</v>
      </c>
      <c r="O122" s="78">
        <f>IFERROR(VLOOKUP(Table1215[[#This Row],[Column2]],Table12[[Column2]:[Column54]],14,FALSE),"0")</f>
        <v>3</v>
      </c>
      <c r="P122" s="78">
        <f>IFERROR(VLOOKUP(Table1215[[#This Row],[Column2]],Table12[[Column2]:[Column54]],10,FALSE),"0")</f>
        <v>0</v>
      </c>
      <c r="Q122" s="78">
        <f>IFERROR(VLOOKUP(Table1215[[#This Row],[Column2]],Table12[[Column2]:[Column54]],16,FALSE),"0")</f>
        <v>3</v>
      </c>
      <c r="R122" s="80">
        <f>AVERAGE(Table1215[[#This Row],[Column14]],Table1215[[#This Row],[Column15]],Table1215[[#This Row],[Column17]])</f>
        <v>3.3333333333333335</v>
      </c>
      <c r="S122" s="78">
        <f>IFERROR(VLOOKUP(Table1215[[#This Row],[Column2]],Table12[[Column2]:[Column54]],18,FALSE),"0")</f>
        <v>0</v>
      </c>
      <c r="T122" s="78">
        <f>IFERROR(VLOOKUP(Table1215[[#This Row],[Column2]],Table12[[Column2]:[Column54]],19,FALSE),"0")</f>
        <v>0</v>
      </c>
      <c r="U122" s="78">
        <f>IFERROR(VLOOKUP(Table1215[[#This Row],[Column2]],Table12[[Column2]:[Column54]],20,FALSE),"0")</f>
        <v>0</v>
      </c>
      <c r="V122" s="78">
        <f>IFERROR(VLOOKUP(Table1215[[#This Row],[Column2]],Table12[[Column2]:[Column54]],21,FALSE),"0")</f>
        <v>0</v>
      </c>
      <c r="W122" s="78">
        <f>IFERROR(VLOOKUP(Table1215[[#This Row],[Column2]],Table12[[Column2]:[Column54]],22,FALSE),"0")</f>
        <v>0</v>
      </c>
      <c r="X122" s="80">
        <f>Table1215[[#This Row],[Column19]]</f>
        <v>0</v>
      </c>
      <c r="Y122" s="78">
        <f>IFERROR(VLOOKUP(Table1215[[#This Row],[Column2]],Table12[[Column2]:[Column54]],24,FALSE),"0")</f>
        <v>4</v>
      </c>
      <c r="Z122" s="78">
        <f>IFERROR(VLOOKUP(Table1215[[#This Row],[Column2]],Table12[[Column2]:[Column54]],25,FALSE),"0")</f>
        <v>0</v>
      </c>
      <c r="AA122" s="78">
        <f>IFERROR(VLOOKUP(Table1215[[#This Row],[Column2]],Table12[[Column2]:[Column54]],26,FALSE),"0")</f>
        <v>0</v>
      </c>
      <c r="AB122" s="78">
        <f>IFERROR(VLOOKUP(Table1215[[#This Row],[Column2]],Table12[[Column2]:[Column54]],27,FALSE),"0")</f>
        <v>0</v>
      </c>
      <c r="AC122" s="78">
        <f>IFERROR(VLOOKUP(Table1215[[#This Row],[Column2]],Table12[[Column2]:[Column54]],28,FALSE),"0")</f>
        <v>0</v>
      </c>
      <c r="AD122" s="80">
        <f>Table1215[[#This Row],[Column25]]</f>
        <v>4</v>
      </c>
      <c r="AE122" s="78">
        <f>IFERROR(VLOOKUP(Table1215[[#This Row],[Column2]],Table12[[Column2]:[Column54]],30,FALSE),"0")</f>
        <v>0</v>
      </c>
      <c r="AF122" s="78">
        <f>IFERROR(VLOOKUP(Table1215[[#This Row],[Column2]],Table12[[Column2]:[Column54]],31,FALSE),"0")</f>
        <v>0</v>
      </c>
      <c r="AG122" s="78">
        <f>IFERROR(VLOOKUP(Table1215[[#This Row],[Column2]],Table12[[Column2]:[Column54]],32,FALSE),"0")</f>
        <v>0</v>
      </c>
      <c r="AH122" s="78">
        <f>IFERROR(VLOOKUP(Table1215[[#This Row],[Column2]],Table12[[Column2]:[Column54]],33,FALSE),"0")</f>
        <v>0</v>
      </c>
      <c r="AI122" s="78">
        <f>IFERROR(VLOOKUP(Table1215[[#This Row],[Column2]],Table12[[Column2]:[Column54]],34,FALSE),"0")</f>
        <v>0</v>
      </c>
      <c r="AJ122" s="80">
        <f>AVERAGE(Table1215[[#This Row],[Column31]],Table1215[[#This Row],[Column32]],Table1215[[#This Row],[Column33]])</f>
        <v>0</v>
      </c>
      <c r="AK122" s="78">
        <f>IFERROR(VLOOKUP(Table1215[[#This Row],[Column2]],Table12[[Column2]:[Column54]],36,FALSE),"0")</f>
        <v>4</v>
      </c>
      <c r="AL122" s="78">
        <f>IFERROR(VLOOKUP(Table1215[[#This Row],[Column2]],Table12[[Column2]:[Column54]],37,FALSE),"0")</f>
        <v>3</v>
      </c>
      <c r="AM122" s="78">
        <f>IFERROR(VLOOKUP(Table1215[[#This Row],[Column2]],Table12[[Column2]:[Column54]],38,FALSE),"0")</f>
        <v>0</v>
      </c>
      <c r="AN122" s="78">
        <f>IFERROR(VLOOKUP(Table1215[[#This Row],[Column2]],Table12[[Column2]:[Column54]],39,FALSE),"0")</f>
        <v>4</v>
      </c>
      <c r="AO122" s="78">
        <f>IFERROR(VLOOKUP(Table1215[[#This Row],[Column2]],Table12[[Column2]:[Column54]],40,FALSE),"0")</f>
        <v>0</v>
      </c>
      <c r="AP122" s="80">
        <f>AVERAGE(Table1215[[#This Row],[Column37]],Table1215[[#This Row],[Column38]],Table1215[[#This Row],[Column40]])</f>
        <v>3.6666666666666665</v>
      </c>
      <c r="AQ122" s="78">
        <f>IFERROR(VLOOKUP(Table1215[[#This Row],[Column2]],Table12[[Column2]:[Column54]],42,FALSE),"0")</f>
        <v>4</v>
      </c>
      <c r="AR122" s="78">
        <f>IFERROR(VLOOKUP(Table1215[[#This Row],[Column2]],Table12[[Column2]:[Column54]],43,FALSE),"0")</f>
        <v>0</v>
      </c>
      <c r="AS122" s="78">
        <f>IFERROR(VLOOKUP(Table1215[[#This Row],[Column2]],Table12[[Column2]:[Column54]],44,FALSE),"0")</f>
        <v>0</v>
      </c>
      <c r="AT122" s="78">
        <f>IFERROR(VLOOKUP(Table1215[[#This Row],[Column2]],Table12[[Column2]:[Column54]],45,FALSE),"0")</f>
        <v>0</v>
      </c>
      <c r="AU122" s="78">
        <f>IFERROR(VLOOKUP(Table1215[[#This Row],[Column2]],Table12[[Column2]:[Column54]],46,FALSE),"0")</f>
        <v>0</v>
      </c>
      <c r="AV122" s="80">
        <f>Table1215[[#This Row],[Column43]]</f>
        <v>4</v>
      </c>
      <c r="AW122" s="78">
        <f>IFERROR(VLOOKUP(Table1215[[#This Row],[Column2]],Table12[[Column2]:[Column54]],48,FALSE),"0")</f>
        <v>0</v>
      </c>
      <c r="AX122" s="78">
        <f>IFERROR(VLOOKUP(Table1215[[#This Row],[Column2]],Table12[[Column2]:[Column54]],49,FALSE),"0")</f>
        <v>0</v>
      </c>
      <c r="AY122" s="78">
        <f>IFERROR(VLOOKUP(Table1215[[#This Row],[Column2]],Table12[[Column2]:[Column54]],50,FALSE),"0")</f>
        <v>0</v>
      </c>
      <c r="AZ122" s="78">
        <f>IFERROR(VLOOKUP(Table1215[[#This Row],[Column2]],Table12[[Column2]:[Column54]],51,FALSE),"0")</f>
        <v>5</v>
      </c>
      <c r="BA122" s="78">
        <f>IFERROR(VLOOKUP(Table1215[[#This Row],[Column2]],Table12[[Column2]:[Column54]],52,FALSE),"0")</f>
        <v>4</v>
      </c>
      <c r="BB122" s="80">
        <f>AVERAGE(Table1215[[#This Row],[Column52]],Table1215[[#This Row],[Column53]])</f>
        <v>4.5</v>
      </c>
    </row>
    <row r="123" spans="1:54" ht="23.1" customHeight="1" x14ac:dyDescent="0.3">
      <c r="A123" s="100">
        <v>120</v>
      </c>
      <c r="B123" s="83" t="s">
        <v>150</v>
      </c>
      <c r="C123" s="84" t="s">
        <v>151</v>
      </c>
      <c r="D123" s="83" t="s">
        <v>450</v>
      </c>
      <c r="E123" s="83" t="s">
        <v>35</v>
      </c>
      <c r="F123" s="83" t="str">
        <f>REPT(CHAR(160),10)&amp;Working!$E124</f>
        <v>          A</v>
      </c>
      <c r="G123" s="74">
        <f>IFERROR(VLOOKUP(Table1215[[#This Row],[Column2]],Table12[[Column2]:[Column54]],6,FALSE),"0")</f>
        <v>0</v>
      </c>
      <c r="H123" s="74">
        <f>IFERROR(VLOOKUP(Table1215[[#This Row],[Column2]],Table12[[Column2]:[Column54]],7,FALSE),"0")</f>
        <v>0</v>
      </c>
      <c r="I123" s="74">
        <f>IFERROR(VLOOKUP(Table1215[[#This Row],[Column2]],Table12[[Column2]:[Column54]],8,FALSE),"0")</f>
        <v>4</v>
      </c>
      <c r="J123" s="74">
        <f>IFERROR(VLOOKUP(Table1215[[#This Row],[Column2]],Table12[[Column2]:[Column54]],9,FALSE),"0")</f>
        <v>0</v>
      </c>
      <c r="K123" s="74">
        <f>IFERROR(VLOOKUP(Table1215[[#This Row],[Column2]],Table12[[Column2]:[Column54]],10,FALSE),"0")</f>
        <v>0</v>
      </c>
      <c r="L123" s="80">
        <f>Table1215[[#This Row],[Column9]]</f>
        <v>4</v>
      </c>
      <c r="M123" s="74">
        <f>IFERROR(VLOOKUP(Table1215[[#This Row],[Column2]],Table12[[Column2]:[Column54]],12,FALSE),"0")</f>
        <v>0</v>
      </c>
      <c r="N123" s="74">
        <f>IFERROR(VLOOKUP(Table1215[[#This Row],[Column2]],Table12[[Column2]:[Column54]],13,FALSE),"0")</f>
        <v>4</v>
      </c>
      <c r="O123" s="74">
        <f>IFERROR(VLOOKUP(Table1215[[#This Row],[Column2]],Table12[[Column2]:[Column54]],14,FALSE),"0")</f>
        <v>4</v>
      </c>
      <c r="P123" s="74">
        <f>IFERROR(VLOOKUP(Table1215[[#This Row],[Column2]],Table12[[Column2]:[Column54]],10,FALSE),"0")</f>
        <v>0</v>
      </c>
      <c r="Q123" s="74">
        <f>IFERROR(VLOOKUP(Table1215[[#This Row],[Column2]],Table12[[Column2]:[Column54]],16,FALSE),"0")</f>
        <v>4</v>
      </c>
      <c r="R123" s="80">
        <f>AVERAGE(Table1215[[#This Row],[Column14]],Table1215[[#This Row],[Column15]],Table1215[[#This Row],[Column17]])</f>
        <v>4</v>
      </c>
      <c r="S123" s="74">
        <f>IFERROR(VLOOKUP(Table1215[[#This Row],[Column2]],Table12[[Column2]:[Column54]],18,FALSE),"0")</f>
        <v>0</v>
      </c>
      <c r="T123" s="74">
        <f>IFERROR(VLOOKUP(Table1215[[#This Row],[Column2]],Table12[[Column2]:[Column54]],19,FALSE),"0")</f>
        <v>0</v>
      </c>
      <c r="U123" s="74">
        <f>IFERROR(VLOOKUP(Table1215[[#This Row],[Column2]],Table12[[Column2]:[Column54]],20,FALSE),"0")</f>
        <v>0</v>
      </c>
      <c r="V123" s="74">
        <f>IFERROR(VLOOKUP(Table1215[[#This Row],[Column2]],Table12[[Column2]:[Column54]],21,FALSE),"0")</f>
        <v>0</v>
      </c>
      <c r="W123" s="74">
        <f>IFERROR(VLOOKUP(Table1215[[#This Row],[Column2]],Table12[[Column2]:[Column54]],22,FALSE),"0")</f>
        <v>0</v>
      </c>
      <c r="X123" s="80">
        <f>Table1215[[#This Row],[Column19]]</f>
        <v>0</v>
      </c>
      <c r="Y123" s="74">
        <f>IFERROR(VLOOKUP(Table1215[[#This Row],[Column2]],Table12[[Column2]:[Column54]],24,FALSE),"0")</f>
        <v>4</v>
      </c>
      <c r="Z123" s="74">
        <f>IFERROR(VLOOKUP(Table1215[[#This Row],[Column2]],Table12[[Column2]:[Column54]],25,FALSE),"0")</f>
        <v>0</v>
      </c>
      <c r="AA123" s="74">
        <f>IFERROR(VLOOKUP(Table1215[[#This Row],[Column2]],Table12[[Column2]:[Column54]],26,FALSE),"0")</f>
        <v>0</v>
      </c>
      <c r="AB123" s="74">
        <f>IFERROR(VLOOKUP(Table1215[[#This Row],[Column2]],Table12[[Column2]:[Column54]],27,FALSE),"0")</f>
        <v>0</v>
      </c>
      <c r="AC123" s="74">
        <f>IFERROR(VLOOKUP(Table1215[[#This Row],[Column2]],Table12[[Column2]:[Column54]],28,FALSE),"0")</f>
        <v>0</v>
      </c>
      <c r="AD123" s="80">
        <f>Table1215[[#This Row],[Column25]]</f>
        <v>4</v>
      </c>
      <c r="AE123" s="74">
        <f>IFERROR(VLOOKUP(Table1215[[#This Row],[Column2]],Table12[[Column2]:[Column54]],30,FALSE),"0")</f>
        <v>0</v>
      </c>
      <c r="AF123" s="74">
        <f>IFERROR(VLOOKUP(Table1215[[#This Row],[Column2]],Table12[[Column2]:[Column54]],31,FALSE),"0")</f>
        <v>0</v>
      </c>
      <c r="AG123" s="74">
        <f>IFERROR(VLOOKUP(Table1215[[#This Row],[Column2]],Table12[[Column2]:[Column54]],32,FALSE),"0")</f>
        <v>0</v>
      </c>
      <c r="AH123" s="74">
        <f>IFERROR(VLOOKUP(Table1215[[#This Row],[Column2]],Table12[[Column2]:[Column54]],33,FALSE),"0")</f>
        <v>0</v>
      </c>
      <c r="AI123" s="74">
        <f>IFERROR(VLOOKUP(Table1215[[#This Row],[Column2]],Table12[[Column2]:[Column54]],34,FALSE),"0")</f>
        <v>0</v>
      </c>
      <c r="AJ123" s="80">
        <f>AVERAGE(Table1215[[#This Row],[Column31]],Table1215[[#This Row],[Column32]],Table1215[[#This Row],[Column33]])</f>
        <v>0</v>
      </c>
      <c r="AK123" s="74">
        <f>IFERROR(VLOOKUP(Table1215[[#This Row],[Column2]],Table12[[Column2]:[Column54]],36,FALSE),"0")</f>
        <v>4</v>
      </c>
      <c r="AL123" s="74">
        <f>IFERROR(VLOOKUP(Table1215[[#This Row],[Column2]],Table12[[Column2]:[Column54]],37,FALSE),"0")</f>
        <v>4</v>
      </c>
      <c r="AM123" s="74">
        <f>IFERROR(VLOOKUP(Table1215[[#This Row],[Column2]],Table12[[Column2]:[Column54]],38,FALSE),"0")</f>
        <v>0</v>
      </c>
      <c r="AN123" s="74">
        <f>IFERROR(VLOOKUP(Table1215[[#This Row],[Column2]],Table12[[Column2]:[Column54]],39,FALSE),"0")</f>
        <v>3</v>
      </c>
      <c r="AO123" s="74">
        <f>IFERROR(VLOOKUP(Table1215[[#This Row],[Column2]],Table12[[Column2]:[Column54]],40,FALSE),"0")</f>
        <v>0</v>
      </c>
      <c r="AP123" s="80">
        <f>AVERAGE(Table1215[[#This Row],[Column37]],Table1215[[#This Row],[Column38]],Table1215[[#This Row],[Column40]])</f>
        <v>3.6666666666666665</v>
      </c>
      <c r="AQ123" s="74">
        <f>IFERROR(VLOOKUP(Table1215[[#This Row],[Column2]],Table12[[Column2]:[Column54]],42,FALSE),"0")</f>
        <v>3</v>
      </c>
      <c r="AR123" s="74">
        <f>IFERROR(VLOOKUP(Table1215[[#This Row],[Column2]],Table12[[Column2]:[Column54]],43,FALSE),"0")</f>
        <v>0</v>
      </c>
      <c r="AS123" s="74">
        <f>IFERROR(VLOOKUP(Table1215[[#This Row],[Column2]],Table12[[Column2]:[Column54]],44,FALSE),"0")</f>
        <v>0</v>
      </c>
      <c r="AT123" s="74">
        <f>IFERROR(VLOOKUP(Table1215[[#This Row],[Column2]],Table12[[Column2]:[Column54]],45,FALSE),"0")</f>
        <v>0</v>
      </c>
      <c r="AU123" s="74">
        <f>IFERROR(VLOOKUP(Table1215[[#This Row],[Column2]],Table12[[Column2]:[Column54]],46,FALSE),"0")</f>
        <v>0</v>
      </c>
      <c r="AV123" s="80">
        <f>Table1215[[#This Row],[Column43]]</f>
        <v>3</v>
      </c>
      <c r="AW123" s="74">
        <f>IFERROR(VLOOKUP(Table1215[[#This Row],[Column2]],Table12[[Column2]:[Column54]],48,FALSE),"0")</f>
        <v>0</v>
      </c>
      <c r="AX123" s="74">
        <f>IFERROR(VLOOKUP(Table1215[[#This Row],[Column2]],Table12[[Column2]:[Column54]],49,FALSE),"0")</f>
        <v>0</v>
      </c>
      <c r="AY123" s="74">
        <f>IFERROR(VLOOKUP(Table1215[[#This Row],[Column2]],Table12[[Column2]:[Column54]],50,FALSE),"0")</f>
        <v>0</v>
      </c>
      <c r="AZ123" s="74">
        <f>IFERROR(VLOOKUP(Table1215[[#This Row],[Column2]],Table12[[Column2]:[Column54]],51,FALSE),"0")</f>
        <v>2</v>
      </c>
      <c r="BA123" s="74">
        <f>IFERROR(VLOOKUP(Table1215[[#This Row],[Column2]],Table12[[Column2]:[Column54]],52,FALSE),"0")</f>
        <v>5</v>
      </c>
      <c r="BB123" s="80">
        <f>AVERAGE(Table1215[[#This Row],[Column52]],Table1215[[#This Row],[Column53]])</f>
        <v>3.5</v>
      </c>
    </row>
    <row r="124" spans="1:54" ht="23.1" customHeight="1" x14ac:dyDescent="0.3">
      <c r="A124" s="99">
        <v>121</v>
      </c>
      <c r="B124" s="76" t="s">
        <v>360</v>
      </c>
      <c r="C124" s="77" t="s">
        <v>361</v>
      </c>
      <c r="D124" s="76" t="s">
        <v>450</v>
      </c>
      <c r="E124" s="76" t="s">
        <v>493</v>
      </c>
      <c r="F124" s="76" t="str">
        <f>REPT(CHAR(160),10)&amp;Working!$E125</f>
        <v>          C</v>
      </c>
      <c r="G124" s="78">
        <f>IFERROR(VLOOKUP(Table1215[[#This Row],[Column2]],Table12[[Column2]:[Column54]],6,FALSE),"0")</f>
        <v>0</v>
      </c>
      <c r="H124" s="78">
        <f>IFERROR(VLOOKUP(Table1215[[#This Row],[Column2]],Table12[[Column2]:[Column54]],7,FALSE),"0")</f>
        <v>0</v>
      </c>
      <c r="I124" s="78">
        <f>IFERROR(VLOOKUP(Table1215[[#This Row],[Column2]],Table12[[Column2]:[Column54]],8,FALSE),"0")</f>
        <v>1</v>
      </c>
      <c r="J124" s="78">
        <f>IFERROR(VLOOKUP(Table1215[[#This Row],[Column2]],Table12[[Column2]:[Column54]],9,FALSE),"0")</f>
        <v>0</v>
      </c>
      <c r="K124" s="78">
        <f>IFERROR(VLOOKUP(Table1215[[#This Row],[Column2]],Table12[[Column2]:[Column54]],10,FALSE),"0")</f>
        <v>0</v>
      </c>
      <c r="L124" s="80">
        <f>Table1215[[#This Row],[Column9]]</f>
        <v>1</v>
      </c>
      <c r="M124" s="78">
        <f>IFERROR(VLOOKUP(Table1215[[#This Row],[Column2]],Table12[[Column2]:[Column54]],12,FALSE),"0")</f>
        <v>0</v>
      </c>
      <c r="N124" s="78">
        <f>IFERROR(VLOOKUP(Table1215[[#This Row],[Column2]],Table12[[Column2]:[Column54]],13,FALSE),"0")</f>
        <v>3</v>
      </c>
      <c r="O124" s="78">
        <f>IFERROR(VLOOKUP(Table1215[[#This Row],[Column2]],Table12[[Column2]:[Column54]],14,FALSE),"0")</f>
        <v>1</v>
      </c>
      <c r="P124" s="78">
        <f>IFERROR(VLOOKUP(Table1215[[#This Row],[Column2]],Table12[[Column2]:[Column54]],10,FALSE),"0")</f>
        <v>0</v>
      </c>
      <c r="Q124" s="78">
        <f>IFERROR(VLOOKUP(Table1215[[#This Row],[Column2]],Table12[[Column2]:[Column54]],16,FALSE),"0")</f>
        <v>1</v>
      </c>
      <c r="R124" s="80">
        <f>AVERAGE(Table1215[[#This Row],[Column14]],Table1215[[#This Row],[Column15]],Table1215[[#This Row],[Column17]])</f>
        <v>1.6666666666666667</v>
      </c>
      <c r="S124" s="78">
        <f>IFERROR(VLOOKUP(Table1215[[#This Row],[Column2]],Table12[[Column2]:[Column54]],18,FALSE),"0")</f>
        <v>0</v>
      </c>
      <c r="T124" s="78">
        <f>IFERROR(VLOOKUP(Table1215[[#This Row],[Column2]],Table12[[Column2]:[Column54]],19,FALSE),"0")</f>
        <v>0</v>
      </c>
      <c r="U124" s="78">
        <f>IFERROR(VLOOKUP(Table1215[[#This Row],[Column2]],Table12[[Column2]:[Column54]],20,FALSE),"0")</f>
        <v>0</v>
      </c>
      <c r="V124" s="78">
        <f>IFERROR(VLOOKUP(Table1215[[#This Row],[Column2]],Table12[[Column2]:[Column54]],21,FALSE),"0")</f>
        <v>0</v>
      </c>
      <c r="W124" s="78">
        <f>IFERROR(VLOOKUP(Table1215[[#This Row],[Column2]],Table12[[Column2]:[Column54]],22,FALSE),"0")</f>
        <v>0</v>
      </c>
      <c r="X124" s="80">
        <f>Table1215[[#This Row],[Column19]]</f>
        <v>0</v>
      </c>
      <c r="Y124" s="78">
        <f>IFERROR(VLOOKUP(Table1215[[#This Row],[Column2]],Table12[[Column2]:[Column54]],24,FALSE),"0")</f>
        <v>2</v>
      </c>
      <c r="Z124" s="78">
        <f>IFERROR(VLOOKUP(Table1215[[#This Row],[Column2]],Table12[[Column2]:[Column54]],25,FALSE),"0")</f>
        <v>0</v>
      </c>
      <c r="AA124" s="78">
        <f>IFERROR(VLOOKUP(Table1215[[#This Row],[Column2]],Table12[[Column2]:[Column54]],26,FALSE),"0")</f>
        <v>0</v>
      </c>
      <c r="AB124" s="78">
        <f>IFERROR(VLOOKUP(Table1215[[#This Row],[Column2]],Table12[[Column2]:[Column54]],27,FALSE),"0")</f>
        <v>0</v>
      </c>
      <c r="AC124" s="78">
        <f>IFERROR(VLOOKUP(Table1215[[#This Row],[Column2]],Table12[[Column2]:[Column54]],28,FALSE),"0")</f>
        <v>0</v>
      </c>
      <c r="AD124" s="80">
        <f>Table1215[[#This Row],[Column25]]</f>
        <v>2</v>
      </c>
      <c r="AE124" s="78">
        <f>IFERROR(VLOOKUP(Table1215[[#This Row],[Column2]],Table12[[Column2]:[Column54]],30,FALSE),"0")</f>
        <v>0</v>
      </c>
      <c r="AF124" s="78">
        <f>IFERROR(VLOOKUP(Table1215[[#This Row],[Column2]],Table12[[Column2]:[Column54]],31,FALSE),"0")</f>
        <v>0</v>
      </c>
      <c r="AG124" s="78">
        <f>IFERROR(VLOOKUP(Table1215[[#This Row],[Column2]],Table12[[Column2]:[Column54]],32,FALSE),"0")</f>
        <v>0</v>
      </c>
      <c r="AH124" s="78">
        <f>IFERROR(VLOOKUP(Table1215[[#This Row],[Column2]],Table12[[Column2]:[Column54]],33,FALSE),"0")</f>
        <v>0</v>
      </c>
      <c r="AI124" s="78">
        <f>IFERROR(VLOOKUP(Table1215[[#This Row],[Column2]],Table12[[Column2]:[Column54]],34,FALSE),"0")</f>
        <v>0</v>
      </c>
      <c r="AJ124" s="80">
        <f>AVERAGE(Table1215[[#This Row],[Column31]],Table1215[[#This Row],[Column32]],Table1215[[#This Row],[Column33]])</f>
        <v>0</v>
      </c>
      <c r="AK124" s="78">
        <f>IFERROR(VLOOKUP(Table1215[[#This Row],[Column2]],Table12[[Column2]:[Column54]],36,FALSE),"0")</f>
        <v>1</v>
      </c>
      <c r="AL124" s="78">
        <f>IFERROR(VLOOKUP(Table1215[[#This Row],[Column2]],Table12[[Column2]:[Column54]],37,FALSE),"0")</f>
        <v>2</v>
      </c>
      <c r="AM124" s="78">
        <f>IFERROR(VLOOKUP(Table1215[[#This Row],[Column2]],Table12[[Column2]:[Column54]],38,FALSE),"0")</f>
        <v>0</v>
      </c>
      <c r="AN124" s="78">
        <f>IFERROR(VLOOKUP(Table1215[[#This Row],[Column2]],Table12[[Column2]:[Column54]],39,FALSE),"0")</f>
        <v>2</v>
      </c>
      <c r="AO124" s="78">
        <f>IFERROR(VLOOKUP(Table1215[[#This Row],[Column2]],Table12[[Column2]:[Column54]],40,FALSE),"0")</f>
        <v>0</v>
      </c>
      <c r="AP124" s="80">
        <f>AVERAGE(Table1215[[#This Row],[Column37]],Table1215[[#This Row],[Column38]],Table1215[[#This Row],[Column40]])</f>
        <v>1.6666666666666667</v>
      </c>
      <c r="AQ124" s="78">
        <f>IFERROR(VLOOKUP(Table1215[[#This Row],[Column2]],Table12[[Column2]:[Column54]],42,FALSE),"0")</f>
        <v>4</v>
      </c>
      <c r="AR124" s="78">
        <f>IFERROR(VLOOKUP(Table1215[[#This Row],[Column2]],Table12[[Column2]:[Column54]],43,FALSE),"0")</f>
        <v>0</v>
      </c>
      <c r="AS124" s="78">
        <f>IFERROR(VLOOKUP(Table1215[[#This Row],[Column2]],Table12[[Column2]:[Column54]],44,FALSE),"0")</f>
        <v>0</v>
      </c>
      <c r="AT124" s="78">
        <f>IFERROR(VLOOKUP(Table1215[[#This Row],[Column2]],Table12[[Column2]:[Column54]],45,FALSE),"0")</f>
        <v>0</v>
      </c>
      <c r="AU124" s="78">
        <f>IFERROR(VLOOKUP(Table1215[[#This Row],[Column2]],Table12[[Column2]:[Column54]],46,FALSE),"0")</f>
        <v>0</v>
      </c>
      <c r="AV124" s="80">
        <f>Table1215[[#This Row],[Column43]]</f>
        <v>4</v>
      </c>
      <c r="AW124" s="78">
        <f>IFERROR(VLOOKUP(Table1215[[#This Row],[Column2]],Table12[[Column2]:[Column54]],48,FALSE),"0")</f>
        <v>0</v>
      </c>
      <c r="AX124" s="78">
        <f>IFERROR(VLOOKUP(Table1215[[#This Row],[Column2]],Table12[[Column2]:[Column54]],49,FALSE),"0")</f>
        <v>0</v>
      </c>
      <c r="AY124" s="78">
        <f>IFERROR(VLOOKUP(Table1215[[#This Row],[Column2]],Table12[[Column2]:[Column54]],50,FALSE),"0")</f>
        <v>0</v>
      </c>
      <c r="AZ124" s="78">
        <f>IFERROR(VLOOKUP(Table1215[[#This Row],[Column2]],Table12[[Column2]:[Column54]],51,FALSE),"0")</f>
        <v>1</v>
      </c>
      <c r="BA124" s="78">
        <f>IFERROR(VLOOKUP(Table1215[[#This Row],[Column2]],Table12[[Column2]:[Column54]],52,FALSE),"0")</f>
        <v>3</v>
      </c>
      <c r="BB124" s="80">
        <f>AVERAGE(Table1215[[#This Row],[Column52]],Table1215[[#This Row],[Column53]])</f>
        <v>2</v>
      </c>
    </row>
    <row r="125" spans="1:54" ht="23.1" customHeight="1" x14ac:dyDescent="0.3">
      <c r="A125" s="100">
        <v>122</v>
      </c>
      <c r="B125" s="83" t="s">
        <v>362</v>
      </c>
      <c r="C125" s="84" t="s">
        <v>363</v>
      </c>
      <c r="D125" s="83" t="s">
        <v>450</v>
      </c>
      <c r="E125" s="83" t="s">
        <v>493</v>
      </c>
      <c r="F125" s="83" t="str">
        <f>REPT(CHAR(160),10)&amp;Working!$E126</f>
        <v>          C</v>
      </c>
      <c r="G125" s="74">
        <f>IFERROR(VLOOKUP(Table1215[[#This Row],[Column2]],Table12[[Column2]:[Column54]],6,FALSE),"0")</f>
        <v>0</v>
      </c>
      <c r="H125" s="74">
        <f>IFERROR(VLOOKUP(Table1215[[#This Row],[Column2]],Table12[[Column2]:[Column54]],7,FALSE),"0")</f>
        <v>0</v>
      </c>
      <c r="I125" s="74">
        <f>IFERROR(VLOOKUP(Table1215[[#This Row],[Column2]],Table12[[Column2]:[Column54]],8,FALSE),"0")</f>
        <v>2</v>
      </c>
      <c r="J125" s="74">
        <f>IFERROR(VLOOKUP(Table1215[[#This Row],[Column2]],Table12[[Column2]:[Column54]],9,FALSE),"0")</f>
        <v>0</v>
      </c>
      <c r="K125" s="74">
        <f>IFERROR(VLOOKUP(Table1215[[#This Row],[Column2]],Table12[[Column2]:[Column54]],10,FALSE),"0")</f>
        <v>0</v>
      </c>
      <c r="L125" s="80">
        <f>Table1215[[#This Row],[Column9]]</f>
        <v>2</v>
      </c>
      <c r="M125" s="74">
        <f>IFERROR(VLOOKUP(Table1215[[#This Row],[Column2]],Table12[[Column2]:[Column54]],12,FALSE),"0")</f>
        <v>0</v>
      </c>
      <c r="N125" s="74">
        <f>IFERROR(VLOOKUP(Table1215[[#This Row],[Column2]],Table12[[Column2]:[Column54]],13,FALSE),"0")</f>
        <v>4</v>
      </c>
      <c r="O125" s="74">
        <f>IFERROR(VLOOKUP(Table1215[[#This Row],[Column2]],Table12[[Column2]:[Column54]],14,FALSE),"0")</f>
        <v>3</v>
      </c>
      <c r="P125" s="74">
        <f>IFERROR(VLOOKUP(Table1215[[#This Row],[Column2]],Table12[[Column2]:[Column54]],10,FALSE),"0")</f>
        <v>0</v>
      </c>
      <c r="Q125" s="74">
        <f>IFERROR(VLOOKUP(Table1215[[#This Row],[Column2]],Table12[[Column2]:[Column54]],16,FALSE),"0")</f>
        <v>3</v>
      </c>
      <c r="R125" s="80">
        <f>AVERAGE(Table1215[[#This Row],[Column14]],Table1215[[#This Row],[Column15]],Table1215[[#This Row],[Column17]])</f>
        <v>3.3333333333333335</v>
      </c>
      <c r="S125" s="74">
        <f>IFERROR(VLOOKUP(Table1215[[#This Row],[Column2]],Table12[[Column2]:[Column54]],18,FALSE),"0")</f>
        <v>0</v>
      </c>
      <c r="T125" s="74">
        <f>IFERROR(VLOOKUP(Table1215[[#This Row],[Column2]],Table12[[Column2]:[Column54]],19,FALSE),"0")</f>
        <v>0</v>
      </c>
      <c r="U125" s="74">
        <f>IFERROR(VLOOKUP(Table1215[[#This Row],[Column2]],Table12[[Column2]:[Column54]],20,FALSE),"0")</f>
        <v>0</v>
      </c>
      <c r="V125" s="74">
        <f>IFERROR(VLOOKUP(Table1215[[#This Row],[Column2]],Table12[[Column2]:[Column54]],21,FALSE),"0")</f>
        <v>0</v>
      </c>
      <c r="W125" s="74">
        <f>IFERROR(VLOOKUP(Table1215[[#This Row],[Column2]],Table12[[Column2]:[Column54]],22,FALSE),"0")</f>
        <v>0</v>
      </c>
      <c r="X125" s="80">
        <f>Table1215[[#This Row],[Column19]]</f>
        <v>0</v>
      </c>
      <c r="Y125" s="74">
        <f>IFERROR(VLOOKUP(Table1215[[#This Row],[Column2]],Table12[[Column2]:[Column54]],24,FALSE),"0")</f>
        <v>4</v>
      </c>
      <c r="Z125" s="74">
        <f>IFERROR(VLOOKUP(Table1215[[#This Row],[Column2]],Table12[[Column2]:[Column54]],25,FALSE),"0")</f>
        <v>0</v>
      </c>
      <c r="AA125" s="74">
        <f>IFERROR(VLOOKUP(Table1215[[#This Row],[Column2]],Table12[[Column2]:[Column54]],26,FALSE),"0")</f>
        <v>0</v>
      </c>
      <c r="AB125" s="74">
        <f>IFERROR(VLOOKUP(Table1215[[#This Row],[Column2]],Table12[[Column2]:[Column54]],27,FALSE),"0")</f>
        <v>0</v>
      </c>
      <c r="AC125" s="74">
        <f>IFERROR(VLOOKUP(Table1215[[#This Row],[Column2]],Table12[[Column2]:[Column54]],28,FALSE),"0")</f>
        <v>0</v>
      </c>
      <c r="AD125" s="80">
        <f>Table1215[[#This Row],[Column25]]</f>
        <v>4</v>
      </c>
      <c r="AE125" s="74">
        <f>IFERROR(VLOOKUP(Table1215[[#This Row],[Column2]],Table12[[Column2]:[Column54]],30,FALSE),"0")</f>
        <v>0</v>
      </c>
      <c r="AF125" s="74">
        <f>IFERROR(VLOOKUP(Table1215[[#This Row],[Column2]],Table12[[Column2]:[Column54]],31,FALSE),"0")</f>
        <v>0</v>
      </c>
      <c r="AG125" s="74">
        <f>IFERROR(VLOOKUP(Table1215[[#This Row],[Column2]],Table12[[Column2]:[Column54]],32,FALSE),"0")</f>
        <v>0</v>
      </c>
      <c r="AH125" s="74">
        <f>IFERROR(VLOOKUP(Table1215[[#This Row],[Column2]],Table12[[Column2]:[Column54]],33,FALSE),"0")</f>
        <v>0</v>
      </c>
      <c r="AI125" s="74">
        <f>IFERROR(VLOOKUP(Table1215[[#This Row],[Column2]],Table12[[Column2]:[Column54]],34,FALSE),"0")</f>
        <v>0</v>
      </c>
      <c r="AJ125" s="80">
        <f>AVERAGE(Table1215[[#This Row],[Column31]],Table1215[[#This Row],[Column32]],Table1215[[#This Row],[Column33]])</f>
        <v>0</v>
      </c>
      <c r="AK125" s="74">
        <f>IFERROR(VLOOKUP(Table1215[[#This Row],[Column2]],Table12[[Column2]:[Column54]],36,FALSE),"0")</f>
        <v>3</v>
      </c>
      <c r="AL125" s="74">
        <f>IFERROR(VLOOKUP(Table1215[[#This Row],[Column2]],Table12[[Column2]:[Column54]],37,FALSE),"0")</f>
        <v>3</v>
      </c>
      <c r="AM125" s="74">
        <f>IFERROR(VLOOKUP(Table1215[[#This Row],[Column2]],Table12[[Column2]:[Column54]],38,FALSE),"0")</f>
        <v>0</v>
      </c>
      <c r="AN125" s="74">
        <f>IFERROR(VLOOKUP(Table1215[[#This Row],[Column2]],Table12[[Column2]:[Column54]],39,FALSE),"0")</f>
        <v>4</v>
      </c>
      <c r="AO125" s="74">
        <f>IFERROR(VLOOKUP(Table1215[[#This Row],[Column2]],Table12[[Column2]:[Column54]],40,FALSE),"0")</f>
        <v>0</v>
      </c>
      <c r="AP125" s="80">
        <f>AVERAGE(Table1215[[#This Row],[Column37]],Table1215[[#This Row],[Column38]],Table1215[[#This Row],[Column40]])</f>
        <v>3.3333333333333335</v>
      </c>
      <c r="AQ125" s="74">
        <f>IFERROR(VLOOKUP(Table1215[[#This Row],[Column2]],Table12[[Column2]:[Column54]],42,FALSE),"0")</f>
        <v>4</v>
      </c>
      <c r="AR125" s="74">
        <f>IFERROR(VLOOKUP(Table1215[[#This Row],[Column2]],Table12[[Column2]:[Column54]],43,FALSE),"0")</f>
        <v>0</v>
      </c>
      <c r="AS125" s="74">
        <f>IFERROR(VLOOKUP(Table1215[[#This Row],[Column2]],Table12[[Column2]:[Column54]],44,FALSE),"0")</f>
        <v>0</v>
      </c>
      <c r="AT125" s="74">
        <f>IFERROR(VLOOKUP(Table1215[[#This Row],[Column2]],Table12[[Column2]:[Column54]],45,FALSE),"0")</f>
        <v>0</v>
      </c>
      <c r="AU125" s="74">
        <f>IFERROR(VLOOKUP(Table1215[[#This Row],[Column2]],Table12[[Column2]:[Column54]],46,FALSE),"0")</f>
        <v>0</v>
      </c>
      <c r="AV125" s="80">
        <f>Table1215[[#This Row],[Column43]]</f>
        <v>4</v>
      </c>
      <c r="AW125" s="74">
        <f>IFERROR(VLOOKUP(Table1215[[#This Row],[Column2]],Table12[[Column2]:[Column54]],48,FALSE),"0")</f>
        <v>0</v>
      </c>
      <c r="AX125" s="74">
        <f>IFERROR(VLOOKUP(Table1215[[#This Row],[Column2]],Table12[[Column2]:[Column54]],49,FALSE),"0")</f>
        <v>0</v>
      </c>
      <c r="AY125" s="74">
        <f>IFERROR(VLOOKUP(Table1215[[#This Row],[Column2]],Table12[[Column2]:[Column54]],50,FALSE),"0")</f>
        <v>0</v>
      </c>
      <c r="AZ125" s="74">
        <f>IFERROR(VLOOKUP(Table1215[[#This Row],[Column2]],Table12[[Column2]:[Column54]],51,FALSE),"0")</f>
        <v>3</v>
      </c>
      <c r="BA125" s="74">
        <f>IFERROR(VLOOKUP(Table1215[[#This Row],[Column2]],Table12[[Column2]:[Column54]],52,FALSE),"0")</f>
        <v>2</v>
      </c>
      <c r="BB125" s="80">
        <f>AVERAGE(Table1215[[#This Row],[Column52]],Table1215[[#This Row],[Column53]])</f>
        <v>2.5</v>
      </c>
    </row>
    <row r="126" spans="1:54" ht="23.1" customHeight="1" x14ac:dyDescent="0.3">
      <c r="A126" s="99">
        <v>123</v>
      </c>
      <c r="B126" s="76" t="s">
        <v>364</v>
      </c>
      <c r="C126" s="77" t="s">
        <v>365</v>
      </c>
      <c r="D126" s="76" t="s">
        <v>450</v>
      </c>
      <c r="E126" s="76" t="s">
        <v>493</v>
      </c>
      <c r="F126" s="76" t="str">
        <f>REPT(CHAR(160),10)&amp;Working!$E127</f>
        <v>          C</v>
      </c>
      <c r="G126" s="78">
        <f>IFERROR(VLOOKUP(Table1215[[#This Row],[Column2]],Table12[[Column2]:[Column54]],6,FALSE),"0")</f>
        <v>0</v>
      </c>
      <c r="H126" s="78">
        <f>IFERROR(VLOOKUP(Table1215[[#This Row],[Column2]],Table12[[Column2]:[Column54]],7,FALSE),"0")</f>
        <v>0</v>
      </c>
      <c r="I126" s="78">
        <f>IFERROR(VLOOKUP(Table1215[[#This Row],[Column2]],Table12[[Column2]:[Column54]],8,FALSE),"0")</f>
        <v>4</v>
      </c>
      <c r="J126" s="78">
        <f>IFERROR(VLOOKUP(Table1215[[#This Row],[Column2]],Table12[[Column2]:[Column54]],9,FALSE),"0")</f>
        <v>0</v>
      </c>
      <c r="K126" s="78">
        <f>IFERROR(VLOOKUP(Table1215[[#This Row],[Column2]],Table12[[Column2]:[Column54]],10,FALSE),"0")</f>
        <v>0</v>
      </c>
      <c r="L126" s="80">
        <f>Table1215[[#This Row],[Column9]]</f>
        <v>4</v>
      </c>
      <c r="M126" s="78">
        <f>IFERROR(VLOOKUP(Table1215[[#This Row],[Column2]],Table12[[Column2]:[Column54]],12,FALSE),"0")</f>
        <v>0</v>
      </c>
      <c r="N126" s="78">
        <f>IFERROR(VLOOKUP(Table1215[[#This Row],[Column2]],Table12[[Column2]:[Column54]],13,FALSE),"0")</f>
        <v>3</v>
      </c>
      <c r="O126" s="78">
        <f>IFERROR(VLOOKUP(Table1215[[#This Row],[Column2]],Table12[[Column2]:[Column54]],14,FALSE),"0")</f>
        <v>4</v>
      </c>
      <c r="P126" s="78">
        <f>IFERROR(VLOOKUP(Table1215[[#This Row],[Column2]],Table12[[Column2]:[Column54]],10,FALSE),"0")</f>
        <v>0</v>
      </c>
      <c r="Q126" s="78">
        <f>IFERROR(VLOOKUP(Table1215[[#This Row],[Column2]],Table12[[Column2]:[Column54]],16,FALSE),"0")</f>
        <v>4</v>
      </c>
      <c r="R126" s="80">
        <f>AVERAGE(Table1215[[#This Row],[Column14]],Table1215[[#This Row],[Column15]],Table1215[[#This Row],[Column17]])</f>
        <v>3.6666666666666665</v>
      </c>
      <c r="S126" s="78">
        <f>IFERROR(VLOOKUP(Table1215[[#This Row],[Column2]],Table12[[Column2]:[Column54]],18,FALSE),"0")</f>
        <v>0</v>
      </c>
      <c r="T126" s="78">
        <f>IFERROR(VLOOKUP(Table1215[[#This Row],[Column2]],Table12[[Column2]:[Column54]],19,FALSE),"0")</f>
        <v>0</v>
      </c>
      <c r="U126" s="78">
        <f>IFERROR(VLOOKUP(Table1215[[#This Row],[Column2]],Table12[[Column2]:[Column54]],20,FALSE),"0")</f>
        <v>0</v>
      </c>
      <c r="V126" s="78">
        <f>IFERROR(VLOOKUP(Table1215[[#This Row],[Column2]],Table12[[Column2]:[Column54]],21,FALSE),"0")</f>
        <v>0</v>
      </c>
      <c r="W126" s="78">
        <f>IFERROR(VLOOKUP(Table1215[[#This Row],[Column2]],Table12[[Column2]:[Column54]],22,FALSE),"0")</f>
        <v>0</v>
      </c>
      <c r="X126" s="80">
        <f>Table1215[[#This Row],[Column19]]</f>
        <v>0</v>
      </c>
      <c r="Y126" s="78">
        <f>IFERROR(VLOOKUP(Table1215[[#This Row],[Column2]],Table12[[Column2]:[Column54]],24,FALSE),"0")</f>
        <v>4</v>
      </c>
      <c r="Z126" s="78">
        <f>IFERROR(VLOOKUP(Table1215[[#This Row],[Column2]],Table12[[Column2]:[Column54]],25,FALSE),"0")</f>
        <v>0</v>
      </c>
      <c r="AA126" s="78">
        <f>IFERROR(VLOOKUP(Table1215[[#This Row],[Column2]],Table12[[Column2]:[Column54]],26,FALSE),"0")</f>
        <v>0</v>
      </c>
      <c r="AB126" s="78">
        <f>IFERROR(VLOOKUP(Table1215[[#This Row],[Column2]],Table12[[Column2]:[Column54]],27,FALSE),"0")</f>
        <v>0</v>
      </c>
      <c r="AC126" s="78">
        <f>IFERROR(VLOOKUP(Table1215[[#This Row],[Column2]],Table12[[Column2]:[Column54]],28,FALSE),"0")</f>
        <v>0</v>
      </c>
      <c r="AD126" s="80">
        <f>Table1215[[#This Row],[Column25]]</f>
        <v>4</v>
      </c>
      <c r="AE126" s="78">
        <f>IFERROR(VLOOKUP(Table1215[[#This Row],[Column2]],Table12[[Column2]:[Column54]],30,FALSE),"0")</f>
        <v>0</v>
      </c>
      <c r="AF126" s="78">
        <f>IFERROR(VLOOKUP(Table1215[[#This Row],[Column2]],Table12[[Column2]:[Column54]],31,FALSE),"0")</f>
        <v>0</v>
      </c>
      <c r="AG126" s="78">
        <f>IFERROR(VLOOKUP(Table1215[[#This Row],[Column2]],Table12[[Column2]:[Column54]],32,FALSE),"0")</f>
        <v>0</v>
      </c>
      <c r="AH126" s="78">
        <f>IFERROR(VLOOKUP(Table1215[[#This Row],[Column2]],Table12[[Column2]:[Column54]],33,FALSE),"0")</f>
        <v>0</v>
      </c>
      <c r="AI126" s="78">
        <f>IFERROR(VLOOKUP(Table1215[[#This Row],[Column2]],Table12[[Column2]:[Column54]],34,FALSE),"0")</f>
        <v>0</v>
      </c>
      <c r="AJ126" s="80">
        <f>AVERAGE(Table1215[[#This Row],[Column31]],Table1215[[#This Row],[Column32]],Table1215[[#This Row],[Column33]])</f>
        <v>0</v>
      </c>
      <c r="AK126" s="78">
        <f>IFERROR(VLOOKUP(Table1215[[#This Row],[Column2]],Table12[[Column2]:[Column54]],36,FALSE),"0")</f>
        <v>4</v>
      </c>
      <c r="AL126" s="78">
        <f>IFERROR(VLOOKUP(Table1215[[#This Row],[Column2]],Table12[[Column2]:[Column54]],37,FALSE),"0")</f>
        <v>3</v>
      </c>
      <c r="AM126" s="78">
        <f>IFERROR(VLOOKUP(Table1215[[#This Row],[Column2]],Table12[[Column2]:[Column54]],38,FALSE),"0")</f>
        <v>0</v>
      </c>
      <c r="AN126" s="78">
        <f>IFERROR(VLOOKUP(Table1215[[#This Row],[Column2]],Table12[[Column2]:[Column54]],39,FALSE),"0")</f>
        <v>3</v>
      </c>
      <c r="AO126" s="78">
        <f>IFERROR(VLOOKUP(Table1215[[#This Row],[Column2]],Table12[[Column2]:[Column54]],40,FALSE),"0")</f>
        <v>0</v>
      </c>
      <c r="AP126" s="80">
        <f>AVERAGE(Table1215[[#This Row],[Column37]],Table1215[[#This Row],[Column38]],Table1215[[#This Row],[Column40]])</f>
        <v>3.3333333333333335</v>
      </c>
      <c r="AQ126" s="78">
        <f>IFERROR(VLOOKUP(Table1215[[#This Row],[Column2]],Table12[[Column2]:[Column54]],42,FALSE),"0")</f>
        <v>3</v>
      </c>
      <c r="AR126" s="78">
        <f>IFERROR(VLOOKUP(Table1215[[#This Row],[Column2]],Table12[[Column2]:[Column54]],43,FALSE),"0")</f>
        <v>0</v>
      </c>
      <c r="AS126" s="78">
        <f>IFERROR(VLOOKUP(Table1215[[#This Row],[Column2]],Table12[[Column2]:[Column54]],44,FALSE),"0")</f>
        <v>0</v>
      </c>
      <c r="AT126" s="78">
        <f>IFERROR(VLOOKUP(Table1215[[#This Row],[Column2]],Table12[[Column2]:[Column54]],45,FALSE),"0")</f>
        <v>0</v>
      </c>
      <c r="AU126" s="78">
        <f>IFERROR(VLOOKUP(Table1215[[#This Row],[Column2]],Table12[[Column2]:[Column54]],46,FALSE),"0")</f>
        <v>0</v>
      </c>
      <c r="AV126" s="80">
        <f>Table1215[[#This Row],[Column43]]</f>
        <v>3</v>
      </c>
      <c r="AW126" s="78">
        <f>IFERROR(VLOOKUP(Table1215[[#This Row],[Column2]],Table12[[Column2]:[Column54]],48,FALSE),"0")</f>
        <v>0</v>
      </c>
      <c r="AX126" s="78">
        <f>IFERROR(VLOOKUP(Table1215[[#This Row],[Column2]],Table12[[Column2]:[Column54]],49,FALSE),"0")</f>
        <v>0</v>
      </c>
      <c r="AY126" s="78">
        <f>IFERROR(VLOOKUP(Table1215[[#This Row],[Column2]],Table12[[Column2]:[Column54]],50,FALSE),"0")</f>
        <v>0</v>
      </c>
      <c r="AZ126" s="78">
        <f>IFERROR(VLOOKUP(Table1215[[#This Row],[Column2]],Table12[[Column2]:[Column54]],51,FALSE),"0")</f>
        <v>2</v>
      </c>
      <c r="BA126" s="78">
        <f>IFERROR(VLOOKUP(Table1215[[#This Row],[Column2]],Table12[[Column2]:[Column54]],52,FALSE),"0")</f>
        <v>4</v>
      </c>
      <c r="BB126" s="80">
        <f>AVERAGE(Table1215[[#This Row],[Column52]],Table1215[[#This Row],[Column53]])</f>
        <v>3</v>
      </c>
    </row>
    <row r="127" spans="1:54" ht="23.1" customHeight="1" x14ac:dyDescent="0.3">
      <c r="A127" s="100">
        <v>124</v>
      </c>
      <c r="B127" s="83" t="s">
        <v>54</v>
      </c>
      <c r="C127" s="84" t="s">
        <v>55</v>
      </c>
      <c r="D127" s="83" t="s">
        <v>450</v>
      </c>
      <c r="E127" s="83" t="s">
        <v>35</v>
      </c>
      <c r="F127" s="83" t="str">
        <f>REPT(CHAR(160),10)&amp;Working!$E128</f>
        <v>          A</v>
      </c>
      <c r="G127" s="74">
        <f>IFERROR(VLOOKUP(Table1215[[#This Row],[Column2]],Table12[[Column2]:[Column54]],6,FALSE),"0")</f>
        <v>0</v>
      </c>
      <c r="H127" s="74">
        <f>IFERROR(VLOOKUP(Table1215[[#This Row],[Column2]],Table12[[Column2]:[Column54]],7,FALSE),"0")</f>
        <v>0</v>
      </c>
      <c r="I127" s="74">
        <f>IFERROR(VLOOKUP(Table1215[[#This Row],[Column2]],Table12[[Column2]:[Column54]],8,FALSE),"0")</f>
        <v>5</v>
      </c>
      <c r="J127" s="74">
        <f>IFERROR(VLOOKUP(Table1215[[#This Row],[Column2]],Table12[[Column2]:[Column54]],9,FALSE),"0")</f>
        <v>0</v>
      </c>
      <c r="K127" s="74">
        <f>IFERROR(VLOOKUP(Table1215[[#This Row],[Column2]],Table12[[Column2]:[Column54]],10,FALSE),"0")</f>
        <v>0</v>
      </c>
      <c r="L127" s="80">
        <f>Table1215[[#This Row],[Column9]]</f>
        <v>5</v>
      </c>
      <c r="M127" s="74">
        <f>IFERROR(VLOOKUP(Table1215[[#This Row],[Column2]],Table12[[Column2]:[Column54]],12,FALSE),"0")</f>
        <v>0</v>
      </c>
      <c r="N127" s="74">
        <f>IFERROR(VLOOKUP(Table1215[[#This Row],[Column2]],Table12[[Column2]:[Column54]],13,FALSE),"0")</f>
        <v>5</v>
      </c>
      <c r="O127" s="74">
        <f>IFERROR(VLOOKUP(Table1215[[#This Row],[Column2]],Table12[[Column2]:[Column54]],14,FALSE),"0")</f>
        <v>5</v>
      </c>
      <c r="P127" s="74">
        <f>IFERROR(VLOOKUP(Table1215[[#This Row],[Column2]],Table12[[Column2]:[Column54]],10,FALSE),"0")</f>
        <v>0</v>
      </c>
      <c r="Q127" s="74">
        <f>IFERROR(VLOOKUP(Table1215[[#This Row],[Column2]],Table12[[Column2]:[Column54]],16,FALSE),"0")</f>
        <v>5</v>
      </c>
      <c r="R127" s="80">
        <f>AVERAGE(Table1215[[#This Row],[Column14]],Table1215[[#This Row],[Column15]],Table1215[[#This Row],[Column17]])</f>
        <v>5</v>
      </c>
      <c r="S127" s="74">
        <f>IFERROR(VLOOKUP(Table1215[[#This Row],[Column2]],Table12[[Column2]:[Column54]],18,FALSE),"0")</f>
        <v>0</v>
      </c>
      <c r="T127" s="74">
        <f>IFERROR(VLOOKUP(Table1215[[#This Row],[Column2]],Table12[[Column2]:[Column54]],19,FALSE),"0")</f>
        <v>0</v>
      </c>
      <c r="U127" s="74">
        <f>IFERROR(VLOOKUP(Table1215[[#This Row],[Column2]],Table12[[Column2]:[Column54]],20,FALSE),"0")</f>
        <v>0</v>
      </c>
      <c r="V127" s="74">
        <f>IFERROR(VLOOKUP(Table1215[[#This Row],[Column2]],Table12[[Column2]:[Column54]],21,FALSE),"0")</f>
        <v>0</v>
      </c>
      <c r="W127" s="74">
        <f>IFERROR(VLOOKUP(Table1215[[#This Row],[Column2]],Table12[[Column2]:[Column54]],22,FALSE),"0")</f>
        <v>0</v>
      </c>
      <c r="X127" s="80">
        <f>Table1215[[#This Row],[Column19]]</f>
        <v>0</v>
      </c>
      <c r="Y127" s="74">
        <f>IFERROR(VLOOKUP(Table1215[[#This Row],[Column2]],Table12[[Column2]:[Column54]],24,FALSE),"0")</f>
        <v>5</v>
      </c>
      <c r="Z127" s="74">
        <f>IFERROR(VLOOKUP(Table1215[[#This Row],[Column2]],Table12[[Column2]:[Column54]],25,FALSE),"0")</f>
        <v>0</v>
      </c>
      <c r="AA127" s="74">
        <f>IFERROR(VLOOKUP(Table1215[[#This Row],[Column2]],Table12[[Column2]:[Column54]],26,FALSE),"0")</f>
        <v>0</v>
      </c>
      <c r="AB127" s="74">
        <f>IFERROR(VLOOKUP(Table1215[[#This Row],[Column2]],Table12[[Column2]:[Column54]],27,FALSE),"0")</f>
        <v>0</v>
      </c>
      <c r="AC127" s="74">
        <f>IFERROR(VLOOKUP(Table1215[[#This Row],[Column2]],Table12[[Column2]:[Column54]],28,FALSE),"0")</f>
        <v>0</v>
      </c>
      <c r="AD127" s="80">
        <f>Table1215[[#This Row],[Column25]]</f>
        <v>5</v>
      </c>
      <c r="AE127" s="74">
        <f>IFERROR(VLOOKUP(Table1215[[#This Row],[Column2]],Table12[[Column2]:[Column54]],30,FALSE),"0")</f>
        <v>0</v>
      </c>
      <c r="AF127" s="74">
        <f>IFERROR(VLOOKUP(Table1215[[#This Row],[Column2]],Table12[[Column2]:[Column54]],31,FALSE),"0")</f>
        <v>0</v>
      </c>
      <c r="AG127" s="74">
        <f>IFERROR(VLOOKUP(Table1215[[#This Row],[Column2]],Table12[[Column2]:[Column54]],32,FALSE),"0")</f>
        <v>0</v>
      </c>
      <c r="AH127" s="74">
        <f>IFERROR(VLOOKUP(Table1215[[#This Row],[Column2]],Table12[[Column2]:[Column54]],33,FALSE),"0")</f>
        <v>0</v>
      </c>
      <c r="AI127" s="74">
        <f>IFERROR(VLOOKUP(Table1215[[#This Row],[Column2]],Table12[[Column2]:[Column54]],34,FALSE),"0")</f>
        <v>0</v>
      </c>
      <c r="AJ127" s="80">
        <f>AVERAGE(Table1215[[#This Row],[Column31]],Table1215[[#This Row],[Column32]],Table1215[[#This Row],[Column33]])</f>
        <v>0</v>
      </c>
      <c r="AK127" s="74">
        <f>IFERROR(VLOOKUP(Table1215[[#This Row],[Column2]],Table12[[Column2]:[Column54]],36,FALSE),"0")</f>
        <v>5</v>
      </c>
      <c r="AL127" s="74">
        <f>IFERROR(VLOOKUP(Table1215[[#This Row],[Column2]],Table12[[Column2]:[Column54]],37,FALSE),"0")</f>
        <v>4</v>
      </c>
      <c r="AM127" s="74">
        <f>IFERROR(VLOOKUP(Table1215[[#This Row],[Column2]],Table12[[Column2]:[Column54]],38,FALSE),"0")</f>
        <v>0</v>
      </c>
      <c r="AN127" s="74">
        <f>IFERROR(VLOOKUP(Table1215[[#This Row],[Column2]],Table12[[Column2]:[Column54]],39,FALSE),"0")</f>
        <v>5</v>
      </c>
      <c r="AO127" s="74">
        <f>IFERROR(VLOOKUP(Table1215[[#This Row],[Column2]],Table12[[Column2]:[Column54]],40,FALSE),"0")</f>
        <v>0</v>
      </c>
      <c r="AP127" s="80">
        <f>AVERAGE(Table1215[[#This Row],[Column37]],Table1215[[#This Row],[Column38]],Table1215[[#This Row],[Column40]])</f>
        <v>4.666666666666667</v>
      </c>
      <c r="AQ127" s="74">
        <f>IFERROR(VLOOKUP(Table1215[[#This Row],[Column2]],Table12[[Column2]:[Column54]],42,FALSE),"0")</f>
        <v>5</v>
      </c>
      <c r="AR127" s="74">
        <f>IFERROR(VLOOKUP(Table1215[[#This Row],[Column2]],Table12[[Column2]:[Column54]],43,FALSE),"0")</f>
        <v>0</v>
      </c>
      <c r="AS127" s="74">
        <f>IFERROR(VLOOKUP(Table1215[[#This Row],[Column2]],Table12[[Column2]:[Column54]],44,FALSE),"0")</f>
        <v>0</v>
      </c>
      <c r="AT127" s="74">
        <f>IFERROR(VLOOKUP(Table1215[[#This Row],[Column2]],Table12[[Column2]:[Column54]],45,FALSE),"0")</f>
        <v>0</v>
      </c>
      <c r="AU127" s="74">
        <f>IFERROR(VLOOKUP(Table1215[[#This Row],[Column2]],Table12[[Column2]:[Column54]],46,FALSE),"0")</f>
        <v>0</v>
      </c>
      <c r="AV127" s="80">
        <f>Table1215[[#This Row],[Column43]]</f>
        <v>5</v>
      </c>
      <c r="AW127" s="74">
        <f>IFERROR(VLOOKUP(Table1215[[#This Row],[Column2]],Table12[[Column2]:[Column54]],48,FALSE),"0")</f>
        <v>0</v>
      </c>
      <c r="AX127" s="74">
        <f>IFERROR(VLOOKUP(Table1215[[#This Row],[Column2]],Table12[[Column2]:[Column54]],49,FALSE),"0")</f>
        <v>0</v>
      </c>
      <c r="AY127" s="74">
        <f>IFERROR(VLOOKUP(Table1215[[#This Row],[Column2]],Table12[[Column2]:[Column54]],50,FALSE),"0")</f>
        <v>0</v>
      </c>
      <c r="AZ127" s="74">
        <f>IFERROR(VLOOKUP(Table1215[[#This Row],[Column2]],Table12[[Column2]:[Column54]],51,FALSE),"0")</f>
        <v>4</v>
      </c>
      <c r="BA127" s="74">
        <f>IFERROR(VLOOKUP(Table1215[[#This Row],[Column2]],Table12[[Column2]:[Column54]],52,FALSE),"0")</f>
        <v>5</v>
      </c>
      <c r="BB127" s="80">
        <f>AVERAGE(Table1215[[#This Row],[Column52]],Table1215[[#This Row],[Column53]])</f>
        <v>4.5</v>
      </c>
    </row>
    <row r="128" spans="1:54" ht="23.1" customHeight="1" x14ac:dyDescent="0.3">
      <c r="A128" s="99">
        <v>125</v>
      </c>
      <c r="B128" s="76" t="s">
        <v>219</v>
      </c>
      <c r="C128" s="77" t="s">
        <v>220</v>
      </c>
      <c r="D128" s="76" t="s">
        <v>542</v>
      </c>
      <c r="E128" s="76" t="s">
        <v>161</v>
      </c>
      <c r="F128" s="76" t="str">
        <f>REPT(CHAR(160),10)&amp;Working!$E129</f>
        <v>          B</v>
      </c>
      <c r="G128" s="78">
        <f>IFERROR(VLOOKUP(Table1215[[#This Row],[Column2]],Table12[[Column2]:[Column54]],6,FALSE),"0")</f>
        <v>0</v>
      </c>
      <c r="H128" s="78">
        <f>IFERROR(VLOOKUP(Table1215[[#This Row],[Column2]],Table12[[Column2]:[Column54]],7,FALSE),"0")</f>
        <v>0</v>
      </c>
      <c r="I128" s="78">
        <f>IFERROR(VLOOKUP(Table1215[[#This Row],[Column2]],Table12[[Column2]:[Column54]],8,FALSE),"0")</f>
        <v>5</v>
      </c>
      <c r="J128" s="78">
        <f>IFERROR(VLOOKUP(Table1215[[#This Row],[Column2]],Table12[[Column2]:[Column54]],9,FALSE),"0")</f>
        <v>0</v>
      </c>
      <c r="K128" s="78">
        <f>IFERROR(VLOOKUP(Table1215[[#This Row],[Column2]],Table12[[Column2]:[Column54]],10,FALSE),"0")</f>
        <v>0</v>
      </c>
      <c r="L128" s="80">
        <f>Table1215[[#This Row],[Column9]]</f>
        <v>5</v>
      </c>
      <c r="M128" s="78">
        <f>IFERROR(VLOOKUP(Table1215[[#This Row],[Column2]],Table12[[Column2]:[Column54]],12,FALSE),"0")</f>
        <v>0</v>
      </c>
      <c r="N128" s="78">
        <f>IFERROR(VLOOKUP(Table1215[[#This Row],[Column2]],Table12[[Column2]:[Column54]],13,FALSE),"0")</f>
        <v>5</v>
      </c>
      <c r="O128" s="78">
        <f>IFERROR(VLOOKUP(Table1215[[#This Row],[Column2]],Table12[[Column2]:[Column54]],14,FALSE),"0")</f>
        <v>5</v>
      </c>
      <c r="P128" s="78">
        <f>IFERROR(VLOOKUP(Table1215[[#This Row],[Column2]],Table12[[Column2]:[Column54]],10,FALSE),"0")</f>
        <v>0</v>
      </c>
      <c r="Q128" s="78">
        <f>IFERROR(VLOOKUP(Table1215[[#This Row],[Column2]],Table12[[Column2]:[Column54]],16,FALSE),"0")</f>
        <v>5</v>
      </c>
      <c r="R128" s="80">
        <f>AVERAGE(Table1215[[#This Row],[Column14]],Table1215[[#This Row],[Column15]],Table1215[[#This Row],[Column17]])</f>
        <v>5</v>
      </c>
      <c r="S128" s="78">
        <f>IFERROR(VLOOKUP(Table1215[[#This Row],[Column2]],Table12[[Column2]:[Column54]],18,FALSE),"0")</f>
        <v>0</v>
      </c>
      <c r="T128" s="78">
        <f>IFERROR(VLOOKUP(Table1215[[#This Row],[Column2]],Table12[[Column2]:[Column54]],19,FALSE),"0")</f>
        <v>0</v>
      </c>
      <c r="U128" s="78">
        <f>IFERROR(VLOOKUP(Table1215[[#This Row],[Column2]],Table12[[Column2]:[Column54]],20,FALSE),"0")</f>
        <v>0</v>
      </c>
      <c r="V128" s="78">
        <f>IFERROR(VLOOKUP(Table1215[[#This Row],[Column2]],Table12[[Column2]:[Column54]],21,FALSE),"0")</f>
        <v>0</v>
      </c>
      <c r="W128" s="78">
        <f>IFERROR(VLOOKUP(Table1215[[#This Row],[Column2]],Table12[[Column2]:[Column54]],22,FALSE),"0")</f>
        <v>0</v>
      </c>
      <c r="X128" s="80">
        <f>Table1215[[#This Row],[Column19]]</f>
        <v>0</v>
      </c>
      <c r="Y128" s="78">
        <f>IFERROR(VLOOKUP(Table1215[[#This Row],[Column2]],Table12[[Column2]:[Column54]],24,FALSE),"0")</f>
        <v>5</v>
      </c>
      <c r="Z128" s="78">
        <f>IFERROR(VLOOKUP(Table1215[[#This Row],[Column2]],Table12[[Column2]:[Column54]],25,FALSE),"0")</f>
        <v>0</v>
      </c>
      <c r="AA128" s="78">
        <f>IFERROR(VLOOKUP(Table1215[[#This Row],[Column2]],Table12[[Column2]:[Column54]],26,FALSE),"0")</f>
        <v>0</v>
      </c>
      <c r="AB128" s="78">
        <f>IFERROR(VLOOKUP(Table1215[[#This Row],[Column2]],Table12[[Column2]:[Column54]],27,FALSE),"0")</f>
        <v>0</v>
      </c>
      <c r="AC128" s="78">
        <f>IFERROR(VLOOKUP(Table1215[[#This Row],[Column2]],Table12[[Column2]:[Column54]],28,FALSE),"0")</f>
        <v>0</v>
      </c>
      <c r="AD128" s="80">
        <f>Table1215[[#This Row],[Column25]]</f>
        <v>5</v>
      </c>
      <c r="AE128" s="78">
        <f>IFERROR(VLOOKUP(Table1215[[#This Row],[Column2]],Table12[[Column2]:[Column54]],30,FALSE),"0")</f>
        <v>0</v>
      </c>
      <c r="AF128" s="78">
        <f>IFERROR(VLOOKUP(Table1215[[#This Row],[Column2]],Table12[[Column2]:[Column54]],31,FALSE),"0")</f>
        <v>0</v>
      </c>
      <c r="AG128" s="78">
        <f>IFERROR(VLOOKUP(Table1215[[#This Row],[Column2]],Table12[[Column2]:[Column54]],32,FALSE),"0")</f>
        <v>0</v>
      </c>
      <c r="AH128" s="78">
        <f>IFERROR(VLOOKUP(Table1215[[#This Row],[Column2]],Table12[[Column2]:[Column54]],33,FALSE),"0")</f>
        <v>0</v>
      </c>
      <c r="AI128" s="78">
        <f>IFERROR(VLOOKUP(Table1215[[#This Row],[Column2]],Table12[[Column2]:[Column54]],34,FALSE),"0")</f>
        <v>0</v>
      </c>
      <c r="AJ128" s="80">
        <f>AVERAGE(Table1215[[#This Row],[Column31]],Table1215[[#This Row],[Column32]],Table1215[[#This Row],[Column33]])</f>
        <v>0</v>
      </c>
      <c r="AK128" s="78">
        <f>IFERROR(VLOOKUP(Table1215[[#This Row],[Column2]],Table12[[Column2]:[Column54]],36,FALSE),"0")</f>
        <v>4</v>
      </c>
      <c r="AL128" s="78">
        <f>IFERROR(VLOOKUP(Table1215[[#This Row],[Column2]],Table12[[Column2]:[Column54]],37,FALSE),"0")</f>
        <v>3</v>
      </c>
      <c r="AM128" s="78">
        <f>IFERROR(VLOOKUP(Table1215[[#This Row],[Column2]],Table12[[Column2]:[Column54]],38,FALSE),"0")</f>
        <v>0</v>
      </c>
      <c r="AN128" s="78">
        <f>IFERROR(VLOOKUP(Table1215[[#This Row],[Column2]],Table12[[Column2]:[Column54]],39,FALSE),"0")</f>
        <v>5</v>
      </c>
      <c r="AO128" s="78">
        <f>IFERROR(VLOOKUP(Table1215[[#This Row],[Column2]],Table12[[Column2]:[Column54]],40,FALSE),"0")</f>
        <v>0</v>
      </c>
      <c r="AP128" s="80">
        <f>AVERAGE(Table1215[[#This Row],[Column37]],Table1215[[#This Row],[Column38]],Table1215[[#This Row],[Column40]])</f>
        <v>4</v>
      </c>
      <c r="AQ128" s="78">
        <f>IFERROR(VLOOKUP(Table1215[[#This Row],[Column2]],Table12[[Column2]:[Column54]],42,FALSE),"0")</f>
        <v>4</v>
      </c>
      <c r="AR128" s="78">
        <f>IFERROR(VLOOKUP(Table1215[[#This Row],[Column2]],Table12[[Column2]:[Column54]],43,FALSE),"0")</f>
        <v>0</v>
      </c>
      <c r="AS128" s="78">
        <f>IFERROR(VLOOKUP(Table1215[[#This Row],[Column2]],Table12[[Column2]:[Column54]],44,FALSE),"0")</f>
        <v>0</v>
      </c>
      <c r="AT128" s="78">
        <f>IFERROR(VLOOKUP(Table1215[[#This Row],[Column2]],Table12[[Column2]:[Column54]],45,FALSE),"0")</f>
        <v>0</v>
      </c>
      <c r="AU128" s="78">
        <f>IFERROR(VLOOKUP(Table1215[[#This Row],[Column2]],Table12[[Column2]:[Column54]],46,FALSE),"0")</f>
        <v>0</v>
      </c>
      <c r="AV128" s="80">
        <f>Table1215[[#This Row],[Column43]]</f>
        <v>4</v>
      </c>
      <c r="AW128" s="78">
        <f>IFERROR(VLOOKUP(Table1215[[#This Row],[Column2]],Table12[[Column2]:[Column54]],48,FALSE),"0")</f>
        <v>0</v>
      </c>
      <c r="AX128" s="78">
        <f>IFERROR(VLOOKUP(Table1215[[#This Row],[Column2]],Table12[[Column2]:[Column54]],49,FALSE),"0")</f>
        <v>0</v>
      </c>
      <c r="AY128" s="78">
        <f>IFERROR(VLOOKUP(Table1215[[#This Row],[Column2]],Table12[[Column2]:[Column54]],50,FALSE),"0")</f>
        <v>0</v>
      </c>
      <c r="AZ128" s="78">
        <f>IFERROR(VLOOKUP(Table1215[[#This Row],[Column2]],Table12[[Column2]:[Column54]],51,FALSE),"0")</f>
        <v>4</v>
      </c>
      <c r="BA128" s="78">
        <f>IFERROR(VLOOKUP(Table1215[[#This Row],[Column2]],Table12[[Column2]:[Column54]],52,FALSE),"0")</f>
        <v>5</v>
      </c>
      <c r="BB128" s="80">
        <f>AVERAGE(Table1215[[#This Row],[Column52]],Table1215[[#This Row],[Column53]])</f>
        <v>4.5</v>
      </c>
    </row>
    <row r="129" spans="1:54" ht="23.1" customHeight="1" x14ac:dyDescent="0.3">
      <c r="A129" s="100">
        <v>126</v>
      </c>
      <c r="B129" s="83" t="s">
        <v>237</v>
      </c>
      <c r="C129" s="84" t="s">
        <v>238</v>
      </c>
      <c r="D129" s="83" t="s">
        <v>542</v>
      </c>
      <c r="E129" s="83" t="s">
        <v>161</v>
      </c>
      <c r="F129" s="83" t="str">
        <f>REPT(CHAR(160),10)&amp;Working!$E130</f>
        <v>          B</v>
      </c>
      <c r="G129" s="74">
        <f>IFERROR(VLOOKUP(Table1215[[#This Row],[Column2]],Table12[[Column2]:[Column54]],6,FALSE),"0")</f>
        <v>0</v>
      </c>
      <c r="H129" s="74">
        <f>IFERROR(VLOOKUP(Table1215[[#This Row],[Column2]],Table12[[Column2]:[Column54]],7,FALSE),"0")</f>
        <v>0</v>
      </c>
      <c r="I129" s="74">
        <f>IFERROR(VLOOKUP(Table1215[[#This Row],[Column2]],Table12[[Column2]:[Column54]],8,FALSE),"0")</f>
        <v>3</v>
      </c>
      <c r="J129" s="74">
        <f>IFERROR(VLOOKUP(Table1215[[#This Row],[Column2]],Table12[[Column2]:[Column54]],9,FALSE),"0")</f>
        <v>0</v>
      </c>
      <c r="K129" s="74">
        <f>IFERROR(VLOOKUP(Table1215[[#This Row],[Column2]],Table12[[Column2]:[Column54]],10,FALSE),"0")</f>
        <v>0</v>
      </c>
      <c r="L129" s="80">
        <f>Table1215[[#This Row],[Column9]]</f>
        <v>3</v>
      </c>
      <c r="M129" s="74">
        <f>IFERROR(VLOOKUP(Table1215[[#This Row],[Column2]],Table12[[Column2]:[Column54]],12,FALSE),"0")</f>
        <v>0</v>
      </c>
      <c r="N129" s="74">
        <f>IFERROR(VLOOKUP(Table1215[[#This Row],[Column2]],Table12[[Column2]:[Column54]],13,FALSE),"0")</f>
        <v>3</v>
      </c>
      <c r="O129" s="74">
        <f>IFERROR(VLOOKUP(Table1215[[#This Row],[Column2]],Table12[[Column2]:[Column54]],14,FALSE),"0")</f>
        <v>2</v>
      </c>
      <c r="P129" s="74">
        <f>IFERROR(VLOOKUP(Table1215[[#This Row],[Column2]],Table12[[Column2]:[Column54]],10,FALSE),"0")</f>
        <v>0</v>
      </c>
      <c r="Q129" s="74">
        <f>IFERROR(VLOOKUP(Table1215[[#This Row],[Column2]],Table12[[Column2]:[Column54]],16,FALSE),"0")</f>
        <v>2</v>
      </c>
      <c r="R129" s="80">
        <f>AVERAGE(Table1215[[#This Row],[Column14]],Table1215[[#This Row],[Column15]],Table1215[[#This Row],[Column17]])</f>
        <v>2.3333333333333335</v>
      </c>
      <c r="S129" s="74">
        <f>IFERROR(VLOOKUP(Table1215[[#This Row],[Column2]],Table12[[Column2]:[Column54]],18,FALSE),"0")</f>
        <v>0</v>
      </c>
      <c r="T129" s="74">
        <f>IFERROR(VLOOKUP(Table1215[[#This Row],[Column2]],Table12[[Column2]:[Column54]],19,FALSE),"0")</f>
        <v>0</v>
      </c>
      <c r="U129" s="74">
        <f>IFERROR(VLOOKUP(Table1215[[#This Row],[Column2]],Table12[[Column2]:[Column54]],20,FALSE),"0")</f>
        <v>0</v>
      </c>
      <c r="V129" s="74">
        <f>IFERROR(VLOOKUP(Table1215[[#This Row],[Column2]],Table12[[Column2]:[Column54]],21,FALSE),"0")</f>
        <v>0</v>
      </c>
      <c r="W129" s="74">
        <f>IFERROR(VLOOKUP(Table1215[[#This Row],[Column2]],Table12[[Column2]:[Column54]],22,FALSE),"0")</f>
        <v>0</v>
      </c>
      <c r="X129" s="80">
        <f>Table1215[[#This Row],[Column19]]</f>
        <v>0</v>
      </c>
      <c r="Y129" s="74">
        <f>IFERROR(VLOOKUP(Table1215[[#This Row],[Column2]],Table12[[Column2]:[Column54]],24,FALSE),"0")</f>
        <v>2</v>
      </c>
      <c r="Z129" s="74">
        <f>IFERROR(VLOOKUP(Table1215[[#This Row],[Column2]],Table12[[Column2]:[Column54]],25,FALSE),"0")</f>
        <v>0</v>
      </c>
      <c r="AA129" s="74">
        <f>IFERROR(VLOOKUP(Table1215[[#This Row],[Column2]],Table12[[Column2]:[Column54]],26,FALSE),"0")</f>
        <v>0</v>
      </c>
      <c r="AB129" s="74">
        <f>IFERROR(VLOOKUP(Table1215[[#This Row],[Column2]],Table12[[Column2]:[Column54]],27,FALSE),"0")</f>
        <v>0</v>
      </c>
      <c r="AC129" s="74">
        <f>IFERROR(VLOOKUP(Table1215[[#This Row],[Column2]],Table12[[Column2]:[Column54]],28,FALSE),"0")</f>
        <v>0</v>
      </c>
      <c r="AD129" s="80">
        <f>Table1215[[#This Row],[Column25]]</f>
        <v>2</v>
      </c>
      <c r="AE129" s="74">
        <f>IFERROR(VLOOKUP(Table1215[[#This Row],[Column2]],Table12[[Column2]:[Column54]],30,FALSE),"0")</f>
        <v>0</v>
      </c>
      <c r="AF129" s="74">
        <f>IFERROR(VLOOKUP(Table1215[[#This Row],[Column2]],Table12[[Column2]:[Column54]],31,FALSE),"0")</f>
        <v>0</v>
      </c>
      <c r="AG129" s="74">
        <f>IFERROR(VLOOKUP(Table1215[[#This Row],[Column2]],Table12[[Column2]:[Column54]],32,FALSE),"0")</f>
        <v>0</v>
      </c>
      <c r="AH129" s="74">
        <f>IFERROR(VLOOKUP(Table1215[[#This Row],[Column2]],Table12[[Column2]:[Column54]],33,FALSE),"0")</f>
        <v>0</v>
      </c>
      <c r="AI129" s="74">
        <f>IFERROR(VLOOKUP(Table1215[[#This Row],[Column2]],Table12[[Column2]:[Column54]],34,FALSE),"0")</f>
        <v>0</v>
      </c>
      <c r="AJ129" s="80">
        <f>AVERAGE(Table1215[[#This Row],[Column31]],Table1215[[#This Row],[Column32]],Table1215[[#This Row],[Column33]])</f>
        <v>0</v>
      </c>
      <c r="AK129" s="74">
        <f>IFERROR(VLOOKUP(Table1215[[#This Row],[Column2]],Table12[[Column2]:[Column54]],36,FALSE),"0")</f>
        <v>2</v>
      </c>
      <c r="AL129" s="74">
        <f>IFERROR(VLOOKUP(Table1215[[#This Row],[Column2]],Table12[[Column2]:[Column54]],37,FALSE),"0")</f>
        <v>3</v>
      </c>
      <c r="AM129" s="74">
        <f>IFERROR(VLOOKUP(Table1215[[#This Row],[Column2]],Table12[[Column2]:[Column54]],38,FALSE),"0")</f>
        <v>0</v>
      </c>
      <c r="AN129" s="74">
        <f>IFERROR(VLOOKUP(Table1215[[#This Row],[Column2]],Table12[[Column2]:[Column54]],39,FALSE),"0")</f>
        <v>2</v>
      </c>
      <c r="AO129" s="74">
        <f>IFERROR(VLOOKUP(Table1215[[#This Row],[Column2]],Table12[[Column2]:[Column54]],40,FALSE),"0")</f>
        <v>0</v>
      </c>
      <c r="AP129" s="80">
        <f>AVERAGE(Table1215[[#This Row],[Column37]],Table1215[[#This Row],[Column38]],Table1215[[#This Row],[Column40]])</f>
        <v>2.3333333333333335</v>
      </c>
      <c r="AQ129" s="74">
        <f>IFERROR(VLOOKUP(Table1215[[#This Row],[Column2]],Table12[[Column2]:[Column54]],42,FALSE),"0")</f>
        <v>3</v>
      </c>
      <c r="AR129" s="74">
        <f>IFERROR(VLOOKUP(Table1215[[#This Row],[Column2]],Table12[[Column2]:[Column54]],43,FALSE),"0")</f>
        <v>0</v>
      </c>
      <c r="AS129" s="74">
        <f>IFERROR(VLOOKUP(Table1215[[#This Row],[Column2]],Table12[[Column2]:[Column54]],44,FALSE),"0")</f>
        <v>0</v>
      </c>
      <c r="AT129" s="74">
        <f>IFERROR(VLOOKUP(Table1215[[#This Row],[Column2]],Table12[[Column2]:[Column54]],45,FALSE),"0")</f>
        <v>0</v>
      </c>
      <c r="AU129" s="74">
        <f>IFERROR(VLOOKUP(Table1215[[#This Row],[Column2]],Table12[[Column2]:[Column54]],46,FALSE),"0")</f>
        <v>0</v>
      </c>
      <c r="AV129" s="80">
        <f>Table1215[[#This Row],[Column43]]</f>
        <v>3</v>
      </c>
      <c r="AW129" s="74">
        <f>IFERROR(VLOOKUP(Table1215[[#This Row],[Column2]],Table12[[Column2]:[Column54]],48,FALSE),"0")</f>
        <v>0</v>
      </c>
      <c r="AX129" s="74">
        <f>IFERROR(VLOOKUP(Table1215[[#This Row],[Column2]],Table12[[Column2]:[Column54]],49,FALSE),"0")</f>
        <v>0</v>
      </c>
      <c r="AY129" s="74">
        <f>IFERROR(VLOOKUP(Table1215[[#This Row],[Column2]],Table12[[Column2]:[Column54]],50,FALSE),"0")</f>
        <v>0</v>
      </c>
      <c r="AZ129" s="74">
        <f>IFERROR(VLOOKUP(Table1215[[#This Row],[Column2]],Table12[[Column2]:[Column54]],51,FALSE),"0")</f>
        <v>2</v>
      </c>
      <c r="BA129" s="74">
        <f>IFERROR(VLOOKUP(Table1215[[#This Row],[Column2]],Table12[[Column2]:[Column54]],52,FALSE),"0")</f>
        <v>3</v>
      </c>
      <c r="BB129" s="80">
        <f>AVERAGE(Table1215[[#This Row],[Column52]],Table1215[[#This Row],[Column53]])</f>
        <v>2.5</v>
      </c>
    </row>
    <row r="130" spans="1:54" ht="23.1" customHeight="1" x14ac:dyDescent="0.3">
      <c r="A130" s="99">
        <v>127</v>
      </c>
      <c r="B130" s="76" t="s">
        <v>366</v>
      </c>
      <c r="C130" s="77" t="s">
        <v>367</v>
      </c>
      <c r="D130" s="76" t="s">
        <v>542</v>
      </c>
      <c r="E130" s="76" t="s">
        <v>493</v>
      </c>
      <c r="F130" s="76" t="str">
        <f>REPT(CHAR(160),10)&amp;Working!$E131</f>
        <v>          C</v>
      </c>
      <c r="G130" s="78">
        <f>IFERROR(VLOOKUP(Table1215[[#This Row],[Column2]],Table12[[Column2]:[Column54]],6,FALSE),"0")</f>
        <v>0</v>
      </c>
      <c r="H130" s="78">
        <f>IFERROR(VLOOKUP(Table1215[[#This Row],[Column2]],Table12[[Column2]:[Column54]],7,FALSE),"0")</f>
        <v>0</v>
      </c>
      <c r="I130" s="78">
        <f>IFERROR(VLOOKUP(Table1215[[#This Row],[Column2]],Table12[[Column2]:[Column54]],8,FALSE),"0")</f>
        <v>5</v>
      </c>
      <c r="J130" s="78">
        <f>IFERROR(VLOOKUP(Table1215[[#This Row],[Column2]],Table12[[Column2]:[Column54]],9,FALSE),"0")</f>
        <v>0</v>
      </c>
      <c r="K130" s="78">
        <f>IFERROR(VLOOKUP(Table1215[[#This Row],[Column2]],Table12[[Column2]:[Column54]],10,FALSE),"0")</f>
        <v>0</v>
      </c>
      <c r="L130" s="80">
        <f>Table1215[[#This Row],[Column9]]</f>
        <v>5</v>
      </c>
      <c r="M130" s="78">
        <f>IFERROR(VLOOKUP(Table1215[[#This Row],[Column2]],Table12[[Column2]:[Column54]],12,FALSE),"0")</f>
        <v>0</v>
      </c>
      <c r="N130" s="78">
        <f>IFERROR(VLOOKUP(Table1215[[#This Row],[Column2]],Table12[[Column2]:[Column54]],13,FALSE),"0")</f>
        <v>4</v>
      </c>
      <c r="O130" s="78">
        <f>IFERROR(VLOOKUP(Table1215[[#This Row],[Column2]],Table12[[Column2]:[Column54]],14,FALSE),"0")</f>
        <v>4</v>
      </c>
      <c r="P130" s="78">
        <f>IFERROR(VLOOKUP(Table1215[[#This Row],[Column2]],Table12[[Column2]:[Column54]],10,FALSE),"0")</f>
        <v>0</v>
      </c>
      <c r="Q130" s="78">
        <f>IFERROR(VLOOKUP(Table1215[[#This Row],[Column2]],Table12[[Column2]:[Column54]],16,FALSE),"0")</f>
        <v>4</v>
      </c>
      <c r="R130" s="80">
        <f>AVERAGE(Table1215[[#This Row],[Column14]],Table1215[[#This Row],[Column15]],Table1215[[#This Row],[Column17]])</f>
        <v>4</v>
      </c>
      <c r="S130" s="78">
        <f>IFERROR(VLOOKUP(Table1215[[#This Row],[Column2]],Table12[[Column2]:[Column54]],18,FALSE),"0")</f>
        <v>0</v>
      </c>
      <c r="T130" s="78">
        <f>IFERROR(VLOOKUP(Table1215[[#This Row],[Column2]],Table12[[Column2]:[Column54]],19,FALSE),"0")</f>
        <v>0</v>
      </c>
      <c r="U130" s="78">
        <f>IFERROR(VLOOKUP(Table1215[[#This Row],[Column2]],Table12[[Column2]:[Column54]],20,FALSE),"0")</f>
        <v>0</v>
      </c>
      <c r="V130" s="78">
        <f>IFERROR(VLOOKUP(Table1215[[#This Row],[Column2]],Table12[[Column2]:[Column54]],21,FALSE),"0")</f>
        <v>0</v>
      </c>
      <c r="W130" s="78">
        <f>IFERROR(VLOOKUP(Table1215[[#This Row],[Column2]],Table12[[Column2]:[Column54]],22,FALSE),"0")</f>
        <v>0</v>
      </c>
      <c r="X130" s="80">
        <f>Table1215[[#This Row],[Column19]]</f>
        <v>0</v>
      </c>
      <c r="Y130" s="78">
        <f>IFERROR(VLOOKUP(Table1215[[#This Row],[Column2]],Table12[[Column2]:[Column54]],24,FALSE),"0")</f>
        <v>4</v>
      </c>
      <c r="Z130" s="78">
        <f>IFERROR(VLOOKUP(Table1215[[#This Row],[Column2]],Table12[[Column2]:[Column54]],25,FALSE),"0")</f>
        <v>0</v>
      </c>
      <c r="AA130" s="78">
        <f>IFERROR(VLOOKUP(Table1215[[#This Row],[Column2]],Table12[[Column2]:[Column54]],26,FALSE),"0")</f>
        <v>0</v>
      </c>
      <c r="AB130" s="78">
        <f>IFERROR(VLOOKUP(Table1215[[#This Row],[Column2]],Table12[[Column2]:[Column54]],27,FALSE),"0")</f>
        <v>0</v>
      </c>
      <c r="AC130" s="78">
        <f>IFERROR(VLOOKUP(Table1215[[#This Row],[Column2]],Table12[[Column2]:[Column54]],28,FALSE),"0")</f>
        <v>0</v>
      </c>
      <c r="AD130" s="80">
        <f>Table1215[[#This Row],[Column25]]</f>
        <v>4</v>
      </c>
      <c r="AE130" s="78">
        <f>IFERROR(VLOOKUP(Table1215[[#This Row],[Column2]],Table12[[Column2]:[Column54]],30,FALSE),"0")</f>
        <v>0</v>
      </c>
      <c r="AF130" s="78">
        <f>IFERROR(VLOOKUP(Table1215[[#This Row],[Column2]],Table12[[Column2]:[Column54]],31,FALSE),"0")</f>
        <v>0</v>
      </c>
      <c r="AG130" s="78">
        <f>IFERROR(VLOOKUP(Table1215[[#This Row],[Column2]],Table12[[Column2]:[Column54]],32,FALSE),"0")</f>
        <v>0</v>
      </c>
      <c r="AH130" s="78">
        <f>IFERROR(VLOOKUP(Table1215[[#This Row],[Column2]],Table12[[Column2]:[Column54]],33,FALSE),"0")</f>
        <v>0</v>
      </c>
      <c r="AI130" s="78">
        <f>IFERROR(VLOOKUP(Table1215[[#This Row],[Column2]],Table12[[Column2]:[Column54]],34,FALSE),"0")</f>
        <v>0</v>
      </c>
      <c r="AJ130" s="80">
        <f>AVERAGE(Table1215[[#This Row],[Column31]],Table1215[[#This Row],[Column32]],Table1215[[#This Row],[Column33]])</f>
        <v>0</v>
      </c>
      <c r="AK130" s="78">
        <f>IFERROR(VLOOKUP(Table1215[[#This Row],[Column2]],Table12[[Column2]:[Column54]],36,FALSE),"0")</f>
        <v>4</v>
      </c>
      <c r="AL130" s="78">
        <f>IFERROR(VLOOKUP(Table1215[[#This Row],[Column2]],Table12[[Column2]:[Column54]],37,FALSE),"0")</f>
        <v>4</v>
      </c>
      <c r="AM130" s="78">
        <f>IFERROR(VLOOKUP(Table1215[[#This Row],[Column2]],Table12[[Column2]:[Column54]],38,FALSE),"0")</f>
        <v>0</v>
      </c>
      <c r="AN130" s="78">
        <f>IFERROR(VLOOKUP(Table1215[[#This Row],[Column2]],Table12[[Column2]:[Column54]],39,FALSE),"0")</f>
        <v>4</v>
      </c>
      <c r="AO130" s="78">
        <f>IFERROR(VLOOKUP(Table1215[[#This Row],[Column2]],Table12[[Column2]:[Column54]],40,FALSE),"0")</f>
        <v>0</v>
      </c>
      <c r="AP130" s="80">
        <f>AVERAGE(Table1215[[#This Row],[Column37]],Table1215[[#This Row],[Column38]],Table1215[[#This Row],[Column40]])</f>
        <v>4</v>
      </c>
      <c r="AQ130" s="78">
        <f>IFERROR(VLOOKUP(Table1215[[#This Row],[Column2]],Table12[[Column2]:[Column54]],42,FALSE),"0")</f>
        <v>5</v>
      </c>
      <c r="AR130" s="78">
        <f>IFERROR(VLOOKUP(Table1215[[#This Row],[Column2]],Table12[[Column2]:[Column54]],43,FALSE),"0")</f>
        <v>0</v>
      </c>
      <c r="AS130" s="78">
        <f>IFERROR(VLOOKUP(Table1215[[#This Row],[Column2]],Table12[[Column2]:[Column54]],44,FALSE),"0")</f>
        <v>0</v>
      </c>
      <c r="AT130" s="78">
        <f>IFERROR(VLOOKUP(Table1215[[#This Row],[Column2]],Table12[[Column2]:[Column54]],45,FALSE),"0")</f>
        <v>0</v>
      </c>
      <c r="AU130" s="78">
        <f>IFERROR(VLOOKUP(Table1215[[#This Row],[Column2]],Table12[[Column2]:[Column54]],46,FALSE),"0")</f>
        <v>0</v>
      </c>
      <c r="AV130" s="80">
        <f>Table1215[[#This Row],[Column43]]</f>
        <v>5</v>
      </c>
      <c r="AW130" s="78">
        <f>IFERROR(VLOOKUP(Table1215[[#This Row],[Column2]],Table12[[Column2]:[Column54]],48,FALSE),"0")</f>
        <v>0</v>
      </c>
      <c r="AX130" s="78">
        <f>IFERROR(VLOOKUP(Table1215[[#This Row],[Column2]],Table12[[Column2]:[Column54]],49,FALSE),"0")</f>
        <v>0</v>
      </c>
      <c r="AY130" s="78">
        <f>IFERROR(VLOOKUP(Table1215[[#This Row],[Column2]],Table12[[Column2]:[Column54]],50,FALSE),"0")</f>
        <v>0</v>
      </c>
      <c r="AZ130" s="78">
        <f>IFERROR(VLOOKUP(Table1215[[#This Row],[Column2]],Table12[[Column2]:[Column54]],51,FALSE),"0")</f>
        <v>3</v>
      </c>
      <c r="BA130" s="78">
        <f>IFERROR(VLOOKUP(Table1215[[#This Row],[Column2]],Table12[[Column2]:[Column54]],52,FALSE),"0")</f>
        <v>4</v>
      </c>
      <c r="BB130" s="80">
        <f>AVERAGE(Table1215[[#This Row],[Column52]],Table1215[[#This Row],[Column53]])</f>
        <v>3.5</v>
      </c>
    </row>
    <row r="131" spans="1:54" ht="23.1" customHeight="1" x14ac:dyDescent="0.3">
      <c r="A131" s="100">
        <v>128</v>
      </c>
      <c r="B131" s="83" t="s">
        <v>368</v>
      </c>
      <c r="C131" s="84" t="s">
        <v>369</v>
      </c>
      <c r="D131" s="83" t="s">
        <v>450</v>
      </c>
      <c r="E131" s="83" t="s">
        <v>493</v>
      </c>
      <c r="F131" s="83" t="str">
        <f>REPT(CHAR(160),10)&amp;Working!$E132</f>
        <v>          C</v>
      </c>
      <c r="G131" s="74">
        <f>IFERROR(VLOOKUP(Table1215[[#This Row],[Column2]],Table12[[Column2]:[Column54]],6,FALSE),"0")</f>
        <v>0</v>
      </c>
      <c r="H131" s="74">
        <f>IFERROR(VLOOKUP(Table1215[[#This Row],[Column2]],Table12[[Column2]:[Column54]],7,FALSE),"0")</f>
        <v>0</v>
      </c>
      <c r="I131" s="74">
        <f>IFERROR(VLOOKUP(Table1215[[#This Row],[Column2]],Table12[[Column2]:[Column54]],8,FALSE),"0")</f>
        <v>0</v>
      </c>
      <c r="J131" s="74">
        <f>IFERROR(VLOOKUP(Table1215[[#This Row],[Column2]],Table12[[Column2]:[Column54]],9,FALSE),"0")</f>
        <v>0</v>
      </c>
      <c r="K131" s="74">
        <f>IFERROR(VLOOKUP(Table1215[[#This Row],[Column2]],Table12[[Column2]:[Column54]],10,FALSE),"0")</f>
        <v>0</v>
      </c>
      <c r="L131" s="80">
        <f>Table1215[[#This Row],[Column9]]</f>
        <v>0</v>
      </c>
      <c r="M131" s="74">
        <f>IFERROR(VLOOKUP(Table1215[[#This Row],[Column2]],Table12[[Column2]:[Column54]],12,FALSE),"0")</f>
        <v>0</v>
      </c>
      <c r="N131" s="74">
        <f>IFERROR(VLOOKUP(Table1215[[#This Row],[Column2]],Table12[[Column2]:[Column54]],13,FALSE),"0")</f>
        <v>0</v>
      </c>
      <c r="O131" s="74">
        <f>IFERROR(VLOOKUP(Table1215[[#This Row],[Column2]],Table12[[Column2]:[Column54]],14,FALSE),"0")</f>
        <v>0</v>
      </c>
      <c r="P131" s="74">
        <f>IFERROR(VLOOKUP(Table1215[[#This Row],[Column2]],Table12[[Column2]:[Column54]],10,FALSE),"0")</f>
        <v>0</v>
      </c>
      <c r="Q131" s="74">
        <f>IFERROR(VLOOKUP(Table1215[[#This Row],[Column2]],Table12[[Column2]:[Column54]],16,FALSE),"0")</f>
        <v>0</v>
      </c>
      <c r="R131" s="80">
        <f>AVERAGE(Table1215[[#This Row],[Column14]],Table1215[[#This Row],[Column15]],Table1215[[#This Row],[Column17]])</f>
        <v>0</v>
      </c>
      <c r="S131" s="74">
        <f>IFERROR(VLOOKUP(Table1215[[#This Row],[Column2]],Table12[[Column2]:[Column54]],18,FALSE),"0")</f>
        <v>0</v>
      </c>
      <c r="T131" s="74">
        <f>IFERROR(VLOOKUP(Table1215[[#This Row],[Column2]],Table12[[Column2]:[Column54]],19,FALSE),"0")</f>
        <v>0</v>
      </c>
      <c r="U131" s="74">
        <f>IFERROR(VLOOKUP(Table1215[[#This Row],[Column2]],Table12[[Column2]:[Column54]],20,FALSE),"0")</f>
        <v>0</v>
      </c>
      <c r="V131" s="74">
        <f>IFERROR(VLOOKUP(Table1215[[#This Row],[Column2]],Table12[[Column2]:[Column54]],21,FALSE),"0")</f>
        <v>0</v>
      </c>
      <c r="W131" s="74">
        <f>IFERROR(VLOOKUP(Table1215[[#This Row],[Column2]],Table12[[Column2]:[Column54]],22,FALSE),"0")</f>
        <v>0</v>
      </c>
      <c r="X131" s="80">
        <f>Table1215[[#This Row],[Column19]]</f>
        <v>0</v>
      </c>
      <c r="Y131" s="74">
        <f>IFERROR(VLOOKUP(Table1215[[#This Row],[Column2]],Table12[[Column2]:[Column54]],24,FALSE),"0")</f>
        <v>0</v>
      </c>
      <c r="Z131" s="74">
        <f>IFERROR(VLOOKUP(Table1215[[#This Row],[Column2]],Table12[[Column2]:[Column54]],25,FALSE),"0")</f>
        <v>0</v>
      </c>
      <c r="AA131" s="74">
        <f>IFERROR(VLOOKUP(Table1215[[#This Row],[Column2]],Table12[[Column2]:[Column54]],26,FALSE),"0")</f>
        <v>0</v>
      </c>
      <c r="AB131" s="74">
        <f>IFERROR(VLOOKUP(Table1215[[#This Row],[Column2]],Table12[[Column2]:[Column54]],27,FALSE),"0")</f>
        <v>0</v>
      </c>
      <c r="AC131" s="74">
        <f>IFERROR(VLOOKUP(Table1215[[#This Row],[Column2]],Table12[[Column2]:[Column54]],28,FALSE),"0")</f>
        <v>0</v>
      </c>
      <c r="AD131" s="80">
        <f>Table1215[[#This Row],[Column25]]</f>
        <v>0</v>
      </c>
      <c r="AE131" s="74">
        <f>IFERROR(VLOOKUP(Table1215[[#This Row],[Column2]],Table12[[Column2]:[Column54]],30,FALSE),"0")</f>
        <v>0</v>
      </c>
      <c r="AF131" s="74">
        <f>IFERROR(VLOOKUP(Table1215[[#This Row],[Column2]],Table12[[Column2]:[Column54]],31,FALSE),"0")</f>
        <v>0</v>
      </c>
      <c r="AG131" s="74">
        <f>IFERROR(VLOOKUP(Table1215[[#This Row],[Column2]],Table12[[Column2]:[Column54]],32,FALSE),"0")</f>
        <v>0</v>
      </c>
      <c r="AH131" s="74">
        <f>IFERROR(VLOOKUP(Table1215[[#This Row],[Column2]],Table12[[Column2]:[Column54]],33,FALSE),"0")</f>
        <v>0</v>
      </c>
      <c r="AI131" s="74">
        <f>IFERROR(VLOOKUP(Table1215[[#This Row],[Column2]],Table12[[Column2]:[Column54]],34,FALSE),"0")</f>
        <v>0</v>
      </c>
      <c r="AJ131" s="80">
        <f>AVERAGE(Table1215[[#This Row],[Column31]],Table1215[[#This Row],[Column32]],Table1215[[#This Row],[Column33]])</f>
        <v>0</v>
      </c>
      <c r="AK131" s="74">
        <f>IFERROR(VLOOKUP(Table1215[[#This Row],[Column2]],Table12[[Column2]:[Column54]],36,FALSE),"0")</f>
        <v>0</v>
      </c>
      <c r="AL131" s="74">
        <f>IFERROR(VLOOKUP(Table1215[[#This Row],[Column2]],Table12[[Column2]:[Column54]],37,FALSE),"0")</f>
        <v>0</v>
      </c>
      <c r="AM131" s="74">
        <f>IFERROR(VLOOKUP(Table1215[[#This Row],[Column2]],Table12[[Column2]:[Column54]],38,FALSE),"0")</f>
        <v>0</v>
      </c>
      <c r="AN131" s="74">
        <f>IFERROR(VLOOKUP(Table1215[[#This Row],[Column2]],Table12[[Column2]:[Column54]],39,FALSE),"0")</f>
        <v>0</v>
      </c>
      <c r="AO131" s="74">
        <f>IFERROR(VLOOKUP(Table1215[[#This Row],[Column2]],Table12[[Column2]:[Column54]],40,FALSE),"0")</f>
        <v>0</v>
      </c>
      <c r="AP131" s="80">
        <f>AVERAGE(Table1215[[#This Row],[Column37]],Table1215[[#This Row],[Column38]],Table1215[[#This Row],[Column40]])</f>
        <v>0</v>
      </c>
      <c r="AQ131" s="74">
        <f>IFERROR(VLOOKUP(Table1215[[#This Row],[Column2]],Table12[[Column2]:[Column54]],42,FALSE),"0")</f>
        <v>0</v>
      </c>
      <c r="AR131" s="74">
        <f>IFERROR(VLOOKUP(Table1215[[#This Row],[Column2]],Table12[[Column2]:[Column54]],43,FALSE),"0")</f>
        <v>0</v>
      </c>
      <c r="AS131" s="74">
        <f>IFERROR(VLOOKUP(Table1215[[#This Row],[Column2]],Table12[[Column2]:[Column54]],44,FALSE),"0")</f>
        <v>0</v>
      </c>
      <c r="AT131" s="74">
        <f>IFERROR(VLOOKUP(Table1215[[#This Row],[Column2]],Table12[[Column2]:[Column54]],45,FALSE),"0")</f>
        <v>0</v>
      </c>
      <c r="AU131" s="74">
        <f>IFERROR(VLOOKUP(Table1215[[#This Row],[Column2]],Table12[[Column2]:[Column54]],46,FALSE),"0")</f>
        <v>0</v>
      </c>
      <c r="AV131" s="80">
        <f>Table1215[[#This Row],[Column43]]</f>
        <v>0</v>
      </c>
      <c r="AW131" s="74">
        <f>IFERROR(VLOOKUP(Table1215[[#This Row],[Column2]],Table12[[Column2]:[Column54]],48,FALSE),"0")</f>
        <v>0</v>
      </c>
      <c r="AX131" s="74">
        <f>IFERROR(VLOOKUP(Table1215[[#This Row],[Column2]],Table12[[Column2]:[Column54]],49,FALSE),"0")</f>
        <v>0</v>
      </c>
      <c r="AY131" s="74">
        <f>IFERROR(VLOOKUP(Table1215[[#This Row],[Column2]],Table12[[Column2]:[Column54]],50,FALSE),"0")</f>
        <v>0</v>
      </c>
      <c r="AZ131" s="74">
        <f>IFERROR(VLOOKUP(Table1215[[#This Row],[Column2]],Table12[[Column2]:[Column54]],51,FALSE),"0")</f>
        <v>0</v>
      </c>
      <c r="BA131" s="74">
        <f>IFERROR(VLOOKUP(Table1215[[#This Row],[Column2]],Table12[[Column2]:[Column54]],52,FALSE),"0")</f>
        <v>0</v>
      </c>
      <c r="BB131" s="80">
        <f>AVERAGE(Table1215[[#This Row],[Column52]],Table1215[[#This Row],[Column53]])</f>
        <v>0</v>
      </c>
    </row>
    <row r="132" spans="1:54" ht="23.1" customHeight="1" x14ac:dyDescent="0.3">
      <c r="A132" s="99">
        <v>129</v>
      </c>
      <c r="B132" s="76" t="s">
        <v>251</v>
      </c>
      <c r="C132" s="77" t="s">
        <v>252</v>
      </c>
      <c r="D132" s="76" t="s">
        <v>542</v>
      </c>
      <c r="E132" s="76" t="s">
        <v>161</v>
      </c>
      <c r="F132" s="76" t="str">
        <f>REPT(CHAR(160),10)&amp;Working!$E133</f>
        <v>          B</v>
      </c>
      <c r="G132" s="78">
        <f>IFERROR(VLOOKUP(Table1215[[#This Row],[Column2]],Table12[[Column2]:[Column54]],6,FALSE),"0")</f>
        <v>0</v>
      </c>
      <c r="H132" s="78">
        <f>IFERROR(VLOOKUP(Table1215[[#This Row],[Column2]],Table12[[Column2]:[Column54]],7,FALSE),"0")</f>
        <v>0</v>
      </c>
      <c r="I132" s="78">
        <f>IFERROR(VLOOKUP(Table1215[[#This Row],[Column2]],Table12[[Column2]:[Column54]],8,FALSE),"0")</f>
        <v>5</v>
      </c>
      <c r="J132" s="78">
        <f>IFERROR(VLOOKUP(Table1215[[#This Row],[Column2]],Table12[[Column2]:[Column54]],9,FALSE),"0")</f>
        <v>0</v>
      </c>
      <c r="K132" s="78">
        <f>IFERROR(VLOOKUP(Table1215[[#This Row],[Column2]],Table12[[Column2]:[Column54]],10,FALSE),"0")</f>
        <v>0</v>
      </c>
      <c r="L132" s="80">
        <f>Table1215[[#This Row],[Column9]]</f>
        <v>5</v>
      </c>
      <c r="M132" s="78">
        <f>IFERROR(VLOOKUP(Table1215[[#This Row],[Column2]],Table12[[Column2]:[Column54]],12,FALSE),"0")</f>
        <v>0</v>
      </c>
      <c r="N132" s="78">
        <f>IFERROR(VLOOKUP(Table1215[[#This Row],[Column2]],Table12[[Column2]:[Column54]],13,FALSE),"0")</f>
        <v>5</v>
      </c>
      <c r="O132" s="78">
        <f>IFERROR(VLOOKUP(Table1215[[#This Row],[Column2]],Table12[[Column2]:[Column54]],14,FALSE),"0")</f>
        <v>5</v>
      </c>
      <c r="P132" s="78">
        <f>IFERROR(VLOOKUP(Table1215[[#This Row],[Column2]],Table12[[Column2]:[Column54]],10,FALSE),"0")</f>
        <v>0</v>
      </c>
      <c r="Q132" s="78">
        <f>IFERROR(VLOOKUP(Table1215[[#This Row],[Column2]],Table12[[Column2]:[Column54]],16,FALSE),"0")</f>
        <v>5</v>
      </c>
      <c r="R132" s="80">
        <f>AVERAGE(Table1215[[#This Row],[Column14]],Table1215[[#This Row],[Column15]],Table1215[[#This Row],[Column17]])</f>
        <v>5</v>
      </c>
      <c r="S132" s="78">
        <f>IFERROR(VLOOKUP(Table1215[[#This Row],[Column2]],Table12[[Column2]:[Column54]],18,FALSE),"0")</f>
        <v>0</v>
      </c>
      <c r="T132" s="78">
        <f>IFERROR(VLOOKUP(Table1215[[#This Row],[Column2]],Table12[[Column2]:[Column54]],19,FALSE),"0")</f>
        <v>0</v>
      </c>
      <c r="U132" s="78">
        <f>IFERROR(VLOOKUP(Table1215[[#This Row],[Column2]],Table12[[Column2]:[Column54]],20,FALSE),"0")</f>
        <v>0</v>
      </c>
      <c r="V132" s="78">
        <f>IFERROR(VLOOKUP(Table1215[[#This Row],[Column2]],Table12[[Column2]:[Column54]],21,FALSE),"0")</f>
        <v>0</v>
      </c>
      <c r="W132" s="78">
        <f>IFERROR(VLOOKUP(Table1215[[#This Row],[Column2]],Table12[[Column2]:[Column54]],22,FALSE),"0")</f>
        <v>0</v>
      </c>
      <c r="X132" s="80">
        <f>Table1215[[#This Row],[Column19]]</f>
        <v>0</v>
      </c>
      <c r="Y132" s="78">
        <f>IFERROR(VLOOKUP(Table1215[[#This Row],[Column2]],Table12[[Column2]:[Column54]],24,FALSE),"0")</f>
        <v>5</v>
      </c>
      <c r="Z132" s="78">
        <f>IFERROR(VLOOKUP(Table1215[[#This Row],[Column2]],Table12[[Column2]:[Column54]],25,FALSE),"0")</f>
        <v>0</v>
      </c>
      <c r="AA132" s="78">
        <f>IFERROR(VLOOKUP(Table1215[[#This Row],[Column2]],Table12[[Column2]:[Column54]],26,FALSE),"0")</f>
        <v>0</v>
      </c>
      <c r="AB132" s="78">
        <f>IFERROR(VLOOKUP(Table1215[[#This Row],[Column2]],Table12[[Column2]:[Column54]],27,FALSE),"0")</f>
        <v>0</v>
      </c>
      <c r="AC132" s="78">
        <f>IFERROR(VLOOKUP(Table1215[[#This Row],[Column2]],Table12[[Column2]:[Column54]],28,FALSE),"0")</f>
        <v>0</v>
      </c>
      <c r="AD132" s="80">
        <f>Table1215[[#This Row],[Column25]]</f>
        <v>5</v>
      </c>
      <c r="AE132" s="78">
        <f>IFERROR(VLOOKUP(Table1215[[#This Row],[Column2]],Table12[[Column2]:[Column54]],30,FALSE),"0")</f>
        <v>0</v>
      </c>
      <c r="AF132" s="78">
        <f>IFERROR(VLOOKUP(Table1215[[#This Row],[Column2]],Table12[[Column2]:[Column54]],31,FALSE),"0")</f>
        <v>0</v>
      </c>
      <c r="AG132" s="78">
        <f>IFERROR(VLOOKUP(Table1215[[#This Row],[Column2]],Table12[[Column2]:[Column54]],32,FALSE),"0")</f>
        <v>0</v>
      </c>
      <c r="AH132" s="78">
        <f>IFERROR(VLOOKUP(Table1215[[#This Row],[Column2]],Table12[[Column2]:[Column54]],33,FALSE),"0")</f>
        <v>0</v>
      </c>
      <c r="AI132" s="78">
        <f>IFERROR(VLOOKUP(Table1215[[#This Row],[Column2]],Table12[[Column2]:[Column54]],34,FALSE),"0")</f>
        <v>0</v>
      </c>
      <c r="AJ132" s="80">
        <f>AVERAGE(Table1215[[#This Row],[Column31]],Table1215[[#This Row],[Column32]],Table1215[[#This Row],[Column33]])</f>
        <v>0</v>
      </c>
      <c r="AK132" s="78">
        <f>IFERROR(VLOOKUP(Table1215[[#This Row],[Column2]],Table12[[Column2]:[Column54]],36,FALSE),"0")</f>
        <v>5</v>
      </c>
      <c r="AL132" s="78">
        <f>IFERROR(VLOOKUP(Table1215[[#This Row],[Column2]],Table12[[Column2]:[Column54]],37,FALSE),"0")</f>
        <v>5</v>
      </c>
      <c r="AM132" s="78">
        <f>IFERROR(VLOOKUP(Table1215[[#This Row],[Column2]],Table12[[Column2]:[Column54]],38,FALSE),"0")</f>
        <v>0</v>
      </c>
      <c r="AN132" s="78">
        <f>IFERROR(VLOOKUP(Table1215[[#This Row],[Column2]],Table12[[Column2]:[Column54]],39,FALSE),"0")</f>
        <v>4</v>
      </c>
      <c r="AO132" s="78">
        <f>IFERROR(VLOOKUP(Table1215[[#This Row],[Column2]],Table12[[Column2]:[Column54]],40,FALSE),"0")</f>
        <v>0</v>
      </c>
      <c r="AP132" s="80">
        <f>AVERAGE(Table1215[[#This Row],[Column37]],Table1215[[#This Row],[Column38]],Table1215[[#This Row],[Column40]])</f>
        <v>4.666666666666667</v>
      </c>
      <c r="AQ132" s="78">
        <f>IFERROR(VLOOKUP(Table1215[[#This Row],[Column2]],Table12[[Column2]:[Column54]],42,FALSE),"0")</f>
        <v>4</v>
      </c>
      <c r="AR132" s="78">
        <f>IFERROR(VLOOKUP(Table1215[[#This Row],[Column2]],Table12[[Column2]:[Column54]],43,FALSE),"0")</f>
        <v>0</v>
      </c>
      <c r="AS132" s="78">
        <f>IFERROR(VLOOKUP(Table1215[[#This Row],[Column2]],Table12[[Column2]:[Column54]],44,FALSE),"0")</f>
        <v>0</v>
      </c>
      <c r="AT132" s="78">
        <f>IFERROR(VLOOKUP(Table1215[[#This Row],[Column2]],Table12[[Column2]:[Column54]],45,FALSE),"0")</f>
        <v>0</v>
      </c>
      <c r="AU132" s="78">
        <f>IFERROR(VLOOKUP(Table1215[[#This Row],[Column2]],Table12[[Column2]:[Column54]],46,FALSE),"0")</f>
        <v>0</v>
      </c>
      <c r="AV132" s="80">
        <f>Table1215[[#This Row],[Column43]]</f>
        <v>4</v>
      </c>
      <c r="AW132" s="78">
        <f>IFERROR(VLOOKUP(Table1215[[#This Row],[Column2]],Table12[[Column2]:[Column54]],48,FALSE),"0")</f>
        <v>0</v>
      </c>
      <c r="AX132" s="78">
        <f>IFERROR(VLOOKUP(Table1215[[#This Row],[Column2]],Table12[[Column2]:[Column54]],49,FALSE),"0")</f>
        <v>0</v>
      </c>
      <c r="AY132" s="78">
        <f>IFERROR(VLOOKUP(Table1215[[#This Row],[Column2]],Table12[[Column2]:[Column54]],50,FALSE),"0")</f>
        <v>0</v>
      </c>
      <c r="AZ132" s="78">
        <f>IFERROR(VLOOKUP(Table1215[[#This Row],[Column2]],Table12[[Column2]:[Column54]],51,FALSE),"0")</f>
        <v>5</v>
      </c>
      <c r="BA132" s="78">
        <f>IFERROR(VLOOKUP(Table1215[[#This Row],[Column2]],Table12[[Column2]:[Column54]],52,FALSE),"0")</f>
        <v>5</v>
      </c>
      <c r="BB132" s="80">
        <f>AVERAGE(Table1215[[#This Row],[Column52]],Table1215[[#This Row],[Column53]])</f>
        <v>5</v>
      </c>
    </row>
    <row r="133" spans="1:54" ht="23.1" customHeight="1" x14ac:dyDescent="0.3">
      <c r="A133" s="100">
        <v>130</v>
      </c>
      <c r="B133" s="83" t="s">
        <v>56</v>
      </c>
      <c r="C133" s="84" t="s">
        <v>57</v>
      </c>
      <c r="D133" s="83" t="s">
        <v>450</v>
      </c>
      <c r="E133" s="83" t="s">
        <v>35</v>
      </c>
      <c r="F133" s="83" t="str">
        <f>REPT(CHAR(160),10)&amp;Working!$E134</f>
        <v>          A</v>
      </c>
      <c r="G133" s="74">
        <f>IFERROR(VLOOKUP(Table1215[[#This Row],[Column2]],Table12[[Column2]:[Column54]],6,FALSE),"0")</f>
        <v>0</v>
      </c>
      <c r="H133" s="74">
        <f>IFERROR(VLOOKUP(Table1215[[#This Row],[Column2]],Table12[[Column2]:[Column54]],7,FALSE),"0")</f>
        <v>0</v>
      </c>
      <c r="I133" s="74">
        <f>IFERROR(VLOOKUP(Table1215[[#This Row],[Column2]],Table12[[Column2]:[Column54]],8,FALSE),"0")</f>
        <v>4</v>
      </c>
      <c r="J133" s="74">
        <f>IFERROR(VLOOKUP(Table1215[[#This Row],[Column2]],Table12[[Column2]:[Column54]],9,FALSE),"0")</f>
        <v>0</v>
      </c>
      <c r="K133" s="74">
        <f>IFERROR(VLOOKUP(Table1215[[#This Row],[Column2]],Table12[[Column2]:[Column54]],10,FALSE),"0")</f>
        <v>0</v>
      </c>
      <c r="L133" s="80">
        <f>Table1215[[#This Row],[Column9]]</f>
        <v>4</v>
      </c>
      <c r="M133" s="74">
        <f>IFERROR(VLOOKUP(Table1215[[#This Row],[Column2]],Table12[[Column2]:[Column54]],12,FALSE),"0")</f>
        <v>0</v>
      </c>
      <c r="N133" s="74">
        <f>IFERROR(VLOOKUP(Table1215[[#This Row],[Column2]],Table12[[Column2]:[Column54]],13,FALSE),"0")</f>
        <v>3</v>
      </c>
      <c r="O133" s="74">
        <f>IFERROR(VLOOKUP(Table1215[[#This Row],[Column2]],Table12[[Column2]:[Column54]],14,FALSE),"0")</f>
        <v>4</v>
      </c>
      <c r="P133" s="74">
        <f>IFERROR(VLOOKUP(Table1215[[#This Row],[Column2]],Table12[[Column2]:[Column54]],10,FALSE),"0")</f>
        <v>0</v>
      </c>
      <c r="Q133" s="74">
        <f>IFERROR(VLOOKUP(Table1215[[#This Row],[Column2]],Table12[[Column2]:[Column54]],16,FALSE),"0")</f>
        <v>4</v>
      </c>
      <c r="R133" s="80">
        <f>AVERAGE(Table1215[[#This Row],[Column14]],Table1215[[#This Row],[Column15]],Table1215[[#This Row],[Column17]])</f>
        <v>3.6666666666666665</v>
      </c>
      <c r="S133" s="74">
        <f>IFERROR(VLOOKUP(Table1215[[#This Row],[Column2]],Table12[[Column2]:[Column54]],18,FALSE),"0")</f>
        <v>0</v>
      </c>
      <c r="T133" s="74">
        <f>IFERROR(VLOOKUP(Table1215[[#This Row],[Column2]],Table12[[Column2]:[Column54]],19,FALSE),"0")</f>
        <v>0</v>
      </c>
      <c r="U133" s="74">
        <f>IFERROR(VLOOKUP(Table1215[[#This Row],[Column2]],Table12[[Column2]:[Column54]],20,FALSE),"0")</f>
        <v>0</v>
      </c>
      <c r="V133" s="74">
        <f>IFERROR(VLOOKUP(Table1215[[#This Row],[Column2]],Table12[[Column2]:[Column54]],21,FALSE),"0")</f>
        <v>0</v>
      </c>
      <c r="W133" s="74">
        <f>IFERROR(VLOOKUP(Table1215[[#This Row],[Column2]],Table12[[Column2]:[Column54]],22,FALSE),"0")</f>
        <v>0</v>
      </c>
      <c r="X133" s="80">
        <f>Table1215[[#This Row],[Column19]]</f>
        <v>0</v>
      </c>
      <c r="Y133" s="74">
        <f>IFERROR(VLOOKUP(Table1215[[#This Row],[Column2]],Table12[[Column2]:[Column54]],24,FALSE),"0")</f>
        <v>3</v>
      </c>
      <c r="Z133" s="74">
        <f>IFERROR(VLOOKUP(Table1215[[#This Row],[Column2]],Table12[[Column2]:[Column54]],25,FALSE),"0")</f>
        <v>0</v>
      </c>
      <c r="AA133" s="74">
        <f>IFERROR(VLOOKUP(Table1215[[#This Row],[Column2]],Table12[[Column2]:[Column54]],26,FALSE),"0")</f>
        <v>0</v>
      </c>
      <c r="AB133" s="74">
        <f>IFERROR(VLOOKUP(Table1215[[#This Row],[Column2]],Table12[[Column2]:[Column54]],27,FALSE),"0")</f>
        <v>0</v>
      </c>
      <c r="AC133" s="74">
        <f>IFERROR(VLOOKUP(Table1215[[#This Row],[Column2]],Table12[[Column2]:[Column54]],28,FALSE),"0")</f>
        <v>0</v>
      </c>
      <c r="AD133" s="80">
        <f>Table1215[[#This Row],[Column25]]</f>
        <v>3</v>
      </c>
      <c r="AE133" s="74">
        <f>IFERROR(VLOOKUP(Table1215[[#This Row],[Column2]],Table12[[Column2]:[Column54]],30,FALSE),"0")</f>
        <v>0</v>
      </c>
      <c r="AF133" s="74">
        <f>IFERROR(VLOOKUP(Table1215[[#This Row],[Column2]],Table12[[Column2]:[Column54]],31,FALSE),"0")</f>
        <v>0</v>
      </c>
      <c r="AG133" s="74">
        <f>IFERROR(VLOOKUP(Table1215[[#This Row],[Column2]],Table12[[Column2]:[Column54]],32,FALSE),"0")</f>
        <v>0</v>
      </c>
      <c r="AH133" s="74">
        <f>IFERROR(VLOOKUP(Table1215[[#This Row],[Column2]],Table12[[Column2]:[Column54]],33,FALSE),"0")</f>
        <v>0</v>
      </c>
      <c r="AI133" s="74">
        <f>IFERROR(VLOOKUP(Table1215[[#This Row],[Column2]],Table12[[Column2]:[Column54]],34,FALSE),"0")</f>
        <v>0</v>
      </c>
      <c r="AJ133" s="80">
        <f>AVERAGE(Table1215[[#This Row],[Column31]],Table1215[[#This Row],[Column32]],Table1215[[#This Row],[Column33]])</f>
        <v>0</v>
      </c>
      <c r="AK133" s="74">
        <f>IFERROR(VLOOKUP(Table1215[[#This Row],[Column2]],Table12[[Column2]:[Column54]],36,FALSE),"0")</f>
        <v>4</v>
      </c>
      <c r="AL133" s="74">
        <f>IFERROR(VLOOKUP(Table1215[[#This Row],[Column2]],Table12[[Column2]:[Column54]],37,FALSE),"0")</f>
        <v>3</v>
      </c>
      <c r="AM133" s="74">
        <f>IFERROR(VLOOKUP(Table1215[[#This Row],[Column2]],Table12[[Column2]:[Column54]],38,FALSE),"0")</f>
        <v>0</v>
      </c>
      <c r="AN133" s="74">
        <f>IFERROR(VLOOKUP(Table1215[[#This Row],[Column2]],Table12[[Column2]:[Column54]],39,FALSE),"0")</f>
        <v>4</v>
      </c>
      <c r="AO133" s="74">
        <f>IFERROR(VLOOKUP(Table1215[[#This Row],[Column2]],Table12[[Column2]:[Column54]],40,FALSE),"0")</f>
        <v>0</v>
      </c>
      <c r="AP133" s="80">
        <f>AVERAGE(Table1215[[#This Row],[Column37]],Table1215[[#This Row],[Column38]],Table1215[[#This Row],[Column40]])</f>
        <v>3.6666666666666665</v>
      </c>
      <c r="AQ133" s="74">
        <f>IFERROR(VLOOKUP(Table1215[[#This Row],[Column2]],Table12[[Column2]:[Column54]],42,FALSE),"0")</f>
        <v>5</v>
      </c>
      <c r="AR133" s="74">
        <f>IFERROR(VLOOKUP(Table1215[[#This Row],[Column2]],Table12[[Column2]:[Column54]],43,FALSE),"0")</f>
        <v>0</v>
      </c>
      <c r="AS133" s="74">
        <f>IFERROR(VLOOKUP(Table1215[[#This Row],[Column2]],Table12[[Column2]:[Column54]],44,FALSE),"0")</f>
        <v>0</v>
      </c>
      <c r="AT133" s="74">
        <f>IFERROR(VLOOKUP(Table1215[[#This Row],[Column2]],Table12[[Column2]:[Column54]],45,FALSE),"0")</f>
        <v>0</v>
      </c>
      <c r="AU133" s="74">
        <f>IFERROR(VLOOKUP(Table1215[[#This Row],[Column2]],Table12[[Column2]:[Column54]],46,FALSE),"0")</f>
        <v>0</v>
      </c>
      <c r="AV133" s="80">
        <f>Table1215[[#This Row],[Column43]]</f>
        <v>5</v>
      </c>
      <c r="AW133" s="74">
        <f>IFERROR(VLOOKUP(Table1215[[#This Row],[Column2]],Table12[[Column2]:[Column54]],48,FALSE),"0")</f>
        <v>0</v>
      </c>
      <c r="AX133" s="74">
        <f>IFERROR(VLOOKUP(Table1215[[#This Row],[Column2]],Table12[[Column2]:[Column54]],49,FALSE),"0")</f>
        <v>0</v>
      </c>
      <c r="AY133" s="74">
        <f>IFERROR(VLOOKUP(Table1215[[#This Row],[Column2]],Table12[[Column2]:[Column54]],50,FALSE),"0")</f>
        <v>0</v>
      </c>
      <c r="AZ133" s="74">
        <f>IFERROR(VLOOKUP(Table1215[[#This Row],[Column2]],Table12[[Column2]:[Column54]],51,FALSE),"0")</f>
        <v>5</v>
      </c>
      <c r="BA133" s="74">
        <f>IFERROR(VLOOKUP(Table1215[[#This Row],[Column2]],Table12[[Column2]:[Column54]],52,FALSE),"0")</f>
        <v>4</v>
      </c>
      <c r="BB133" s="80">
        <f>AVERAGE(Table1215[[#This Row],[Column52]],Table1215[[#This Row],[Column53]])</f>
        <v>4.5</v>
      </c>
    </row>
    <row r="134" spans="1:54" ht="23.1" customHeight="1" x14ac:dyDescent="0.3">
      <c r="A134" s="99">
        <v>131</v>
      </c>
      <c r="B134" s="76" t="s">
        <v>265</v>
      </c>
      <c r="C134" s="77" t="s">
        <v>266</v>
      </c>
      <c r="D134" s="76" t="s">
        <v>542</v>
      </c>
      <c r="E134" s="76" t="s">
        <v>161</v>
      </c>
      <c r="F134" s="76" t="str">
        <f>REPT(CHAR(160),10)&amp;Working!$E135</f>
        <v>          B</v>
      </c>
      <c r="G134" s="78">
        <f>IFERROR(VLOOKUP(Table1215[[#This Row],[Column2]],Table12[[Column2]:[Column54]],6,FALSE),"0")</f>
        <v>0</v>
      </c>
      <c r="H134" s="78">
        <f>IFERROR(VLOOKUP(Table1215[[#This Row],[Column2]],Table12[[Column2]:[Column54]],7,FALSE),"0")</f>
        <v>0</v>
      </c>
      <c r="I134" s="78">
        <f>IFERROR(VLOOKUP(Table1215[[#This Row],[Column2]],Table12[[Column2]:[Column54]],8,FALSE),"0")</f>
        <v>5</v>
      </c>
      <c r="J134" s="78">
        <f>IFERROR(VLOOKUP(Table1215[[#This Row],[Column2]],Table12[[Column2]:[Column54]],9,FALSE),"0")</f>
        <v>0</v>
      </c>
      <c r="K134" s="78">
        <f>IFERROR(VLOOKUP(Table1215[[#This Row],[Column2]],Table12[[Column2]:[Column54]],10,FALSE),"0")</f>
        <v>0</v>
      </c>
      <c r="L134" s="80">
        <f>Table1215[[#This Row],[Column9]]</f>
        <v>5</v>
      </c>
      <c r="M134" s="78">
        <f>IFERROR(VLOOKUP(Table1215[[#This Row],[Column2]],Table12[[Column2]:[Column54]],12,FALSE),"0")</f>
        <v>0</v>
      </c>
      <c r="N134" s="78">
        <f>IFERROR(VLOOKUP(Table1215[[#This Row],[Column2]],Table12[[Column2]:[Column54]],13,FALSE),"0")</f>
        <v>5</v>
      </c>
      <c r="O134" s="78">
        <f>IFERROR(VLOOKUP(Table1215[[#This Row],[Column2]],Table12[[Column2]:[Column54]],14,FALSE),"0")</f>
        <v>4</v>
      </c>
      <c r="P134" s="78">
        <f>IFERROR(VLOOKUP(Table1215[[#This Row],[Column2]],Table12[[Column2]:[Column54]],10,FALSE),"0")</f>
        <v>0</v>
      </c>
      <c r="Q134" s="78">
        <f>IFERROR(VLOOKUP(Table1215[[#This Row],[Column2]],Table12[[Column2]:[Column54]],16,FALSE),"0")</f>
        <v>4</v>
      </c>
      <c r="R134" s="80">
        <f>AVERAGE(Table1215[[#This Row],[Column14]],Table1215[[#This Row],[Column15]],Table1215[[#This Row],[Column17]])</f>
        <v>4.333333333333333</v>
      </c>
      <c r="S134" s="78">
        <f>IFERROR(VLOOKUP(Table1215[[#This Row],[Column2]],Table12[[Column2]:[Column54]],18,FALSE),"0")</f>
        <v>0</v>
      </c>
      <c r="T134" s="78">
        <f>IFERROR(VLOOKUP(Table1215[[#This Row],[Column2]],Table12[[Column2]:[Column54]],19,FALSE),"0")</f>
        <v>0</v>
      </c>
      <c r="U134" s="78">
        <f>IFERROR(VLOOKUP(Table1215[[#This Row],[Column2]],Table12[[Column2]:[Column54]],20,FALSE),"0")</f>
        <v>0</v>
      </c>
      <c r="V134" s="78">
        <f>IFERROR(VLOOKUP(Table1215[[#This Row],[Column2]],Table12[[Column2]:[Column54]],21,FALSE),"0")</f>
        <v>0</v>
      </c>
      <c r="W134" s="78">
        <f>IFERROR(VLOOKUP(Table1215[[#This Row],[Column2]],Table12[[Column2]:[Column54]],22,FALSE),"0")</f>
        <v>0</v>
      </c>
      <c r="X134" s="80">
        <f>Table1215[[#This Row],[Column19]]</f>
        <v>0</v>
      </c>
      <c r="Y134" s="78">
        <f>IFERROR(VLOOKUP(Table1215[[#This Row],[Column2]],Table12[[Column2]:[Column54]],24,FALSE),"0")</f>
        <v>5</v>
      </c>
      <c r="Z134" s="78">
        <f>IFERROR(VLOOKUP(Table1215[[#This Row],[Column2]],Table12[[Column2]:[Column54]],25,FALSE),"0")</f>
        <v>0</v>
      </c>
      <c r="AA134" s="78">
        <f>IFERROR(VLOOKUP(Table1215[[#This Row],[Column2]],Table12[[Column2]:[Column54]],26,FALSE),"0")</f>
        <v>0</v>
      </c>
      <c r="AB134" s="78">
        <f>IFERROR(VLOOKUP(Table1215[[#This Row],[Column2]],Table12[[Column2]:[Column54]],27,FALSE),"0")</f>
        <v>0</v>
      </c>
      <c r="AC134" s="78">
        <f>IFERROR(VLOOKUP(Table1215[[#This Row],[Column2]],Table12[[Column2]:[Column54]],28,FALSE),"0")</f>
        <v>0</v>
      </c>
      <c r="AD134" s="80">
        <f>Table1215[[#This Row],[Column25]]</f>
        <v>5</v>
      </c>
      <c r="AE134" s="78">
        <f>IFERROR(VLOOKUP(Table1215[[#This Row],[Column2]],Table12[[Column2]:[Column54]],30,FALSE),"0")</f>
        <v>0</v>
      </c>
      <c r="AF134" s="78">
        <f>IFERROR(VLOOKUP(Table1215[[#This Row],[Column2]],Table12[[Column2]:[Column54]],31,FALSE),"0")</f>
        <v>0</v>
      </c>
      <c r="AG134" s="78">
        <f>IFERROR(VLOOKUP(Table1215[[#This Row],[Column2]],Table12[[Column2]:[Column54]],32,FALSE),"0")</f>
        <v>0</v>
      </c>
      <c r="AH134" s="78">
        <f>IFERROR(VLOOKUP(Table1215[[#This Row],[Column2]],Table12[[Column2]:[Column54]],33,FALSE),"0")</f>
        <v>0</v>
      </c>
      <c r="AI134" s="78">
        <f>IFERROR(VLOOKUP(Table1215[[#This Row],[Column2]],Table12[[Column2]:[Column54]],34,FALSE),"0")</f>
        <v>0</v>
      </c>
      <c r="AJ134" s="80">
        <f>AVERAGE(Table1215[[#This Row],[Column31]],Table1215[[#This Row],[Column32]],Table1215[[#This Row],[Column33]])</f>
        <v>0</v>
      </c>
      <c r="AK134" s="78">
        <f>IFERROR(VLOOKUP(Table1215[[#This Row],[Column2]],Table12[[Column2]:[Column54]],36,FALSE),"0")</f>
        <v>5</v>
      </c>
      <c r="AL134" s="78">
        <f>IFERROR(VLOOKUP(Table1215[[#This Row],[Column2]],Table12[[Column2]:[Column54]],37,FALSE),"0")</f>
        <v>5</v>
      </c>
      <c r="AM134" s="78">
        <f>IFERROR(VLOOKUP(Table1215[[#This Row],[Column2]],Table12[[Column2]:[Column54]],38,FALSE),"0")</f>
        <v>0</v>
      </c>
      <c r="AN134" s="78">
        <f>IFERROR(VLOOKUP(Table1215[[#This Row],[Column2]],Table12[[Column2]:[Column54]],39,FALSE),"0")</f>
        <v>5</v>
      </c>
      <c r="AO134" s="78">
        <f>IFERROR(VLOOKUP(Table1215[[#This Row],[Column2]],Table12[[Column2]:[Column54]],40,FALSE),"0")</f>
        <v>0</v>
      </c>
      <c r="AP134" s="80">
        <f>AVERAGE(Table1215[[#This Row],[Column37]],Table1215[[#This Row],[Column38]],Table1215[[#This Row],[Column40]])</f>
        <v>5</v>
      </c>
      <c r="AQ134" s="78">
        <f>IFERROR(VLOOKUP(Table1215[[#This Row],[Column2]],Table12[[Column2]:[Column54]],42,FALSE),"0")</f>
        <v>5</v>
      </c>
      <c r="AR134" s="78">
        <f>IFERROR(VLOOKUP(Table1215[[#This Row],[Column2]],Table12[[Column2]:[Column54]],43,FALSE),"0")</f>
        <v>0</v>
      </c>
      <c r="AS134" s="78">
        <f>IFERROR(VLOOKUP(Table1215[[#This Row],[Column2]],Table12[[Column2]:[Column54]],44,FALSE),"0")</f>
        <v>0</v>
      </c>
      <c r="AT134" s="78">
        <f>IFERROR(VLOOKUP(Table1215[[#This Row],[Column2]],Table12[[Column2]:[Column54]],45,FALSE),"0")</f>
        <v>0</v>
      </c>
      <c r="AU134" s="78">
        <f>IFERROR(VLOOKUP(Table1215[[#This Row],[Column2]],Table12[[Column2]:[Column54]],46,FALSE),"0")</f>
        <v>0</v>
      </c>
      <c r="AV134" s="80">
        <f>Table1215[[#This Row],[Column43]]</f>
        <v>5</v>
      </c>
      <c r="AW134" s="78">
        <f>IFERROR(VLOOKUP(Table1215[[#This Row],[Column2]],Table12[[Column2]:[Column54]],48,FALSE),"0")</f>
        <v>0</v>
      </c>
      <c r="AX134" s="78">
        <f>IFERROR(VLOOKUP(Table1215[[#This Row],[Column2]],Table12[[Column2]:[Column54]],49,FALSE),"0")</f>
        <v>0</v>
      </c>
      <c r="AY134" s="78">
        <f>IFERROR(VLOOKUP(Table1215[[#This Row],[Column2]],Table12[[Column2]:[Column54]],50,FALSE),"0")</f>
        <v>0</v>
      </c>
      <c r="AZ134" s="78">
        <f>IFERROR(VLOOKUP(Table1215[[#This Row],[Column2]],Table12[[Column2]:[Column54]],51,FALSE),"0")</f>
        <v>5</v>
      </c>
      <c r="BA134" s="78">
        <f>IFERROR(VLOOKUP(Table1215[[#This Row],[Column2]],Table12[[Column2]:[Column54]],52,FALSE),"0")</f>
        <v>5</v>
      </c>
      <c r="BB134" s="80">
        <f>AVERAGE(Table1215[[#This Row],[Column52]],Table1215[[#This Row],[Column53]])</f>
        <v>5</v>
      </c>
    </row>
    <row r="135" spans="1:54" ht="23.1" customHeight="1" x14ac:dyDescent="0.3">
      <c r="A135" s="100">
        <v>132</v>
      </c>
      <c r="B135" s="83" t="s">
        <v>79</v>
      </c>
      <c r="C135" s="84" t="s">
        <v>80</v>
      </c>
      <c r="D135" s="83" t="s">
        <v>542</v>
      </c>
      <c r="E135" s="83" t="s">
        <v>35</v>
      </c>
      <c r="F135" s="83" t="str">
        <f>REPT(CHAR(160),10)&amp;Working!$E136</f>
        <v>          A</v>
      </c>
      <c r="G135" s="74">
        <f>IFERROR(VLOOKUP(Table1215[[#This Row],[Column2]],Table12[[Column2]:[Column54]],6,FALSE),"0")</f>
        <v>0</v>
      </c>
      <c r="H135" s="74">
        <f>IFERROR(VLOOKUP(Table1215[[#This Row],[Column2]],Table12[[Column2]:[Column54]],7,FALSE),"0")</f>
        <v>0</v>
      </c>
      <c r="I135" s="74">
        <f>IFERROR(VLOOKUP(Table1215[[#This Row],[Column2]],Table12[[Column2]:[Column54]],8,FALSE),"0")</f>
        <v>3</v>
      </c>
      <c r="J135" s="74">
        <f>IFERROR(VLOOKUP(Table1215[[#This Row],[Column2]],Table12[[Column2]:[Column54]],9,FALSE),"0")</f>
        <v>0</v>
      </c>
      <c r="K135" s="74">
        <f>IFERROR(VLOOKUP(Table1215[[#This Row],[Column2]],Table12[[Column2]:[Column54]],10,FALSE),"0")</f>
        <v>0</v>
      </c>
      <c r="L135" s="80">
        <f>Table1215[[#This Row],[Column9]]</f>
        <v>3</v>
      </c>
      <c r="M135" s="74">
        <f>IFERROR(VLOOKUP(Table1215[[#This Row],[Column2]],Table12[[Column2]:[Column54]],12,FALSE),"0")</f>
        <v>0</v>
      </c>
      <c r="N135" s="74">
        <f>IFERROR(VLOOKUP(Table1215[[#This Row],[Column2]],Table12[[Column2]:[Column54]],13,FALSE),"0")</f>
        <v>4</v>
      </c>
      <c r="O135" s="74">
        <f>IFERROR(VLOOKUP(Table1215[[#This Row],[Column2]],Table12[[Column2]:[Column54]],14,FALSE),"0")</f>
        <v>4</v>
      </c>
      <c r="P135" s="74">
        <f>IFERROR(VLOOKUP(Table1215[[#This Row],[Column2]],Table12[[Column2]:[Column54]],10,FALSE),"0")</f>
        <v>0</v>
      </c>
      <c r="Q135" s="74">
        <f>IFERROR(VLOOKUP(Table1215[[#This Row],[Column2]],Table12[[Column2]:[Column54]],16,FALSE),"0")</f>
        <v>4</v>
      </c>
      <c r="R135" s="80">
        <f>AVERAGE(Table1215[[#This Row],[Column14]],Table1215[[#This Row],[Column15]],Table1215[[#This Row],[Column17]])</f>
        <v>4</v>
      </c>
      <c r="S135" s="74">
        <f>IFERROR(VLOOKUP(Table1215[[#This Row],[Column2]],Table12[[Column2]:[Column54]],18,FALSE),"0")</f>
        <v>0</v>
      </c>
      <c r="T135" s="74">
        <f>IFERROR(VLOOKUP(Table1215[[#This Row],[Column2]],Table12[[Column2]:[Column54]],19,FALSE),"0")</f>
        <v>0</v>
      </c>
      <c r="U135" s="74">
        <f>IFERROR(VLOOKUP(Table1215[[#This Row],[Column2]],Table12[[Column2]:[Column54]],20,FALSE),"0")</f>
        <v>0</v>
      </c>
      <c r="V135" s="74">
        <f>IFERROR(VLOOKUP(Table1215[[#This Row],[Column2]],Table12[[Column2]:[Column54]],21,FALSE),"0")</f>
        <v>0</v>
      </c>
      <c r="W135" s="74">
        <f>IFERROR(VLOOKUP(Table1215[[#This Row],[Column2]],Table12[[Column2]:[Column54]],22,FALSE),"0")</f>
        <v>0</v>
      </c>
      <c r="X135" s="80">
        <f>Table1215[[#This Row],[Column19]]</f>
        <v>0</v>
      </c>
      <c r="Y135" s="74">
        <f>IFERROR(VLOOKUP(Table1215[[#This Row],[Column2]],Table12[[Column2]:[Column54]],24,FALSE),"0")</f>
        <v>4</v>
      </c>
      <c r="Z135" s="74">
        <f>IFERROR(VLOOKUP(Table1215[[#This Row],[Column2]],Table12[[Column2]:[Column54]],25,FALSE),"0")</f>
        <v>0</v>
      </c>
      <c r="AA135" s="74">
        <f>IFERROR(VLOOKUP(Table1215[[#This Row],[Column2]],Table12[[Column2]:[Column54]],26,FALSE),"0")</f>
        <v>0</v>
      </c>
      <c r="AB135" s="74">
        <f>IFERROR(VLOOKUP(Table1215[[#This Row],[Column2]],Table12[[Column2]:[Column54]],27,FALSE),"0")</f>
        <v>0</v>
      </c>
      <c r="AC135" s="74">
        <f>IFERROR(VLOOKUP(Table1215[[#This Row],[Column2]],Table12[[Column2]:[Column54]],28,FALSE),"0")</f>
        <v>0</v>
      </c>
      <c r="AD135" s="80">
        <f>Table1215[[#This Row],[Column25]]</f>
        <v>4</v>
      </c>
      <c r="AE135" s="74">
        <f>IFERROR(VLOOKUP(Table1215[[#This Row],[Column2]],Table12[[Column2]:[Column54]],30,FALSE),"0")</f>
        <v>0</v>
      </c>
      <c r="AF135" s="74">
        <f>IFERROR(VLOOKUP(Table1215[[#This Row],[Column2]],Table12[[Column2]:[Column54]],31,FALSE),"0")</f>
        <v>0</v>
      </c>
      <c r="AG135" s="74">
        <f>IFERROR(VLOOKUP(Table1215[[#This Row],[Column2]],Table12[[Column2]:[Column54]],32,FALSE),"0")</f>
        <v>0</v>
      </c>
      <c r="AH135" s="74">
        <f>IFERROR(VLOOKUP(Table1215[[#This Row],[Column2]],Table12[[Column2]:[Column54]],33,FALSE),"0")</f>
        <v>0</v>
      </c>
      <c r="AI135" s="74">
        <f>IFERROR(VLOOKUP(Table1215[[#This Row],[Column2]],Table12[[Column2]:[Column54]],34,FALSE),"0")</f>
        <v>0</v>
      </c>
      <c r="AJ135" s="80">
        <f>AVERAGE(Table1215[[#This Row],[Column31]],Table1215[[#This Row],[Column32]],Table1215[[#This Row],[Column33]])</f>
        <v>0</v>
      </c>
      <c r="AK135" s="74">
        <f>IFERROR(VLOOKUP(Table1215[[#This Row],[Column2]],Table12[[Column2]:[Column54]],36,FALSE),"0")</f>
        <v>3</v>
      </c>
      <c r="AL135" s="74">
        <f>IFERROR(VLOOKUP(Table1215[[#This Row],[Column2]],Table12[[Column2]:[Column54]],37,FALSE),"0")</f>
        <v>3</v>
      </c>
      <c r="AM135" s="74">
        <f>IFERROR(VLOOKUP(Table1215[[#This Row],[Column2]],Table12[[Column2]:[Column54]],38,FALSE),"0")</f>
        <v>0</v>
      </c>
      <c r="AN135" s="74">
        <f>IFERROR(VLOOKUP(Table1215[[#This Row],[Column2]],Table12[[Column2]:[Column54]],39,FALSE),"0")</f>
        <v>4</v>
      </c>
      <c r="AO135" s="74">
        <f>IFERROR(VLOOKUP(Table1215[[#This Row],[Column2]],Table12[[Column2]:[Column54]],40,FALSE),"0")</f>
        <v>0</v>
      </c>
      <c r="AP135" s="80">
        <f>AVERAGE(Table1215[[#This Row],[Column37]],Table1215[[#This Row],[Column38]],Table1215[[#This Row],[Column40]])</f>
        <v>3.3333333333333335</v>
      </c>
      <c r="AQ135" s="74">
        <f>IFERROR(VLOOKUP(Table1215[[#This Row],[Column2]],Table12[[Column2]:[Column54]],42,FALSE),"0")</f>
        <v>3</v>
      </c>
      <c r="AR135" s="74">
        <f>IFERROR(VLOOKUP(Table1215[[#This Row],[Column2]],Table12[[Column2]:[Column54]],43,FALSE),"0")</f>
        <v>0</v>
      </c>
      <c r="AS135" s="74">
        <f>IFERROR(VLOOKUP(Table1215[[#This Row],[Column2]],Table12[[Column2]:[Column54]],44,FALSE),"0")</f>
        <v>0</v>
      </c>
      <c r="AT135" s="74">
        <f>IFERROR(VLOOKUP(Table1215[[#This Row],[Column2]],Table12[[Column2]:[Column54]],45,FALSE),"0")</f>
        <v>0</v>
      </c>
      <c r="AU135" s="74">
        <f>IFERROR(VLOOKUP(Table1215[[#This Row],[Column2]],Table12[[Column2]:[Column54]],46,FALSE),"0")</f>
        <v>0</v>
      </c>
      <c r="AV135" s="80">
        <f>Table1215[[#This Row],[Column43]]</f>
        <v>3</v>
      </c>
      <c r="AW135" s="74">
        <f>IFERROR(VLOOKUP(Table1215[[#This Row],[Column2]],Table12[[Column2]:[Column54]],48,FALSE),"0")</f>
        <v>0</v>
      </c>
      <c r="AX135" s="74">
        <f>IFERROR(VLOOKUP(Table1215[[#This Row],[Column2]],Table12[[Column2]:[Column54]],49,FALSE),"0")</f>
        <v>0</v>
      </c>
      <c r="AY135" s="74">
        <f>IFERROR(VLOOKUP(Table1215[[#This Row],[Column2]],Table12[[Column2]:[Column54]],50,FALSE),"0")</f>
        <v>0</v>
      </c>
      <c r="AZ135" s="74">
        <f>IFERROR(VLOOKUP(Table1215[[#This Row],[Column2]],Table12[[Column2]:[Column54]],51,FALSE),"0")</f>
        <v>2</v>
      </c>
      <c r="BA135" s="74">
        <f>IFERROR(VLOOKUP(Table1215[[#This Row],[Column2]],Table12[[Column2]:[Column54]],52,FALSE),"0")</f>
        <v>4</v>
      </c>
      <c r="BB135" s="80">
        <f>AVERAGE(Table1215[[#This Row],[Column52]],Table1215[[#This Row],[Column53]])</f>
        <v>3</v>
      </c>
    </row>
    <row r="136" spans="1:54" ht="23.1" customHeight="1" x14ac:dyDescent="0.3">
      <c r="A136" s="99">
        <v>133</v>
      </c>
      <c r="B136" s="76" t="s">
        <v>85</v>
      </c>
      <c r="C136" s="77" t="s">
        <v>86</v>
      </c>
      <c r="D136" s="76" t="s">
        <v>450</v>
      </c>
      <c r="E136" s="76" t="s">
        <v>35</v>
      </c>
      <c r="F136" s="76" t="str">
        <f>REPT(CHAR(160),10)&amp;Working!$E137</f>
        <v>          A</v>
      </c>
      <c r="G136" s="78">
        <f>IFERROR(VLOOKUP(Table1215[[#This Row],[Column2]],Table12[[Column2]:[Column54]],6,FALSE),"0")</f>
        <v>0</v>
      </c>
      <c r="H136" s="78">
        <f>IFERROR(VLOOKUP(Table1215[[#This Row],[Column2]],Table12[[Column2]:[Column54]],7,FALSE),"0")</f>
        <v>0</v>
      </c>
      <c r="I136" s="78">
        <f>IFERROR(VLOOKUP(Table1215[[#This Row],[Column2]],Table12[[Column2]:[Column54]],8,FALSE),"0")</f>
        <v>3</v>
      </c>
      <c r="J136" s="78">
        <f>IFERROR(VLOOKUP(Table1215[[#This Row],[Column2]],Table12[[Column2]:[Column54]],9,FALSE),"0")</f>
        <v>0</v>
      </c>
      <c r="K136" s="78">
        <f>IFERROR(VLOOKUP(Table1215[[#This Row],[Column2]],Table12[[Column2]:[Column54]],10,FALSE),"0")</f>
        <v>0</v>
      </c>
      <c r="L136" s="80">
        <f>Table1215[[#This Row],[Column9]]</f>
        <v>3</v>
      </c>
      <c r="M136" s="78">
        <f>IFERROR(VLOOKUP(Table1215[[#This Row],[Column2]],Table12[[Column2]:[Column54]],12,FALSE),"0")</f>
        <v>0</v>
      </c>
      <c r="N136" s="78">
        <f>IFERROR(VLOOKUP(Table1215[[#This Row],[Column2]],Table12[[Column2]:[Column54]],13,FALSE),"0")</f>
        <v>3</v>
      </c>
      <c r="O136" s="78">
        <f>IFERROR(VLOOKUP(Table1215[[#This Row],[Column2]],Table12[[Column2]:[Column54]],14,FALSE),"0")</f>
        <v>3</v>
      </c>
      <c r="P136" s="78">
        <f>IFERROR(VLOOKUP(Table1215[[#This Row],[Column2]],Table12[[Column2]:[Column54]],10,FALSE),"0")</f>
        <v>0</v>
      </c>
      <c r="Q136" s="78">
        <f>IFERROR(VLOOKUP(Table1215[[#This Row],[Column2]],Table12[[Column2]:[Column54]],16,FALSE),"0")</f>
        <v>3</v>
      </c>
      <c r="R136" s="80">
        <f>AVERAGE(Table1215[[#This Row],[Column14]],Table1215[[#This Row],[Column15]],Table1215[[#This Row],[Column17]])</f>
        <v>3</v>
      </c>
      <c r="S136" s="78">
        <f>IFERROR(VLOOKUP(Table1215[[#This Row],[Column2]],Table12[[Column2]:[Column54]],18,FALSE),"0")</f>
        <v>0</v>
      </c>
      <c r="T136" s="78">
        <f>IFERROR(VLOOKUP(Table1215[[#This Row],[Column2]],Table12[[Column2]:[Column54]],19,FALSE),"0")</f>
        <v>0</v>
      </c>
      <c r="U136" s="78">
        <f>IFERROR(VLOOKUP(Table1215[[#This Row],[Column2]],Table12[[Column2]:[Column54]],20,FALSE),"0")</f>
        <v>0</v>
      </c>
      <c r="V136" s="78">
        <f>IFERROR(VLOOKUP(Table1215[[#This Row],[Column2]],Table12[[Column2]:[Column54]],21,FALSE),"0")</f>
        <v>0</v>
      </c>
      <c r="W136" s="78">
        <f>IFERROR(VLOOKUP(Table1215[[#This Row],[Column2]],Table12[[Column2]:[Column54]],22,FALSE),"0")</f>
        <v>0</v>
      </c>
      <c r="X136" s="80">
        <f>Table1215[[#This Row],[Column19]]</f>
        <v>0</v>
      </c>
      <c r="Y136" s="78">
        <f>IFERROR(VLOOKUP(Table1215[[#This Row],[Column2]],Table12[[Column2]:[Column54]],24,FALSE),"0")</f>
        <v>4</v>
      </c>
      <c r="Z136" s="78">
        <f>IFERROR(VLOOKUP(Table1215[[#This Row],[Column2]],Table12[[Column2]:[Column54]],25,FALSE),"0")</f>
        <v>0</v>
      </c>
      <c r="AA136" s="78">
        <f>IFERROR(VLOOKUP(Table1215[[#This Row],[Column2]],Table12[[Column2]:[Column54]],26,FALSE),"0")</f>
        <v>0</v>
      </c>
      <c r="AB136" s="78">
        <f>IFERROR(VLOOKUP(Table1215[[#This Row],[Column2]],Table12[[Column2]:[Column54]],27,FALSE),"0")</f>
        <v>0</v>
      </c>
      <c r="AC136" s="78">
        <f>IFERROR(VLOOKUP(Table1215[[#This Row],[Column2]],Table12[[Column2]:[Column54]],28,FALSE),"0")</f>
        <v>0</v>
      </c>
      <c r="AD136" s="80">
        <f>Table1215[[#This Row],[Column25]]</f>
        <v>4</v>
      </c>
      <c r="AE136" s="78">
        <f>IFERROR(VLOOKUP(Table1215[[#This Row],[Column2]],Table12[[Column2]:[Column54]],30,FALSE),"0")</f>
        <v>0</v>
      </c>
      <c r="AF136" s="78">
        <f>IFERROR(VLOOKUP(Table1215[[#This Row],[Column2]],Table12[[Column2]:[Column54]],31,FALSE),"0")</f>
        <v>0</v>
      </c>
      <c r="AG136" s="78">
        <f>IFERROR(VLOOKUP(Table1215[[#This Row],[Column2]],Table12[[Column2]:[Column54]],32,FALSE),"0")</f>
        <v>0</v>
      </c>
      <c r="AH136" s="78">
        <f>IFERROR(VLOOKUP(Table1215[[#This Row],[Column2]],Table12[[Column2]:[Column54]],33,FALSE),"0")</f>
        <v>0</v>
      </c>
      <c r="AI136" s="78">
        <f>IFERROR(VLOOKUP(Table1215[[#This Row],[Column2]],Table12[[Column2]:[Column54]],34,FALSE),"0")</f>
        <v>0</v>
      </c>
      <c r="AJ136" s="80">
        <f>AVERAGE(Table1215[[#This Row],[Column31]],Table1215[[#This Row],[Column32]],Table1215[[#This Row],[Column33]])</f>
        <v>0</v>
      </c>
      <c r="AK136" s="78">
        <f>IFERROR(VLOOKUP(Table1215[[#This Row],[Column2]],Table12[[Column2]:[Column54]],36,FALSE),"0")</f>
        <v>2</v>
      </c>
      <c r="AL136" s="78">
        <f>IFERROR(VLOOKUP(Table1215[[#This Row],[Column2]],Table12[[Column2]:[Column54]],37,FALSE),"0")</f>
        <v>1</v>
      </c>
      <c r="AM136" s="78">
        <f>IFERROR(VLOOKUP(Table1215[[#This Row],[Column2]],Table12[[Column2]:[Column54]],38,FALSE),"0")</f>
        <v>0</v>
      </c>
      <c r="AN136" s="78">
        <f>IFERROR(VLOOKUP(Table1215[[#This Row],[Column2]],Table12[[Column2]:[Column54]],39,FALSE),"0")</f>
        <v>3</v>
      </c>
      <c r="AO136" s="78">
        <f>IFERROR(VLOOKUP(Table1215[[#This Row],[Column2]],Table12[[Column2]:[Column54]],40,FALSE),"0")</f>
        <v>0</v>
      </c>
      <c r="AP136" s="80">
        <f>AVERAGE(Table1215[[#This Row],[Column37]],Table1215[[#This Row],[Column38]],Table1215[[#This Row],[Column40]])</f>
        <v>2</v>
      </c>
      <c r="AQ136" s="78">
        <f>IFERROR(VLOOKUP(Table1215[[#This Row],[Column2]],Table12[[Column2]:[Column54]],42,FALSE),"0")</f>
        <v>2</v>
      </c>
      <c r="AR136" s="78">
        <f>IFERROR(VLOOKUP(Table1215[[#This Row],[Column2]],Table12[[Column2]:[Column54]],43,FALSE),"0")</f>
        <v>0</v>
      </c>
      <c r="AS136" s="78">
        <f>IFERROR(VLOOKUP(Table1215[[#This Row],[Column2]],Table12[[Column2]:[Column54]],44,FALSE),"0")</f>
        <v>0</v>
      </c>
      <c r="AT136" s="78">
        <f>IFERROR(VLOOKUP(Table1215[[#This Row],[Column2]],Table12[[Column2]:[Column54]],45,FALSE),"0")</f>
        <v>0</v>
      </c>
      <c r="AU136" s="78">
        <f>IFERROR(VLOOKUP(Table1215[[#This Row],[Column2]],Table12[[Column2]:[Column54]],46,FALSE),"0")</f>
        <v>0</v>
      </c>
      <c r="AV136" s="80">
        <f>Table1215[[#This Row],[Column43]]</f>
        <v>2</v>
      </c>
      <c r="AW136" s="78">
        <f>IFERROR(VLOOKUP(Table1215[[#This Row],[Column2]],Table12[[Column2]:[Column54]],48,FALSE),"0")</f>
        <v>0</v>
      </c>
      <c r="AX136" s="78">
        <f>IFERROR(VLOOKUP(Table1215[[#This Row],[Column2]],Table12[[Column2]:[Column54]],49,FALSE),"0")</f>
        <v>0</v>
      </c>
      <c r="AY136" s="78">
        <f>IFERROR(VLOOKUP(Table1215[[#This Row],[Column2]],Table12[[Column2]:[Column54]],50,FALSE),"0")</f>
        <v>0</v>
      </c>
      <c r="AZ136" s="78">
        <f>IFERROR(VLOOKUP(Table1215[[#This Row],[Column2]],Table12[[Column2]:[Column54]],51,FALSE),"0")</f>
        <v>3</v>
      </c>
      <c r="BA136" s="78">
        <f>IFERROR(VLOOKUP(Table1215[[#This Row],[Column2]],Table12[[Column2]:[Column54]],52,FALSE),"0")</f>
        <v>3</v>
      </c>
      <c r="BB136" s="80">
        <f>AVERAGE(Table1215[[#This Row],[Column52]],Table1215[[#This Row],[Column53]])</f>
        <v>3</v>
      </c>
    </row>
    <row r="137" spans="1:54" ht="23.1" customHeight="1" x14ac:dyDescent="0.3">
      <c r="A137" s="100">
        <v>134</v>
      </c>
      <c r="B137" s="83" t="s">
        <v>253</v>
      </c>
      <c r="C137" s="84" t="s">
        <v>254</v>
      </c>
      <c r="D137" s="83" t="s">
        <v>450</v>
      </c>
      <c r="E137" s="83" t="s">
        <v>161</v>
      </c>
      <c r="F137" s="83" t="str">
        <f>REPT(CHAR(160),10)&amp;Working!$E138</f>
        <v>          B</v>
      </c>
      <c r="G137" s="74">
        <f>IFERROR(VLOOKUP(Table1215[[#This Row],[Column2]],Table12[[Column2]:[Column54]],6,FALSE),"0")</f>
        <v>0</v>
      </c>
      <c r="H137" s="74">
        <f>IFERROR(VLOOKUP(Table1215[[#This Row],[Column2]],Table12[[Column2]:[Column54]],7,FALSE),"0")</f>
        <v>0</v>
      </c>
      <c r="I137" s="74">
        <f>IFERROR(VLOOKUP(Table1215[[#This Row],[Column2]],Table12[[Column2]:[Column54]],8,FALSE),"0")</f>
        <v>2</v>
      </c>
      <c r="J137" s="74">
        <f>IFERROR(VLOOKUP(Table1215[[#This Row],[Column2]],Table12[[Column2]:[Column54]],9,FALSE),"0")</f>
        <v>0</v>
      </c>
      <c r="K137" s="74">
        <f>IFERROR(VLOOKUP(Table1215[[#This Row],[Column2]],Table12[[Column2]:[Column54]],10,FALSE),"0")</f>
        <v>0</v>
      </c>
      <c r="L137" s="80">
        <f>Table1215[[#This Row],[Column9]]</f>
        <v>2</v>
      </c>
      <c r="M137" s="74">
        <f>IFERROR(VLOOKUP(Table1215[[#This Row],[Column2]],Table12[[Column2]:[Column54]],12,FALSE),"0")</f>
        <v>0</v>
      </c>
      <c r="N137" s="74">
        <f>IFERROR(VLOOKUP(Table1215[[#This Row],[Column2]],Table12[[Column2]:[Column54]],13,FALSE),"0")</f>
        <v>2</v>
      </c>
      <c r="O137" s="74">
        <f>IFERROR(VLOOKUP(Table1215[[#This Row],[Column2]],Table12[[Column2]:[Column54]],14,FALSE),"0")</f>
        <v>2</v>
      </c>
      <c r="P137" s="74">
        <f>IFERROR(VLOOKUP(Table1215[[#This Row],[Column2]],Table12[[Column2]:[Column54]],10,FALSE),"0")</f>
        <v>0</v>
      </c>
      <c r="Q137" s="74">
        <f>IFERROR(VLOOKUP(Table1215[[#This Row],[Column2]],Table12[[Column2]:[Column54]],16,FALSE),"0")</f>
        <v>2</v>
      </c>
      <c r="R137" s="80">
        <f>AVERAGE(Table1215[[#This Row],[Column14]],Table1215[[#This Row],[Column15]],Table1215[[#This Row],[Column17]])</f>
        <v>2</v>
      </c>
      <c r="S137" s="74">
        <f>IFERROR(VLOOKUP(Table1215[[#This Row],[Column2]],Table12[[Column2]:[Column54]],18,FALSE),"0")</f>
        <v>0</v>
      </c>
      <c r="T137" s="74">
        <f>IFERROR(VLOOKUP(Table1215[[#This Row],[Column2]],Table12[[Column2]:[Column54]],19,FALSE),"0")</f>
        <v>0</v>
      </c>
      <c r="U137" s="74">
        <f>IFERROR(VLOOKUP(Table1215[[#This Row],[Column2]],Table12[[Column2]:[Column54]],20,FALSE),"0")</f>
        <v>0</v>
      </c>
      <c r="V137" s="74">
        <f>IFERROR(VLOOKUP(Table1215[[#This Row],[Column2]],Table12[[Column2]:[Column54]],21,FALSE),"0")</f>
        <v>0</v>
      </c>
      <c r="W137" s="74">
        <f>IFERROR(VLOOKUP(Table1215[[#This Row],[Column2]],Table12[[Column2]:[Column54]],22,FALSE),"0")</f>
        <v>0</v>
      </c>
      <c r="X137" s="80">
        <f>Table1215[[#This Row],[Column19]]</f>
        <v>0</v>
      </c>
      <c r="Y137" s="74">
        <f>IFERROR(VLOOKUP(Table1215[[#This Row],[Column2]],Table12[[Column2]:[Column54]],24,FALSE),"0")</f>
        <v>1</v>
      </c>
      <c r="Z137" s="74">
        <f>IFERROR(VLOOKUP(Table1215[[#This Row],[Column2]],Table12[[Column2]:[Column54]],25,FALSE),"0")</f>
        <v>0</v>
      </c>
      <c r="AA137" s="74">
        <f>IFERROR(VLOOKUP(Table1215[[#This Row],[Column2]],Table12[[Column2]:[Column54]],26,FALSE),"0")</f>
        <v>0</v>
      </c>
      <c r="AB137" s="74">
        <f>IFERROR(VLOOKUP(Table1215[[#This Row],[Column2]],Table12[[Column2]:[Column54]],27,FALSE),"0")</f>
        <v>0</v>
      </c>
      <c r="AC137" s="74">
        <f>IFERROR(VLOOKUP(Table1215[[#This Row],[Column2]],Table12[[Column2]:[Column54]],28,FALSE),"0")</f>
        <v>0</v>
      </c>
      <c r="AD137" s="80">
        <f>Table1215[[#This Row],[Column25]]</f>
        <v>1</v>
      </c>
      <c r="AE137" s="74">
        <f>IFERROR(VLOOKUP(Table1215[[#This Row],[Column2]],Table12[[Column2]:[Column54]],30,FALSE),"0")</f>
        <v>0</v>
      </c>
      <c r="AF137" s="74">
        <f>IFERROR(VLOOKUP(Table1215[[#This Row],[Column2]],Table12[[Column2]:[Column54]],31,FALSE),"0")</f>
        <v>0</v>
      </c>
      <c r="AG137" s="74">
        <f>IFERROR(VLOOKUP(Table1215[[#This Row],[Column2]],Table12[[Column2]:[Column54]],32,FALSE),"0")</f>
        <v>0</v>
      </c>
      <c r="AH137" s="74">
        <f>IFERROR(VLOOKUP(Table1215[[#This Row],[Column2]],Table12[[Column2]:[Column54]],33,FALSE),"0")</f>
        <v>0</v>
      </c>
      <c r="AI137" s="74">
        <f>IFERROR(VLOOKUP(Table1215[[#This Row],[Column2]],Table12[[Column2]:[Column54]],34,FALSE),"0")</f>
        <v>0</v>
      </c>
      <c r="AJ137" s="80">
        <f>AVERAGE(Table1215[[#This Row],[Column31]],Table1215[[#This Row],[Column32]],Table1215[[#This Row],[Column33]])</f>
        <v>0</v>
      </c>
      <c r="AK137" s="74">
        <f>IFERROR(VLOOKUP(Table1215[[#This Row],[Column2]],Table12[[Column2]:[Column54]],36,FALSE),"0")</f>
        <v>2</v>
      </c>
      <c r="AL137" s="74">
        <f>IFERROR(VLOOKUP(Table1215[[#This Row],[Column2]],Table12[[Column2]:[Column54]],37,FALSE),"0")</f>
        <v>2</v>
      </c>
      <c r="AM137" s="74">
        <f>IFERROR(VLOOKUP(Table1215[[#This Row],[Column2]],Table12[[Column2]:[Column54]],38,FALSE),"0")</f>
        <v>0</v>
      </c>
      <c r="AN137" s="74">
        <f>IFERROR(VLOOKUP(Table1215[[#This Row],[Column2]],Table12[[Column2]:[Column54]],39,FALSE),"0")</f>
        <v>2</v>
      </c>
      <c r="AO137" s="74">
        <f>IFERROR(VLOOKUP(Table1215[[#This Row],[Column2]],Table12[[Column2]:[Column54]],40,FALSE),"0")</f>
        <v>0</v>
      </c>
      <c r="AP137" s="80">
        <f>AVERAGE(Table1215[[#This Row],[Column37]],Table1215[[#This Row],[Column38]],Table1215[[#This Row],[Column40]])</f>
        <v>2</v>
      </c>
      <c r="AQ137" s="74">
        <f>IFERROR(VLOOKUP(Table1215[[#This Row],[Column2]],Table12[[Column2]:[Column54]],42,FALSE),"0")</f>
        <v>1</v>
      </c>
      <c r="AR137" s="74">
        <f>IFERROR(VLOOKUP(Table1215[[#This Row],[Column2]],Table12[[Column2]:[Column54]],43,FALSE),"0")</f>
        <v>0</v>
      </c>
      <c r="AS137" s="74">
        <f>IFERROR(VLOOKUP(Table1215[[#This Row],[Column2]],Table12[[Column2]:[Column54]],44,FALSE),"0")</f>
        <v>0</v>
      </c>
      <c r="AT137" s="74">
        <f>IFERROR(VLOOKUP(Table1215[[#This Row],[Column2]],Table12[[Column2]:[Column54]],45,FALSE),"0")</f>
        <v>0</v>
      </c>
      <c r="AU137" s="74">
        <f>IFERROR(VLOOKUP(Table1215[[#This Row],[Column2]],Table12[[Column2]:[Column54]],46,FALSE),"0")</f>
        <v>0</v>
      </c>
      <c r="AV137" s="80">
        <f>Table1215[[#This Row],[Column43]]</f>
        <v>1</v>
      </c>
      <c r="AW137" s="74">
        <f>IFERROR(VLOOKUP(Table1215[[#This Row],[Column2]],Table12[[Column2]:[Column54]],48,FALSE),"0")</f>
        <v>0</v>
      </c>
      <c r="AX137" s="74">
        <f>IFERROR(VLOOKUP(Table1215[[#This Row],[Column2]],Table12[[Column2]:[Column54]],49,FALSE),"0")</f>
        <v>0</v>
      </c>
      <c r="AY137" s="74">
        <f>IFERROR(VLOOKUP(Table1215[[#This Row],[Column2]],Table12[[Column2]:[Column54]],50,FALSE),"0")</f>
        <v>0</v>
      </c>
      <c r="AZ137" s="74">
        <f>IFERROR(VLOOKUP(Table1215[[#This Row],[Column2]],Table12[[Column2]:[Column54]],51,FALSE),"0")</f>
        <v>2</v>
      </c>
      <c r="BA137" s="74">
        <f>IFERROR(VLOOKUP(Table1215[[#This Row],[Column2]],Table12[[Column2]:[Column54]],52,FALSE),"0")</f>
        <v>2</v>
      </c>
      <c r="BB137" s="80">
        <f>AVERAGE(Table1215[[#This Row],[Column52]],Table1215[[#This Row],[Column53]])</f>
        <v>2</v>
      </c>
    </row>
    <row r="138" spans="1:54" ht="23.1" customHeight="1" x14ac:dyDescent="0.3">
      <c r="A138" s="99">
        <v>135</v>
      </c>
      <c r="B138" s="76" t="s">
        <v>370</v>
      </c>
      <c r="C138" s="77" t="s">
        <v>371</v>
      </c>
      <c r="D138" s="76" t="s">
        <v>450</v>
      </c>
      <c r="E138" s="76" t="s">
        <v>493</v>
      </c>
      <c r="F138" s="76" t="str">
        <f>REPT(CHAR(160),10)&amp;Working!$E139</f>
        <v>          C</v>
      </c>
      <c r="G138" s="78">
        <f>IFERROR(VLOOKUP(Table1215[[#This Row],[Column2]],Table12[[Column2]:[Column54]],6,FALSE),"0")</f>
        <v>0</v>
      </c>
      <c r="H138" s="78">
        <f>IFERROR(VLOOKUP(Table1215[[#This Row],[Column2]],Table12[[Column2]:[Column54]],7,FALSE),"0")</f>
        <v>0</v>
      </c>
      <c r="I138" s="78">
        <f>IFERROR(VLOOKUP(Table1215[[#This Row],[Column2]],Table12[[Column2]:[Column54]],8,FALSE),"0")</f>
        <v>3</v>
      </c>
      <c r="J138" s="78">
        <f>IFERROR(VLOOKUP(Table1215[[#This Row],[Column2]],Table12[[Column2]:[Column54]],9,FALSE),"0")</f>
        <v>0</v>
      </c>
      <c r="K138" s="78">
        <f>IFERROR(VLOOKUP(Table1215[[#This Row],[Column2]],Table12[[Column2]:[Column54]],10,FALSE),"0")</f>
        <v>0</v>
      </c>
      <c r="L138" s="80">
        <f>Table1215[[#This Row],[Column9]]</f>
        <v>3</v>
      </c>
      <c r="M138" s="78">
        <f>IFERROR(VLOOKUP(Table1215[[#This Row],[Column2]],Table12[[Column2]:[Column54]],12,FALSE),"0")</f>
        <v>0</v>
      </c>
      <c r="N138" s="78">
        <f>IFERROR(VLOOKUP(Table1215[[#This Row],[Column2]],Table12[[Column2]:[Column54]],13,FALSE),"0")</f>
        <v>4</v>
      </c>
      <c r="O138" s="78">
        <f>IFERROR(VLOOKUP(Table1215[[#This Row],[Column2]],Table12[[Column2]:[Column54]],14,FALSE),"0")</f>
        <v>4</v>
      </c>
      <c r="P138" s="78">
        <f>IFERROR(VLOOKUP(Table1215[[#This Row],[Column2]],Table12[[Column2]:[Column54]],10,FALSE),"0")</f>
        <v>0</v>
      </c>
      <c r="Q138" s="78">
        <f>IFERROR(VLOOKUP(Table1215[[#This Row],[Column2]],Table12[[Column2]:[Column54]],16,FALSE),"0")</f>
        <v>4</v>
      </c>
      <c r="R138" s="80">
        <f>AVERAGE(Table1215[[#This Row],[Column14]],Table1215[[#This Row],[Column15]],Table1215[[#This Row],[Column17]])</f>
        <v>4</v>
      </c>
      <c r="S138" s="78">
        <f>IFERROR(VLOOKUP(Table1215[[#This Row],[Column2]],Table12[[Column2]:[Column54]],18,FALSE),"0")</f>
        <v>0</v>
      </c>
      <c r="T138" s="78">
        <f>IFERROR(VLOOKUP(Table1215[[#This Row],[Column2]],Table12[[Column2]:[Column54]],19,FALSE),"0")</f>
        <v>0</v>
      </c>
      <c r="U138" s="78">
        <f>IFERROR(VLOOKUP(Table1215[[#This Row],[Column2]],Table12[[Column2]:[Column54]],20,FALSE),"0")</f>
        <v>0</v>
      </c>
      <c r="V138" s="78">
        <f>IFERROR(VLOOKUP(Table1215[[#This Row],[Column2]],Table12[[Column2]:[Column54]],21,FALSE),"0")</f>
        <v>0</v>
      </c>
      <c r="W138" s="78">
        <f>IFERROR(VLOOKUP(Table1215[[#This Row],[Column2]],Table12[[Column2]:[Column54]],22,FALSE),"0")</f>
        <v>0</v>
      </c>
      <c r="X138" s="80">
        <f>Table1215[[#This Row],[Column19]]</f>
        <v>0</v>
      </c>
      <c r="Y138" s="78">
        <f>IFERROR(VLOOKUP(Table1215[[#This Row],[Column2]],Table12[[Column2]:[Column54]],24,FALSE),"0")</f>
        <v>4</v>
      </c>
      <c r="Z138" s="78">
        <f>IFERROR(VLOOKUP(Table1215[[#This Row],[Column2]],Table12[[Column2]:[Column54]],25,FALSE),"0")</f>
        <v>0</v>
      </c>
      <c r="AA138" s="78">
        <f>IFERROR(VLOOKUP(Table1215[[#This Row],[Column2]],Table12[[Column2]:[Column54]],26,FALSE),"0")</f>
        <v>0</v>
      </c>
      <c r="AB138" s="78">
        <f>IFERROR(VLOOKUP(Table1215[[#This Row],[Column2]],Table12[[Column2]:[Column54]],27,FALSE),"0")</f>
        <v>0</v>
      </c>
      <c r="AC138" s="78">
        <f>IFERROR(VLOOKUP(Table1215[[#This Row],[Column2]],Table12[[Column2]:[Column54]],28,FALSE),"0")</f>
        <v>0</v>
      </c>
      <c r="AD138" s="80">
        <f>Table1215[[#This Row],[Column25]]</f>
        <v>4</v>
      </c>
      <c r="AE138" s="78">
        <f>IFERROR(VLOOKUP(Table1215[[#This Row],[Column2]],Table12[[Column2]:[Column54]],30,FALSE),"0")</f>
        <v>0</v>
      </c>
      <c r="AF138" s="78">
        <f>IFERROR(VLOOKUP(Table1215[[#This Row],[Column2]],Table12[[Column2]:[Column54]],31,FALSE),"0")</f>
        <v>0</v>
      </c>
      <c r="AG138" s="78">
        <f>IFERROR(VLOOKUP(Table1215[[#This Row],[Column2]],Table12[[Column2]:[Column54]],32,FALSE),"0")</f>
        <v>0</v>
      </c>
      <c r="AH138" s="78">
        <f>IFERROR(VLOOKUP(Table1215[[#This Row],[Column2]],Table12[[Column2]:[Column54]],33,FALSE),"0")</f>
        <v>0</v>
      </c>
      <c r="AI138" s="78">
        <f>IFERROR(VLOOKUP(Table1215[[#This Row],[Column2]],Table12[[Column2]:[Column54]],34,FALSE),"0")</f>
        <v>0</v>
      </c>
      <c r="AJ138" s="80">
        <f>AVERAGE(Table1215[[#This Row],[Column31]],Table1215[[#This Row],[Column32]],Table1215[[#This Row],[Column33]])</f>
        <v>0</v>
      </c>
      <c r="AK138" s="78">
        <f>IFERROR(VLOOKUP(Table1215[[#This Row],[Column2]],Table12[[Column2]:[Column54]],36,FALSE),"0")</f>
        <v>4</v>
      </c>
      <c r="AL138" s="78">
        <f>IFERROR(VLOOKUP(Table1215[[#This Row],[Column2]],Table12[[Column2]:[Column54]],37,FALSE),"0")</f>
        <v>2</v>
      </c>
      <c r="AM138" s="78">
        <f>IFERROR(VLOOKUP(Table1215[[#This Row],[Column2]],Table12[[Column2]:[Column54]],38,FALSE),"0")</f>
        <v>0</v>
      </c>
      <c r="AN138" s="78">
        <f>IFERROR(VLOOKUP(Table1215[[#This Row],[Column2]],Table12[[Column2]:[Column54]],39,FALSE),"0")</f>
        <v>2</v>
      </c>
      <c r="AO138" s="78">
        <f>IFERROR(VLOOKUP(Table1215[[#This Row],[Column2]],Table12[[Column2]:[Column54]],40,FALSE),"0")</f>
        <v>0</v>
      </c>
      <c r="AP138" s="80">
        <f>AVERAGE(Table1215[[#This Row],[Column37]],Table1215[[#This Row],[Column38]],Table1215[[#This Row],[Column40]])</f>
        <v>2.6666666666666665</v>
      </c>
      <c r="AQ138" s="78">
        <f>IFERROR(VLOOKUP(Table1215[[#This Row],[Column2]],Table12[[Column2]:[Column54]],42,FALSE),"0")</f>
        <v>1</v>
      </c>
      <c r="AR138" s="78">
        <f>IFERROR(VLOOKUP(Table1215[[#This Row],[Column2]],Table12[[Column2]:[Column54]],43,FALSE),"0")</f>
        <v>0</v>
      </c>
      <c r="AS138" s="78">
        <f>IFERROR(VLOOKUP(Table1215[[#This Row],[Column2]],Table12[[Column2]:[Column54]],44,FALSE),"0")</f>
        <v>0</v>
      </c>
      <c r="AT138" s="78">
        <f>IFERROR(VLOOKUP(Table1215[[#This Row],[Column2]],Table12[[Column2]:[Column54]],45,FALSE),"0")</f>
        <v>0</v>
      </c>
      <c r="AU138" s="78">
        <f>IFERROR(VLOOKUP(Table1215[[#This Row],[Column2]],Table12[[Column2]:[Column54]],46,FALSE),"0")</f>
        <v>0</v>
      </c>
      <c r="AV138" s="80">
        <f>Table1215[[#This Row],[Column43]]</f>
        <v>1</v>
      </c>
      <c r="AW138" s="78">
        <f>IFERROR(VLOOKUP(Table1215[[#This Row],[Column2]],Table12[[Column2]:[Column54]],48,FALSE),"0")</f>
        <v>0</v>
      </c>
      <c r="AX138" s="78">
        <f>IFERROR(VLOOKUP(Table1215[[#This Row],[Column2]],Table12[[Column2]:[Column54]],49,FALSE),"0")</f>
        <v>0</v>
      </c>
      <c r="AY138" s="78">
        <f>IFERROR(VLOOKUP(Table1215[[#This Row],[Column2]],Table12[[Column2]:[Column54]],50,FALSE),"0")</f>
        <v>0</v>
      </c>
      <c r="AZ138" s="78">
        <f>IFERROR(VLOOKUP(Table1215[[#This Row],[Column2]],Table12[[Column2]:[Column54]],51,FALSE),"0")</f>
        <v>3</v>
      </c>
      <c r="BA138" s="78">
        <f>IFERROR(VLOOKUP(Table1215[[#This Row],[Column2]],Table12[[Column2]:[Column54]],52,FALSE),"0")</f>
        <v>4</v>
      </c>
      <c r="BB138" s="80">
        <f>AVERAGE(Table1215[[#This Row],[Column52]],Table1215[[#This Row],[Column53]])</f>
        <v>3.5</v>
      </c>
    </row>
    <row r="139" spans="1:54" ht="23.1" customHeight="1" x14ac:dyDescent="0.3">
      <c r="A139" s="100">
        <v>136</v>
      </c>
      <c r="B139" s="83" t="s">
        <v>372</v>
      </c>
      <c r="C139" s="84" t="s">
        <v>373</v>
      </c>
      <c r="D139" s="83" t="s">
        <v>542</v>
      </c>
      <c r="E139" s="83" t="s">
        <v>493</v>
      </c>
      <c r="F139" s="83" t="str">
        <f>REPT(CHAR(160),10)&amp;Working!$E140</f>
        <v>          C</v>
      </c>
      <c r="G139" s="74">
        <f>IFERROR(VLOOKUP(Table1215[[#This Row],[Column2]],Table12[[Column2]:[Column54]],6,FALSE),"0")</f>
        <v>0</v>
      </c>
      <c r="H139" s="74">
        <f>IFERROR(VLOOKUP(Table1215[[#This Row],[Column2]],Table12[[Column2]:[Column54]],7,FALSE),"0")</f>
        <v>0</v>
      </c>
      <c r="I139" s="74">
        <f>IFERROR(VLOOKUP(Table1215[[#This Row],[Column2]],Table12[[Column2]:[Column54]],8,FALSE),"0")</f>
        <v>3</v>
      </c>
      <c r="J139" s="74">
        <f>IFERROR(VLOOKUP(Table1215[[#This Row],[Column2]],Table12[[Column2]:[Column54]],9,FALSE),"0")</f>
        <v>0</v>
      </c>
      <c r="K139" s="74">
        <f>IFERROR(VLOOKUP(Table1215[[#This Row],[Column2]],Table12[[Column2]:[Column54]],10,FALSE),"0")</f>
        <v>0</v>
      </c>
      <c r="L139" s="80">
        <f>Table1215[[#This Row],[Column9]]</f>
        <v>3</v>
      </c>
      <c r="M139" s="74">
        <f>IFERROR(VLOOKUP(Table1215[[#This Row],[Column2]],Table12[[Column2]:[Column54]],12,FALSE),"0")</f>
        <v>0</v>
      </c>
      <c r="N139" s="74">
        <f>IFERROR(VLOOKUP(Table1215[[#This Row],[Column2]],Table12[[Column2]:[Column54]],13,FALSE),"0")</f>
        <v>5</v>
      </c>
      <c r="O139" s="74">
        <f>IFERROR(VLOOKUP(Table1215[[#This Row],[Column2]],Table12[[Column2]:[Column54]],14,FALSE),"0")</f>
        <v>5</v>
      </c>
      <c r="P139" s="74">
        <f>IFERROR(VLOOKUP(Table1215[[#This Row],[Column2]],Table12[[Column2]:[Column54]],10,FALSE),"0")</f>
        <v>0</v>
      </c>
      <c r="Q139" s="74">
        <f>IFERROR(VLOOKUP(Table1215[[#This Row],[Column2]],Table12[[Column2]:[Column54]],16,FALSE),"0")</f>
        <v>5</v>
      </c>
      <c r="R139" s="80">
        <f>AVERAGE(Table1215[[#This Row],[Column14]],Table1215[[#This Row],[Column15]],Table1215[[#This Row],[Column17]])</f>
        <v>5</v>
      </c>
      <c r="S139" s="74">
        <f>IFERROR(VLOOKUP(Table1215[[#This Row],[Column2]],Table12[[Column2]:[Column54]],18,FALSE),"0")</f>
        <v>0</v>
      </c>
      <c r="T139" s="74">
        <f>IFERROR(VLOOKUP(Table1215[[#This Row],[Column2]],Table12[[Column2]:[Column54]],19,FALSE),"0")</f>
        <v>0</v>
      </c>
      <c r="U139" s="74">
        <f>IFERROR(VLOOKUP(Table1215[[#This Row],[Column2]],Table12[[Column2]:[Column54]],20,FALSE),"0")</f>
        <v>0</v>
      </c>
      <c r="V139" s="74">
        <f>IFERROR(VLOOKUP(Table1215[[#This Row],[Column2]],Table12[[Column2]:[Column54]],21,FALSE),"0")</f>
        <v>0</v>
      </c>
      <c r="W139" s="74">
        <f>IFERROR(VLOOKUP(Table1215[[#This Row],[Column2]],Table12[[Column2]:[Column54]],22,FALSE),"0")</f>
        <v>0</v>
      </c>
      <c r="X139" s="80">
        <f>Table1215[[#This Row],[Column19]]</f>
        <v>0</v>
      </c>
      <c r="Y139" s="74">
        <f>IFERROR(VLOOKUP(Table1215[[#This Row],[Column2]],Table12[[Column2]:[Column54]],24,FALSE),"0")</f>
        <v>5</v>
      </c>
      <c r="Z139" s="74">
        <f>IFERROR(VLOOKUP(Table1215[[#This Row],[Column2]],Table12[[Column2]:[Column54]],25,FALSE),"0")</f>
        <v>0</v>
      </c>
      <c r="AA139" s="74">
        <f>IFERROR(VLOOKUP(Table1215[[#This Row],[Column2]],Table12[[Column2]:[Column54]],26,FALSE),"0")</f>
        <v>0</v>
      </c>
      <c r="AB139" s="74">
        <f>IFERROR(VLOOKUP(Table1215[[#This Row],[Column2]],Table12[[Column2]:[Column54]],27,FALSE),"0")</f>
        <v>0</v>
      </c>
      <c r="AC139" s="74">
        <f>IFERROR(VLOOKUP(Table1215[[#This Row],[Column2]],Table12[[Column2]:[Column54]],28,FALSE),"0")</f>
        <v>0</v>
      </c>
      <c r="AD139" s="80">
        <f>Table1215[[#This Row],[Column25]]</f>
        <v>5</v>
      </c>
      <c r="AE139" s="74">
        <f>IFERROR(VLOOKUP(Table1215[[#This Row],[Column2]],Table12[[Column2]:[Column54]],30,FALSE),"0")</f>
        <v>0</v>
      </c>
      <c r="AF139" s="74">
        <f>IFERROR(VLOOKUP(Table1215[[#This Row],[Column2]],Table12[[Column2]:[Column54]],31,FALSE),"0")</f>
        <v>0</v>
      </c>
      <c r="AG139" s="74">
        <f>IFERROR(VLOOKUP(Table1215[[#This Row],[Column2]],Table12[[Column2]:[Column54]],32,FALSE),"0")</f>
        <v>0</v>
      </c>
      <c r="AH139" s="74">
        <f>IFERROR(VLOOKUP(Table1215[[#This Row],[Column2]],Table12[[Column2]:[Column54]],33,FALSE),"0")</f>
        <v>0</v>
      </c>
      <c r="AI139" s="74">
        <f>IFERROR(VLOOKUP(Table1215[[#This Row],[Column2]],Table12[[Column2]:[Column54]],34,FALSE),"0")</f>
        <v>0</v>
      </c>
      <c r="AJ139" s="80">
        <f>AVERAGE(Table1215[[#This Row],[Column31]],Table1215[[#This Row],[Column32]],Table1215[[#This Row],[Column33]])</f>
        <v>0</v>
      </c>
      <c r="AK139" s="74">
        <f>IFERROR(VLOOKUP(Table1215[[#This Row],[Column2]],Table12[[Column2]:[Column54]],36,FALSE),"0")</f>
        <v>3</v>
      </c>
      <c r="AL139" s="74">
        <f>IFERROR(VLOOKUP(Table1215[[#This Row],[Column2]],Table12[[Column2]:[Column54]],37,FALSE),"0")</f>
        <v>3</v>
      </c>
      <c r="AM139" s="74">
        <f>IFERROR(VLOOKUP(Table1215[[#This Row],[Column2]],Table12[[Column2]:[Column54]],38,FALSE),"0")</f>
        <v>0</v>
      </c>
      <c r="AN139" s="74">
        <f>IFERROR(VLOOKUP(Table1215[[#This Row],[Column2]],Table12[[Column2]:[Column54]],39,FALSE),"0")</f>
        <v>3</v>
      </c>
      <c r="AO139" s="74">
        <f>IFERROR(VLOOKUP(Table1215[[#This Row],[Column2]],Table12[[Column2]:[Column54]],40,FALSE),"0")</f>
        <v>0</v>
      </c>
      <c r="AP139" s="80">
        <f>AVERAGE(Table1215[[#This Row],[Column37]],Table1215[[#This Row],[Column38]],Table1215[[#This Row],[Column40]])</f>
        <v>3</v>
      </c>
      <c r="AQ139" s="74">
        <f>IFERROR(VLOOKUP(Table1215[[#This Row],[Column2]],Table12[[Column2]:[Column54]],42,FALSE),"0")</f>
        <v>3</v>
      </c>
      <c r="AR139" s="74">
        <f>IFERROR(VLOOKUP(Table1215[[#This Row],[Column2]],Table12[[Column2]:[Column54]],43,FALSE),"0")</f>
        <v>0</v>
      </c>
      <c r="AS139" s="74">
        <f>IFERROR(VLOOKUP(Table1215[[#This Row],[Column2]],Table12[[Column2]:[Column54]],44,FALSE),"0")</f>
        <v>0</v>
      </c>
      <c r="AT139" s="74">
        <f>IFERROR(VLOOKUP(Table1215[[#This Row],[Column2]],Table12[[Column2]:[Column54]],45,FALSE),"0")</f>
        <v>0</v>
      </c>
      <c r="AU139" s="74">
        <f>IFERROR(VLOOKUP(Table1215[[#This Row],[Column2]],Table12[[Column2]:[Column54]],46,FALSE),"0")</f>
        <v>0</v>
      </c>
      <c r="AV139" s="80">
        <f>Table1215[[#This Row],[Column43]]</f>
        <v>3</v>
      </c>
      <c r="AW139" s="74">
        <f>IFERROR(VLOOKUP(Table1215[[#This Row],[Column2]],Table12[[Column2]:[Column54]],48,FALSE),"0")</f>
        <v>0</v>
      </c>
      <c r="AX139" s="74">
        <f>IFERROR(VLOOKUP(Table1215[[#This Row],[Column2]],Table12[[Column2]:[Column54]],49,FALSE),"0")</f>
        <v>0</v>
      </c>
      <c r="AY139" s="74">
        <f>IFERROR(VLOOKUP(Table1215[[#This Row],[Column2]],Table12[[Column2]:[Column54]],50,FALSE),"0")</f>
        <v>0</v>
      </c>
      <c r="AZ139" s="74">
        <f>IFERROR(VLOOKUP(Table1215[[#This Row],[Column2]],Table12[[Column2]:[Column54]],51,FALSE),"0")</f>
        <v>3</v>
      </c>
      <c r="BA139" s="74">
        <f>IFERROR(VLOOKUP(Table1215[[#This Row],[Column2]],Table12[[Column2]:[Column54]],52,FALSE),"0")</f>
        <v>3</v>
      </c>
      <c r="BB139" s="80">
        <f>AVERAGE(Table1215[[#This Row],[Column52]],Table1215[[#This Row],[Column53]])</f>
        <v>3</v>
      </c>
    </row>
    <row r="140" spans="1:54" ht="23.1" customHeight="1" x14ac:dyDescent="0.3">
      <c r="A140" s="99">
        <v>137</v>
      </c>
      <c r="B140" s="76" t="s">
        <v>267</v>
      </c>
      <c r="C140" s="77" t="s">
        <v>268</v>
      </c>
      <c r="D140" s="76" t="s">
        <v>542</v>
      </c>
      <c r="E140" s="76" t="s">
        <v>161</v>
      </c>
      <c r="F140" s="76" t="str">
        <f>REPT(CHAR(160),10)&amp;Working!$E141</f>
        <v>          B</v>
      </c>
      <c r="G140" s="78">
        <f>IFERROR(VLOOKUP(Table1215[[#This Row],[Column2]],Table12[[Column2]:[Column54]],6,FALSE),"0")</f>
        <v>0</v>
      </c>
      <c r="H140" s="78">
        <f>IFERROR(VLOOKUP(Table1215[[#This Row],[Column2]],Table12[[Column2]:[Column54]],7,FALSE),"0")</f>
        <v>0</v>
      </c>
      <c r="I140" s="78">
        <f>IFERROR(VLOOKUP(Table1215[[#This Row],[Column2]],Table12[[Column2]:[Column54]],8,FALSE),"0")</f>
        <v>2</v>
      </c>
      <c r="J140" s="78">
        <f>IFERROR(VLOOKUP(Table1215[[#This Row],[Column2]],Table12[[Column2]:[Column54]],9,FALSE),"0")</f>
        <v>0</v>
      </c>
      <c r="K140" s="78">
        <f>IFERROR(VLOOKUP(Table1215[[#This Row],[Column2]],Table12[[Column2]:[Column54]],10,FALSE),"0")</f>
        <v>0</v>
      </c>
      <c r="L140" s="80">
        <f>Table1215[[#This Row],[Column9]]</f>
        <v>2</v>
      </c>
      <c r="M140" s="78">
        <f>IFERROR(VLOOKUP(Table1215[[#This Row],[Column2]],Table12[[Column2]:[Column54]],12,FALSE),"0")</f>
        <v>0</v>
      </c>
      <c r="N140" s="78">
        <f>IFERROR(VLOOKUP(Table1215[[#This Row],[Column2]],Table12[[Column2]:[Column54]],13,FALSE),"0")</f>
        <v>4</v>
      </c>
      <c r="O140" s="78">
        <f>IFERROR(VLOOKUP(Table1215[[#This Row],[Column2]],Table12[[Column2]:[Column54]],14,FALSE),"0")</f>
        <v>4</v>
      </c>
      <c r="P140" s="78">
        <f>IFERROR(VLOOKUP(Table1215[[#This Row],[Column2]],Table12[[Column2]:[Column54]],10,FALSE),"0")</f>
        <v>0</v>
      </c>
      <c r="Q140" s="78">
        <f>IFERROR(VLOOKUP(Table1215[[#This Row],[Column2]],Table12[[Column2]:[Column54]],16,FALSE),"0")</f>
        <v>4</v>
      </c>
      <c r="R140" s="80">
        <f>AVERAGE(Table1215[[#This Row],[Column14]],Table1215[[#This Row],[Column15]],Table1215[[#This Row],[Column17]])</f>
        <v>4</v>
      </c>
      <c r="S140" s="78">
        <f>IFERROR(VLOOKUP(Table1215[[#This Row],[Column2]],Table12[[Column2]:[Column54]],18,FALSE),"0")</f>
        <v>0</v>
      </c>
      <c r="T140" s="78">
        <f>IFERROR(VLOOKUP(Table1215[[#This Row],[Column2]],Table12[[Column2]:[Column54]],19,FALSE),"0")</f>
        <v>0</v>
      </c>
      <c r="U140" s="78">
        <f>IFERROR(VLOOKUP(Table1215[[#This Row],[Column2]],Table12[[Column2]:[Column54]],20,FALSE),"0")</f>
        <v>0</v>
      </c>
      <c r="V140" s="78">
        <f>IFERROR(VLOOKUP(Table1215[[#This Row],[Column2]],Table12[[Column2]:[Column54]],21,FALSE),"0")</f>
        <v>0</v>
      </c>
      <c r="W140" s="78">
        <f>IFERROR(VLOOKUP(Table1215[[#This Row],[Column2]],Table12[[Column2]:[Column54]],22,FALSE),"0")</f>
        <v>0</v>
      </c>
      <c r="X140" s="80">
        <f>Table1215[[#This Row],[Column19]]</f>
        <v>0</v>
      </c>
      <c r="Y140" s="78">
        <f>IFERROR(VLOOKUP(Table1215[[#This Row],[Column2]],Table12[[Column2]:[Column54]],24,FALSE),"0")</f>
        <v>4</v>
      </c>
      <c r="Z140" s="78">
        <f>IFERROR(VLOOKUP(Table1215[[#This Row],[Column2]],Table12[[Column2]:[Column54]],25,FALSE),"0")</f>
        <v>0</v>
      </c>
      <c r="AA140" s="78">
        <f>IFERROR(VLOOKUP(Table1215[[#This Row],[Column2]],Table12[[Column2]:[Column54]],26,FALSE),"0")</f>
        <v>0</v>
      </c>
      <c r="AB140" s="78">
        <f>IFERROR(VLOOKUP(Table1215[[#This Row],[Column2]],Table12[[Column2]:[Column54]],27,FALSE),"0")</f>
        <v>0</v>
      </c>
      <c r="AC140" s="78">
        <f>IFERROR(VLOOKUP(Table1215[[#This Row],[Column2]],Table12[[Column2]:[Column54]],28,FALSE),"0")</f>
        <v>0</v>
      </c>
      <c r="AD140" s="80">
        <f>Table1215[[#This Row],[Column25]]</f>
        <v>4</v>
      </c>
      <c r="AE140" s="78">
        <f>IFERROR(VLOOKUP(Table1215[[#This Row],[Column2]],Table12[[Column2]:[Column54]],30,FALSE),"0")</f>
        <v>0</v>
      </c>
      <c r="AF140" s="78">
        <f>IFERROR(VLOOKUP(Table1215[[#This Row],[Column2]],Table12[[Column2]:[Column54]],31,FALSE),"0")</f>
        <v>0</v>
      </c>
      <c r="AG140" s="78">
        <f>IFERROR(VLOOKUP(Table1215[[#This Row],[Column2]],Table12[[Column2]:[Column54]],32,FALSE),"0")</f>
        <v>0</v>
      </c>
      <c r="AH140" s="78">
        <f>IFERROR(VLOOKUP(Table1215[[#This Row],[Column2]],Table12[[Column2]:[Column54]],33,FALSE),"0")</f>
        <v>0</v>
      </c>
      <c r="AI140" s="78">
        <f>IFERROR(VLOOKUP(Table1215[[#This Row],[Column2]],Table12[[Column2]:[Column54]],34,FALSE),"0")</f>
        <v>0</v>
      </c>
      <c r="AJ140" s="80">
        <f>AVERAGE(Table1215[[#This Row],[Column31]],Table1215[[#This Row],[Column32]],Table1215[[#This Row],[Column33]])</f>
        <v>0</v>
      </c>
      <c r="AK140" s="78">
        <f>IFERROR(VLOOKUP(Table1215[[#This Row],[Column2]],Table12[[Column2]:[Column54]],36,FALSE),"0")</f>
        <v>3</v>
      </c>
      <c r="AL140" s="78">
        <f>IFERROR(VLOOKUP(Table1215[[#This Row],[Column2]],Table12[[Column2]:[Column54]],37,FALSE),"0")</f>
        <v>2</v>
      </c>
      <c r="AM140" s="78">
        <f>IFERROR(VLOOKUP(Table1215[[#This Row],[Column2]],Table12[[Column2]:[Column54]],38,FALSE),"0")</f>
        <v>0</v>
      </c>
      <c r="AN140" s="78">
        <f>IFERROR(VLOOKUP(Table1215[[#This Row],[Column2]],Table12[[Column2]:[Column54]],39,FALSE),"0")</f>
        <v>3</v>
      </c>
      <c r="AO140" s="78">
        <f>IFERROR(VLOOKUP(Table1215[[#This Row],[Column2]],Table12[[Column2]:[Column54]],40,FALSE),"0")</f>
        <v>0</v>
      </c>
      <c r="AP140" s="80">
        <f>AVERAGE(Table1215[[#This Row],[Column37]],Table1215[[#This Row],[Column38]],Table1215[[#This Row],[Column40]])</f>
        <v>2.6666666666666665</v>
      </c>
      <c r="AQ140" s="78">
        <f>IFERROR(VLOOKUP(Table1215[[#This Row],[Column2]],Table12[[Column2]:[Column54]],42,FALSE),"0")</f>
        <v>2</v>
      </c>
      <c r="AR140" s="78">
        <f>IFERROR(VLOOKUP(Table1215[[#This Row],[Column2]],Table12[[Column2]:[Column54]],43,FALSE),"0")</f>
        <v>0</v>
      </c>
      <c r="AS140" s="78">
        <f>IFERROR(VLOOKUP(Table1215[[#This Row],[Column2]],Table12[[Column2]:[Column54]],44,FALSE),"0")</f>
        <v>0</v>
      </c>
      <c r="AT140" s="78">
        <f>IFERROR(VLOOKUP(Table1215[[#This Row],[Column2]],Table12[[Column2]:[Column54]],45,FALSE),"0")</f>
        <v>0</v>
      </c>
      <c r="AU140" s="78">
        <f>IFERROR(VLOOKUP(Table1215[[#This Row],[Column2]],Table12[[Column2]:[Column54]],46,FALSE),"0")</f>
        <v>0</v>
      </c>
      <c r="AV140" s="80">
        <f>Table1215[[#This Row],[Column43]]</f>
        <v>2</v>
      </c>
      <c r="AW140" s="78">
        <f>IFERROR(VLOOKUP(Table1215[[#This Row],[Column2]],Table12[[Column2]:[Column54]],48,FALSE),"0")</f>
        <v>0</v>
      </c>
      <c r="AX140" s="78">
        <f>IFERROR(VLOOKUP(Table1215[[#This Row],[Column2]],Table12[[Column2]:[Column54]],49,FALSE),"0")</f>
        <v>0</v>
      </c>
      <c r="AY140" s="78">
        <f>IFERROR(VLOOKUP(Table1215[[#This Row],[Column2]],Table12[[Column2]:[Column54]],50,FALSE),"0")</f>
        <v>0</v>
      </c>
      <c r="AZ140" s="78">
        <f>IFERROR(VLOOKUP(Table1215[[#This Row],[Column2]],Table12[[Column2]:[Column54]],51,FALSE),"0")</f>
        <v>3</v>
      </c>
      <c r="BA140" s="78">
        <f>IFERROR(VLOOKUP(Table1215[[#This Row],[Column2]],Table12[[Column2]:[Column54]],52,FALSE),"0")</f>
        <v>3</v>
      </c>
      <c r="BB140" s="80">
        <f>AVERAGE(Table1215[[#This Row],[Column52]],Table1215[[#This Row],[Column53]])</f>
        <v>3</v>
      </c>
    </row>
    <row r="141" spans="1:54" ht="23.1" customHeight="1" x14ac:dyDescent="0.3">
      <c r="A141" s="100">
        <v>138</v>
      </c>
      <c r="B141" s="83" t="s">
        <v>281</v>
      </c>
      <c r="C141" s="84" t="s">
        <v>282</v>
      </c>
      <c r="D141" s="83" t="s">
        <v>542</v>
      </c>
      <c r="E141" s="83" t="s">
        <v>161</v>
      </c>
      <c r="F141" s="83" t="str">
        <f>REPT(CHAR(160),10)&amp;Working!$E142</f>
        <v>          B</v>
      </c>
      <c r="G141" s="74">
        <f>IFERROR(VLOOKUP(Table1215[[#This Row],[Column2]],Table12[[Column2]:[Column54]],6,FALSE),"0")</f>
        <v>0</v>
      </c>
      <c r="H141" s="74">
        <f>IFERROR(VLOOKUP(Table1215[[#This Row],[Column2]],Table12[[Column2]:[Column54]],7,FALSE),"0")</f>
        <v>0</v>
      </c>
      <c r="I141" s="74">
        <f>IFERROR(VLOOKUP(Table1215[[#This Row],[Column2]],Table12[[Column2]:[Column54]],8,FALSE),"0")</f>
        <v>1</v>
      </c>
      <c r="J141" s="74">
        <f>IFERROR(VLOOKUP(Table1215[[#This Row],[Column2]],Table12[[Column2]:[Column54]],9,FALSE),"0")</f>
        <v>0</v>
      </c>
      <c r="K141" s="74">
        <f>IFERROR(VLOOKUP(Table1215[[#This Row],[Column2]],Table12[[Column2]:[Column54]],10,FALSE),"0")</f>
        <v>0</v>
      </c>
      <c r="L141" s="80">
        <f>Table1215[[#This Row],[Column9]]</f>
        <v>1</v>
      </c>
      <c r="M141" s="74">
        <f>IFERROR(VLOOKUP(Table1215[[#This Row],[Column2]],Table12[[Column2]:[Column54]],12,FALSE),"0")</f>
        <v>0</v>
      </c>
      <c r="N141" s="74">
        <f>IFERROR(VLOOKUP(Table1215[[#This Row],[Column2]],Table12[[Column2]:[Column54]],13,FALSE),"0")</f>
        <v>4</v>
      </c>
      <c r="O141" s="74">
        <f>IFERROR(VLOOKUP(Table1215[[#This Row],[Column2]],Table12[[Column2]:[Column54]],14,FALSE),"0")</f>
        <v>3</v>
      </c>
      <c r="P141" s="74">
        <f>IFERROR(VLOOKUP(Table1215[[#This Row],[Column2]],Table12[[Column2]:[Column54]],10,FALSE),"0")</f>
        <v>0</v>
      </c>
      <c r="Q141" s="74">
        <f>IFERROR(VLOOKUP(Table1215[[#This Row],[Column2]],Table12[[Column2]:[Column54]],16,FALSE),"0")</f>
        <v>3</v>
      </c>
      <c r="R141" s="80">
        <f>AVERAGE(Table1215[[#This Row],[Column14]],Table1215[[#This Row],[Column15]],Table1215[[#This Row],[Column17]])</f>
        <v>3.3333333333333335</v>
      </c>
      <c r="S141" s="74">
        <f>IFERROR(VLOOKUP(Table1215[[#This Row],[Column2]],Table12[[Column2]:[Column54]],18,FALSE),"0")</f>
        <v>0</v>
      </c>
      <c r="T141" s="74">
        <f>IFERROR(VLOOKUP(Table1215[[#This Row],[Column2]],Table12[[Column2]:[Column54]],19,FALSE),"0")</f>
        <v>0</v>
      </c>
      <c r="U141" s="74">
        <f>IFERROR(VLOOKUP(Table1215[[#This Row],[Column2]],Table12[[Column2]:[Column54]],20,FALSE),"0")</f>
        <v>0</v>
      </c>
      <c r="V141" s="74">
        <f>IFERROR(VLOOKUP(Table1215[[#This Row],[Column2]],Table12[[Column2]:[Column54]],21,FALSE),"0")</f>
        <v>0</v>
      </c>
      <c r="W141" s="74">
        <f>IFERROR(VLOOKUP(Table1215[[#This Row],[Column2]],Table12[[Column2]:[Column54]],22,FALSE),"0")</f>
        <v>0</v>
      </c>
      <c r="X141" s="80">
        <f>Table1215[[#This Row],[Column19]]</f>
        <v>0</v>
      </c>
      <c r="Y141" s="74">
        <f>IFERROR(VLOOKUP(Table1215[[#This Row],[Column2]],Table12[[Column2]:[Column54]],24,FALSE),"0")</f>
        <v>3</v>
      </c>
      <c r="Z141" s="74">
        <f>IFERROR(VLOOKUP(Table1215[[#This Row],[Column2]],Table12[[Column2]:[Column54]],25,FALSE),"0")</f>
        <v>0</v>
      </c>
      <c r="AA141" s="74">
        <f>IFERROR(VLOOKUP(Table1215[[#This Row],[Column2]],Table12[[Column2]:[Column54]],26,FALSE),"0")</f>
        <v>0</v>
      </c>
      <c r="AB141" s="74">
        <f>IFERROR(VLOOKUP(Table1215[[#This Row],[Column2]],Table12[[Column2]:[Column54]],27,FALSE),"0")</f>
        <v>0</v>
      </c>
      <c r="AC141" s="74">
        <f>IFERROR(VLOOKUP(Table1215[[#This Row],[Column2]],Table12[[Column2]:[Column54]],28,FALSE),"0")</f>
        <v>0</v>
      </c>
      <c r="AD141" s="80">
        <f>Table1215[[#This Row],[Column25]]</f>
        <v>3</v>
      </c>
      <c r="AE141" s="74">
        <f>IFERROR(VLOOKUP(Table1215[[#This Row],[Column2]],Table12[[Column2]:[Column54]],30,FALSE),"0")</f>
        <v>0</v>
      </c>
      <c r="AF141" s="74">
        <f>IFERROR(VLOOKUP(Table1215[[#This Row],[Column2]],Table12[[Column2]:[Column54]],31,FALSE),"0")</f>
        <v>0</v>
      </c>
      <c r="AG141" s="74">
        <f>IFERROR(VLOOKUP(Table1215[[#This Row],[Column2]],Table12[[Column2]:[Column54]],32,FALSE),"0")</f>
        <v>0</v>
      </c>
      <c r="AH141" s="74">
        <f>IFERROR(VLOOKUP(Table1215[[#This Row],[Column2]],Table12[[Column2]:[Column54]],33,FALSE),"0")</f>
        <v>0</v>
      </c>
      <c r="AI141" s="74">
        <f>IFERROR(VLOOKUP(Table1215[[#This Row],[Column2]],Table12[[Column2]:[Column54]],34,FALSE),"0")</f>
        <v>0</v>
      </c>
      <c r="AJ141" s="80">
        <f>AVERAGE(Table1215[[#This Row],[Column31]],Table1215[[#This Row],[Column32]],Table1215[[#This Row],[Column33]])</f>
        <v>0</v>
      </c>
      <c r="AK141" s="74">
        <f>IFERROR(VLOOKUP(Table1215[[#This Row],[Column2]],Table12[[Column2]:[Column54]],36,FALSE),"0")</f>
        <v>2</v>
      </c>
      <c r="AL141" s="74">
        <f>IFERROR(VLOOKUP(Table1215[[#This Row],[Column2]],Table12[[Column2]:[Column54]],37,FALSE),"0")</f>
        <v>2</v>
      </c>
      <c r="AM141" s="74">
        <f>IFERROR(VLOOKUP(Table1215[[#This Row],[Column2]],Table12[[Column2]:[Column54]],38,FALSE),"0")</f>
        <v>0</v>
      </c>
      <c r="AN141" s="74">
        <f>IFERROR(VLOOKUP(Table1215[[#This Row],[Column2]],Table12[[Column2]:[Column54]],39,FALSE),"0")</f>
        <v>4</v>
      </c>
      <c r="AO141" s="74">
        <f>IFERROR(VLOOKUP(Table1215[[#This Row],[Column2]],Table12[[Column2]:[Column54]],40,FALSE),"0")</f>
        <v>0</v>
      </c>
      <c r="AP141" s="80">
        <f>AVERAGE(Table1215[[#This Row],[Column37]],Table1215[[#This Row],[Column38]],Table1215[[#This Row],[Column40]])</f>
        <v>2.6666666666666665</v>
      </c>
      <c r="AQ141" s="74">
        <f>IFERROR(VLOOKUP(Table1215[[#This Row],[Column2]],Table12[[Column2]:[Column54]],42,FALSE),"0")</f>
        <v>1</v>
      </c>
      <c r="AR141" s="74">
        <f>IFERROR(VLOOKUP(Table1215[[#This Row],[Column2]],Table12[[Column2]:[Column54]],43,FALSE),"0")</f>
        <v>0</v>
      </c>
      <c r="AS141" s="74">
        <f>IFERROR(VLOOKUP(Table1215[[#This Row],[Column2]],Table12[[Column2]:[Column54]],44,FALSE),"0")</f>
        <v>0</v>
      </c>
      <c r="AT141" s="74">
        <f>IFERROR(VLOOKUP(Table1215[[#This Row],[Column2]],Table12[[Column2]:[Column54]],45,FALSE),"0")</f>
        <v>0</v>
      </c>
      <c r="AU141" s="74">
        <f>IFERROR(VLOOKUP(Table1215[[#This Row],[Column2]],Table12[[Column2]:[Column54]],46,FALSE),"0")</f>
        <v>0</v>
      </c>
      <c r="AV141" s="80">
        <f>Table1215[[#This Row],[Column43]]</f>
        <v>1</v>
      </c>
      <c r="AW141" s="74">
        <f>IFERROR(VLOOKUP(Table1215[[#This Row],[Column2]],Table12[[Column2]:[Column54]],48,FALSE),"0")</f>
        <v>0</v>
      </c>
      <c r="AX141" s="74">
        <f>IFERROR(VLOOKUP(Table1215[[#This Row],[Column2]],Table12[[Column2]:[Column54]],49,FALSE),"0")</f>
        <v>0</v>
      </c>
      <c r="AY141" s="74">
        <f>IFERROR(VLOOKUP(Table1215[[#This Row],[Column2]],Table12[[Column2]:[Column54]],50,FALSE),"0")</f>
        <v>0</v>
      </c>
      <c r="AZ141" s="74">
        <f>IFERROR(VLOOKUP(Table1215[[#This Row],[Column2]],Table12[[Column2]:[Column54]],51,FALSE),"0")</f>
        <v>2</v>
      </c>
      <c r="BA141" s="74">
        <f>IFERROR(VLOOKUP(Table1215[[#This Row],[Column2]],Table12[[Column2]:[Column54]],52,FALSE),"0")</f>
        <v>3</v>
      </c>
      <c r="BB141" s="80">
        <f>AVERAGE(Table1215[[#This Row],[Column52]],Table1215[[#This Row],[Column53]])</f>
        <v>2.5</v>
      </c>
    </row>
    <row r="142" spans="1:54" ht="23.1" customHeight="1" x14ac:dyDescent="0.3">
      <c r="A142" s="99">
        <v>139</v>
      </c>
      <c r="B142" s="76" t="s">
        <v>152</v>
      </c>
      <c r="C142" s="77" t="s">
        <v>153</v>
      </c>
      <c r="D142" s="76" t="s">
        <v>450</v>
      </c>
      <c r="E142" s="76" t="s">
        <v>35</v>
      </c>
      <c r="F142" s="76" t="str">
        <f>REPT(CHAR(160),10)&amp;Working!$E143</f>
        <v>          A</v>
      </c>
      <c r="G142" s="78">
        <f>IFERROR(VLOOKUP(Table1215[[#This Row],[Column2]],Table12[[Column2]:[Column54]],6,FALSE),"0")</f>
        <v>0</v>
      </c>
      <c r="H142" s="78">
        <f>IFERROR(VLOOKUP(Table1215[[#This Row],[Column2]],Table12[[Column2]:[Column54]],7,FALSE),"0")</f>
        <v>0</v>
      </c>
      <c r="I142" s="78">
        <f>IFERROR(VLOOKUP(Table1215[[#This Row],[Column2]],Table12[[Column2]:[Column54]],8,FALSE),"0")</f>
        <v>3</v>
      </c>
      <c r="J142" s="78">
        <f>IFERROR(VLOOKUP(Table1215[[#This Row],[Column2]],Table12[[Column2]:[Column54]],9,FALSE),"0")</f>
        <v>0</v>
      </c>
      <c r="K142" s="78">
        <f>IFERROR(VLOOKUP(Table1215[[#This Row],[Column2]],Table12[[Column2]:[Column54]],10,FALSE),"0")</f>
        <v>0</v>
      </c>
      <c r="L142" s="80">
        <f>Table1215[[#This Row],[Column9]]</f>
        <v>3</v>
      </c>
      <c r="M142" s="78">
        <f>IFERROR(VLOOKUP(Table1215[[#This Row],[Column2]],Table12[[Column2]:[Column54]],12,FALSE),"0")</f>
        <v>0</v>
      </c>
      <c r="N142" s="78">
        <f>IFERROR(VLOOKUP(Table1215[[#This Row],[Column2]],Table12[[Column2]:[Column54]],13,FALSE),"0")</f>
        <v>4</v>
      </c>
      <c r="O142" s="78">
        <f>IFERROR(VLOOKUP(Table1215[[#This Row],[Column2]],Table12[[Column2]:[Column54]],14,FALSE),"0")</f>
        <v>4</v>
      </c>
      <c r="P142" s="78">
        <f>IFERROR(VLOOKUP(Table1215[[#This Row],[Column2]],Table12[[Column2]:[Column54]],10,FALSE),"0")</f>
        <v>0</v>
      </c>
      <c r="Q142" s="78">
        <f>IFERROR(VLOOKUP(Table1215[[#This Row],[Column2]],Table12[[Column2]:[Column54]],16,FALSE),"0")</f>
        <v>4</v>
      </c>
      <c r="R142" s="80">
        <f>AVERAGE(Table1215[[#This Row],[Column14]],Table1215[[#This Row],[Column15]],Table1215[[#This Row],[Column17]])</f>
        <v>4</v>
      </c>
      <c r="S142" s="78">
        <f>IFERROR(VLOOKUP(Table1215[[#This Row],[Column2]],Table12[[Column2]:[Column54]],18,FALSE),"0")</f>
        <v>0</v>
      </c>
      <c r="T142" s="78">
        <f>IFERROR(VLOOKUP(Table1215[[#This Row],[Column2]],Table12[[Column2]:[Column54]],19,FALSE),"0")</f>
        <v>0</v>
      </c>
      <c r="U142" s="78">
        <f>IFERROR(VLOOKUP(Table1215[[#This Row],[Column2]],Table12[[Column2]:[Column54]],20,FALSE),"0")</f>
        <v>0</v>
      </c>
      <c r="V142" s="78">
        <f>IFERROR(VLOOKUP(Table1215[[#This Row],[Column2]],Table12[[Column2]:[Column54]],21,FALSE),"0")</f>
        <v>0</v>
      </c>
      <c r="W142" s="78">
        <f>IFERROR(VLOOKUP(Table1215[[#This Row],[Column2]],Table12[[Column2]:[Column54]],22,FALSE),"0")</f>
        <v>0</v>
      </c>
      <c r="X142" s="80">
        <f>Table1215[[#This Row],[Column19]]</f>
        <v>0</v>
      </c>
      <c r="Y142" s="78">
        <f>IFERROR(VLOOKUP(Table1215[[#This Row],[Column2]],Table12[[Column2]:[Column54]],24,FALSE),"0")</f>
        <v>4</v>
      </c>
      <c r="Z142" s="78">
        <f>IFERROR(VLOOKUP(Table1215[[#This Row],[Column2]],Table12[[Column2]:[Column54]],25,FALSE),"0")</f>
        <v>0</v>
      </c>
      <c r="AA142" s="78">
        <f>IFERROR(VLOOKUP(Table1215[[#This Row],[Column2]],Table12[[Column2]:[Column54]],26,FALSE),"0")</f>
        <v>0</v>
      </c>
      <c r="AB142" s="78">
        <f>IFERROR(VLOOKUP(Table1215[[#This Row],[Column2]],Table12[[Column2]:[Column54]],27,FALSE),"0")</f>
        <v>0</v>
      </c>
      <c r="AC142" s="78">
        <f>IFERROR(VLOOKUP(Table1215[[#This Row],[Column2]],Table12[[Column2]:[Column54]],28,FALSE),"0")</f>
        <v>0</v>
      </c>
      <c r="AD142" s="80">
        <f>Table1215[[#This Row],[Column25]]</f>
        <v>4</v>
      </c>
      <c r="AE142" s="78">
        <f>IFERROR(VLOOKUP(Table1215[[#This Row],[Column2]],Table12[[Column2]:[Column54]],30,FALSE),"0")</f>
        <v>0</v>
      </c>
      <c r="AF142" s="78">
        <f>IFERROR(VLOOKUP(Table1215[[#This Row],[Column2]],Table12[[Column2]:[Column54]],31,FALSE),"0")</f>
        <v>0</v>
      </c>
      <c r="AG142" s="78">
        <f>IFERROR(VLOOKUP(Table1215[[#This Row],[Column2]],Table12[[Column2]:[Column54]],32,FALSE),"0")</f>
        <v>0</v>
      </c>
      <c r="AH142" s="78">
        <f>IFERROR(VLOOKUP(Table1215[[#This Row],[Column2]],Table12[[Column2]:[Column54]],33,FALSE),"0")</f>
        <v>0</v>
      </c>
      <c r="AI142" s="78">
        <f>IFERROR(VLOOKUP(Table1215[[#This Row],[Column2]],Table12[[Column2]:[Column54]],34,FALSE),"0")</f>
        <v>0</v>
      </c>
      <c r="AJ142" s="80">
        <f>AVERAGE(Table1215[[#This Row],[Column31]],Table1215[[#This Row],[Column32]],Table1215[[#This Row],[Column33]])</f>
        <v>0</v>
      </c>
      <c r="AK142" s="78">
        <f>IFERROR(VLOOKUP(Table1215[[#This Row],[Column2]],Table12[[Column2]:[Column54]],36,FALSE),"0")</f>
        <v>3</v>
      </c>
      <c r="AL142" s="78">
        <f>IFERROR(VLOOKUP(Table1215[[#This Row],[Column2]],Table12[[Column2]:[Column54]],37,FALSE),"0")</f>
        <v>2</v>
      </c>
      <c r="AM142" s="78">
        <f>IFERROR(VLOOKUP(Table1215[[#This Row],[Column2]],Table12[[Column2]:[Column54]],38,FALSE),"0")</f>
        <v>0</v>
      </c>
      <c r="AN142" s="78">
        <f>IFERROR(VLOOKUP(Table1215[[#This Row],[Column2]],Table12[[Column2]:[Column54]],39,FALSE),"0")</f>
        <v>3</v>
      </c>
      <c r="AO142" s="78">
        <f>IFERROR(VLOOKUP(Table1215[[#This Row],[Column2]],Table12[[Column2]:[Column54]],40,FALSE),"0")</f>
        <v>0</v>
      </c>
      <c r="AP142" s="80">
        <f>AVERAGE(Table1215[[#This Row],[Column37]],Table1215[[#This Row],[Column38]],Table1215[[#This Row],[Column40]])</f>
        <v>2.6666666666666665</v>
      </c>
      <c r="AQ142" s="78">
        <f>IFERROR(VLOOKUP(Table1215[[#This Row],[Column2]],Table12[[Column2]:[Column54]],42,FALSE),"0")</f>
        <v>2</v>
      </c>
      <c r="AR142" s="78">
        <f>IFERROR(VLOOKUP(Table1215[[#This Row],[Column2]],Table12[[Column2]:[Column54]],43,FALSE),"0")</f>
        <v>0</v>
      </c>
      <c r="AS142" s="78">
        <f>IFERROR(VLOOKUP(Table1215[[#This Row],[Column2]],Table12[[Column2]:[Column54]],44,FALSE),"0")</f>
        <v>0</v>
      </c>
      <c r="AT142" s="78">
        <f>IFERROR(VLOOKUP(Table1215[[#This Row],[Column2]],Table12[[Column2]:[Column54]],45,FALSE),"0")</f>
        <v>0</v>
      </c>
      <c r="AU142" s="78">
        <f>IFERROR(VLOOKUP(Table1215[[#This Row],[Column2]],Table12[[Column2]:[Column54]],46,FALSE),"0")</f>
        <v>0</v>
      </c>
      <c r="AV142" s="80">
        <f>Table1215[[#This Row],[Column43]]</f>
        <v>2</v>
      </c>
      <c r="AW142" s="78">
        <f>IFERROR(VLOOKUP(Table1215[[#This Row],[Column2]],Table12[[Column2]:[Column54]],48,FALSE),"0")</f>
        <v>0</v>
      </c>
      <c r="AX142" s="78">
        <f>IFERROR(VLOOKUP(Table1215[[#This Row],[Column2]],Table12[[Column2]:[Column54]],49,FALSE),"0")</f>
        <v>0</v>
      </c>
      <c r="AY142" s="78">
        <f>IFERROR(VLOOKUP(Table1215[[#This Row],[Column2]],Table12[[Column2]:[Column54]],50,FALSE),"0")</f>
        <v>0</v>
      </c>
      <c r="AZ142" s="78">
        <f>IFERROR(VLOOKUP(Table1215[[#This Row],[Column2]],Table12[[Column2]:[Column54]],51,FALSE),"0")</f>
        <v>3</v>
      </c>
      <c r="BA142" s="78">
        <f>IFERROR(VLOOKUP(Table1215[[#This Row],[Column2]],Table12[[Column2]:[Column54]],52,FALSE),"0")</f>
        <v>3</v>
      </c>
      <c r="BB142" s="80">
        <f>AVERAGE(Table1215[[#This Row],[Column52]],Table1215[[#This Row],[Column53]])</f>
        <v>3</v>
      </c>
    </row>
    <row r="143" spans="1:54" ht="23.1" customHeight="1" x14ac:dyDescent="0.3">
      <c r="A143" s="100">
        <v>140</v>
      </c>
      <c r="B143" s="83" t="s">
        <v>374</v>
      </c>
      <c r="C143" s="84" t="s">
        <v>375</v>
      </c>
      <c r="D143" s="83" t="s">
        <v>450</v>
      </c>
      <c r="E143" s="83" t="s">
        <v>493</v>
      </c>
      <c r="F143" s="83" t="str">
        <f>REPT(CHAR(160),10)&amp;Working!$E144</f>
        <v>          C</v>
      </c>
      <c r="G143" s="74">
        <f>IFERROR(VLOOKUP(Table1215[[#This Row],[Column2]],Table12[[Column2]:[Column54]],6,FALSE),"0")</f>
        <v>0</v>
      </c>
      <c r="H143" s="74">
        <f>IFERROR(VLOOKUP(Table1215[[#This Row],[Column2]],Table12[[Column2]:[Column54]],7,FALSE),"0")</f>
        <v>0</v>
      </c>
      <c r="I143" s="74">
        <f>IFERROR(VLOOKUP(Table1215[[#This Row],[Column2]],Table12[[Column2]:[Column54]],8,FALSE),"0")</f>
        <v>3</v>
      </c>
      <c r="J143" s="74">
        <f>IFERROR(VLOOKUP(Table1215[[#This Row],[Column2]],Table12[[Column2]:[Column54]],9,FALSE),"0")</f>
        <v>0</v>
      </c>
      <c r="K143" s="74">
        <f>IFERROR(VLOOKUP(Table1215[[#This Row],[Column2]],Table12[[Column2]:[Column54]],10,FALSE),"0")</f>
        <v>0</v>
      </c>
      <c r="L143" s="80">
        <f>Table1215[[#This Row],[Column9]]</f>
        <v>3</v>
      </c>
      <c r="M143" s="74">
        <f>IFERROR(VLOOKUP(Table1215[[#This Row],[Column2]],Table12[[Column2]:[Column54]],12,FALSE),"0")</f>
        <v>0</v>
      </c>
      <c r="N143" s="74">
        <f>IFERROR(VLOOKUP(Table1215[[#This Row],[Column2]],Table12[[Column2]:[Column54]],13,FALSE),"0")</f>
        <v>4</v>
      </c>
      <c r="O143" s="74">
        <f>IFERROR(VLOOKUP(Table1215[[#This Row],[Column2]],Table12[[Column2]:[Column54]],14,FALSE),"0")</f>
        <v>3</v>
      </c>
      <c r="P143" s="74">
        <f>IFERROR(VLOOKUP(Table1215[[#This Row],[Column2]],Table12[[Column2]:[Column54]],10,FALSE),"0")</f>
        <v>0</v>
      </c>
      <c r="Q143" s="74">
        <f>IFERROR(VLOOKUP(Table1215[[#This Row],[Column2]],Table12[[Column2]:[Column54]],16,FALSE),"0")</f>
        <v>3</v>
      </c>
      <c r="R143" s="80">
        <f>AVERAGE(Table1215[[#This Row],[Column14]],Table1215[[#This Row],[Column15]],Table1215[[#This Row],[Column17]])</f>
        <v>3.3333333333333335</v>
      </c>
      <c r="S143" s="74">
        <f>IFERROR(VLOOKUP(Table1215[[#This Row],[Column2]],Table12[[Column2]:[Column54]],18,FALSE),"0")</f>
        <v>0</v>
      </c>
      <c r="T143" s="74">
        <f>IFERROR(VLOOKUP(Table1215[[#This Row],[Column2]],Table12[[Column2]:[Column54]],19,FALSE),"0")</f>
        <v>0</v>
      </c>
      <c r="U143" s="74">
        <f>IFERROR(VLOOKUP(Table1215[[#This Row],[Column2]],Table12[[Column2]:[Column54]],20,FALSE),"0")</f>
        <v>0</v>
      </c>
      <c r="V143" s="74">
        <f>IFERROR(VLOOKUP(Table1215[[#This Row],[Column2]],Table12[[Column2]:[Column54]],21,FALSE),"0")</f>
        <v>0</v>
      </c>
      <c r="W143" s="74">
        <f>IFERROR(VLOOKUP(Table1215[[#This Row],[Column2]],Table12[[Column2]:[Column54]],22,FALSE),"0")</f>
        <v>0</v>
      </c>
      <c r="X143" s="80">
        <f>Table1215[[#This Row],[Column19]]</f>
        <v>0</v>
      </c>
      <c r="Y143" s="74">
        <f>IFERROR(VLOOKUP(Table1215[[#This Row],[Column2]],Table12[[Column2]:[Column54]],24,FALSE),"0")</f>
        <v>4</v>
      </c>
      <c r="Z143" s="74">
        <f>IFERROR(VLOOKUP(Table1215[[#This Row],[Column2]],Table12[[Column2]:[Column54]],25,FALSE),"0")</f>
        <v>0</v>
      </c>
      <c r="AA143" s="74">
        <f>IFERROR(VLOOKUP(Table1215[[#This Row],[Column2]],Table12[[Column2]:[Column54]],26,FALSE),"0")</f>
        <v>0</v>
      </c>
      <c r="AB143" s="74">
        <f>IFERROR(VLOOKUP(Table1215[[#This Row],[Column2]],Table12[[Column2]:[Column54]],27,FALSE),"0")</f>
        <v>0</v>
      </c>
      <c r="AC143" s="74">
        <f>IFERROR(VLOOKUP(Table1215[[#This Row],[Column2]],Table12[[Column2]:[Column54]],28,FALSE),"0")</f>
        <v>0</v>
      </c>
      <c r="AD143" s="80">
        <f>Table1215[[#This Row],[Column25]]</f>
        <v>4</v>
      </c>
      <c r="AE143" s="74">
        <f>IFERROR(VLOOKUP(Table1215[[#This Row],[Column2]],Table12[[Column2]:[Column54]],30,FALSE),"0")</f>
        <v>0</v>
      </c>
      <c r="AF143" s="74">
        <f>IFERROR(VLOOKUP(Table1215[[#This Row],[Column2]],Table12[[Column2]:[Column54]],31,FALSE),"0")</f>
        <v>0</v>
      </c>
      <c r="AG143" s="74">
        <f>IFERROR(VLOOKUP(Table1215[[#This Row],[Column2]],Table12[[Column2]:[Column54]],32,FALSE),"0")</f>
        <v>0</v>
      </c>
      <c r="AH143" s="74">
        <f>IFERROR(VLOOKUP(Table1215[[#This Row],[Column2]],Table12[[Column2]:[Column54]],33,FALSE),"0")</f>
        <v>0</v>
      </c>
      <c r="AI143" s="74">
        <f>IFERROR(VLOOKUP(Table1215[[#This Row],[Column2]],Table12[[Column2]:[Column54]],34,FALSE),"0")</f>
        <v>0</v>
      </c>
      <c r="AJ143" s="80">
        <f>AVERAGE(Table1215[[#This Row],[Column31]],Table1215[[#This Row],[Column32]],Table1215[[#This Row],[Column33]])</f>
        <v>0</v>
      </c>
      <c r="AK143" s="74">
        <f>IFERROR(VLOOKUP(Table1215[[#This Row],[Column2]],Table12[[Column2]:[Column54]],36,FALSE),"0")</f>
        <v>3</v>
      </c>
      <c r="AL143" s="74">
        <f>IFERROR(VLOOKUP(Table1215[[#This Row],[Column2]],Table12[[Column2]:[Column54]],37,FALSE),"0")</f>
        <v>3</v>
      </c>
      <c r="AM143" s="74">
        <f>IFERROR(VLOOKUP(Table1215[[#This Row],[Column2]],Table12[[Column2]:[Column54]],38,FALSE),"0")</f>
        <v>0</v>
      </c>
      <c r="AN143" s="74">
        <f>IFERROR(VLOOKUP(Table1215[[#This Row],[Column2]],Table12[[Column2]:[Column54]],39,FALSE),"0")</f>
        <v>3</v>
      </c>
      <c r="AO143" s="74">
        <f>IFERROR(VLOOKUP(Table1215[[#This Row],[Column2]],Table12[[Column2]:[Column54]],40,FALSE),"0")</f>
        <v>0</v>
      </c>
      <c r="AP143" s="80">
        <f>AVERAGE(Table1215[[#This Row],[Column37]],Table1215[[#This Row],[Column38]],Table1215[[#This Row],[Column40]])</f>
        <v>3</v>
      </c>
      <c r="AQ143" s="74">
        <f>IFERROR(VLOOKUP(Table1215[[#This Row],[Column2]],Table12[[Column2]:[Column54]],42,FALSE),"0")</f>
        <v>1</v>
      </c>
      <c r="AR143" s="74">
        <f>IFERROR(VLOOKUP(Table1215[[#This Row],[Column2]],Table12[[Column2]:[Column54]],43,FALSE),"0")</f>
        <v>0</v>
      </c>
      <c r="AS143" s="74">
        <f>IFERROR(VLOOKUP(Table1215[[#This Row],[Column2]],Table12[[Column2]:[Column54]],44,FALSE),"0")</f>
        <v>0</v>
      </c>
      <c r="AT143" s="74">
        <f>IFERROR(VLOOKUP(Table1215[[#This Row],[Column2]],Table12[[Column2]:[Column54]],45,FALSE),"0")</f>
        <v>0</v>
      </c>
      <c r="AU143" s="74">
        <f>IFERROR(VLOOKUP(Table1215[[#This Row],[Column2]],Table12[[Column2]:[Column54]],46,FALSE),"0")</f>
        <v>0</v>
      </c>
      <c r="AV143" s="80">
        <f>Table1215[[#This Row],[Column43]]</f>
        <v>1</v>
      </c>
      <c r="AW143" s="74">
        <f>IFERROR(VLOOKUP(Table1215[[#This Row],[Column2]],Table12[[Column2]:[Column54]],48,FALSE),"0")</f>
        <v>0</v>
      </c>
      <c r="AX143" s="74">
        <f>IFERROR(VLOOKUP(Table1215[[#This Row],[Column2]],Table12[[Column2]:[Column54]],49,FALSE),"0")</f>
        <v>0</v>
      </c>
      <c r="AY143" s="74">
        <f>IFERROR(VLOOKUP(Table1215[[#This Row],[Column2]],Table12[[Column2]:[Column54]],50,FALSE),"0")</f>
        <v>0</v>
      </c>
      <c r="AZ143" s="74">
        <f>IFERROR(VLOOKUP(Table1215[[#This Row],[Column2]],Table12[[Column2]:[Column54]],51,FALSE),"0")</f>
        <v>3</v>
      </c>
      <c r="BA143" s="74">
        <f>IFERROR(VLOOKUP(Table1215[[#This Row],[Column2]],Table12[[Column2]:[Column54]],52,FALSE),"0")</f>
        <v>2</v>
      </c>
      <c r="BB143" s="80">
        <f>AVERAGE(Table1215[[#This Row],[Column52]],Table1215[[#This Row],[Column53]])</f>
        <v>2.5</v>
      </c>
    </row>
    <row r="144" spans="1:54" ht="23.1" customHeight="1" x14ac:dyDescent="0.3">
      <c r="A144" s="99">
        <v>141</v>
      </c>
      <c r="B144" s="76" t="s">
        <v>269</v>
      </c>
      <c r="C144" s="77" t="s">
        <v>270</v>
      </c>
      <c r="D144" s="76" t="s">
        <v>450</v>
      </c>
      <c r="E144" s="76" t="s">
        <v>161</v>
      </c>
      <c r="F144" s="76" t="str">
        <f>REPT(CHAR(160),10)&amp;Working!$E145</f>
        <v>          B</v>
      </c>
      <c r="G144" s="78">
        <f>IFERROR(VLOOKUP(Table1215[[#This Row],[Column2]],Table12[[Column2]:[Column54]],6,FALSE),"0")</f>
        <v>0</v>
      </c>
      <c r="H144" s="78">
        <f>IFERROR(VLOOKUP(Table1215[[#This Row],[Column2]],Table12[[Column2]:[Column54]],7,FALSE),"0")</f>
        <v>0</v>
      </c>
      <c r="I144" s="78">
        <f>IFERROR(VLOOKUP(Table1215[[#This Row],[Column2]],Table12[[Column2]:[Column54]],8,FALSE),"0")</f>
        <v>5</v>
      </c>
      <c r="J144" s="78">
        <f>IFERROR(VLOOKUP(Table1215[[#This Row],[Column2]],Table12[[Column2]:[Column54]],9,FALSE),"0")</f>
        <v>0</v>
      </c>
      <c r="K144" s="78">
        <f>IFERROR(VLOOKUP(Table1215[[#This Row],[Column2]],Table12[[Column2]:[Column54]],10,FALSE),"0")</f>
        <v>0</v>
      </c>
      <c r="L144" s="80">
        <f>Table1215[[#This Row],[Column9]]</f>
        <v>5</v>
      </c>
      <c r="M144" s="78">
        <f>IFERROR(VLOOKUP(Table1215[[#This Row],[Column2]],Table12[[Column2]:[Column54]],12,FALSE),"0")</f>
        <v>0</v>
      </c>
      <c r="N144" s="78">
        <f>IFERROR(VLOOKUP(Table1215[[#This Row],[Column2]],Table12[[Column2]:[Column54]],13,FALSE),"0")</f>
        <v>3</v>
      </c>
      <c r="O144" s="78">
        <f>IFERROR(VLOOKUP(Table1215[[#This Row],[Column2]],Table12[[Column2]:[Column54]],14,FALSE),"0")</f>
        <v>4</v>
      </c>
      <c r="P144" s="78">
        <f>IFERROR(VLOOKUP(Table1215[[#This Row],[Column2]],Table12[[Column2]:[Column54]],10,FALSE),"0")</f>
        <v>0</v>
      </c>
      <c r="Q144" s="78">
        <f>IFERROR(VLOOKUP(Table1215[[#This Row],[Column2]],Table12[[Column2]:[Column54]],16,FALSE),"0")</f>
        <v>4</v>
      </c>
      <c r="R144" s="80">
        <f>AVERAGE(Table1215[[#This Row],[Column14]],Table1215[[#This Row],[Column15]],Table1215[[#This Row],[Column17]])</f>
        <v>3.6666666666666665</v>
      </c>
      <c r="S144" s="78">
        <f>IFERROR(VLOOKUP(Table1215[[#This Row],[Column2]],Table12[[Column2]:[Column54]],18,FALSE),"0")</f>
        <v>0</v>
      </c>
      <c r="T144" s="78">
        <f>IFERROR(VLOOKUP(Table1215[[#This Row],[Column2]],Table12[[Column2]:[Column54]],19,FALSE),"0")</f>
        <v>0</v>
      </c>
      <c r="U144" s="78">
        <f>IFERROR(VLOOKUP(Table1215[[#This Row],[Column2]],Table12[[Column2]:[Column54]],20,FALSE),"0")</f>
        <v>0</v>
      </c>
      <c r="V144" s="78">
        <f>IFERROR(VLOOKUP(Table1215[[#This Row],[Column2]],Table12[[Column2]:[Column54]],21,FALSE),"0")</f>
        <v>0</v>
      </c>
      <c r="W144" s="78">
        <f>IFERROR(VLOOKUP(Table1215[[#This Row],[Column2]],Table12[[Column2]:[Column54]],22,FALSE),"0")</f>
        <v>0</v>
      </c>
      <c r="X144" s="80">
        <f>Table1215[[#This Row],[Column19]]</f>
        <v>0</v>
      </c>
      <c r="Y144" s="78">
        <f>IFERROR(VLOOKUP(Table1215[[#This Row],[Column2]],Table12[[Column2]:[Column54]],24,FALSE),"0")</f>
        <v>3</v>
      </c>
      <c r="Z144" s="78">
        <f>IFERROR(VLOOKUP(Table1215[[#This Row],[Column2]],Table12[[Column2]:[Column54]],25,FALSE),"0")</f>
        <v>0</v>
      </c>
      <c r="AA144" s="78">
        <f>IFERROR(VLOOKUP(Table1215[[#This Row],[Column2]],Table12[[Column2]:[Column54]],26,FALSE),"0")</f>
        <v>0</v>
      </c>
      <c r="AB144" s="78">
        <f>IFERROR(VLOOKUP(Table1215[[#This Row],[Column2]],Table12[[Column2]:[Column54]],27,FALSE),"0")</f>
        <v>0</v>
      </c>
      <c r="AC144" s="78">
        <f>IFERROR(VLOOKUP(Table1215[[#This Row],[Column2]],Table12[[Column2]:[Column54]],28,FALSE),"0")</f>
        <v>0</v>
      </c>
      <c r="AD144" s="80">
        <f>Table1215[[#This Row],[Column25]]</f>
        <v>3</v>
      </c>
      <c r="AE144" s="78">
        <f>IFERROR(VLOOKUP(Table1215[[#This Row],[Column2]],Table12[[Column2]:[Column54]],30,FALSE),"0")</f>
        <v>0</v>
      </c>
      <c r="AF144" s="78">
        <f>IFERROR(VLOOKUP(Table1215[[#This Row],[Column2]],Table12[[Column2]:[Column54]],31,FALSE),"0")</f>
        <v>0</v>
      </c>
      <c r="AG144" s="78">
        <f>IFERROR(VLOOKUP(Table1215[[#This Row],[Column2]],Table12[[Column2]:[Column54]],32,FALSE),"0")</f>
        <v>0</v>
      </c>
      <c r="AH144" s="78">
        <f>IFERROR(VLOOKUP(Table1215[[#This Row],[Column2]],Table12[[Column2]:[Column54]],33,FALSE),"0")</f>
        <v>0</v>
      </c>
      <c r="AI144" s="78">
        <f>IFERROR(VLOOKUP(Table1215[[#This Row],[Column2]],Table12[[Column2]:[Column54]],34,FALSE),"0")</f>
        <v>0</v>
      </c>
      <c r="AJ144" s="80">
        <f>AVERAGE(Table1215[[#This Row],[Column31]],Table1215[[#This Row],[Column32]],Table1215[[#This Row],[Column33]])</f>
        <v>0</v>
      </c>
      <c r="AK144" s="78">
        <f>IFERROR(VLOOKUP(Table1215[[#This Row],[Column2]],Table12[[Column2]:[Column54]],36,FALSE),"0")</f>
        <v>4</v>
      </c>
      <c r="AL144" s="78">
        <f>IFERROR(VLOOKUP(Table1215[[#This Row],[Column2]],Table12[[Column2]:[Column54]],37,FALSE),"0")</f>
        <v>3</v>
      </c>
      <c r="AM144" s="78">
        <f>IFERROR(VLOOKUP(Table1215[[#This Row],[Column2]],Table12[[Column2]:[Column54]],38,FALSE),"0")</f>
        <v>0</v>
      </c>
      <c r="AN144" s="78">
        <f>IFERROR(VLOOKUP(Table1215[[#This Row],[Column2]],Table12[[Column2]:[Column54]],39,FALSE),"0")</f>
        <v>5</v>
      </c>
      <c r="AO144" s="78">
        <f>IFERROR(VLOOKUP(Table1215[[#This Row],[Column2]],Table12[[Column2]:[Column54]],40,FALSE),"0")</f>
        <v>0</v>
      </c>
      <c r="AP144" s="80">
        <f>AVERAGE(Table1215[[#This Row],[Column37]],Table1215[[#This Row],[Column38]],Table1215[[#This Row],[Column40]])</f>
        <v>4</v>
      </c>
      <c r="AQ144" s="78">
        <f>IFERROR(VLOOKUP(Table1215[[#This Row],[Column2]],Table12[[Column2]:[Column54]],42,FALSE),"0")</f>
        <v>5</v>
      </c>
      <c r="AR144" s="78">
        <f>IFERROR(VLOOKUP(Table1215[[#This Row],[Column2]],Table12[[Column2]:[Column54]],43,FALSE),"0")</f>
        <v>0</v>
      </c>
      <c r="AS144" s="78">
        <f>IFERROR(VLOOKUP(Table1215[[#This Row],[Column2]],Table12[[Column2]:[Column54]],44,FALSE),"0")</f>
        <v>0</v>
      </c>
      <c r="AT144" s="78">
        <f>IFERROR(VLOOKUP(Table1215[[#This Row],[Column2]],Table12[[Column2]:[Column54]],45,FALSE),"0")</f>
        <v>0</v>
      </c>
      <c r="AU144" s="78">
        <f>IFERROR(VLOOKUP(Table1215[[#This Row],[Column2]],Table12[[Column2]:[Column54]],46,FALSE),"0")</f>
        <v>0</v>
      </c>
      <c r="AV144" s="80">
        <f>Table1215[[#This Row],[Column43]]</f>
        <v>5</v>
      </c>
      <c r="AW144" s="78">
        <f>IFERROR(VLOOKUP(Table1215[[#This Row],[Column2]],Table12[[Column2]:[Column54]],48,FALSE),"0")</f>
        <v>0</v>
      </c>
      <c r="AX144" s="78">
        <f>IFERROR(VLOOKUP(Table1215[[#This Row],[Column2]],Table12[[Column2]:[Column54]],49,FALSE),"0")</f>
        <v>0</v>
      </c>
      <c r="AY144" s="78">
        <f>IFERROR(VLOOKUP(Table1215[[#This Row],[Column2]],Table12[[Column2]:[Column54]],50,FALSE),"0")</f>
        <v>0</v>
      </c>
      <c r="AZ144" s="78">
        <f>IFERROR(VLOOKUP(Table1215[[#This Row],[Column2]],Table12[[Column2]:[Column54]],51,FALSE),"0")</f>
        <v>5</v>
      </c>
      <c r="BA144" s="78">
        <f>IFERROR(VLOOKUP(Table1215[[#This Row],[Column2]],Table12[[Column2]:[Column54]],52,FALSE),"0")</f>
        <v>4</v>
      </c>
      <c r="BB144" s="80">
        <f>AVERAGE(Table1215[[#This Row],[Column52]],Table1215[[#This Row],[Column53]])</f>
        <v>4.5</v>
      </c>
    </row>
    <row r="145" spans="1:54" ht="23.1" customHeight="1" x14ac:dyDescent="0.3">
      <c r="A145" s="100">
        <v>142</v>
      </c>
      <c r="B145" s="83" t="s">
        <v>170</v>
      </c>
      <c r="C145" s="84" t="s">
        <v>171</v>
      </c>
      <c r="D145" s="83" t="s">
        <v>542</v>
      </c>
      <c r="E145" s="83" t="s">
        <v>161</v>
      </c>
      <c r="F145" s="83" t="str">
        <f>REPT(CHAR(160),10)&amp;Working!$E146</f>
        <v>          B</v>
      </c>
      <c r="G145" s="74">
        <f>IFERROR(VLOOKUP(Table1215[[#This Row],[Column2]],Table12[[Column2]:[Column54]],6,FALSE),"0")</f>
        <v>0</v>
      </c>
      <c r="H145" s="74">
        <f>IFERROR(VLOOKUP(Table1215[[#This Row],[Column2]],Table12[[Column2]:[Column54]],7,FALSE),"0")</f>
        <v>0</v>
      </c>
      <c r="I145" s="74">
        <f>IFERROR(VLOOKUP(Table1215[[#This Row],[Column2]],Table12[[Column2]:[Column54]],8,FALSE),"0")</f>
        <v>2</v>
      </c>
      <c r="J145" s="74">
        <f>IFERROR(VLOOKUP(Table1215[[#This Row],[Column2]],Table12[[Column2]:[Column54]],9,FALSE),"0")</f>
        <v>0</v>
      </c>
      <c r="K145" s="74">
        <f>IFERROR(VLOOKUP(Table1215[[#This Row],[Column2]],Table12[[Column2]:[Column54]],10,FALSE),"0")</f>
        <v>0</v>
      </c>
      <c r="L145" s="80">
        <f>Table1215[[#This Row],[Column9]]</f>
        <v>2</v>
      </c>
      <c r="M145" s="74">
        <f>IFERROR(VLOOKUP(Table1215[[#This Row],[Column2]],Table12[[Column2]:[Column54]],12,FALSE),"0")</f>
        <v>0</v>
      </c>
      <c r="N145" s="74">
        <f>IFERROR(VLOOKUP(Table1215[[#This Row],[Column2]],Table12[[Column2]:[Column54]],13,FALSE),"0")</f>
        <v>3</v>
      </c>
      <c r="O145" s="74">
        <f>IFERROR(VLOOKUP(Table1215[[#This Row],[Column2]],Table12[[Column2]:[Column54]],14,FALSE),"0")</f>
        <v>4</v>
      </c>
      <c r="P145" s="74">
        <f>IFERROR(VLOOKUP(Table1215[[#This Row],[Column2]],Table12[[Column2]:[Column54]],10,FALSE),"0")</f>
        <v>0</v>
      </c>
      <c r="Q145" s="74">
        <f>IFERROR(VLOOKUP(Table1215[[#This Row],[Column2]],Table12[[Column2]:[Column54]],16,FALSE),"0")</f>
        <v>4</v>
      </c>
      <c r="R145" s="80">
        <f>AVERAGE(Table1215[[#This Row],[Column14]],Table1215[[#This Row],[Column15]],Table1215[[#This Row],[Column17]])</f>
        <v>3.6666666666666665</v>
      </c>
      <c r="S145" s="74">
        <f>IFERROR(VLOOKUP(Table1215[[#This Row],[Column2]],Table12[[Column2]:[Column54]],18,FALSE),"0")</f>
        <v>0</v>
      </c>
      <c r="T145" s="74">
        <f>IFERROR(VLOOKUP(Table1215[[#This Row],[Column2]],Table12[[Column2]:[Column54]],19,FALSE),"0")</f>
        <v>0</v>
      </c>
      <c r="U145" s="74">
        <f>IFERROR(VLOOKUP(Table1215[[#This Row],[Column2]],Table12[[Column2]:[Column54]],20,FALSE),"0")</f>
        <v>0</v>
      </c>
      <c r="V145" s="74">
        <f>IFERROR(VLOOKUP(Table1215[[#This Row],[Column2]],Table12[[Column2]:[Column54]],21,FALSE),"0")</f>
        <v>0</v>
      </c>
      <c r="W145" s="74">
        <f>IFERROR(VLOOKUP(Table1215[[#This Row],[Column2]],Table12[[Column2]:[Column54]],22,FALSE),"0")</f>
        <v>0</v>
      </c>
      <c r="X145" s="80">
        <f>Table1215[[#This Row],[Column19]]</f>
        <v>0</v>
      </c>
      <c r="Y145" s="74">
        <f>IFERROR(VLOOKUP(Table1215[[#This Row],[Column2]],Table12[[Column2]:[Column54]],24,FALSE),"0")</f>
        <v>2</v>
      </c>
      <c r="Z145" s="74">
        <f>IFERROR(VLOOKUP(Table1215[[#This Row],[Column2]],Table12[[Column2]:[Column54]],25,FALSE),"0")</f>
        <v>0</v>
      </c>
      <c r="AA145" s="74">
        <f>IFERROR(VLOOKUP(Table1215[[#This Row],[Column2]],Table12[[Column2]:[Column54]],26,FALSE),"0")</f>
        <v>0</v>
      </c>
      <c r="AB145" s="74">
        <f>IFERROR(VLOOKUP(Table1215[[#This Row],[Column2]],Table12[[Column2]:[Column54]],27,FALSE),"0")</f>
        <v>0</v>
      </c>
      <c r="AC145" s="74">
        <f>IFERROR(VLOOKUP(Table1215[[#This Row],[Column2]],Table12[[Column2]:[Column54]],28,FALSE),"0")</f>
        <v>0</v>
      </c>
      <c r="AD145" s="80">
        <f>Table1215[[#This Row],[Column25]]</f>
        <v>2</v>
      </c>
      <c r="AE145" s="74">
        <f>IFERROR(VLOOKUP(Table1215[[#This Row],[Column2]],Table12[[Column2]:[Column54]],30,FALSE),"0")</f>
        <v>0</v>
      </c>
      <c r="AF145" s="74">
        <f>IFERROR(VLOOKUP(Table1215[[#This Row],[Column2]],Table12[[Column2]:[Column54]],31,FALSE),"0")</f>
        <v>0</v>
      </c>
      <c r="AG145" s="74">
        <f>IFERROR(VLOOKUP(Table1215[[#This Row],[Column2]],Table12[[Column2]:[Column54]],32,FALSE),"0")</f>
        <v>0</v>
      </c>
      <c r="AH145" s="74">
        <f>IFERROR(VLOOKUP(Table1215[[#This Row],[Column2]],Table12[[Column2]:[Column54]],33,FALSE),"0")</f>
        <v>0</v>
      </c>
      <c r="AI145" s="74">
        <f>IFERROR(VLOOKUP(Table1215[[#This Row],[Column2]],Table12[[Column2]:[Column54]],34,FALSE),"0")</f>
        <v>0</v>
      </c>
      <c r="AJ145" s="80">
        <f>AVERAGE(Table1215[[#This Row],[Column31]],Table1215[[#This Row],[Column32]],Table1215[[#This Row],[Column33]])</f>
        <v>0</v>
      </c>
      <c r="AK145" s="74">
        <f>IFERROR(VLOOKUP(Table1215[[#This Row],[Column2]],Table12[[Column2]:[Column54]],36,FALSE),"0")</f>
        <v>2</v>
      </c>
      <c r="AL145" s="74">
        <f>IFERROR(VLOOKUP(Table1215[[#This Row],[Column2]],Table12[[Column2]:[Column54]],37,FALSE),"0")</f>
        <v>4</v>
      </c>
      <c r="AM145" s="74">
        <f>IFERROR(VLOOKUP(Table1215[[#This Row],[Column2]],Table12[[Column2]:[Column54]],38,FALSE),"0")</f>
        <v>0</v>
      </c>
      <c r="AN145" s="74">
        <f>IFERROR(VLOOKUP(Table1215[[#This Row],[Column2]],Table12[[Column2]:[Column54]],39,FALSE),"0")</f>
        <v>3</v>
      </c>
      <c r="AO145" s="74">
        <f>IFERROR(VLOOKUP(Table1215[[#This Row],[Column2]],Table12[[Column2]:[Column54]],40,FALSE),"0")</f>
        <v>0</v>
      </c>
      <c r="AP145" s="80">
        <f>AVERAGE(Table1215[[#This Row],[Column37]],Table1215[[#This Row],[Column38]],Table1215[[#This Row],[Column40]])</f>
        <v>3</v>
      </c>
      <c r="AQ145" s="74">
        <f>IFERROR(VLOOKUP(Table1215[[#This Row],[Column2]],Table12[[Column2]:[Column54]],42,FALSE),"0")</f>
        <v>4</v>
      </c>
      <c r="AR145" s="74">
        <f>IFERROR(VLOOKUP(Table1215[[#This Row],[Column2]],Table12[[Column2]:[Column54]],43,FALSE),"0")</f>
        <v>0</v>
      </c>
      <c r="AS145" s="74">
        <f>IFERROR(VLOOKUP(Table1215[[#This Row],[Column2]],Table12[[Column2]:[Column54]],44,FALSE),"0")</f>
        <v>0</v>
      </c>
      <c r="AT145" s="74">
        <f>IFERROR(VLOOKUP(Table1215[[#This Row],[Column2]],Table12[[Column2]:[Column54]],45,FALSE),"0")</f>
        <v>0</v>
      </c>
      <c r="AU145" s="74">
        <f>IFERROR(VLOOKUP(Table1215[[#This Row],[Column2]],Table12[[Column2]:[Column54]],46,FALSE),"0")</f>
        <v>0</v>
      </c>
      <c r="AV145" s="80">
        <f>Table1215[[#This Row],[Column43]]</f>
        <v>4</v>
      </c>
      <c r="AW145" s="74">
        <f>IFERROR(VLOOKUP(Table1215[[#This Row],[Column2]],Table12[[Column2]:[Column54]],48,FALSE),"0")</f>
        <v>0</v>
      </c>
      <c r="AX145" s="74">
        <f>IFERROR(VLOOKUP(Table1215[[#This Row],[Column2]],Table12[[Column2]:[Column54]],49,FALSE),"0")</f>
        <v>0</v>
      </c>
      <c r="AY145" s="74">
        <f>IFERROR(VLOOKUP(Table1215[[#This Row],[Column2]],Table12[[Column2]:[Column54]],50,FALSE),"0")</f>
        <v>0</v>
      </c>
      <c r="AZ145" s="74">
        <f>IFERROR(VLOOKUP(Table1215[[#This Row],[Column2]],Table12[[Column2]:[Column54]],51,FALSE),"0")</f>
        <v>2</v>
      </c>
      <c r="BA145" s="74">
        <f>IFERROR(VLOOKUP(Table1215[[#This Row],[Column2]],Table12[[Column2]:[Column54]],52,FALSE),"0")</f>
        <v>3</v>
      </c>
      <c r="BB145" s="80">
        <f>AVERAGE(Table1215[[#This Row],[Column52]],Table1215[[#This Row],[Column53]])</f>
        <v>2.5</v>
      </c>
    </row>
    <row r="146" spans="1:54" ht="23.1" customHeight="1" x14ac:dyDescent="0.3">
      <c r="A146" s="99">
        <v>143</v>
      </c>
      <c r="B146" s="76" t="s">
        <v>283</v>
      </c>
      <c r="C146" s="77" t="s">
        <v>284</v>
      </c>
      <c r="D146" s="76" t="s">
        <v>450</v>
      </c>
      <c r="E146" s="76" t="s">
        <v>161</v>
      </c>
      <c r="F146" s="76" t="str">
        <f>REPT(CHAR(160),10)&amp;Working!$E147</f>
        <v>          B</v>
      </c>
      <c r="G146" s="78">
        <f>IFERROR(VLOOKUP(Table1215[[#This Row],[Column2]],Table12[[Column2]:[Column54]],6,FALSE),"0")</f>
        <v>0</v>
      </c>
      <c r="H146" s="78">
        <f>IFERROR(VLOOKUP(Table1215[[#This Row],[Column2]],Table12[[Column2]:[Column54]],7,FALSE),"0")</f>
        <v>0</v>
      </c>
      <c r="I146" s="78">
        <f>IFERROR(VLOOKUP(Table1215[[#This Row],[Column2]],Table12[[Column2]:[Column54]],8,FALSE),"0")</f>
        <v>2</v>
      </c>
      <c r="J146" s="78">
        <f>IFERROR(VLOOKUP(Table1215[[#This Row],[Column2]],Table12[[Column2]:[Column54]],9,FALSE),"0")</f>
        <v>0</v>
      </c>
      <c r="K146" s="78">
        <f>IFERROR(VLOOKUP(Table1215[[#This Row],[Column2]],Table12[[Column2]:[Column54]],10,FALSE),"0")</f>
        <v>0</v>
      </c>
      <c r="L146" s="80">
        <f>Table1215[[#This Row],[Column9]]</f>
        <v>2</v>
      </c>
      <c r="M146" s="78">
        <f>IFERROR(VLOOKUP(Table1215[[#This Row],[Column2]],Table12[[Column2]:[Column54]],12,FALSE),"0")</f>
        <v>0</v>
      </c>
      <c r="N146" s="78">
        <f>IFERROR(VLOOKUP(Table1215[[#This Row],[Column2]],Table12[[Column2]:[Column54]],13,FALSE),"0")</f>
        <v>3</v>
      </c>
      <c r="O146" s="78">
        <f>IFERROR(VLOOKUP(Table1215[[#This Row],[Column2]],Table12[[Column2]:[Column54]],14,FALSE),"0")</f>
        <v>3</v>
      </c>
      <c r="P146" s="78">
        <f>IFERROR(VLOOKUP(Table1215[[#This Row],[Column2]],Table12[[Column2]:[Column54]],10,FALSE),"0")</f>
        <v>0</v>
      </c>
      <c r="Q146" s="78">
        <f>IFERROR(VLOOKUP(Table1215[[#This Row],[Column2]],Table12[[Column2]:[Column54]],16,FALSE),"0")</f>
        <v>3</v>
      </c>
      <c r="R146" s="80">
        <f>AVERAGE(Table1215[[#This Row],[Column14]],Table1215[[#This Row],[Column15]],Table1215[[#This Row],[Column17]])</f>
        <v>3</v>
      </c>
      <c r="S146" s="78">
        <f>IFERROR(VLOOKUP(Table1215[[#This Row],[Column2]],Table12[[Column2]:[Column54]],18,FALSE),"0")</f>
        <v>0</v>
      </c>
      <c r="T146" s="78">
        <f>IFERROR(VLOOKUP(Table1215[[#This Row],[Column2]],Table12[[Column2]:[Column54]],19,FALSE),"0")</f>
        <v>0</v>
      </c>
      <c r="U146" s="78">
        <f>IFERROR(VLOOKUP(Table1215[[#This Row],[Column2]],Table12[[Column2]:[Column54]],20,FALSE),"0")</f>
        <v>0</v>
      </c>
      <c r="V146" s="78">
        <f>IFERROR(VLOOKUP(Table1215[[#This Row],[Column2]],Table12[[Column2]:[Column54]],21,FALSE),"0")</f>
        <v>0</v>
      </c>
      <c r="W146" s="78">
        <f>IFERROR(VLOOKUP(Table1215[[#This Row],[Column2]],Table12[[Column2]:[Column54]],22,FALSE),"0")</f>
        <v>0</v>
      </c>
      <c r="X146" s="80">
        <f>Table1215[[#This Row],[Column19]]</f>
        <v>0</v>
      </c>
      <c r="Y146" s="78">
        <f>IFERROR(VLOOKUP(Table1215[[#This Row],[Column2]],Table12[[Column2]:[Column54]],24,FALSE),"0")</f>
        <v>0</v>
      </c>
      <c r="Z146" s="78">
        <f>IFERROR(VLOOKUP(Table1215[[#This Row],[Column2]],Table12[[Column2]:[Column54]],25,FALSE),"0")</f>
        <v>0</v>
      </c>
      <c r="AA146" s="78">
        <f>IFERROR(VLOOKUP(Table1215[[#This Row],[Column2]],Table12[[Column2]:[Column54]],26,FALSE),"0")</f>
        <v>0</v>
      </c>
      <c r="AB146" s="78">
        <f>IFERROR(VLOOKUP(Table1215[[#This Row],[Column2]],Table12[[Column2]:[Column54]],27,FALSE),"0")</f>
        <v>0</v>
      </c>
      <c r="AC146" s="78">
        <f>IFERROR(VLOOKUP(Table1215[[#This Row],[Column2]],Table12[[Column2]:[Column54]],28,FALSE),"0")</f>
        <v>0</v>
      </c>
      <c r="AD146" s="80">
        <f>Table1215[[#This Row],[Column25]]</f>
        <v>0</v>
      </c>
      <c r="AE146" s="78">
        <f>IFERROR(VLOOKUP(Table1215[[#This Row],[Column2]],Table12[[Column2]:[Column54]],30,FALSE),"0")</f>
        <v>0</v>
      </c>
      <c r="AF146" s="78">
        <f>IFERROR(VLOOKUP(Table1215[[#This Row],[Column2]],Table12[[Column2]:[Column54]],31,FALSE),"0")</f>
        <v>0</v>
      </c>
      <c r="AG146" s="78">
        <f>IFERROR(VLOOKUP(Table1215[[#This Row],[Column2]],Table12[[Column2]:[Column54]],32,FALSE),"0")</f>
        <v>0</v>
      </c>
      <c r="AH146" s="78">
        <f>IFERROR(VLOOKUP(Table1215[[#This Row],[Column2]],Table12[[Column2]:[Column54]],33,FALSE),"0")</f>
        <v>0</v>
      </c>
      <c r="AI146" s="78">
        <f>IFERROR(VLOOKUP(Table1215[[#This Row],[Column2]],Table12[[Column2]:[Column54]],34,FALSE),"0")</f>
        <v>0</v>
      </c>
      <c r="AJ146" s="80">
        <f>AVERAGE(Table1215[[#This Row],[Column31]],Table1215[[#This Row],[Column32]],Table1215[[#This Row],[Column33]])</f>
        <v>0</v>
      </c>
      <c r="AK146" s="78">
        <f>IFERROR(VLOOKUP(Table1215[[#This Row],[Column2]],Table12[[Column2]:[Column54]],36,FALSE),"0")</f>
        <v>2</v>
      </c>
      <c r="AL146" s="78">
        <f>IFERROR(VLOOKUP(Table1215[[#This Row],[Column2]],Table12[[Column2]:[Column54]],37,FALSE),"0")</f>
        <v>2</v>
      </c>
      <c r="AM146" s="78">
        <f>IFERROR(VLOOKUP(Table1215[[#This Row],[Column2]],Table12[[Column2]:[Column54]],38,FALSE),"0")</f>
        <v>0</v>
      </c>
      <c r="AN146" s="78">
        <f>IFERROR(VLOOKUP(Table1215[[#This Row],[Column2]],Table12[[Column2]:[Column54]],39,FALSE),"0")</f>
        <v>3</v>
      </c>
      <c r="AO146" s="78">
        <f>IFERROR(VLOOKUP(Table1215[[#This Row],[Column2]],Table12[[Column2]:[Column54]],40,FALSE),"0")</f>
        <v>0</v>
      </c>
      <c r="AP146" s="80">
        <f>AVERAGE(Table1215[[#This Row],[Column37]],Table1215[[#This Row],[Column38]],Table1215[[#This Row],[Column40]])</f>
        <v>2.3333333333333335</v>
      </c>
      <c r="AQ146" s="78">
        <f>IFERROR(VLOOKUP(Table1215[[#This Row],[Column2]],Table12[[Column2]:[Column54]],42,FALSE),"0")</f>
        <v>3</v>
      </c>
      <c r="AR146" s="78">
        <f>IFERROR(VLOOKUP(Table1215[[#This Row],[Column2]],Table12[[Column2]:[Column54]],43,FALSE),"0")</f>
        <v>0</v>
      </c>
      <c r="AS146" s="78">
        <f>IFERROR(VLOOKUP(Table1215[[#This Row],[Column2]],Table12[[Column2]:[Column54]],44,FALSE),"0")</f>
        <v>0</v>
      </c>
      <c r="AT146" s="78">
        <f>IFERROR(VLOOKUP(Table1215[[#This Row],[Column2]],Table12[[Column2]:[Column54]],45,FALSE),"0")</f>
        <v>0</v>
      </c>
      <c r="AU146" s="78">
        <f>IFERROR(VLOOKUP(Table1215[[#This Row],[Column2]],Table12[[Column2]:[Column54]],46,FALSE),"0")</f>
        <v>0</v>
      </c>
      <c r="AV146" s="80">
        <f>Table1215[[#This Row],[Column43]]</f>
        <v>3</v>
      </c>
      <c r="AW146" s="78">
        <f>IFERROR(VLOOKUP(Table1215[[#This Row],[Column2]],Table12[[Column2]:[Column54]],48,FALSE),"0")</f>
        <v>0</v>
      </c>
      <c r="AX146" s="78">
        <f>IFERROR(VLOOKUP(Table1215[[#This Row],[Column2]],Table12[[Column2]:[Column54]],49,FALSE),"0")</f>
        <v>0</v>
      </c>
      <c r="AY146" s="78">
        <f>IFERROR(VLOOKUP(Table1215[[#This Row],[Column2]],Table12[[Column2]:[Column54]],50,FALSE),"0")</f>
        <v>0</v>
      </c>
      <c r="AZ146" s="78">
        <f>IFERROR(VLOOKUP(Table1215[[#This Row],[Column2]],Table12[[Column2]:[Column54]],51,FALSE),"0")</f>
        <v>2</v>
      </c>
      <c r="BA146" s="78">
        <f>IFERROR(VLOOKUP(Table1215[[#This Row],[Column2]],Table12[[Column2]:[Column54]],52,FALSE),"0")</f>
        <v>3</v>
      </c>
      <c r="BB146" s="80">
        <f>AVERAGE(Table1215[[#This Row],[Column52]],Table1215[[#This Row],[Column53]])</f>
        <v>2.5</v>
      </c>
    </row>
    <row r="147" spans="1:54" ht="23.1" customHeight="1" x14ac:dyDescent="0.3">
      <c r="A147" s="100">
        <v>144</v>
      </c>
      <c r="B147" s="83" t="s">
        <v>172</v>
      </c>
      <c r="C147" s="84" t="s">
        <v>173</v>
      </c>
      <c r="D147" s="83" t="s">
        <v>450</v>
      </c>
      <c r="E147" s="83" t="s">
        <v>161</v>
      </c>
      <c r="F147" s="83" t="str">
        <f>REPT(CHAR(160),10)&amp;Working!$E148</f>
        <v>          B</v>
      </c>
      <c r="G147" s="74">
        <f>IFERROR(VLOOKUP(Table1215[[#This Row],[Column2]],Table12[[Column2]:[Column54]],6,FALSE),"0")</f>
        <v>0</v>
      </c>
      <c r="H147" s="74">
        <f>IFERROR(VLOOKUP(Table1215[[#This Row],[Column2]],Table12[[Column2]:[Column54]],7,FALSE),"0")</f>
        <v>0</v>
      </c>
      <c r="I147" s="74">
        <f>IFERROR(VLOOKUP(Table1215[[#This Row],[Column2]],Table12[[Column2]:[Column54]],8,FALSE),"0")</f>
        <v>3</v>
      </c>
      <c r="J147" s="74">
        <f>IFERROR(VLOOKUP(Table1215[[#This Row],[Column2]],Table12[[Column2]:[Column54]],9,FALSE),"0")</f>
        <v>0</v>
      </c>
      <c r="K147" s="74">
        <f>IFERROR(VLOOKUP(Table1215[[#This Row],[Column2]],Table12[[Column2]:[Column54]],10,FALSE),"0")</f>
        <v>0</v>
      </c>
      <c r="L147" s="80">
        <f>Table1215[[#This Row],[Column9]]</f>
        <v>3</v>
      </c>
      <c r="M147" s="74">
        <f>IFERROR(VLOOKUP(Table1215[[#This Row],[Column2]],Table12[[Column2]:[Column54]],12,FALSE),"0")</f>
        <v>0</v>
      </c>
      <c r="N147" s="74">
        <f>IFERROR(VLOOKUP(Table1215[[#This Row],[Column2]],Table12[[Column2]:[Column54]],13,FALSE),"0")</f>
        <v>5</v>
      </c>
      <c r="O147" s="74">
        <f>IFERROR(VLOOKUP(Table1215[[#This Row],[Column2]],Table12[[Column2]:[Column54]],14,FALSE),"0")</f>
        <v>4</v>
      </c>
      <c r="P147" s="74">
        <f>IFERROR(VLOOKUP(Table1215[[#This Row],[Column2]],Table12[[Column2]:[Column54]],10,FALSE),"0")</f>
        <v>0</v>
      </c>
      <c r="Q147" s="74">
        <f>IFERROR(VLOOKUP(Table1215[[#This Row],[Column2]],Table12[[Column2]:[Column54]],16,FALSE),"0")</f>
        <v>4</v>
      </c>
      <c r="R147" s="80">
        <f>AVERAGE(Table1215[[#This Row],[Column14]],Table1215[[#This Row],[Column15]],Table1215[[#This Row],[Column17]])</f>
        <v>4.333333333333333</v>
      </c>
      <c r="S147" s="74">
        <f>IFERROR(VLOOKUP(Table1215[[#This Row],[Column2]],Table12[[Column2]:[Column54]],18,FALSE),"0")</f>
        <v>0</v>
      </c>
      <c r="T147" s="74">
        <f>IFERROR(VLOOKUP(Table1215[[#This Row],[Column2]],Table12[[Column2]:[Column54]],19,FALSE),"0")</f>
        <v>0</v>
      </c>
      <c r="U147" s="74">
        <f>IFERROR(VLOOKUP(Table1215[[#This Row],[Column2]],Table12[[Column2]:[Column54]],20,FALSE),"0")</f>
        <v>0</v>
      </c>
      <c r="V147" s="74">
        <f>IFERROR(VLOOKUP(Table1215[[#This Row],[Column2]],Table12[[Column2]:[Column54]],21,FALSE),"0")</f>
        <v>0</v>
      </c>
      <c r="W147" s="74">
        <f>IFERROR(VLOOKUP(Table1215[[#This Row],[Column2]],Table12[[Column2]:[Column54]],22,FALSE),"0")</f>
        <v>0</v>
      </c>
      <c r="X147" s="80">
        <f>Table1215[[#This Row],[Column19]]</f>
        <v>0</v>
      </c>
      <c r="Y147" s="74">
        <f>IFERROR(VLOOKUP(Table1215[[#This Row],[Column2]],Table12[[Column2]:[Column54]],24,FALSE),"0")</f>
        <v>5</v>
      </c>
      <c r="Z147" s="74">
        <f>IFERROR(VLOOKUP(Table1215[[#This Row],[Column2]],Table12[[Column2]:[Column54]],25,FALSE),"0")</f>
        <v>0</v>
      </c>
      <c r="AA147" s="74">
        <f>IFERROR(VLOOKUP(Table1215[[#This Row],[Column2]],Table12[[Column2]:[Column54]],26,FALSE),"0")</f>
        <v>0</v>
      </c>
      <c r="AB147" s="74">
        <f>IFERROR(VLOOKUP(Table1215[[#This Row],[Column2]],Table12[[Column2]:[Column54]],27,FALSE),"0")</f>
        <v>0</v>
      </c>
      <c r="AC147" s="74">
        <f>IFERROR(VLOOKUP(Table1215[[#This Row],[Column2]],Table12[[Column2]:[Column54]],28,FALSE),"0")</f>
        <v>0</v>
      </c>
      <c r="AD147" s="80">
        <f>Table1215[[#This Row],[Column25]]</f>
        <v>5</v>
      </c>
      <c r="AE147" s="74">
        <f>IFERROR(VLOOKUP(Table1215[[#This Row],[Column2]],Table12[[Column2]:[Column54]],30,FALSE),"0")</f>
        <v>0</v>
      </c>
      <c r="AF147" s="74">
        <f>IFERROR(VLOOKUP(Table1215[[#This Row],[Column2]],Table12[[Column2]:[Column54]],31,FALSE),"0")</f>
        <v>0</v>
      </c>
      <c r="AG147" s="74">
        <f>IFERROR(VLOOKUP(Table1215[[#This Row],[Column2]],Table12[[Column2]:[Column54]],32,FALSE),"0")</f>
        <v>0</v>
      </c>
      <c r="AH147" s="74">
        <f>IFERROR(VLOOKUP(Table1215[[#This Row],[Column2]],Table12[[Column2]:[Column54]],33,FALSE),"0")</f>
        <v>0</v>
      </c>
      <c r="AI147" s="74">
        <f>IFERROR(VLOOKUP(Table1215[[#This Row],[Column2]],Table12[[Column2]:[Column54]],34,FALSE),"0")</f>
        <v>0</v>
      </c>
      <c r="AJ147" s="80">
        <f>AVERAGE(Table1215[[#This Row],[Column31]],Table1215[[#This Row],[Column32]],Table1215[[#This Row],[Column33]])</f>
        <v>0</v>
      </c>
      <c r="AK147" s="74">
        <f>IFERROR(VLOOKUP(Table1215[[#This Row],[Column2]],Table12[[Column2]:[Column54]],36,FALSE),"0")</f>
        <v>3</v>
      </c>
      <c r="AL147" s="74">
        <f>IFERROR(VLOOKUP(Table1215[[#This Row],[Column2]],Table12[[Column2]:[Column54]],37,FALSE),"0")</f>
        <v>3</v>
      </c>
      <c r="AM147" s="74">
        <f>IFERROR(VLOOKUP(Table1215[[#This Row],[Column2]],Table12[[Column2]:[Column54]],38,FALSE),"0")</f>
        <v>0</v>
      </c>
      <c r="AN147" s="74">
        <f>IFERROR(VLOOKUP(Table1215[[#This Row],[Column2]],Table12[[Column2]:[Column54]],39,FALSE),"0")</f>
        <v>3</v>
      </c>
      <c r="AO147" s="74">
        <f>IFERROR(VLOOKUP(Table1215[[#This Row],[Column2]],Table12[[Column2]:[Column54]],40,FALSE),"0")</f>
        <v>0</v>
      </c>
      <c r="AP147" s="80">
        <f>AVERAGE(Table1215[[#This Row],[Column37]],Table1215[[#This Row],[Column38]],Table1215[[#This Row],[Column40]])</f>
        <v>3</v>
      </c>
      <c r="AQ147" s="74">
        <f>IFERROR(VLOOKUP(Table1215[[#This Row],[Column2]],Table12[[Column2]:[Column54]],42,FALSE),"0")</f>
        <v>3</v>
      </c>
      <c r="AR147" s="74">
        <f>IFERROR(VLOOKUP(Table1215[[#This Row],[Column2]],Table12[[Column2]:[Column54]],43,FALSE),"0")</f>
        <v>0</v>
      </c>
      <c r="AS147" s="74">
        <f>IFERROR(VLOOKUP(Table1215[[#This Row],[Column2]],Table12[[Column2]:[Column54]],44,FALSE),"0")</f>
        <v>0</v>
      </c>
      <c r="AT147" s="74">
        <f>IFERROR(VLOOKUP(Table1215[[#This Row],[Column2]],Table12[[Column2]:[Column54]],45,FALSE),"0")</f>
        <v>0</v>
      </c>
      <c r="AU147" s="74">
        <f>IFERROR(VLOOKUP(Table1215[[#This Row],[Column2]],Table12[[Column2]:[Column54]],46,FALSE),"0")</f>
        <v>0</v>
      </c>
      <c r="AV147" s="80">
        <f>Table1215[[#This Row],[Column43]]</f>
        <v>3</v>
      </c>
      <c r="AW147" s="74">
        <f>IFERROR(VLOOKUP(Table1215[[#This Row],[Column2]],Table12[[Column2]:[Column54]],48,FALSE),"0")</f>
        <v>0</v>
      </c>
      <c r="AX147" s="74">
        <f>IFERROR(VLOOKUP(Table1215[[#This Row],[Column2]],Table12[[Column2]:[Column54]],49,FALSE),"0")</f>
        <v>0</v>
      </c>
      <c r="AY147" s="74">
        <f>IFERROR(VLOOKUP(Table1215[[#This Row],[Column2]],Table12[[Column2]:[Column54]],50,FALSE),"0")</f>
        <v>0</v>
      </c>
      <c r="AZ147" s="74">
        <f>IFERROR(VLOOKUP(Table1215[[#This Row],[Column2]],Table12[[Column2]:[Column54]],51,FALSE),"0")</f>
        <v>3</v>
      </c>
      <c r="BA147" s="74">
        <f>IFERROR(VLOOKUP(Table1215[[#This Row],[Column2]],Table12[[Column2]:[Column54]],52,FALSE),"0")</f>
        <v>4</v>
      </c>
      <c r="BB147" s="80">
        <f>AVERAGE(Table1215[[#This Row],[Column52]],Table1215[[#This Row],[Column53]])</f>
        <v>3.5</v>
      </c>
    </row>
    <row r="148" spans="1:54" ht="23.1" customHeight="1" x14ac:dyDescent="0.3">
      <c r="A148" s="99">
        <v>145</v>
      </c>
      <c r="B148" s="76" t="s">
        <v>376</v>
      </c>
      <c r="C148" s="77" t="s">
        <v>377</v>
      </c>
      <c r="D148" s="76" t="s">
        <v>542</v>
      </c>
      <c r="E148" s="76" t="s">
        <v>493</v>
      </c>
      <c r="F148" s="76" t="str">
        <f>REPT(CHAR(160),10)&amp;Working!$E149</f>
        <v>          C</v>
      </c>
      <c r="G148" s="78">
        <f>IFERROR(VLOOKUP(Table1215[[#This Row],[Column2]],Table12[[Column2]:[Column54]],6,FALSE),"0")</f>
        <v>0</v>
      </c>
      <c r="H148" s="78">
        <f>IFERROR(VLOOKUP(Table1215[[#This Row],[Column2]],Table12[[Column2]:[Column54]],7,FALSE),"0")</f>
        <v>0</v>
      </c>
      <c r="I148" s="78">
        <f>IFERROR(VLOOKUP(Table1215[[#This Row],[Column2]],Table12[[Column2]:[Column54]],8,FALSE),"0")</f>
        <v>2</v>
      </c>
      <c r="J148" s="78">
        <f>IFERROR(VLOOKUP(Table1215[[#This Row],[Column2]],Table12[[Column2]:[Column54]],9,FALSE),"0")</f>
        <v>0</v>
      </c>
      <c r="K148" s="78">
        <f>IFERROR(VLOOKUP(Table1215[[#This Row],[Column2]],Table12[[Column2]:[Column54]],10,FALSE),"0")</f>
        <v>0</v>
      </c>
      <c r="L148" s="80">
        <f>Table1215[[#This Row],[Column9]]</f>
        <v>2</v>
      </c>
      <c r="M148" s="78">
        <f>IFERROR(VLOOKUP(Table1215[[#This Row],[Column2]],Table12[[Column2]:[Column54]],12,FALSE),"0")</f>
        <v>0</v>
      </c>
      <c r="N148" s="78">
        <f>IFERROR(VLOOKUP(Table1215[[#This Row],[Column2]],Table12[[Column2]:[Column54]],13,FALSE),"0")</f>
        <v>3</v>
      </c>
      <c r="O148" s="78">
        <f>IFERROR(VLOOKUP(Table1215[[#This Row],[Column2]],Table12[[Column2]:[Column54]],14,FALSE),"0")</f>
        <v>3</v>
      </c>
      <c r="P148" s="78">
        <f>IFERROR(VLOOKUP(Table1215[[#This Row],[Column2]],Table12[[Column2]:[Column54]],10,FALSE),"0")</f>
        <v>0</v>
      </c>
      <c r="Q148" s="78">
        <f>IFERROR(VLOOKUP(Table1215[[#This Row],[Column2]],Table12[[Column2]:[Column54]],16,FALSE),"0")</f>
        <v>3</v>
      </c>
      <c r="R148" s="80">
        <f>AVERAGE(Table1215[[#This Row],[Column14]],Table1215[[#This Row],[Column15]],Table1215[[#This Row],[Column17]])</f>
        <v>3</v>
      </c>
      <c r="S148" s="78">
        <f>IFERROR(VLOOKUP(Table1215[[#This Row],[Column2]],Table12[[Column2]:[Column54]],18,FALSE),"0")</f>
        <v>0</v>
      </c>
      <c r="T148" s="78">
        <f>IFERROR(VLOOKUP(Table1215[[#This Row],[Column2]],Table12[[Column2]:[Column54]],19,FALSE),"0")</f>
        <v>0</v>
      </c>
      <c r="U148" s="78">
        <f>IFERROR(VLOOKUP(Table1215[[#This Row],[Column2]],Table12[[Column2]:[Column54]],20,FALSE),"0")</f>
        <v>0</v>
      </c>
      <c r="V148" s="78">
        <f>IFERROR(VLOOKUP(Table1215[[#This Row],[Column2]],Table12[[Column2]:[Column54]],21,FALSE),"0")</f>
        <v>0</v>
      </c>
      <c r="W148" s="78">
        <f>IFERROR(VLOOKUP(Table1215[[#This Row],[Column2]],Table12[[Column2]:[Column54]],22,FALSE),"0")</f>
        <v>0</v>
      </c>
      <c r="X148" s="80">
        <f>Table1215[[#This Row],[Column19]]</f>
        <v>0</v>
      </c>
      <c r="Y148" s="78">
        <f>IFERROR(VLOOKUP(Table1215[[#This Row],[Column2]],Table12[[Column2]:[Column54]],24,FALSE),"0")</f>
        <v>3</v>
      </c>
      <c r="Z148" s="78">
        <f>IFERROR(VLOOKUP(Table1215[[#This Row],[Column2]],Table12[[Column2]:[Column54]],25,FALSE),"0")</f>
        <v>0</v>
      </c>
      <c r="AA148" s="78">
        <f>IFERROR(VLOOKUP(Table1215[[#This Row],[Column2]],Table12[[Column2]:[Column54]],26,FALSE),"0")</f>
        <v>0</v>
      </c>
      <c r="AB148" s="78">
        <f>IFERROR(VLOOKUP(Table1215[[#This Row],[Column2]],Table12[[Column2]:[Column54]],27,FALSE),"0")</f>
        <v>0</v>
      </c>
      <c r="AC148" s="78">
        <f>IFERROR(VLOOKUP(Table1215[[#This Row],[Column2]],Table12[[Column2]:[Column54]],28,FALSE),"0")</f>
        <v>0</v>
      </c>
      <c r="AD148" s="80">
        <f>Table1215[[#This Row],[Column25]]</f>
        <v>3</v>
      </c>
      <c r="AE148" s="78">
        <f>IFERROR(VLOOKUP(Table1215[[#This Row],[Column2]],Table12[[Column2]:[Column54]],30,FALSE),"0")</f>
        <v>0</v>
      </c>
      <c r="AF148" s="78">
        <f>IFERROR(VLOOKUP(Table1215[[#This Row],[Column2]],Table12[[Column2]:[Column54]],31,FALSE),"0")</f>
        <v>0</v>
      </c>
      <c r="AG148" s="78">
        <f>IFERROR(VLOOKUP(Table1215[[#This Row],[Column2]],Table12[[Column2]:[Column54]],32,FALSE),"0")</f>
        <v>0</v>
      </c>
      <c r="AH148" s="78">
        <f>IFERROR(VLOOKUP(Table1215[[#This Row],[Column2]],Table12[[Column2]:[Column54]],33,FALSE),"0")</f>
        <v>0</v>
      </c>
      <c r="AI148" s="78">
        <f>IFERROR(VLOOKUP(Table1215[[#This Row],[Column2]],Table12[[Column2]:[Column54]],34,FALSE),"0")</f>
        <v>0</v>
      </c>
      <c r="AJ148" s="80">
        <f>AVERAGE(Table1215[[#This Row],[Column31]],Table1215[[#This Row],[Column32]],Table1215[[#This Row],[Column33]])</f>
        <v>0</v>
      </c>
      <c r="AK148" s="78">
        <f>IFERROR(VLOOKUP(Table1215[[#This Row],[Column2]],Table12[[Column2]:[Column54]],36,FALSE),"0")</f>
        <v>3</v>
      </c>
      <c r="AL148" s="78">
        <f>IFERROR(VLOOKUP(Table1215[[#This Row],[Column2]],Table12[[Column2]:[Column54]],37,FALSE),"0")</f>
        <v>4</v>
      </c>
      <c r="AM148" s="78">
        <f>IFERROR(VLOOKUP(Table1215[[#This Row],[Column2]],Table12[[Column2]:[Column54]],38,FALSE),"0")</f>
        <v>0</v>
      </c>
      <c r="AN148" s="78">
        <f>IFERROR(VLOOKUP(Table1215[[#This Row],[Column2]],Table12[[Column2]:[Column54]],39,FALSE),"0")</f>
        <v>3</v>
      </c>
      <c r="AO148" s="78">
        <f>IFERROR(VLOOKUP(Table1215[[#This Row],[Column2]],Table12[[Column2]:[Column54]],40,FALSE),"0")</f>
        <v>0</v>
      </c>
      <c r="AP148" s="80">
        <f>AVERAGE(Table1215[[#This Row],[Column37]],Table1215[[#This Row],[Column38]],Table1215[[#This Row],[Column40]])</f>
        <v>3.3333333333333335</v>
      </c>
      <c r="AQ148" s="78">
        <f>IFERROR(VLOOKUP(Table1215[[#This Row],[Column2]],Table12[[Column2]:[Column54]],42,FALSE),"0")</f>
        <v>3</v>
      </c>
      <c r="AR148" s="78">
        <f>IFERROR(VLOOKUP(Table1215[[#This Row],[Column2]],Table12[[Column2]:[Column54]],43,FALSE),"0")</f>
        <v>0</v>
      </c>
      <c r="AS148" s="78">
        <f>IFERROR(VLOOKUP(Table1215[[#This Row],[Column2]],Table12[[Column2]:[Column54]],44,FALSE),"0")</f>
        <v>0</v>
      </c>
      <c r="AT148" s="78">
        <f>IFERROR(VLOOKUP(Table1215[[#This Row],[Column2]],Table12[[Column2]:[Column54]],45,FALSE),"0")</f>
        <v>0</v>
      </c>
      <c r="AU148" s="78">
        <f>IFERROR(VLOOKUP(Table1215[[#This Row],[Column2]],Table12[[Column2]:[Column54]],46,FALSE),"0")</f>
        <v>0</v>
      </c>
      <c r="AV148" s="80">
        <f>Table1215[[#This Row],[Column43]]</f>
        <v>3</v>
      </c>
      <c r="AW148" s="78">
        <f>IFERROR(VLOOKUP(Table1215[[#This Row],[Column2]],Table12[[Column2]:[Column54]],48,FALSE),"0")</f>
        <v>0</v>
      </c>
      <c r="AX148" s="78">
        <f>IFERROR(VLOOKUP(Table1215[[#This Row],[Column2]],Table12[[Column2]:[Column54]],49,FALSE),"0")</f>
        <v>0</v>
      </c>
      <c r="AY148" s="78">
        <f>IFERROR(VLOOKUP(Table1215[[#This Row],[Column2]],Table12[[Column2]:[Column54]],50,FALSE),"0")</f>
        <v>0</v>
      </c>
      <c r="AZ148" s="78">
        <f>IFERROR(VLOOKUP(Table1215[[#This Row],[Column2]],Table12[[Column2]:[Column54]],51,FALSE),"0")</f>
        <v>2</v>
      </c>
      <c r="BA148" s="78">
        <f>IFERROR(VLOOKUP(Table1215[[#This Row],[Column2]],Table12[[Column2]:[Column54]],52,FALSE),"0")</f>
        <v>4</v>
      </c>
      <c r="BB148" s="80">
        <f>AVERAGE(Table1215[[#This Row],[Column52]],Table1215[[#This Row],[Column53]])</f>
        <v>3</v>
      </c>
    </row>
    <row r="149" spans="1:54" ht="23.1" customHeight="1" x14ac:dyDescent="0.3">
      <c r="A149" s="100">
        <v>146</v>
      </c>
      <c r="B149" s="83" t="s">
        <v>378</v>
      </c>
      <c r="C149" s="84" t="s">
        <v>379</v>
      </c>
      <c r="D149" s="83" t="s">
        <v>542</v>
      </c>
      <c r="E149" s="83" t="s">
        <v>493</v>
      </c>
      <c r="F149" s="83" t="str">
        <f>REPT(CHAR(160),10)&amp;Working!$E150</f>
        <v>          C</v>
      </c>
      <c r="G149" s="74">
        <f>IFERROR(VLOOKUP(Table1215[[#This Row],[Column2]],Table12[[Column2]:[Column54]],6,FALSE),"0")</f>
        <v>0</v>
      </c>
      <c r="H149" s="74">
        <f>IFERROR(VLOOKUP(Table1215[[#This Row],[Column2]],Table12[[Column2]:[Column54]],7,FALSE),"0")</f>
        <v>0</v>
      </c>
      <c r="I149" s="74">
        <f>IFERROR(VLOOKUP(Table1215[[#This Row],[Column2]],Table12[[Column2]:[Column54]],8,FALSE),"0")</f>
        <v>5</v>
      </c>
      <c r="J149" s="74">
        <f>IFERROR(VLOOKUP(Table1215[[#This Row],[Column2]],Table12[[Column2]:[Column54]],9,FALSE),"0")</f>
        <v>0</v>
      </c>
      <c r="K149" s="74">
        <f>IFERROR(VLOOKUP(Table1215[[#This Row],[Column2]],Table12[[Column2]:[Column54]],10,FALSE),"0")</f>
        <v>0</v>
      </c>
      <c r="L149" s="80">
        <f>Table1215[[#This Row],[Column9]]</f>
        <v>5</v>
      </c>
      <c r="M149" s="74">
        <f>IFERROR(VLOOKUP(Table1215[[#This Row],[Column2]],Table12[[Column2]:[Column54]],12,FALSE),"0")</f>
        <v>0</v>
      </c>
      <c r="N149" s="74">
        <f>IFERROR(VLOOKUP(Table1215[[#This Row],[Column2]],Table12[[Column2]:[Column54]],13,FALSE),"0")</f>
        <v>5</v>
      </c>
      <c r="O149" s="74">
        <f>IFERROR(VLOOKUP(Table1215[[#This Row],[Column2]],Table12[[Column2]:[Column54]],14,FALSE),"0")</f>
        <v>5</v>
      </c>
      <c r="P149" s="74">
        <f>IFERROR(VLOOKUP(Table1215[[#This Row],[Column2]],Table12[[Column2]:[Column54]],10,FALSE),"0")</f>
        <v>0</v>
      </c>
      <c r="Q149" s="74">
        <f>IFERROR(VLOOKUP(Table1215[[#This Row],[Column2]],Table12[[Column2]:[Column54]],16,FALSE),"0")</f>
        <v>5</v>
      </c>
      <c r="R149" s="80">
        <f>AVERAGE(Table1215[[#This Row],[Column14]],Table1215[[#This Row],[Column15]],Table1215[[#This Row],[Column17]])</f>
        <v>5</v>
      </c>
      <c r="S149" s="74">
        <f>IFERROR(VLOOKUP(Table1215[[#This Row],[Column2]],Table12[[Column2]:[Column54]],18,FALSE),"0")</f>
        <v>0</v>
      </c>
      <c r="T149" s="74">
        <f>IFERROR(VLOOKUP(Table1215[[#This Row],[Column2]],Table12[[Column2]:[Column54]],19,FALSE),"0")</f>
        <v>0</v>
      </c>
      <c r="U149" s="74">
        <f>IFERROR(VLOOKUP(Table1215[[#This Row],[Column2]],Table12[[Column2]:[Column54]],20,FALSE),"0")</f>
        <v>0</v>
      </c>
      <c r="V149" s="74">
        <f>IFERROR(VLOOKUP(Table1215[[#This Row],[Column2]],Table12[[Column2]:[Column54]],21,FALSE),"0")</f>
        <v>0</v>
      </c>
      <c r="W149" s="74">
        <f>IFERROR(VLOOKUP(Table1215[[#This Row],[Column2]],Table12[[Column2]:[Column54]],22,FALSE),"0")</f>
        <v>0</v>
      </c>
      <c r="X149" s="80">
        <f>Table1215[[#This Row],[Column19]]</f>
        <v>0</v>
      </c>
      <c r="Y149" s="74">
        <f>IFERROR(VLOOKUP(Table1215[[#This Row],[Column2]],Table12[[Column2]:[Column54]],24,FALSE),"0")</f>
        <v>5</v>
      </c>
      <c r="Z149" s="74">
        <f>IFERROR(VLOOKUP(Table1215[[#This Row],[Column2]],Table12[[Column2]:[Column54]],25,FALSE),"0")</f>
        <v>0</v>
      </c>
      <c r="AA149" s="74">
        <f>IFERROR(VLOOKUP(Table1215[[#This Row],[Column2]],Table12[[Column2]:[Column54]],26,FALSE),"0")</f>
        <v>0</v>
      </c>
      <c r="AB149" s="74">
        <f>IFERROR(VLOOKUP(Table1215[[#This Row],[Column2]],Table12[[Column2]:[Column54]],27,FALSE),"0")</f>
        <v>0</v>
      </c>
      <c r="AC149" s="74">
        <f>IFERROR(VLOOKUP(Table1215[[#This Row],[Column2]],Table12[[Column2]:[Column54]],28,FALSE),"0")</f>
        <v>0</v>
      </c>
      <c r="AD149" s="80">
        <f>Table1215[[#This Row],[Column25]]</f>
        <v>5</v>
      </c>
      <c r="AE149" s="74">
        <f>IFERROR(VLOOKUP(Table1215[[#This Row],[Column2]],Table12[[Column2]:[Column54]],30,FALSE),"0")</f>
        <v>0</v>
      </c>
      <c r="AF149" s="74">
        <f>IFERROR(VLOOKUP(Table1215[[#This Row],[Column2]],Table12[[Column2]:[Column54]],31,FALSE),"0")</f>
        <v>0</v>
      </c>
      <c r="AG149" s="74">
        <f>IFERROR(VLOOKUP(Table1215[[#This Row],[Column2]],Table12[[Column2]:[Column54]],32,FALSE),"0")</f>
        <v>0</v>
      </c>
      <c r="AH149" s="74">
        <f>IFERROR(VLOOKUP(Table1215[[#This Row],[Column2]],Table12[[Column2]:[Column54]],33,FALSE),"0")</f>
        <v>0</v>
      </c>
      <c r="AI149" s="74">
        <f>IFERROR(VLOOKUP(Table1215[[#This Row],[Column2]],Table12[[Column2]:[Column54]],34,FALSE),"0")</f>
        <v>0</v>
      </c>
      <c r="AJ149" s="80">
        <f>AVERAGE(Table1215[[#This Row],[Column31]],Table1215[[#This Row],[Column32]],Table1215[[#This Row],[Column33]])</f>
        <v>0</v>
      </c>
      <c r="AK149" s="74">
        <f>IFERROR(VLOOKUP(Table1215[[#This Row],[Column2]],Table12[[Column2]:[Column54]],36,FALSE),"0")</f>
        <v>5</v>
      </c>
      <c r="AL149" s="74">
        <f>IFERROR(VLOOKUP(Table1215[[#This Row],[Column2]],Table12[[Column2]:[Column54]],37,FALSE),"0")</f>
        <v>5</v>
      </c>
      <c r="AM149" s="74">
        <f>IFERROR(VLOOKUP(Table1215[[#This Row],[Column2]],Table12[[Column2]:[Column54]],38,FALSE),"0")</f>
        <v>0</v>
      </c>
      <c r="AN149" s="74">
        <f>IFERROR(VLOOKUP(Table1215[[#This Row],[Column2]],Table12[[Column2]:[Column54]],39,FALSE),"0")</f>
        <v>5</v>
      </c>
      <c r="AO149" s="74">
        <f>IFERROR(VLOOKUP(Table1215[[#This Row],[Column2]],Table12[[Column2]:[Column54]],40,FALSE),"0")</f>
        <v>0</v>
      </c>
      <c r="AP149" s="80">
        <f>AVERAGE(Table1215[[#This Row],[Column37]],Table1215[[#This Row],[Column38]],Table1215[[#This Row],[Column40]])</f>
        <v>5</v>
      </c>
      <c r="AQ149" s="74">
        <f>IFERROR(VLOOKUP(Table1215[[#This Row],[Column2]],Table12[[Column2]:[Column54]],42,FALSE),"0")</f>
        <v>5</v>
      </c>
      <c r="AR149" s="74">
        <f>IFERROR(VLOOKUP(Table1215[[#This Row],[Column2]],Table12[[Column2]:[Column54]],43,FALSE),"0")</f>
        <v>0</v>
      </c>
      <c r="AS149" s="74">
        <f>IFERROR(VLOOKUP(Table1215[[#This Row],[Column2]],Table12[[Column2]:[Column54]],44,FALSE),"0")</f>
        <v>0</v>
      </c>
      <c r="AT149" s="74">
        <f>IFERROR(VLOOKUP(Table1215[[#This Row],[Column2]],Table12[[Column2]:[Column54]],45,FALSE),"0")</f>
        <v>0</v>
      </c>
      <c r="AU149" s="74">
        <f>IFERROR(VLOOKUP(Table1215[[#This Row],[Column2]],Table12[[Column2]:[Column54]],46,FALSE),"0")</f>
        <v>0</v>
      </c>
      <c r="AV149" s="80">
        <f>Table1215[[#This Row],[Column43]]</f>
        <v>5</v>
      </c>
      <c r="AW149" s="74">
        <f>IFERROR(VLOOKUP(Table1215[[#This Row],[Column2]],Table12[[Column2]:[Column54]],48,FALSE),"0")</f>
        <v>0</v>
      </c>
      <c r="AX149" s="74">
        <f>IFERROR(VLOOKUP(Table1215[[#This Row],[Column2]],Table12[[Column2]:[Column54]],49,FALSE),"0")</f>
        <v>0</v>
      </c>
      <c r="AY149" s="74">
        <f>IFERROR(VLOOKUP(Table1215[[#This Row],[Column2]],Table12[[Column2]:[Column54]],50,FALSE),"0")</f>
        <v>0</v>
      </c>
      <c r="AZ149" s="74">
        <f>IFERROR(VLOOKUP(Table1215[[#This Row],[Column2]],Table12[[Column2]:[Column54]],51,FALSE),"0")</f>
        <v>5</v>
      </c>
      <c r="BA149" s="74">
        <f>IFERROR(VLOOKUP(Table1215[[#This Row],[Column2]],Table12[[Column2]:[Column54]],52,FALSE),"0")</f>
        <v>5</v>
      </c>
      <c r="BB149" s="80">
        <f>AVERAGE(Table1215[[#This Row],[Column52]],Table1215[[#This Row],[Column53]])</f>
        <v>5</v>
      </c>
    </row>
    <row r="150" spans="1:54" ht="23.1" customHeight="1" x14ac:dyDescent="0.3">
      <c r="A150" s="99">
        <v>147</v>
      </c>
      <c r="B150" s="76" t="s">
        <v>154</v>
      </c>
      <c r="C150" s="77" t="s">
        <v>155</v>
      </c>
      <c r="D150" s="76" t="s">
        <v>450</v>
      </c>
      <c r="E150" s="76" t="s">
        <v>35</v>
      </c>
      <c r="F150" s="76" t="str">
        <f>REPT(CHAR(160),10)&amp;Working!$E151</f>
        <v>          A</v>
      </c>
      <c r="G150" s="78">
        <f>IFERROR(VLOOKUP(Table1215[[#This Row],[Column2]],Table12[[Column2]:[Column54]],6,FALSE),"0")</f>
        <v>0</v>
      </c>
      <c r="H150" s="78">
        <f>IFERROR(VLOOKUP(Table1215[[#This Row],[Column2]],Table12[[Column2]:[Column54]],7,FALSE),"0")</f>
        <v>0</v>
      </c>
      <c r="I150" s="78">
        <f>IFERROR(VLOOKUP(Table1215[[#This Row],[Column2]],Table12[[Column2]:[Column54]],8,FALSE),"0")</f>
        <v>3</v>
      </c>
      <c r="J150" s="78">
        <f>IFERROR(VLOOKUP(Table1215[[#This Row],[Column2]],Table12[[Column2]:[Column54]],9,FALSE),"0")</f>
        <v>0</v>
      </c>
      <c r="K150" s="78">
        <f>IFERROR(VLOOKUP(Table1215[[#This Row],[Column2]],Table12[[Column2]:[Column54]],10,FALSE),"0")</f>
        <v>0</v>
      </c>
      <c r="L150" s="80">
        <f>Table1215[[#This Row],[Column9]]</f>
        <v>3</v>
      </c>
      <c r="M150" s="78">
        <f>IFERROR(VLOOKUP(Table1215[[#This Row],[Column2]],Table12[[Column2]:[Column54]],12,FALSE),"0")</f>
        <v>0</v>
      </c>
      <c r="N150" s="78">
        <f>IFERROR(VLOOKUP(Table1215[[#This Row],[Column2]],Table12[[Column2]:[Column54]],13,FALSE),"0")</f>
        <v>4</v>
      </c>
      <c r="O150" s="78">
        <f>IFERROR(VLOOKUP(Table1215[[#This Row],[Column2]],Table12[[Column2]:[Column54]],14,FALSE),"0")</f>
        <v>3</v>
      </c>
      <c r="P150" s="78">
        <f>IFERROR(VLOOKUP(Table1215[[#This Row],[Column2]],Table12[[Column2]:[Column54]],10,FALSE),"0")</f>
        <v>0</v>
      </c>
      <c r="Q150" s="78">
        <f>IFERROR(VLOOKUP(Table1215[[#This Row],[Column2]],Table12[[Column2]:[Column54]],16,FALSE),"0")</f>
        <v>3</v>
      </c>
      <c r="R150" s="80">
        <f>AVERAGE(Table1215[[#This Row],[Column14]],Table1215[[#This Row],[Column15]],Table1215[[#This Row],[Column17]])</f>
        <v>3.3333333333333335</v>
      </c>
      <c r="S150" s="78">
        <f>IFERROR(VLOOKUP(Table1215[[#This Row],[Column2]],Table12[[Column2]:[Column54]],18,FALSE),"0")</f>
        <v>0</v>
      </c>
      <c r="T150" s="78">
        <f>IFERROR(VLOOKUP(Table1215[[#This Row],[Column2]],Table12[[Column2]:[Column54]],19,FALSE),"0")</f>
        <v>0</v>
      </c>
      <c r="U150" s="78">
        <f>IFERROR(VLOOKUP(Table1215[[#This Row],[Column2]],Table12[[Column2]:[Column54]],20,FALSE),"0")</f>
        <v>0</v>
      </c>
      <c r="V150" s="78">
        <f>IFERROR(VLOOKUP(Table1215[[#This Row],[Column2]],Table12[[Column2]:[Column54]],21,FALSE),"0")</f>
        <v>0</v>
      </c>
      <c r="W150" s="78">
        <f>IFERROR(VLOOKUP(Table1215[[#This Row],[Column2]],Table12[[Column2]:[Column54]],22,FALSE),"0")</f>
        <v>0</v>
      </c>
      <c r="X150" s="80">
        <f>Table1215[[#This Row],[Column19]]</f>
        <v>0</v>
      </c>
      <c r="Y150" s="78">
        <f>IFERROR(VLOOKUP(Table1215[[#This Row],[Column2]],Table12[[Column2]:[Column54]],24,FALSE),"0")</f>
        <v>3</v>
      </c>
      <c r="Z150" s="78">
        <f>IFERROR(VLOOKUP(Table1215[[#This Row],[Column2]],Table12[[Column2]:[Column54]],25,FALSE),"0")</f>
        <v>0</v>
      </c>
      <c r="AA150" s="78">
        <f>IFERROR(VLOOKUP(Table1215[[#This Row],[Column2]],Table12[[Column2]:[Column54]],26,FALSE),"0")</f>
        <v>0</v>
      </c>
      <c r="AB150" s="78">
        <f>IFERROR(VLOOKUP(Table1215[[#This Row],[Column2]],Table12[[Column2]:[Column54]],27,FALSE),"0")</f>
        <v>0</v>
      </c>
      <c r="AC150" s="78">
        <f>IFERROR(VLOOKUP(Table1215[[#This Row],[Column2]],Table12[[Column2]:[Column54]],28,FALSE),"0")</f>
        <v>0</v>
      </c>
      <c r="AD150" s="80">
        <f>Table1215[[#This Row],[Column25]]</f>
        <v>3</v>
      </c>
      <c r="AE150" s="78">
        <f>IFERROR(VLOOKUP(Table1215[[#This Row],[Column2]],Table12[[Column2]:[Column54]],30,FALSE),"0")</f>
        <v>0</v>
      </c>
      <c r="AF150" s="78">
        <f>IFERROR(VLOOKUP(Table1215[[#This Row],[Column2]],Table12[[Column2]:[Column54]],31,FALSE),"0")</f>
        <v>0</v>
      </c>
      <c r="AG150" s="78">
        <f>IFERROR(VLOOKUP(Table1215[[#This Row],[Column2]],Table12[[Column2]:[Column54]],32,FALSE),"0")</f>
        <v>0</v>
      </c>
      <c r="AH150" s="78">
        <f>IFERROR(VLOOKUP(Table1215[[#This Row],[Column2]],Table12[[Column2]:[Column54]],33,FALSE),"0")</f>
        <v>0</v>
      </c>
      <c r="AI150" s="78">
        <f>IFERROR(VLOOKUP(Table1215[[#This Row],[Column2]],Table12[[Column2]:[Column54]],34,FALSE),"0")</f>
        <v>0</v>
      </c>
      <c r="AJ150" s="80">
        <f>AVERAGE(Table1215[[#This Row],[Column31]],Table1215[[#This Row],[Column32]],Table1215[[#This Row],[Column33]])</f>
        <v>0</v>
      </c>
      <c r="AK150" s="78">
        <f>IFERROR(VLOOKUP(Table1215[[#This Row],[Column2]],Table12[[Column2]:[Column54]],36,FALSE),"0")</f>
        <v>4</v>
      </c>
      <c r="AL150" s="78">
        <f>IFERROR(VLOOKUP(Table1215[[#This Row],[Column2]],Table12[[Column2]:[Column54]],37,FALSE),"0")</f>
        <v>3</v>
      </c>
      <c r="AM150" s="78">
        <f>IFERROR(VLOOKUP(Table1215[[#This Row],[Column2]],Table12[[Column2]:[Column54]],38,FALSE),"0")</f>
        <v>0</v>
      </c>
      <c r="AN150" s="78">
        <f>IFERROR(VLOOKUP(Table1215[[#This Row],[Column2]],Table12[[Column2]:[Column54]],39,FALSE),"0")</f>
        <v>4</v>
      </c>
      <c r="AO150" s="78">
        <f>IFERROR(VLOOKUP(Table1215[[#This Row],[Column2]],Table12[[Column2]:[Column54]],40,FALSE),"0")</f>
        <v>0</v>
      </c>
      <c r="AP150" s="80">
        <f>AVERAGE(Table1215[[#This Row],[Column37]],Table1215[[#This Row],[Column38]],Table1215[[#This Row],[Column40]])</f>
        <v>3.6666666666666665</v>
      </c>
      <c r="AQ150" s="78">
        <f>IFERROR(VLOOKUP(Table1215[[#This Row],[Column2]],Table12[[Column2]:[Column54]],42,FALSE),"0")</f>
        <v>2</v>
      </c>
      <c r="AR150" s="78">
        <f>IFERROR(VLOOKUP(Table1215[[#This Row],[Column2]],Table12[[Column2]:[Column54]],43,FALSE),"0")</f>
        <v>0</v>
      </c>
      <c r="AS150" s="78">
        <f>IFERROR(VLOOKUP(Table1215[[#This Row],[Column2]],Table12[[Column2]:[Column54]],44,FALSE),"0")</f>
        <v>0</v>
      </c>
      <c r="AT150" s="78">
        <f>IFERROR(VLOOKUP(Table1215[[#This Row],[Column2]],Table12[[Column2]:[Column54]],45,FALSE),"0")</f>
        <v>0</v>
      </c>
      <c r="AU150" s="78">
        <f>IFERROR(VLOOKUP(Table1215[[#This Row],[Column2]],Table12[[Column2]:[Column54]],46,FALSE),"0")</f>
        <v>0</v>
      </c>
      <c r="AV150" s="80">
        <f>Table1215[[#This Row],[Column43]]</f>
        <v>2</v>
      </c>
      <c r="AW150" s="78">
        <f>IFERROR(VLOOKUP(Table1215[[#This Row],[Column2]],Table12[[Column2]:[Column54]],48,FALSE),"0")</f>
        <v>0</v>
      </c>
      <c r="AX150" s="78">
        <f>IFERROR(VLOOKUP(Table1215[[#This Row],[Column2]],Table12[[Column2]:[Column54]],49,FALSE),"0")</f>
        <v>0</v>
      </c>
      <c r="AY150" s="78">
        <f>IFERROR(VLOOKUP(Table1215[[#This Row],[Column2]],Table12[[Column2]:[Column54]],50,FALSE),"0")</f>
        <v>0</v>
      </c>
      <c r="AZ150" s="78">
        <f>IFERROR(VLOOKUP(Table1215[[#This Row],[Column2]],Table12[[Column2]:[Column54]],51,FALSE),"0")</f>
        <v>3</v>
      </c>
      <c r="BA150" s="78">
        <f>IFERROR(VLOOKUP(Table1215[[#This Row],[Column2]],Table12[[Column2]:[Column54]],52,FALSE),"0")</f>
        <v>3</v>
      </c>
      <c r="BB150" s="80">
        <f>AVERAGE(Table1215[[#This Row],[Column52]],Table1215[[#This Row],[Column53]])</f>
        <v>3</v>
      </c>
    </row>
    <row r="151" spans="1:54" ht="23.1" customHeight="1" x14ac:dyDescent="0.3">
      <c r="A151" s="100">
        <v>148</v>
      </c>
      <c r="B151" s="83" t="s">
        <v>380</v>
      </c>
      <c r="C151" s="84" t="s">
        <v>381</v>
      </c>
      <c r="D151" s="83" t="s">
        <v>450</v>
      </c>
      <c r="E151" s="83" t="s">
        <v>493</v>
      </c>
      <c r="F151" s="83" t="str">
        <f>REPT(CHAR(160),10)&amp;Working!$E152</f>
        <v>          C</v>
      </c>
      <c r="G151" s="74">
        <f>IFERROR(VLOOKUP(Table1215[[#This Row],[Column2]],Table12[[Column2]:[Column54]],6,FALSE),"0")</f>
        <v>0</v>
      </c>
      <c r="H151" s="74">
        <f>IFERROR(VLOOKUP(Table1215[[#This Row],[Column2]],Table12[[Column2]:[Column54]],7,FALSE),"0")</f>
        <v>0</v>
      </c>
      <c r="I151" s="74">
        <f>IFERROR(VLOOKUP(Table1215[[#This Row],[Column2]],Table12[[Column2]:[Column54]],8,FALSE),"0")</f>
        <v>3</v>
      </c>
      <c r="J151" s="74">
        <f>IFERROR(VLOOKUP(Table1215[[#This Row],[Column2]],Table12[[Column2]:[Column54]],9,FALSE),"0")</f>
        <v>0</v>
      </c>
      <c r="K151" s="74">
        <f>IFERROR(VLOOKUP(Table1215[[#This Row],[Column2]],Table12[[Column2]:[Column54]],10,FALSE),"0")</f>
        <v>0</v>
      </c>
      <c r="L151" s="80">
        <f>Table1215[[#This Row],[Column9]]</f>
        <v>3</v>
      </c>
      <c r="M151" s="74">
        <f>IFERROR(VLOOKUP(Table1215[[#This Row],[Column2]],Table12[[Column2]:[Column54]],12,FALSE),"0")</f>
        <v>0</v>
      </c>
      <c r="N151" s="74">
        <f>IFERROR(VLOOKUP(Table1215[[#This Row],[Column2]],Table12[[Column2]:[Column54]],13,FALSE),"0")</f>
        <v>4</v>
      </c>
      <c r="O151" s="74">
        <f>IFERROR(VLOOKUP(Table1215[[#This Row],[Column2]],Table12[[Column2]:[Column54]],14,FALSE),"0")</f>
        <v>3</v>
      </c>
      <c r="P151" s="74">
        <f>IFERROR(VLOOKUP(Table1215[[#This Row],[Column2]],Table12[[Column2]:[Column54]],10,FALSE),"0")</f>
        <v>0</v>
      </c>
      <c r="Q151" s="74">
        <f>IFERROR(VLOOKUP(Table1215[[#This Row],[Column2]],Table12[[Column2]:[Column54]],16,FALSE),"0")</f>
        <v>3</v>
      </c>
      <c r="R151" s="80">
        <f>AVERAGE(Table1215[[#This Row],[Column14]],Table1215[[#This Row],[Column15]],Table1215[[#This Row],[Column17]])</f>
        <v>3.3333333333333335</v>
      </c>
      <c r="S151" s="74">
        <f>IFERROR(VLOOKUP(Table1215[[#This Row],[Column2]],Table12[[Column2]:[Column54]],18,FALSE),"0")</f>
        <v>0</v>
      </c>
      <c r="T151" s="74">
        <f>IFERROR(VLOOKUP(Table1215[[#This Row],[Column2]],Table12[[Column2]:[Column54]],19,FALSE),"0")</f>
        <v>0</v>
      </c>
      <c r="U151" s="74">
        <f>IFERROR(VLOOKUP(Table1215[[#This Row],[Column2]],Table12[[Column2]:[Column54]],20,FALSE),"0")</f>
        <v>0</v>
      </c>
      <c r="V151" s="74">
        <f>IFERROR(VLOOKUP(Table1215[[#This Row],[Column2]],Table12[[Column2]:[Column54]],21,FALSE),"0")</f>
        <v>0</v>
      </c>
      <c r="W151" s="74">
        <f>IFERROR(VLOOKUP(Table1215[[#This Row],[Column2]],Table12[[Column2]:[Column54]],22,FALSE),"0")</f>
        <v>0</v>
      </c>
      <c r="X151" s="80">
        <f>Table1215[[#This Row],[Column19]]</f>
        <v>0</v>
      </c>
      <c r="Y151" s="74">
        <f>IFERROR(VLOOKUP(Table1215[[#This Row],[Column2]],Table12[[Column2]:[Column54]],24,FALSE),"0")</f>
        <v>4</v>
      </c>
      <c r="Z151" s="74">
        <f>IFERROR(VLOOKUP(Table1215[[#This Row],[Column2]],Table12[[Column2]:[Column54]],25,FALSE),"0")</f>
        <v>0</v>
      </c>
      <c r="AA151" s="74">
        <f>IFERROR(VLOOKUP(Table1215[[#This Row],[Column2]],Table12[[Column2]:[Column54]],26,FALSE),"0")</f>
        <v>0</v>
      </c>
      <c r="AB151" s="74">
        <f>IFERROR(VLOOKUP(Table1215[[#This Row],[Column2]],Table12[[Column2]:[Column54]],27,FALSE),"0")</f>
        <v>0</v>
      </c>
      <c r="AC151" s="74">
        <f>IFERROR(VLOOKUP(Table1215[[#This Row],[Column2]],Table12[[Column2]:[Column54]],28,FALSE),"0")</f>
        <v>0</v>
      </c>
      <c r="AD151" s="80">
        <f>Table1215[[#This Row],[Column25]]</f>
        <v>4</v>
      </c>
      <c r="AE151" s="74">
        <f>IFERROR(VLOOKUP(Table1215[[#This Row],[Column2]],Table12[[Column2]:[Column54]],30,FALSE),"0")</f>
        <v>0</v>
      </c>
      <c r="AF151" s="74">
        <f>IFERROR(VLOOKUP(Table1215[[#This Row],[Column2]],Table12[[Column2]:[Column54]],31,FALSE),"0")</f>
        <v>0</v>
      </c>
      <c r="AG151" s="74">
        <f>IFERROR(VLOOKUP(Table1215[[#This Row],[Column2]],Table12[[Column2]:[Column54]],32,FALSE),"0")</f>
        <v>0</v>
      </c>
      <c r="AH151" s="74">
        <f>IFERROR(VLOOKUP(Table1215[[#This Row],[Column2]],Table12[[Column2]:[Column54]],33,FALSE),"0")</f>
        <v>0</v>
      </c>
      <c r="AI151" s="74">
        <f>IFERROR(VLOOKUP(Table1215[[#This Row],[Column2]],Table12[[Column2]:[Column54]],34,FALSE),"0")</f>
        <v>0</v>
      </c>
      <c r="AJ151" s="80">
        <f>AVERAGE(Table1215[[#This Row],[Column31]],Table1215[[#This Row],[Column32]],Table1215[[#This Row],[Column33]])</f>
        <v>0</v>
      </c>
      <c r="AK151" s="74">
        <f>IFERROR(VLOOKUP(Table1215[[#This Row],[Column2]],Table12[[Column2]:[Column54]],36,FALSE),"0")</f>
        <v>3</v>
      </c>
      <c r="AL151" s="74">
        <f>IFERROR(VLOOKUP(Table1215[[#This Row],[Column2]],Table12[[Column2]:[Column54]],37,FALSE),"0")</f>
        <v>3</v>
      </c>
      <c r="AM151" s="74">
        <f>IFERROR(VLOOKUP(Table1215[[#This Row],[Column2]],Table12[[Column2]:[Column54]],38,FALSE),"0")</f>
        <v>0</v>
      </c>
      <c r="AN151" s="74">
        <f>IFERROR(VLOOKUP(Table1215[[#This Row],[Column2]],Table12[[Column2]:[Column54]],39,FALSE),"0")</f>
        <v>3</v>
      </c>
      <c r="AO151" s="74">
        <f>IFERROR(VLOOKUP(Table1215[[#This Row],[Column2]],Table12[[Column2]:[Column54]],40,FALSE),"0")</f>
        <v>0</v>
      </c>
      <c r="AP151" s="80">
        <f>AVERAGE(Table1215[[#This Row],[Column37]],Table1215[[#This Row],[Column38]],Table1215[[#This Row],[Column40]])</f>
        <v>3</v>
      </c>
      <c r="AQ151" s="74">
        <f>IFERROR(VLOOKUP(Table1215[[#This Row],[Column2]],Table12[[Column2]:[Column54]],42,FALSE),"0")</f>
        <v>1</v>
      </c>
      <c r="AR151" s="74">
        <f>IFERROR(VLOOKUP(Table1215[[#This Row],[Column2]],Table12[[Column2]:[Column54]],43,FALSE),"0")</f>
        <v>0</v>
      </c>
      <c r="AS151" s="74">
        <f>IFERROR(VLOOKUP(Table1215[[#This Row],[Column2]],Table12[[Column2]:[Column54]],44,FALSE),"0")</f>
        <v>0</v>
      </c>
      <c r="AT151" s="74">
        <f>IFERROR(VLOOKUP(Table1215[[#This Row],[Column2]],Table12[[Column2]:[Column54]],45,FALSE),"0")</f>
        <v>0</v>
      </c>
      <c r="AU151" s="74">
        <f>IFERROR(VLOOKUP(Table1215[[#This Row],[Column2]],Table12[[Column2]:[Column54]],46,FALSE),"0")</f>
        <v>0</v>
      </c>
      <c r="AV151" s="80">
        <f>Table1215[[#This Row],[Column43]]</f>
        <v>1</v>
      </c>
      <c r="AW151" s="74">
        <f>IFERROR(VLOOKUP(Table1215[[#This Row],[Column2]],Table12[[Column2]:[Column54]],48,FALSE),"0")</f>
        <v>0</v>
      </c>
      <c r="AX151" s="74">
        <f>IFERROR(VLOOKUP(Table1215[[#This Row],[Column2]],Table12[[Column2]:[Column54]],49,FALSE),"0")</f>
        <v>0</v>
      </c>
      <c r="AY151" s="74">
        <f>IFERROR(VLOOKUP(Table1215[[#This Row],[Column2]],Table12[[Column2]:[Column54]],50,FALSE),"0")</f>
        <v>0</v>
      </c>
      <c r="AZ151" s="74">
        <f>IFERROR(VLOOKUP(Table1215[[#This Row],[Column2]],Table12[[Column2]:[Column54]],51,FALSE),"0")</f>
        <v>3</v>
      </c>
      <c r="BA151" s="74">
        <f>IFERROR(VLOOKUP(Table1215[[#This Row],[Column2]],Table12[[Column2]:[Column54]],52,FALSE),"0")</f>
        <v>2</v>
      </c>
      <c r="BB151" s="80">
        <f>AVERAGE(Table1215[[#This Row],[Column52]],Table1215[[#This Row],[Column53]])</f>
        <v>2.5</v>
      </c>
    </row>
    <row r="152" spans="1:54" ht="23.1" customHeight="1" x14ac:dyDescent="0.3">
      <c r="A152" s="99">
        <v>149</v>
      </c>
      <c r="B152" s="76" t="s">
        <v>156</v>
      </c>
      <c r="C152" s="77" t="s">
        <v>382</v>
      </c>
      <c r="D152" s="76" t="s">
        <v>450</v>
      </c>
      <c r="E152" s="76" t="s">
        <v>35</v>
      </c>
      <c r="F152" s="76" t="str">
        <f>REPT(CHAR(160),10)&amp;Working!$E153</f>
        <v>          A</v>
      </c>
      <c r="G152" s="78">
        <f>IFERROR(VLOOKUP(Table1215[[#This Row],[Column2]],Table12[[Column2]:[Column54]],6,FALSE),"0")</f>
        <v>0</v>
      </c>
      <c r="H152" s="78">
        <f>IFERROR(VLOOKUP(Table1215[[#This Row],[Column2]],Table12[[Column2]:[Column54]],7,FALSE),"0")</f>
        <v>0</v>
      </c>
      <c r="I152" s="78">
        <f>IFERROR(VLOOKUP(Table1215[[#This Row],[Column2]],Table12[[Column2]:[Column54]],8,FALSE),"0")</f>
        <v>3</v>
      </c>
      <c r="J152" s="78">
        <f>IFERROR(VLOOKUP(Table1215[[#This Row],[Column2]],Table12[[Column2]:[Column54]],9,FALSE),"0")</f>
        <v>0</v>
      </c>
      <c r="K152" s="78">
        <f>IFERROR(VLOOKUP(Table1215[[#This Row],[Column2]],Table12[[Column2]:[Column54]],10,FALSE),"0")</f>
        <v>0</v>
      </c>
      <c r="L152" s="80">
        <f>Table1215[[#This Row],[Column9]]</f>
        <v>3</v>
      </c>
      <c r="M152" s="78">
        <f>IFERROR(VLOOKUP(Table1215[[#This Row],[Column2]],Table12[[Column2]:[Column54]],12,FALSE),"0")</f>
        <v>0</v>
      </c>
      <c r="N152" s="78">
        <f>IFERROR(VLOOKUP(Table1215[[#This Row],[Column2]],Table12[[Column2]:[Column54]],13,FALSE),"0")</f>
        <v>5</v>
      </c>
      <c r="O152" s="78">
        <f>IFERROR(VLOOKUP(Table1215[[#This Row],[Column2]],Table12[[Column2]:[Column54]],14,FALSE),"0")</f>
        <v>3</v>
      </c>
      <c r="P152" s="78">
        <f>IFERROR(VLOOKUP(Table1215[[#This Row],[Column2]],Table12[[Column2]:[Column54]],10,FALSE),"0")</f>
        <v>0</v>
      </c>
      <c r="Q152" s="78">
        <f>IFERROR(VLOOKUP(Table1215[[#This Row],[Column2]],Table12[[Column2]:[Column54]],16,FALSE),"0")</f>
        <v>3</v>
      </c>
      <c r="R152" s="80">
        <f>AVERAGE(Table1215[[#This Row],[Column14]],Table1215[[#This Row],[Column15]],Table1215[[#This Row],[Column17]])</f>
        <v>3.6666666666666665</v>
      </c>
      <c r="S152" s="78">
        <f>IFERROR(VLOOKUP(Table1215[[#This Row],[Column2]],Table12[[Column2]:[Column54]],18,FALSE),"0")</f>
        <v>0</v>
      </c>
      <c r="T152" s="78">
        <f>IFERROR(VLOOKUP(Table1215[[#This Row],[Column2]],Table12[[Column2]:[Column54]],19,FALSE),"0")</f>
        <v>0</v>
      </c>
      <c r="U152" s="78">
        <f>IFERROR(VLOOKUP(Table1215[[#This Row],[Column2]],Table12[[Column2]:[Column54]],20,FALSE),"0")</f>
        <v>0</v>
      </c>
      <c r="V152" s="78">
        <f>IFERROR(VLOOKUP(Table1215[[#This Row],[Column2]],Table12[[Column2]:[Column54]],21,FALSE),"0")</f>
        <v>0</v>
      </c>
      <c r="W152" s="78">
        <f>IFERROR(VLOOKUP(Table1215[[#This Row],[Column2]],Table12[[Column2]:[Column54]],22,FALSE),"0")</f>
        <v>0</v>
      </c>
      <c r="X152" s="80">
        <f>Table1215[[#This Row],[Column19]]</f>
        <v>0</v>
      </c>
      <c r="Y152" s="78">
        <f>IFERROR(VLOOKUP(Table1215[[#This Row],[Column2]],Table12[[Column2]:[Column54]],24,FALSE),"0")</f>
        <v>3</v>
      </c>
      <c r="Z152" s="78">
        <f>IFERROR(VLOOKUP(Table1215[[#This Row],[Column2]],Table12[[Column2]:[Column54]],25,FALSE),"0")</f>
        <v>0</v>
      </c>
      <c r="AA152" s="78">
        <f>IFERROR(VLOOKUP(Table1215[[#This Row],[Column2]],Table12[[Column2]:[Column54]],26,FALSE),"0")</f>
        <v>0</v>
      </c>
      <c r="AB152" s="78">
        <f>IFERROR(VLOOKUP(Table1215[[#This Row],[Column2]],Table12[[Column2]:[Column54]],27,FALSE),"0")</f>
        <v>0</v>
      </c>
      <c r="AC152" s="78">
        <f>IFERROR(VLOOKUP(Table1215[[#This Row],[Column2]],Table12[[Column2]:[Column54]],28,FALSE),"0")</f>
        <v>0</v>
      </c>
      <c r="AD152" s="80">
        <f>Table1215[[#This Row],[Column25]]</f>
        <v>3</v>
      </c>
      <c r="AE152" s="78">
        <f>IFERROR(VLOOKUP(Table1215[[#This Row],[Column2]],Table12[[Column2]:[Column54]],30,FALSE),"0")</f>
        <v>0</v>
      </c>
      <c r="AF152" s="78">
        <f>IFERROR(VLOOKUP(Table1215[[#This Row],[Column2]],Table12[[Column2]:[Column54]],31,FALSE),"0")</f>
        <v>0</v>
      </c>
      <c r="AG152" s="78">
        <f>IFERROR(VLOOKUP(Table1215[[#This Row],[Column2]],Table12[[Column2]:[Column54]],32,FALSE),"0")</f>
        <v>0</v>
      </c>
      <c r="AH152" s="78">
        <f>IFERROR(VLOOKUP(Table1215[[#This Row],[Column2]],Table12[[Column2]:[Column54]],33,FALSE),"0")</f>
        <v>0</v>
      </c>
      <c r="AI152" s="78">
        <f>IFERROR(VLOOKUP(Table1215[[#This Row],[Column2]],Table12[[Column2]:[Column54]],34,FALSE),"0")</f>
        <v>0</v>
      </c>
      <c r="AJ152" s="80">
        <f>AVERAGE(Table1215[[#This Row],[Column31]],Table1215[[#This Row],[Column32]],Table1215[[#This Row],[Column33]])</f>
        <v>0</v>
      </c>
      <c r="AK152" s="78">
        <f>IFERROR(VLOOKUP(Table1215[[#This Row],[Column2]],Table12[[Column2]:[Column54]],36,FALSE),"0")</f>
        <v>3</v>
      </c>
      <c r="AL152" s="78">
        <f>IFERROR(VLOOKUP(Table1215[[#This Row],[Column2]],Table12[[Column2]:[Column54]],37,FALSE),"0")</f>
        <v>3</v>
      </c>
      <c r="AM152" s="78">
        <f>IFERROR(VLOOKUP(Table1215[[#This Row],[Column2]],Table12[[Column2]:[Column54]],38,FALSE),"0")</f>
        <v>0</v>
      </c>
      <c r="AN152" s="78">
        <f>IFERROR(VLOOKUP(Table1215[[#This Row],[Column2]],Table12[[Column2]:[Column54]],39,FALSE),"0")</f>
        <v>4</v>
      </c>
      <c r="AO152" s="78">
        <f>IFERROR(VLOOKUP(Table1215[[#This Row],[Column2]],Table12[[Column2]:[Column54]],40,FALSE),"0")</f>
        <v>0</v>
      </c>
      <c r="AP152" s="80">
        <f>AVERAGE(Table1215[[#This Row],[Column37]],Table1215[[#This Row],[Column38]],Table1215[[#This Row],[Column40]])</f>
        <v>3.3333333333333335</v>
      </c>
      <c r="AQ152" s="78">
        <f>IFERROR(VLOOKUP(Table1215[[#This Row],[Column2]],Table12[[Column2]:[Column54]],42,FALSE),"0")</f>
        <v>3</v>
      </c>
      <c r="AR152" s="78">
        <f>IFERROR(VLOOKUP(Table1215[[#This Row],[Column2]],Table12[[Column2]:[Column54]],43,FALSE),"0")</f>
        <v>0</v>
      </c>
      <c r="AS152" s="78">
        <f>IFERROR(VLOOKUP(Table1215[[#This Row],[Column2]],Table12[[Column2]:[Column54]],44,FALSE),"0")</f>
        <v>0</v>
      </c>
      <c r="AT152" s="78">
        <f>IFERROR(VLOOKUP(Table1215[[#This Row],[Column2]],Table12[[Column2]:[Column54]],45,FALSE),"0")</f>
        <v>0</v>
      </c>
      <c r="AU152" s="78">
        <f>IFERROR(VLOOKUP(Table1215[[#This Row],[Column2]],Table12[[Column2]:[Column54]],46,FALSE),"0")</f>
        <v>0</v>
      </c>
      <c r="AV152" s="80">
        <f>Table1215[[#This Row],[Column43]]</f>
        <v>3</v>
      </c>
      <c r="AW152" s="78">
        <f>IFERROR(VLOOKUP(Table1215[[#This Row],[Column2]],Table12[[Column2]:[Column54]],48,FALSE),"0")</f>
        <v>0</v>
      </c>
      <c r="AX152" s="78">
        <f>IFERROR(VLOOKUP(Table1215[[#This Row],[Column2]],Table12[[Column2]:[Column54]],49,FALSE),"0")</f>
        <v>0</v>
      </c>
      <c r="AY152" s="78">
        <f>IFERROR(VLOOKUP(Table1215[[#This Row],[Column2]],Table12[[Column2]:[Column54]],50,FALSE),"0")</f>
        <v>0</v>
      </c>
      <c r="AZ152" s="78">
        <f>IFERROR(VLOOKUP(Table1215[[#This Row],[Column2]],Table12[[Column2]:[Column54]],51,FALSE),"0")</f>
        <v>4</v>
      </c>
      <c r="BA152" s="78">
        <f>IFERROR(VLOOKUP(Table1215[[#This Row],[Column2]],Table12[[Column2]:[Column54]],52,FALSE),"0")</f>
        <v>3</v>
      </c>
      <c r="BB152" s="80">
        <f>AVERAGE(Table1215[[#This Row],[Column52]],Table1215[[#This Row],[Column53]])</f>
        <v>3.5</v>
      </c>
    </row>
    <row r="153" spans="1:54" ht="23.1" customHeight="1" x14ac:dyDescent="0.3">
      <c r="A153" s="100">
        <v>150</v>
      </c>
      <c r="B153" s="83" t="s">
        <v>383</v>
      </c>
      <c r="C153" s="84" t="s">
        <v>384</v>
      </c>
      <c r="D153" s="83" t="s">
        <v>542</v>
      </c>
      <c r="E153" s="83" t="s">
        <v>493</v>
      </c>
      <c r="F153" s="83" t="str">
        <f>REPT(CHAR(160),10)&amp;Working!$E154</f>
        <v>          C</v>
      </c>
      <c r="G153" s="74">
        <f>IFERROR(VLOOKUP(Table1215[[#This Row],[Column2]],Table12[[Column2]:[Column54]],6,FALSE),"0")</f>
        <v>0</v>
      </c>
      <c r="H153" s="74">
        <f>IFERROR(VLOOKUP(Table1215[[#This Row],[Column2]],Table12[[Column2]:[Column54]],7,FALSE),"0")</f>
        <v>0</v>
      </c>
      <c r="I153" s="74">
        <f>IFERROR(VLOOKUP(Table1215[[#This Row],[Column2]],Table12[[Column2]:[Column54]],8,FALSE),"0")</f>
        <v>4</v>
      </c>
      <c r="J153" s="74">
        <f>IFERROR(VLOOKUP(Table1215[[#This Row],[Column2]],Table12[[Column2]:[Column54]],9,FALSE),"0")</f>
        <v>0</v>
      </c>
      <c r="K153" s="74">
        <f>IFERROR(VLOOKUP(Table1215[[#This Row],[Column2]],Table12[[Column2]:[Column54]],10,FALSE),"0")</f>
        <v>0</v>
      </c>
      <c r="L153" s="80">
        <f>Table1215[[#This Row],[Column9]]</f>
        <v>4</v>
      </c>
      <c r="M153" s="74">
        <f>IFERROR(VLOOKUP(Table1215[[#This Row],[Column2]],Table12[[Column2]:[Column54]],12,FALSE),"0")</f>
        <v>0</v>
      </c>
      <c r="N153" s="74">
        <f>IFERROR(VLOOKUP(Table1215[[#This Row],[Column2]],Table12[[Column2]:[Column54]],13,FALSE),"0")</f>
        <v>3</v>
      </c>
      <c r="O153" s="74">
        <f>IFERROR(VLOOKUP(Table1215[[#This Row],[Column2]],Table12[[Column2]:[Column54]],14,FALSE),"0")</f>
        <v>4</v>
      </c>
      <c r="P153" s="74">
        <f>IFERROR(VLOOKUP(Table1215[[#This Row],[Column2]],Table12[[Column2]:[Column54]],10,FALSE),"0")</f>
        <v>0</v>
      </c>
      <c r="Q153" s="74">
        <f>IFERROR(VLOOKUP(Table1215[[#This Row],[Column2]],Table12[[Column2]:[Column54]],16,FALSE),"0")</f>
        <v>4</v>
      </c>
      <c r="R153" s="80">
        <f>AVERAGE(Table1215[[#This Row],[Column14]],Table1215[[#This Row],[Column15]],Table1215[[#This Row],[Column17]])</f>
        <v>3.6666666666666665</v>
      </c>
      <c r="S153" s="74">
        <f>IFERROR(VLOOKUP(Table1215[[#This Row],[Column2]],Table12[[Column2]:[Column54]],18,FALSE),"0")</f>
        <v>0</v>
      </c>
      <c r="T153" s="74">
        <f>IFERROR(VLOOKUP(Table1215[[#This Row],[Column2]],Table12[[Column2]:[Column54]],19,FALSE),"0")</f>
        <v>0</v>
      </c>
      <c r="U153" s="74">
        <f>IFERROR(VLOOKUP(Table1215[[#This Row],[Column2]],Table12[[Column2]:[Column54]],20,FALSE),"0")</f>
        <v>0</v>
      </c>
      <c r="V153" s="74">
        <f>IFERROR(VLOOKUP(Table1215[[#This Row],[Column2]],Table12[[Column2]:[Column54]],21,FALSE),"0")</f>
        <v>0</v>
      </c>
      <c r="W153" s="74">
        <f>IFERROR(VLOOKUP(Table1215[[#This Row],[Column2]],Table12[[Column2]:[Column54]],22,FALSE),"0")</f>
        <v>0</v>
      </c>
      <c r="X153" s="80">
        <f>Table1215[[#This Row],[Column19]]</f>
        <v>0</v>
      </c>
      <c r="Y153" s="74">
        <f>IFERROR(VLOOKUP(Table1215[[#This Row],[Column2]],Table12[[Column2]:[Column54]],24,FALSE),"0")</f>
        <v>4</v>
      </c>
      <c r="Z153" s="74">
        <f>IFERROR(VLOOKUP(Table1215[[#This Row],[Column2]],Table12[[Column2]:[Column54]],25,FALSE),"0")</f>
        <v>0</v>
      </c>
      <c r="AA153" s="74">
        <f>IFERROR(VLOOKUP(Table1215[[#This Row],[Column2]],Table12[[Column2]:[Column54]],26,FALSE),"0")</f>
        <v>0</v>
      </c>
      <c r="AB153" s="74">
        <f>IFERROR(VLOOKUP(Table1215[[#This Row],[Column2]],Table12[[Column2]:[Column54]],27,FALSE),"0")</f>
        <v>0</v>
      </c>
      <c r="AC153" s="74">
        <f>IFERROR(VLOOKUP(Table1215[[#This Row],[Column2]],Table12[[Column2]:[Column54]],28,FALSE),"0")</f>
        <v>0</v>
      </c>
      <c r="AD153" s="80">
        <f>Table1215[[#This Row],[Column25]]</f>
        <v>4</v>
      </c>
      <c r="AE153" s="74">
        <f>IFERROR(VLOOKUP(Table1215[[#This Row],[Column2]],Table12[[Column2]:[Column54]],30,FALSE),"0")</f>
        <v>0</v>
      </c>
      <c r="AF153" s="74">
        <f>IFERROR(VLOOKUP(Table1215[[#This Row],[Column2]],Table12[[Column2]:[Column54]],31,FALSE),"0")</f>
        <v>0</v>
      </c>
      <c r="AG153" s="74">
        <f>IFERROR(VLOOKUP(Table1215[[#This Row],[Column2]],Table12[[Column2]:[Column54]],32,FALSE),"0")</f>
        <v>0</v>
      </c>
      <c r="AH153" s="74">
        <f>IFERROR(VLOOKUP(Table1215[[#This Row],[Column2]],Table12[[Column2]:[Column54]],33,FALSE),"0")</f>
        <v>0</v>
      </c>
      <c r="AI153" s="74">
        <f>IFERROR(VLOOKUP(Table1215[[#This Row],[Column2]],Table12[[Column2]:[Column54]],34,FALSE),"0")</f>
        <v>0</v>
      </c>
      <c r="AJ153" s="80">
        <f>AVERAGE(Table1215[[#This Row],[Column31]],Table1215[[#This Row],[Column32]],Table1215[[#This Row],[Column33]])</f>
        <v>0</v>
      </c>
      <c r="AK153" s="74">
        <f>IFERROR(VLOOKUP(Table1215[[#This Row],[Column2]],Table12[[Column2]:[Column54]],36,FALSE),"0")</f>
        <v>3</v>
      </c>
      <c r="AL153" s="74">
        <f>IFERROR(VLOOKUP(Table1215[[#This Row],[Column2]],Table12[[Column2]:[Column54]],37,FALSE),"0")</f>
        <v>4</v>
      </c>
      <c r="AM153" s="74">
        <f>IFERROR(VLOOKUP(Table1215[[#This Row],[Column2]],Table12[[Column2]:[Column54]],38,FALSE),"0")</f>
        <v>0</v>
      </c>
      <c r="AN153" s="74">
        <f>IFERROR(VLOOKUP(Table1215[[#This Row],[Column2]],Table12[[Column2]:[Column54]],39,FALSE),"0")</f>
        <v>4</v>
      </c>
      <c r="AO153" s="74">
        <f>IFERROR(VLOOKUP(Table1215[[#This Row],[Column2]],Table12[[Column2]:[Column54]],40,FALSE),"0")</f>
        <v>0</v>
      </c>
      <c r="AP153" s="80">
        <f>AVERAGE(Table1215[[#This Row],[Column37]],Table1215[[#This Row],[Column38]],Table1215[[#This Row],[Column40]])</f>
        <v>3.6666666666666665</v>
      </c>
      <c r="AQ153" s="74">
        <f>IFERROR(VLOOKUP(Table1215[[#This Row],[Column2]],Table12[[Column2]:[Column54]],42,FALSE),"0")</f>
        <v>5</v>
      </c>
      <c r="AR153" s="74">
        <f>IFERROR(VLOOKUP(Table1215[[#This Row],[Column2]],Table12[[Column2]:[Column54]],43,FALSE),"0")</f>
        <v>0</v>
      </c>
      <c r="AS153" s="74">
        <f>IFERROR(VLOOKUP(Table1215[[#This Row],[Column2]],Table12[[Column2]:[Column54]],44,FALSE),"0")</f>
        <v>0</v>
      </c>
      <c r="AT153" s="74">
        <f>IFERROR(VLOOKUP(Table1215[[#This Row],[Column2]],Table12[[Column2]:[Column54]],45,FALSE),"0")</f>
        <v>0</v>
      </c>
      <c r="AU153" s="74">
        <f>IFERROR(VLOOKUP(Table1215[[#This Row],[Column2]],Table12[[Column2]:[Column54]],46,FALSE),"0")</f>
        <v>0</v>
      </c>
      <c r="AV153" s="80">
        <f>Table1215[[#This Row],[Column43]]</f>
        <v>5</v>
      </c>
      <c r="AW153" s="74">
        <f>IFERROR(VLOOKUP(Table1215[[#This Row],[Column2]],Table12[[Column2]:[Column54]],48,FALSE),"0")</f>
        <v>0</v>
      </c>
      <c r="AX153" s="74">
        <f>IFERROR(VLOOKUP(Table1215[[#This Row],[Column2]],Table12[[Column2]:[Column54]],49,FALSE),"0")</f>
        <v>0</v>
      </c>
      <c r="AY153" s="74">
        <f>IFERROR(VLOOKUP(Table1215[[#This Row],[Column2]],Table12[[Column2]:[Column54]],50,FALSE),"0")</f>
        <v>0</v>
      </c>
      <c r="AZ153" s="74">
        <f>IFERROR(VLOOKUP(Table1215[[#This Row],[Column2]],Table12[[Column2]:[Column54]],51,FALSE),"0")</f>
        <v>4</v>
      </c>
      <c r="BA153" s="74">
        <f>IFERROR(VLOOKUP(Table1215[[#This Row],[Column2]],Table12[[Column2]:[Column54]],52,FALSE),"0")</f>
        <v>4</v>
      </c>
      <c r="BB153" s="80">
        <f>AVERAGE(Table1215[[#This Row],[Column52]],Table1215[[#This Row],[Column53]])</f>
        <v>4</v>
      </c>
    </row>
    <row r="154" spans="1:54" ht="23.1" customHeight="1" x14ac:dyDescent="0.3">
      <c r="A154" s="99">
        <v>151</v>
      </c>
      <c r="B154" s="76" t="s">
        <v>46</v>
      </c>
      <c r="C154" s="77" t="s">
        <v>47</v>
      </c>
      <c r="D154" s="76" t="s">
        <v>450</v>
      </c>
      <c r="E154" s="76" t="s">
        <v>35</v>
      </c>
      <c r="F154" s="76" t="str">
        <f>REPT(CHAR(160),10)&amp;Working!$E155</f>
        <v>          A</v>
      </c>
      <c r="G154" s="78">
        <f>IFERROR(VLOOKUP(Table1215[[#This Row],[Column2]],Table12[[Column2]:[Column54]],6,FALSE),"0")</f>
        <v>0</v>
      </c>
      <c r="H154" s="78">
        <f>IFERROR(VLOOKUP(Table1215[[#This Row],[Column2]],Table12[[Column2]:[Column54]],7,FALSE),"0")</f>
        <v>0</v>
      </c>
      <c r="I154" s="78">
        <f>IFERROR(VLOOKUP(Table1215[[#This Row],[Column2]],Table12[[Column2]:[Column54]],8,FALSE),"0")</f>
        <v>5</v>
      </c>
      <c r="J154" s="78">
        <f>IFERROR(VLOOKUP(Table1215[[#This Row],[Column2]],Table12[[Column2]:[Column54]],9,FALSE),"0")</f>
        <v>0</v>
      </c>
      <c r="K154" s="78">
        <f>IFERROR(VLOOKUP(Table1215[[#This Row],[Column2]],Table12[[Column2]:[Column54]],10,FALSE),"0")</f>
        <v>0</v>
      </c>
      <c r="L154" s="80">
        <f>Table1215[[#This Row],[Column9]]</f>
        <v>5</v>
      </c>
      <c r="M154" s="78">
        <f>IFERROR(VLOOKUP(Table1215[[#This Row],[Column2]],Table12[[Column2]:[Column54]],12,FALSE),"0")</f>
        <v>0</v>
      </c>
      <c r="N154" s="78">
        <f>IFERROR(VLOOKUP(Table1215[[#This Row],[Column2]],Table12[[Column2]:[Column54]],13,FALSE),"0")</f>
        <v>5</v>
      </c>
      <c r="O154" s="78">
        <f>IFERROR(VLOOKUP(Table1215[[#This Row],[Column2]],Table12[[Column2]:[Column54]],14,FALSE),"0")</f>
        <v>5</v>
      </c>
      <c r="P154" s="78">
        <f>IFERROR(VLOOKUP(Table1215[[#This Row],[Column2]],Table12[[Column2]:[Column54]],10,FALSE),"0")</f>
        <v>0</v>
      </c>
      <c r="Q154" s="78">
        <f>IFERROR(VLOOKUP(Table1215[[#This Row],[Column2]],Table12[[Column2]:[Column54]],16,FALSE),"0")</f>
        <v>5</v>
      </c>
      <c r="R154" s="80">
        <f>AVERAGE(Table1215[[#This Row],[Column14]],Table1215[[#This Row],[Column15]],Table1215[[#This Row],[Column17]])</f>
        <v>5</v>
      </c>
      <c r="S154" s="78">
        <f>IFERROR(VLOOKUP(Table1215[[#This Row],[Column2]],Table12[[Column2]:[Column54]],18,FALSE),"0")</f>
        <v>0</v>
      </c>
      <c r="T154" s="78">
        <f>IFERROR(VLOOKUP(Table1215[[#This Row],[Column2]],Table12[[Column2]:[Column54]],19,FALSE),"0")</f>
        <v>0</v>
      </c>
      <c r="U154" s="78">
        <f>IFERROR(VLOOKUP(Table1215[[#This Row],[Column2]],Table12[[Column2]:[Column54]],20,FALSE),"0")</f>
        <v>0</v>
      </c>
      <c r="V154" s="78">
        <f>IFERROR(VLOOKUP(Table1215[[#This Row],[Column2]],Table12[[Column2]:[Column54]],21,FALSE),"0")</f>
        <v>0</v>
      </c>
      <c r="W154" s="78">
        <f>IFERROR(VLOOKUP(Table1215[[#This Row],[Column2]],Table12[[Column2]:[Column54]],22,FALSE),"0")</f>
        <v>0</v>
      </c>
      <c r="X154" s="80">
        <f>Table1215[[#This Row],[Column19]]</f>
        <v>0</v>
      </c>
      <c r="Y154" s="78">
        <f>IFERROR(VLOOKUP(Table1215[[#This Row],[Column2]],Table12[[Column2]:[Column54]],24,FALSE),"0")</f>
        <v>4</v>
      </c>
      <c r="Z154" s="78">
        <f>IFERROR(VLOOKUP(Table1215[[#This Row],[Column2]],Table12[[Column2]:[Column54]],25,FALSE),"0")</f>
        <v>0</v>
      </c>
      <c r="AA154" s="78">
        <f>IFERROR(VLOOKUP(Table1215[[#This Row],[Column2]],Table12[[Column2]:[Column54]],26,FALSE),"0")</f>
        <v>0</v>
      </c>
      <c r="AB154" s="78">
        <f>IFERROR(VLOOKUP(Table1215[[#This Row],[Column2]],Table12[[Column2]:[Column54]],27,FALSE),"0")</f>
        <v>0</v>
      </c>
      <c r="AC154" s="78">
        <f>IFERROR(VLOOKUP(Table1215[[#This Row],[Column2]],Table12[[Column2]:[Column54]],28,FALSE),"0")</f>
        <v>0</v>
      </c>
      <c r="AD154" s="80">
        <f>Table1215[[#This Row],[Column25]]</f>
        <v>4</v>
      </c>
      <c r="AE154" s="78">
        <f>IFERROR(VLOOKUP(Table1215[[#This Row],[Column2]],Table12[[Column2]:[Column54]],30,FALSE),"0")</f>
        <v>0</v>
      </c>
      <c r="AF154" s="78">
        <f>IFERROR(VLOOKUP(Table1215[[#This Row],[Column2]],Table12[[Column2]:[Column54]],31,FALSE),"0")</f>
        <v>0</v>
      </c>
      <c r="AG154" s="78">
        <f>IFERROR(VLOOKUP(Table1215[[#This Row],[Column2]],Table12[[Column2]:[Column54]],32,FALSE),"0")</f>
        <v>0</v>
      </c>
      <c r="AH154" s="78">
        <f>IFERROR(VLOOKUP(Table1215[[#This Row],[Column2]],Table12[[Column2]:[Column54]],33,FALSE),"0")</f>
        <v>0</v>
      </c>
      <c r="AI154" s="78">
        <f>IFERROR(VLOOKUP(Table1215[[#This Row],[Column2]],Table12[[Column2]:[Column54]],34,FALSE),"0")</f>
        <v>0</v>
      </c>
      <c r="AJ154" s="80">
        <f>AVERAGE(Table1215[[#This Row],[Column31]],Table1215[[#This Row],[Column32]],Table1215[[#This Row],[Column33]])</f>
        <v>0</v>
      </c>
      <c r="AK154" s="78">
        <f>IFERROR(VLOOKUP(Table1215[[#This Row],[Column2]],Table12[[Column2]:[Column54]],36,FALSE),"0")</f>
        <v>5</v>
      </c>
      <c r="AL154" s="78">
        <f>IFERROR(VLOOKUP(Table1215[[#This Row],[Column2]],Table12[[Column2]:[Column54]],37,FALSE),"0")</f>
        <v>5</v>
      </c>
      <c r="AM154" s="78">
        <f>IFERROR(VLOOKUP(Table1215[[#This Row],[Column2]],Table12[[Column2]:[Column54]],38,FALSE),"0")</f>
        <v>0</v>
      </c>
      <c r="AN154" s="78">
        <f>IFERROR(VLOOKUP(Table1215[[#This Row],[Column2]],Table12[[Column2]:[Column54]],39,FALSE),"0")</f>
        <v>5</v>
      </c>
      <c r="AO154" s="78">
        <f>IFERROR(VLOOKUP(Table1215[[#This Row],[Column2]],Table12[[Column2]:[Column54]],40,FALSE),"0")</f>
        <v>0</v>
      </c>
      <c r="AP154" s="80">
        <f>AVERAGE(Table1215[[#This Row],[Column37]],Table1215[[#This Row],[Column38]],Table1215[[#This Row],[Column40]])</f>
        <v>5</v>
      </c>
      <c r="AQ154" s="78">
        <f>IFERROR(VLOOKUP(Table1215[[#This Row],[Column2]],Table12[[Column2]:[Column54]],42,FALSE),"0")</f>
        <v>5</v>
      </c>
      <c r="AR154" s="78">
        <f>IFERROR(VLOOKUP(Table1215[[#This Row],[Column2]],Table12[[Column2]:[Column54]],43,FALSE),"0")</f>
        <v>0</v>
      </c>
      <c r="AS154" s="78">
        <f>IFERROR(VLOOKUP(Table1215[[#This Row],[Column2]],Table12[[Column2]:[Column54]],44,FALSE),"0")</f>
        <v>0</v>
      </c>
      <c r="AT154" s="78">
        <f>IFERROR(VLOOKUP(Table1215[[#This Row],[Column2]],Table12[[Column2]:[Column54]],45,FALSE),"0")</f>
        <v>0</v>
      </c>
      <c r="AU154" s="78">
        <f>IFERROR(VLOOKUP(Table1215[[#This Row],[Column2]],Table12[[Column2]:[Column54]],46,FALSE),"0")</f>
        <v>0</v>
      </c>
      <c r="AV154" s="80">
        <f>Table1215[[#This Row],[Column43]]</f>
        <v>5</v>
      </c>
      <c r="AW154" s="78">
        <f>IFERROR(VLOOKUP(Table1215[[#This Row],[Column2]],Table12[[Column2]:[Column54]],48,FALSE),"0")</f>
        <v>0</v>
      </c>
      <c r="AX154" s="78">
        <f>IFERROR(VLOOKUP(Table1215[[#This Row],[Column2]],Table12[[Column2]:[Column54]],49,FALSE),"0")</f>
        <v>0</v>
      </c>
      <c r="AY154" s="78">
        <f>IFERROR(VLOOKUP(Table1215[[#This Row],[Column2]],Table12[[Column2]:[Column54]],50,FALSE),"0")</f>
        <v>0</v>
      </c>
      <c r="AZ154" s="78">
        <f>IFERROR(VLOOKUP(Table1215[[#This Row],[Column2]],Table12[[Column2]:[Column54]],51,FALSE),"0")</f>
        <v>5</v>
      </c>
      <c r="BA154" s="78">
        <f>IFERROR(VLOOKUP(Table1215[[#This Row],[Column2]],Table12[[Column2]:[Column54]],52,FALSE),"0")</f>
        <v>5</v>
      </c>
      <c r="BB154" s="80">
        <f>AVERAGE(Table1215[[#This Row],[Column52]],Table1215[[#This Row],[Column53]])</f>
        <v>5</v>
      </c>
    </row>
    <row r="155" spans="1:54" ht="23.1" customHeight="1" x14ac:dyDescent="0.3">
      <c r="A155" s="100">
        <v>152</v>
      </c>
      <c r="B155" s="83" t="s">
        <v>83</v>
      </c>
      <c r="C155" s="84" t="s">
        <v>84</v>
      </c>
      <c r="D155" s="83" t="s">
        <v>450</v>
      </c>
      <c r="E155" s="83" t="s">
        <v>35</v>
      </c>
      <c r="F155" s="83" t="str">
        <f>REPT(CHAR(160),10)&amp;Working!$E156</f>
        <v>          A</v>
      </c>
      <c r="G155" s="74">
        <f>IFERROR(VLOOKUP(Table1215[[#This Row],[Column2]],Table12[[Column2]:[Column54]],6,FALSE),"0")</f>
        <v>0</v>
      </c>
      <c r="H155" s="74">
        <f>IFERROR(VLOOKUP(Table1215[[#This Row],[Column2]],Table12[[Column2]:[Column54]],7,FALSE),"0")</f>
        <v>0</v>
      </c>
      <c r="I155" s="74">
        <f>IFERROR(VLOOKUP(Table1215[[#This Row],[Column2]],Table12[[Column2]:[Column54]],8,FALSE),"0")</f>
        <v>5</v>
      </c>
      <c r="J155" s="74">
        <f>IFERROR(VLOOKUP(Table1215[[#This Row],[Column2]],Table12[[Column2]:[Column54]],9,FALSE),"0")</f>
        <v>0</v>
      </c>
      <c r="K155" s="74">
        <f>IFERROR(VLOOKUP(Table1215[[#This Row],[Column2]],Table12[[Column2]:[Column54]],10,FALSE),"0")</f>
        <v>0</v>
      </c>
      <c r="L155" s="80">
        <f>Table1215[[#This Row],[Column9]]</f>
        <v>5</v>
      </c>
      <c r="M155" s="74">
        <f>IFERROR(VLOOKUP(Table1215[[#This Row],[Column2]],Table12[[Column2]:[Column54]],12,FALSE),"0")</f>
        <v>0</v>
      </c>
      <c r="N155" s="74">
        <f>IFERROR(VLOOKUP(Table1215[[#This Row],[Column2]],Table12[[Column2]:[Column54]],13,FALSE),"0")</f>
        <v>5</v>
      </c>
      <c r="O155" s="74">
        <f>IFERROR(VLOOKUP(Table1215[[#This Row],[Column2]],Table12[[Column2]:[Column54]],14,FALSE),"0")</f>
        <v>5</v>
      </c>
      <c r="P155" s="74">
        <f>IFERROR(VLOOKUP(Table1215[[#This Row],[Column2]],Table12[[Column2]:[Column54]],10,FALSE),"0")</f>
        <v>0</v>
      </c>
      <c r="Q155" s="74">
        <f>IFERROR(VLOOKUP(Table1215[[#This Row],[Column2]],Table12[[Column2]:[Column54]],16,FALSE),"0")</f>
        <v>5</v>
      </c>
      <c r="R155" s="80">
        <f>AVERAGE(Table1215[[#This Row],[Column14]],Table1215[[#This Row],[Column15]],Table1215[[#This Row],[Column17]])</f>
        <v>5</v>
      </c>
      <c r="S155" s="74">
        <f>IFERROR(VLOOKUP(Table1215[[#This Row],[Column2]],Table12[[Column2]:[Column54]],18,FALSE),"0")</f>
        <v>0</v>
      </c>
      <c r="T155" s="74">
        <f>IFERROR(VLOOKUP(Table1215[[#This Row],[Column2]],Table12[[Column2]:[Column54]],19,FALSE),"0")</f>
        <v>0</v>
      </c>
      <c r="U155" s="74">
        <f>IFERROR(VLOOKUP(Table1215[[#This Row],[Column2]],Table12[[Column2]:[Column54]],20,FALSE),"0")</f>
        <v>0</v>
      </c>
      <c r="V155" s="74">
        <f>IFERROR(VLOOKUP(Table1215[[#This Row],[Column2]],Table12[[Column2]:[Column54]],21,FALSE),"0")</f>
        <v>0</v>
      </c>
      <c r="W155" s="74">
        <f>IFERROR(VLOOKUP(Table1215[[#This Row],[Column2]],Table12[[Column2]:[Column54]],22,FALSE),"0")</f>
        <v>0</v>
      </c>
      <c r="X155" s="80">
        <f>Table1215[[#This Row],[Column19]]</f>
        <v>0</v>
      </c>
      <c r="Y155" s="74">
        <f>IFERROR(VLOOKUP(Table1215[[#This Row],[Column2]],Table12[[Column2]:[Column54]],24,FALSE),"0")</f>
        <v>5</v>
      </c>
      <c r="Z155" s="74">
        <f>IFERROR(VLOOKUP(Table1215[[#This Row],[Column2]],Table12[[Column2]:[Column54]],25,FALSE),"0")</f>
        <v>0</v>
      </c>
      <c r="AA155" s="74">
        <f>IFERROR(VLOOKUP(Table1215[[#This Row],[Column2]],Table12[[Column2]:[Column54]],26,FALSE),"0")</f>
        <v>0</v>
      </c>
      <c r="AB155" s="74">
        <f>IFERROR(VLOOKUP(Table1215[[#This Row],[Column2]],Table12[[Column2]:[Column54]],27,FALSE),"0")</f>
        <v>0</v>
      </c>
      <c r="AC155" s="74">
        <f>IFERROR(VLOOKUP(Table1215[[#This Row],[Column2]],Table12[[Column2]:[Column54]],28,FALSE),"0")</f>
        <v>0</v>
      </c>
      <c r="AD155" s="80">
        <f>Table1215[[#This Row],[Column25]]</f>
        <v>5</v>
      </c>
      <c r="AE155" s="74">
        <f>IFERROR(VLOOKUP(Table1215[[#This Row],[Column2]],Table12[[Column2]:[Column54]],30,FALSE),"0")</f>
        <v>0</v>
      </c>
      <c r="AF155" s="74">
        <f>IFERROR(VLOOKUP(Table1215[[#This Row],[Column2]],Table12[[Column2]:[Column54]],31,FALSE),"0")</f>
        <v>0</v>
      </c>
      <c r="AG155" s="74">
        <f>IFERROR(VLOOKUP(Table1215[[#This Row],[Column2]],Table12[[Column2]:[Column54]],32,FALSE),"0")</f>
        <v>0</v>
      </c>
      <c r="AH155" s="74">
        <f>IFERROR(VLOOKUP(Table1215[[#This Row],[Column2]],Table12[[Column2]:[Column54]],33,FALSE),"0")</f>
        <v>0</v>
      </c>
      <c r="AI155" s="74">
        <f>IFERROR(VLOOKUP(Table1215[[#This Row],[Column2]],Table12[[Column2]:[Column54]],34,FALSE),"0")</f>
        <v>0</v>
      </c>
      <c r="AJ155" s="80">
        <f>AVERAGE(Table1215[[#This Row],[Column31]],Table1215[[#This Row],[Column32]],Table1215[[#This Row],[Column33]])</f>
        <v>0</v>
      </c>
      <c r="AK155" s="74">
        <f>IFERROR(VLOOKUP(Table1215[[#This Row],[Column2]],Table12[[Column2]:[Column54]],36,FALSE),"0")</f>
        <v>5</v>
      </c>
      <c r="AL155" s="74">
        <f>IFERROR(VLOOKUP(Table1215[[#This Row],[Column2]],Table12[[Column2]:[Column54]],37,FALSE),"0")</f>
        <v>5</v>
      </c>
      <c r="AM155" s="74">
        <f>IFERROR(VLOOKUP(Table1215[[#This Row],[Column2]],Table12[[Column2]:[Column54]],38,FALSE),"0")</f>
        <v>0</v>
      </c>
      <c r="AN155" s="74">
        <f>IFERROR(VLOOKUP(Table1215[[#This Row],[Column2]],Table12[[Column2]:[Column54]],39,FALSE),"0")</f>
        <v>5</v>
      </c>
      <c r="AO155" s="74">
        <f>IFERROR(VLOOKUP(Table1215[[#This Row],[Column2]],Table12[[Column2]:[Column54]],40,FALSE),"0")</f>
        <v>0</v>
      </c>
      <c r="AP155" s="80">
        <f>AVERAGE(Table1215[[#This Row],[Column37]],Table1215[[#This Row],[Column38]],Table1215[[#This Row],[Column40]])</f>
        <v>5</v>
      </c>
      <c r="AQ155" s="74">
        <f>IFERROR(VLOOKUP(Table1215[[#This Row],[Column2]],Table12[[Column2]:[Column54]],42,FALSE),"0")</f>
        <v>5</v>
      </c>
      <c r="AR155" s="74">
        <f>IFERROR(VLOOKUP(Table1215[[#This Row],[Column2]],Table12[[Column2]:[Column54]],43,FALSE),"0")</f>
        <v>0</v>
      </c>
      <c r="AS155" s="74">
        <f>IFERROR(VLOOKUP(Table1215[[#This Row],[Column2]],Table12[[Column2]:[Column54]],44,FALSE),"0")</f>
        <v>0</v>
      </c>
      <c r="AT155" s="74">
        <f>IFERROR(VLOOKUP(Table1215[[#This Row],[Column2]],Table12[[Column2]:[Column54]],45,FALSE),"0")</f>
        <v>0</v>
      </c>
      <c r="AU155" s="74">
        <f>IFERROR(VLOOKUP(Table1215[[#This Row],[Column2]],Table12[[Column2]:[Column54]],46,FALSE),"0")</f>
        <v>0</v>
      </c>
      <c r="AV155" s="80">
        <f>Table1215[[#This Row],[Column43]]</f>
        <v>5</v>
      </c>
      <c r="AW155" s="74">
        <f>IFERROR(VLOOKUP(Table1215[[#This Row],[Column2]],Table12[[Column2]:[Column54]],48,FALSE),"0")</f>
        <v>0</v>
      </c>
      <c r="AX155" s="74">
        <f>IFERROR(VLOOKUP(Table1215[[#This Row],[Column2]],Table12[[Column2]:[Column54]],49,FALSE),"0")</f>
        <v>0</v>
      </c>
      <c r="AY155" s="74">
        <f>IFERROR(VLOOKUP(Table1215[[#This Row],[Column2]],Table12[[Column2]:[Column54]],50,FALSE),"0")</f>
        <v>0</v>
      </c>
      <c r="AZ155" s="74">
        <f>IFERROR(VLOOKUP(Table1215[[#This Row],[Column2]],Table12[[Column2]:[Column54]],51,FALSE),"0")</f>
        <v>5</v>
      </c>
      <c r="BA155" s="74">
        <f>IFERROR(VLOOKUP(Table1215[[#This Row],[Column2]],Table12[[Column2]:[Column54]],52,FALSE),"0")</f>
        <v>5</v>
      </c>
      <c r="BB155" s="80">
        <f>AVERAGE(Table1215[[#This Row],[Column52]],Table1215[[#This Row],[Column53]])</f>
        <v>5</v>
      </c>
    </row>
    <row r="156" spans="1:54" ht="23.1" customHeight="1" x14ac:dyDescent="0.3">
      <c r="A156" s="99">
        <v>153</v>
      </c>
      <c r="B156" s="76" t="s">
        <v>385</v>
      </c>
      <c r="C156" s="77" t="s">
        <v>386</v>
      </c>
      <c r="D156" s="76" t="s">
        <v>450</v>
      </c>
      <c r="E156" s="76" t="s">
        <v>493</v>
      </c>
      <c r="F156" s="76" t="str">
        <f>REPT(CHAR(160),10)&amp;Working!$E157</f>
        <v>          C</v>
      </c>
      <c r="G156" s="78">
        <f>IFERROR(VLOOKUP(Table1215[[#This Row],[Column2]],Table12[[Column2]:[Column54]],6,FALSE),"0")</f>
        <v>0</v>
      </c>
      <c r="H156" s="78">
        <f>IFERROR(VLOOKUP(Table1215[[#This Row],[Column2]],Table12[[Column2]:[Column54]],7,FALSE),"0")</f>
        <v>0</v>
      </c>
      <c r="I156" s="78">
        <f>IFERROR(VLOOKUP(Table1215[[#This Row],[Column2]],Table12[[Column2]:[Column54]],8,FALSE),"0")</f>
        <v>4</v>
      </c>
      <c r="J156" s="78">
        <f>IFERROR(VLOOKUP(Table1215[[#This Row],[Column2]],Table12[[Column2]:[Column54]],9,FALSE),"0")</f>
        <v>0</v>
      </c>
      <c r="K156" s="78">
        <f>IFERROR(VLOOKUP(Table1215[[#This Row],[Column2]],Table12[[Column2]:[Column54]],10,FALSE),"0")</f>
        <v>0</v>
      </c>
      <c r="L156" s="80">
        <f>Table1215[[#This Row],[Column9]]</f>
        <v>4</v>
      </c>
      <c r="M156" s="78">
        <f>IFERROR(VLOOKUP(Table1215[[#This Row],[Column2]],Table12[[Column2]:[Column54]],12,FALSE),"0")</f>
        <v>0</v>
      </c>
      <c r="N156" s="78">
        <f>IFERROR(VLOOKUP(Table1215[[#This Row],[Column2]],Table12[[Column2]:[Column54]],13,FALSE),"0")</f>
        <v>5</v>
      </c>
      <c r="O156" s="78">
        <f>IFERROR(VLOOKUP(Table1215[[#This Row],[Column2]],Table12[[Column2]:[Column54]],14,FALSE),"0")</f>
        <v>5</v>
      </c>
      <c r="P156" s="78">
        <f>IFERROR(VLOOKUP(Table1215[[#This Row],[Column2]],Table12[[Column2]:[Column54]],10,FALSE),"0")</f>
        <v>0</v>
      </c>
      <c r="Q156" s="78">
        <f>IFERROR(VLOOKUP(Table1215[[#This Row],[Column2]],Table12[[Column2]:[Column54]],16,FALSE),"0")</f>
        <v>5</v>
      </c>
      <c r="R156" s="80">
        <f>AVERAGE(Table1215[[#This Row],[Column14]],Table1215[[#This Row],[Column15]],Table1215[[#This Row],[Column17]])</f>
        <v>5</v>
      </c>
      <c r="S156" s="78">
        <f>IFERROR(VLOOKUP(Table1215[[#This Row],[Column2]],Table12[[Column2]:[Column54]],18,FALSE),"0")</f>
        <v>0</v>
      </c>
      <c r="T156" s="78">
        <f>IFERROR(VLOOKUP(Table1215[[#This Row],[Column2]],Table12[[Column2]:[Column54]],19,FALSE),"0")</f>
        <v>0</v>
      </c>
      <c r="U156" s="78">
        <f>IFERROR(VLOOKUP(Table1215[[#This Row],[Column2]],Table12[[Column2]:[Column54]],20,FALSE),"0")</f>
        <v>0</v>
      </c>
      <c r="V156" s="78">
        <f>IFERROR(VLOOKUP(Table1215[[#This Row],[Column2]],Table12[[Column2]:[Column54]],21,FALSE),"0")</f>
        <v>0</v>
      </c>
      <c r="W156" s="78">
        <f>IFERROR(VLOOKUP(Table1215[[#This Row],[Column2]],Table12[[Column2]:[Column54]],22,FALSE),"0")</f>
        <v>0</v>
      </c>
      <c r="X156" s="80">
        <f>Table1215[[#This Row],[Column19]]</f>
        <v>0</v>
      </c>
      <c r="Y156" s="78">
        <f>IFERROR(VLOOKUP(Table1215[[#This Row],[Column2]],Table12[[Column2]:[Column54]],24,FALSE),"0")</f>
        <v>4</v>
      </c>
      <c r="Z156" s="78">
        <f>IFERROR(VLOOKUP(Table1215[[#This Row],[Column2]],Table12[[Column2]:[Column54]],25,FALSE),"0")</f>
        <v>0</v>
      </c>
      <c r="AA156" s="78">
        <f>IFERROR(VLOOKUP(Table1215[[#This Row],[Column2]],Table12[[Column2]:[Column54]],26,FALSE),"0")</f>
        <v>0</v>
      </c>
      <c r="AB156" s="78">
        <f>IFERROR(VLOOKUP(Table1215[[#This Row],[Column2]],Table12[[Column2]:[Column54]],27,FALSE),"0")</f>
        <v>0</v>
      </c>
      <c r="AC156" s="78">
        <f>IFERROR(VLOOKUP(Table1215[[#This Row],[Column2]],Table12[[Column2]:[Column54]],28,FALSE),"0")</f>
        <v>0</v>
      </c>
      <c r="AD156" s="80">
        <f>Table1215[[#This Row],[Column25]]</f>
        <v>4</v>
      </c>
      <c r="AE156" s="78">
        <f>IFERROR(VLOOKUP(Table1215[[#This Row],[Column2]],Table12[[Column2]:[Column54]],30,FALSE),"0")</f>
        <v>0</v>
      </c>
      <c r="AF156" s="78">
        <f>IFERROR(VLOOKUP(Table1215[[#This Row],[Column2]],Table12[[Column2]:[Column54]],31,FALSE),"0")</f>
        <v>0</v>
      </c>
      <c r="AG156" s="78">
        <f>IFERROR(VLOOKUP(Table1215[[#This Row],[Column2]],Table12[[Column2]:[Column54]],32,FALSE),"0")</f>
        <v>0</v>
      </c>
      <c r="AH156" s="78">
        <f>IFERROR(VLOOKUP(Table1215[[#This Row],[Column2]],Table12[[Column2]:[Column54]],33,FALSE),"0")</f>
        <v>0</v>
      </c>
      <c r="AI156" s="78">
        <f>IFERROR(VLOOKUP(Table1215[[#This Row],[Column2]],Table12[[Column2]:[Column54]],34,FALSE),"0")</f>
        <v>0</v>
      </c>
      <c r="AJ156" s="80">
        <f>AVERAGE(Table1215[[#This Row],[Column31]],Table1215[[#This Row],[Column32]],Table1215[[#This Row],[Column33]])</f>
        <v>0</v>
      </c>
      <c r="AK156" s="78">
        <f>IFERROR(VLOOKUP(Table1215[[#This Row],[Column2]],Table12[[Column2]:[Column54]],36,FALSE),"0")</f>
        <v>4</v>
      </c>
      <c r="AL156" s="78">
        <f>IFERROR(VLOOKUP(Table1215[[#This Row],[Column2]],Table12[[Column2]:[Column54]],37,FALSE),"0")</f>
        <v>3</v>
      </c>
      <c r="AM156" s="78">
        <f>IFERROR(VLOOKUP(Table1215[[#This Row],[Column2]],Table12[[Column2]:[Column54]],38,FALSE),"0")</f>
        <v>0</v>
      </c>
      <c r="AN156" s="78">
        <f>IFERROR(VLOOKUP(Table1215[[#This Row],[Column2]],Table12[[Column2]:[Column54]],39,FALSE),"0")</f>
        <v>4</v>
      </c>
      <c r="AO156" s="78">
        <f>IFERROR(VLOOKUP(Table1215[[#This Row],[Column2]],Table12[[Column2]:[Column54]],40,FALSE),"0")</f>
        <v>0</v>
      </c>
      <c r="AP156" s="80">
        <f>AVERAGE(Table1215[[#This Row],[Column37]],Table1215[[#This Row],[Column38]],Table1215[[#This Row],[Column40]])</f>
        <v>3.6666666666666665</v>
      </c>
      <c r="AQ156" s="78">
        <f>IFERROR(VLOOKUP(Table1215[[#This Row],[Column2]],Table12[[Column2]:[Column54]],42,FALSE),"0")</f>
        <v>4</v>
      </c>
      <c r="AR156" s="78">
        <f>IFERROR(VLOOKUP(Table1215[[#This Row],[Column2]],Table12[[Column2]:[Column54]],43,FALSE),"0")</f>
        <v>0</v>
      </c>
      <c r="AS156" s="78">
        <f>IFERROR(VLOOKUP(Table1215[[#This Row],[Column2]],Table12[[Column2]:[Column54]],44,FALSE),"0")</f>
        <v>0</v>
      </c>
      <c r="AT156" s="78">
        <f>IFERROR(VLOOKUP(Table1215[[#This Row],[Column2]],Table12[[Column2]:[Column54]],45,FALSE),"0")</f>
        <v>0</v>
      </c>
      <c r="AU156" s="78">
        <f>IFERROR(VLOOKUP(Table1215[[#This Row],[Column2]],Table12[[Column2]:[Column54]],46,FALSE),"0")</f>
        <v>0</v>
      </c>
      <c r="AV156" s="80">
        <f>Table1215[[#This Row],[Column43]]</f>
        <v>4</v>
      </c>
      <c r="AW156" s="78">
        <f>IFERROR(VLOOKUP(Table1215[[#This Row],[Column2]],Table12[[Column2]:[Column54]],48,FALSE),"0")</f>
        <v>0</v>
      </c>
      <c r="AX156" s="78">
        <f>IFERROR(VLOOKUP(Table1215[[#This Row],[Column2]],Table12[[Column2]:[Column54]],49,FALSE),"0")</f>
        <v>0</v>
      </c>
      <c r="AY156" s="78">
        <f>IFERROR(VLOOKUP(Table1215[[#This Row],[Column2]],Table12[[Column2]:[Column54]],50,FALSE),"0")</f>
        <v>0</v>
      </c>
      <c r="AZ156" s="78">
        <f>IFERROR(VLOOKUP(Table1215[[#This Row],[Column2]],Table12[[Column2]:[Column54]],51,FALSE),"0")</f>
        <v>4</v>
      </c>
      <c r="BA156" s="78">
        <f>IFERROR(VLOOKUP(Table1215[[#This Row],[Column2]],Table12[[Column2]:[Column54]],52,FALSE),"0")</f>
        <v>4</v>
      </c>
      <c r="BB156" s="80">
        <f>AVERAGE(Table1215[[#This Row],[Column52]],Table1215[[#This Row],[Column53]])</f>
        <v>4</v>
      </c>
    </row>
    <row r="157" spans="1:54" ht="23.1" customHeight="1" x14ac:dyDescent="0.3">
      <c r="A157" s="100">
        <v>154</v>
      </c>
      <c r="B157" s="83" t="s">
        <v>93</v>
      </c>
      <c r="C157" s="84" t="s">
        <v>94</v>
      </c>
      <c r="D157" s="83" t="s">
        <v>542</v>
      </c>
      <c r="E157" s="83" t="s">
        <v>35</v>
      </c>
      <c r="F157" s="83" t="str">
        <f>REPT(CHAR(160),10)&amp;Working!$E158</f>
        <v>          A</v>
      </c>
      <c r="G157" s="74">
        <f>IFERROR(VLOOKUP(Table1215[[#This Row],[Column2]],Table12[[Column2]:[Column54]],6,FALSE),"0")</f>
        <v>0</v>
      </c>
      <c r="H157" s="74">
        <f>IFERROR(VLOOKUP(Table1215[[#This Row],[Column2]],Table12[[Column2]:[Column54]],7,FALSE),"0")</f>
        <v>0</v>
      </c>
      <c r="I157" s="74">
        <f>IFERROR(VLOOKUP(Table1215[[#This Row],[Column2]],Table12[[Column2]:[Column54]],8,FALSE),"0")</f>
        <v>2</v>
      </c>
      <c r="J157" s="74">
        <f>IFERROR(VLOOKUP(Table1215[[#This Row],[Column2]],Table12[[Column2]:[Column54]],9,FALSE),"0")</f>
        <v>0</v>
      </c>
      <c r="K157" s="74">
        <f>IFERROR(VLOOKUP(Table1215[[#This Row],[Column2]],Table12[[Column2]:[Column54]],10,FALSE),"0")</f>
        <v>0</v>
      </c>
      <c r="L157" s="80">
        <f>Table1215[[#This Row],[Column9]]</f>
        <v>2</v>
      </c>
      <c r="M157" s="74">
        <f>IFERROR(VLOOKUP(Table1215[[#This Row],[Column2]],Table12[[Column2]:[Column54]],12,FALSE),"0")</f>
        <v>0</v>
      </c>
      <c r="N157" s="74">
        <f>IFERROR(VLOOKUP(Table1215[[#This Row],[Column2]],Table12[[Column2]:[Column54]],13,FALSE),"0")</f>
        <v>4</v>
      </c>
      <c r="O157" s="74">
        <f>IFERROR(VLOOKUP(Table1215[[#This Row],[Column2]],Table12[[Column2]:[Column54]],14,FALSE),"0")</f>
        <v>4</v>
      </c>
      <c r="P157" s="74">
        <f>IFERROR(VLOOKUP(Table1215[[#This Row],[Column2]],Table12[[Column2]:[Column54]],10,FALSE),"0")</f>
        <v>0</v>
      </c>
      <c r="Q157" s="74">
        <f>IFERROR(VLOOKUP(Table1215[[#This Row],[Column2]],Table12[[Column2]:[Column54]],16,FALSE),"0")</f>
        <v>4</v>
      </c>
      <c r="R157" s="80">
        <f>AVERAGE(Table1215[[#This Row],[Column14]],Table1215[[#This Row],[Column15]],Table1215[[#This Row],[Column17]])</f>
        <v>4</v>
      </c>
      <c r="S157" s="74">
        <f>IFERROR(VLOOKUP(Table1215[[#This Row],[Column2]],Table12[[Column2]:[Column54]],18,FALSE),"0")</f>
        <v>0</v>
      </c>
      <c r="T157" s="74">
        <f>IFERROR(VLOOKUP(Table1215[[#This Row],[Column2]],Table12[[Column2]:[Column54]],19,FALSE),"0")</f>
        <v>0</v>
      </c>
      <c r="U157" s="74">
        <f>IFERROR(VLOOKUP(Table1215[[#This Row],[Column2]],Table12[[Column2]:[Column54]],20,FALSE),"0")</f>
        <v>0</v>
      </c>
      <c r="V157" s="74">
        <f>IFERROR(VLOOKUP(Table1215[[#This Row],[Column2]],Table12[[Column2]:[Column54]],21,FALSE),"0")</f>
        <v>0</v>
      </c>
      <c r="W157" s="74">
        <f>IFERROR(VLOOKUP(Table1215[[#This Row],[Column2]],Table12[[Column2]:[Column54]],22,FALSE),"0")</f>
        <v>0</v>
      </c>
      <c r="X157" s="80">
        <f>Table1215[[#This Row],[Column19]]</f>
        <v>0</v>
      </c>
      <c r="Y157" s="74">
        <f>IFERROR(VLOOKUP(Table1215[[#This Row],[Column2]],Table12[[Column2]:[Column54]],24,FALSE),"0")</f>
        <v>4</v>
      </c>
      <c r="Z157" s="74">
        <f>IFERROR(VLOOKUP(Table1215[[#This Row],[Column2]],Table12[[Column2]:[Column54]],25,FALSE),"0")</f>
        <v>0</v>
      </c>
      <c r="AA157" s="74">
        <f>IFERROR(VLOOKUP(Table1215[[#This Row],[Column2]],Table12[[Column2]:[Column54]],26,FALSE),"0")</f>
        <v>0</v>
      </c>
      <c r="AB157" s="74">
        <f>IFERROR(VLOOKUP(Table1215[[#This Row],[Column2]],Table12[[Column2]:[Column54]],27,FALSE),"0")</f>
        <v>0</v>
      </c>
      <c r="AC157" s="74">
        <f>IFERROR(VLOOKUP(Table1215[[#This Row],[Column2]],Table12[[Column2]:[Column54]],28,FALSE),"0")</f>
        <v>0</v>
      </c>
      <c r="AD157" s="80">
        <f>Table1215[[#This Row],[Column25]]</f>
        <v>4</v>
      </c>
      <c r="AE157" s="74">
        <f>IFERROR(VLOOKUP(Table1215[[#This Row],[Column2]],Table12[[Column2]:[Column54]],30,FALSE),"0")</f>
        <v>0</v>
      </c>
      <c r="AF157" s="74">
        <f>IFERROR(VLOOKUP(Table1215[[#This Row],[Column2]],Table12[[Column2]:[Column54]],31,FALSE),"0")</f>
        <v>0</v>
      </c>
      <c r="AG157" s="74">
        <f>IFERROR(VLOOKUP(Table1215[[#This Row],[Column2]],Table12[[Column2]:[Column54]],32,FALSE),"0")</f>
        <v>0</v>
      </c>
      <c r="AH157" s="74">
        <f>IFERROR(VLOOKUP(Table1215[[#This Row],[Column2]],Table12[[Column2]:[Column54]],33,FALSE),"0")</f>
        <v>0</v>
      </c>
      <c r="AI157" s="74">
        <f>IFERROR(VLOOKUP(Table1215[[#This Row],[Column2]],Table12[[Column2]:[Column54]],34,FALSE),"0")</f>
        <v>0</v>
      </c>
      <c r="AJ157" s="80">
        <f>AVERAGE(Table1215[[#This Row],[Column31]],Table1215[[#This Row],[Column32]],Table1215[[#This Row],[Column33]])</f>
        <v>0</v>
      </c>
      <c r="AK157" s="74">
        <f>IFERROR(VLOOKUP(Table1215[[#This Row],[Column2]],Table12[[Column2]:[Column54]],36,FALSE),"0")</f>
        <v>3</v>
      </c>
      <c r="AL157" s="74">
        <f>IFERROR(VLOOKUP(Table1215[[#This Row],[Column2]],Table12[[Column2]:[Column54]],37,FALSE),"0")</f>
        <v>3</v>
      </c>
      <c r="AM157" s="74">
        <f>IFERROR(VLOOKUP(Table1215[[#This Row],[Column2]],Table12[[Column2]:[Column54]],38,FALSE),"0")</f>
        <v>0</v>
      </c>
      <c r="AN157" s="74">
        <f>IFERROR(VLOOKUP(Table1215[[#This Row],[Column2]],Table12[[Column2]:[Column54]],39,FALSE),"0")</f>
        <v>3</v>
      </c>
      <c r="AO157" s="74">
        <f>IFERROR(VLOOKUP(Table1215[[#This Row],[Column2]],Table12[[Column2]:[Column54]],40,FALSE),"0")</f>
        <v>0</v>
      </c>
      <c r="AP157" s="80">
        <f>AVERAGE(Table1215[[#This Row],[Column37]],Table1215[[#This Row],[Column38]],Table1215[[#This Row],[Column40]])</f>
        <v>3</v>
      </c>
      <c r="AQ157" s="74">
        <f>IFERROR(VLOOKUP(Table1215[[#This Row],[Column2]],Table12[[Column2]:[Column54]],42,FALSE),"0")</f>
        <v>1</v>
      </c>
      <c r="AR157" s="74">
        <f>IFERROR(VLOOKUP(Table1215[[#This Row],[Column2]],Table12[[Column2]:[Column54]],43,FALSE),"0")</f>
        <v>0</v>
      </c>
      <c r="AS157" s="74">
        <f>IFERROR(VLOOKUP(Table1215[[#This Row],[Column2]],Table12[[Column2]:[Column54]],44,FALSE),"0")</f>
        <v>0</v>
      </c>
      <c r="AT157" s="74">
        <f>IFERROR(VLOOKUP(Table1215[[#This Row],[Column2]],Table12[[Column2]:[Column54]],45,FALSE),"0")</f>
        <v>0</v>
      </c>
      <c r="AU157" s="74">
        <f>IFERROR(VLOOKUP(Table1215[[#This Row],[Column2]],Table12[[Column2]:[Column54]],46,FALSE),"0")</f>
        <v>0</v>
      </c>
      <c r="AV157" s="80">
        <f>Table1215[[#This Row],[Column43]]</f>
        <v>1</v>
      </c>
      <c r="AW157" s="74">
        <f>IFERROR(VLOOKUP(Table1215[[#This Row],[Column2]],Table12[[Column2]:[Column54]],48,FALSE),"0")</f>
        <v>0</v>
      </c>
      <c r="AX157" s="74">
        <f>IFERROR(VLOOKUP(Table1215[[#This Row],[Column2]],Table12[[Column2]:[Column54]],49,FALSE),"0")</f>
        <v>0</v>
      </c>
      <c r="AY157" s="74">
        <f>IFERROR(VLOOKUP(Table1215[[#This Row],[Column2]],Table12[[Column2]:[Column54]],50,FALSE),"0")</f>
        <v>0</v>
      </c>
      <c r="AZ157" s="74">
        <f>IFERROR(VLOOKUP(Table1215[[#This Row],[Column2]],Table12[[Column2]:[Column54]],51,FALSE),"0")</f>
        <v>3</v>
      </c>
      <c r="BA157" s="74">
        <f>IFERROR(VLOOKUP(Table1215[[#This Row],[Column2]],Table12[[Column2]:[Column54]],52,FALSE),"0")</f>
        <v>3</v>
      </c>
      <c r="BB157" s="80">
        <f>AVERAGE(Table1215[[#This Row],[Column52]],Table1215[[#This Row],[Column53]])</f>
        <v>3</v>
      </c>
    </row>
    <row r="158" spans="1:54" ht="23.1" customHeight="1" x14ac:dyDescent="0.3">
      <c r="A158" s="99">
        <v>155</v>
      </c>
      <c r="B158" s="76" t="s">
        <v>188</v>
      </c>
      <c r="C158" s="77" t="s">
        <v>189</v>
      </c>
      <c r="D158" s="76" t="s">
        <v>542</v>
      </c>
      <c r="E158" s="76" t="s">
        <v>161</v>
      </c>
      <c r="F158" s="76" t="str">
        <f>REPT(CHAR(160),10)&amp;Working!$E159</f>
        <v>          B</v>
      </c>
      <c r="G158" s="78">
        <f>IFERROR(VLOOKUP(Table1215[[#This Row],[Column2]],Table12[[Column2]:[Column54]],6,FALSE),"0")</f>
        <v>0</v>
      </c>
      <c r="H158" s="78">
        <f>IFERROR(VLOOKUP(Table1215[[#This Row],[Column2]],Table12[[Column2]:[Column54]],7,FALSE),"0")</f>
        <v>0</v>
      </c>
      <c r="I158" s="78">
        <f>IFERROR(VLOOKUP(Table1215[[#This Row],[Column2]],Table12[[Column2]:[Column54]],8,FALSE),"0")</f>
        <v>4</v>
      </c>
      <c r="J158" s="78">
        <f>IFERROR(VLOOKUP(Table1215[[#This Row],[Column2]],Table12[[Column2]:[Column54]],9,FALSE),"0")</f>
        <v>0</v>
      </c>
      <c r="K158" s="78">
        <f>IFERROR(VLOOKUP(Table1215[[#This Row],[Column2]],Table12[[Column2]:[Column54]],10,FALSE),"0")</f>
        <v>0</v>
      </c>
      <c r="L158" s="80">
        <f>Table1215[[#This Row],[Column9]]</f>
        <v>4</v>
      </c>
      <c r="M158" s="78">
        <f>IFERROR(VLOOKUP(Table1215[[#This Row],[Column2]],Table12[[Column2]:[Column54]],12,FALSE),"0")</f>
        <v>0</v>
      </c>
      <c r="N158" s="78">
        <f>IFERROR(VLOOKUP(Table1215[[#This Row],[Column2]],Table12[[Column2]:[Column54]],13,FALSE),"0")</f>
        <v>3</v>
      </c>
      <c r="O158" s="78">
        <f>IFERROR(VLOOKUP(Table1215[[#This Row],[Column2]],Table12[[Column2]:[Column54]],14,FALSE),"0")</f>
        <v>3</v>
      </c>
      <c r="P158" s="78">
        <f>IFERROR(VLOOKUP(Table1215[[#This Row],[Column2]],Table12[[Column2]:[Column54]],10,FALSE),"0")</f>
        <v>0</v>
      </c>
      <c r="Q158" s="78">
        <f>IFERROR(VLOOKUP(Table1215[[#This Row],[Column2]],Table12[[Column2]:[Column54]],16,FALSE),"0")</f>
        <v>3</v>
      </c>
      <c r="R158" s="80">
        <f>AVERAGE(Table1215[[#This Row],[Column14]],Table1215[[#This Row],[Column15]],Table1215[[#This Row],[Column17]])</f>
        <v>3</v>
      </c>
      <c r="S158" s="78">
        <f>IFERROR(VLOOKUP(Table1215[[#This Row],[Column2]],Table12[[Column2]:[Column54]],18,FALSE),"0")</f>
        <v>0</v>
      </c>
      <c r="T158" s="78">
        <f>IFERROR(VLOOKUP(Table1215[[#This Row],[Column2]],Table12[[Column2]:[Column54]],19,FALSE),"0")</f>
        <v>0</v>
      </c>
      <c r="U158" s="78">
        <f>IFERROR(VLOOKUP(Table1215[[#This Row],[Column2]],Table12[[Column2]:[Column54]],20,FALSE),"0")</f>
        <v>0</v>
      </c>
      <c r="V158" s="78">
        <f>IFERROR(VLOOKUP(Table1215[[#This Row],[Column2]],Table12[[Column2]:[Column54]],21,FALSE),"0")</f>
        <v>0</v>
      </c>
      <c r="W158" s="78">
        <f>IFERROR(VLOOKUP(Table1215[[#This Row],[Column2]],Table12[[Column2]:[Column54]],22,FALSE),"0")</f>
        <v>0</v>
      </c>
      <c r="X158" s="80">
        <f>Table1215[[#This Row],[Column19]]</f>
        <v>0</v>
      </c>
      <c r="Y158" s="78">
        <f>IFERROR(VLOOKUP(Table1215[[#This Row],[Column2]],Table12[[Column2]:[Column54]],24,FALSE),"0")</f>
        <v>4</v>
      </c>
      <c r="Z158" s="78">
        <f>IFERROR(VLOOKUP(Table1215[[#This Row],[Column2]],Table12[[Column2]:[Column54]],25,FALSE),"0")</f>
        <v>0</v>
      </c>
      <c r="AA158" s="78">
        <f>IFERROR(VLOOKUP(Table1215[[#This Row],[Column2]],Table12[[Column2]:[Column54]],26,FALSE),"0")</f>
        <v>0</v>
      </c>
      <c r="AB158" s="78">
        <f>IFERROR(VLOOKUP(Table1215[[#This Row],[Column2]],Table12[[Column2]:[Column54]],27,FALSE),"0")</f>
        <v>0</v>
      </c>
      <c r="AC158" s="78">
        <f>IFERROR(VLOOKUP(Table1215[[#This Row],[Column2]],Table12[[Column2]:[Column54]],28,FALSE),"0")</f>
        <v>0</v>
      </c>
      <c r="AD158" s="80">
        <f>Table1215[[#This Row],[Column25]]</f>
        <v>4</v>
      </c>
      <c r="AE158" s="78">
        <f>IFERROR(VLOOKUP(Table1215[[#This Row],[Column2]],Table12[[Column2]:[Column54]],30,FALSE),"0")</f>
        <v>0</v>
      </c>
      <c r="AF158" s="78">
        <f>IFERROR(VLOOKUP(Table1215[[#This Row],[Column2]],Table12[[Column2]:[Column54]],31,FALSE),"0")</f>
        <v>0</v>
      </c>
      <c r="AG158" s="78">
        <f>IFERROR(VLOOKUP(Table1215[[#This Row],[Column2]],Table12[[Column2]:[Column54]],32,FALSE),"0")</f>
        <v>0</v>
      </c>
      <c r="AH158" s="78">
        <f>IFERROR(VLOOKUP(Table1215[[#This Row],[Column2]],Table12[[Column2]:[Column54]],33,FALSE),"0")</f>
        <v>0</v>
      </c>
      <c r="AI158" s="78">
        <f>IFERROR(VLOOKUP(Table1215[[#This Row],[Column2]],Table12[[Column2]:[Column54]],34,FALSE),"0")</f>
        <v>0</v>
      </c>
      <c r="AJ158" s="80">
        <f>AVERAGE(Table1215[[#This Row],[Column31]],Table1215[[#This Row],[Column32]],Table1215[[#This Row],[Column33]])</f>
        <v>0</v>
      </c>
      <c r="AK158" s="78">
        <f>IFERROR(VLOOKUP(Table1215[[#This Row],[Column2]],Table12[[Column2]:[Column54]],36,FALSE),"0")</f>
        <v>3</v>
      </c>
      <c r="AL158" s="78">
        <f>IFERROR(VLOOKUP(Table1215[[#This Row],[Column2]],Table12[[Column2]:[Column54]],37,FALSE),"0")</f>
        <v>2</v>
      </c>
      <c r="AM158" s="78">
        <f>IFERROR(VLOOKUP(Table1215[[#This Row],[Column2]],Table12[[Column2]:[Column54]],38,FALSE),"0")</f>
        <v>0</v>
      </c>
      <c r="AN158" s="78">
        <f>IFERROR(VLOOKUP(Table1215[[#This Row],[Column2]],Table12[[Column2]:[Column54]],39,FALSE),"0")</f>
        <v>3</v>
      </c>
      <c r="AO158" s="78">
        <f>IFERROR(VLOOKUP(Table1215[[#This Row],[Column2]],Table12[[Column2]:[Column54]],40,FALSE),"0")</f>
        <v>0</v>
      </c>
      <c r="AP158" s="80">
        <f>AVERAGE(Table1215[[#This Row],[Column37]],Table1215[[#This Row],[Column38]],Table1215[[#This Row],[Column40]])</f>
        <v>2.6666666666666665</v>
      </c>
      <c r="AQ158" s="78">
        <f>IFERROR(VLOOKUP(Table1215[[#This Row],[Column2]],Table12[[Column2]:[Column54]],42,FALSE),"0")</f>
        <v>4</v>
      </c>
      <c r="AR158" s="78">
        <f>IFERROR(VLOOKUP(Table1215[[#This Row],[Column2]],Table12[[Column2]:[Column54]],43,FALSE),"0")</f>
        <v>0</v>
      </c>
      <c r="AS158" s="78">
        <f>IFERROR(VLOOKUP(Table1215[[#This Row],[Column2]],Table12[[Column2]:[Column54]],44,FALSE),"0")</f>
        <v>0</v>
      </c>
      <c r="AT158" s="78">
        <f>IFERROR(VLOOKUP(Table1215[[#This Row],[Column2]],Table12[[Column2]:[Column54]],45,FALSE),"0")</f>
        <v>0</v>
      </c>
      <c r="AU158" s="78">
        <f>IFERROR(VLOOKUP(Table1215[[#This Row],[Column2]],Table12[[Column2]:[Column54]],46,FALSE),"0")</f>
        <v>0</v>
      </c>
      <c r="AV158" s="80">
        <f>Table1215[[#This Row],[Column43]]</f>
        <v>4</v>
      </c>
      <c r="AW158" s="78">
        <f>IFERROR(VLOOKUP(Table1215[[#This Row],[Column2]],Table12[[Column2]:[Column54]],48,FALSE),"0")</f>
        <v>0</v>
      </c>
      <c r="AX158" s="78">
        <f>IFERROR(VLOOKUP(Table1215[[#This Row],[Column2]],Table12[[Column2]:[Column54]],49,FALSE),"0")</f>
        <v>0</v>
      </c>
      <c r="AY158" s="78">
        <f>IFERROR(VLOOKUP(Table1215[[#This Row],[Column2]],Table12[[Column2]:[Column54]],50,FALSE),"0")</f>
        <v>0</v>
      </c>
      <c r="AZ158" s="78">
        <f>IFERROR(VLOOKUP(Table1215[[#This Row],[Column2]],Table12[[Column2]:[Column54]],51,FALSE),"0")</f>
        <v>5</v>
      </c>
      <c r="BA158" s="78">
        <f>IFERROR(VLOOKUP(Table1215[[#This Row],[Column2]],Table12[[Column2]:[Column54]],52,FALSE),"0")</f>
        <v>3</v>
      </c>
      <c r="BB158" s="80">
        <f>AVERAGE(Table1215[[#This Row],[Column52]],Table1215[[#This Row],[Column53]])</f>
        <v>4</v>
      </c>
    </row>
    <row r="159" spans="1:54" ht="23.1" customHeight="1" x14ac:dyDescent="0.3">
      <c r="A159" s="100">
        <v>156</v>
      </c>
      <c r="B159" s="83" t="s">
        <v>174</v>
      </c>
      <c r="C159" s="84" t="s">
        <v>175</v>
      </c>
      <c r="D159" s="83" t="s">
        <v>450</v>
      </c>
      <c r="E159" s="83" t="s">
        <v>161</v>
      </c>
      <c r="F159" s="83" t="str">
        <f>REPT(CHAR(160),10)&amp;Working!$E160</f>
        <v>          B</v>
      </c>
      <c r="G159" s="74">
        <f>IFERROR(VLOOKUP(Table1215[[#This Row],[Column2]],Table12[[Column2]:[Column54]],6,FALSE),"0")</f>
        <v>0</v>
      </c>
      <c r="H159" s="74">
        <f>IFERROR(VLOOKUP(Table1215[[#This Row],[Column2]],Table12[[Column2]:[Column54]],7,FALSE),"0")</f>
        <v>0</v>
      </c>
      <c r="I159" s="74">
        <f>IFERROR(VLOOKUP(Table1215[[#This Row],[Column2]],Table12[[Column2]:[Column54]],8,FALSE),"0")</f>
        <v>3</v>
      </c>
      <c r="J159" s="74">
        <f>IFERROR(VLOOKUP(Table1215[[#This Row],[Column2]],Table12[[Column2]:[Column54]],9,FALSE),"0")</f>
        <v>0</v>
      </c>
      <c r="K159" s="74">
        <f>IFERROR(VLOOKUP(Table1215[[#This Row],[Column2]],Table12[[Column2]:[Column54]],10,FALSE),"0")</f>
        <v>0</v>
      </c>
      <c r="L159" s="80">
        <f>Table1215[[#This Row],[Column9]]</f>
        <v>3</v>
      </c>
      <c r="M159" s="74">
        <f>IFERROR(VLOOKUP(Table1215[[#This Row],[Column2]],Table12[[Column2]:[Column54]],12,FALSE),"0")</f>
        <v>0</v>
      </c>
      <c r="N159" s="74">
        <f>IFERROR(VLOOKUP(Table1215[[#This Row],[Column2]],Table12[[Column2]:[Column54]],13,FALSE),"0")</f>
        <v>4</v>
      </c>
      <c r="O159" s="74">
        <f>IFERROR(VLOOKUP(Table1215[[#This Row],[Column2]],Table12[[Column2]:[Column54]],14,FALSE),"0")</f>
        <v>3</v>
      </c>
      <c r="P159" s="74">
        <f>IFERROR(VLOOKUP(Table1215[[#This Row],[Column2]],Table12[[Column2]:[Column54]],10,FALSE),"0")</f>
        <v>0</v>
      </c>
      <c r="Q159" s="74">
        <f>IFERROR(VLOOKUP(Table1215[[#This Row],[Column2]],Table12[[Column2]:[Column54]],16,FALSE),"0")</f>
        <v>3</v>
      </c>
      <c r="R159" s="80">
        <f>AVERAGE(Table1215[[#This Row],[Column14]],Table1215[[#This Row],[Column15]],Table1215[[#This Row],[Column17]])</f>
        <v>3.3333333333333335</v>
      </c>
      <c r="S159" s="74">
        <f>IFERROR(VLOOKUP(Table1215[[#This Row],[Column2]],Table12[[Column2]:[Column54]],18,FALSE),"0")</f>
        <v>0</v>
      </c>
      <c r="T159" s="74">
        <f>IFERROR(VLOOKUP(Table1215[[#This Row],[Column2]],Table12[[Column2]:[Column54]],19,FALSE),"0")</f>
        <v>0</v>
      </c>
      <c r="U159" s="74">
        <f>IFERROR(VLOOKUP(Table1215[[#This Row],[Column2]],Table12[[Column2]:[Column54]],20,FALSE),"0")</f>
        <v>0</v>
      </c>
      <c r="V159" s="74">
        <f>IFERROR(VLOOKUP(Table1215[[#This Row],[Column2]],Table12[[Column2]:[Column54]],21,FALSE),"0")</f>
        <v>0</v>
      </c>
      <c r="W159" s="74">
        <f>IFERROR(VLOOKUP(Table1215[[#This Row],[Column2]],Table12[[Column2]:[Column54]],22,FALSE),"0")</f>
        <v>0</v>
      </c>
      <c r="X159" s="80">
        <f>Table1215[[#This Row],[Column19]]</f>
        <v>0</v>
      </c>
      <c r="Y159" s="74">
        <f>IFERROR(VLOOKUP(Table1215[[#This Row],[Column2]],Table12[[Column2]:[Column54]],24,FALSE),"0")</f>
        <v>4</v>
      </c>
      <c r="Z159" s="74">
        <f>IFERROR(VLOOKUP(Table1215[[#This Row],[Column2]],Table12[[Column2]:[Column54]],25,FALSE),"0")</f>
        <v>0</v>
      </c>
      <c r="AA159" s="74">
        <f>IFERROR(VLOOKUP(Table1215[[#This Row],[Column2]],Table12[[Column2]:[Column54]],26,FALSE),"0")</f>
        <v>0</v>
      </c>
      <c r="AB159" s="74">
        <f>IFERROR(VLOOKUP(Table1215[[#This Row],[Column2]],Table12[[Column2]:[Column54]],27,FALSE),"0")</f>
        <v>0</v>
      </c>
      <c r="AC159" s="74">
        <f>IFERROR(VLOOKUP(Table1215[[#This Row],[Column2]],Table12[[Column2]:[Column54]],28,FALSE),"0")</f>
        <v>0</v>
      </c>
      <c r="AD159" s="80">
        <f>Table1215[[#This Row],[Column25]]</f>
        <v>4</v>
      </c>
      <c r="AE159" s="74">
        <f>IFERROR(VLOOKUP(Table1215[[#This Row],[Column2]],Table12[[Column2]:[Column54]],30,FALSE),"0")</f>
        <v>0</v>
      </c>
      <c r="AF159" s="74">
        <f>IFERROR(VLOOKUP(Table1215[[#This Row],[Column2]],Table12[[Column2]:[Column54]],31,FALSE),"0")</f>
        <v>0</v>
      </c>
      <c r="AG159" s="74">
        <f>IFERROR(VLOOKUP(Table1215[[#This Row],[Column2]],Table12[[Column2]:[Column54]],32,FALSE),"0")</f>
        <v>0</v>
      </c>
      <c r="AH159" s="74">
        <f>IFERROR(VLOOKUP(Table1215[[#This Row],[Column2]],Table12[[Column2]:[Column54]],33,FALSE),"0")</f>
        <v>0</v>
      </c>
      <c r="AI159" s="74">
        <f>IFERROR(VLOOKUP(Table1215[[#This Row],[Column2]],Table12[[Column2]:[Column54]],34,FALSE),"0")</f>
        <v>0</v>
      </c>
      <c r="AJ159" s="80">
        <f>AVERAGE(Table1215[[#This Row],[Column31]],Table1215[[#This Row],[Column32]],Table1215[[#This Row],[Column33]])</f>
        <v>0</v>
      </c>
      <c r="AK159" s="74">
        <f>IFERROR(VLOOKUP(Table1215[[#This Row],[Column2]],Table12[[Column2]:[Column54]],36,FALSE),"0")</f>
        <v>3</v>
      </c>
      <c r="AL159" s="74">
        <f>IFERROR(VLOOKUP(Table1215[[#This Row],[Column2]],Table12[[Column2]:[Column54]],37,FALSE),"0")</f>
        <v>3</v>
      </c>
      <c r="AM159" s="74">
        <f>IFERROR(VLOOKUP(Table1215[[#This Row],[Column2]],Table12[[Column2]:[Column54]],38,FALSE),"0")</f>
        <v>0</v>
      </c>
      <c r="AN159" s="74">
        <f>IFERROR(VLOOKUP(Table1215[[#This Row],[Column2]],Table12[[Column2]:[Column54]],39,FALSE),"0")</f>
        <v>4</v>
      </c>
      <c r="AO159" s="74">
        <f>IFERROR(VLOOKUP(Table1215[[#This Row],[Column2]],Table12[[Column2]:[Column54]],40,FALSE),"0")</f>
        <v>0</v>
      </c>
      <c r="AP159" s="80">
        <f>AVERAGE(Table1215[[#This Row],[Column37]],Table1215[[#This Row],[Column38]],Table1215[[#This Row],[Column40]])</f>
        <v>3.3333333333333335</v>
      </c>
      <c r="AQ159" s="74">
        <f>IFERROR(VLOOKUP(Table1215[[#This Row],[Column2]],Table12[[Column2]:[Column54]],42,FALSE),"0")</f>
        <v>3</v>
      </c>
      <c r="AR159" s="74">
        <f>IFERROR(VLOOKUP(Table1215[[#This Row],[Column2]],Table12[[Column2]:[Column54]],43,FALSE),"0")</f>
        <v>0</v>
      </c>
      <c r="AS159" s="74">
        <f>IFERROR(VLOOKUP(Table1215[[#This Row],[Column2]],Table12[[Column2]:[Column54]],44,FALSE),"0")</f>
        <v>0</v>
      </c>
      <c r="AT159" s="74">
        <f>IFERROR(VLOOKUP(Table1215[[#This Row],[Column2]],Table12[[Column2]:[Column54]],45,FALSE),"0")</f>
        <v>0</v>
      </c>
      <c r="AU159" s="74">
        <f>IFERROR(VLOOKUP(Table1215[[#This Row],[Column2]],Table12[[Column2]:[Column54]],46,FALSE),"0")</f>
        <v>0</v>
      </c>
      <c r="AV159" s="80">
        <f>Table1215[[#This Row],[Column43]]</f>
        <v>3</v>
      </c>
      <c r="AW159" s="74">
        <f>IFERROR(VLOOKUP(Table1215[[#This Row],[Column2]],Table12[[Column2]:[Column54]],48,FALSE),"0")</f>
        <v>0</v>
      </c>
      <c r="AX159" s="74">
        <f>IFERROR(VLOOKUP(Table1215[[#This Row],[Column2]],Table12[[Column2]:[Column54]],49,FALSE),"0")</f>
        <v>0</v>
      </c>
      <c r="AY159" s="74">
        <f>IFERROR(VLOOKUP(Table1215[[#This Row],[Column2]],Table12[[Column2]:[Column54]],50,FALSE),"0")</f>
        <v>0</v>
      </c>
      <c r="AZ159" s="74">
        <f>IFERROR(VLOOKUP(Table1215[[#This Row],[Column2]],Table12[[Column2]:[Column54]],51,FALSE),"0")</f>
        <v>4</v>
      </c>
      <c r="BA159" s="74">
        <f>IFERROR(VLOOKUP(Table1215[[#This Row],[Column2]],Table12[[Column2]:[Column54]],52,FALSE),"0")</f>
        <v>3</v>
      </c>
      <c r="BB159" s="80">
        <f>AVERAGE(Table1215[[#This Row],[Column52]],Table1215[[#This Row],[Column53]])</f>
        <v>3.5</v>
      </c>
    </row>
    <row r="160" spans="1:54" ht="23.1" customHeight="1" x14ac:dyDescent="0.3">
      <c r="A160" s="99">
        <v>157</v>
      </c>
      <c r="B160" s="76" t="s">
        <v>205</v>
      </c>
      <c r="C160" s="77" t="s">
        <v>206</v>
      </c>
      <c r="D160" s="76" t="s">
        <v>450</v>
      </c>
      <c r="E160" s="76" t="s">
        <v>161</v>
      </c>
      <c r="F160" s="76" t="str">
        <f>REPT(CHAR(160),10)&amp;Working!$E161</f>
        <v>          B</v>
      </c>
      <c r="G160" s="78">
        <f>IFERROR(VLOOKUP(Table1215[[#This Row],[Column2]],Table12[[Column2]:[Column54]],6,FALSE),"0")</f>
        <v>0</v>
      </c>
      <c r="H160" s="78">
        <f>IFERROR(VLOOKUP(Table1215[[#This Row],[Column2]],Table12[[Column2]:[Column54]],7,FALSE),"0")</f>
        <v>0</v>
      </c>
      <c r="I160" s="78">
        <f>IFERROR(VLOOKUP(Table1215[[#This Row],[Column2]],Table12[[Column2]:[Column54]],8,FALSE),"0")</f>
        <v>5</v>
      </c>
      <c r="J160" s="78">
        <f>IFERROR(VLOOKUP(Table1215[[#This Row],[Column2]],Table12[[Column2]:[Column54]],9,FALSE),"0")</f>
        <v>0</v>
      </c>
      <c r="K160" s="78">
        <f>IFERROR(VLOOKUP(Table1215[[#This Row],[Column2]],Table12[[Column2]:[Column54]],10,FALSE),"0")</f>
        <v>0</v>
      </c>
      <c r="L160" s="80">
        <f>Table1215[[#This Row],[Column9]]</f>
        <v>5</v>
      </c>
      <c r="M160" s="78">
        <f>IFERROR(VLOOKUP(Table1215[[#This Row],[Column2]],Table12[[Column2]:[Column54]],12,FALSE),"0")</f>
        <v>0</v>
      </c>
      <c r="N160" s="78">
        <f>IFERROR(VLOOKUP(Table1215[[#This Row],[Column2]],Table12[[Column2]:[Column54]],13,FALSE),"0")</f>
        <v>3</v>
      </c>
      <c r="O160" s="78">
        <f>IFERROR(VLOOKUP(Table1215[[#This Row],[Column2]],Table12[[Column2]:[Column54]],14,FALSE),"0")</f>
        <v>5</v>
      </c>
      <c r="P160" s="78">
        <f>IFERROR(VLOOKUP(Table1215[[#This Row],[Column2]],Table12[[Column2]:[Column54]],10,FALSE),"0")</f>
        <v>0</v>
      </c>
      <c r="Q160" s="78">
        <f>IFERROR(VLOOKUP(Table1215[[#This Row],[Column2]],Table12[[Column2]:[Column54]],16,FALSE),"0")</f>
        <v>5</v>
      </c>
      <c r="R160" s="80">
        <f>AVERAGE(Table1215[[#This Row],[Column14]],Table1215[[#This Row],[Column15]],Table1215[[#This Row],[Column17]])</f>
        <v>4.333333333333333</v>
      </c>
      <c r="S160" s="78">
        <f>IFERROR(VLOOKUP(Table1215[[#This Row],[Column2]],Table12[[Column2]:[Column54]],18,FALSE),"0")</f>
        <v>0</v>
      </c>
      <c r="T160" s="78">
        <f>IFERROR(VLOOKUP(Table1215[[#This Row],[Column2]],Table12[[Column2]:[Column54]],19,FALSE),"0")</f>
        <v>0</v>
      </c>
      <c r="U160" s="78">
        <f>IFERROR(VLOOKUP(Table1215[[#This Row],[Column2]],Table12[[Column2]:[Column54]],20,FALSE),"0")</f>
        <v>0</v>
      </c>
      <c r="V160" s="78">
        <f>IFERROR(VLOOKUP(Table1215[[#This Row],[Column2]],Table12[[Column2]:[Column54]],21,FALSE),"0")</f>
        <v>0</v>
      </c>
      <c r="W160" s="78">
        <f>IFERROR(VLOOKUP(Table1215[[#This Row],[Column2]],Table12[[Column2]:[Column54]],22,FALSE),"0")</f>
        <v>0</v>
      </c>
      <c r="X160" s="80">
        <f>Table1215[[#This Row],[Column19]]</f>
        <v>0</v>
      </c>
      <c r="Y160" s="78">
        <f>IFERROR(VLOOKUP(Table1215[[#This Row],[Column2]],Table12[[Column2]:[Column54]],24,FALSE),"0")</f>
        <v>3</v>
      </c>
      <c r="Z160" s="78">
        <f>IFERROR(VLOOKUP(Table1215[[#This Row],[Column2]],Table12[[Column2]:[Column54]],25,FALSE),"0")</f>
        <v>0</v>
      </c>
      <c r="AA160" s="78">
        <f>IFERROR(VLOOKUP(Table1215[[#This Row],[Column2]],Table12[[Column2]:[Column54]],26,FALSE),"0")</f>
        <v>0</v>
      </c>
      <c r="AB160" s="78">
        <f>IFERROR(VLOOKUP(Table1215[[#This Row],[Column2]],Table12[[Column2]:[Column54]],27,FALSE),"0")</f>
        <v>0</v>
      </c>
      <c r="AC160" s="78">
        <f>IFERROR(VLOOKUP(Table1215[[#This Row],[Column2]],Table12[[Column2]:[Column54]],28,FALSE),"0")</f>
        <v>0</v>
      </c>
      <c r="AD160" s="80">
        <f>Table1215[[#This Row],[Column25]]</f>
        <v>3</v>
      </c>
      <c r="AE160" s="78">
        <f>IFERROR(VLOOKUP(Table1215[[#This Row],[Column2]],Table12[[Column2]:[Column54]],30,FALSE),"0")</f>
        <v>0</v>
      </c>
      <c r="AF160" s="78">
        <f>IFERROR(VLOOKUP(Table1215[[#This Row],[Column2]],Table12[[Column2]:[Column54]],31,FALSE),"0")</f>
        <v>0</v>
      </c>
      <c r="AG160" s="78">
        <f>IFERROR(VLOOKUP(Table1215[[#This Row],[Column2]],Table12[[Column2]:[Column54]],32,FALSE),"0")</f>
        <v>0</v>
      </c>
      <c r="AH160" s="78">
        <f>IFERROR(VLOOKUP(Table1215[[#This Row],[Column2]],Table12[[Column2]:[Column54]],33,FALSE),"0")</f>
        <v>0</v>
      </c>
      <c r="AI160" s="78">
        <f>IFERROR(VLOOKUP(Table1215[[#This Row],[Column2]],Table12[[Column2]:[Column54]],34,FALSE),"0")</f>
        <v>0</v>
      </c>
      <c r="AJ160" s="80">
        <f>AVERAGE(Table1215[[#This Row],[Column31]],Table1215[[#This Row],[Column32]],Table1215[[#This Row],[Column33]])</f>
        <v>0</v>
      </c>
      <c r="AK160" s="78">
        <f>IFERROR(VLOOKUP(Table1215[[#This Row],[Column2]],Table12[[Column2]:[Column54]],36,FALSE),"0")</f>
        <v>4</v>
      </c>
      <c r="AL160" s="78">
        <f>IFERROR(VLOOKUP(Table1215[[#This Row],[Column2]],Table12[[Column2]:[Column54]],37,FALSE),"0")</f>
        <v>4</v>
      </c>
      <c r="AM160" s="78">
        <f>IFERROR(VLOOKUP(Table1215[[#This Row],[Column2]],Table12[[Column2]:[Column54]],38,FALSE),"0")</f>
        <v>0</v>
      </c>
      <c r="AN160" s="78">
        <f>IFERROR(VLOOKUP(Table1215[[#This Row],[Column2]],Table12[[Column2]:[Column54]],39,FALSE),"0")</f>
        <v>4</v>
      </c>
      <c r="AO160" s="78">
        <f>IFERROR(VLOOKUP(Table1215[[#This Row],[Column2]],Table12[[Column2]:[Column54]],40,FALSE),"0")</f>
        <v>0</v>
      </c>
      <c r="AP160" s="80">
        <f>AVERAGE(Table1215[[#This Row],[Column37]],Table1215[[#This Row],[Column38]],Table1215[[#This Row],[Column40]])</f>
        <v>4</v>
      </c>
      <c r="AQ160" s="78">
        <f>IFERROR(VLOOKUP(Table1215[[#This Row],[Column2]],Table12[[Column2]:[Column54]],42,FALSE),"0")</f>
        <v>4</v>
      </c>
      <c r="AR160" s="78">
        <f>IFERROR(VLOOKUP(Table1215[[#This Row],[Column2]],Table12[[Column2]:[Column54]],43,FALSE),"0")</f>
        <v>0</v>
      </c>
      <c r="AS160" s="78">
        <f>IFERROR(VLOOKUP(Table1215[[#This Row],[Column2]],Table12[[Column2]:[Column54]],44,FALSE),"0")</f>
        <v>0</v>
      </c>
      <c r="AT160" s="78">
        <f>IFERROR(VLOOKUP(Table1215[[#This Row],[Column2]],Table12[[Column2]:[Column54]],45,FALSE),"0")</f>
        <v>0</v>
      </c>
      <c r="AU160" s="78">
        <f>IFERROR(VLOOKUP(Table1215[[#This Row],[Column2]],Table12[[Column2]:[Column54]],46,FALSE),"0")</f>
        <v>0</v>
      </c>
      <c r="AV160" s="80">
        <f>Table1215[[#This Row],[Column43]]</f>
        <v>4</v>
      </c>
      <c r="AW160" s="78">
        <f>IFERROR(VLOOKUP(Table1215[[#This Row],[Column2]],Table12[[Column2]:[Column54]],48,FALSE),"0")</f>
        <v>0</v>
      </c>
      <c r="AX160" s="78">
        <f>IFERROR(VLOOKUP(Table1215[[#This Row],[Column2]],Table12[[Column2]:[Column54]],49,FALSE),"0")</f>
        <v>0</v>
      </c>
      <c r="AY160" s="78">
        <f>IFERROR(VLOOKUP(Table1215[[#This Row],[Column2]],Table12[[Column2]:[Column54]],50,FALSE),"0")</f>
        <v>0</v>
      </c>
      <c r="AZ160" s="78">
        <f>IFERROR(VLOOKUP(Table1215[[#This Row],[Column2]],Table12[[Column2]:[Column54]],51,FALSE),"0")</f>
        <v>5</v>
      </c>
      <c r="BA160" s="78">
        <f>IFERROR(VLOOKUP(Table1215[[#This Row],[Column2]],Table12[[Column2]:[Column54]],52,FALSE),"0")</f>
        <v>5</v>
      </c>
      <c r="BB160" s="80">
        <f>AVERAGE(Table1215[[#This Row],[Column52]],Table1215[[#This Row],[Column53]])</f>
        <v>5</v>
      </c>
    </row>
    <row r="161" spans="1:54" ht="23.1" customHeight="1" x14ac:dyDescent="0.3">
      <c r="A161" s="100">
        <v>158</v>
      </c>
      <c r="B161" s="83" t="s">
        <v>387</v>
      </c>
      <c r="C161" s="84" t="s">
        <v>388</v>
      </c>
      <c r="D161" s="83" t="s">
        <v>450</v>
      </c>
      <c r="E161" s="83" t="s">
        <v>493</v>
      </c>
      <c r="F161" s="83" t="str">
        <f>REPT(CHAR(160),10)&amp;Working!$E162</f>
        <v>          C</v>
      </c>
      <c r="G161" s="74">
        <f>IFERROR(VLOOKUP(Table1215[[#This Row],[Column2]],Table12[[Column2]:[Column54]],6,FALSE),"0")</f>
        <v>0</v>
      </c>
      <c r="H161" s="74">
        <f>IFERROR(VLOOKUP(Table1215[[#This Row],[Column2]],Table12[[Column2]:[Column54]],7,FALSE),"0")</f>
        <v>0</v>
      </c>
      <c r="I161" s="74">
        <f>IFERROR(VLOOKUP(Table1215[[#This Row],[Column2]],Table12[[Column2]:[Column54]],8,FALSE),"0")</f>
        <v>3</v>
      </c>
      <c r="J161" s="74">
        <f>IFERROR(VLOOKUP(Table1215[[#This Row],[Column2]],Table12[[Column2]:[Column54]],9,FALSE),"0")</f>
        <v>0</v>
      </c>
      <c r="K161" s="74">
        <f>IFERROR(VLOOKUP(Table1215[[#This Row],[Column2]],Table12[[Column2]:[Column54]],10,FALSE),"0")</f>
        <v>0</v>
      </c>
      <c r="L161" s="80">
        <f>Table1215[[#This Row],[Column9]]</f>
        <v>3</v>
      </c>
      <c r="M161" s="74">
        <f>IFERROR(VLOOKUP(Table1215[[#This Row],[Column2]],Table12[[Column2]:[Column54]],12,FALSE),"0")</f>
        <v>0</v>
      </c>
      <c r="N161" s="74">
        <f>IFERROR(VLOOKUP(Table1215[[#This Row],[Column2]],Table12[[Column2]:[Column54]],13,FALSE),"0")</f>
        <v>4</v>
      </c>
      <c r="O161" s="74">
        <f>IFERROR(VLOOKUP(Table1215[[#This Row],[Column2]],Table12[[Column2]:[Column54]],14,FALSE),"0")</f>
        <v>4</v>
      </c>
      <c r="P161" s="74">
        <f>IFERROR(VLOOKUP(Table1215[[#This Row],[Column2]],Table12[[Column2]:[Column54]],10,FALSE),"0")</f>
        <v>0</v>
      </c>
      <c r="Q161" s="74">
        <f>IFERROR(VLOOKUP(Table1215[[#This Row],[Column2]],Table12[[Column2]:[Column54]],16,FALSE),"0")</f>
        <v>4</v>
      </c>
      <c r="R161" s="80">
        <f>AVERAGE(Table1215[[#This Row],[Column14]],Table1215[[#This Row],[Column15]],Table1215[[#This Row],[Column17]])</f>
        <v>4</v>
      </c>
      <c r="S161" s="74">
        <f>IFERROR(VLOOKUP(Table1215[[#This Row],[Column2]],Table12[[Column2]:[Column54]],18,FALSE),"0")</f>
        <v>0</v>
      </c>
      <c r="T161" s="74">
        <f>IFERROR(VLOOKUP(Table1215[[#This Row],[Column2]],Table12[[Column2]:[Column54]],19,FALSE),"0")</f>
        <v>0</v>
      </c>
      <c r="U161" s="74">
        <f>IFERROR(VLOOKUP(Table1215[[#This Row],[Column2]],Table12[[Column2]:[Column54]],20,FALSE),"0")</f>
        <v>0</v>
      </c>
      <c r="V161" s="74">
        <f>IFERROR(VLOOKUP(Table1215[[#This Row],[Column2]],Table12[[Column2]:[Column54]],21,FALSE),"0")</f>
        <v>0</v>
      </c>
      <c r="W161" s="74">
        <f>IFERROR(VLOOKUP(Table1215[[#This Row],[Column2]],Table12[[Column2]:[Column54]],22,FALSE),"0")</f>
        <v>0</v>
      </c>
      <c r="X161" s="80">
        <f>Table1215[[#This Row],[Column19]]</f>
        <v>0</v>
      </c>
      <c r="Y161" s="74">
        <f>IFERROR(VLOOKUP(Table1215[[#This Row],[Column2]],Table12[[Column2]:[Column54]],24,FALSE),"0")</f>
        <v>4</v>
      </c>
      <c r="Z161" s="74">
        <f>IFERROR(VLOOKUP(Table1215[[#This Row],[Column2]],Table12[[Column2]:[Column54]],25,FALSE),"0")</f>
        <v>0</v>
      </c>
      <c r="AA161" s="74">
        <f>IFERROR(VLOOKUP(Table1215[[#This Row],[Column2]],Table12[[Column2]:[Column54]],26,FALSE),"0")</f>
        <v>0</v>
      </c>
      <c r="AB161" s="74">
        <f>IFERROR(VLOOKUP(Table1215[[#This Row],[Column2]],Table12[[Column2]:[Column54]],27,FALSE),"0")</f>
        <v>0</v>
      </c>
      <c r="AC161" s="74">
        <f>IFERROR(VLOOKUP(Table1215[[#This Row],[Column2]],Table12[[Column2]:[Column54]],28,FALSE),"0")</f>
        <v>0</v>
      </c>
      <c r="AD161" s="80">
        <f>Table1215[[#This Row],[Column25]]</f>
        <v>4</v>
      </c>
      <c r="AE161" s="74">
        <f>IFERROR(VLOOKUP(Table1215[[#This Row],[Column2]],Table12[[Column2]:[Column54]],30,FALSE),"0")</f>
        <v>0</v>
      </c>
      <c r="AF161" s="74">
        <f>IFERROR(VLOOKUP(Table1215[[#This Row],[Column2]],Table12[[Column2]:[Column54]],31,FALSE),"0")</f>
        <v>0</v>
      </c>
      <c r="AG161" s="74">
        <f>IFERROR(VLOOKUP(Table1215[[#This Row],[Column2]],Table12[[Column2]:[Column54]],32,FALSE),"0")</f>
        <v>0</v>
      </c>
      <c r="AH161" s="74">
        <f>IFERROR(VLOOKUP(Table1215[[#This Row],[Column2]],Table12[[Column2]:[Column54]],33,FALSE),"0")</f>
        <v>0</v>
      </c>
      <c r="AI161" s="74">
        <f>IFERROR(VLOOKUP(Table1215[[#This Row],[Column2]],Table12[[Column2]:[Column54]],34,FALSE),"0")</f>
        <v>0</v>
      </c>
      <c r="AJ161" s="80">
        <f>AVERAGE(Table1215[[#This Row],[Column31]],Table1215[[#This Row],[Column32]],Table1215[[#This Row],[Column33]])</f>
        <v>0</v>
      </c>
      <c r="AK161" s="74">
        <f>IFERROR(VLOOKUP(Table1215[[#This Row],[Column2]],Table12[[Column2]:[Column54]],36,FALSE),"0")</f>
        <v>4</v>
      </c>
      <c r="AL161" s="74">
        <f>IFERROR(VLOOKUP(Table1215[[#This Row],[Column2]],Table12[[Column2]:[Column54]],37,FALSE),"0")</f>
        <v>3</v>
      </c>
      <c r="AM161" s="74">
        <f>IFERROR(VLOOKUP(Table1215[[#This Row],[Column2]],Table12[[Column2]:[Column54]],38,FALSE),"0")</f>
        <v>0</v>
      </c>
      <c r="AN161" s="74">
        <f>IFERROR(VLOOKUP(Table1215[[#This Row],[Column2]],Table12[[Column2]:[Column54]],39,FALSE),"0")</f>
        <v>4</v>
      </c>
      <c r="AO161" s="74">
        <f>IFERROR(VLOOKUP(Table1215[[#This Row],[Column2]],Table12[[Column2]:[Column54]],40,FALSE),"0")</f>
        <v>0</v>
      </c>
      <c r="AP161" s="80">
        <f>AVERAGE(Table1215[[#This Row],[Column37]],Table1215[[#This Row],[Column38]],Table1215[[#This Row],[Column40]])</f>
        <v>3.6666666666666665</v>
      </c>
      <c r="AQ161" s="74">
        <f>IFERROR(VLOOKUP(Table1215[[#This Row],[Column2]],Table12[[Column2]:[Column54]],42,FALSE),"0")</f>
        <v>3</v>
      </c>
      <c r="AR161" s="74">
        <f>IFERROR(VLOOKUP(Table1215[[#This Row],[Column2]],Table12[[Column2]:[Column54]],43,FALSE),"0")</f>
        <v>0</v>
      </c>
      <c r="AS161" s="74">
        <f>IFERROR(VLOOKUP(Table1215[[#This Row],[Column2]],Table12[[Column2]:[Column54]],44,FALSE),"0")</f>
        <v>0</v>
      </c>
      <c r="AT161" s="74">
        <f>IFERROR(VLOOKUP(Table1215[[#This Row],[Column2]],Table12[[Column2]:[Column54]],45,FALSE),"0")</f>
        <v>0</v>
      </c>
      <c r="AU161" s="74">
        <f>IFERROR(VLOOKUP(Table1215[[#This Row],[Column2]],Table12[[Column2]:[Column54]],46,FALSE),"0")</f>
        <v>0</v>
      </c>
      <c r="AV161" s="80">
        <f>Table1215[[#This Row],[Column43]]</f>
        <v>3</v>
      </c>
      <c r="AW161" s="74">
        <f>IFERROR(VLOOKUP(Table1215[[#This Row],[Column2]],Table12[[Column2]:[Column54]],48,FALSE),"0")</f>
        <v>0</v>
      </c>
      <c r="AX161" s="74">
        <f>IFERROR(VLOOKUP(Table1215[[#This Row],[Column2]],Table12[[Column2]:[Column54]],49,FALSE),"0")</f>
        <v>0</v>
      </c>
      <c r="AY161" s="74">
        <f>IFERROR(VLOOKUP(Table1215[[#This Row],[Column2]],Table12[[Column2]:[Column54]],50,FALSE),"0")</f>
        <v>0</v>
      </c>
      <c r="AZ161" s="74">
        <f>IFERROR(VLOOKUP(Table1215[[#This Row],[Column2]],Table12[[Column2]:[Column54]],51,FALSE),"0")</f>
        <v>4</v>
      </c>
      <c r="BA161" s="74">
        <f>IFERROR(VLOOKUP(Table1215[[#This Row],[Column2]],Table12[[Column2]:[Column54]],52,FALSE),"0")</f>
        <v>3</v>
      </c>
      <c r="BB161" s="80">
        <f>AVERAGE(Table1215[[#This Row],[Column52]],Table1215[[#This Row],[Column53]])</f>
        <v>3.5</v>
      </c>
    </row>
    <row r="162" spans="1:54" ht="23.1" customHeight="1" x14ac:dyDescent="0.3">
      <c r="A162" s="99">
        <v>159</v>
      </c>
      <c r="B162" s="76" t="s">
        <v>190</v>
      </c>
      <c r="C162" s="77" t="s">
        <v>191</v>
      </c>
      <c r="D162" s="76" t="s">
        <v>450</v>
      </c>
      <c r="E162" s="76" t="s">
        <v>161</v>
      </c>
      <c r="F162" s="76" t="str">
        <f>REPT(CHAR(160),10)&amp;Working!$E163</f>
        <v>          B</v>
      </c>
      <c r="G162" s="78">
        <f>IFERROR(VLOOKUP(Table1215[[#This Row],[Column2]],Table12[[Column2]:[Column54]],6,FALSE),"0")</f>
        <v>0</v>
      </c>
      <c r="H162" s="78">
        <f>IFERROR(VLOOKUP(Table1215[[#This Row],[Column2]],Table12[[Column2]:[Column54]],7,FALSE),"0")</f>
        <v>0</v>
      </c>
      <c r="I162" s="78">
        <f>IFERROR(VLOOKUP(Table1215[[#This Row],[Column2]],Table12[[Column2]:[Column54]],8,FALSE),"0")</f>
        <v>1</v>
      </c>
      <c r="J162" s="78">
        <f>IFERROR(VLOOKUP(Table1215[[#This Row],[Column2]],Table12[[Column2]:[Column54]],9,FALSE),"0")</f>
        <v>0</v>
      </c>
      <c r="K162" s="78">
        <f>IFERROR(VLOOKUP(Table1215[[#This Row],[Column2]],Table12[[Column2]:[Column54]],10,FALSE),"0")</f>
        <v>0</v>
      </c>
      <c r="L162" s="80">
        <f>Table1215[[#This Row],[Column9]]</f>
        <v>1</v>
      </c>
      <c r="M162" s="78">
        <f>IFERROR(VLOOKUP(Table1215[[#This Row],[Column2]],Table12[[Column2]:[Column54]],12,FALSE),"0")</f>
        <v>0</v>
      </c>
      <c r="N162" s="78">
        <f>IFERROR(VLOOKUP(Table1215[[#This Row],[Column2]],Table12[[Column2]:[Column54]],13,FALSE),"0")</f>
        <v>2</v>
      </c>
      <c r="O162" s="78">
        <f>IFERROR(VLOOKUP(Table1215[[#This Row],[Column2]],Table12[[Column2]:[Column54]],14,FALSE),"0")</f>
        <v>2</v>
      </c>
      <c r="P162" s="78">
        <f>IFERROR(VLOOKUP(Table1215[[#This Row],[Column2]],Table12[[Column2]:[Column54]],10,FALSE),"0")</f>
        <v>0</v>
      </c>
      <c r="Q162" s="78">
        <f>IFERROR(VLOOKUP(Table1215[[#This Row],[Column2]],Table12[[Column2]:[Column54]],16,FALSE),"0")</f>
        <v>2</v>
      </c>
      <c r="R162" s="80">
        <f>AVERAGE(Table1215[[#This Row],[Column14]],Table1215[[#This Row],[Column15]],Table1215[[#This Row],[Column17]])</f>
        <v>2</v>
      </c>
      <c r="S162" s="78">
        <f>IFERROR(VLOOKUP(Table1215[[#This Row],[Column2]],Table12[[Column2]:[Column54]],18,FALSE),"0")</f>
        <v>0</v>
      </c>
      <c r="T162" s="78">
        <f>IFERROR(VLOOKUP(Table1215[[#This Row],[Column2]],Table12[[Column2]:[Column54]],19,FALSE),"0")</f>
        <v>0</v>
      </c>
      <c r="U162" s="78">
        <f>IFERROR(VLOOKUP(Table1215[[#This Row],[Column2]],Table12[[Column2]:[Column54]],20,FALSE),"0")</f>
        <v>0</v>
      </c>
      <c r="V162" s="78">
        <f>IFERROR(VLOOKUP(Table1215[[#This Row],[Column2]],Table12[[Column2]:[Column54]],21,FALSE),"0")</f>
        <v>0</v>
      </c>
      <c r="W162" s="78">
        <f>IFERROR(VLOOKUP(Table1215[[#This Row],[Column2]],Table12[[Column2]:[Column54]],22,FALSE),"0")</f>
        <v>0</v>
      </c>
      <c r="X162" s="80">
        <f>Table1215[[#This Row],[Column19]]</f>
        <v>0</v>
      </c>
      <c r="Y162" s="78">
        <f>IFERROR(VLOOKUP(Table1215[[#This Row],[Column2]],Table12[[Column2]:[Column54]],24,FALSE),"0")</f>
        <v>2</v>
      </c>
      <c r="Z162" s="78">
        <f>IFERROR(VLOOKUP(Table1215[[#This Row],[Column2]],Table12[[Column2]:[Column54]],25,FALSE),"0")</f>
        <v>0</v>
      </c>
      <c r="AA162" s="78">
        <f>IFERROR(VLOOKUP(Table1215[[#This Row],[Column2]],Table12[[Column2]:[Column54]],26,FALSE),"0")</f>
        <v>0</v>
      </c>
      <c r="AB162" s="78">
        <f>IFERROR(VLOOKUP(Table1215[[#This Row],[Column2]],Table12[[Column2]:[Column54]],27,FALSE),"0")</f>
        <v>0</v>
      </c>
      <c r="AC162" s="78">
        <f>IFERROR(VLOOKUP(Table1215[[#This Row],[Column2]],Table12[[Column2]:[Column54]],28,FALSE),"0")</f>
        <v>0</v>
      </c>
      <c r="AD162" s="80">
        <f>Table1215[[#This Row],[Column25]]</f>
        <v>2</v>
      </c>
      <c r="AE162" s="78">
        <f>IFERROR(VLOOKUP(Table1215[[#This Row],[Column2]],Table12[[Column2]:[Column54]],30,FALSE),"0")</f>
        <v>0</v>
      </c>
      <c r="AF162" s="78">
        <f>IFERROR(VLOOKUP(Table1215[[#This Row],[Column2]],Table12[[Column2]:[Column54]],31,FALSE),"0")</f>
        <v>0</v>
      </c>
      <c r="AG162" s="78">
        <f>IFERROR(VLOOKUP(Table1215[[#This Row],[Column2]],Table12[[Column2]:[Column54]],32,FALSE),"0")</f>
        <v>0</v>
      </c>
      <c r="AH162" s="78">
        <f>IFERROR(VLOOKUP(Table1215[[#This Row],[Column2]],Table12[[Column2]:[Column54]],33,FALSE),"0")</f>
        <v>0</v>
      </c>
      <c r="AI162" s="78">
        <f>IFERROR(VLOOKUP(Table1215[[#This Row],[Column2]],Table12[[Column2]:[Column54]],34,FALSE),"0")</f>
        <v>0</v>
      </c>
      <c r="AJ162" s="80">
        <f>AVERAGE(Table1215[[#This Row],[Column31]],Table1215[[#This Row],[Column32]],Table1215[[#This Row],[Column33]])</f>
        <v>0</v>
      </c>
      <c r="AK162" s="78">
        <f>IFERROR(VLOOKUP(Table1215[[#This Row],[Column2]],Table12[[Column2]:[Column54]],36,FALSE),"0")</f>
        <v>2</v>
      </c>
      <c r="AL162" s="78">
        <f>IFERROR(VLOOKUP(Table1215[[#This Row],[Column2]],Table12[[Column2]:[Column54]],37,FALSE),"0")</f>
        <v>1</v>
      </c>
      <c r="AM162" s="78">
        <f>IFERROR(VLOOKUP(Table1215[[#This Row],[Column2]],Table12[[Column2]:[Column54]],38,FALSE),"0")</f>
        <v>0</v>
      </c>
      <c r="AN162" s="78">
        <f>IFERROR(VLOOKUP(Table1215[[#This Row],[Column2]],Table12[[Column2]:[Column54]],39,FALSE),"0")</f>
        <v>2</v>
      </c>
      <c r="AO162" s="78">
        <f>IFERROR(VLOOKUP(Table1215[[#This Row],[Column2]],Table12[[Column2]:[Column54]],40,FALSE),"0")</f>
        <v>0</v>
      </c>
      <c r="AP162" s="80">
        <f>AVERAGE(Table1215[[#This Row],[Column37]],Table1215[[#This Row],[Column38]],Table1215[[#This Row],[Column40]])</f>
        <v>1.6666666666666667</v>
      </c>
      <c r="AQ162" s="78">
        <f>IFERROR(VLOOKUP(Table1215[[#This Row],[Column2]],Table12[[Column2]:[Column54]],42,FALSE),"0")</f>
        <v>1</v>
      </c>
      <c r="AR162" s="78">
        <f>IFERROR(VLOOKUP(Table1215[[#This Row],[Column2]],Table12[[Column2]:[Column54]],43,FALSE),"0")</f>
        <v>0</v>
      </c>
      <c r="AS162" s="78">
        <f>IFERROR(VLOOKUP(Table1215[[#This Row],[Column2]],Table12[[Column2]:[Column54]],44,FALSE),"0")</f>
        <v>0</v>
      </c>
      <c r="AT162" s="78">
        <f>IFERROR(VLOOKUP(Table1215[[#This Row],[Column2]],Table12[[Column2]:[Column54]],45,FALSE),"0")</f>
        <v>0</v>
      </c>
      <c r="AU162" s="78">
        <f>IFERROR(VLOOKUP(Table1215[[#This Row],[Column2]],Table12[[Column2]:[Column54]],46,FALSE),"0")</f>
        <v>0</v>
      </c>
      <c r="AV162" s="80">
        <f>Table1215[[#This Row],[Column43]]</f>
        <v>1</v>
      </c>
      <c r="AW162" s="78">
        <f>IFERROR(VLOOKUP(Table1215[[#This Row],[Column2]],Table12[[Column2]:[Column54]],48,FALSE),"0")</f>
        <v>0</v>
      </c>
      <c r="AX162" s="78">
        <f>IFERROR(VLOOKUP(Table1215[[#This Row],[Column2]],Table12[[Column2]:[Column54]],49,FALSE),"0")</f>
        <v>0</v>
      </c>
      <c r="AY162" s="78">
        <f>IFERROR(VLOOKUP(Table1215[[#This Row],[Column2]],Table12[[Column2]:[Column54]],50,FALSE),"0")</f>
        <v>0</v>
      </c>
      <c r="AZ162" s="78">
        <f>IFERROR(VLOOKUP(Table1215[[#This Row],[Column2]],Table12[[Column2]:[Column54]],51,FALSE),"0")</f>
        <v>2</v>
      </c>
      <c r="BA162" s="78">
        <f>IFERROR(VLOOKUP(Table1215[[#This Row],[Column2]],Table12[[Column2]:[Column54]],52,FALSE),"0")</f>
        <v>2</v>
      </c>
      <c r="BB162" s="80">
        <f>AVERAGE(Table1215[[#This Row],[Column52]],Table1215[[#This Row],[Column53]])</f>
        <v>2</v>
      </c>
    </row>
    <row r="163" spans="1:54" ht="23.1" customHeight="1" x14ac:dyDescent="0.3">
      <c r="A163" s="100">
        <v>160</v>
      </c>
      <c r="B163" s="83" t="s">
        <v>157</v>
      </c>
      <c r="C163" s="84" t="s">
        <v>158</v>
      </c>
      <c r="D163" s="83" t="s">
        <v>542</v>
      </c>
      <c r="E163" s="83" t="s">
        <v>35</v>
      </c>
      <c r="F163" s="83" t="str">
        <f>REPT(CHAR(160),10)&amp;Working!$E164</f>
        <v>          A</v>
      </c>
      <c r="G163" s="74">
        <f>IFERROR(VLOOKUP(Table1215[[#This Row],[Column2]],Table12[[Column2]:[Column54]],6,FALSE),"0")</f>
        <v>0</v>
      </c>
      <c r="H163" s="74">
        <f>IFERROR(VLOOKUP(Table1215[[#This Row],[Column2]],Table12[[Column2]:[Column54]],7,FALSE),"0")</f>
        <v>0</v>
      </c>
      <c r="I163" s="74">
        <f>IFERROR(VLOOKUP(Table1215[[#This Row],[Column2]],Table12[[Column2]:[Column54]],8,FALSE),"0")</f>
        <v>3</v>
      </c>
      <c r="J163" s="74">
        <f>IFERROR(VLOOKUP(Table1215[[#This Row],[Column2]],Table12[[Column2]:[Column54]],9,FALSE),"0")</f>
        <v>0</v>
      </c>
      <c r="K163" s="74">
        <f>IFERROR(VLOOKUP(Table1215[[#This Row],[Column2]],Table12[[Column2]:[Column54]],10,FALSE),"0")</f>
        <v>0</v>
      </c>
      <c r="L163" s="80">
        <f>Table1215[[#This Row],[Column9]]</f>
        <v>3</v>
      </c>
      <c r="M163" s="74">
        <f>IFERROR(VLOOKUP(Table1215[[#This Row],[Column2]],Table12[[Column2]:[Column54]],12,FALSE),"0")</f>
        <v>0</v>
      </c>
      <c r="N163" s="74">
        <f>IFERROR(VLOOKUP(Table1215[[#This Row],[Column2]],Table12[[Column2]:[Column54]],13,FALSE),"0")</f>
        <v>3</v>
      </c>
      <c r="O163" s="74">
        <f>IFERROR(VLOOKUP(Table1215[[#This Row],[Column2]],Table12[[Column2]:[Column54]],14,FALSE),"0")</f>
        <v>3</v>
      </c>
      <c r="P163" s="74">
        <f>IFERROR(VLOOKUP(Table1215[[#This Row],[Column2]],Table12[[Column2]:[Column54]],10,FALSE),"0")</f>
        <v>0</v>
      </c>
      <c r="Q163" s="74">
        <f>IFERROR(VLOOKUP(Table1215[[#This Row],[Column2]],Table12[[Column2]:[Column54]],16,FALSE),"0")</f>
        <v>3</v>
      </c>
      <c r="R163" s="80">
        <f>AVERAGE(Table1215[[#This Row],[Column14]],Table1215[[#This Row],[Column15]],Table1215[[#This Row],[Column17]])</f>
        <v>3</v>
      </c>
      <c r="S163" s="74">
        <f>IFERROR(VLOOKUP(Table1215[[#This Row],[Column2]],Table12[[Column2]:[Column54]],18,FALSE),"0")</f>
        <v>0</v>
      </c>
      <c r="T163" s="74">
        <f>IFERROR(VLOOKUP(Table1215[[#This Row],[Column2]],Table12[[Column2]:[Column54]],19,FALSE),"0")</f>
        <v>0</v>
      </c>
      <c r="U163" s="74">
        <f>IFERROR(VLOOKUP(Table1215[[#This Row],[Column2]],Table12[[Column2]:[Column54]],20,FALSE),"0")</f>
        <v>0</v>
      </c>
      <c r="V163" s="74">
        <f>IFERROR(VLOOKUP(Table1215[[#This Row],[Column2]],Table12[[Column2]:[Column54]],21,FALSE),"0")</f>
        <v>0</v>
      </c>
      <c r="W163" s="74">
        <f>IFERROR(VLOOKUP(Table1215[[#This Row],[Column2]],Table12[[Column2]:[Column54]],22,FALSE),"0")</f>
        <v>0</v>
      </c>
      <c r="X163" s="80">
        <f>Table1215[[#This Row],[Column19]]</f>
        <v>0</v>
      </c>
      <c r="Y163" s="74">
        <f>IFERROR(VLOOKUP(Table1215[[#This Row],[Column2]],Table12[[Column2]:[Column54]],24,FALSE),"0")</f>
        <v>3</v>
      </c>
      <c r="Z163" s="74">
        <f>IFERROR(VLOOKUP(Table1215[[#This Row],[Column2]],Table12[[Column2]:[Column54]],25,FALSE),"0")</f>
        <v>0</v>
      </c>
      <c r="AA163" s="74">
        <f>IFERROR(VLOOKUP(Table1215[[#This Row],[Column2]],Table12[[Column2]:[Column54]],26,FALSE),"0")</f>
        <v>0</v>
      </c>
      <c r="AB163" s="74">
        <f>IFERROR(VLOOKUP(Table1215[[#This Row],[Column2]],Table12[[Column2]:[Column54]],27,FALSE),"0")</f>
        <v>0</v>
      </c>
      <c r="AC163" s="74">
        <f>IFERROR(VLOOKUP(Table1215[[#This Row],[Column2]],Table12[[Column2]:[Column54]],28,FALSE),"0")</f>
        <v>0</v>
      </c>
      <c r="AD163" s="80">
        <f>Table1215[[#This Row],[Column25]]</f>
        <v>3</v>
      </c>
      <c r="AE163" s="74">
        <f>IFERROR(VLOOKUP(Table1215[[#This Row],[Column2]],Table12[[Column2]:[Column54]],30,FALSE),"0")</f>
        <v>0</v>
      </c>
      <c r="AF163" s="74">
        <f>IFERROR(VLOOKUP(Table1215[[#This Row],[Column2]],Table12[[Column2]:[Column54]],31,FALSE),"0")</f>
        <v>0</v>
      </c>
      <c r="AG163" s="74">
        <f>IFERROR(VLOOKUP(Table1215[[#This Row],[Column2]],Table12[[Column2]:[Column54]],32,FALSE),"0")</f>
        <v>0</v>
      </c>
      <c r="AH163" s="74">
        <f>IFERROR(VLOOKUP(Table1215[[#This Row],[Column2]],Table12[[Column2]:[Column54]],33,FALSE),"0")</f>
        <v>0</v>
      </c>
      <c r="AI163" s="74">
        <f>IFERROR(VLOOKUP(Table1215[[#This Row],[Column2]],Table12[[Column2]:[Column54]],34,FALSE),"0")</f>
        <v>0</v>
      </c>
      <c r="AJ163" s="80">
        <f>AVERAGE(Table1215[[#This Row],[Column31]],Table1215[[#This Row],[Column32]],Table1215[[#This Row],[Column33]])</f>
        <v>0</v>
      </c>
      <c r="AK163" s="74">
        <f>IFERROR(VLOOKUP(Table1215[[#This Row],[Column2]],Table12[[Column2]:[Column54]],36,FALSE),"0")</f>
        <v>3</v>
      </c>
      <c r="AL163" s="74">
        <f>IFERROR(VLOOKUP(Table1215[[#This Row],[Column2]],Table12[[Column2]:[Column54]],37,FALSE),"0")</f>
        <v>3</v>
      </c>
      <c r="AM163" s="74">
        <f>IFERROR(VLOOKUP(Table1215[[#This Row],[Column2]],Table12[[Column2]:[Column54]],38,FALSE),"0")</f>
        <v>0</v>
      </c>
      <c r="AN163" s="74">
        <f>IFERROR(VLOOKUP(Table1215[[#This Row],[Column2]],Table12[[Column2]:[Column54]],39,FALSE),"0")</f>
        <v>3</v>
      </c>
      <c r="AO163" s="74">
        <f>IFERROR(VLOOKUP(Table1215[[#This Row],[Column2]],Table12[[Column2]:[Column54]],40,FALSE),"0")</f>
        <v>0</v>
      </c>
      <c r="AP163" s="80">
        <f>AVERAGE(Table1215[[#This Row],[Column37]],Table1215[[#This Row],[Column38]],Table1215[[#This Row],[Column40]])</f>
        <v>3</v>
      </c>
      <c r="AQ163" s="74">
        <f>IFERROR(VLOOKUP(Table1215[[#This Row],[Column2]],Table12[[Column2]:[Column54]],42,FALSE),"0")</f>
        <v>5</v>
      </c>
      <c r="AR163" s="74">
        <f>IFERROR(VLOOKUP(Table1215[[#This Row],[Column2]],Table12[[Column2]:[Column54]],43,FALSE),"0")</f>
        <v>0</v>
      </c>
      <c r="AS163" s="74">
        <f>IFERROR(VLOOKUP(Table1215[[#This Row],[Column2]],Table12[[Column2]:[Column54]],44,FALSE),"0")</f>
        <v>0</v>
      </c>
      <c r="AT163" s="74">
        <f>IFERROR(VLOOKUP(Table1215[[#This Row],[Column2]],Table12[[Column2]:[Column54]],45,FALSE),"0")</f>
        <v>0</v>
      </c>
      <c r="AU163" s="74">
        <f>IFERROR(VLOOKUP(Table1215[[#This Row],[Column2]],Table12[[Column2]:[Column54]],46,FALSE),"0")</f>
        <v>0</v>
      </c>
      <c r="AV163" s="80">
        <f>Table1215[[#This Row],[Column43]]</f>
        <v>5</v>
      </c>
      <c r="AW163" s="74">
        <f>IFERROR(VLOOKUP(Table1215[[#This Row],[Column2]],Table12[[Column2]:[Column54]],48,FALSE),"0")</f>
        <v>0</v>
      </c>
      <c r="AX163" s="74">
        <f>IFERROR(VLOOKUP(Table1215[[#This Row],[Column2]],Table12[[Column2]:[Column54]],49,FALSE),"0")</f>
        <v>0</v>
      </c>
      <c r="AY163" s="74">
        <f>IFERROR(VLOOKUP(Table1215[[#This Row],[Column2]],Table12[[Column2]:[Column54]],50,FALSE),"0")</f>
        <v>0</v>
      </c>
      <c r="AZ163" s="74">
        <f>IFERROR(VLOOKUP(Table1215[[#This Row],[Column2]],Table12[[Column2]:[Column54]],51,FALSE),"0")</f>
        <v>4</v>
      </c>
      <c r="BA163" s="74">
        <f>IFERROR(VLOOKUP(Table1215[[#This Row],[Column2]],Table12[[Column2]:[Column54]],52,FALSE),"0")</f>
        <v>3</v>
      </c>
      <c r="BB163" s="80">
        <f>AVERAGE(Table1215[[#This Row],[Column52]],Table1215[[#This Row],[Column53]])</f>
        <v>3.5</v>
      </c>
    </row>
    <row r="164" spans="1:54" ht="23.1" customHeight="1" x14ac:dyDescent="0.3">
      <c r="A164" s="99">
        <v>161</v>
      </c>
      <c r="B164" s="76" t="s">
        <v>389</v>
      </c>
      <c r="C164" s="77" t="s">
        <v>390</v>
      </c>
      <c r="D164" s="76" t="s">
        <v>450</v>
      </c>
      <c r="E164" s="76" t="s">
        <v>493</v>
      </c>
      <c r="F164" s="76" t="str">
        <f>REPT(CHAR(160),10)&amp;Working!$E165</f>
        <v>          C</v>
      </c>
      <c r="G164" s="78">
        <f>IFERROR(VLOOKUP(Table1215[[#This Row],[Column2]],Table12[[Column2]:[Column54]],6,FALSE),"0")</f>
        <v>0</v>
      </c>
      <c r="H164" s="78">
        <f>IFERROR(VLOOKUP(Table1215[[#This Row],[Column2]],Table12[[Column2]:[Column54]],7,FALSE),"0")</f>
        <v>0</v>
      </c>
      <c r="I164" s="78">
        <f>IFERROR(VLOOKUP(Table1215[[#This Row],[Column2]],Table12[[Column2]:[Column54]],8,FALSE),"0")</f>
        <v>4</v>
      </c>
      <c r="J164" s="78">
        <f>IFERROR(VLOOKUP(Table1215[[#This Row],[Column2]],Table12[[Column2]:[Column54]],9,FALSE),"0")</f>
        <v>0</v>
      </c>
      <c r="K164" s="78">
        <f>IFERROR(VLOOKUP(Table1215[[#This Row],[Column2]],Table12[[Column2]:[Column54]],10,FALSE),"0")</f>
        <v>0</v>
      </c>
      <c r="L164" s="80">
        <f>Table1215[[#This Row],[Column9]]</f>
        <v>4</v>
      </c>
      <c r="M164" s="78">
        <f>IFERROR(VLOOKUP(Table1215[[#This Row],[Column2]],Table12[[Column2]:[Column54]],12,FALSE),"0")</f>
        <v>0</v>
      </c>
      <c r="N164" s="78">
        <f>IFERROR(VLOOKUP(Table1215[[#This Row],[Column2]],Table12[[Column2]:[Column54]],13,FALSE),"0")</f>
        <v>2</v>
      </c>
      <c r="O164" s="78">
        <f>IFERROR(VLOOKUP(Table1215[[#This Row],[Column2]],Table12[[Column2]:[Column54]],14,FALSE),"0")</f>
        <v>3</v>
      </c>
      <c r="P164" s="78">
        <f>IFERROR(VLOOKUP(Table1215[[#This Row],[Column2]],Table12[[Column2]:[Column54]],10,FALSE),"0")</f>
        <v>0</v>
      </c>
      <c r="Q164" s="78">
        <f>IFERROR(VLOOKUP(Table1215[[#This Row],[Column2]],Table12[[Column2]:[Column54]],16,FALSE),"0")</f>
        <v>3</v>
      </c>
      <c r="R164" s="80">
        <f>AVERAGE(Table1215[[#This Row],[Column14]],Table1215[[#This Row],[Column15]],Table1215[[#This Row],[Column17]])</f>
        <v>2.6666666666666665</v>
      </c>
      <c r="S164" s="78">
        <f>IFERROR(VLOOKUP(Table1215[[#This Row],[Column2]],Table12[[Column2]:[Column54]],18,FALSE),"0")</f>
        <v>0</v>
      </c>
      <c r="T164" s="78">
        <f>IFERROR(VLOOKUP(Table1215[[#This Row],[Column2]],Table12[[Column2]:[Column54]],19,FALSE),"0")</f>
        <v>0</v>
      </c>
      <c r="U164" s="78">
        <f>IFERROR(VLOOKUP(Table1215[[#This Row],[Column2]],Table12[[Column2]:[Column54]],20,FALSE),"0")</f>
        <v>0</v>
      </c>
      <c r="V164" s="78">
        <f>IFERROR(VLOOKUP(Table1215[[#This Row],[Column2]],Table12[[Column2]:[Column54]],21,FALSE),"0")</f>
        <v>0</v>
      </c>
      <c r="W164" s="78">
        <f>IFERROR(VLOOKUP(Table1215[[#This Row],[Column2]],Table12[[Column2]:[Column54]],22,FALSE),"0")</f>
        <v>0</v>
      </c>
      <c r="X164" s="80">
        <f>Table1215[[#This Row],[Column19]]</f>
        <v>0</v>
      </c>
      <c r="Y164" s="78">
        <f>IFERROR(VLOOKUP(Table1215[[#This Row],[Column2]],Table12[[Column2]:[Column54]],24,FALSE),"0")</f>
        <v>3</v>
      </c>
      <c r="Z164" s="78">
        <f>IFERROR(VLOOKUP(Table1215[[#This Row],[Column2]],Table12[[Column2]:[Column54]],25,FALSE),"0")</f>
        <v>0</v>
      </c>
      <c r="AA164" s="78">
        <f>IFERROR(VLOOKUP(Table1215[[#This Row],[Column2]],Table12[[Column2]:[Column54]],26,FALSE),"0")</f>
        <v>0</v>
      </c>
      <c r="AB164" s="78">
        <f>IFERROR(VLOOKUP(Table1215[[#This Row],[Column2]],Table12[[Column2]:[Column54]],27,FALSE),"0")</f>
        <v>0</v>
      </c>
      <c r="AC164" s="78">
        <f>IFERROR(VLOOKUP(Table1215[[#This Row],[Column2]],Table12[[Column2]:[Column54]],28,FALSE),"0")</f>
        <v>0</v>
      </c>
      <c r="AD164" s="80">
        <f>Table1215[[#This Row],[Column25]]</f>
        <v>3</v>
      </c>
      <c r="AE164" s="78">
        <f>IFERROR(VLOOKUP(Table1215[[#This Row],[Column2]],Table12[[Column2]:[Column54]],30,FALSE),"0")</f>
        <v>0</v>
      </c>
      <c r="AF164" s="78">
        <f>IFERROR(VLOOKUP(Table1215[[#This Row],[Column2]],Table12[[Column2]:[Column54]],31,FALSE),"0")</f>
        <v>0</v>
      </c>
      <c r="AG164" s="78">
        <f>IFERROR(VLOOKUP(Table1215[[#This Row],[Column2]],Table12[[Column2]:[Column54]],32,FALSE),"0")</f>
        <v>0</v>
      </c>
      <c r="AH164" s="78">
        <f>IFERROR(VLOOKUP(Table1215[[#This Row],[Column2]],Table12[[Column2]:[Column54]],33,FALSE),"0")</f>
        <v>0</v>
      </c>
      <c r="AI164" s="78">
        <f>IFERROR(VLOOKUP(Table1215[[#This Row],[Column2]],Table12[[Column2]:[Column54]],34,FALSE),"0")</f>
        <v>0</v>
      </c>
      <c r="AJ164" s="80">
        <f>AVERAGE(Table1215[[#This Row],[Column31]],Table1215[[#This Row],[Column32]],Table1215[[#This Row],[Column33]])</f>
        <v>0</v>
      </c>
      <c r="AK164" s="78">
        <f>IFERROR(VLOOKUP(Table1215[[#This Row],[Column2]],Table12[[Column2]:[Column54]],36,FALSE),"0")</f>
        <v>3</v>
      </c>
      <c r="AL164" s="78">
        <f>IFERROR(VLOOKUP(Table1215[[#This Row],[Column2]],Table12[[Column2]:[Column54]],37,FALSE),"0")</f>
        <v>2</v>
      </c>
      <c r="AM164" s="78">
        <f>IFERROR(VLOOKUP(Table1215[[#This Row],[Column2]],Table12[[Column2]:[Column54]],38,FALSE),"0")</f>
        <v>0</v>
      </c>
      <c r="AN164" s="78">
        <f>IFERROR(VLOOKUP(Table1215[[#This Row],[Column2]],Table12[[Column2]:[Column54]],39,FALSE),"0")</f>
        <v>3</v>
      </c>
      <c r="AO164" s="78">
        <f>IFERROR(VLOOKUP(Table1215[[#This Row],[Column2]],Table12[[Column2]:[Column54]],40,FALSE),"0")</f>
        <v>0</v>
      </c>
      <c r="AP164" s="80">
        <f>AVERAGE(Table1215[[#This Row],[Column37]],Table1215[[#This Row],[Column38]],Table1215[[#This Row],[Column40]])</f>
        <v>2.6666666666666665</v>
      </c>
      <c r="AQ164" s="78">
        <f>IFERROR(VLOOKUP(Table1215[[#This Row],[Column2]],Table12[[Column2]:[Column54]],42,FALSE),"0")</f>
        <v>5</v>
      </c>
      <c r="AR164" s="78">
        <f>IFERROR(VLOOKUP(Table1215[[#This Row],[Column2]],Table12[[Column2]:[Column54]],43,FALSE),"0")</f>
        <v>0</v>
      </c>
      <c r="AS164" s="78">
        <f>IFERROR(VLOOKUP(Table1215[[#This Row],[Column2]],Table12[[Column2]:[Column54]],44,FALSE),"0")</f>
        <v>0</v>
      </c>
      <c r="AT164" s="78">
        <f>IFERROR(VLOOKUP(Table1215[[#This Row],[Column2]],Table12[[Column2]:[Column54]],45,FALSE),"0")</f>
        <v>0</v>
      </c>
      <c r="AU164" s="78">
        <f>IFERROR(VLOOKUP(Table1215[[#This Row],[Column2]],Table12[[Column2]:[Column54]],46,FALSE),"0")</f>
        <v>0</v>
      </c>
      <c r="AV164" s="80">
        <f>Table1215[[#This Row],[Column43]]</f>
        <v>5</v>
      </c>
      <c r="AW164" s="78">
        <f>IFERROR(VLOOKUP(Table1215[[#This Row],[Column2]],Table12[[Column2]:[Column54]],48,FALSE),"0")</f>
        <v>0</v>
      </c>
      <c r="AX164" s="78">
        <f>IFERROR(VLOOKUP(Table1215[[#This Row],[Column2]],Table12[[Column2]:[Column54]],49,FALSE),"0")</f>
        <v>0</v>
      </c>
      <c r="AY164" s="78">
        <f>IFERROR(VLOOKUP(Table1215[[#This Row],[Column2]],Table12[[Column2]:[Column54]],50,FALSE),"0")</f>
        <v>0</v>
      </c>
      <c r="AZ164" s="78">
        <f>IFERROR(VLOOKUP(Table1215[[#This Row],[Column2]],Table12[[Column2]:[Column54]],51,FALSE),"0")</f>
        <v>5</v>
      </c>
      <c r="BA164" s="78">
        <f>IFERROR(VLOOKUP(Table1215[[#This Row],[Column2]],Table12[[Column2]:[Column54]],52,FALSE),"0")</f>
        <v>3</v>
      </c>
      <c r="BB164" s="80">
        <f>AVERAGE(Table1215[[#This Row],[Column52]],Table1215[[#This Row],[Column53]])</f>
        <v>4</v>
      </c>
    </row>
    <row r="165" spans="1:54" ht="23.1" customHeight="1" x14ac:dyDescent="0.3">
      <c r="A165" s="100">
        <v>162</v>
      </c>
      <c r="B165" s="83" t="s">
        <v>391</v>
      </c>
      <c r="C165" s="84" t="s">
        <v>392</v>
      </c>
      <c r="D165" s="83" t="s">
        <v>450</v>
      </c>
      <c r="E165" s="83" t="s">
        <v>493</v>
      </c>
      <c r="F165" s="83" t="str">
        <f>REPT(CHAR(160),10)&amp;Working!$E166</f>
        <v>          C</v>
      </c>
      <c r="G165" s="74">
        <f>IFERROR(VLOOKUP(Table1215[[#This Row],[Column2]],Table12[[Column2]:[Column54]],6,FALSE),"0")</f>
        <v>0</v>
      </c>
      <c r="H165" s="74">
        <f>IFERROR(VLOOKUP(Table1215[[#This Row],[Column2]],Table12[[Column2]:[Column54]],7,FALSE),"0")</f>
        <v>0</v>
      </c>
      <c r="I165" s="74">
        <f>IFERROR(VLOOKUP(Table1215[[#This Row],[Column2]],Table12[[Column2]:[Column54]],8,FALSE),"0")</f>
        <v>2</v>
      </c>
      <c r="J165" s="74">
        <f>IFERROR(VLOOKUP(Table1215[[#This Row],[Column2]],Table12[[Column2]:[Column54]],9,FALSE),"0")</f>
        <v>0</v>
      </c>
      <c r="K165" s="74">
        <f>IFERROR(VLOOKUP(Table1215[[#This Row],[Column2]],Table12[[Column2]:[Column54]],10,FALSE),"0")</f>
        <v>0</v>
      </c>
      <c r="L165" s="80">
        <f>Table1215[[#This Row],[Column9]]</f>
        <v>2</v>
      </c>
      <c r="M165" s="74">
        <f>IFERROR(VLOOKUP(Table1215[[#This Row],[Column2]],Table12[[Column2]:[Column54]],12,FALSE),"0")</f>
        <v>0</v>
      </c>
      <c r="N165" s="74">
        <f>IFERROR(VLOOKUP(Table1215[[#This Row],[Column2]],Table12[[Column2]:[Column54]],13,FALSE),"0")</f>
        <v>3</v>
      </c>
      <c r="O165" s="74">
        <f>IFERROR(VLOOKUP(Table1215[[#This Row],[Column2]],Table12[[Column2]:[Column54]],14,FALSE),"0")</f>
        <v>0</v>
      </c>
      <c r="P165" s="74">
        <f>IFERROR(VLOOKUP(Table1215[[#This Row],[Column2]],Table12[[Column2]:[Column54]],10,FALSE),"0")</f>
        <v>0</v>
      </c>
      <c r="Q165" s="74">
        <f>IFERROR(VLOOKUP(Table1215[[#This Row],[Column2]],Table12[[Column2]:[Column54]],16,FALSE),"0")</f>
        <v>0</v>
      </c>
      <c r="R165" s="80">
        <f>AVERAGE(Table1215[[#This Row],[Column14]],Table1215[[#This Row],[Column15]],Table1215[[#This Row],[Column17]])</f>
        <v>1</v>
      </c>
      <c r="S165" s="74">
        <f>IFERROR(VLOOKUP(Table1215[[#This Row],[Column2]],Table12[[Column2]:[Column54]],18,FALSE),"0")</f>
        <v>0</v>
      </c>
      <c r="T165" s="74">
        <f>IFERROR(VLOOKUP(Table1215[[#This Row],[Column2]],Table12[[Column2]:[Column54]],19,FALSE),"0")</f>
        <v>0</v>
      </c>
      <c r="U165" s="74">
        <f>IFERROR(VLOOKUP(Table1215[[#This Row],[Column2]],Table12[[Column2]:[Column54]],20,FALSE),"0")</f>
        <v>0</v>
      </c>
      <c r="V165" s="74">
        <f>IFERROR(VLOOKUP(Table1215[[#This Row],[Column2]],Table12[[Column2]:[Column54]],21,FALSE),"0")</f>
        <v>0</v>
      </c>
      <c r="W165" s="74">
        <f>IFERROR(VLOOKUP(Table1215[[#This Row],[Column2]],Table12[[Column2]:[Column54]],22,FALSE),"0")</f>
        <v>0</v>
      </c>
      <c r="X165" s="80">
        <f>Table1215[[#This Row],[Column19]]</f>
        <v>0</v>
      </c>
      <c r="Y165" s="74">
        <f>IFERROR(VLOOKUP(Table1215[[#This Row],[Column2]],Table12[[Column2]:[Column54]],24,FALSE),"0")</f>
        <v>2</v>
      </c>
      <c r="Z165" s="74">
        <f>IFERROR(VLOOKUP(Table1215[[#This Row],[Column2]],Table12[[Column2]:[Column54]],25,FALSE),"0")</f>
        <v>0</v>
      </c>
      <c r="AA165" s="74">
        <f>IFERROR(VLOOKUP(Table1215[[#This Row],[Column2]],Table12[[Column2]:[Column54]],26,FALSE),"0")</f>
        <v>0</v>
      </c>
      <c r="AB165" s="74">
        <f>IFERROR(VLOOKUP(Table1215[[#This Row],[Column2]],Table12[[Column2]:[Column54]],27,FALSE),"0")</f>
        <v>0</v>
      </c>
      <c r="AC165" s="74">
        <f>IFERROR(VLOOKUP(Table1215[[#This Row],[Column2]],Table12[[Column2]:[Column54]],28,FALSE),"0")</f>
        <v>0</v>
      </c>
      <c r="AD165" s="80">
        <f>Table1215[[#This Row],[Column25]]</f>
        <v>2</v>
      </c>
      <c r="AE165" s="74">
        <f>IFERROR(VLOOKUP(Table1215[[#This Row],[Column2]],Table12[[Column2]:[Column54]],30,FALSE),"0")</f>
        <v>0</v>
      </c>
      <c r="AF165" s="74">
        <f>IFERROR(VLOOKUP(Table1215[[#This Row],[Column2]],Table12[[Column2]:[Column54]],31,FALSE),"0")</f>
        <v>0</v>
      </c>
      <c r="AG165" s="74">
        <f>IFERROR(VLOOKUP(Table1215[[#This Row],[Column2]],Table12[[Column2]:[Column54]],32,FALSE),"0")</f>
        <v>0</v>
      </c>
      <c r="AH165" s="74">
        <f>IFERROR(VLOOKUP(Table1215[[#This Row],[Column2]],Table12[[Column2]:[Column54]],33,FALSE),"0")</f>
        <v>0</v>
      </c>
      <c r="AI165" s="74">
        <f>IFERROR(VLOOKUP(Table1215[[#This Row],[Column2]],Table12[[Column2]:[Column54]],34,FALSE),"0")</f>
        <v>0</v>
      </c>
      <c r="AJ165" s="80">
        <f>AVERAGE(Table1215[[#This Row],[Column31]],Table1215[[#This Row],[Column32]],Table1215[[#This Row],[Column33]])</f>
        <v>0</v>
      </c>
      <c r="AK165" s="74">
        <f>IFERROR(VLOOKUP(Table1215[[#This Row],[Column2]],Table12[[Column2]:[Column54]],36,FALSE),"0")</f>
        <v>2</v>
      </c>
      <c r="AL165" s="74">
        <f>IFERROR(VLOOKUP(Table1215[[#This Row],[Column2]],Table12[[Column2]:[Column54]],37,FALSE),"0")</f>
        <v>1</v>
      </c>
      <c r="AM165" s="74">
        <f>IFERROR(VLOOKUP(Table1215[[#This Row],[Column2]],Table12[[Column2]:[Column54]],38,FALSE),"0")</f>
        <v>0</v>
      </c>
      <c r="AN165" s="74">
        <f>IFERROR(VLOOKUP(Table1215[[#This Row],[Column2]],Table12[[Column2]:[Column54]],39,FALSE),"0")</f>
        <v>3</v>
      </c>
      <c r="AO165" s="74">
        <f>IFERROR(VLOOKUP(Table1215[[#This Row],[Column2]],Table12[[Column2]:[Column54]],40,FALSE),"0")</f>
        <v>0</v>
      </c>
      <c r="AP165" s="80">
        <f>AVERAGE(Table1215[[#This Row],[Column37]],Table1215[[#This Row],[Column38]],Table1215[[#This Row],[Column40]])</f>
        <v>2</v>
      </c>
      <c r="AQ165" s="74">
        <f>IFERROR(VLOOKUP(Table1215[[#This Row],[Column2]],Table12[[Column2]:[Column54]],42,FALSE),"0")</f>
        <v>2</v>
      </c>
      <c r="AR165" s="74">
        <f>IFERROR(VLOOKUP(Table1215[[#This Row],[Column2]],Table12[[Column2]:[Column54]],43,FALSE),"0")</f>
        <v>0</v>
      </c>
      <c r="AS165" s="74">
        <f>IFERROR(VLOOKUP(Table1215[[#This Row],[Column2]],Table12[[Column2]:[Column54]],44,FALSE),"0")</f>
        <v>0</v>
      </c>
      <c r="AT165" s="74">
        <f>IFERROR(VLOOKUP(Table1215[[#This Row],[Column2]],Table12[[Column2]:[Column54]],45,FALSE),"0")</f>
        <v>0</v>
      </c>
      <c r="AU165" s="74">
        <f>IFERROR(VLOOKUP(Table1215[[#This Row],[Column2]],Table12[[Column2]:[Column54]],46,FALSE),"0")</f>
        <v>0</v>
      </c>
      <c r="AV165" s="80">
        <f>Table1215[[#This Row],[Column43]]</f>
        <v>2</v>
      </c>
      <c r="AW165" s="74">
        <f>IFERROR(VLOOKUP(Table1215[[#This Row],[Column2]],Table12[[Column2]:[Column54]],48,FALSE),"0")</f>
        <v>0</v>
      </c>
      <c r="AX165" s="74">
        <f>IFERROR(VLOOKUP(Table1215[[#This Row],[Column2]],Table12[[Column2]:[Column54]],49,FALSE),"0")</f>
        <v>0</v>
      </c>
      <c r="AY165" s="74">
        <f>IFERROR(VLOOKUP(Table1215[[#This Row],[Column2]],Table12[[Column2]:[Column54]],50,FALSE),"0")</f>
        <v>0</v>
      </c>
      <c r="AZ165" s="74">
        <f>IFERROR(VLOOKUP(Table1215[[#This Row],[Column2]],Table12[[Column2]:[Column54]],51,FALSE),"0")</f>
        <v>3</v>
      </c>
      <c r="BA165" s="74">
        <f>IFERROR(VLOOKUP(Table1215[[#This Row],[Column2]],Table12[[Column2]:[Column54]],52,FALSE),"0")</f>
        <v>2</v>
      </c>
      <c r="BB165" s="80">
        <f>AVERAGE(Table1215[[#This Row],[Column52]],Table1215[[#This Row],[Column53]])</f>
        <v>2.5</v>
      </c>
    </row>
    <row r="166" spans="1:54" ht="23.1" customHeight="1" x14ac:dyDescent="0.3">
      <c r="A166" s="99">
        <v>163</v>
      </c>
      <c r="B166" s="76" t="s">
        <v>221</v>
      </c>
      <c r="C166" s="77" t="s">
        <v>222</v>
      </c>
      <c r="D166" s="76" t="s">
        <v>450</v>
      </c>
      <c r="E166" s="76" t="s">
        <v>161</v>
      </c>
      <c r="F166" s="76" t="str">
        <f>REPT(CHAR(160),10)&amp;Working!$E167</f>
        <v>          B</v>
      </c>
      <c r="G166" s="78">
        <f>IFERROR(VLOOKUP(Table1215[[#This Row],[Column2]],Table12[[Column2]:[Column54]],6,FALSE),"0")</f>
        <v>0</v>
      </c>
      <c r="H166" s="78">
        <f>IFERROR(VLOOKUP(Table1215[[#This Row],[Column2]],Table12[[Column2]:[Column54]],7,FALSE),"0")</f>
        <v>0</v>
      </c>
      <c r="I166" s="78">
        <f>IFERROR(VLOOKUP(Table1215[[#This Row],[Column2]],Table12[[Column2]:[Column54]],8,FALSE),"0")</f>
        <v>3</v>
      </c>
      <c r="J166" s="78">
        <f>IFERROR(VLOOKUP(Table1215[[#This Row],[Column2]],Table12[[Column2]:[Column54]],9,FALSE),"0")</f>
        <v>0</v>
      </c>
      <c r="K166" s="78">
        <f>IFERROR(VLOOKUP(Table1215[[#This Row],[Column2]],Table12[[Column2]:[Column54]],10,FALSE),"0")</f>
        <v>0</v>
      </c>
      <c r="L166" s="80">
        <f>Table1215[[#This Row],[Column9]]</f>
        <v>3</v>
      </c>
      <c r="M166" s="78">
        <f>IFERROR(VLOOKUP(Table1215[[#This Row],[Column2]],Table12[[Column2]:[Column54]],12,FALSE),"0")</f>
        <v>0</v>
      </c>
      <c r="N166" s="78">
        <f>IFERROR(VLOOKUP(Table1215[[#This Row],[Column2]],Table12[[Column2]:[Column54]],13,FALSE),"0")</f>
        <v>3</v>
      </c>
      <c r="O166" s="78">
        <f>IFERROR(VLOOKUP(Table1215[[#This Row],[Column2]],Table12[[Column2]:[Column54]],14,FALSE),"0")</f>
        <v>3</v>
      </c>
      <c r="P166" s="78">
        <f>IFERROR(VLOOKUP(Table1215[[#This Row],[Column2]],Table12[[Column2]:[Column54]],10,FALSE),"0")</f>
        <v>0</v>
      </c>
      <c r="Q166" s="78">
        <f>IFERROR(VLOOKUP(Table1215[[#This Row],[Column2]],Table12[[Column2]:[Column54]],16,FALSE),"0")</f>
        <v>3</v>
      </c>
      <c r="R166" s="80">
        <f>AVERAGE(Table1215[[#This Row],[Column14]],Table1215[[#This Row],[Column15]],Table1215[[#This Row],[Column17]])</f>
        <v>3</v>
      </c>
      <c r="S166" s="78">
        <f>IFERROR(VLOOKUP(Table1215[[#This Row],[Column2]],Table12[[Column2]:[Column54]],18,FALSE),"0")</f>
        <v>0</v>
      </c>
      <c r="T166" s="78">
        <f>IFERROR(VLOOKUP(Table1215[[#This Row],[Column2]],Table12[[Column2]:[Column54]],19,FALSE),"0")</f>
        <v>0</v>
      </c>
      <c r="U166" s="78">
        <f>IFERROR(VLOOKUP(Table1215[[#This Row],[Column2]],Table12[[Column2]:[Column54]],20,FALSE),"0")</f>
        <v>0</v>
      </c>
      <c r="V166" s="78">
        <f>IFERROR(VLOOKUP(Table1215[[#This Row],[Column2]],Table12[[Column2]:[Column54]],21,FALSE),"0")</f>
        <v>0</v>
      </c>
      <c r="W166" s="78">
        <f>IFERROR(VLOOKUP(Table1215[[#This Row],[Column2]],Table12[[Column2]:[Column54]],22,FALSE),"0")</f>
        <v>0</v>
      </c>
      <c r="X166" s="80">
        <f>Table1215[[#This Row],[Column19]]</f>
        <v>0</v>
      </c>
      <c r="Y166" s="78">
        <f>IFERROR(VLOOKUP(Table1215[[#This Row],[Column2]],Table12[[Column2]:[Column54]],24,FALSE),"0")</f>
        <v>3</v>
      </c>
      <c r="Z166" s="78">
        <f>IFERROR(VLOOKUP(Table1215[[#This Row],[Column2]],Table12[[Column2]:[Column54]],25,FALSE),"0")</f>
        <v>0</v>
      </c>
      <c r="AA166" s="78">
        <f>IFERROR(VLOOKUP(Table1215[[#This Row],[Column2]],Table12[[Column2]:[Column54]],26,FALSE),"0")</f>
        <v>0</v>
      </c>
      <c r="AB166" s="78">
        <f>IFERROR(VLOOKUP(Table1215[[#This Row],[Column2]],Table12[[Column2]:[Column54]],27,FALSE),"0")</f>
        <v>0</v>
      </c>
      <c r="AC166" s="78">
        <f>IFERROR(VLOOKUP(Table1215[[#This Row],[Column2]],Table12[[Column2]:[Column54]],28,FALSE),"0")</f>
        <v>0</v>
      </c>
      <c r="AD166" s="80">
        <f>Table1215[[#This Row],[Column25]]</f>
        <v>3</v>
      </c>
      <c r="AE166" s="78">
        <f>IFERROR(VLOOKUP(Table1215[[#This Row],[Column2]],Table12[[Column2]:[Column54]],30,FALSE),"0")</f>
        <v>0</v>
      </c>
      <c r="AF166" s="78">
        <f>IFERROR(VLOOKUP(Table1215[[#This Row],[Column2]],Table12[[Column2]:[Column54]],31,FALSE),"0")</f>
        <v>0</v>
      </c>
      <c r="AG166" s="78">
        <f>IFERROR(VLOOKUP(Table1215[[#This Row],[Column2]],Table12[[Column2]:[Column54]],32,FALSE),"0")</f>
        <v>0</v>
      </c>
      <c r="AH166" s="78">
        <f>IFERROR(VLOOKUP(Table1215[[#This Row],[Column2]],Table12[[Column2]:[Column54]],33,FALSE),"0")</f>
        <v>0</v>
      </c>
      <c r="AI166" s="78">
        <f>IFERROR(VLOOKUP(Table1215[[#This Row],[Column2]],Table12[[Column2]:[Column54]],34,FALSE),"0")</f>
        <v>0</v>
      </c>
      <c r="AJ166" s="80">
        <f>AVERAGE(Table1215[[#This Row],[Column31]],Table1215[[#This Row],[Column32]],Table1215[[#This Row],[Column33]])</f>
        <v>0</v>
      </c>
      <c r="AK166" s="78">
        <f>IFERROR(VLOOKUP(Table1215[[#This Row],[Column2]],Table12[[Column2]:[Column54]],36,FALSE),"0")</f>
        <v>3</v>
      </c>
      <c r="AL166" s="78">
        <f>IFERROR(VLOOKUP(Table1215[[#This Row],[Column2]],Table12[[Column2]:[Column54]],37,FALSE),"0")</f>
        <v>3</v>
      </c>
      <c r="AM166" s="78">
        <f>IFERROR(VLOOKUP(Table1215[[#This Row],[Column2]],Table12[[Column2]:[Column54]],38,FALSE),"0")</f>
        <v>0</v>
      </c>
      <c r="AN166" s="78">
        <f>IFERROR(VLOOKUP(Table1215[[#This Row],[Column2]],Table12[[Column2]:[Column54]],39,FALSE),"0")</f>
        <v>4</v>
      </c>
      <c r="AO166" s="78">
        <f>IFERROR(VLOOKUP(Table1215[[#This Row],[Column2]],Table12[[Column2]:[Column54]],40,FALSE),"0")</f>
        <v>0</v>
      </c>
      <c r="AP166" s="80">
        <f>AVERAGE(Table1215[[#This Row],[Column37]],Table1215[[#This Row],[Column38]],Table1215[[#This Row],[Column40]])</f>
        <v>3.3333333333333335</v>
      </c>
      <c r="AQ166" s="78">
        <f>IFERROR(VLOOKUP(Table1215[[#This Row],[Column2]],Table12[[Column2]:[Column54]],42,FALSE),"0")</f>
        <v>2</v>
      </c>
      <c r="AR166" s="78">
        <f>IFERROR(VLOOKUP(Table1215[[#This Row],[Column2]],Table12[[Column2]:[Column54]],43,FALSE),"0")</f>
        <v>0</v>
      </c>
      <c r="AS166" s="78">
        <f>IFERROR(VLOOKUP(Table1215[[#This Row],[Column2]],Table12[[Column2]:[Column54]],44,FALSE),"0")</f>
        <v>0</v>
      </c>
      <c r="AT166" s="78">
        <f>IFERROR(VLOOKUP(Table1215[[#This Row],[Column2]],Table12[[Column2]:[Column54]],45,FALSE),"0")</f>
        <v>0</v>
      </c>
      <c r="AU166" s="78">
        <f>IFERROR(VLOOKUP(Table1215[[#This Row],[Column2]],Table12[[Column2]:[Column54]],46,FALSE),"0")</f>
        <v>0</v>
      </c>
      <c r="AV166" s="80">
        <f>Table1215[[#This Row],[Column43]]</f>
        <v>2</v>
      </c>
      <c r="AW166" s="78">
        <f>IFERROR(VLOOKUP(Table1215[[#This Row],[Column2]],Table12[[Column2]:[Column54]],48,FALSE),"0")</f>
        <v>0</v>
      </c>
      <c r="AX166" s="78">
        <f>IFERROR(VLOOKUP(Table1215[[#This Row],[Column2]],Table12[[Column2]:[Column54]],49,FALSE),"0")</f>
        <v>0</v>
      </c>
      <c r="AY166" s="78">
        <f>IFERROR(VLOOKUP(Table1215[[#This Row],[Column2]],Table12[[Column2]:[Column54]],50,FALSE),"0")</f>
        <v>0</v>
      </c>
      <c r="AZ166" s="78">
        <f>IFERROR(VLOOKUP(Table1215[[#This Row],[Column2]],Table12[[Column2]:[Column54]],51,FALSE),"0")</f>
        <v>3</v>
      </c>
      <c r="BA166" s="78">
        <f>IFERROR(VLOOKUP(Table1215[[#This Row],[Column2]],Table12[[Column2]:[Column54]],52,FALSE),"0")</f>
        <v>3</v>
      </c>
      <c r="BB166" s="80">
        <f>AVERAGE(Table1215[[#This Row],[Column52]],Table1215[[#This Row],[Column53]])</f>
        <v>3</v>
      </c>
    </row>
    <row r="167" spans="1:54" ht="23.1" customHeight="1" x14ac:dyDescent="0.3">
      <c r="A167" s="100">
        <v>164</v>
      </c>
      <c r="B167" s="83" t="s">
        <v>207</v>
      </c>
      <c r="C167" s="84" t="s">
        <v>208</v>
      </c>
      <c r="D167" s="83" t="s">
        <v>542</v>
      </c>
      <c r="E167" s="83" t="s">
        <v>161</v>
      </c>
      <c r="F167" s="83" t="str">
        <f>REPT(CHAR(160),10)&amp;Working!$E168</f>
        <v>          B</v>
      </c>
      <c r="G167" s="74">
        <f>IFERROR(VLOOKUP(Table1215[[#This Row],[Column2]],Table12[[Column2]:[Column54]],6,FALSE),"0")</f>
        <v>0</v>
      </c>
      <c r="H167" s="74">
        <f>IFERROR(VLOOKUP(Table1215[[#This Row],[Column2]],Table12[[Column2]:[Column54]],7,FALSE),"0")</f>
        <v>0</v>
      </c>
      <c r="I167" s="74">
        <f>IFERROR(VLOOKUP(Table1215[[#This Row],[Column2]],Table12[[Column2]:[Column54]],8,FALSE),"0")</f>
        <v>4</v>
      </c>
      <c r="J167" s="74">
        <f>IFERROR(VLOOKUP(Table1215[[#This Row],[Column2]],Table12[[Column2]:[Column54]],9,FALSE),"0")</f>
        <v>0</v>
      </c>
      <c r="K167" s="74">
        <f>IFERROR(VLOOKUP(Table1215[[#This Row],[Column2]],Table12[[Column2]:[Column54]],10,FALSE),"0")</f>
        <v>0</v>
      </c>
      <c r="L167" s="80">
        <f>Table1215[[#This Row],[Column9]]</f>
        <v>4</v>
      </c>
      <c r="M167" s="74">
        <f>IFERROR(VLOOKUP(Table1215[[#This Row],[Column2]],Table12[[Column2]:[Column54]],12,FALSE),"0")</f>
        <v>0</v>
      </c>
      <c r="N167" s="74">
        <f>IFERROR(VLOOKUP(Table1215[[#This Row],[Column2]],Table12[[Column2]:[Column54]],13,FALSE),"0")</f>
        <v>4</v>
      </c>
      <c r="O167" s="74">
        <f>IFERROR(VLOOKUP(Table1215[[#This Row],[Column2]],Table12[[Column2]:[Column54]],14,FALSE),"0")</f>
        <v>3</v>
      </c>
      <c r="P167" s="74">
        <f>IFERROR(VLOOKUP(Table1215[[#This Row],[Column2]],Table12[[Column2]:[Column54]],10,FALSE),"0")</f>
        <v>0</v>
      </c>
      <c r="Q167" s="74">
        <f>IFERROR(VLOOKUP(Table1215[[#This Row],[Column2]],Table12[[Column2]:[Column54]],16,FALSE),"0")</f>
        <v>3</v>
      </c>
      <c r="R167" s="80">
        <f>AVERAGE(Table1215[[#This Row],[Column14]],Table1215[[#This Row],[Column15]],Table1215[[#This Row],[Column17]])</f>
        <v>3.3333333333333335</v>
      </c>
      <c r="S167" s="74">
        <f>IFERROR(VLOOKUP(Table1215[[#This Row],[Column2]],Table12[[Column2]:[Column54]],18,FALSE),"0")</f>
        <v>0</v>
      </c>
      <c r="T167" s="74">
        <f>IFERROR(VLOOKUP(Table1215[[#This Row],[Column2]],Table12[[Column2]:[Column54]],19,FALSE),"0")</f>
        <v>0</v>
      </c>
      <c r="U167" s="74">
        <f>IFERROR(VLOOKUP(Table1215[[#This Row],[Column2]],Table12[[Column2]:[Column54]],20,FALSE),"0")</f>
        <v>0</v>
      </c>
      <c r="V167" s="74">
        <f>IFERROR(VLOOKUP(Table1215[[#This Row],[Column2]],Table12[[Column2]:[Column54]],21,FALSE),"0")</f>
        <v>0</v>
      </c>
      <c r="W167" s="74">
        <f>IFERROR(VLOOKUP(Table1215[[#This Row],[Column2]],Table12[[Column2]:[Column54]],22,FALSE),"0")</f>
        <v>0</v>
      </c>
      <c r="X167" s="80">
        <f>Table1215[[#This Row],[Column19]]</f>
        <v>0</v>
      </c>
      <c r="Y167" s="74">
        <f>IFERROR(VLOOKUP(Table1215[[#This Row],[Column2]],Table12[[Column2]:[Column54]],24,FALSE),"0")</f>
        <v>4</v>
      </c>
      <c r="Z167" s="74">
        <f>IFERROR(VLOOKUP(Table1215[[#This Row],[Column2]],Table12[[Column2]:[Column54]],25,FALSE),"0")</f>
        <v>0</v>
      </c>
      <c r="AA167" s="74">
        <f>IFERROR(VLOOKUP(Table1215[[#This Row],[Column2]],Table12[[Column2]:[Column54]],26,FALSE),"0")</f>
        <v>0</v>
      </c>
      <c r="AB167" s="74">
        <f>IFERROR(VLOOKUP(Table1215[[#This Row],[Column2]],Table12[[Column2]:[Column54]],27,FALSE),"0")</f>
        <v>0</v>
      </c>
      <c r="AC167" s="74">
        <f>IFERROR(VLOOKUP(Table1215[[#This Row],[Column2]],Table12[[Column2]:[Column54]],28,FALSE),"0")</f>
        <v>0</v>
      </c>
      <c r="AD167" s="80">
        <f>Table1215[[#This Row],[Column25]]</f>
        <v>4</v>
      </c>
      <c r="AE167" s="74">
        <f>IFERROR(VLOOKUP(Table1215[[#This Row],[Column2]],Table12[[Column2]:[Column54]],30,FALSE),"0")</f>
        <v>0</v>
      </c>
      <c r="AF167" s="74">
        <f>IFERROR(VLOOKUP(Table1215[[#This Row],[Column2]],Table12[[Column2]:[Column54]],31,FALSE),"0")</f>
        <v>0</v>
      </c>
      <c r="AG167" s="74">
        <f>IFERROR(VLOOKUP(Table1215[[#This Row],[Column2]],Table12[[Column2]:[Column54]],32,FALSE),"0")</f>
        <v>0</v>
      </c>
      <c r="AH167" s="74">
        <f>IFERROR(VLOOKUP(Table1215[[#This Row],[Column2]],Table12[[Column2]:[Column54]],33,FALSE),"0")</f>
        <v>0</v>
      </c>
      <c r="AI167" s="74">
        <f>IFERROR(VLOOKUP(Table1215[[#This Row],[Column2]],Table12[[Column2]:[Column54]],34,FALSE),"0")</f>
        <v>0</v>
      </c>
      <c r="AJ167" s="80">
        <f>AVERAGE(Table1215[[#This Row],[Column31]],Table1215[[#This Row],[Column32]],Table1215[[#This Row],[Column33]])</f>
        <v>0</v>
      </c>
      <c r="AK167" s="74">
        <f>IFERROR(VLOOKUP(Table1215[[#This Row],[Column2]],Table12[[Column2]:[Column54]],36,FALSE),"0")</f>
        <v>3</v>
      </c>
      <c r="AL167" s="74">
        <f>IFERROR(VLOOKUP(Table1215[[#This Row],[Column2]],Table12[[Column2]:[Column54]],37,FALSE),"0")</f>
        <v>4</v>
      </c>
      <c r="AM167" s="74">
        <f>IFERROR(VLOOKUP(Table1215[[#This Row],[Column2]],Table12[[Column2]:[Column54]],38,FALSE),"0")</f>
        <v>0</v>
      </c>
      <c r="AN167" s="74">
        <f>IFERROR(VLOOKUP(Table1215[[#This Row],[Column2]],Table12[[Column2]:[Column54]],39,FALSE),"0")</f>
        <v>4</v>
      </c>
      <c r="AO167" s="74">
        <f>IFERROR(VLOOKUP(Table1215[[#This Row],[Column2]],Table12[[Column2]:[Column54]],40,FALSE),"0")</f>
        <v>0</v>
      </c>
      <c r="AP167" s="80">
        <f>AVERAGE(Table1215[[#This Row],[Column37]],Table1215[[#This Row],[Column38]],Table1215[[#This Row],[Column40]])</f>
        <v>3.6666666666666665</v>
      </c>
      <c r="AQ167" s="74">
        <f>IFERROR(VLOOKUP(Table1215[[#This Row],[Column2]],Table12[[Column2]:[Column54]],42,FALSE),"0")</f>
        <v>4</v>
      </c>
      <c r="AR167" s="74">
        <f>IFERROR(VLOOKUP(Table1215[[#This Row],[Column2]],Table12[[Column2]:[Column54]],43,FALSE),"0")</f>
        <v>0</v>
      </c>
      <c r="AS167" s="74">
        <f>IFERROR(VLOOKUP(Table1215[[#This Row],[Column2]],Table12[[Column2]:[Column54]],44,FALSE),"0")</f>
        <v>0</v>
      </c>
      <c r="AT167" s="74">
        <f>IFERROR(VLOOKUP(Table1215[[#This Row],[Column2]],Table12[[Column2]:[Column54]],45,FALSE),"0")</f>
        <v>0</v>
      </c>
      <c r="AU167" s="74">
        <f>IFERROR(VLOOKUP(Table1215[[#This Row],[Column2]],Table12[[Column2]:[Column54]],46,FALSE),"0")</f>
        <v>0</v>
      </c>
      <c r="AV167" s="80">
        <f>Table1215[[#This Row],[Column43]]</f>
        <v>4</v>
      </c>
      <c r="AW167" s="74">
        <f>IFERROR(VLOOKUP(Table1215[[#This Row],[Column2]],Table12[[Column2]:[Column54]],48,FALSE),"0")</f>
        <v>0</v>
      </c>
      <c r="AX167" s="74">
        <f>IFERROR(VLOOKUP(Table1215[[#This Row],[Column2]],Table12[[Column2]:[Column54]],49,FALSE),"0")</f>
        <v>0</v>
      </c>
      <c r="AY167" s="74">
        <f>IFERROR(VLOOKUP(Table1215[[#This Row],[Column2]],Table12[[Column2]:[Column54]],50,FALSE),"0")</f>
        <v>0</v>
      </c>
      <c r="AZ167" s="74">
        <f>IFERROR(VLOOKUP(Table1215[[#This Row],[Column2]],Table12[[Column2]:[Column54]],51,FALSE),"0")</f>
        <v>4</v>
      </c>
      <c r="BA167" s="74">
        <f>IFERROR(VLOOKUP(Table1215[[#This Row],[Column2]],Table12[[Column2]:[Column54]],52,FALSE),"0")</f>
        <v>4</v>
      </c>
      <c r="BB167" s="80">
        <f>AVERAGE(Table1215[[#This Row],[Column52]],Table1215[[#This Row],[Column53]])</f>
        <v>4</v>
      </c>
    </row>
    <row r="168" spans="1:54" ht="23.1" customHeight="1" x14ac:dyDescent="0.3">
      <c r="A168" s="99">
        <v>165</v>
      </c>
      <c r="B168" s="76" t="s">
        <v>48</v>
      </c>
      <c r="C168" s="77" t="s">
        <v>49</v>
      </c>
      <c r="D168" s="76" t="s">
        <v>450</v>
      </c>
      <c r="E168" s="76" t="s">
        <v>35</v>
      </c>
      <c r="F168" s="76" t="str">
        <f>REPT(CHAR(160),10)&amp;Working!$E169</f>
        <v>          A</v>
      </c>
      <c r="G168" s="78">
        <f>IFERROR(VLOOKUP(Table1215[[#This Row],[Column2]],Table12[[Column2]:[Column54]],6,FALSE),"0")</f>
        <v>0</v>
      </c>
      <c r="H168" s="78">
        <f>IFERROR(VLOOKUP(Table1215[[#This Row],[Column2]],Table12[[Column2]:[Column54]],7,FALSE),"0")</f>
        <v>0</v>
      </c>
      <c r="I168" s="78">
        <f>IFERROR(VLOOKUP(Table1215[[#This Row],[Column2]],Table12[[Column2]:[Column54]],8,FALSE),"0")</f>
        <v>4</v>
      </c>
      <c r="J168" s="78">
        <f>IFERROR(VLOOKUP(Table1215[[#This Row],[Column2]],Table12[[Column2]:[Column54]],9,FALSE),"0")</f>
        <v>0</v>
      </c>
      <c r="K168" s="78">
        <f>IFERROR(VLOOKUP(Table1215[[#This Row],[Column2]],Table12[[Column2]:[Column54]],10,FALSE),"0")</f>
        <v>0</v>
      </c>
      <c r="L168" s="80">
        <f>Table1215[[#This Row],[Column9]]</f>
        <v>4</v>
      </c>
      <c r="M168" s="78">
        <f>IFERROR(VLOOKUP(Table1215[[#This Row],[Column2]],Table12[[Column2]:[Column54]],12,FALSE),"0")</f>
        <v>0</v>
      </c>
      <c r="N168" s="78">
        <f>IFERROR(VLOOKUP(Table1215[[#This Row],[Column2]],Table12[[Column2]:[Column54]],13,FALSE),"0")</f>
        <v>4</v>
      </c>
      <c r="O168" s="78">
        <f>IFERROR(VLOOKUP(Table1215[[#This Row],[Column2]],Table12[[Column2]:[Column54]],14,FALSE),"0")</f>
        <v>4</v>
      </c>
      <c r="P168" s="78">
        <f>IFERROR(VLOOKUP(Table1215[[#This Row],[Column2]],Table12[[Column2]:[Column54]],10,FALSE),"0")</f>
        <v>0</v>
      </c>
      <c r="Q168" s="78">
        <f>IFERROR(VLOOKUP(Table1215[[#This Row],[Column2]],Table12[[Column2]:[Column54]],16,FALSE),"0")</f>
        <v>4</v>
      </c>
      <c r="R168" s="80">
        <f>AVERAGE(Table1215[[#This Row],[Column14]],Table1215[[#This Row],[Column15]],Table1215[[#This Row],[Column17]])</f>
        <v>4</v>
      </c>
      <c r="S168" s="78">
        <f>IFERROR(VLOOKUP(Table1215[[#This Row],[Column2]],Table12[[Column2]:[Column54]],18,FALSE),"0")</f>
        <v>0</v>
      </c>
      <c r="T168" s="78">
        <f>IFERROR(VLOOKUP(Table1215[[#This Row],[Column2]],Table12[[Column2]:[Column54]],19,FALSE),"0")</f>
        <v>0</v>
      </c>
      <c r="U168" s="78">
        <f>IFERROR(VLOOKUP(Table1215[[#This Row],[Column2]],Table12[[Column2]:[Column54]],20,FALSE),"0")</f>
        <v>0</v>
      </c>
      <c r="V168" s="78">
        <f>IFERROR(VLOOKUP(Table1215[[#This Row],[Column2]],Table12[[Column2]:[Column54]],21,FALSE),"0")</f>
        <v>0</v>
      </c>
      <c r="W168" s="78">
        <f>IFERROR(VLOOKUP(Table1215[[#This Row],[Column2]],Table12[[Column2]:[Column54]],22,FALSE),"0")</f>
        <v>0</v>
      </c>
      <c r="X168" s="80">
        <f>Table1215[[#This Row],[Column19]]</f>
        <v>0</v>
      </c>
      <c r="Y168" s="78">
        <f>IFERROR(VLOOKUP(Table1215[[#This Row],[Column2]],Table12[[Column2]:[Column54]],24,FALSE),"0")</f>
        <v>4</v>
      </c>
      <c r="Z168" s="78">
        <f>IFERROR(VLOOKUP(Table1215[[#This Row],[Column2]],Table12[[Column2]:[Column54]],25,FALSE),"0")</f>
        <v>0</v>
      </c>
      <c r="AA168" s="78">
        <f>IFERROR(VLOOKUP(Table1215[[#This Row],[Column2]],Table12[[Column2]:[Column54]],26,FALSE),"0")</f>
        <v>0</v>
      </c>
      <c r="AB168" s="78">
        <f>IFERROR(VLOOKUP(Table1215[[#This Row],[Column2]],Table12[[Column2]:[Column54]],27,FALSE),"0")</f>
        <v>0</v>
      </c>
      <c r="AC168" s="78">
        <f>IFERROR(VLOOKUP(Table1215[[#This Row],[Column2]],Table12[[Column2]:[Column54]],28,FALSE),"0")</f>
        <v>0</v>
      </c>
      <c r="AD168" s="80">
        <f>Table1215[[#This Row],[Column25]]</f>
        <v>4</v>
      </c>
      <c r="AE168" s="78">
        <f>IFERROR(VLOOKUP(Table1215[[#This Row],[Column2]],Table12[[Column2]:[Column54]],30,FALSE),"0")</f>
        <v>0</v>
      </c>
      <c r="AF168" s="78">
        <f>IFERROR(VLOOKUP(Table1215[[#This Row],[Column2]],Table12[[Column2]:[Column54]],31,FALSE),"0")</f>
        <v>0</v>
      </c>
      <c r="AG168" s="78">
        <f>IFERROR(VLOOKUP(Table1215[[#This Row],[Column2]],Table12[[Column2]:[Column54]],32,FALSE),"0")</f>
        <v>0</v>
      </c>
      <c r="AH168" s="78">
        <f>IFERROR(VLOOKUP(Table1215[[#This Row],[Column2]],Table12[[Column2]:[Column54]],33,FALSE),"0")</f>
        <v>0</v>
      </c>
      <c r="AI168" s="78">
        <f>IFERROR(VLOOKUP(Table1215[[#This Row],[Column2]],Table12[[Column2]:[Column54]],34,FALSE),"0")</f>
        <v>0</v>
      </c>
      <c r="AJ168" s="80">
        <f>AVERAGE(Table1215[[#This Row],[Column31]],Table1215[[#This Row],[Column32]],Table1215[[#This Row],[Column33]])</f>
        <v>0</v>
      </c>
      <c r="AK168" s="78">
        <f>IFERROR(VLOOKUP(Table1215[[#This Row],[Column2]],Table12[[Column2]:[Column54]],36,FALSE),"0")</f>
        <v>4</v>
      </c>
      <c r="AL168" s="78">
        <f>IFERROR(VLOOKUP(Table1215[[#This Row],[Column2]],Table12[[Column2]:[Column54]],37,FALSE),"0")</f>
        <v>4</v>
      </c>
      <c r="AM168" s="78">
        <f>IFERROR(VLOOKUP(Table1215[[#This Row],[Column2]],Table12[[Column2]:[Column54]],38,FALSE),"0")</f>
        <v>0</v>
      </c>
      <c r="AN168" s="78">
        <f>IFERROR(VLOOKUP(Table1215[[#This Row],[Column2]],Table12[[Column2]:[Column54]],39,FALSE),"0")</f>
        <v>4</v>
      </c>
      <c r="AO168" s="78">
        <f>IFERROR(VLOOKUP(Table1215[[#This Row],[Column2]],Table12[[Column2]:[Column54]],40,FALSE),"0")</f>
        <v>0</v>
      </c>
      <c r="AP168" s="80">
        <f>AVERAGE(Table1215[[#This Row],[Column37]],Table1215[[#This Row],[Column38]],Table1215[[#This Row],[Column40]])</f>
        <v>4</v>
      </c>
      <c r="AQ168" s="78">
        <f>IFERROR(VLOOKUP(Table1215[[#This Row],[Column2]],Table12[[Column2]:[Column54]],42,FALSE),"0")</f>
        <v>2</v>
      </c>
      <c r="AR168" s="78">
        <f>IFERROR(VLOOKUP(Table1215[[#This Row],[Column2]],Table12[[Column2]:[Column54]],43,FALSE),"0")</f>
        <v>0</v>
      </c>
      <c r="AS168" s="78">
        <f>IFERROR(VLOOKUP(Table1215[[#This Row],[Column2]],Table12[[Column2]:[Column54]],44,FALSE),"0")</f>
        <v>0</v>
      </c>
      <c r="AT168" s="78">
        <f>IFERROR(VLOOKUP(Table1215[[#This Row],[Column2]],Table12[[Column2]:[Column54]],45,FALSE),"0")</f>
        <v>0</v>
      </c>
      <c r="AU168" s="78">
        <f>IFERROR(VLOOKUP(Table1215[[#This Row],[Column2]],Table12[[Column2]:[Column54]],46,FALSE),"0")</f>
        <v>0</v>
      </c>
      <c r="AV168" s="80">
        <f>Table1215[[#This Row],[Column43]]</f>
        <v>2</v>
      </c>
      <c r="AW168" s="78">
        <f>IFERROR(VLOOKUP(Table1215[[#This Row],[Column2]],Table12[[Column2]:[Column54]],48,FALSE),"0")</f>
        <v>0</v>
      </c>
      <c r="AX168" s="78">
        <f>IFERROR(VLOOKUP(Table1215[[#This Row],[Column2]],Table12[[Column2]:[Column54]],49,FALSE),"0")</f>
        <v>0</v>
      </c>
      <c r="AY168" s="78">
        <f>IFERROR(VLOOKUP(Table1215[[#This Row],[Column2]],Table12[[Column2]:[Column54]],50,FALSE),"0")</f>
        <v>0</v>
      </c>
      <c r="AZ168" s="78">
        <f>IFERROR(VLOOKUP(Table1215[[#This Row],[Column2]],Table12[[Column2]:[Column54]],51,FALSE),"0")</f>
        <v>4</v>
      </c>
      <c r="BA168" s="78">
        <f>IFERROR(VLOOKUP(Table1215[[#This Row],[Column2]],Table12[[Column2]:[Column54]],52,FALSE),"0")</f>
        <v>4</v>
      </c>
      <c r="BB168" s="80">
        <f>AVERAGE(Table1215[[#This Row],[Column52]],Table1215[[#This Row],[Column53]])</f>
        <v>4</v>
      </c>
    </row>
    <row r="169" spans="1:54" ht="23.1" customHeight="1" x14ac:dyDescent="0.3">
      <c r="A169" s="100">
        <v>166</v>
      </c>
      <c r="B169" s="83" t="s">
        <v>159</v>
      </c>
      <c r="C169" s="84" t="s">
        <v>160</v>
      </c>
      <c r="D169" s="83" t="s">
        <v>450</v>
      </c>
      <c r="E169" s="83" t="s">
        <v>35</v>
      </c>
      <c r="F169" s="83" t="str">
        <f>REPT(CHAR(160),10)&amp;Working!$E170</f>
        <v>          A</v>
      </c>
      <c r="G169" s="74">
        <f>IFERROR(VLOOKUP(Table1215[[#This Row],[Column2]],Table12[[Column2]:[Column54]],6,FALSE),"0")</f>
        <v>0</v>
      </c>
      <c r="H169" s="74">
        <f>IFERROR(VLOOKUP(Table1215[[#This Row],[Column2]],Table12[[Column2]:[Column54]],7,FALSE),"0")</f>
        <v>0</v>
      </c>
      <c r="I169" s="74">
        <f>IFERROR(VLOOKUP(Table1215[[#This Row],[Column2]],Table12[[Column2]:[Column54]],8,FALSE),"0")</f>
        <v>3</v>
      </c>
      <c r="J169" s="74">
        <f>IFERROR(VLOOKUP(Table1215[[#This Row],[Column2]],Table12[[Column2]:[Column54]],9,FALSE),"0")</f>
        <v>0</v>
      </c>
      <c r="K169" s="74">
        <f>IFERROR(VLOOKUP(Table1215[[#This Row],[Column2]],Table12[[Column2]:[Column54]],10,FALSE),"0")</f>
        <v>0</v>
      </c>
      <c r="L169" s="80">
        <f>Table1215[[#This Row],[Column9]]</f>
        <v>3</v>
      </c>
      <c r="M169" s="74">
        <f>IFERROR(VLOOKUP(Table1215[[#This Row],[Column2]],Table12[[Column2]:[Column54]],12,FALSE),"0")</f>
        <v>0</v>
      </c>
      <c r="N169" s="74">
        <f>IFERROR(VLOOKUP(Table1215[[#This Row],[Column2]],Table12[[Column2]:[Column54]],13,FALSE),"0")</f>
        <v>5</v>
      </c>
      <c r="O169" s="74">
        <f>IFERROR(VLOOKUP(Table1215[[#This Row],[Column2]],Table12[[Column2]:[Column54]],14,FALSE),"0")</f>
        <v>4</v>
      </c>
      <c r="P169" s="74">
        <f>IFERROR(VLOOKUP(Table1215[[#This Row],[Column2]],Table12[[Column2]:[Column54]],10,FALSE),"0")</f>
        <v>0</v>
      </c>
      <c r="Q169" s="74">
        <f>IFERROR(VLOOKUP(Table1215[[#This Row],[Column2]],Table12[[Column2]:[Column54]],16,FALSE),"0")</f>
        <v>4</v>
      </c>
      <c r="R169" s="80">
        <f>AVERAGE(Table1215[[#This Row],[Column14]],Table1215[[#This Row],[Column15]],Table1215[[#This Row],[Column17]])</f>
        <v>4.333333333333333</v>
      </c>
      <c r="S169" s="74">
        <f>IFERROR(VLOOKUP(Table1215[[#This Row],[Column2]],Table12[[Column2]:[Column54]],18,FALSE),"0")</f>
        <v>0</v>
      </c>
      <c r="T169" s="74">
        <f>IFERROR(VLOOKUP(Table1215[[#This Row],[Column2]],Table12[[Column2]:[Column54]],19,FALSE),"0")</f>
        <v>0</v>
      </c>
      <c r="U169" s="74">
        <f>IFERROR(VLOOKUP(Table1215[[#This Row],[Column2]],Table12[[Column2]:[Column54]],20,FALSE),"0")</f>
        <v>0</v>
      </c>
      <c r="V169" s="74">
        <f>IFERROR(VLOOKUP(Table1215[[#This Row],[Column2]],Table12[[Column2]:[Column54]],21,FALSE),"0")</f>
        <v>0</v>
      </c>
      <c r="W169" s="74">
        <f>IFERROR(VLOOKUP(Table1215[[#This Row],[Column2]],Table12[[Column2]:[Column54]],22,FALSE),"0")</f>
        <v>0</v>
      </c>
      <c r="X169" s="80">
        <f>Table1215[[#This Row],[Column19]]</f>
        <v>0</v>
      </c>
      <c r="Y169" s="74">
        <f>IFERROR(VLOOKUP(Table1215[[#This Row],[Column2]],Table12[[Column2]:[Column54]],24,FALSE),"0")</f>
        <v>5</v>
      </c>
      <c r="Z169" s="74">
        <f>IFERROR(VLOOKUP(Table1215[[#This Row],[Column2]],Table12[[Column2]:[Column54]],25,FALSE),"0")</f>
        <v>0</v>
      </c>
      <c r="AA169" s="74">
        <f>IFERROR(VLOOKUP(Table1215[[#This Row],[Column2]],Table12[[Column2]:[Column54]],26,FALSE),"0")</f>
        <v>0</v>
      </c>
      <c r="AB169" s="74">
        <f>IFERROR(VLOOKUP(Table1215[[#This Row],[Column2]],Table12[[Column2]:[Column54]],27,FALSE),"0")</f>
        <v>0</v>
      </c>
      <c r="AC169" s="74">
        <f>IFERROR(VLOOKUP(Table1215[[#This Row],[Column2]],Table12[[Column2]:[Column54]],28,FALSE),"0")</f>
        <v>0</v>
      </c>
      <c r="AD169" s="80">
        <f>Table1215[[#This Row],[Column25]]</f>
        <v>5</v>
      </c>
      <c r="AE169" s="74">
        <f>IFERROR(VLOOKUP(Table1215[[#This Row],[Column2]],Table12[[Column2]:[Column54]],30,FALSE),"0")</f>
        <v>0</v>
      </c>
      <c r="AF169" s="74">
        <f>IFERROR(VLOOKUP(Table1215[[#This Row],[Column2]],Table12[[Column2]:[Column54]],31,FALSE),"0")</f>
        <v>0</v>
      </c>
      <c r="AG169" s="74">
        <f>IFERROR(VLOOKUP(Table1215[[#This Row],[Column2]],Table12[[Column2]:[Column54]],32,FALSE),"0")</f>
        <v>0</v>
      </c>
      <c r="AH169" s="74">
        <f>IFERROR(VLOOKUP(Table1215[[#This Row],[Column2]],Table12[[Column2]:[Column54]],33,FALSE),"0")</f>
        <v>0</v>
      </c>
      <c r="AI169" s="74">
        <f>IFERROR(VLOOKUP(Table1215[[#This Row],[Column2]],Table12[[Column2]:[Column54]],34,FALSE),"0")</f>
        <v>0</v>
      </c>
      <c r="AJ169" s="80">
        <f>AVERAGE(Table1215[[#This Row],[Column31]],Table1215[[#This Row],[Column32]],Table1215[[#This Row],[Column33]])</f>
        <v>0</v>
      </c>
      <c r="AK169" s="74">
        <f>IFERROR(VLOOKUP(Table1215[[#This Row],[Column2]],Table12[[Column2]:[Column54]],36,FALSE),"0")</f>
        <v>4</v>
      </c>
      <c r="AL169" s="74">
        <f>IFERROR(VLOOKUP(Table1215[[#This Row],[Column2]],Table12[[Column2]:[Column54]],37,FALSE),"0")</f>
        <v>3</v>
      </c>
      <c r="AM169" s="74">
        <f>IFERROR(VLOOKUP(Table1215[[#This Row],[Column2]],Table12[[Column2]:[Column54]],38,FALSE),"0")</f>
        <v>0</v>
      </c>
      <c r="AN169" s="74">
        <f>IFERROR(VLOOKUP(Table1215[[#This Row],[Column2]],Table12[[Column2]:[Column54]],39,FALSE),"0")</f>
        <v>3</v>
      </c>
      <c r="AO169" s="74">
        <f>IFERROR(VLOOKUP(Table1215[[#This Row],[Column2]],Table12[[Column2]:[Column54]],40,FALSE),"0")</f>
        <v>0</v>
      </c>
      <c r="AP169" s="80">
        <f>AVERAGE(Table1215[[#This Row],[Column37]],Table1215[[#This Row],[Column38]],Table1215[[#This Row],[Column40]])</f>
        <v>3.3333333333333335</v>
      </c>
      <c r="AQ169" s="74">
        <f>IFERROR(VLOOKUP(Table1215[[#This Row],[Column2]],Table12[[Column2]:[Column54]],42,FALSE),"0")</f>
        <v>3</v>
      </c>
      <c r="AR169" s="74">
        <f>IFERROR(VLOOKUP(Table1215[[#This Row],[Column2]],Table12[[Column2]:[Column54]],43,FALSE),"0")</f>
        <v>0</v>
      </c>
      <c r="AS169" s="74">
        <f>IFERROR(VLOOKUP(Table1215[[#This Row],[Column2]],Table12[[Column2]:[Column54]],44,FALSE),"0")</f>
        <v>0</v>
      </c>
      <c r="AT169" s="74">
        <f>IFERROR(VLOOKUP(Table1215[[#This Row],[Column2]],Table12[[Column2]:[Column54]],45,FALSE),"0")</f>
        <v>0</v>
      </c>
      <c r="AU169" s="74">
        <f>IFERROR(VLOOKUP(Table1215[[#This Row],[Column2]],Table12[[Column2]:[Column54]],46,FALSE),"0")</f>
        <v>0</v>
      </c>
      <c r="AV169" s="80">
        <f>Table1215[[#This Row],[Column43]]</f>
        <v>3</v>
      </c>
      <c r="AW169" s="74">
        <f>IFERROR(VLOOKUP(Table1215[[#This Row],[Column2]],Table12[[Column2]:[Column54]],48,FALSE),"0")</f>
        <v>0</v>
      </c>
      <c r="AX169" s="74">
        <f>IFERROR(VLOOKUP(Table1215[[#This Row],[Column2]],Table12[[Column2]:[Column54]],49,FALSE),"0")</f>
        <v>0</v>
      </c>
      <c r="AY169" s="74">
        <f>IFERROR(VLOOKUP(Table1215[[#This Row],[Column2]],Table12[[Column2]:[Column54]],50,FALSE),"0")</f>
        <v>0</v>
      </c>
      <c r="AZ169" s="74">
        <f>IFERROR(VLOOKUP(Table1215[[#This Row],[Column2]],Table12[[Column2]:[Column54]],51,FALSE),"0")</f>
        <v>3</v>
      </c>
      <c r="BA169" s="74">
        <f>IFERROR(VLOOKUP(Table1215[[#This Row],[Column2]],Table12[[Column2]:[Column54]],52,FALSE),"0")</f>
        <v>4</v>
      </c>
      <c r="BB169" s="80">
        <f>AVERAGE(Table1215[[#This Row],[Column52]],Table1215[[#This Row],[Column53]])</f>
        <v>3.5</v>
      </c>
    </row>
    <row r="170" spans="1:54" ht="23.1" customHeight="1" x14ac:dyDescent="0.3">
      <c r="A170" s="99">
        <v>167</v>
      </c>
      <c r="B170" s="76" t="s">
        <v>192</v>
      </c>
      <c r="C170" s="77" t="s">
        <v>193</v>
      </c>
      <c r="D170" s="76" t="s">
        <v>450</v>
      </c>
      <c r="E170" s="76" t="s">
        <v>161</v>
      </c>
      <c r="F170" s="76" t="str">
        <f>REPT(CHAR(160),10)&amp;Working!$E171</f>
        <v>          B</v>
      </c>
      <c r="G170" s="78">
        <f>IFERROR(VLOOKUP(Table1215[[#This Row],[Column2]],Table12[[Column2]:[Column54]],6,FALSE),"0")</f>
        <v>0</v>
      </c>
      <c r="H170" s="78">
        <f>IFERROR(VLOOKUP(Table1215[[#This Row],[Column2]],Table12[[Column2]:[Column54]],7,FALSE),"0")</f>
        <v>0</v>
      </c>
      <c r="I170" s="78">
        <f>IFERROR(VLOOKUP(Table1215[[#This Row],[Column2]],Table12[[Column2]:[Column54]],8,FALSE),"0")</f>
        <v>5</v>
      </c>
      <c r="J170" s="78">
        <f>IFERROR(VLOOKUP(Table1215[[#This Row],[Column2]],Table12[[Column2]:[Column54]],9,FALSE),"0")</f>
        <v>0</v>
      </c>
      <c r="K170" s="78">
        <f>IFERROR(VLOOKUP(Table1215[[#This Row],[Column2]],Table12[[Column2]:[Column54]],10,FALSE),"0")</f>
        <v>0</v>
      </c>
      <c r="L170" s="80">
        <f>Table1215[[#This Row],[Column9]]</f>
        <v>5</v>
      </c>
      <c r="M170" s="78">
        <f>IFERROR(VLOOKUP(Table1215[[#This Row],[Column2]],Table12[[Column2]:[Column54]],12,FALSE),"0")</f>
        <v>0</v>
      </c>
      <c r="N170" s="78">
        <f>IFERROR(VLOOKUP(Table1215[[#This Row],[Column2]],Table12[[Column2]:[Column54]],13,FALSE),"0")</f>
        <v>5</v>
      </c>
      <c r="O170" s="78">
        <f>IFERROR(VLOOKUP(Table1215[[#This Row],[Column2]],Table12[[Column2]:[Column54]],14,FALSE),"0")</f>
        <v>5</v>
      </c>
      <c r="P170" s="78">
        <f>IFERROR(VLOOKUP(Table1215[[#This Row],[Column2]],Table12[[Column2]:[Column54]],10,FALSE),"0")</f>
        <v>0</v>
      </c>
      <c r="Q170" s="78">
        <f>IFERROR(VLOOKUP(Table1215[[#This Row],[Column2]],Table12[[Column2]:[Column54]],16,FALSE),"0")</f>
        <v>5</v>
      </c>
      <c r="R170" s="80">
        <f>AVERAGE(Table1215[[#This Row],[Column14]],Table1215[[#This Row],[Column15]],Table1215[[#This Row],[Column17]])</f>
        <v>5</v>
      </c>
      <c r="S170" s="78">
        <f>IFERROR(VLOOKUP(Table1215[[#This Row],[Column2]],Table12[[Column2]:[Column54]],18,FALSE),"0")</f>
        <v>0</v>
      </c>
      <c r="T170" s="78">
        <f>IFERROR(VLOOKUP(Table1215[[#This Row],[Column2]],Table12[[Column2]:[Column54]],19,FALSE),"0")</f>
        <v>0</v>
      </c>
      <c r="U170" s="78">
        <f>IFERROR(VLOOKUP(Table1215[[#This Row],[Column2]],Table12[[Column2]:[Column54]],20,FALSE),"0")</f>
        <v>0</v>
      </c>
      <c r="V170" s="78">
        <f>IFERROR(VLOOKUP(Table1215[[#This Row],[Column2]],Table12[[Column2]:[Column54]],21,FALSE),"0")</f>
        <v>0</v>
      </c>
      <c r="W170" s="78">
        <f>IFERROR(VLOOKUP(Table1215[[#This Row],[Column2]],Table12[[Column2]:[Column54]],22,FALSE),"0")</f>
        <v>0</v>
      </c>
      <c r="X170" s="80">
        <f>Table1215[[#This Row],[Column19]]</f>
        <v>0</v>
      </c>
      <c r="Y170" s="78">
        <f>IFERROR(VLOOKUP(Table1215[[#This Row],[Column2]],Table12[[Column2]:[Column54]],24,FALSE),"0")</f>
        <v>5</v>
      </c>
      <c r="Z170" s="78">
        <f>IFERROR(VLOOKUP(Table1215[[#This Row],[Column2]],Table12[[Column2]:[Column54]],25,FALSE),"0")</f>
        <v>0</v>
      </c>
      <c r="AA170" s="78">
        <f>IFERROR(VLOOKUP(Table1215[[#This Row],[Column2]],Table12[[Column2]:[Column54]],26,FALSE),"0")</f>
        <v>0</v>
      </c>
      <c r="AB170" s="78">
        <f>IFERROR(VLOOKUP(Table1215[[#This Row],[Column2]],Table12[[Column2]:[Column54]],27,FALSE),"0")</f>
        <v>0</v>
      </c>
      <c r="AC170" s="78">
        <f>IFERROR(VLOOKUP(Table1215[[#This Row],[Column2]],Table12[[Column2]:[Column54]],28,FALSE),"0")</f>
        <v>0</v>
      </c>
      <c r="AD170" s="80">
        <f>Table1215[[#This Row],[Column25]]</f>
        <v>5</v>
      </c>
      <c r="AE170" s="78">
        <f>IFERROR(VLOOKUP(Table1215[[#This Row],[Column2]],Table12[[Column2]:[Column54]],30,FALSE),"0")</f>
        <v>0</v>
      </c>
      <c r="AF170" s="78">
        <f>IFERROR(VLOOKUP(Table1215[[#This Row],[Column2]],Table12[[Column2]:[Column54]],31,FALSE),"0")</f>
        <v>0</v>
      </c>
      <c r="AG170" s="78">
        <f>IFERROR(VLOOKUP(Table1215[[#This Row],[Column2]],Table12[[Column2]:[Column54]],32,FALSE),"0")</f>
        <v>0</v>
      </c>
      <c r="AH170" s="78">
        <f>IFERROR(VLOOKUP(Table1215[[#This Row],[Column2]],Table12[[Column2]:[Column54]],33,FALSE),"0")</f>
        <v>0</v>
      </c>
      <c r="AI170" s="78">
        <f>IFERROR(VLOOKUP(Table1215[[#This Row],[Column2]],Table12[[Column2]:[Column54]],34,FALSE),"0")</f>
        <v>0</v>
      </c>
      <c r="AJ170" s="80">
        <f>AVERAGE(Table1215[[#This Row],[Column31]],Table1215[[#This Row],[Column32]],Table1215[[#This Row],[Column33]])</f>
        <v>0</v>
      </c>
      <c r="AK170" s="78">
        <f>IFERROR(VLOOKUP(Table1215[[#This Row],[Column2]],Table12[[Column2]:[Column54]],36,FALSE),"0")</f>
        <v>5</v>
      </c>
      <c r="AL170" s="78">
        <f>IFERROR(VLOOKUP(Table1215[[#This Row],[Column2]],Table12[[Column2]:[Column54]],37,FALSE),"0")</f>
        <v>5</v>
      </c>
      <c r="AM170" s="78">
        <f>IFERROR(VLOOKUP(Table1215[[#This Row],[Column2]],Table12[[Column2]:[Column54]],38,FALSE),"0")</f>
        <v>0</v>
      </c>
      <c r="AN170" s="78">
        <f>IFERROR(VLOOKUP(Table1215[[#This Row],[Column2]],Table12[[Column2]:[Column54]],39,FALSE),"0")</f>
        <v>5</v>
      </c>
      <c r="AO170" s="78">
        <f>IFERROR(VLOOKUP(Table1215[[#This Row],[Column2]],Table12[[Column2]:[Column54]],40,FALSE),"0")</f>
        <v>0</v>
      </c>
      <c r="AP170" s="80">
        <f>AVERAGE(Table1215[[#This Row],[Column37]],Table1215[[#This Row],[Column38]],Table1215[[#This Row],[Column40]])</f>
        <v>5</v>
      </c>
      <c r="AQ170" s="78">
        <f>IFERROR(VLOOKUP(Table1215[[#This Row],[Column2]],Table12[[Column2]:[Column54]],42,FALSE),"0")</f>
        <v>5</v>
      </c>
      <c r="AR170" s="78">
        <f>IFERROR(VLOOKUP(Table1215[[#This Row],[Column2]],Table12[[Column2]:[Column54]],43,FALSE),"0")</f>
        <v>0</v>
      </c>
      <c r="AS170" s="78">
        <f>IFERROR(VLOOKUP(Table1215[[#This Row],[Column2]],Table12[[Column2]:[Column54]],44,FALSE),"0")</f>
        <v>0</v>
      </c>
      <c r="AT170" s="78">
        <f>IFERROR(VLOOKUP(Table1215[[#This Row],[Column2]],Table12[[Column2]:[Column54]],45,FALSE),"0")</f>
        <v>0</v>
      </c>
      <c r="AU170" s="78">
        <f>IFERROR(VLOOKUP(Table1215[[#This Row],[Column2]],Table12[[Column2]:[Column54]],46,FALSE),"0")</f>
        <v>0</v>
      </c>
      <c r="AV170" s="80">
        <f>Table1215[[#This Row],[Column43]]</f>
        <v>5</v>
      </c>
      <c r="AW170" s="78">
        <f>IFERROR(VLOOKUP(Table1215[[#This Row],[Column2]],Table12[[Column2]:[Column54]],48,FALSE),"0")</f>
        <v>0</v>
      </c>
      <c r="AX170" s="78">
        <f>IFERROR(VLOOKUP(Table1215[[#This Row],[Column2]],Table12[[Column2]:[Column54]],49,FALSE),"0")</f>
        <v>0</v>
      </c>
      <c r="AY170" s="78">
        <f>IFERROR(VLOOKUP(Table1215[[#This Row],[Column2]],Table12[[Column2]:[Column54]],50,FALSE),"0")</f>
        <v>0</v>
      </c>
      <c r="AZ170" s="78">
        <f>IFERROR(VLOOKUP(Table1215[[#This Row],[Column2]],Table12[[Column2]:[Column54]],51,FALSE),"0")</f>
        <v>5</v>
      </c>
      <c r="BA170" s="78">
        <f>IFERROR(VLOOKUP(Table1215[[#This Row],[Column2]],Table12[[Column2]:[Column54]],52,FALSE),"0")</f>
        <v>5</v>
      </c>
      <c r="BB170" s="80">
        <f>AVERAGE(Table1215[[#This Row],[Column52]],Table1215[[#This Row],[Column53]])</f>
        <v>5</v>
      </c>
    </row>
    <row r="171" spans="1:54" ht="23.1" customHeight="1" x14ac:dyDescent="0.3">
      <c r="A171" s="100">
        <v>168</v>
      </c>
      <c r="B171" s="83" t="s">
        <v>223</v>
      </c>
      <c r="C171" s="84" t="s">
        <v>224</v>
      </c>
      <c r="D171" s="83" t="s">
        <v>542</v>
      </c>
      <c r="E171" s="83" t="s">
        <v>161</v>
      </c>
      <c r="F171" s="83" t="str">
        <f>REPT(CHAR(160),10)&amp;Working!$E172</f>
        <v>          B</v>
      </c>
      <c r="G171" s="74">
        <f>IFERROR(VLOOKUP(Table1215[[#This Row],[Column2]],Table12[[Column2]:[Column54]],6,FALSE),"0")</f>
        <v>0</v>
      </c>
      <c r="H171" s="74">
        <f>IFERROR(VLOOKUP(Table1215[[#This Row],[Column2]],Table12[[Column2]:[Column54]],7,FALSE),"0")</f>
        <v>0</v>
      </c>
      <c r="I171" s="74">
        <f>IFERROR(VLOOKUP(Table1215[[#This Row],[Column2]],Table12[[Column2]:[Column54]],8,FALSE),"0")</f>
        <v>5</v>
      </c>
      <c r="J171" s="74">
        <f>IFERROR(VLOOKUP(Table1215[[#This Row],[Column2]],Table12[[Column2]:[Column54]],9,FALSE),"0")</f>
        <v>0</v>
      </c>
      <c r="K171" s="74">
        <f>IFERROR(VLOOKUP(Table1215[[#This Row],[Column2]],Table12[[Column2]:[Column54]],10,FALSE),"0")</f>
        <v>0</v>
      </c>
      <c r="L171" s="80">
        <f>Table1215[[#This Row],[Column9]]</f>
        <v>5</v>
      </c>
      <c r="M171" s="74">
        <f>IFERROR(VLOOKUP(Table1215[[#This Row],[Column2]],Table12[[Column2]:[Column54]],12,FALSE),"0")</f>
        <v>0</v>
      </c>
      <c r="N171" s="74">
        <f>IFERROR(VLOOKUP(Table1215[[#This Row],[Column2]],Table12[[Column2]:[Column54]],13,FALSE),"0")</f>
        <v>5</v>
      </c>
      <c r="O171" s="74">
        <f>IFERROR(VLOOKUP(Table1215[[#This Row],[Column2]],Table12[[Column2]:[Column54]],14,FALSE),"0")</f>
        <v>5</v>
      </c>
      <c r="P171" s="74">
        <f>IFERROR(VLOOKUP(Table1215[[#This Row],[Column2]],Table12[[Column2]:[Column54]],10,FALSE),"0")</f>
        <v>0</v>
      </c>
      <c r="Q171" s="74">
        <f>IFERROR(VLOOKUP(Table1215[[#This Row],[Column2]],Table12[[Column2]:[Column54]],16,FALSE),"0")</f>
        <v>5</v>
      </c>
      <c r="R171" s="80">
        <f>AVERAGE(Table1215[[#This Row],[Column14]],Table1215[[#This Row],[Column15]],Table1215[[#This Row],[Column17]])</f>
        <v>5</v>
      </c>
      <c r="S171" s="74">
        <f>IFERROR(VLOOKUP(Table1215[[#This Row],[Column2]],Table12[[Column2]:[Column54]],18,FALSE),"0")</f>
        <v>0</v>
      </c>
      <c r="T171" s="74">
        <f>IFERROR(VLOOKUP(Table1215[[#This Row],[Column2]],Table12[[Column2]:[Column54]],19,FALSE),"0")</f>
        <v>0</v>
      </c>
      <c r="U171" s="74">
        <f>IFERROR(VLOOKUP(Table1215[[#This Row],[Column2]],Table12[[Column2]:[Column54]],20,FALSE),"0")</f>
        <v>0</v>
      </c>
      <c r="V171" s="74">
        <f>IFERROR(VLOOKUP(Table1215[[#This Row],[Column2]],Table12[[Column2]:[Column54]],21,FALSE),"0")</f>
        <v>0</v>
      </c>
      <c r="W171" s="74">
        <f>IFERROR(VLOOKUP(Table1215[[#This Row],[Column2]],Table12[[Column2]:[Column54]],22,FALSE),"0")</f>
        <v>0</v>
      </c>
      <c r="X171" s="80">
        <f>Table1215[[#This Row],[Column19]]</f>
        <v>0</v>
      </c>
      <c r="Y171" s="74">
        <f>IFERROR(VLOOKUP(Table1215[[#This Row],[Column2]],Table12[[Column2]:[Column54]],24,FALSE),"0")</f>
        <v>5</v>
      </c>
      <c r="Z171" s="74">
        <f>IFERROR(VLOOKUP(Table1215[[#This Row],[Column2]],Table12[[Column2]:[Column54]],25,FALSE),"0")</f>
        <v>0</v>
      </c>
      <c r="AA171" s="74">
        <f>IFERROR(VLOOKUP(Table1215[[#This Row],[Column2]],Table12[[Column2]:[Column54]],26,FALSE),"0")</f>
        <v>0</v>
      </c>
      <c r="AB171" s="74">
        <f>IFERROR(VLOOKUP(Table1215[[#This Row],[Column2]],Table12[[Column2]:[Column54]],27,FALSE),"0")</f>
        <v>0</v>
      </c>
      <c r="AC171" s="74">
        <f>IFERROR(VLOOKUP(Table1215[[#This Row],[Column2]],Table12[[Column2]:[Column54]],28,FALSE),"0")</f>
        <v>0</v>
      </c>
      <c r="AD171" s="80">
        <f>Table1215[[#This Row],[Column25]]</f>
        <v>5</v>
      </c>
      <c r="AE171" s="74">
        <f>IFERROR(VLOOKUP(Table1215[[#This Row],[Column2]],Table12[[Column2]:[Column54]],30,FALSE),"0")</f>
        <v>0</v>
      </c>
      <c r="AF171" s="74">
        <f>IFERROR(VLOOKUP(Table1215[[#This Row],[Column2]],Table12[[Column2]:[Column54]],31,FALSE),"0")</f>
        <v>0</v>
      </c>
      <c r="AG171" s="74">
        <f>IFERROR(VLOOKUP(Table1215[[#This Row],[Column2]],Table12[[Column2]:[Column54]],32,FALSE),"0")</f>
        <v>0</v>
      </c>
      <c r="AH171" s="74">
        <f>IFERROR(VLOOKUP(Table1215[[#This Row],[Column2]],Table12[[Column2]:[Column54]],33,FALSE),"0")</f>
        <v>0</v>
      </c>
      <c r="AI171" s="74">
        <f>IFERROR(VLOOKUP(Table1215[[#This Row],[Column2]],Table12[[Column2]:[Column54]],34,FALSE),"0")</f>
        <v>0</v>
      </c>
      <c r="AJ171" s="80">
        <f>AVERAGE(Table1215[[#This Row],[Column31]],Table1215[[#This Row],[Column32]],Table1215[[#This Row],[Column33]])</f>
        <v>0</v>
      </c>
      <c r="AK171" s="74">
        <f>IFERROR(VLOOKUP(Table1215[[#This Row],[Column2]],Table12[[Column2]:[Column54]],36,FALSE),"0")</f>
        <v>5</v>
      </c>
      <c r="AL171" s="74">
        <f>IFERROR(VLOOKUP(Table1215[[#This Row],[Column2]],Table12[[Column2]:[Column54]],37,FALSE),"0")</f>
        <v>5</v>
      </c>
      <c r="AM171" s="74">
        <f>IFERROR(VLOOKUP(Table1215[[#This Row],[Column2]],Table12[[Column2]:[Column54]],38,FALSE),"0")</f>
        <v>0</v>
      </c>
      <c r="AN171" s="74">
        <f>IFERROR(VLOOKUP(Table1215[[#This Row],[Column2]],Table12[[Column2]:[Column54]],39,FALSE),"0")</f>
        <v>5</v>
      </c>
      <c r="AO171" s="74">
        <f>IFERROR(VLOOKUP(Table1215[[#This Row],[Column2]],Table12[[Column2]:[Column54]],40,FALSE),"0")</f>
        <v>0</v>
      </c>
      <c r="AP171" s="80">
        <f>AVERAGE(Table1215[[#This Row],[Column37]],Table1215[[#This Row],[Column38]],Table1215[[#This Row],[Column40]])</f>
        <v>5</v>
      </c>
      <c r="AQ171" s="74">
        <f>IFERROR(VLOOKUP(Table1215[[#This Row],[Column2]],Table12[[Column2]:[Column54]],42,FALSE),"0")</f>
        <v>1</v>
      </c>
      <c r="AR171" s="74">
        <f>IFERROR(VLOOKUP(Table1215[[#This Row],[Column2]],Table12[[Column2]:[Column54]],43,FALSE),"0")</f>
        <v>0</v>
      </c>
      <c r="AS171" s="74">
        <f>IFERROR(VLOOKUP(Table1215[[#This Row],[Column2]],Table12[[Column2]:[Column54]],44,FALSE),"0")</f>
        <v>0</v>
      </c>
      <c r="AT171" s="74">
        <f>IFERROR(VLOOKUP(Table1215[[#This Row],[Column2]],Table12[[Column2]:[Column54]],45,FALSE),"0")</f>
        <v>0</v>
      </c>
      <c r="AU171" s="74">
        <f>IFERROR(VLOOKUP(Table1215[[#This Row],[Column2]],Table12[[Column2]:[Column54]],46,FALSE),"0")</f>
        <v>0</v>
      </c>
      <c r="AV171" s="80">
        <f>Table1215[[#This Row],[Column43]]</f>
        <v>1</v>
      </c>
      <c r="AW171" s="74">
        <f>IFERROR(VLOOKUP(Table1215[[#This Row],[Column2]],Table12[[Column2]:[Column54]],48,FALSE),"0")</f>
        <v>0</v>
      </c>
      <c r="AX171" s="74">
        <f>IFERROR(VLOOKUP(Table1215[[#This Row],[Column2]],Table12[[Column2]:[Column54]],49,FALSE),"0")</f>
        <v>0</v>
      </c>
      <c r="AY171" s="74">
        <f>IFERROR(VLOOKUP(Table1215[[#This Row],[Column2]],Table12[[Column2]:[Column54]],50,FALSE),"0")</f>
        <v>0</v>
      </c>
      <c r="AZ171" s="74">
        <f>IFERROR(VLOOKUP(Table1215[[#This Row],[Column2]],Table12[[Column2]:[Column54]],51,FALSE),"0")</f>
        <v>4</v>
      </c>
      <c r="BA171" s="74">
        <f>IFERROR(VLOOKUP(Table1215[[#This Row],[Column2]],Table12[[Column2]:[Column54]],52,FALSE),"0")</f>
        <v>5</v>
      </c>
      <c r="BB171" s="80">
        <f>AVERAGE(Table1215[[#This Row],[Column52]],Table1215[[#This Row],[Column53]])</f>
        <v>4.5</v>
      </c>
    </row>
    <row r="172" spans="1:54" ht="23.1" customHeight="1" x14ac:dyDescent="0.3">
      <c r="A172" s="99">
        <v>169</v>
      </c>
      <c r="B172" s="76" t="s">
        <v>393</v>
      </c>
      <c r="C172" s="77" t="s">
        <v>394</v>
      </c>
      <c r="D172" s="76" t="s">
        <v>450</v>
      </c>
      <c r="E172" s="76" t="s">
        <v>493</v>
      </c>
      <c r="F172" s="76" t="str">
        <f>REPT(CHAR(160),10)&amp;Working!$E173</f>
        <v>          C</v>
      </c>
      <c r="G172" s="78">
        <f>IFERROR(VLOOKUP(Table1215[[#This Row],[Column2]],Table12[[Column2]:[Column54]],6,FALSE),"0")</f>
        <v>0</v>
      </c>
      <c r="H172" s="78">
        <f>IFERROR(VLOOKUP(Table1215[[#This Row],[Column2]],Table12[[Column2]:[Column54]],7,FALSE),"0")</f>
        <v>0</v>
      </c>
      <c r="I172" s="78">
        <f>IFERROR(VLOOKUP(Table1215[[#This Row],[Column2]],Table12[[Column2]:[Column54]],8,FALSE),"0")</f>
        <v>4</v>
      </c>
      <c r="J172" s="78">
        <f>IFERROR(VLOOKUP(Table1215[[#This Row],[Column2]],Table12[[Column2]:[Column54]],9,FALSE),"0")</f>
        <v>0</v>
      </c>
      <c r="K172" s="78">
        <f>IFERROR(VLOOKUP(Table1215[[#This Row],[Column2]],Table12[[Column2]:[Column54]],10,FALSE),"0")</f>
        <v>0</v>
      </c>
      <c r="L172" s="80">
        <f>Table1215[[#This Row],[Column9]]</f>
        <v>4</v>
      </c>
      <c r="M172" s="78">
        <f>IFERROR(VLOOKUP(Table1215[[#This Row],[Column2]],Table12[[Column2]:[Column54]],12,FALSE),"0")</f>
        <v>0</v>
      </c>
      <c r="N172" s="78">
        <f>IFERROR(VLOOKUP(Table1215[[#This Row],[Column2]],Table12[[Column2]:[Column54]],13,FALSE),"0")</f>
        <v>3</v>
      </c>
      <c r="O172" s="78">
        <f>IFERROR(VLOOKUP(Table1215[[#This Row],[Column2]],Table12[[Column2]:[Column54]],14,FALSE),"0")</f>
        <v>3</v>
      </c>
      <c r="P172" s="78">
        <f>IFERROR(VLOOKUP(Table1215[[#This Row],[Column2]],Table12[[Column2]:[Column54]],10,FALSE),"0")</f>
        <v>0</v>
      </c>
      <c r="Q172" s="78">
        <f>IFERROR(VLOOKUP(Table1215[[#This Row],[Column2]],Table12[[Column2]:[Column54]],16,FALSE),"0")</f>
        <v>3</v>
      </c>
      <c r="R172" s="80">
        <f>AVERAGE(Table1215[[#This Row],[Column14]],Table1215[[#This Row],[Column15]],Table1215[[#This Row],[Column17]])</f>
        <v>3</v>
      </c>
      <c r="S172" s="78">
        <f>IFERROR(VLOOKUP(Table1215[[#This Row],[Column2]],Table12[[Column2]:[Column54]],18,FALSE),"0")</f>
        <v>0</v>
      </c>
      <c r="T172" s="78">
        <f>IFERROR(VLOOKUP(Table1215[[#This Row],[Column2]],Table12[[Column2]:[Column54]],19,FALSE),"0")</f>
        <v>0</v>
      </c>
      <c r="U172" s="78">
        <f>IFERROR(VLOOKUP(Table1215[[#This Row],[Column2]],Table12[[Column2]:[Column54]],20,FALSE),"0")</f>
        <v>0</v>
      </c>
      <c r="V172" s="78">
        <f>IFERROR(VLOOKUP(Table1215[[#This Row],[Column2]],Table12[[Column2]:[Column54]],21,FALSE),"0")</f>
        <v>0</v>
      </c>
      <c r="W172" s="78">
        <f>IFERROR(VLOOKUP(Table1215[[#This Row],[Column2]],Table12[[Column2]:[Column54]],22,FALSE),"0")</f>
        <v>0</v>
      </c>
      <c r="X172" s="80">
        <f>Table1215[[#This Row],[Column19]]</f>
        <v>0</v>
      </c>
      <c r="Y172" s="78">
        <f>IFERROR(VLOOKUP(Table1215[[#This Row],[Column2]],Table12[[Column2]:[Column54]],24,FALSE),"0")</f>
        <v>3</v>
      </c>
      <c r="Z172" s="78">
        <f>IFERROR(VLOOKUP(Table1215[[#This Row],[Column2]],Table12[[Column2]:[Column54]],25,FALSE),"0")</f>
        <v>0</v>
      </c>
      <c r="AA172" s="78">
        <f>IFERROR(VLOOKUP(Table1215[[#This Row],[Column2]],Table12[[Column2]:[Column54]],26,FALSE),"0")</f>
        <v>0</v>
      </c>
      <c r="AB172" s="78">
        <f>IFERROR(VLOOKUP(Table1215[[#This Row],[Column2]],Table12[[Column2]:[Column54]],27,FALSE),"0")</f>
        <v>0</v>
      </c>
      <c r="AC172" s="78">
        <f>IFERROR(VLOOKUP(Table1215[[#This Row],[Column2]],Table12[[Column2]:[Column54]],28,FALSE),"0")</f>
        <v>0</v>
      </c>
      <c r="AD172" s="80">
        <f>Table1215[[#This Row],[Column25]]</f>
        <v>3</v>
      </c>
      <c r="AE172" s="78">
        <f>IFERROR(VLOOKUP(Table1215[[#This Row],[Column2]],Table12[[Column2]:[Column54]],30,FALSE),"0")</f>
        <v>0</v>
      </c>
      <c r="AF172" s="78">
        <f>IFERROR(VLOOKUP(Table1215[[#This Row],[Column2]],Table12[[Column2]:[Column54]],31,FALSE),"0")</f>
        <v>0</v>
      </c>
      <c r="AG172" s="78">
        <f>IFERROR(VLOOKUP(Table1215[[#This Row],[Column2]],Table12[[Column2]:[Column54]],32,FALSE),"0")</f>
        <v>0</v>
      </c>
      <c r="AH172" s="78">
        <f>IFERROR(VLOOKUP(Table1215[[#This Row],[Column2]],Table12[[Column2]:[Column54]],33,FALSE),"0")</f>
        <v>0</v>
      </c>
      <c r="AI172" s="78">
        <f>IFERROR(VLOOKUP(Table1215[[#This Row],[Column2]],Table12[[Column2]:[Column54]],34,FALSE),"0")</f>
        <v>0</v>
      </c>
      <c r="AJ172" s="80">
        <f>AVERAGE(Table1215[[#This Row],[Column31]],Table1215[[#This Row],[Column32]],Table1215[[#This Row],[Column33]])</f>
        <v>0</v>
      </c>
      <c r="AK172" s="78">
        <f>IFERROR(VLOOKUP(Table1215[[#This Row],[Column2]],Table12[[Column2]:[Column54]],36,FALSE),"0")</f>
        <v>3</v>
      </c>
      <c r="AL172" s="78">
        <f>IFERROR(VLOOKUP(Table1215[[#This Row],[Column2]],Table12[[Column2]:[Column54]],37,FALSE),"0")</f>
        <v>3</v>
      </c>
      <c r="AM172" s="78">
        <f>IFERROR(VLOOKUP(Table1215[[#This Row],[Column2]],Table12[[Column2]:[Column54]],38,FALSE),"0")</f>
        <v>0</v>
      </c>
      <c r="AN172" s="78">
        <f>IFERROR(VLOOKUP(Table1215[[#This Row],[Column2]],Table12[[Column2]:[Column54]],39,FALSE),"0")</f>
        <v>4</v>
      </c>
      <c r="AO172" s="78">
        <f>IFERROR(VLOOKUP(Table1215[[#This Row],[Column2]],Table12[[Column2]:[Column54]],40,FALSE),"0")</f>
        <v>0</v>
      </c>
      <c r="AP172" s="80">
        <f>AVERAGE(Table1215[[#This Row],[Column37]],Table1215[[#This Row],[Column38]],Table1215[[#This Row],[Column40]])</f>
        <v>3.3333333333333335</v>
      </c>
      <c r="AQ172" s="78">
        <f>IFERROR(VLOOKUP(Table1215[[#This Row],[Column2]],Table12[[Column2]:[Column54]],42,FALSE),"0")</f>
        <v>1</v>
      </c>
      <c r="AR172" s="78">
        <f>IFERROR(VLOOKUP(Table1215[[#This Row],[Column2]],Table12[[Column2]:[Column54]],43,FALSE),"0")</f>
        <v>0</v>
      </c>
      <c r="AS172" s="78">
        <f>IFERROR(VLOOKUP(Table1215[[#This Row],[Column2]],Table12[[Column2]:[Column54]],44,FALSE),"0")</f>
        <v>0</v>
      </c>
      <c r="AT172" s="78">
        <f>IFERROR(VLOOKUP(Table1215[[#This Row],[Column2]],Table12[[Column2]:[Column54]],45,FALSE),"0")</f>
        <v>0</v>
      </c>
      <c r="AU172" s="78">
        <f>IFERROR(VLOOKUP(Table1215[[#This Row],[Column2]],Table12[[Column2]:[Column54]],46,FALSE),"0")</f>
        <v>0</v>
      </c>
      <c r="AV172" s="80">
        <f>Table1215[[#This Row],[Column43]]</f>
        <v>1</v>
      </c>
      <c r="AW172" s="78">
        <f>IFERROR(VLOOKUP(Table1215[[#This Row],[Column2]],Table12[[Column2]:[Column54]],48,FALSE),"0")</f>
        <v>0</v>
      </c>
      <c r="AX172" s="78">
        <f>IFERROR(VLOOKUP(Table1215[[#This Row],[Column2]],Table12[[Column2]:[Column54]],49,FALSE),"0")</f>
        <v>0</v>
      </c>
      <c r="AY172" s="78">
        <f>IFERROR(VLOOKUP(Table1215[[#This Row],[Column2]],Table12[[Column2]:[Column54]],50,FALSE),"0")</f>
        <v>0</v>
      </c>
      <c r="AZ172" s="78">
        <f>IFERROR(VLOOKUP(Table1215[[#This Row],[Column2]],Table12[[Column2]:[Column54]],51,FALSE),"0")</f>
        <v>4</v>
      </c>
      <c r="BA172" s="78">
        <f>IFERROR(VLOOKUP(Table1215[[#This Row],[Column2]],Table12[[Column2]:[Column54]],52,FALSE),"0")</f>
        <v>4</v>
      </c>
      <c r="BB172" s="80">
        <f>AVERAGE(Table1215[[#This Row],[Column52]],Table1215[[#This Row],[Column53]])</f>
        <v>4</v>
      </c>
    </row>
    <row r="173" spans="1:54" ht="23.1" customHeight="1" x14ac:dyDescent="0.3">
      <c r="A173" s="100">
        <v>170</v>
      </c>
      <c r="B173" s="83" t="s">
        <v>395</v>
      </c>
      <c r="C173" s="84" t="s">
        <v>396</v>
      </c>
      <c r="D173" s="83" t="s">
        <v>542</v>
      </c>
      <c r="E173" s="83" t="s">
        <v>493</v>
      </c>
      <c r="F173" s="83" t="str">
        <f>REPT(CHAR(160),10)&amp;Working!$E174</f>
        <v>          C</v>
      </c>
      <c r="G173" s="74">
        <f>IFERROR(VLOOKUP(Table1215[[#This Row],[Column2]],Table12[[Column2]:[Column54]],6,FALSE),"0")</f>
        <v>0</v>
      </c>
      <c r="H173" s="74">
        <f>IFERROR(VLOOKUP(Table1215[[#This Row],[Column2]],Table12[[Column2]:[Column54]],7,FALSE),"0")</f>
        <v>0</v>
      </c>
      <c r="I173" s="74">
        <f>IFERROR(VLOOKUP(Table1215[[#This Row],[Column2]],Table12[[Column2]:[Column54]],8,FALSE),"0")</f>
        <v>4</v>
      </c>
      <c r="J173" s="74">
        <f>IFERROR(VLOOKUP(Table1215[[#This Row],[Column2]],Table12[[Column2]:[Column54]],9,FALSE),"0")</f>
        <v>0</v>
      </c>
      <c r="K173" s="74">
        <f>IFERROR(VLOOKUP(Table1215[[#This Row],[Column2]],Table12[[Column2]:[Column54]],10,FALSE),"0")</f>
        <v>0</v>
      </c>
      <c r="L173" s="80">
        <f>Table1215[[#This Row],[Column9]]</f>
        <v>4</v>
      </c>
      <c r="M173" s="74">
        <f>IFERROR(VLOOKUP(Table1215[[#This Row],[Column2]],Table12[[Column2]:[Column54]],12,FALSE),"0")</f>
        <v>0</v>
      </c>
      <c r="N173" s="74">
        <f>IFERROR(VLOOKUP(Table1215[[#This Row],[Column2]],Table12[[Column2]:[Column54]],13,FALSE),"0")</f>
        <v>4</v>
      </c>
      <c r="O173" s="74">
        <f>IFERROR(VLOOKUP(Table1215[[#This Row],[Column2]],Table12[[Column2]:[Column54]],14,FALSE),"0")</f>
        <v>4</v>
      </c>
      <c r="P173" s="74">
        <f>IFERROR(VLOOKUP(Table1215[[#This Row],[Column2]],Table12[[Column2]:[Column54]],10,FALSE),"0")</f>
        <v>0</v>
      </c>
      <c r="Q173" s="74">
        <f>IFERROR(VLOOKUP(Table1215[[#This Row],[Column2]],Table12[[Column2]:[Column54]],16,FALSE),"0")</f>
        <v>4</v>
      </c>
      <c r="R173" s="80">
        <f>AVERAGE(Table1215[[#This Row],[Column14]],Table1215[[#This Row],[Column15]],Table1215[[#This Row],[Column17]])</f>
        <v>4</v>
      </c>
      <c r="S173" s="74">
        <f>IFERROR(VLOOKUP(Table1215[[#This Row],[Column2]],Table12[[Column2]:[Column54]],18,FALSE),"0")</f>
        <v>0</v>
      </c>
      <c r="T173" s="74">
        <f>IFERROR(VLOOKUP(Table1215[[#This Row],[Column2]],Table12[[Column2]:[Column54]],19,FALSE),"0")</f>
        <v>0</v>
      </c>
      <c r="U173" s="74">
        <f>IFERROR(VLOOKUP(Table1215[[#This Row],[Column2]],Table12[[Column2]:[Column54]],20,FALSE),"0")</f>
        <v>0</v>
      </c>
      <c r="V173" s="74">
        <f>IFERROR(VLOOKUP(Table1215[[#This Row],[Column2]],Table12[[Column2]:[Column54]],21,FALSE),"0")</f>
        <v>0</v>
      </c>
      <c r="W173" s="74">
        <f>IFERROR(VLOOKUP(Table1215[[#This Row],[Column2]],Table12[[Column2]:[Column54]],22,FALSE),"0")</f>
        <v>0</v>
      </c>
      <c r="X173" s="80">
        <f>Table1215[[#This Row],[Column19]]</f>
        <v>0</v>
      </c>
      <c r="Y173" s="74">
        <f>IFERROR(VLOOKUP(Table1215[[#This Row],[Column2]],Table12[[Column2]:[Column54]],24,FALSE),"0")</f>
        <v>4</v>
      </c>
      <c r="Z173" s="74">
        <f>IFERROR(VLOOKUP(Table1215[[#This Row],[Column2]],Table12[[Column2]:[Column54]],25,FALSE),"0")</f>
        <v>0</v>
      </c>
      <c r="AA173" s="74">
        <f>IFERROR(VLOOKUP(Table1215[[#This Row],[Column2]],Table12[[Column2]:[Column54]],26,FALSE),"0")</f>
        <v>0</v>
      </c>
      <c r="AB173" s="74">
        <f>IFERROR(VLOOKUP(Table1215[[#This Row],[Column2]],Table12[[Column2]:[Column54]],27,FALSE),"0")</f>
        <v>0</v>
      </c>
      <c r="AC173" s="74">
        <f>IFERROR(VLOOKUP(Table1215[[#This Row],[Column2]],Table12[[Column2]:[Column54]],28,FALSE),"0")</f>
        <v>0</v>
      </c>
      <c r="AD173" s="80">
        <f>Table1215[[#This Row],[Column25]]</f>
        <v>4</v>
      </c>
      <c r="AE173" s="74">
        <f>IFERROR(VLOOKUP(Table1215[[#This Row],[Column2]],Table12[[Column2]:[Column54]],30,FALSE),"0")</f>
        <v>0</v>
      </c>
      <c r="AF173" s="74">
        <f>IFERROR(VLOOKUP(Table1215[[#This Row],[Column2]],Table12[[Column2]:[Column54]],31,FALSE),"0")</f>
        <v>0</v>
      </c>
      <c r="AG173" s="74">
        <f>IFERROR(VLOOKUP(Table1215[[#This Row],[Column2]],Table12[[Column2]:[Column54]],32,FALSE),"0")</f>
        <v>0</v>
      </c>
      <c r="AH173" s="74">
        <f>IFERROR(VLOOKUP(Table1215[[#This Row],[Column2]],Table12[[Column2]:[Column54]],33,FALSE),"0")</f>
        <v>0</v>
      </c>
      <c r="AI173" s="74">
        <f>IFERROR(VLOOKUP(Table1215[[#This Row],[Column2]],Table12[[Column2]:[Column54]],34,FALSE),"0")</f>
        <v>0</v>
      </c>
      <c r="AJ173" s="80">
        <f>AVERAGE(Table1215[[#This Row],[Column31]],Table1215[[#This Row],[Column32]],Table1215[[#This Row],[Column33]])</f>
        <v>0</v>
      </c>
      <c r="AK173" s="74">
        <f>IFERROR(VLOOKUP(Table1215[[#This Row],[Column2]],Table12[[Column2]:[Column54]],36,FALSE),"0")</f>
        <v>3</v>
      </c>
      <c r="AL173" s="74">
        <f>IFERROR(VLOOKUP(Table1215[[#This Row],[Column2]],Table12[[Column2]:[Column54]],37,FALSE),"0")</f>
        <v>2</v>
      </c>
      <c r="AM173" s="74">
        <f>IFERROR(VLOOKUP(Table1215[[#This Row],[Column2]],Table12[[Column2]:[Column54]],38,FALSE),"0")</f>
        <v>0</v>
      </c>
      <c r="AN173" s="74">
        <f>IFERROR(VLOOKUP(Table1215[[#This Row],[Column2]],Table12[[Column2]:[Column54]],39,FALSE),"0")</f>
        <v>4</v>
      </c>
      <c r="AO173" s="74">
        <f>IFERROR(VLOOKUP(Table1215[[#This Row],[Column2]],Table12[[Column2]:[Column54]],40,FALSE),"0")</f>
        <v>0</v>
      </c>
      <c r="AP173" s="80">
        <f>AVERAGE(Table1215[[#This Row],[Column37]],Table1215[[#This Row],[Column38]],Table1215[[#This Row],[Column40]])</f>
        <v>3</v>
      </c>
      <c r="AQ173" s="74">
        <f>IFERROR(VLOOKUP(Table1215[[#This Row],[Column2]],Table12[[Column2]:[Column54]],42,FALSE),"0")</f>
        <v>4</v>
      </c>
      <c r="AR173" s="74">
        <f>IFERROR(VLOOKUP(Table1215[[#This Row],[Column2]],Table12[[Column2]:[Column54]],43,FALSE),"0")</f>
        <v>0</v>
      </c>
      <c r="AS173" s="74">
        <f>IFERROR(VLOOKUP(Table1215[[#This Row],[Column2]],Table12[[Column2]:[Column54]],44,FALSE),"0")</f>
        <v>0</v>
      </c>
      <c r="AT173" s="74">
        <f>IFERROR(VLOOKUP(Table1215[[#This Row],[Column2]],Table12[[Column2]:[Column54]],45,FALSE),"0")</f>
        <v>0</v>
      </c>
      <c r="AU173" s="74">
        <f>IFERROR(VLOOKUP(Table1215[[#This Row],[Column2]],Table12[[Column2]:[Column54]],46,FALSE),"0")</f>
        <v>0</v>
      </c>
      <c r="AV173" s="80">
        <f>Table1215[[#This Row],[Column43]]</f>
        <v>4</v>
      </c>
      <c r="AW173" s="74">
        <f>IFERROR(VLOOKUP(Table1215[[#This Row],[Column2]],Table12[[Column2]:[Column54]],48,FALSE),"0")</f>
        <v>0</v>
      </c>
      <c r="AX173" s="74">
        <f>IFERROR(VLOOKUP(Table1215[[#This Row],[Column2]],Table12[[Column2]:[Column54]],49,FALSE),"0")</f>
        <v>0</v>
      </c>
      <c r="AY173" s="74">
        <f>IFERROR(VLOOKUP(Table1215[[#This Row],[Column2]],Table12[[Column2]:[Column54]],50,FALSE),"0")</f>
        <v>0</v>
      </c>
      <c r="AZ173" s="74">
        <f>IFERROR(VLOOKUP(Table1215[[#This Row],[Column2]],Table12[[Column2]:[Column54]],51,FALSE),"0")</f>
        <v>5</v>
      </c>
      <c r="BA173" s="74">
        <f>IFERROR(VLOOKUP(Table1215[[#This Row],[Column2]],Table12[[Column2]:[Column54]],52,FALSE),"0")</f>
        <v>4</v>
      </c>
      <c r="BB173" s="80">
        <f>AVERAGE(Table1215[[#This Row],[Column52]],Table1215[[#This Row],[Column53]])</f>
        <v>4.5</v>
      </c>
    </row>
    <row r="174" spans="1:54" ht="23.1" customHeight="1" x14ac:dyDescent="0.3">
      <c r="A174" s="99">
        <v>171</v>
      </c>
      <c r="B174" s="76" t="s">
        <v>285</v>
      </c>
      <c r="C174" s="77" t="s">
        <v>286</v>
      </c>
      <c r="D174" s="76" t="s">
        <v>542</v>
      </c>
      <c r="E174" s="76" t="s">
        <v>161</v>
      </c>
      <c r="F174" s="76" t="str">
        <f>REPT(CHAR(160),10)&amp;Working!$E175</f>
        <v>          B</v>
      </c>
      <c r="G174" s="78">
        <f>IFERROR(VLOOKUP(Table1215[[#This Row],[Column2]],Table12[[Column2]:[Column54]],6,FALSE),"0")</f>
        <v>0</v>
      </c>
      <c r="H174" s="78">
        <f>IFERROR(VLOOKUP(Table1215[[#This Row],[Column2]],Table12[[Column2]:[Column54]],7,FALSE),"0")</f>
        <v>0</v>
      </c>
      <c r="I174" s="78">
        <f>IFERROR(VLOOKUP(Table1215[[#This Row],[Column2]],Table12[[Column2]:[Column54]],8,FALSE),"0")</f>
        <v>3</v>
      </c>
      <c r="J174" s="78">
        <f>IFERROR(VLOOKUP(Table1215[[#This Row],[Column2]],Table12[[Column2]:[Column54]],9,FALSE),"0")</f>
        <v>0</v>
      </c>
      <c r="K174" s="78">
        <f>IFERROR(VLOOKUP(Table1215[[#This Row],[Column2]],Table12[[Column2]:[Column54]],10,FALSE),"0")</f>
        <v>0</v>
      </c>
      <c r="L174" s="80">
        <f>Table1215[[#This Row],[Column9]]</f>
        <v>3</v>
      </c>
      <c r="M174" s="78">
        <f>IFERROR(VLOOKUP(Table1215[[#This Row],[Column2]],Table12[[Column2]:[Column54]],12,FALSE),"0")</f>
        <v>0</v>
      </c>
      <c r="N174" s="78">
        <f>IFERROR(VLOOKUP(Table1215[[#This Row],[Column2]],Table12[[Column2]:[Column54]],13,FALSE),"0")</f>
        <v>4</v>
      </c>
      <c r="O174" s="78">
        <f>IFERROR(VLOOKUP(Table1215[[#This Row],[Column2]],Table12[[Column2]:[Column54]],14,FALSE),"0")</f>
        <v>3</v>
      </c>
      <c r="P174" s="78">
        <f>IFERROR(VLOOKUP(Table1215[[#This Row],[Column2]],Table12[[Column2]:[Column54]],10,FALSE),"0")</f>
        <v>0</v>
      </c>
      <c r="Q174" s="78">
        <f>IFERROR(VLOOKUP(Table1215[[#This Row],[Column2]],Table12[[Column2]:[Column54]],16,FALSE),"0")</f>
        <v>3</v>
      </c>
      <c r="R174" s="80">
        <f>AVERAGE(Table1215[[#This Row],[Column14]],Table1215[[#This Row],[Column15]],Table1215[[#This Row],[Column17]])</f>
        <v>3.3333333333333335</v>
      </c>
      <c r="S174" s="78">
        <f>IFERROR(VLOOKUP(Table1215[[#This Row],[Column2]],Table12[[Column2]:[Column54]],18,FALSE),"0")</f>
        <v>0</v>
      </c>
      <c r="T174" s="78">
        <f>IFERROR(VLOOKUP(Table1215[[#This Row],[Column2]],Table12[[Column2]:[Column54]],19,FALSE),"0")</f>
        <v>0</v>
      </c>
      <c r="U174" s="78">
        <f>IFERROR(VLOOKUP(Table1215[[#This Row],[Column2]],Table12[[Column2]:[Column54]],20,FALSE),"0")</f>
        <v>0</v>
      </c>
      <c r="V174" s="78">
        <f>IFERROR(VLOOKUP(Table1215[[#This Row],[Column2]],Table12[[Column2]:[Column54]],21,FALSE),"0")</f>
        <v>0</v>
      </c>
      <c r="W174" s="78">
        <f>IFERROR(VLOOKUP(Table1215[[#This Row],[Column2]],Table12[[Column2]:[Column54]],22,FALSE),"0")</f>
        <v>0</v>
      </c>
      <c r="X174" s="80">
        <f>Table1215[[#This Row],[Column19]]</f>
        <v>0</v>
      </c>
      <c r="Y174" s="78">
        <f>IFERROR(VLOOKUP(Table1215[[#This Row],[Column2]],Table12[[Column2]:[Column54]],24,FALSE),"0")</f>
        <v>3</v>
      </c>
      <c r="Z174" s="78">
        <f>IFERROR(VLOOKUP(Table1215[[#This Row],[Column2]],Table12[[Column2]:[Column54]],25,FALSE),"0")</f>
        <v>0</v>
      </c>
      <c r="AA174" s="78">
        <f>IFERROR(VLOOKUP(Table1215[[#This Row],[Column2]],Table12[[Column2]:[Column54]],26,FALSE),"0")</f>
        <v>0</v>
      </c>
      <c r="AB174" s="78">
        <f>IFERROR(VLOOKUP(Table1215[[#This Row],[Column2]],Table12[[Column2]:[Column54]],27,FALSE),"0")</f>
        <v>0</v>
      </c>
      <c r="AC174" s="78">
        <f>IFERROR(VLOOKUP(Table1215[[#This Row],[Column2]],Table12[[Column2]:[Column54]],28,FALSE),"0")</f>
        <v>0</v>
      </c>
      <c r="AD174" s="80">
        <f>Table1215[[#This Row],[Column25]]</f>
        <v>3</v>
      </c>
      <c r="AE174" s="78">
        <f>IFERROR(VLOOKUP(Table1215[[#This Row],[Column2]],Table12[[Column2]:[Column54]],30,FALSE),"0")</f>
        <v>0</v>
      </c>
      <c r="AF174" s="78">
        <f>IFERROR(VLOOKUP(Table1215[[#This Row],[Column2]],Table12[[Column2]:[Column54]],31,FALSE),"0")</f>
        <v>0</v>
      </c>
      <c r="AG174" s="78">
        <f>IFERROR(VLOOKUP(Table1215[[#This Row],[Column2]],Table12[[Column2]:[Column54]],32,FALSE),"0")</f>
        <v>0</v>
      </c>
      <c r="AH174" s="78">
        <f>IFERROR(VLOOKUP(Table1215[[#This Row],[Column2]],Table12[[Column2]:[Column54]],33,FALSE),"0")</f>
        <v>0</v>
      </c>
      <c r="AI174" s="78">
        <f>IFERROR(VLOOKUP(Table1215[[#This Row],[Column2]],Table12[[Column2]:[Column54]],34,FALSE),"0")</f>
        <v>0</v>
      </c>
      <c r="AJ174" s="80">
        <f>AVERAGE(Table1215[[#This Row],[Column31]],Table1215[[#This Row],[Column32]],Table1215[[#This Row],[Column33]])</f>
        <v>0</v>
      </c>
      <c r="AK174" s="78">
        <f>IFERROR(VLOOKUP(Table1215[[#This Row],[Column2]],Table12[[Column2]:[Column54]],36,FALSE),"0")</f>
        <v>4</v>
      </c>
      <c r="AL174" s="78">
        <f>IFERROR(VLOOKUP(Table1215[[#This Row],[Column2]],Table12[[Column2]:[Column54]],37,FALSE),"0")</f>
        <v>3</v>
      </c>
      <c r="AM174" s="78">
        <f>IFERROR(VLOOKUP(Table1215[[#This Row],[Column2]],Table12[[Column2]:[Column54]],38,FALSE),"0")</f>
        <v>0</v>
      </c>
      <c r="AN174" s="78">
        <f>IFERROR(VLOOKUP(Table1215[[#This Row],[Column2]],Table12[[Column2]:[Column54]],39,FALSE),"0")</f>
        <v>4</v>
      </c>
      <c r="AO174" s="78">
        <f>IFERROR(VLOOKUP(Table1215[[#This Row],[Column2]],Table12[[Column2]:[Column54]],40,FALSE),"0")</f>
        <v>0</v>
      </c>
      <c r="AP174" s="80">
        <f>AVERAGE(Table1215[[#This Row],[Column37]],Table1215[[#This Row],[Column38]],Table1215[[#This Row],[Column40]])</f>
        <v>3.6666666666666665</v>
      </c>
      <c r="AQ174" s="78">
        <f>IFERROR(VLOOKUP(Table1215[[#This Row],[Column2]],Table12[[Column2]:[Column54]],42,FALSE),"0")</f>
        <v>3</v>
      </c>
      <c r="AR174" s="78">
        <f>IFERROR(VLOOKUP(Table1215[[#This Row],[Column2]],Table12[[Column2]:[Column54]],43,FALSE),"0")</f>
        <v>0</v>
      </c>
      <c r="AS174" s="78">
        <f>IFERROR(VLOOKUP(Table1215[[#This Row],[Column2]],Table12[[Column2]:[Column54]],44,FALSE),"0")</f>
        <v>0</v>
      </c>
      <c r="AT174" s="78">
        <f>IFERROR(VLOOKUP(Table1215[[#This Row],[Column2]],Table12[[Column2]:[Column54]],45,FALSE),"0")</f>
        <v>0</v>
      </c>
      <c r="AU174" s="78">
        <f>IFERROR(VLOOKUP(Table1215[[#This Row],[Column2]],Table12[[Column2]:[Column54]],46,FALSE),"0")</f>
        <v>0</v>
      </c>
      <c r="AV174" s="80">
        <f>Table1215[[#This Row],[Column43]]</f>
        <v>3</v>
      </c>
      <c r="AW174" s="78">
        <f>IFERROR(VLOOKUP(Table1215[[#This Row],[Column2]],Table12[[Column2]:[Column54]],48,FALSE),"0")</f>
        <v>0</v>
      </c>
      <c r="AX174" s="78">
        <f>IFERROR(VLOOKUP(Table1215[[#This Row],[Column2]],Table12[[Column2]:[Column54]],49,FALSE),"0")</f>
        <v>0</v>
      </c>
      <c r="AY174" s="78">
        <f>IFERROR(VLOOKUP(Table1215[[#This Row],[Column2]],Table12[[Column2]:[Column54]],50,FALSE),"0")</f>
        <v>0</v>
      </c>
      <c r="AZ174" s="78">
        <f>IFERROR(VLOOKUP(Table1215[[#This Row],[Column2]],Table12[[Column2]:[Column54]],51,FALSE),"0")</f>
        <v>4</v>
      </c>
      <c r="BA174" s="78">
        <f>IFERROR(VLOOKUP(Table1215[[#This Row],[Column2]],Table12[[Column2]:[Column54]],52,FALSE),"0")</f>
        <v>3</v>
      </c>
      <c r="BB174" s="80">
        <f>AVERAGE(Table1215[[#This Row],[Column52]],Table1215[[#This Row],[Column53]])</f>
        <v>3.5</v>
      </c>
    </row>
    <row r="175" spans="1:54" ht="23.1" customHeight="1" x14ac:dyDescent="0.3">
      <c r="A175" s="100">
        <v>172</v>
      </c>
      <c r="B175" s="83" t="s">
        <v>397</v>
      </c>
      <c r="C175" s="84" t="s">
        <v>539</v>
      </c>
      <c r="D175" s="83" t="s">
        <v>542</v>
      </c>
      <c r="E175" s="83" t="s">
        <v>289</v>
      </c>
      <c r="F175" s="83" t="str">
        <f>REPT(CHAR(160),10)&amp;Working!$E176</f>
        <v>          D</v>
      </c>
      <c r="G175" s="74">
        <f>IFERROR(VLOOKUP(Table1215[[#This Row],[Column2]],Table12[[Column2]:[Column54]],6,FALSE),"0")</f>
        <v>0</v>
      </c>
      <c r="H175" s="74">
        <f>IFERROR(VLOOKUP(Table1215[[#This Row],[Column2]],Table12[[Column2]:[Column54]],7,FALSE),"0")</f>
        <v>0</v>
      </c>
      <c r="I175" s="74">
        <f>IFERROR(VLOOKUP(Table1215[[#This Row],[Column2]],Table12[[Column2]:[Column54]],8,FALSE),"0")</f>
        <v>0</v>
      </c>
      <c r="J175" s="74">
        <f>IFERROR(VLOOKUP(Table1215[[#This Row],[Column2]],Table12[[Column2]:[Column54]],9,FALSE),"0")</f>
        <v>0</v>
      </c>
      <c r="K175" s="74">
        <f>IFERROR(VLOOKUP(Table1215[[#This Row],[Column2]],Table12[[Column2]:[Column54]],10,FALSE),"0")</f>
        <v>0</v>
      </c>
      <c r="L175" s="80">
        <f>Table1215[[#This Row],[Column9]]</f>
        <v>0</v>
      </c>
      <c r="M175" s="74">
        <f>IFERROR(VLOOKUP(Table1215[[#This Row],[Column2]],Table12[[Column2]:[Column54]],12,FALSE),"0")</f>
        <v>0</v>
      </c>
      <c r="N175" s="74">
        <f>IFERROR(VLOOKUP(Table1215[[#This Row],[Column2]],Table12[[Column2]:[Column54]],13,FALSE),"0")</f>
        <v>0</v>
      </c>
      <c r="O175" s="74">
        <f>IFERROR(VLOOKUP(Table1215[[#This Row],[Column2]],Table12[[Column2]:[Column54]],14,FALSE),"0")</f>
        <v>0</v>
      </c>
      <c r="P175" s="74">
        <f>IFERROR(VLOOKUP(Table1215[[#This Row],[Column2]],Table12[[Column2]:[Column54]],10,FALSE),"0")</f>
        <v>0</v>
      </c>
      <c r="Q175" s="74">
        <f>IFERROR(VLOOKUP(Table1215[[#This Row],[Column2]],Table12[[Column2]:[Column54]],16,FALSE),"0")</f>
        <v>0</v>
      </c>
      <c r="R175" s="80">
        <f>AVERAGE(Table1215[[#This Row],[Column14]],Table1215[[#This Row],[Column15]],Table1215[[#This Row],[Column17]])</f>
        <v>0</v>
      </c>
      <c r="S175" s="74">
        <f>IFERROR(VLOOKUP(Table1215[[#This Row],[Column2]],Table12[[Column2]:[Column54]],18,FALSE),"0")</f>
        <v>0</v>
      </c>
      <c r="T175" s="74">
        <f>IFERROR(VLOOKUP(Table1215[[#This Row],[Column2]],Table12[[Column2]:[Column54]],19,FALSE),"0")</f>
        <v>0</v>
      </c>
      <c r="U175" s="74">
        <f>IFERROR(VLOOKUP(Table1215[[#This Row],[Column2]],Table12[[Column2]:[Column54]],20,FALSE),"0")</f>
        <v>0</v>
      </c>
      <c r="V175" s="74">
        <f>IFERROR(VLOOKUP(Table1215[[#This Row],[Column2]],Table12[[Column2]:[Column54]],21,FALSE),"0")</f>
        <v>0</v>
      </c>
      <c r="W175" s="74">
        <f>IFERROR(VLOOKUP(Table1215[[#This Row],[Column2]],Table12[[Column2]:[Column54]],22,FALSE),"0")</f>
        <v>0</v>
      </c>
      <c r="X175" s="80">
        <f>Table1215[[#This Row],[Column19]]</f>
        <v>0</v>
      </c>
      <c r="Y175" s="74">
        <f>IFERROR(VLOOKUP(Table1215[[#This Row],[Column2]],Table12[[Column2]:[Column54]],24,FALSE),"0")</f>
        <v>0</v>
      </c>
      <c r="Z175" s="74">
        <f>IFERROR(VLOOKUP(Table1215[[#This Row],[Column2]],Table12[[Column2]:[Column54]],25,FALSE),"0")</f>
        <v>0</v>
      </c>
      <c r="AA175" s="74">
        <f>IFERROR(VLOOKUP(Table1215[[#This Row],[Column2]],Table12[[Column2]:[Column54]],26,FALSE),"0")</f>
        <v>0</v>
      </c>
      <c r="AB175" s="74">
        <f>IFERROR(VLOOKUP(Table1215[[#This Row],[Column2]],Table12[[Column2]:[Column54]],27,FALSE),"0")</f>
        <v>0</v>
      </c>
      <c r="AC175" s="74">
        <f>IFERROR(VLOOKUP(Table1215[[#This Row],[Column2]],Table12[[Column2]:[Column54]],28,FALSE),"0")</f>
        <v>0</v>
      </c>
      <c r="AD175" s="80">
        <f>Table1215[[#This Row],[Column25]]</f>
        <v>0</v>
      </c>
      <c r="AE175" s="74">
        <f>IFERROR(VLOOKUP(Table1215[[#This Row],[Column2]],Table12[[Column2]:[Column54]],30,FALSE),"0")</f>
        <v>0</v>
      </c>
      <c r="AF175" s="74">
        <f>IFERROR(VLOOKUP(Table1215[[#This Row],[Column2]],Table12[[Column2]:[Column54]],31,FALSE),"0")</f>
        <v>0</v>
      </c>
      <c r="AG175" s="74">
        <f>IFERROR(VLOOKUP(Table1215[[#This Row],[Column2]],Table12[[Column2]:[Column54]],32,FALSE),"0")</f>
        <v>0</v>
      </c>
      <c r="AH175" s="74">
        <f>IFERROR(VLOOKUP(Table1215[[#This Row],[Column2]],Table12[[Column2]:[Column54]],33,FALSE),"0")</f>
        <v>0</v>
      </c>
      <c r="AI175" s="74">
        <f>IFERROR(VLOOKUP(Table1215[[#This Row],[Column2]],Table12[[Column2]:[Column54]],34,FALSE),"0")</f>
        <v>0</v>
      </c>
      <c r="AJ175" s="80">
        <f>AVERAGE(Table1215[[#This Row],[Column31]],Table1215[[#This Row],[Column32]],Table1215[[#This Row],[Column33]])</f>
        <v>0</v>
      </c>
      <c r="AK175" s="74">
        <f>IFERROR(VLOOKUP(Table1215[[#This Row],[Column2]],Table12[[Column2]:[Column54]],36,FALSE),"0")</f>
        <v>0</v>
      </c>
      <c r="AL175" s="74">
        <f>IFERROR(VLOOKUP(Table1215[[#This Row],[Column2]],Table12[[Column2]:[Column54]],37,FALSE),"0")</f>
        <v>0</v>
      </c>
      <c r="AM175" s="74">
        <f>IFERROR(VLOOKUP(Table1215[[#This Row],[Column2]],Table12[[Column2]:[Column54]],38,FALSE),"0")</f>
        <v>0</v>
      </c>
      <c r="AN175" s="74">
        <f>IFERROR(VLOOKUP(Table1215[[#This Row],[Column2]],Table12[[Column2]:[Column54]],39,FALSE),"0")</f>
        <v>0</v>
      </c>
      <c r="AO175" s="74">
        <f>IFERROR(VLOOKUP(Table1215[[#This Row],[Column2]],Table12[[Column2]:[Column54]],40,FALSE),"0")</f>
        <v>0</v>
      </c>
      <c r="AP175" s="80">
        <f>AVERAGE(Table1215[[#This Row],[Column37]],Table1215[[#This Row],[Column38]],Table1215[[#This Row],[Column40]])</f>
        <v>0</v>
      </c>
      <c r="AQ175" s="74">
        <f>IFERROR(VLOOKUP(Table1215[[#This Row],[Column2]],Table12[[Column2]:[Column54]],42,FALSE),"0")</f>
        <v>0</v>
      </c>
      <c r="AR175" s="74">
        <f>IFERROR(VLOOKUP(Table1215[[#This Row],[Column2]],Table12[[Column2]:[Column54]],43,FALSE),"0")</f>
        <v>0</v>
      </c>
      <c r="AS175" s="74">
        <f>IFERROR(VLOOKUP(Table1215[[#This Row],[Column2]],Table12[[Column2]:[Column54]],44,FALSE),"0")</f>
        <v>0</v>
      </c>
      <c r="AT175" s="74">
        <f>IFERROR(VLOOKUP(Table1215[[#This Row],[Column2]],Table12[[Column2]:[Column54]],45,FALSE),"0")</f>
        <v>0</v>
      </c>
      <c r="AU175" s="74">
        <f>IFERROR(VLOOKUP(Table1215[[#This Row],[Column2]],Table12[[Column2]:[Column54]],46,FALSE),"0")</f>
        <v>0</v>
      </c>
      <c r="AV175" s="80">
        <f>Table1215[[#This Row],[Column43]]</f>
        <v>0</v>
      </c>
      <c r="AW175" s="74">
        <f>IFERROR(VLOOKUP(Table1215[[#This Row],[Column2]],Table12[[Column2]:[Column54]],48,FALSE),"0")</f>
        <v>0</v>
      </c>
      <c r="AX175" s="74">
        <f>IFERROR(VLOOKUP(Table1215[[#This Row],[Column2]],Table12[[Column2]:[Column54]],49,FALSE),"0")</f>
        <v>0</v>
      </c>
      <c r="AY175" s="74">
        <f>IFERROR(VLOOKUP(Table1215[[#This Row],[Column2]],Table12[[Column2]:[Column54]],50,FALSE),"0")</f>
        <v>0</v>
      </c>
      <c r="AZ175" s="74">
        <f>IFERROR(VLOOKUP(Table1215[[#This Row],[Column2]],Table12[[Column2]:[Column54]],51,FALSE),"0")</f>
        <v>0</v>
      </c>
      <c r="BA175" s="74">
        <f>IFERROR(VLOOKUP(Table1215[[#This Row],[Column2]],Table12[[Column2]:[Column54]],52,FALSE),"0")</f>
        <v>0</v>
      </c>
      <c r="BB175" s="80">
        <f>AVERAGE(Table1215[[#This Row],[Column52]],Table1215[[#This Row],[Column53]])</f>
        <v>0</v>
      </c>
    </row>
    <row r="176" spans="1:54" ht="23.1" customHeight="1" x14ac:dyDescent="0.3">
      <c r="A176" s="99">
        <v>173</v>
      </c>
      <c r="B176" s="76" t="s">
        <v>398</v>
      </c>
      <c r="C176" s="77" t="s">
        <v>399</v>
      </c>
      <c r="D176" s="76" t="s">
        <v>542</v>
      </c>
      <c r="E176" s="76" t="s">
        <v>493</v>
      </c>
      <c r="F176" s="76" t="str">
        <f>REPT(CHAR(160),10)&amp;Working!$E177</f>
        <v>          C</v>
      </c>
      <c r="G176" s="78">
        <f>IFERROR(VLOOKUP(Table1215[[#This Row],[Column2]],Table12[[Column2]:[Column54]],6,FALSE),"0")</f>
        <v>0</v>
      </c>
      <c r="H176" s="78">
        <f>IFERROR(VLOOKUP(Table1215[[#This Row],[Column2]],Table12[[Column2]:[Column54]],7,FALSE),"0")</f>
        <v>0</v>
      </c>
      <c r="I176" s="78">
        <f>IFERROR(VLOOKUP(Table1215[[#This Row],[Column2]],Table12[[Column2]:[Column54]],8,FALSE),"0")</f>
        <v>3</v>
      </c>
      <c r="J176" s="78">
        <f>IFERROR(VLOOKUP(Table1215[[#This Row],[Column2]],Table12[[Column2]:[Column54]],9,FALSE),"0")</f>
        <v>0</v>
      </c>
      <c r="K176" s="78">
        <f>IFERROR(VLOOKUP(Table1215[[#This Row],[Column2]],Table12[[Column2]:[Column54]],10,FALSE),"0")</f>
        <v>0</v>
      </c>
      <c r="L176" s="80">
        <f>Table1215[[#This Row],[Column9]]</f>
        <v>3</v>
      </c>
      <c r="M176" s="78">
        <f>IFERROR(VLOOKUP(Table1215[[#This Row],[Column2]],Table12[[Column2]:[Column54]],12,FALSE),"0")</f>
        <v>0</v>
      </c>
      <c r="N176" s="78">
        <f>IFERROR(VLOOKUP(Table1215[[#This Row],[Column2]],Table12[[Column2]:[Column54]],13,FALSE),"0")</f>
        <v>4</v>
      </c>
      <c r="O176" s="78">
        <f>IFERROR(VLOOKUP(Table1215[[#This Row],[Column2]],Table12[[Column2]:[Column54]],14,FALSE),"0")</f>
        <v>3</v>
      </c>
      <c r="P176" s="78">
        <f>IFERROR(VLOOKUP(Table1215[[#This Row],[Column2]],Table12[[Column2]:[Column54]],10,FALSE),"0")</f>
        <v>0</v>
      </c>
      <c r="Q176" s="78">
        <f>IFERROR(VLOOKUP(Table1215[[#This Row],[Column2]],Table12[[Column2]:[Column54]],16,FALSE),"0")</f>
        <v>3</v>
      </c>
      <c r="R176" s="80">
        <f>AVERAGE(Table1215[[#This Row],[Column14]],Table1215[[#This Row],[Column15]],Table1215[[#This Row],[Column17]])</f>
        <v>3.3333333333333335</v>
      </c>
      <c r="S176" s="78">
        <f>IFERROR(VLOOKUP(Table1215[[#This Row],[Column2]],Table12[[Column2]:[Column54]],18,FALSE),"0")</f>
        <v>0</v>
      </c>
      <c r="T176" s="78">
        <f>IFERROR(VLOOKUP(Table1215[[#This Row],[Column2]],Table12[[Column2]:[Column54]],19,FALSE),"0")</f>
        <v>0</v>
      </c>
      <c r="U176" s="78">
        <f>IFERROR(VLOOKUP(Table1215[[#This Row],[Column2]],Table12[[Column2]:[Column54]],20,FALSE),"0")</f>
        <v>0</v>
      </c>
      <c r="V176" s="78">
        <f>IFERROR(VLOOKUP(Table1215[[#This Row],[Column2]],Table12[[Column2]:[Column54]],21,FALSE),"0")</f>
        <v>0</v>
      </c>
      <c r="W176" s="78">
        <f>IFERROR(VLOOKUP(Table1215[[#This Row],[Column2]],Table12[[Column2]:[Column54]],22,FALSE),"0")</f>
        <v>0</v>
      </c>
      <c r="X176" s="80">
        <f>Table1215[[#This Row],[Column19]]</f>
        <v>0</v>
      </c>
      <c r="Y176" s="78">
        <f>IFERROR(VLOOKUP(Table1215[[#This Row],[Column2]],Table12[[Column2]:[Column54]],24,FALSE),"0")</f>
        <v>3</v>
      </c>
      <c r="Z176" s="78">
        <f>IFERROR(VLOOKUP(Table1215[[#This Row],[Column2]],Table12[[Column2]:[Column54]],25,FALSE),"0")</f>
        <v>0</v>
      </c>
      <c r="AA176" s="78">
        <f>IFERROR(VLOOKUP(Table1215[[#This Row],[Column2]],Table12[[Column2]:[Column54]],26,FALSE),"0")</f>
        <v>0</v>
      </c>
      <c r="AB176" s="78">
        <f>IFERROR(VLOOKUP(Table1215[[#This Row],[Column2]],Table12[[Column2]:[Column54]],27,FALSE),"0")</f>
        <v>0</v>
      </c>
      <c r="AC176" s="78">
        <f>IFERROR(VLOOKUP(Table1215[[#This Row],[Column2]],Table12[[Column2]:[Column54]],28,FALSE),"0")</f>
        <v>0</v>
      </c>
      <c r="AD176" s="80">
        <f>Table1215[[#This Row],[Column25]]</f>
        <v>3</v>
      </c>
      <c r="AE176" s="78">
        <f>IFERROR(VLOOKUP(Table1215[[#This Row],[Column2]],Table12[[Column2]:[Column54]],30,FALSE),"0")</f>
        <v>0</v>
      </c>
      <c r="AF176" s="78">
        <f>IFERROR(VLOOKUP(Table1215[[#This Row],[Column2]],Table12[[Column2]:[Column54]],31,FALSE),"0")</f>
        <v>0</v>
      </c>
      <c r="AG176" s="78">
        <f>IFERROR(VLOOKUP(Table1215[[#This Row],[Column2]],Table12[[Column2]:[Column54]],32,FALSE),"0")</f>
        <v>0</v>
      </c>
      <c r="AH176" s="78">
        <f>IFERROR(VLOOKUP(Table1215[[#This Row],[Column2]],Table12[[Column2]:[Column54]],33,FALSE),"0")</f>
        <v>0</v>
      </c>
      <c r="AI176" s="78">
        <f>IFERROR(VLOOKUP(Table1215[[#This Row],[Column2]],Table12[[Column2]:[Column54]],34,FALSE),"0")</f>
        <v>0</v>
      </c>
      <c r="AJ176" s="80">
        <f>AVERAGE(Table1215[[#This Row],[Column31]],Table1215[[#This Row],[Column32]],Table1215[[#This Row],[Column33]])</f>
        <v>0</v>
      </c>
      <c r="AK176" s="78">
        <f>IFERROR(VLOOKUP(Table1215[[#This Row],[Column2]],Table12[[Column2]:[Column54]],36,FALSE),"0")</f>
        <v>3</v>
      </c>
      <c r="AL176" s="78">
        <f>IFERROR(VLOOKUP(Table1215[[#This Row],[Column2]],Table12[[Column2]:[Column54]],37,FALSE),"0")</f>
        <v>2</v>
      </c>
      <c r="AM176" s="78">
        <f>IFERROR(VLOOKUP(Table1215[[#This Row],[Column2]],Table12[[Column2]:[Column54]],38,FALSE),"0")</f>
        <v>0</v>
      </c>
      <c r="AN176" s="78">
        <f>IFERROR(VLOOKUP(Table1215[[#This Row],[Column2]],Table12[[Column2]:[Column54]],39,FALSE),"0")</f>
        <v>3</v>
      </c>
      <c r="AO176" s="78">
        <f>IFERROR(VLOOKUP(Table1215[[#This Row],[Column2]],Table12[[Column2]:[Column54]],40,FALSE),"0")</f>
        <v>0</v>
      </c>
      <c r="AP176" s="80">
        <f>AVERAGE(Table1215[[#This Row],[Column37]],Table1215[[#This Row],[Column38]],Table1215[[#This Row],[Column40]])</f>
        <v>2.6666666666666665</v>
      </c>
      <c r="AQ176" s="78">
        <f>IFERROR(VLOOKUP(Table1215[[#This Row],[Column2]],Table12[[Column2]:[Column54]],42,FALSE),"0")</f>
        <v>1</v>
      </c>
      <c r="AR176" s="78">
        <f>IFERROR(VLOOKUP(Table1215[[#This Row],[Column2]],Table12[[Column2]:[Column54]],43,FALSE),"0")</f>
        <v>0</v>
      </c>
      <c r="AS176" s="78">
        <f>IFERROR(VLOOKUP(Table1215[[#This Row],[Column2]],Table12[[Column2]:[Column54]],44,FALSE),"0")</f>
        <v>0</v>
      </c>
      <c r="AT176" s="78">
        <f>IFERROR(VLOOKUP(Table1215[[#This Row],[Column2]],Table12[[Column2]:[Column54]],45,FALSE),"0")</f>
        <v>0</v>
      </c>
      <c r="AU176" s="78">
        <f>IFERROR(VLOOKUP(Table1215[[#This Row],[Column2]],Table12[[Column2]:[Column54]],46,FALSE),"0")</f>
        <v>0</v>
      </c>
      <c r="AV176" s="80">
        <f>Table1215[[#This Row],[Column43]]</f>
        <v>1</v>
      </c>
      <c r="AW176" s="78">
        <f>IFERROR(VLOOKUP(Table1215[[#This Row],[Column2]],Table12[[Column2]:[Column54]],48,FALSE),"0")</f>
        <v>0</v>
      </c>
      <c r="AX176" s="78">
        <f>IFERROR(VLOOKUP(Table1215[[#This Row],[Column2]],Table12[[Column2]:[Column54]],49,FALSE),"0")</f>
        <v>0</v>
      </c>
      <c r="AY176" s="78">
        <f>IFERROR(VLOOKUP(Table1215[[#This Row],[Column2]],Table12[[Column2]:[Column54]],50,FALSE),"0")</f>
        <v>0</v>
      </c>
      <c r="AZ176" s="78">
        <f>IFERROR(VLOOKUP(Table1215[[#This Row],[Column2]],Table12[[Column2]:[Column54]],51,FALSE),"0")</f>
        <v>3</v>
      </c>
      <c r="BA176" s="78">
        <f>IFERROR(VLOOKUP(Table1215[[#This Row],[Column2]],Table12[[Column2]:[Column54]],52,FALSE),"0")</f>
        <v>3</v>
      </c>
      <c r="BB176" s="80">
        <f>AVERAGE(Table1215[[#This Row],[Column52]],Table1215[[#This Row],[Column53]])</f>
        <v>3</v>
      </c>
    </row>
    <row r="177" spans="1:54" ht="23.1" customHeight="1" x14ac:dyDescent="0.3">
      <c r="A177" s="100">
        <v>174</v>
      </c>
      <c r="B177" s="83" t="s">
        <v>400</v>
      </c>
      <c r="C177" s="84" t="s">
        <v>401</v>
      </c>
      <c r="D177" s="83" t="s">
        <v>542</v>
      </c>
      <c r="E177" s="83" t="s">
        <v>493</v>
      </c>
      <c r="F177" s="83" t="str">
        <f>REPT(CHAR(160),10)&amp;Working!$E178</f>
        <v>          C</v>
      </c>
      <c r="G177" s="74">
        <f>IFERROR(VLOOKUP(Table1215[[#This Row],[Column2]],Table12[[Column2]:[Column54]],6,FALSE),"0")</f>
        <v>0</v>
      </c>
      <c r="H177" s="74">
        <f>IFERROR(VLOOKUP(Table1215[[#This Row],[Column2]],Table12[[Column2]:[Column54]],7,FALSE),"0")</f>
        <v>0</v>
      </c>
      <c r="I177" s="74">
        <f>IFERROR(VLOOKUP(Table1215[[#This Row],[Column2]],Table12[[Column2]:[Column54]],8,FALSE),"0")</f>
        <v>4</v>
      </c>
      <c r="J177" s="74">
        <f>IFERROR(VLOOKUP(Table1215[[#This Row],[Column2]],Table12[[Column2]:[Column54]],9,FALSE),"0")</f>
        <v>0</v>
      </c>
      <c r="K177" s="74">
        <f>IFERROR(VLOOKUP(Table1215[[#This Row],[Column2]],Table12[[Column2]:[Column54]],10,FALSE),"0")</f>
        <v>0</v>
      </c>
      <c r="L177" s="80">
        <f>Table1215[[#This Row],[Column9]]</f>
        <v>4</v>
      </c>
      <c r="M177" s="74">
        <f>IFERROR(VLOOKUP(Table1215[[#This Row],[Column2]],Table12[[Column2]:[Column54]],12,FALSE),"0")</f>
        <v>0</v>
      </c>
      <c r="N177" s="74">
        <f>IFERROR(VLOOKUP(Table1215[[#This Row],[Column2]],Table12[[Column2]:[Column54]],13,FALSE),"0")</f>
        <v>4</v>
      </c>
      <c r="O177" s="74">
        <f>IFERROR(VLOOKUP(Table1215[[#This Row],[Column2]],Table12[[Column2]:[Column54]],14,FALSE),"0")</f>
        <v>4</v>
      </c>
      <c r="P177" s="74">
        <f>IFERROR(VLOOKUP(Table1215[[#This Row],[Column2]],Table12[[Column2]:[Column54]],10,FALSE),"0")</f>
        <v>0</v>
      </c>
      <c r="Q177" s="74">
        <f>IFERROR(VLOOKUP(Table1215[[#This Row],[Column2]],Table12[[Column2]:[Column54]],16,FALSE),"0")</f>
        <v>4</v>
      </c>
      <c r="R177" s="80">
        <f>AVERAGE(Table1215[[#This Row],[Column14]],Table1215[[#This Row],[Column15]],Table1215[[#This Row],[Column17]])</f>
        <v>4</v>
      </c>
      <c r="S177" s="74">
        <f>IFERROR(VLOOKUP(Table1215[[#This Row],[Column2]],Table12[[Column2]:[Column54]],18,FALSE),"0")</f>
        <v>0</v>
      </c>
      <c r="T177" s="74">
        <f>IFERROR(VLOOKUP(Table1215[[#This Row],[Column2]],Table12[[Column2]:[Column54]],19,FALSE),"0")</f>
        <v>0</v>
      </c>
      <c r="U177" s="74">
        <f>IFERROR(VLOOKUP(Table1215[[#This Row],[Column2]],Table12[[Column2]:[Column54]],20,FALSE),"0")</f>
        <v>0</v>
      </c>
      <c r="V177" s="74">
        <f>IFERROR(VLOOKUP(Table1215[[#This Row],[Column2]],Table12[[Column2]:[Column54]],21,FALSE),"0")</f>
        <v>0</v>
      </c>
      <c r="W177" s="74">
        <f>IFERROR(VLOOKUP(Table1215[[#This Row],[Column2]],Table12[[Column2]:[Column54]],22,FALSE),"0")</f>
        <v>0</v>
      </c>
      <c r="X177" s="80">
        <f>Table1215[[#This Row],[Column19]]</f>
        <v>0</v>
      </c>
      <c r="Y177" s="74">
        <f>IFERROR(VLOOKUP(Table1215[[#This Row],[Column2]],Table12[[Column2]:[Column54]],24,FALSE),"0")</f>
        <v>4</v>
      </c>
      <c r="Z177" s="74">
        <f>IFERROR(VLOOKUP(Table1215[[#This Row],[Column2]],Table12[[Column2]:[Column54]],25,FALSE),"0")</f>
        <v>0</v>
      </c>
      <c r="AA177" s="74">
        <f>IFERROR(VLOOKUP(Table1215[[#This Row],[Column2]],Table12[[Column2]:[Column54]],26,FALSE),"0")</f>
        <v>0</v>
      </c>
      <c r="AB177" s="74">
        <f>IFERROR(VLOOKUP(Table1215[[#This Row],[Column2]],Table12[[Column2]:[Column54]],27,FALSE),"0")</f>
        <v>0</v>
      </c>
      <c r="AC177" s="74">
        <f>IFERROR(VLOOKUP(Table1215[[#This Row],[Column2]],Table12[[Column2]:[Column54]],28,FALSE),"0")</f>
        <v>0</v>
      </c>
      <c r="AD177" s="80">
        <f>Table1215[[#This Row],[Column25]]</f>
        <v>4</v>
      </c>
      <c r="AE177" s="74">
        <f>IFERROR(VLOOKUP(Table1215[[#This Row],[Column2]],Table12[[Column2]:[Column54]],30,FALSE),"0")</f>
        <v>0</v>
      </c>
      <c r="AF177" s="74">
        <f>IFERROR(VLOOKUP(Table1215[[#This Row],[Column2]],Table12[[Column2]:[Column54]],31,FALSE),"0")</f>
        <v>0</v>
      </c>
      <c r="AG177" s="74">
        <f>IFERROR(VLOOKUP(Table1215[[#This Row],[Column2]],Table12[[Column2]:[Column54]],32,FALSE),"0")</f>
        <v>0</v>
      </c>
      <c r="AH177" s="74">
        <f>IFERROR(VLOOKUP(Table1215[[#This Row],[Column2]],Table12[[Column2]:[Column54]],33,FALSE),"0")</f>
        <v>0</v>
      </c>
      <c r="AI177" s="74">
        <f>IFERROR(VLOOKUP(Table1215[[#This Row],[Column2]],Table12[[Column2]:[Column54]],34,FALSE),"0")</f>
        <v>0</v>
      </c>
      <c r="AJ177" s="80">
        <f>AVERAGE(Table1215[[#This Row],[Column31]],Table1215[[#This Row],[Column32]],Table1215[[#This Row],[Column33]])</f>
        <v>0</v>
      </c>
      <c r="AK177" s="74">
        <f>IFERROR(VLOOKUP(Table1215[[#This Row],[Column2]],Table12[[Column2]:[Column54]],36,FALSE),"0")</f>
        <v>4</v>
      </c>
      <c r="AL177" s="74">
        <f>IFERROR(VLOOKUP(Table1215[[#This Row],[Column2]],Table12[[Column2]:[Column54]],37,FALSE),"0")</f>
        <v>3</v>
      </c>
      <c r="AM177" s="74">
        <f>IFERROR(VLOOKUP(Table1215[[#This Row],[Column2]],Table12[[Column2]:[Column54]],38,FALSE),"0")</f>
        <v>0</v>
      </c>
      <c r="AN177" s="74">
        <f>IFERROR(VLOOKUP(Table1215[[#This Row],[Column2]],Table12[[Column2]:[Column54]],39,FALSE),"0")</f>
        <v>4</v>
      </c>
      <c r="AO177" s="74">
        <f>IFERROR(VLOOKUP(Table1215[[#This Row],[Column2]],Table12[[Column2]:[Column54]],40,FALSE),"0")</f>
        <v>0</v>
      </c>
      <c r="AP177" s="80">
        <f>AVERAGE(Table1215[[#This Row],[Column37]],Table1215[[#This Row],[Column38]],Table1215[[#This Row],[Column40]])</f>
        <v>3.6666666666666665</v>
      </c>
      <c r="AQ177" s="74">
        <f>IFERROR(VLOOKUP(Table1215[[#This Row],[Column2]],Table12[[Column2]:[Column54]],42,FALSE),"0")</f>
        <v>3</v>
      </c>
      <c r="AR177" s="74">
        <f>IFERROR(VLOOKUP(Table1215[[#This Row],[Column2]],Table12[[Column2]:[Column54]],43,FALSE),"0")</f>
        <v>0</v>
      </c>
      <c r="AS177" s="74">
        <f>IFERROR(VLOOKUP(Table1215[[#This Row],[Column2]],Table12[[Column2]:[Column54]],44,FALSE),"0")</f>
        <v>0</v>
      </c>
      <c r="AT177" s="74">
        <f>IFERROR(VLOOKUP(Table1215[[#This Row],[Column2]],Table12[[Column2]:[Column54]],45,FALSE),"0")</f>
        <v>0</v>
      </c>
      <c r="AU177" s="74">
        <f>IFERROR(VLOOKUP(Table1215[[#This Row],[Column2]],Table12[[Column2]:[Column54]],46,FALSE),"0")</f>
        <v>0</v>
      </c>
      <c r="AV177" s="80">
        <f>Table1215[[#This Row],[Column43]]</f>
        <v>3</v>
      </c>
      <c r="AW177" s="74">
        <f>IFERROR(VLOOKUP(Table1215[[#This Row],[Column2]],Table12[[Column2]:[Column54]],48,FALSE),"0")</f>
        <v>0</v>
      </c>
      <c r="AX177" s="74">
        <f>IFERROR(VLOOKUP(Table1215[[#This Row],[Column2]],Table12[[Column2]:[Column54]],49,FALSE),"0")</f>
        <v>0</v>
      </c>
      <c r="AY177" s="74">
        <f>IFERROR(VLOOKUP(Table1215[[#This Row],[Column2]],Table12[[Column2]:[Column54]],50,FALSE),"0")</f>
        <v>0</v>
      </c>
      <c r="AZ177" s="74">
        <f>IFERROR(VLOOKUP(Table1215[[#This Row],[Column2]],Table12[[Column2]:[Column54]],51,FALSE),"0")</f>
        <v>4</v>
      </c>
      <c r="BA177" s="74">
        <f>IFERROR(VLOOKUP(Table1215[[#This Row],[Column2]],Table12[[Column2]:[Column54]],52,FALSE),"0")</f>
        <v>3</v>
      </c>
      <c r="BB177" s="80">
        <f>AVERAGE(Table1215[[#This Row],[Column52]],Table1215[[#This Row],[Column53]])</f>
        <v>3.5</v>
      </c>
    </row>
    <row r="178" spans="1:54" ht="23.1" customHeight="1" x14ac:dyDescent="0.3">
      <c r="A178" s="99">
        <v>175</v>
      </c>
      <c r="B178" s="76" t="s">
        <v>120</v>
      </c>
      <c r="C178" s="77" t="s">
        <v>121</v>
      </c>
      <c r="D178" s="76" t="s">
        <v>450</v>
      </c>
      <c r="E178" s="76" t="s">
        <v>35</v>
      </c>
      <c r="F178" s="76" t="str">
        <f>REPT(CHAR(160),10)&amp;Working!$E179</f>
        <v>          A</v>
      </c>
      <c r="G178" s="78">
        <f>IFERROR(VLOOKUP(Table1215[[#This Row],[Column2]],Table12[[Column2]:[Column54]],6,FALSE),"0")</f>
        <v>0</v>
      </c>
      <c r="H178" s="78">
        <f>IFERROR(VLOOKUP(Table1215[[#This Row],[Column2]],Table12[[Column2]:[Column54]],7,FALSE),"0")</f>
        <v>0</v>
      </c>
      <c r="I178" s="78">
        <f>IFERROR(VLOOKUP(Table1215[[#This Row],[Column2]],Table12[[Column2]:[Column54]],8,FALSE),"0")</f>
        <v>3</v>
      </c>
      <c r="J178" s="78">
        <f>IFERROR(VLOOKUP(Table1215[[#This Row],[Column2]],Table12[[Column2]:[Column54]],9,FALSE),"0")</f>
        <v>0</v>
      </c>
      <c r="K178" s="78">
        <f>IFERROR(VLOOKUP(Table1215[[#This Row],[Column2]],Table12[[Column2]:[Column54]],10,FALSE),"0")</f>
        <v>0</v>
      </c>
      <c r="L178" s="80">
        <f>Table1215[[#This Row],[Column9]]</f>
        <v>3</v>
      </c>
      <c r="M178" s="78">
        <f>IFERROR(VLOOKUP(Table1215[[#This Row],[Column2]],Table12[[Column2]:[Column54]],12,FALSE),"0")</f>
        <v>0</v>
      </c>
      <c r="N178" s="78">
        <f>IFERROR(VLOOKUP(Table1215[[#This Row],[Column2]],Table12[[Column2]:[Column54]],13,FALSE),"0")</f>
        <v>3</v>
      </c>
      <c r="O178" s="78">
        <f>IFERROR(VLOOKUP(Table1215[[#This Row],[Column2]],Table12[[Column2]:[Column54]],14,FALSE),"0")</f>
        <v>4</v>
      </c>
      <c r="P178" s="78">
        <f>IFERROR(VLOOKUP(Table1215[[#This Row],[Column2]],Table12[[Column2]:[Column54]],10,FALSE),"0")</f>
        <v>0</v>
      </c>
      <c r="Q178" s="78">
        <f>IFERROR(VLOOKUP(Table1215[[#This Row],[Column2]],Table12[[Column2]:[Column54]],16,FALSE),"0")</f>
        <v>4</v>
      </c>
      <c r="R178" s="80">
        <f>AVERAGE(Table1215[[#This Row],[Column14]],Table1215[[#This Row],[Column15]],Table1215[[#This Row],[Column17]])</f>
        <v>3.6666666666666665</v>
      </c>
      <c r="S178" s="78">
        <f>IFERROR(VLOOKUP(Table1215[[#This Row],[Column2]],Table12[[Column2]:[Column54]],18,FALSE),"0")</f>
        <v>0</v>
      </c>
      <c r="T178" s="78">
        <f>IFERROR(VLOOKUP(Table1215[[#This Row],[Column2]],Table12[[Column2]:[Column54]],19,FALSE),"0")</f>
        <v>0</v>
      </c>
      <c r="U178" s="78">
        <f>IFERROR(VLOOKUP(Table1215[[#This Row],[Column2]],Table12[[Column2]:[Column54]],20,FALSE),"0")</f>
        <v>0</v>
      </c>
      <c r="V178" s="78">
        <f>IFERROR(VLOOKUP(Table1215[[#This Row],[Column2]],Table12[[Column2]:[Column54]],21,FALSE),"0")</f>
        <v>0</v>
      </c>
      <c r="W178" s="78">
        <f>IFERROR(VLOOKUP(Table1215[[#This Row],[Column2]],Table12[[Column2]:[Column54]],22,FALSE),"0")</f>
        <v>0</v>
      </c>
      <c r="X178" s="80">
        <f>Table1215[[#This Row],[Column19]]</f>
        <v>0</v>
      </c>
      <c r="Y178" s="78">
        <f>IFERROR(VLOOKUP(Table1215[[#This Row],[Column2]],Table12[[Column2]:[Column54]],24,FALSE),"0")</f>
        <v>4</v>
      </c>
      <c r="Z178" s="78">
        <f>IFERROR(VLOOKUP(Table1215[[#This Row],[Column2]],Table12[[Column2]:[Column54]],25,FALSE),"0")</f>
        <v>0</v>
      </c>
      <c r="AA178" s="78">
        <f>IFERROR(VLOOKUP(Table1215[[#This Row],[Column2]],Table12[[Column2]:[Column54]],26,FALSE),"0")</f>
        <v>0</v>
      </c>
      <c r="AB178" s="78">
        <f>IFERROR(VLOOKUP(Table1215[[#This Row],[Column2]],Table12[[Column2]:[Column54]],27,FALSE),"0")</f>
        <v>0</v>
      </c>
      <c r="AC178" s="78">
        <f>IFERROR(VLOOKUP(Table1215[[#This Row],[Column2]],Table12[[Column2]:[Column54]],28,FALSE),"0")</f>
        <v>0</v>
      </c>
      <c r="AD178" s="80">
        <f>Table1215[[#This Row],[Column25]]</f>
        <v>4</v>
      </c>
      <c r="AE178" s="78">
        <f>IFERROR(VLOOKUP(Table1215[[#This Row],[Column2]],Table12[[Column2]:[Column54]],30,FALSE),"0")</f>
        <v>0</v>
      </c>
      <c r="AF178" s="78">
        <f>IFERROR(VLOOKUP(Table1215[[#This Row],[Column2]],Table12[[Column2]:[Column54]],31,FALSE),"0")</f>
        <v>0</v>
      </c>
      <c r="AG178" s="78">
        <f>IFERROR(VLOOKUP(Table1215[[#This Row],[Column2]],Table12[[Column2]:[Column54]],32,FALSE),"0")</f>
        <v>0</v>
      </c>
      <c r="AH178" s="78">
        <f>IFERROR(VLOOKUP(Table1215[[#This Row],[Column2]],Table12[[Column2]:[Column54]],33,FALSE),"0")</f>
        <v>0</v>
      </c>
      <c r="AI178" s="78">
        <f>IFERROR(VLOOKUP(Table1215[[#This Row],[Column2]],Table12[[Column2]:[Column54]],34,FALSE),"0")</f>
        <v>0</v>
      </c>
      <c r="AJ178" s="80">
        <f>AVERAGE(Table1215[[#This Row],[Column31]],Table1215[[#This Row],[Column32]],Table1215[[#This Row],[Column33]])</f>
        <v>0</v>
      </c>
      <c r="AK178" s="78">
        <f>IFERROR(VLOOKUP(Table1215[[#This Row],[Column2]],Table12[[Column2]:[Column54]],36,FALSE),"0")</f>
        <v>3</v>
      </c>
      <c r="AL178" s="78">
        <f>IFERROR(VLOOKUP(Table1215[[#This Row],[Column2]],Table12[[Column2]:[Column54]],37,FALSE),"0")</f>
        <v>4</v>
      </c>
      <c r="AM178" s="78">
        <f>IFERROR(VLOOKUP(Table1215[[#This Row],[Column2]],Table12[[Column2]:[Column54]],38,FALSE),"0")</f>
        <v>0</v>
      </c>
      <c r="AN178" s="78">
        <f>IFERROR(VLOOKUP(Table1215[[#This Row],[Column2]],Table12[[Column2]:[Column54]],39,FALSE),"0")</f>
        <v>4</v>
      </c>
      <c r="AO178" s="78">
        <f>IFERROR(VLOOKUP(Table1215[[#This Row],[Column2]],Table12[[Column2]:[Column54]],40,FALSE),"0")</f>
        <v>0</v>
      </c>
      <c r="AP178" s="80">
        <f>AVERAGE(Table1215[[#This Row],[Column37]],Table1215[[#This Row],[Column38]],Table1215[[#This Row],[Column40]])</f>
        <v>3.6666666666666665</v>
      </c>
      <c r="AQ178" s="78">
        <f>IFERROR(VLOOKUP(Table1215[[#This Row],[Column2]],Table12[[Column2]:[Column54]],42,FALSE),"0")</f>
        <v>3</v>
      </c>
      <c r="AR178" s="78">
        <f>IFERROR(VLOOKUP(Table1215[[#This Row],[Column2]],Table12[[Column2]:[Column54]],43,FALSE),"0")</f>
        <v>0</v>
      </c>
      <c r="AS178" s="78">
        <f>IFERROR(VLOOKUP(Table1215[[#This Row],[Column2]],Table12[[Column2]:[Column54]],44,FALSE),"0")</f>
        <v>0</v>
      </c>
      <c r="AT178" s="78">
        <f>IFERROR(VLOOKUP(Table1215[[#This Row],[Column2]],Table12[[Column2]:[Column54]],45,FALSE),"0")</f>
        <v>0</v>
      </c>
      <c r="AU178" s="78">
        <f>IFERROR(VLOOKUP(Table1215[[#This Row],[Column2]],Table12[[Column2]:[Column54]],46,FALSE),"0")</f>
        <v>0</v>
      </c>
      <c r="AV178" s="80">
        <f>Table1215[[#This Row],[Column43]]</f>
        <v>3</v>
      </c>
      <c r="AW178" s="78">
        <f>IFERROR(VLOOKUP(Table1215[[#This Row],[Column2]],Table12[[Column2]:[Column54]],48,FALSE),"0")</f>
        <v>0</v>
      </c>
      <c r="AX178" s="78">
        <f>IFERROR(VLOOKUP(Table1215[[#This Row],[Column2]],Table12[[Column2]:[Column54]],49,FALSE),"0")</f>
        <v>0</v>
      </c>
      <c r="AY178" s="78">
        <f>IFERROR(VLOOKUP(Table1215[[#This Row],[Column2]],Table12[[Column2]:[Column54]],50,FALSE),"0")</f>
        <v>0</v>
      </c>
      <c r="AZ178" s="78">
        <f>IFERROR(VLOOKUP(Table1215[[#This Row],[Column2]],Table12[[Column2]:[Column54]],51,FALSE),"0")</f>
        <v>4</v>
      </c>
      <c r="BA178" s="78">
        <f>IFERROR(VLOOKUP(Table1215[[#This Row],[Column2]],Table12[[Column2]:[Column54]],52,FALSE),"0")</f>
        <v>3</v>
      </c>
      <c r="BB178" s="80">
        <f>AVERAGE(Table1215[[#This Row],[Column52]],Table1215[[#This Row],[Column53]])</f>
        <v>3.5</v>
      </c>
    </row>
    <row r="179" spans="1:54" ht="23.1" customHeight="1" x14ac:dyDescent="0.3">
      <c r="A179" s="100">
        <v>176</v>
      </c>
      <c r="B179" s="83" t="s">
        <v>402</v>
      </c>
      <c r="C179" s="84" t="s">
        <v>403</v>
      </c>
      <c r="D179" s="83" t="s">
        <v>450</v>
      </c>
      <c r="E179" s="83" t="s">
        <v>493</v>
      </c>
      <c r="F179" s="83" t="str">
        <f>REPT(CHAR(160),10)&amp;Working!$E180</f>
        <v>          C</v>
      </c>
      <c r="G179" s="74">
        <f>IFERROR(VLOOKUP(Table1215[[#This Row],[Column2]],Table12[[Column2]:[Column54]],6,FALSE),"0")</f>
        <v>0</v>
      </c>
      <c r="H179" s="74">
        <f>IFERROR(VLOOKUP(Table1215[[#This Row],[Column2]],Table12[[Column2]:[Column54]],7,FALSE),"0")</f>
        <v>0</v>
      </c>
      <c r="I179" s="74">
        <f>IFERROR(VLOOKUP(Table1215[[#This Row],[Column2]],Table12[[Column2]:[Column54]],8,FALSE),"0")</f>
        <v>0</v>
      </c>
      <c r="J179" s="74">
        <f>IFERROR(VLOOKUP(Table1215[[#This Row],[Column2]],Table12[[Column2]:[Column54]],9,FALSE),"0")</f>
        <v>0</v>
      </c>
      <c r="K179" s="74">
        <f>IFERROR(VLOOKUP(Table1215[[#This Row],[Column2]],Table12[[Column2]:[Column54]],10,FALSE),"0")</f>
        <v>0</v>
      </c>
      <c r="L179" s="80">
        <f>Table1215[[#This Row],[Column9]]</f>
        <v>0</v>
      </c>
      <c r="M179" s="74">
        <f>IFERROR(VLOOKUP(Table1215[[#This Row],[Column2]],Table12[[Column2]:[Column54]],12,FALSE),"0")</f>
        <v>0</v>
      </c>
      <c r="N179" s="74">
        <f>IFERROR(VLOOKUP(Table1215[[#This Row],[Column2]],Table12[[Column2]:[Column54]],13,FALSE),"0")</f>
        <v>0</v>
      </c>
      <c r="O179" s="74">
        <f>IFERROR(VLOOKUP(Table1215[[#This Row],[Column2]],Table12[[Column2]:[Column54]],14,FALSE),"0")</f>
        <v>0</v>
      </c>
      <c r="P179" s="74">
        <f>IFERROR(VLOOKUP(Table1215[[#This Row],[Column2]],Table12[[Column2]:[Column54]],10,FALSE),"0")</f>
        <v>0</v>
      </c>
      <c r="Q179" s="74">
        <f>IFERROR(VLOOKUP(Table1215[[#This Row],[Column2]],Table12[[Column2]:[Column54]],16,FALSE),"0")</f>
        <v>0</v>
      </c>
      <c r="R179" s="80">
        <f>AVERAGE(Table1215[[#This Row],[Column14]],Table1215[[#This Row],[Column15]],Table1215[[#This Row],[Column17]])</f>
        <v>0</v>
      </c>
      <c r="S179" s="74">
        <f>IFERROR(VLOOKUP(Table1215[[#This Row],[Column2]],Table12[[Column2]:[Column54]],18,FALSE),"0")</f>
        <v>0</v>
      </c>
      <c r="T179" s="74">
        <f>IFERROR(VLOOKUP(Table1215[[#This Row],[Column2]],Table12[[Column2]:[Column54]],19,FALSE),"0")</f>
        <v>0</v>
      </c>
      <c r="U179" s="74">
        <f>IFERROR(VLOOKUP(Table1215[[#This Row],[Column2]],Table12[[Column2]:[Column54]],20,FALSE),"0")</f>
        <v>0</v>
      </c>
      <c r="V179" s="74">
        <f>IFERROR(VLOOKUP(Table1215[[#This Row],[Column2]],Table12[[Column2]:[Column54]],21,FALSE),"0")</f>
        <v>0</v>
      </c>
      <c r="W179" s="74">
        <f>IFERROR(VLOOKUP(Table1215[[#This Row],[Column2]],Table12[[Column2]:[Column54]],22,FALSE),"0")</f>
        <v>0</v>
      </c>
      <c r="X179" s="80">
        <f>Table1215[[#This Row],[Column19]]</f>
        <v>0</v>
      </c>
      <c r="Y179" s="74">
        <f>IFERROR(VLOOKUP(Table1215[[#This Row],[Column2]],Table12[[Column2]:[Column54]],24,FALSE),"0")</f>
        <v>0</v>
      </c>
      <c r="Z179" s="74">
        <f>IFERROR(VLOOKUP(Table1215[[#This Row],[Column2]],Table12[[Column2]:[Column54]],25,FALSE),"0")</f>
        <v>0</v>
      </c>
      <c r="AA179" s="74">
        <f>IFERROR(VLOOKUP(Table1215[[#This Row],[Column2]],Table12[[Column2]:[Column54]],26,FALSE),"0")</f>
        <v>0</v>
      </c>
      <c r="AB179" s="74">
        <f>IFERROR(VLOOKUP(Table1215[[#This Row],[Column2]],Table12[[Column2]:[Column54]],27,FALSE),"0")</f>
        <v>0</v>
      </c>
      <c r="AC179" s="74">
        <f>IFERROR(VLOOKUP(Table1215[[#This Row],[Column2]],Table12[[Column2]:[Column54]],28,FALSE),"0")</f>
        <v>0</v>
      </c>
      <c r="AD179" s="80">
        <f>Table1215[[#This Row],[Column25]]</f>
        <v>0</v>
      </c>
      <c r="AE179" s="74">
        <f>IFERROR(VLOOKUP(Table1215[[#This Row],[Column2]],Table12[[Column2]:[Column54]],30,FALSE),"0")</f>
        <v>0</v>
      </c>
      <c r="AF179" s="74">
        <f>IFERROR(VLOOKUP(Table1215[[#This Row],[Column2]],Table12[[Column2]:[Column54]],31,FALSE),"0")</f>
        <v>0</v>
      </c>
      <c r="AG179" s="74">
        <f>IFERROR(VLOOKUP(Table1215[[#This Row],[Column2]],Table12[[Column2]:[Column54]],32,FALSE),"0")</f>
        <v>0</v>
      </c>
      <c r="AH179" s="74">
        <f>IFERROR(VLOOKUP(Table1215[[#This Row],[Column2]],Table12[[Column2]:[Column54]],33,FALSE),"0")</f>
        <v>0</v>
      </c>
      <c r="AI179" s="74">
        <f>IFERROR(VLOOKUP(Table1215[[#This Row],[Column2]],Table12[[Column2]:[Column54]],34,FALSE),"0")</f>
        <v>0</v>
      </c>
      <c r="AJ179" s="80">
        <f>AVERAGE(Table1215[[#This Row],[Column31]],Table1215[[#This Row],[Column32]],Table1215[[#This Row],[Column33]])</f>
        <v>0</v>
      </c>
      <c r="AK179" s="74">
        <f>IFERROR(VLOOKUP(Table1215[[#This Row],[Column2]],Table12[[Column2]:[Column54]],36,FALSE),"0")</f>
        <v>0</v>
      </c>
      <c r="AL179" s="74">
        <f>IFERROR(VLOOKUP(Table1215[[#This Row],[Column2]],Table12[[Column2]:[Column54]],37,FALSE),"0")</f>
        <v>0</v>
      </c>
      <c r="AM179" s="74">
        <f>IFERROR(VLOOKUP(Table1215[[#This Row],[Column2]],Table12[[Column2]:[Column54]],38,FALSE),"0")</f>
        <v>0</v>
      </c>
      <c r="AN179" s="74">
        <f>IFERROR(VLOOKUP(Table1215[[#This Row],[Column2]],Table12[[Column2]:[Column54]],39,FALSE),"0")</f>
        <v>0</v>
      </c>
      <c r="AO179" s="74">
        <f>IFERROR(VLOOKUP(Table1215[[#This Row],[Column2]],Table12[[Column2]:[Column54]],40,FALSE),"0")</f>
        <v>0</v>
      </c>
      <c r="AP179" s="80">
        <f>AVERAGE(Table1215[[#This Row],[Column37]],Table1215[[#This Row],[Column38]],Table1215[[#This Row],[Column40]])</f>
        <v>0</v>
      </c>
      <c r="AQ179" s="74">
        <f>IFERROR(VLOOKUP(Table1215[[#This Row],[Column2]],Table12[[Column2]:[Column54]],42,FALSE),"0")</f>
        <v>0</v>
      </c>
      <c r="AR179" s="74">
        <f>IFERROR(VLOOKUP(Table1215[[#This Row],[Column2]],Table12[[Column2]:[Column54]],43,FALSE),"0")</f>
        <v>0</v>
      </c>
      <c r="AS179" s="74">
        <f>IFERROR(VLOOKUP(Table1215[[#This Row],[Column2]],Table12[[Column2]:[Column54]],44,FALSE),"0")</f>
        <v>0</v>
      </c>
      <c r="AT179" s="74">
        <f>IFERROR(VLOOKUP(Table1215[[#This Row],[Column2]],Table12[[Column2]:[Column54]],45,FALSE),"0")</f>
        <v>0</v>
      </c>
      <c r="AU179" s="74">
        <f>IFERROR(VLOOKUP(Table1215[[#This Row],[Column2]],Table12[[Column2]:[Column54]],46,FALSE),"0")</f>
        <v>0</v>
      </c>
      <c r="AV179" s="80">
        <f>Table1215[[#This Row],[Column43]]</f>
        <v>0</v>
      </c>
      <c r="AW179" s="74">
        <f>IFERROR(VLOOKUP(Table1215[[#This Row],[Column2]],Table12[[Column2]:[Column54]],48,FALSE),"0")</f>
        <v>0</v>
      </c>
      <c r="AX179" s="74">
        <f>IFERROR(VLOOKUP(Table1215[[#This Row],[Column2]],Table12[[Column2]:[Column54]],49,FALSE),"0")</f>
        <v>0</v>
      </c>
      <c r="AY179" s="74">
        <f>IFERROR(VLOOKUP(Table1215[[#This Row],[Column2]],Table12[[Column2]:[Column54]],50,FALSE),"0")</f>
        <v>0</v>
      </c>
      <c r="AZ179" s="74">
        <f>IFERROR(VLOOKUP(Table1215[[#This Row],[Column2]],Table12[[Column2]:[Column54]],51,FALSE),"0")</f>
        <v>0</v>
      </c>
      <c r="BA179" s="74">
        <f>IFERROR(VLOOKUP(Table1215[[#This Row],[Column2]],Table12[[Column2]:[Column54]],52,FALSE),"0")</f>
        <v>0</v>
      </c>
      <c r="BB179" s="80">
        <f>AVERAGE(Table1215[[#This Row],[Column52]],Table1215[[#This Row],[Column53]])</f>
        <v>0</v>
      </c>
    </row>
    <row r="180" spans="1:54" ht="23.1" customHeight="1" x14ac:dyDescent="0.3">
      <c r="A180" s="99">
        <v>177</v>
      </c>
      <c r="B180" s="76" t="s">
        <v>271</v>
      </c>
      <c r="C180" s="77" t="s">
        <v>272</v>
      </c>
      <c r="D180" s="76" t="s">
        <v>450</v>
      </c>
      <c r="E180" s="76" t="s">
        <v>161</v>
      </c>
      <c r="F180" s="76" t="str">
        <f>REPT(CHAR(160),10)&amp;Working!$E181</f>
        <v>          B</v>
      </c>
      <c r="G180" s="78">
        <f>IFERROR(VLOOKUP(Table1215[[#This Row],[Column2]],Table12[[Column2]:[Column54]],6,FALSE),"0")</f>
        <v>0</v>
      </c>
      <c r="H180" s="78">
        <f>IFERROR(VLOOKUP(Table1215[[#This Row],[Column2]],Table12[[Column2]:[Column54]],7,FALSE),"0")</f>
        <v>0</v>
      </c>
      <c r="I180" s="78">
        <f>IFERROR(VLOOKUP(Table1215[[#This Row],[Column2]],Table12[[Column2]:[Column54]],8,FALSE),"0")</f>
        <v>3</v>
      </c>
      <c r="J180" s="78">
        <f>IFERROR(VLOOKUP(Table1215[[#This Row],[Column2]],Table12[[Column2]:[Column54]],9,FALSE),"0")</f>
        <v>0</v>
      </c>
      <c r="K180" s="78">
        <f>IFERROR(VLOOKUP(Table1215[[#This Row],[Column2]],Table12[[Column2]:[Column54]],10,FALSE),"0")</f>
        <v>0</v>
      </c>
      <c r="L180" s="80">
        <f>Table1215[[#This Row],[Column9]]</f>
        <v>3</v>
      </c>
      <c r="M180" s="78">
        <f>IFERROR(VLOOKUP(Table1215[[#This Row],[Column2]],Table12[[Column2]:[Column54]],12,FALSE),"0")</f>
        <v>0</v>
      </c>
      <c r="N180" s="78">
        <f>IFERROR(VLOOKUP(Table1215[[#This Row],[Column2]],Table12[[Column2]:[Column54]],13,FALSE),"0")</f>
        <v>4</v>
      </c>
      <c r="O180" s="78">
        <f>IFERROR(VLOOKUP(Table1215[[#This Row],[Column2]],Table12[[Column2]:[Column54]],14,FALSE),"0")</f>
        <v>4</v>
      </c>
      <c r="P180" s="78">
        <f>IFERROR(VLOOKUP(Table1215[[#This Row],[Column2]],Table12[[Column2]:[Column54]],10,FALSE),"0")</f>
        <v>0</v>
      </c>
      <c r="Q180" s="78">
        <f>IFERROR(VLOOKUP(Table1215[[#This Row],[Column2]],Table12[[Column2]:[Column54]],16,FALSE),"0")</f>
        <v>4</v>
      </c>
      <c r="R180" s="80">
        <f>AVERAGE(Table1215[[#This Row],[Column14]],Table1215[[#This Row],[Column15]],Table1215[[#This Row],[Column17]])</f>
        <v>4</v>
      </c>
      <c r="S180" s="78">
        <f>IFERROR(VLOOKUP(Table1215[[#This Row],[Column2]],Table12[[Column2]:[Column54]],18,FALSE),"0")</f>
        <v>0</v>
      </c>
      <c r="T180" s="78">
        <f>IFERROR(VLOOKUP(Table1215[[#This Row],[Column2]],Table12[[Column2]:[Column54]],19,FALSE),"0")</f>
        <v>0</v>
      </c>
      <c r="U180" s="78">
        <f>IFERROR(VLOOKUP(Table1215[[#This Row],[Column2]],Table12[[Column2]:[Column54]],20,FALSE),"0")</f>
        <v>0</v>
      </c>
      <c r="V180" s="78">
        <f>IFERROR(VLOOKUP(Table1215[[#This Row],[Column2]],Table12[[Column2]:[Column54]],21,FALSE),"0")</f>
        <v>0</v>
      </c>
      <c r="W180" s="78">
        <f>IFERROR(VLOOKUP(Table1215[[#This Row],[Column2]],Table12[[Column2]:[Column54]],22,FALSE),"0")</f>
        <v>0</v>
      </c>
      <c r="X180" s="80">
        <f>Table1215[[#This Row],[Column19]]</f>
        <v>0</v>
      </c>
      <c r="Y180" s="78">
        <f>IFERROR(VLOOKUP(Table1215[[#This Row],[Column2]],Table12[[Column2]:[Column54]],24,FALSE),"0")</f>
        <v>3</v>
      </c>
      <c r="Z180" s="78">
        <f>IFERROR(VLOOKUP(Table1215[[#This Row],[Column2]],Table12[[Column2]:[Column54]],25,FALSE),"0")</f>
        <v>0</v>
      </c>
      <c r="AA180" s="78">
        <f>IFERROR(VLOOKUP(Table1215[[#This Row],[Column2]],Table12[[Column2]:[Column54]],26,FALSE),"0")</f>
        <v>0</v>
      </c>
      <c r="AB180" s="78">
        <f>IFERROR(VLOOKUP(Table1215[[#This Row],[Column2]],Table12[[Column2]:[Column54]],27,FALSE),"0")</f>
        <v>0</v>
      </c>
      <c r="AC180" s="78">
        <f>IFERROR(VLOOKUP(Table1215[[#This Row],[Column2]],Table12[[Column2]:[Column54]],28,FALSE),"0")</f>
        <v>0</v>
      </c>
      <c r="AD180" s="80">
        <f>Table1215[[#This Row],[Column25]]</f>
        <v>3</v>
      </c>
      <c r="AE180" s="78">
        <f>IFERROR(VLOOKUP(Table1215[[#This Row],[Column2]],Table12[[Column2]:[Column54]],30,FALSE),"0")</f>
        <v>0</v>
      </c>
      <c r="AF180" s="78">
        <f>IFERROR(VLOOKUP(Table1215[[#This Row],[Column2]],Table12[[Column2]:[Column54]],31,FALSE),"0")</f>
        <v>0</v>
      </c>
      <c r="AG180" s="78">
        <f>IFERROR(VLOOKUP(Table1215[[#This Row],[Column2]],Table12[[Column2]:[Column54]],32,FALSE),"0")</f>
        <v>0</v>
      </c>
      <c r="AH180" s="78">
        <f>IFERROR(VLOOKUP(Table1215[[#This Row],[Column2]],Table12[[Column2]:[Column54]],33,FALSE),"0")</f>
        <v>0</v>
      </c>
      <c r="AI180" s="78">
        <f>IFERROR(VLOOKUP(Table1215[[#This Row],[Column2]],Table12[[Column2]:[Column54]],34,FALSE),"0")</f>
        <v>0</v>
      </c>
      <c r="AJ180" s="80">
        <f>AVERAGE(Table1215[[#This Row],[Column31]],Table1215[[#This Row],[Column32]],Table1215[[#This Row],[Column33]])</f>
        <v>0</v>
      </c>
      <c r="AK180" s="78">
        <f>IFERROR(VLOOKUP(Table1215[[#This Row],[Column2]],Table12[[Column2]:[Column54]],36,FALSE),"0")</f>
        <v>3</v>
      </c>
      <c r="AL180" s="78">
        <f>IFERROR(VLOOKUP(Table1215[[#This Row],[Column2]],Table12[[Column2]:[Column54]],37,FALSE),"0")</f>
        <v>3</v>
      </c>
      <c r="AM180" s="78">
        <f>IFERROR(VLOOKUP(Table1215[[#This Row],[Column2]],Table12[[Column2]:[Column54]],38,FALSE),"0")</f>
        <v>0</v>
      </c>
      <c r="AN180" s="78">
        <f>IFERROR(VLOOKUP(Table1215[[#This Row],[Column2]],Table12[[Column2]:[Column54]],39,FALSE),"0")</f>
        <v>4</v>
      </c>
      <c r="AO180" s="78">
        <f>IFERROR(VLOOKUP(Table1215[[#This Row],[Column2]],Table12[[Column2]:[Column54]],40,FALSE),"0")</f>
        <v>0</v>
      </c>
      <c r="AP180" s="80">
        <f>AVERAGE(Table1215[[#This Row],[Column37]],Table1215[[#This Row],[Column38]],Table1215[[#This Row],[Column40]])</f>
        <v>3.3333333333333335</v>
      </c>
      <c r="AQ180" s="78">
        <f>IFERROR(VLOOKUP(Table1215[[#This Row],[Column2]],Table12[[Column2]:[Column54]],42,FALSE),"0")</f>
        <v>3</v>
      </c>
      <c r="AR180" s="78">
        <f>IFERROR(VLOOKUP(Table1215[[#This Row],[Column2]],Table12[[Column2]:[Column54]],43,FALSE),"0")</f>
        <v>0</v>
      </c>
      <c r="AS180" s="78">
        <f>IFERROR(VLOOKUP(Table1215[[#This Row],[Column2]],Table12[[Column2]:[Column54]],44,FALSE),"0")</f>
        <v>0</v>
      </c>
      <c r="AT180" s="78">
        <f>IFERROR(VLOOKUP(Table1215[[#This Row],[Column2]],Table12[[Column2]:[Column54]],45,FALSE),"0")</f>
        <v>0</v>
      </c>
      <c r="AU180" s="78">
        <f>IFERROR(VLOOKUP(Table1215[[#This Row],[Column2]],Table12[[Column2]:[Column54]],46,FALSE),"0")</f>
        <v>0</v>
      </c>
      <c r="AV180" s="80">
        <f>Table1215[[#This Row],[Column43]]</f>
        <v>3</v>
      </c>
      <c r="AW180" s="78">
        <f>IFERROR(VLOOKUP(Table1215[[#This Row],[Column2]],Table12[[Column2]:[Column54]],48,FALSE),"0")</f>
        <v>0</v>
      </c>
      <c r="AX180" s="78">
        <f>IFERROR(VLOOKUP(Table1215[[#This Row],[Column2]],Table12[[Column2]:[Column54]],49,FALSE),"0")</f>
        <v>0</v>
      </c>
      <c r="AY180" s="78">
        <f>IFERROR(VLOOKUP(Table1215[[#This Row],[Column2]],Table12[[Column2]:[Column54]],50,FALSE),"0")</f>
        <v>0</v>
      </c>
      <c r="AZ180" s="78">
        <f>IFERROR(VLOOKUP(Table1215[[#This Row],[Column2]],Table12[[Column2]:[Column54]],51,FALSE),"0")</f>
        <v>4</v>
      </c>
      <c r="BA180" s="78">
        <f>IFERROR(VLOOKUP(Table1215[[#This Row],[Column2]],Table12[[Column2]:[Column54]],52,FALSE),"0")</f>
        <v>3</v>
      </c>
      <c r="BB180" s="80">
        <f>AVERAGE(Table1215[[#This Row],[Column52]],Table1215[[#This Row],[Column53]])</f>
        <v>3.5</v>
      </c>
    </row>
    <row r="181" spans="1:54" ht="23.1" customHeight="1" x14ac:dyDescent="0.3">
      <c r="A181" s="100">
        <v>178</v>
      </c>
      <c r="B181" s="83" t="s">
        <v>52</v>
      </c>
      <c r="C181" s="84" t="s">
        <v>53</v>
      </c>
      <c r="D181" s="83" t="s">
        <v>542</v>
      </c>
      <c r="E181" s="83" t="s">
        <v>35</v>
      </c>
      <c r="F181" s="83" t="str">
        <f>REPT(CHAR(160),10)&amp;Working!$E182</f>
        <v>          A</v>
      </c>
      <c r="G181" s="74">
        <f>IFERROR(VLOOKUP(Table1215[[#This Row],[Column2]],Table12[[Column2]:[Column54]],6,FALSE),"0")</f>
        <v>0</v>
      </c>
      <c r="H181" s="74">
        <f>IFERROR(VLOOKUP(Table1215[[#This Row],[Column2]],Table12[[Column2]:[Column54]],7,FALSE),"0")</f>
        <v>0</v>
      </c>
      <c r="I181" s="74">
        <f>IFERROR(VLOOKUP(Table1215[[#This Row],[Column2]],Table12[[Column2]:[Column54]],8,FALSE),"0")</f>
        <v>5</v>
      </c>
      <c r="J181" s="74">
        <f>IFERROR(VLOOKUP(Table1215[[#This Row],[Column2]],Table12[[Column2]:[Column54]],9,FALSE),"0")</f>
        <v>0</v>
      </c>
      <c r="K181" s="74">
        <f>IFERROR(VLOOKUP(Table1215[[#This Row],[Column2]],Table12[[Column2]:[Column54]],10,FALSE),"0")</f>
        <v>0</v>
      </c>
      <c r="L181" s="80">
        <f>Table1215[[#This Row],[Column9]]</f>
        <v>5</v>
      </c>
      <c r="M181" s="74">
        <f>IFERROR(VLOOKUP(Table1215[[#This Row],[Column2]],Table12[[Column2]:[Column54]],12,FALSE),"0")</f>
        <v>0</v>
      </c>
      <c r="N181" s="74">
        <f>IFERROR(VLOOKUP(Table1215[[#This Row],[Column2]],Table12[[Column2]:[Column54]],13,FALSE),"0")</f>
        <v>5</v>
      </c>
      <c r="O181" s="74">
        <f>IFERROR(VLOOKUP(Table1215[[#This Row],[Column2]],Table12[[Column2]:[Column54]],14,FALSE),"0")</f>
        <v>4</v>
      </c>
      <c r="P181" s="74">
        <f>IFERROR(VLOOKUP(Table1215[[#This Row],[Column2]],Table12[[Column2]:[Column54]],10,FALSE),"0")</f>
        <v>0</v>
      </c>
      <c r="Q181" s="74">
        <f>IFERROR(VLOOKUP(Table1215[[#This Row],[Column2]],Table12[[Column2]:[Column54]],16,FALSE),"0")</f>
        <v>4</v>
      </c>
      <c r="R181" s="80">
        <f>AVERAGE(Table1215[[#This Row],[Column14]],Table1215[[#This Row],[Column15]],Table1215[[#This Row],[Column17]])</f>
        <v>4.333333333333333</v>
      </c>
      <c r="S181" s="74">
        <f>IFERROR(VLOOKUP(Table1215[[#This Row],[Column2]],Table12[[Column2]:[Column54]],18,FALSE),"0")</f>
        <v>0</v>
      </c>
      <c r="T181" s="74">
        <f>IFERROR(VLOOKUP(Table1215[[#This Row],[Column2]],Table12[[Column2]:[Column54]],19,FALSE),"0")</f>
        <v>0</v>
      </c>
      <c r="U181" s="74">
        <f>IFERROR(VLOOKUP(Table1215[[#This Row],[Column2]],Table12[[Column2]:[Column54]],20,FALSE),"0")</f>
        <v>0</v>
      </c>
      <c r="V181" s="74">
        <f>IFERROR(VLOOKUP(Table1215[[#This Row],[Column2]],Table12[[Column2]:[Column54]],21,FALSE),"0")</f>
        <v>0</v>
      </c>
      <c r="W181" s="74">
        <f>IFERROR(VLOOKUP(Table1215[[#This Row],[Column2]],Table12[[Column2]:[Column54]],22,FALSE),"0")</f>
        <v>0</v>
      </c>
      <c r="X181" s="80">
        <f>Table1215[[#This Row],[Column19]]</f>
        <v>0</v>
      </c>
      <c r="Y181" s="74">
        <f>IFERROR(VLOOKUP(Table1215[[#This Row],[Column2]],Table12[[Column2]:[Column54]],24,FALSE),"0")</f>
        <v>5</v>
      </c>
      <c r="Z181" s="74">
        <f>IFERROR(VLOOKUP(Table1215[[#This Row],[Column2]],Table12[[Column2]:[Column54]],25,FALSE),"0")</f>
        <v>0</v>
      </c>
      <c r="AA181" s="74">
        <f>IFERROR(VLOOKUP(Table1215[[#This Row],[Column2]],Table12[[Column2]:[Column54]],26,FALSE),"0")</f>
        <v>0</v>
      </c>
      <c r="AB181" s="74">
        <f>IFERROR(VLOOKUP(Table1215[[#This Row],[Column2]],Table12[[Column2]:[Column54]],27,FALSE),"0")</f>
        <v>0</v>
      </c>
      <c r="AC181" s="74">
        <f>IFERROR(VLOOKUP(Table1215[[#This Row],[Column2]],Table12[[Column2]:[Column54]],28,FALSE),"0")</f>
        <v>0</v>
      </c>
      <c r="AD181" s="80">
        <f>Table1215[[#This Row],[Column25]]</f>
        <v>5</v>
      </c>
      <c r="AE181" s="74">
        <f>IFERROR(VLOOKUP(Table1215[[#This Row],[Column2]],Table12[[Column2]:[Column54]],30,FALSE),"0")</f>
        <v>0</v>
      </c>
      <c r="AF181" s="74">
        <f>IFERROR(VLOOKUP(Table1215[[#This Row],[Column2]],Table12[[Column2]:[Column54]],31,FALSE),"0")</f>
        <v>0</v>
      </c>
      <c r="AG181" s="74">
        <f>IFERROR(VLOOKUP(Table1215[[#This Row],[Column2]],Table12[[Column2]:[Column54]],32,FALSE),"0")</f>
        <v>0</v>
      </c>
      <c r="AH181" s="74">
        <f>IFERROR(VLOOKUP(Table1215[[#This Row],[Column2]],Table12[[Column2]:[Column54]],33,FALSE),"0")</f>
        <v>0</v>
      </c>
      <c r="AI181" s="74">
        <f>IFERROR(VLOOKUP(Table1215[[#This Row],[Column2]],Table12[[Column2]:[Column54]],34,FALSE),"0")</f>
        <v>0</v>
      </c>
      <c r="AJ181" s="80">
        <f>AVERAGE(Table1215[[#This Row],[Column31]],Table1215[[#This Row],[Column32]],Table1215[[#This Row],[Column33]])</f>
        <v>0</v>
      </c>
      <c r="AK181" s="74">
        <f>IFERROR(VLOOKUP(Table1215[[#This Row],[Column2]],Table12[[Column2]:[Column54]],36,FALSE),"0")</f>
        <v>5</v>
      </c>
      <c r="AL181" s="74">
        <f>IFERROR(VLOOKUP(Table1215[[#This Row],[Column2]],Table12[[Column2]:[Column54]],37,FALSE),"0")</f>
        <v>5</v>
      </c>
      <c r="AM181" s="74">
        <f>IFERROR(VLOOKUP(Table1215[[#This Row],[Column2]],Table12[[Column2]:[Column54]],38,FALSE),"0")</f>
        <v>0</v>
      </c>
      <c r="AN181" s="74">
        <f>IFERROR(VLOOKUP(Table1215[[#This Row],[Column2]],Table12[[Column2]:[Column54]],39,FALSE),"0")</f>
        <v>5</v>
      </c>
      <c r="AO181" s="74">
        <f>IFERROR(VLOOKUP(Table1215[[#This Row],[Column2]],Table12[[Column2]:[Column54]],40,FALSE),"0")</f>
        <v>0</v>
      </c>
      <c r="AP181" s="80">
        <f>AVERAGE(Table1215[[#This Row],[Column37]],Table1215[[#This Row],[Column38]],Table1215[[#This Row],[Column40]])</f>
        <v>5</v>
      </c>
      <c r="AQ181" s="74">
        <f>IFERROR(VLOOKUP(Table1215[[#This Row],[Column2]],Table12[[Column2]:[Column54]],42,FALSE),"0")</f>
        <v>5</v>
      </c>
      <c r="AR181" s="74">
        <f>IFERROR(VLOOKUP(Table1215[[#This Row],[Column2]],Table12[[Column2]:[Column54]],43,FALSE),"0")</f>
        <v>0</v>
      </c>
      <c r="AS181" s="74">
        <f>IFERROR(VLOOKUP(Table1215[[#This Row],[Column2]],Table12[[Column2]:[Column54]],44,FALSE),"0")</f>
        <v>0</v>
      </c>
      <c r="AT181" s="74">
        <f>IFERROR(VLOOKUP(Table1215[[#This Row],[Column2]],Table12[[Column2]:[Column54]],45,FALSE),"0")</f>
        <v>0</v>
      </c>
      <c r="AU181" s="74">
        <f>IFERROR(VLOOKUP(Table1215[[#This Row],[Column2]],Table12[[Column2]:[Column54]],46,FALSE),"0")</f>
        <v>0</v>
      </c>
      <c r="AV181" s="80">
        <f>Table1215[[#This Row],[Column43]]</f>
        <v>5</v>
      </c>
      <c r="AW181" s="74">
        <f>IFERROR(VLOOKUP(Table1215[[#This Row],[Column2]],Table12[[Column2]:[Column54]],48,FALSE),"0")</f>
        <v>0</v>
      </c>
      <c r="AX181" s="74">
        <f>IFERROR(VLOOKUP(Table1215[[#This Row],[Column2]],Table12[[Column2]:[Column54]],49,FALSE),"0")</f>
        <v>0</v>
      </c>
      <c r="AY181" s="74">
        <f>IFERROR(VLOOKUP(Table1215[[#This Row],[Column2]],Table12[[Column2]:[Column54]],50,FALSE),"0")</f>
        <v>0</v>
      </c>
      <c r="AZ181" s="74">
        <f>IFERROR(VLOOKUP(Table1215[[#This Row],[Column2]],Table12[[Column2]:[Column54]],51,FALSE),"0")</f>
        <v>5</v>
      </c>
      <c r="BA181" s="74">
        <f>IFERROR(VLOOKUP(Table1215[[#This Row],[Column2]],Table12[[Column2]:[Column54]],52,FALSE),"0")</f>
        <v>5</v>
      </c>
      <c r="BB181" s="80">
        <f>AVERAGE(Table1215[[#This Row],[Column52]],Table1215[[#This Row],[Column53]])</f>
        <v>5</v>
      </c>
    </row>
    <row r="182" spans="1:54" ht="23.1" customHeight="1" x14ac:dyDescent="0.3">
      <c r="A182" s="99">
        <v>179</v>
      </c>
      <c r="B182" s="76" t="s">
        <v>239</v>
      </c>
      <c r="C182" s="77" t="s">
        <v>240</v>
      </c>
      <c r="D182" s="76" t="s">
        <v>542</v>
      </c>
      <c r="E182" s="76" t="s">
        <v>161</v>
      </c>
      <c r="F182" s="76" t="str">
        <f>REPT(CHAR(160),10)&amp;Working!$E183</f>
        <v>          B</v>
      </c>
      <c r="G182" s="78">
        <f>IFERROR(VLOOKUP(Table1215[[#This Row],[Column2]],Table12[[Column2]:[Column54]],6,FALSE),"0")</f>
        <v>0</v>
      </c>
      <c r="H182" s="78">
        <f>IFERROR(VLOOKUP(Table1215[[#This Row],[Column2]],Table12[[Column2]:[Column54]],7,FALSE),"0")</f>
        <v>0</v>
      </c>
      <c r="I182" s="78">
        <f>IFERROR(VLOOKUP(Table1215[[#This Row],[Column2]],Table12[[Column2]:[Column54]],8,FALSE),"0")</f>
        <v>4</v>
      </c>
      <c r="J182" s="78">
        <f>IFERROR(VLOOKUP(Table1215[[#This Row],[Column2]],Table12[[Column2]:[Column54]],9,FALSE),"0")</f>
        <v>0</v>
      </c>
      <c r="K182" s="78">
        <f>IFERROR(VLOOKUP(Table1215[[#This Row],[Column2]],Table12[[Column2]:[Column54]],10,FALSE),"0")</f>
        <v>0</v>
      </c>
      <c r="L182" s="80">
        <f>Table1215[[#This Row],[Column9]]</f>
        <v>4</v>
      </c>
      <c r="M182" s="78">
        <f>IFERROR(VLOOKUP(Table1215[[#This Row],[Column2]],Table12[[Column2]:[Column54]],12,FALSE),"0")</f>
        <v>0</v>
      </c>
      <c r="N182" s="78">
        <f>IFERROR(VLOOKUP(Table1215[[#This Row],[Column2]],Table12[[Column2]:[Column54]],13,FALSE),"0")</f>
        <v>5</v>
      </c>
      <c r="O182" s="78">
        <f>IFERROR(VLOOKUP(Table1215[[#This Row],[Column2]],Table12[[Column2]:[Column54]],14,FALSE),"0")</f>
        <v>5</v>
      </c>
      <c r="P182" s="78">
        <f>IFERROR(VLOOKUP(Table1215[[#This Row],[Column2]],Table12[[Column2]:[Column54]],10,FALSE),"0")</f>
        <v>0</v>
      </c>
      <c r="Q182" s="78">
        <f>IFERROR(VLOOKUP(Table1215[[#This Row],[Column2]],Table12[[Column2]:[Column54]],16,FALSE),"0")</f>
        <v>5</v>
      </c>
      <c r="R182" s="80">
        <f>AVERAGE(Table1215[[#This Row],[Column14]],Table1215[[#This Row],[Column15]],Table1215[[#This Row],[Column17]])</f>
        <v>5</v>
      </c>
      <c r="S182" s="78">
        <f>IFERROR(VLOOKUP(Table1215[[#This Row],[Column2]],Table12[[Column2]:[Column54]],18,FALSE),"0")</f>
        <v>0</v>
      </c>
      <c r="T182" s="78">
        <f>IFERROR(VLOOKUP(Table1215[[#This Row],[Column2]],Table12[[Column2]:[Column54]],19,FALSE),"0")</f>
        <v>0</v>
      </c>
      <c r="U182" s="78">
        <f>IFERROR(VLOOKUP(Table1215[[#This Row],[Column2]],Table12[[Column2]:[Column54]],20,FALSE),"0")</f>
        <v>0</v>
      </c>
      <c r="V182" s="78">
        <f>IFERROR(VLOOKUP(Table1215[[#This Row],[Column2]],Table12[[Column2]:[Column54]],21,FALSE),"0")</f>
        <v>0</v>
      </c>
      <c r="W182" s="78">
        <f>IFERROR(VLOOKUP(Table1215[[#This Row],[Column2]],Table12[[Column2]:[Column54]],22,FALSE),"0")</f>
        <v>0</v>
      </c>
      <c r="X182" s="80">
        <f>Table1215[[#This Row],[Column19]]</f>
        <v>0</v>
      </c>
      <c r="Y182" s="78">
        <f>IFERROR(VLOOKUP(Table1215[[#This Row],[Column2]],Table12[[Column2]:[Column54]],24,FALSE),"0")</f>
        <v>4</v>
      </c>
      <c r="Z182" s="78">
        <f>IFERROR(VLOOKUP(Table1215[[#This Row],[Column2]],Table12[[Column2]:[Column54]],25,FALSE),"0")</f>
        <v>0</v>
      </c>
      <c r="AA182" s="78">
        <f>IFERROR(VLOOKUP(Table1215[[#This Row],[Column2]],Table12[[Column2]:[Column54]],26,FALSE),"0")</f>
        <v>0</v>
      </c>
      <c r="AB182" s="78">
        <f>IFERROR(VLOOKUP(Table1215[[#This Row],[Column2]],Table12[[Column2]:[Column54]],27,FALSE),"0")</f>
        <v>0</v>
      </c>
      <c r="AC182" s="78">
        <f>IFERROR(VLOOKUP(Table1215[[#This Row],[Column2]],Table12[[Column2]:[Column54]],28,FALSE),"0")</f>
        <v>0</v>
      </c>
      <c r="AD182" s="80">
        <f>Table1215[[#This Row],[Column25]]</f>
        <v>4</v>
      </c>
      <c r="AE182" s="78">
        <f>IFERROR(VLOOKUP(Table1215[[#This Row],[Column2]],Table12[[Column2]:[Column54]],30,FALSE),"0")</f>
        <v>0</v>
      </c>
      <c r="AF182" s="78">
        <f>IFERROR(VLOOKUP(Table1215[[#This Row],[Column2]],Table12[[Column2]:[Column54]],31,FALSE),"0")</f>
        <v>0</v>
      </c>
      <c r="AG182" s="78">
        <f>IFERROR(VLOOKUP(Table1215[[#This Row],[Column2]],Table12[[Column2]:[Column54]],32,FALSE),"0")</f>
        <v>0</v>
      </c>
      <c r="AH182" s="78">
        <f>IFERROR(VLOOKUP(Table1215[[#This Row],[Column2]],Table12[[Column2]:[Column54]],33,FALSE),"0")</f>
        <v>0</v>
      </c>
      <c r="AI182" s="78">
        <f>IFERROR(VLOOKUP(Table1215[[#This Row],[Column2]],Table12[[Column2]:[Column54]],34,FALSE),"0")</f>
        <v>0</v>
      </c>
      <c r="AJ182" s="80">
        <f>AVERAGE(Table1215[[#This Row],[Column31]],Table1215[[#This Row],[Column32]],Table1215[[#This Row],[Column33]])</f>
        <v>0</v>
      </c>
      <c r="AK182" s="78">
        <f>IFERROR(VLOOKUP(Table1215[[#This Row],[Column2]],Table12[[Column2]:[Column54]],36,FALSE),"0")</f>
        <v>5</v>
      </c>
      <c r="AL182" s="78">
        <f>IFERROR(VLOOKUP(Table1215[[#This Row],[Column2]],Table12[[Column2]:[Column54]],37,FALSE),"0")</f>
        <v>5</v>
      </c>
      <c r="AM182" s="78">
        <f>IFERROR(VLOOKUP(Table1215[[#This Row],[Column2]],Table12[[Column2]:[Column54]],38,FALSE),"0")</f>
        <v>0</v>
      </c>
      <c r="AN182" s="78">
        <f>IFERROR(VLOOKUP(Table1215[[#This Row],[Column2]],Table12[[Column2]:[Column54]],39,FALSE),"0")</f>
        <v>5</v>
      </c>
      <c r="AO182" s="78">
        <f>IFERROR(VLOOKUP(Table1215[[#This Row],[Column2]],Table12[[Column2]:[Column54]],40,FALSE),"0")</f>
        <v>0</v>
      </c>
      <c r="AP182" s="80">
        <f>AVERAGE(Table1215[[#This Row],[Column37]],Table1215[[#This Row],[Column38]],Table1215[[#This Row],[Column40]])</f>
        <v>5</v>
      </c>
      <c r="AQ182" s="78">
        <f>IFERROR(VLOOKUP(Table1215[[#This Row],[Column2]],Table12[[Column2]:[Column54]],42,FALSE),"0")</f>
        <v>5</v>
      </c>
      <c r="AR182" s="78">
        <f>IFERROR(VLOOKUP(Table1215[[#This Row],[Column2]],Table12[[Column2]:[Column54]],43,FALSE),"0")</f>
        <v>0</v>
      </c>
      <c r="AS182" s="78">
        <f>IFERROR(VLOOKUP(Table1215[[#This Row],[Column2]],Table12[[Column2]:[Column54]],44,FALSE),"0")</f>
        <v>0</v>
      </c>
      <c r="AT182" s="78">
        <f>IFERROR(VLOOKUP(Table1215[[#This Row],[Column2]],Table12[[Column2]:[Column54]],45,FALSE),"0")</f>
        <v>0</v>
      </c>
      <c r="AU182" s="78">
        <f>IFERROR(VLOOKUP(Table1215[[#This Row],[Column2]],Table12[[Column2]:[Column54]],46,FALSE),"0")</f>
        <v>0</v>
      </c>
      <c r="AV182" s="80">
        <f>Table1215[[#This Row],[Column43]]</f>
        <v>5</v>
      </c>
      <c r="AW182" s="78">
        <f>IFERROR(VLOOKUP(Table1215[[#This Row],[Column2]],Table12[[Column2]:[Column54]],48,FALSE),"0")</f>
        <v>0</v>
      </c>
      <c r="AX182" s="78">
        <f>IFERROR(VLOOKUP(Table1215[[#This Row],[Column2]],Table12[[Column2]:[Column54]],49,FALSE),"0")</f>
        <v>0</v>
      </c>
      <c r="AY182" s="78">
        <f>IFERROR(VLOOKUP(Table1215[[#This Row],[Column2]],Table12[[Column2]:[Column54]],50,FALSE),"0")</f>
        <v>0</v>
      </c>
      <c r="AZ182" s="78">
        <f>IFERROR(VLOOKUP(Table1215[[#This Row],[Column2]],Table12[[Column2]:[Column54]],51,FALSE),"0")</f>
        <v>4</v>
      </c>
      <c r="BA182" s="78">
        <f>IFERROR(VLOOKUP(Table1215[[#This Row],[Column2]],Table12[[Column2]:[Column54]],52,FALSE),"0")</f>
        <v>5</v>
      </c>
      <c r="BB182" s="80">
        <f>AVERAGE(Table1215[[#This Row],[Column52]],Table1215[[#This Row],[Column53]])</f>
        <v>4.5</v>
      </c>
    </row>
    <row r="183" spans="1:54" ht="23.1" customHeight="1" x14ac:dyDescent="0.3">
      <c r="A183" s="100">
        <v>180</v>
      </c>
      <c r="B183" s="83" t="s">
        <v>255</v>
      </c>
      <c r="C183" s="84" t="s">
        <v>256</v>
      </c>
      <c r="D183" s="83" t="s">
        <v>450</v>
      </c>
      <c r="E183" s="83" t="s">
        <v>161</v>
      </c>
      <c r="F183" s="83" t="str">
        <f>REPT(CHAR(160),10)&amp;Working!$E184</f>
        <v>          B</v>
      </c>
      <c r="G183" s="74">
        <f>IFERROR(VLOOKUP(Table1215[[#This Row],[Column2]],Table12[[Column2]:[Column54]],6,FALSE),"0")</f>
        <v>0</v>
      </c>
      <c r="H183" s="74">
        <f>IFERROR(VLOOKUP(Table1215[[#This Row],[Column2]],Table12[[Column2]:[Column54]],7,FALSE),"0")</f>
        <v>0</v>
      </c>
      <c r="I183" s="74">
        <f>IFERROR(VLOOKUP(Table1215[[#This Row],[Column2]],Table12[[Column2]:[Column54]],8,FALSE),"0")</f>
        <v>5</v>
      </c>
      <c r="J183" s="74">
        <f>IFERROR(VLOOKUP(Table1215[[#This Row],[Column2]],Table12[[Column2]:[Column54]],9,FALSE),"0")</f>
        <v>0</v>
      </c>
      <c r="K183" s="74">
        <f>IFERROR(VLOOKUP(Table1215[[#This Row],[Column2]],Table12[[Column2]:[Column54]],10,FALSE),"0")</f>
        <v>0</v>
      </c>
      <c r="L183" s="80">
        <f>Table1215[[#This Row],[Column9]]</f>
        <v>5</v>
      </c>
      <c r="M183" s="74">
        <f>IFERROR(VLOOKUP(Table1215[[#This Row],[Column2]],Table12[[Column2]:[Column54]],12,FALSE),"0")</f>
        <v>0</v>
      </c>
      <c r="N183" s="74">
        <f>IFERROR(VLOOKUP(Table1215[[#This Row],[Column2]],Table12[[Column2]:[Column54]],13,FALSE),"0")</f>
        <v>5</v>
      </c>
      <c r="O183" s="74">
        <f>IFERROR(VLOOKUP(Table1215[[#This Row],[Column2]],Table12[[Column2]:[Column54]],14,FALSE),"0")</f>
        <v>5</v>
      </c>
      <c r="P183" s="74">
        <f>IFERROR(VLOOKUP(Table1215[[#This Row],[Column2]],Table12[[Column2]:[Column54]],10,FALSE),"0")</f>
        <v>0</v>
      </c>
      <c r="Q183" s="74">
        <f>IFERROR(VLOOKUP(Table1215[[#This Row],[Column2]],Table12[[Column2]:[Column54]],16,FALSE),"0")</f>
        <v>5</v>
      </c>
      <c r="R183" s="80">
        <f>AVERAGE(Table1215[[#This Row],[Column14]],Table1215[[#This Row],[Column15]],Table1215[[#This Row],[Column17]])</f>
        <v>5</v>
      </c>
      <c r="S183" s="74">
        <f>IFERROR(VLOOKUP(Table1215[[#This Row],[Column2]],Table12[[Column2]:[Column54]],18,FALSE),"0")</f>
        <v>0</v>
      </c>
      <c r="T183" s="74">
        <f>IFERROR(VLOOKUP(Table1215[[#This Row],[Column2]],Table12[[Column2]:[Column54]],19,FALSE),"0")</f>
        <v>0</v>
      </c>
      <c r="U183" s="74">
        <f>IFERROR(VLOOKUP(Table1215[[#This Row],[Column2]],Table12[[Column2]:[Column54]],20,FALSE),"0")</f>
        <v>0</v>
      </c>
      <c r="V183" s="74">
        <f>IFERROR(VLOOKUP(Table1215[[#This Row],[Column2]],Table12[[Column2]:[Column54]],21,FALSE),"0")</f>
        <v>0</v>
      </c>
      <c r="W183" s="74">
        <f>IFERROR(VLOOKUP(Table1215[[#This Row],[Column2]],Table12[[Column2]:[Column54]],22,FALSE),"0")</f>
        <v>0</v>
      </c>
      <c r="X183" s="80">
        <f>Table1215[[#This Row],[Column19]]</f>
        <v>0</v>
      </c>
      <c r="Y183" s="74">
        <f>IFERROR(VLOOKUP(Table1215[[#This Row],[Column2]],Table12[[Column2]:[Column54]],24,FALSE),"0")</f>
        <v>5</v>
      </c>
      <c r="Z183" s="74">
        <f>IFERROR(VLOOKUP(Table1215[[#This Row],[Column2]],Table12[[Column2]:[Column54]],25,FALSE),"0")</f>
        <v>0</v>
      </c>
      <c r="AA183" s="74">
        <f>IFERROR(VLOOKUP(Table1215[[#This Row],[Column2]],Table12[[Column2]:[Column54]],26,FALSE),"0")</f>
        <v>0</v>
      </c>
      <c r="AB183" s="74">
        <f>IFERROR(VLOOKUP(Table1215[[#This Row],[Column2]],Table12[[Column2]:[Column54]],27,FALSE),"0")</f>
        <v>0</v>
      </c>
      <c r="AC183" s="74">
        <f>IFERROR(VLOOKUP(Table1215[[#This Row],[Column2]],Table12[[Column2]:[Column54]],28,FALSE),"0")</f>
        <v>0</v>
      </c>
      <c r="AD183" s="80">
        <f>Table1215[[#This Row],[Column25]]</f>
        <v>5</v>
      </c>
      <c r="AE183" s="74">
        <f>IFERROR(VLOOKUP(Table1215[[#This Row],[Column2]],Table12[[Column2]:[Column54]],30,FALSE),"0")</f>
        <v>0</v>
      </c>
      <c r="AF183" s="74">
        <f>IFERROR(VLOOKUP(Table1215[[#This Row],[Column2]],Table12[[Column2]:[Column54]],31,FALSE),"0")</f>
        <v>0</v>
      </c>
      <c r="AG183" s="74">
        <f>IFERROR(VLOOKUP(Table1215[[#This Row],[Column2]],Table12[[Column2]:[Column54]],32,FALSE),"0")</f>
        <v>0</v>
      </c>
      <c r="AH183" s="74">
        <f>IFERROR(VLOOKUP(Table1215[[#This Row],[Column2]],Table12[[Column2]:[Column54]],33,FALSE),"0")</f>
        <v>0</v>
      </c>
      <c r="AI183" s="74">
        <f>IFERROR(VLOOKUP(Table1215[[#This Row],[Column2]],Table12[[Column2]:[Column54]],34,FALSE),"0")</f>
        <v>0</v>
      </c>
      <c r="AJ183" s="80">
        <f>AVERAGE(Table1215[[#This Row],[Column31]],Table1215[[#This Row],[Column32]],Table1215[[#This Row],[Column33]])</f>
        <v>0</v>
      </c>
      <c r="AK183" s="74">
        <f>IFERROR(VLOOKUP(Table1215[[#This Row],[Column2]],Table12[[Column2]:[Column54]],36,FALSE),"0")</f>
        <v>4</v>
      </c>
      <c r="AL183" s="74">
        <f>IFERROR(VLOOKUP(Table1215[[#This Row],[Column2]],Table12[[Column2]:[Column54]],37,FALSE),"0")</f>
        <v>5</v>
      </c>
      <c r="AM183" s="74">
        <f>IFERROR(VLOOKUP(Table1215[[#This Row],[Column2]],Table12[[Column2]:[Column54]],38,FALSE),"0")</f>
        <v>0</v>
      </c>
      <c r="AN183" s="74">
        <f>IFERROR(VLOOKUP(Table1215[[#This Row],[Column2]],Table12[[Column2]:[Column54]],39,FALSE),"0")</f>
        <v>5</v>
      </c>
      <c r="AO183" s="74">
        <f>IFERROR(VLOOKUP(Table1215[[#This Row],[Column2]],Table12[[Column2]:[Column54]],40,FALSE),"0")</f>
        <v>0</v>
      </c>
      <c r="AP183" s="80">
        <f>AVERAGE(Table1215[[#This Row],[Column37]],Table1215[[#This Row],[Column38]],Table1215[[#This Row],[Column40]])</f>
        <v>4.666666666666667</v>
      </c>
      <c r="AQ183" s="74">
        <f>IFERROR(VLOOKUP(Table1215[[#This Row],[Column2]],Table12[[Column2]:[Column54]],42,FALSE),"0")</f>
        <v>5</v>
      </c>
      <c r="AR183" s="74">
        <f>IFERROR(VLOOKUP(Table1215[[#This Row],[Column2]],Table12[[Column2]:[Column54]],43,FALSE),"0")</f>
        <v>0</v>
      </c>
      <c r="AS183" s="74">
        <f>IFERROR(VLOOKUP(Table1215[[#This Row],[Column2]],Table12[[Column2]:[Column54]],44,FALSE),"0")</f>
        <v>0</v>
      </c>
      <c r="AT183" s="74">
        <f>IFERROR(VLOOKUP(Table1215[[#This Row],[Column2]],Table12[[Column2]:[Column54]],45,FALSE),"0")</f>
        <v>0</v>
      </c>
      <c r="AU183" s="74">
        <f>IFERROR(VLOOKUP(Table1215[[#This Row],[Column2]],Table12[[Column2]:[Column54]],46,FALSE),"0")</f>
        <v>0</v>
      </c>
      <c r="AV183" s="80">
        <f>Table1215[[#This Row],[Column43]]</f>
        <v>5</v>
      </c>
      <c r="AW183" s="74">
        <f>IFERROR(VLOOKUP(Table1215[[#This Row],[Column2]],Table12[[Column2]:[Column54]],48,FALSE),"0")</f>
        <v>0</v>
      </c>
      <c r="AX183" s="74">
        <f>IFERROR(VLOOKUP(Table1215[[#This Row],[Column2]],Table12[[Column2]:[Column54]],49,FALSE),"0")</f>
        <v>0</v>
      </c>
      <c r="AY183" s="74">
        <f>IFERROR(VLOOKUP(Table1215[[#This Row],[Column2]],Table12[[Column2]:[Column54]],50,FALSE),"0")</f>
        <v>0</v>
      </c>
      <c r="AZ183" s="74">
        <f>IFERROR(VLOOKUP(Table1215[[#This Row],[Column2]],Table12[[Column2]:[Column54]],51,FALSE),"0")</f>
        <v>5</v>
      </c>
      <c r="BA183" s="74">
        <f>IFERROR(VLOOKUP(Table1215[[#This Row],[Column2]],Table12[[Column2]:[Column54]],52,FALSE),"0")</f>
        <v>5</v>
      </c>
      <c r="BB183" s="80">
        <f>AVERAGE(Table1215[[#This Row],[Column52]],Table1215[[#This Row],[Column53]])</f>
        <v>5</v>
      </c>
    </row>
    <row r="184" spans="1:54" ht="23.1" customHeight="1" x14ac:dyDescent="0.3">
      <c r="A184" s="99">
        <v>181</v>
      </c>
      <c r="B184" s="76" t="s">
        <v>404</v>
      </c>
      <c r="C184" s="77" t="s">
        <v>405</v>
      </c>
      <c r="D184" s="76" t="s">
        <v>450</v>
      </c>
      <c r="E184" s="76" t="s">
        <v>493</v>
      </c>
      <c r="F184" s="76" t="str">
        <f>REPT(CHAR(160),10)&amp;Working!$E185</f>
        <v>          C</v>
      </c>
      <c r="G184" s="78">
        <f>IFERROR(VLOOKUP(Table1215[[#This Row],[Column2]],Table12[[Column2]:[Column54]],6,FALSE),"0")</f>
        <v>0</v>
      </c>
      <c r="H184" s="78">
        <f>IFERROR(VLOOKUP(Table1215[[#This Row],[Column2]],Table12[[Column2]:[Column54]],7,FALSE),"0")</f>
        <v>0</v>
      </c>
      <c r="I184" s="78">
        <f>IFERROR(VLOOKUP(Table1215[[#This Row],[Column2]],Table12[[Column2]:[Column54]],8,FALSE),"0")</f>
        <v>4</v>
      </c>
      <c r="J184" s="78">
        <f>IFERROR(VLOOKUP(Table1215[[#This Row],[Column2]],Table12[[Column2]:[Column54]],9,FALSE),"0")</f>
        <v>0</v>
      </c>
      <c r="K184" s="78">
        <f>IFERROR(VLOOKUP(Table1215[[#This Row],[Column2]],Table12[[Column2]:[Column54]],10,FALSE),"0")</f>
        <v>0</v>
      </c>
      <c r="L184" s="80">
        <f>Table1215[[#This Row],[Column9]]</f>
        <v>4</v>
      </c>
      <c r="M184" s="78">
        <f>IFERROR(VLOOKUP(Table1215[[#This Row],[Column2]],Table12[[Column2]:[Column54]],12,FALSE),"0")</f>
        <v>0</v>
      </c>
      <c r="N184" s="78">
        <f>IFERROR(VLOOKUP(Table1215[[#This Row],[Column2]],Table12[[Column2]:[Column54]],13,FALSE),"0")</f>
        <v>4</v>
      </c>
      <c r="O184" s="78">
        <f>IFERROR(VLOOKUP(Table1215[[#This Row],[Column2]],Table12[[Column2]:[Column54]],14,FALSE),"0")</f>
        <v>4</v>
      </c>
      <c r="P184" s="78">
        <f>IFERROR(VLOOKUP(Table1215[[#This Row],[Column2]],Table12[[Column2]:[Column54]],10,FALSE),"0")</f>
        <v>0</v>
      </c>
      <c r="Q184" s="78">
        <f>IFERROR(VLOOKUP(Table1215[[#This Row],[Column2]],Table12[[Column2]:[Column54]],16,FALSE),"0")</f>
        <v>4</v>
      </c>
      <c r="R184" s="80">
        <f>AVERAGE(Table1215[[#This Row],[Column14]],Table1215[[#This Row],[Column15]],Table1215[[#This Row],[Column17]])</f>
        <v>4</v>
      </c>
      <c r="S184" s="78">
        <f>IFERROR(VLOOKUP(Table1215[[#This Row],[Column2]],Table12[[Column2]:[Column54]],18,FALSE),"0")</f>
        <v>0</v>
      </c>
      <c r="T184" s="78">
        <f>IFERROR(VLOOKUP(Table1215[[#This Row],[Column2]],Table12[[Column2]:[Column54]],19,FALSE),"0")</f>
        <v>0</v>
      </c>
      <c r="U184" s="78">
        <f>IFERROR(VLOOKUP(Table1215[[#This Row],[Column2]],Table12[[Column2]:[Column54]],20,FALSE),"0")</f>
        <v>0</v>
      </c>
      <c r="V184" s="78">
        <f>IFERROR(VLOOKUP(Table1215[[#This Row],[Column2]],Table12[[Column2]:[Column54]],21,FALSE),"0")</f>
        <v>0</v>
      </c>
      <c r="W184" s="78">
        <f>IFERROR(VLOOKUP(Table1215[[#This Row],[Column2]],Table12[[Column2]:[Column54]],22,FALSE),"0")</f>
        <v>0</v>
      </c>
      <c r="X184" s="80">
        <f>Table1215[[#This Row],[Column19]]</f>
        <v>0</v>
      </c>
      <c r="Y184" s="78">
        <f>IFERROR(VLOOKUP(Table1215[[#This Row],[Column2]],Table12[[Column2]:[Column54]],24,FALSE),"0")</f>
        <v>5</v>
      </c>
      <c r="Z184" s="78">
        <f>IFERROR(VLOOKUP(Table1215[[#This Row],[Column2]],Table12[[Column2]:[Column54]],25,FALSE),"0")</f>
        <v>0</v>
      </c>
      <c r="AA184" s="78">
        <f>IFERROR(VLOOKUP(Table1215[[#This Row],[Column2]],Table12[[Column2]:[Column54]],26,FALSE),"0")</f>
        <v>0</v>
      </c>
      <c r="AB184" s="78">
        <f>IFERROR(VLOOKUP(Table1215[[#This Row],[Column2]],Table12[[Column2]:[Column54]],27,FALSE),"0")</f>
        <v>0</v>
      </c>
      <c r="AC184" s="78">
        <f>IFERROR(VLOOKUP(Table1215[[#This Row],[Column2]],Table12[[Column2]:[Column54]],28,FALSE),"0")</f>
        <v>0</v>
      </c>
      <c r="AD184" s="80">
        <f>Table1215[[#This Row],[Column25]]</f>
        <v>5</v>
      </c>
      <c r="AE184" s="78">
        <f>IFERROR(VLOOKUP(Table1215[[#This Row],[Column2]],Table12[[Column2]:[Column54]],30,FALSE),"0")</f>
        <v>0</v>
      </c>
      <c r="AF184" s="78">
        <f>IFERROR(VLOOKUP(Table1215[[#This Row],[Column2]],Table12[[Column2]:[Column54]],31,FALSE),"0")</f>
        <v>0</v>
      </c>
      <c r="AG184" s="78">
        <f>IFERROR(VLOOKUP(Table1215[[#This Row],[Column2]],Table12[[Column2]:[Column54]],32,FALSE),"0")</f>
        <v>0</v>
      </c>
      <c r="AH184" s="78">
        <f>IFERROR(VLOOKUP(Table1215[[#This Row],[Column2]],Table12[[Column2]:[Column54]],33,FALSE),"0")</f>
        <v>0</v>
      </c>
      <c r="AI184" s="78">
        <f>IFERROR(VLOOKUP(Table1215[[#This Row],[Column2]],Table12[[Column2]:[Column54]],34,FALSE),"0")</f>
        <v>0</v>
      </c>
      <c r="AJ184" s="80">
        <f>AVERAGE(Table1215[[#This Row],[Column31]],Table1215[[#This Row],[Column32]],Table1215[[#This Row],[Column33]])</f>
        <v>0</v>
      </c>
      <c r="AK184" s="78">
        <f>IFERROR(VLOOKUP(Table1215[[#This Row],[Column2]],Table12[[Column2]:[Column54]],36,FALSE),"0")</f>
        <v>3</v>
      </c>
      <c r="AL184" s="78">
        <f>IFERROR(VLOOKUP(Table1215[[#This Row],[Column2]],Table12[[Column2]:[Column54]],37,FALSE),"0")</f>
        <v>3</v>
      </c>
      <c r="AM184" s="78">
        <f>IFERROR(VLOOKUP(Table1215[[#This Row],[Column2]],Table12[[Column2]:[Column54]],38,FALSE),"0")</f>
        <v>0</v>
      </c>
      <c r="AN184" s="78">
        <f>IFERROR(VLOOKUP(Table1215[[#This Row],[Column2]],Table12[[Column2]:[Column54]],39,FALSE),"0")</f>
        <v>4</v>
      </c>
      <c r="AO184" s="78">
        <f>IFERROR(VLOOKUP(Table1215[[#This Row],[Column2]],Table12[[Column2]:[Column54]],40,FALSE),"0")</f>
        <v>0</v>
      </c>
      <c r="AP184" s="80">
        <f>AVERAGE(Table1215[[#This Row],[Column37]],Table1215[[#This Row],[Column38]],Table1215[[#This Row],[Column40]])</f>
        <v>3.3333333333333335</v>
      </c>
      <c r="AQ184" s="78">
        <f>IFERROR(VLOOKUP(Table1215[[#This Row],[Column2]],Table12[[Column2]:[Column54]],42,FALSE),"0")</f>
        <v>3</v>
      </c>
      <c r="AR184" s="78">
        <f>IFERROR(VLOOKUP(Table1215[[#This Row],[Column2]],Table12[[Column2]:[Column54]],43,FALSE),"0")</f>
        <v>0</v>
      </c>
      <c r="AS184" s="78">
        <f>IFERROR(VLOOKUP(Table1215[[#This Row],[Column2]],Table12[[Column2]:[Column54]],44,FALSE),"0")</f>
        <v>0</v>
      </c>
      <c r="AT184" s="78">
        <f>IFERROR(VLOOKUP(Table1215[[#This Row],[Column2]],Table12[[Column2]:[Column54]],45,FALSE),"0")</f>
        <v>0</v>
      </c>
      <c r="AU184" s="78">
        <f>IFERROR(VLOOKUP(Table1215[[#This Row],[Column2]],Table12[[Column2]:[Column54]],46,FALSE),"0")</f>
        <v>0</v>
      </c>
      <c r="AV184" s="80">
        <f>Table1215[[#This Row],[Column43]]</f>
        <v>3</v>
      </c>
      <c r="AW184" s="78">
        <f>IFERROR(VLOOKUP(Table1215[[#This Row],[Column2]],Table12[[Column2]:[Column54]],48,FALSE),"0")</f>
        <v>0</v>
      </c>
      <c r="AX184" s="78">
        <f>IFERROR(VLOOKUP(Table1215[[#This Row],[Column2]],Table12[[Column2]:[Column54]],49,FALSE),"0")</f>
        <v>0</v>
      </c>
      <c r="AY184" s="78">
        <f>IFERROR(VLOOKUP(Table1215[[#This Row],[Column2]],Table12[[Column2]:[Column54]],50,FALSE),"0")</f>
        <v>0</v>
      </c>
      <c r="AZ184" s="78">
        <f>IFERROR(VLOOKUP(Table1215[[#This Row],[Column2]],Table12[[Column2]:[Column54]],51,FALSE),"0")</f>
        <v>4</v>
      </c>
      <c r="BA184" s="78">
        <f>IFERROR(VLOOKUP(Table1215[[#This Row],[Column2]],Table12[[Column2]:[Column54]],52,FALSE),"0")</f>
        <v>5</v>
      </c>
      <c r="BB184" s="80">
        <f>AVERAGE(Table1215[[#This Row],[Column52]],Table1215[[#This Row],[Column53]])</f>
        <v>4.5</v>
      </c>
    </row>
    <row r="185" spans="1:54" ht="23.1" customHeight="1" x14ac:dyDescent="0.3">
      <c r="A185" s="100">
        <v>182</v>
      </c>
      <c r="B185" s="83" t="s">
        <v>44</v>
      </c>
      <c r="C185" s="84" t="s">
        <v>45</v>
      </c>
      <c r="D185" s="83" t="s">
        <v>450</v>
      </c>
      <c r="E185" s="83" t="s">
        <v>35</v>
      </c>
      <c r="F185" s="83" t="str">
        <f>REPT(CHAR(160),10)&amp;Working!$E186</f>
        <v>          A</v>
      </c>
      <c r="G185" s="74">
        <f>IFERROR(VLOOKUP(Table1215[[#This Row],[Column2]],Table12[[Column2]:[Column54]],6,FALSE),"0")</f>
        <v>0</v>
      </c>
      <c r="H185" s="74">
        <f>IFERROR(VLOOKUP(Table1215[[#This Row],[Column2]],Table12[[Column2]:[Column54]],7,FALSE),"0")</f>
        <v>0</v>
      </c>
      <c r="I185" s="74">
        <f>IFERROR(VLOOKUP(Table1215[[#This Row],[Column2]],Table12[[Column2]:[Column54]],8,FALSE),"0")</f>
        <v>5</v>
      </c>
      <c r="J185" s="74">
        <f>IFERROR(VLOOKUP(Table1215[[#This Row],[Column2]],Table12[[Column2]:[Column54]],9,FALSE),"0")</f>
        <v>0</v>
      </c>
      <c r="K185" s="74">
        <f>IFERROR(VLOOKUP(Table1215[[#This Row],[Column2]],Table12[[Column2]:[Column54]],10,FALSE),"0")</f>
        <v>0</v>
      </c>
      <c r="L185" s="80">
        <f>Table1215[[#This Row],[Column9]]</f>
        <v>5</v>
      </c>
      <c r="M185" s="74">
        <f>IFERROR(VLOOKUP(Table1215[[#This Row],[Column2]],Table12[[Column2]:[Column54]],12,FALSE),"0")</f>
        <v>0</v>
      </c>
      <c r="N185" s="74">
        <f>IFERROR(VLOOKUP(Table1215[[#This Row],[Column2]],Table12[[Column2]:[Column54]],13,FALSE),"0")</f>
        <v>5</v>
      </c>
      <c r="O185" s="74">
        <f>IFERROR(VLOOKUP(Table1215[[#This Row],[Column2]],Table12[[Column2]:[Column54]],14,FALSE),"0")</f>
        <v>5</v>
      </c>
      <c r="P185" s="74">
        <f>IFERROR(VLOOKUP(Table1215[[#This Row],[Column2]],Table12[[Column2]:[Column54]],10,FALSE),"0")</f>
        <v>0</v>
      </c>
      <c r="Q185" s="74">
        <f>IFERROR(VLOOKUP(Table1215[[#This Row],[Column2]],Table12[[Column2]:[Column54]],16,FALSE),"0")</f>
        <v>5</v>
      </c>
      <c r="R185" s="80">
        <f>AVERAGE(Table1215[[#This Row],[Column14]],Table1215[[#This Row],[Column15]],Table1215[[#This Row],[Column17]])</f>
        <v>5</v>
      </c>
      <c r="S185" s="74">
        <f>IFERROR(VLOOKUP(Table1215[[#This Row],[Column2]],Table12[[Column2]:[Column54]],18,FALSE),"0")</f>
        <v>0</v>
      </c>
      <c r="T185" s="74">
        <f>IFERROR(VLOOKUP(Table1215[[#This Row],[Column2]],Table12[[Column2]:[Column54]],19,FALSE),"0")</f>
        <v>0</v>
      </c>
      <c r="U185" s="74">
        <f>IFERROR(VLOOKUP(Table1215[[#This Row],[Column2]],Table12[[Column2]:[Column54]],20,FALSE),"0")</f>
        <v>0</v>
      </c>
      <c r="V185" s="74">
        <f>IFERROR(VLOOKUP(Table1215[[#This Row],[Column2]],Table12[[Column2]:[Column54]],21,FALSE),"0")</f>
        <v>0</v>
      </c>
      <c r="W185" s="74">
        <f>IFERROR(VLOOKUP(Table1215[[#This Row],[Column2]],Table12[[Column2]:[Column54]],22,FALSE),"0")</f>
        <v>0</v>
      </c>
      <c r="X185" s="80">
        <f>Table1215[[#This Row],[Column19]]</f>
        <v>0</v>
      </c>
      <c r="Y185" s="74">
        <f>IFERROR(VLOOKUP(Table1215[[#This Row],[Column2]],Table12[[Column2]:[Column54]],24,FALSE),"0")</f>
        <v>4</v>
      </c>
      <c r="Z185" s="74">
        <f>IFERROR(VLOOKUP(Table1215[[#This Row],[Column2]],Table12[[Column2]:[Column54]],25,FALSE),"0")</f>
        <v>0</v>
      </c>
      <c r="AA185" s="74">
        <f>IFERROR(VLOOKUP(Table1215[[#This Row],[Column2]],Table12[[Column2]:[Column54]],26,FALSE),"0")</f>
        <v>0</v>
      </c>
      <c r="AB185" s="74">
        <f>IFERROR(VLOOKUP(Table1215[[#This Row],[Column2]],Table12[[Column2]:[Column54]],27,FALSE),"0")</f>
        <v>0</v>
      </c>
      <c r="AC185" s="74">
        <f>IFERROR(VLOOKUP(Table1215[[#This Row],[Column2]],Table12[[Column2]:[Column54]],28,FALSE),"0")</f>
        <v>0</v>
      </c>
      <c r="AD185" s="80">
        <f>Table1215[[#This Row],[Column25]]</f>
        <v>4</v>
      </c>
      <c r="AE185" s="74">
        <f>IFERROR(VLOOKUP(Table1215[[#This Row],[Column2]],Table12[[Column2]:[Column54]],30,FALSE),"0")</f>
        <v>0</v>
      </c>
      <c r="AF185" s="74">
        <f>IFERROR(VLOOKUP(Table1215[[#This Row],[Column2]],Table12[[Column2]:[Column54]],31,FALSE),"0")</f>
        <v>0</v>
      </c>
      <c r="AG185" s="74">
        <f>IFERROR(VLOOKUP(Table1215[[#This Row],[Column2]],Table12[[Column2]:[Column54]],32,FALSE),"0")</f>
        <v>0</v>
      </c>
      <c r="AH185" s="74">
        <f>IFERROR(VLOOKUP(Table1215[[#This Row],[Column2]],Table12[[Column2]:[Column54]],33,FALSE),"0")</f>
        <v>0</v>
      </c>
      <c r="AI185" s="74">
        <f>IFERROR(VLOOKUP(Table1215[[#This Row],[Column2]],Table12[[Column2]:[Column54]],34,FALSE),"0")</f>
        <v>0</v>
      </c>
      <c r="AJ185" s="80">
        <f>AVERAGE(Table1215[[#This Row],[Column31]],Table1215[[#This Row],[Column32]],Table1215[[#This Row],[Column33]])</f>
        <v>0</v>
      </c>
      <c r="AK185" s="74">
        <f>IFERROR(VLOOKUP(Table1215[[#This Row],[Column2]],Table12[[Column2]:[Column54]],36,FALSE),"0")</f>
        <v>5</v>
      </c>
      <c r="AL185" s="74">
        <f>IFERROR(VLOOKUP(Table1215[[#This Row],[Column2]],Table12[[Column2]:[Column54]],37,FALSE),"0")</f>
        <v>5</v>
      </c>
      <c r="AM185" s="74">
        <f>IFERROR(VLOOKUP(Table1215[[#This Row],[Column2]],Table12[[Column2]:[Column54]],38,FALSE),"0")</f>
        <v>0</v>
      </c>
      <c r="AN185" s="74">
        <f>IFERROR(VLOOKUP(Table1215[[#This Row],[Column2]],Table12[[Column2]:[Column54]],39,FALSE),"0")</f>
        <v>5</v>
      </c>
      <c r="AO185" s="74">
        <f>IFERROR(VLOOKUP(Table1215[[#This Row],[Column2]],Table12[[Column2]:[Column54]],40,FALSE),"0")</f>
        <v>0</v>
      </c>
      <c r="AP185" s="80">
        <f>AVERAGE(Table1215[[#This Row],[Column37]],Table1215[[#This Row],[Column38]],Table1215[[#This Row],[Column40]])</f>
        <v>5</v>
      </c>
      <c r="AQ185" s="74">
        <f>IFERROR(VLOOKUP(Table1215[[#This Row],[Column2]],Table12[[Column2]:[Column54]],42,FALSE),"0")</f>
        <v>5</v>
      </c>
      <c r="AR185" s="74">
        <f>IFERROR(VLOOKUP(Table1215[[#This Row],[Column2]],Table12[[Column2]:[Column54]],43,FALSE),"0")</f>
        <v>0</v>
      </c>
      <c r="AS185" s="74">
        <f>IFERROR(VLOOKUP(Table1215[[#This Row],[Column2]],Table12[[Column2]:[Column54]],44,FALSE),"0")</f>
        <v>0</v>
      </c>
      <c r="AT185" s="74">
        <f>IFERROR(VLOOKUP(Table1215[[#This Row],[Column2]],Table12[[Column2]:[Column54]],45,FALSE),"0")</f>
        <v>0</v>
      </c>
      <c r="AU185" s="74">
        <f>IFERROR(VLOOKUP(Table1215[[#This Row],[Column2]],Table12[[Column2]:[Column54]],46,FALSE),"0")</f>
        <v>0</v>
      </c>
      <c r="AV185" s="80">
        <f>Table1215[[#This Row],[Column43]]</f>
        <v>5</v>
      </c>
      <c r="AW185" s="74">
        <f>IFERROR(VLOOKUP(Table1215[[#This Row],[Column2]],Table12[[Column2]:[Column54]],48,FALSE),"0")</f>
        <v>0</v>
      </c>
      <c r="AX185" s="74">
        <f>IFERROR(VLOOKUP(Table1215[[#This Row],[Column2]],Table12[[Column2]:[Column54]],49,FALSE),"0")</f>
        <v>0</v>
      </c>
      <c r="AY185" s="74">
        <f>IFERROR(VLOOKUP(Table1215[[#This Row],[Column2]],Table12[[Column2]:[Column54]],50,FALSE),"0")</f>
        <v>0</v>
      </c>
      <c r="AZ185" s="74">
        <f>IFERROR(VLOOKUP(Table1215[[#This Row],[Column2]],Table12[[Column2]:[Column54]],51,FALSE),"0")</f>
        <v>5</v>
      </c>
      <c r="BA185" s="74">
        <f>IFERROR(VLOOKUP(Table1215[[#This Row],[Column2]],Table12[[Column2]:[Column54]],52,FALSE),"0")</f>
        <v>5</v>
      </c>
      <c r="BB185" s="80">
        <f>AVERAGE(Table1215[[#This Row],[Column52]],Table1215[[#This Row],[Column53]])</f>
        <v>5</v>
      </c>
    </row>
    <row r="186" spans="1:54" ht="23.1" customHeight="1" x14ac:dyDescent="0.3">
      <c r="A186" s="99">
        <v>183</v>
      </c>
      <c r="B186" s="76" t="s">
        <v>406</v>
      </c>
      <c r="C186" s="77" t="s">
        <v>407</v>
      </c>
      <c r="D186" s="76" t="s">
        <v>450</v>
      </c>
      <c r="E186" s="76" t="s">
        <v>493</v>
      </c>
      <c r="F186" s="76" t="str">
        <f>REPT(CHAR(160),10)&amp;Working!$E187</f>
        <v>          C</v>
      </c>
      <c r="G186" s="78">
        <f>IFERROR(VLOOKUP(Table1215[[#This Row],[Column2]],Table12[[Column2]:[Column54]],6,FALSE),"0")</f>
        <v>0</v>
      </c>
      <c r="H186" s="78">
        <f>IFERROR(VLOOKUP(Table1215[[#This Row],[Column2]],Table12[[Column2]:[Column54]],7,FALSE),"0")</f>
        <v>0</v>
      </c>
      <c r="I186" s="78">
        <f>IFERROR(VLOOKUP(Table1215[[#This Row],[Column2]],Table12[[Column2]:[Column54]],8,FALSE),"0")</f>
        <v>4</v>
      </c>
      <c r="J186" s="78">
        <f>IFERROR(VLOOKUP(Table1215[[#This Row],[Column2]],Table12[[Column2]:[Column54]],9,FALSE),"0")</f>
        <v>0</v>
      </c>
      <c r="K186" s="78">
        <f>IFERROR(VLOOKUP(Table1215[[#This Row],[Column2]],Table12[[Column2]:[Column54]],10,FALSE),"0")</f>
        <v>0</v>
      </c>
      <c r="L186" s="80">
        <f>Table1215[[#This Row],[Column9]]</f>
        <v>4</v>
      </c>
      <c r="M186" s="78">
        <f>IFERROR(VLOOKUP(Table1215[[#This Row],[Column2]],Table12[[Column2]:[Column54]],12,FALSE),"0")</f>
        <v>0</v>
      </c>
      <c r="N186" s="78">
        <f>IFERROR(VLOOKUP(Table1215[[#This Row],[Column2]],Table12[[Column2]:[Column54]],13,FALSE),"0")</f>
        <v>5</v>
      </c>
      <c r="O186" s="78">
        <f>IFERROR(VLOOKUP(Table1215[[#This Row],[Column2]],Table12[[Column2]:[Column54]],14,FALSE),"0")</f>
        <v>5</v>
      </c>
      <c r="P186" s="78">
        <f>IFERROR(VLOOKUP(Table1215[[#This Row],[Column2]],Table12[[Column2]:[Column54]],10,FALSE),"0")</f>
        <v>0</v>
      </c>
      <c r="Q186" s="78">
        <f>IFERROR(VLOOKUP(Table1215[[#This Row],[Column2]],Table12[[Column2]:[Column54]],16,FALSE),"0")</f>
        <v>5</v>
      </c>
      <c r="R186" s="80">
        <f>AVERAGE(Table1215[[#This Row],[Column14]],Table1215[[#This Row],[Column15]],Table1215[[#This Row],[Column17]])</f>
        <v>5</v>
      </c>
      <c r="S186" s="78">
        <f>IFERROR(VLOOKUP(Table1215[[#This Row],[Column2]],Table12[[Column2]:[Column54]],18,FALSE),"0")</f>
        <v>0</v>
      </c>
      <c r="T186" s="78">
        <f>IFERROR(VLOOKUP(Table1215[[#This Row],[Column2]],Table12[[Column2]:[Column54]],19,FALSE),"0")</f>
        <v>0</v>
      </c>
      <c r="U186" s="78">
        <f>IFERROR(VLOOKUP(Table1215[[#This Row],[Column2]],Table12[[Column2]:[Column54]],20,FALSE),"0")</f>
        <v>0</v>
      </c>
      <c r="V186" s="78">
        <f>IFERROR(VLOOKUP(Table1215[[#This Row],[Column2]],Table12[[Column2]:[Column54]],21,FALSE),"0")</f>
        <v>0</v>
      </c>
      <c r="W186" s="78">
        <f>IFERROR(VLOOKUP(Table1215[[#This Row],[Column2]],Table12[[Column2]:[Column54]],22,FALSE),"0")</f>
        <v>0</v>
      </c>
      <c r="X186" s="80">
        <f>Table1215[[#This Row],[Column19]]</f>
        <v>0</v>
      </c>
      <c r="Y186" s="78">
        <f>IFERROR(VLOOKUP(Table1215[[#This Row],[Column2]],Table12[[Column2]:[Column54]],24,FALSE),"0")</f>
        <v>5</v>
      </c>
      <c r="Z186" s="78">
        <f>IFERROR(VLOOKUP(Table1215[[#This Row],[Column2]],Table12[[Column2]:[Column54]],25,FALSE),"0")</f>
        <v>0</v>
      </c>
      <c r="AA186" s="78">
        <f>IFERROR(VLOOKUP(Table1215[[#This Row],[Column2]],Table12[[Column2]:[Column54]],26,FALSE),"0")</f>
        <v>0</v>
      </c>
      <c r="AB186" s="78">
        <f>IFERROR(VLOOKUP(Table1215[[#This Row],[Column2]],Table12[[Column2]:[Column54]],27,FALSE),"0")</f>
        <v>0</v>
      </c>
      <c r="AC186" s="78">
        <f>IFERROR(VLOOKUP(Table1215[[#This Row],[Column2]],Table12[[Column2]:[Column54]],28,FALSE),"0")</f>
        <v>0</v>
      </c>
      <c r="AD186" s="80">
        <f>Table1215[[#This Row],[Column25]]</f>
        <v>5</v>
      </c>
      <c r="AE186" s="78">
        <f>IFERROR(VLOOKUP(Table1215[[#This Row],[Column2]],Table12[[Column2]:[Column54]],30,FALSE),"0")</f>
        <v>0</v>
      </c>
      <c r="AF186" s="78">
        <f>IFERROR(VLOOKUP(Table1215[[#This Row],[Column2]],Table12[[Column2]:[Column54]],31,FALSE),"0")</f>
        <v>0</v>
      </c>
      <c r="AG186" s="78">
        <f>IFERROR(VLOOKUP(Table1215[[#This Row],[Column2]],Table12[[Column2]:[Column54]],32,FALSE),"0")</f>
        <v>0</v>
      </c>
      <c r="AH186" s="78">
        <f>IFERROR(VLOOKUP(Table1215[[#This Row],[Column2]],Table12[[Column2]:[Column54]],33,FALSE),"0")</f>
        <v>0</v>
      </c>
      <c r="AI186" s="78">
        <f>IFERROR(VLOOKUP(Table1215[[#This Row],[Column2]],Table12[[Column2]:[Column54]],34,FALSE),"0")</f>
        <v>0</v>
      </c>
      <c r="AJ186" s="80">
        <f>AVERAGE(Table1215[[#This Row],[Column31]],Table1215[[#This Row],[Column32]],Table1215[[#This Row],[Column33]])</f>
        <v>0</v>
      </c>
      <c r="AK186" s="78">
        <f>IFERROR(VLOOKUP(Table1215[[#This Row],[Column2]],Table12[[Column2]:[Column54]],36,FALSE),"0")</f>
        <v>5</v>
      </c>
      <c r="AL186" s="78">
        <f>IFERROR(VLOOKUP(Table1215[[#This Row],[Column2]],Table12[[Column2]:[Column54]],37,FALSE),"0")</f>
        <v>5</v>
      </c>
      <c r="AM186" s="78">
        <f>IFERROR(VLOOKUP(Table1215[[#This Row],[Column2]],Table12[[Column2]:[Column54]],38,FALSE),"0")</f>
        <v>0</v>
      </c>
      <c r="AN186" s="78">
        <f>IFERROR(VLOOKUP(Table1215[[#This Row],[Column2]],Table12[[Column2]:[Column54]],39,FALSE),"0")</f>
        <v>5</v>
      </c>
      <c r="AO186" s="78">
        <f>IFERROR(VLOOKUP(Table1215[[#This Row],[Column2]],Table12[[Column2]:[Column54]],40,FALSE),"0")</f>
        <v>0</v>
      </c>
      <c r="AP186" s="80">
        <f>AVERAGE(Table1215[[#This Row],[Column37]],Table1215[[#This Row],[Column38]],Table1215[[#This Row],[Column40]])</f>
        <v>5</v>
      </c>
      <c r="AQ186" s="78">
        <f>IFERROR(VLOOKUP(Table1215[[#This Row],[Column2]],Table12[[Column2]:[Column54]],42,FALSE),"0")</f>
        <v>5</v>
      </c>
      <c r="AR186" s="78">
        <f>IFERROR(VLOOKUP(Table1215[[#This Row],[Column2]],Table12[[Column2]:[Column54]],43,FALSE),"0")</f>
        <v>0</v>
      </c>
      <c r="AS186" s="78">
        <f>IFERROR(VLOOKUP(Table1215[[#This Row],[Column2]],Table12[[Column2]:[Column54]],44,FALSE),"0")</f>
        <v>0</v>
      </c>
      <c r="AT186" s="78">
        <f>IFERROR(VLOOKUP(Table1215[[#This Row],[Column2]],Table12[[Column2]:[Column54]],45,FALSE),"0")</f>
        <v>0</v>
      </c>
      <c r="AU186" s="78">
        <f>IFERROR(VLOOKUP(Table1215[[#This Row],[Column2]],Table12[[Column2]:[Column54]],46,FALSE),"0")</f>
        <v>0</v>
      </c>
      <c r="AV186" s="80">
        <f>Table1215[[#This Row],[Column43]]</f>
        <v>5</v>
      </c>
      <c r="AW186" s="78">
        <f>IFERROR(VLOOKUP(Table1215[[#This Row],[Column2]],Table12[[Column2]:[Column54]],48,FALSE),"0")</f>
        <v>0</v>
      </c>
      <c r="AX186" s="78">
        <f>IFERROR(VLOOKUP(Table1215[[#This Row],[Column2]],Table12[[Column2]:[Column54]],49,FALSE),"0")</f>
        <v>0</v>
      </c>
      <c r="AY186" s="78">
        <f>IFERROR(VLOOKUP(Table1215[[#This Row],[Column2]],Table12[[Column2]:[Column54]],50,FALSE),"0")</f>
        <v>0</v>
      </c>
      <c r="AZ186" s="78">
        <f>IFERROR(VLOOKUP(Table1215[[#This Row],[Column2]],Table12[[Column2]:[Column54]],51,FALSE),"0")</f>
        <v>5</v>
      </c>
      <c r="BA186" s="78">
        <f>IFERROR(VLOOKUP(Table1215[[#This Row],[Column2]],Table12[[Column2]:[Column54]],52,FALSE),"0")</f>
        <v>4</v>
      </c>
      <c r="BB186" s="80">
        <f>AVERAGE(Table1215[[#This Row],[Column52]],Table1215[[#This Row],[Column53]])</f>
        <v>4.5</v>
      </c>
    </row>
    <row r="187" spans="1:54" ht="23.1" customHeight="1" x14ac:dyDescent="0.3">
      <c r="A187" s="100">
        <v>184</v>
      </c>
      <c r="B187" s="83" t="s">
        <v>287</v>
      </c>
      <c r="C187" s="84" t="s">
        <v>288</v>
      </c>
      <c r="D187" s="83" t="s">
        <v>450</v>
      </c>
      <c r="E187" s="83" t="s">
        <v>161</v>
      </c>
      <c r="F187" s="83" t="str">
        <f>REPT(CHAR(160),10)&amp;Working!$E188</f>
        <v>          B</v>
      </c>
      <c r="G187" s="74">
        <f>IFERROR(VLOOKUP(Table1215[[#This Row],[Column2]],Table12[[Column2]:[Column54]],6,FALSE),"0")</f>
        <v>0</v>
      </c>
      <c r="H187" s="74">
        <f>IFERROR(VLOOKUP(Table1215[[#This Row],[Column2]],Table12[[Column2]:[Column54]],7,FALSE),"0")</f>
        <v>0</v>
      </c>
      <c r="I187" s="74">
        <f>IFERROR(VLOOKUP(Table1215[[#This Row],[Column2]],Table12[[Column2]:[Column54]],8,FALSE),"0")</f>
        <v>3</v>
      </c>
      <c r="J187" s="74">
        <f>IFERROR(VLOOKUP(Table1215[[#This Row],[Column2]],Table12[[Column2]:[Column54]],9,FALSE),"0")</f>
        <v>0</v>
      </c>
      <c r="K187" s="74">
        <f>IFERROR(VLOOKUP(Table1215[[#This Row],[Column2]],Table12[[Column2]:[Column54]],10,FALSE),"0")</f>
        <v>0</v>
      </c>
      <c r="L187" s="80">
        <f>Table1215[[#This Row],[Column9]]</f>
        <v>3</v>
      </c>
      <c r="M187" s="74">
        <f>IFERROR(VLOOKUP(Table1215[[#This Row],[Column2]],Table12[[Column2]:[Column54]],12,FALSE),"0")</f>
        <v>0</v>
      </c>
      <c r="N187" s="74">
        <f>IFERROR(VLOOKUP(Table1215[[#This Row],[Column2]],Table12[[Column2]:[Column54]],13,FALSE),"0")</f>
        <v>4</v>
      </c>
      <c r="O187" s="74">
        <f>IFERROR(VLOOKUP(Table1215[[#This Row],[Column2]],Table12[[Column2]:[Column54]],14,FALSE),"0")</f>
        <v>4</v>
      </c>
      <c r="P187" s="74">
        <f>IFERROR(VLOOKUP(Table1215[[#This Row],[Column2]],Table12[[Column2]:[Column54]],10,FALSE),"0")</f>
        <v>0</v>
      </c>
      <c r="Q187" s="74">
        <f>IFERROR(VLOOKUP(Table1215[[#This Row],[Column2]],Table12[[Column2]:[Column54]],16,FALSE),"0")</f>
        <v>4</v>
      </c>
      <c r="R187" s="80">
        <f>AVERAGE(Table1215[[#This Row],[Column14]],Table1215[[#This Row],[Column15]],Table1215[[#This Row],[Column17]])</f>
        <v>4</v>
      </c>
      <c r="S187" s="74">
        <f>IFERROR(VLOOKUP(Table1215[[#This Row],[Column2]],Table12[[Column2]:[Column54]],18,FALSE),"0")</f>
        <v>0</v>
      </c>
      <c r="T187" s="74">
        <f>IFERROR(VLOOKUP(Table1215[[#This Row],[Column2]],Table12[[Column2]:[Column54]],19,FALSE),"0")</f>
        <v>0</v>
      </c>
      <c r="U187" s="74">
        <f>IFERROR(VLOOKUP(Table1215[[#This Row],[Column2]],Table12[[Column2]:[Column54]],20,FALSE),"0")</f>
        <v>0</v>
      </c>
      <c r="V187" s="74">
        <f>IFERROR(VLOOKUP(Table1215[[#This Row],[Column2]],Table12[[Column2]:[Column54]],21,FALSE),"0")</f>
        <v>0</v>
      </c>
      <c r="W187" s="74">
        <f>IFERROR(VLOOKUP(Table1215[[#This Row],[Column2]],Table12[[Column2]:[Column54]],22,FALSE),"0")</f>
        <v>0</v>
      </c>
      <c r="X187" s="80">
        <f>Table1215[[#This Row],[Column19]]</f>
        <v>0</v>
      </c>
      <c r="Y187" s="74">
        <f>IFERROR(VLOOKUP(Table1215[[#This Row],[Column2]],Table12[[Column2]:[Column54]],24,FALSE),"0")</f>
        <v>4</v>
      </c>
      <c r="Z187" s="74">
        <f>IFERROR(VLOOKUP(Table1215[[#This Row],[Column2]],Table12[[Column2]:[Column54]],25,FALSE),"0")</f>
        <v>0</v>
      </c>
      <c r="AA187" s="74">
        <f>IFERROR(VLOOKUP(Table1215[[#This Row],[Column2]],Table12[[Column2]:[Column54]],26,FALSE),"0")</f>
        <v>0</v>
      </c>
      <c r="AB187" s="74">
        <f>IFERROR(VLOOKUP(Table1215[[#This Row],[Column2]],Table12[[Column2]:[Column54]],27,FALSE),"0")</f>
        <v>0</v>
      </c>
      <c r="AC187" s="74">
        <f>IFERROR(VLOOKUP(Table1215[[#This Row],[Column2]],Table12[[Column2]:[Column54]],28,FALSE),"0")</f>
        <v>0</v>
      </c>
      <c r="AD187" s="80">
        <f>Table1215[[#This Row],[Column25]]</f>
        <v>4</v>
      </c>
      <c r="AE187" s="74">
        <f>IFERROR(VLOOKUP(Table1215[[#This Row],[Column2]],Table12[[Column2]:[Column54]],30,FALSE),"0")</f>
        <v>0</v>
      </c>
      <c r="AF187" s="74">
        <f>IFERROR(VLOOKUP(Table1215[[#This Row],[Column2]],Table12[[Column2]:[Column54]],31,FALSE),"0")</f>
        <v>0</v>
      </c>
      <c r="AG187" s="74">
        <f>IFERROR(VLOOKUP(Table1215[[#This Row],[Column2]],Table12[[Column2]:[Column54]],32,FALSE),"0")</f>
        <v>0</v>
      </c>
      <c r="AH187" s="74">
        <f>IFERROR(VLOOKUP(Table1215[[#This Row],[Column2]],Table12[[Column2]:[Column54]],33,FALSE),"0")</f>
        <v>0</v>
      </c>
      <c r="AI187" s="74">
        <f>IFERROR(VLOOKUP(Table1215[[#This Row],[Column2]],Table12[[Column2]:[Column54]],34,FALSE),"0")</f>
        <v>0</v>
      </c>
      <c r="AJ187" s="80">
        <f>AVERAGE(Table1215[[#This Row],[Column31]],Table1215[[#This Row],[Column32]],Table1215[[#This Row],[Column33]])</f>
        <v>0</v>
      </c>
      <c r="AK187" s="74">
        <f>IFERROR(VLOOKUP(Table1215[[#This Row],[Column2]],Table12[[Column2]:[Column54]],36,FALSE),"0")</f>
        <v>3</v>
      </c>
      <c r="AL187" s="74">
        <f>IFERROR(VLOOKUP(Table1215[[#This Row],[Column2]],Table12[[Column2]:[Column54]],37,FALSE),"0")</f>
        <v>0</v>
      </c>
      <c r="AM187" s="74">
        <f>IFERROR(VLOOKUP(Table1215[[#This Row],[Column2]],Table12[[Column2]:[Column54]],38,FALSE),"0")</f>
        <v>0</v>
      </c>
      <c r="AN187" s="74">
        <f>IFERROR(VLOOKUP(Table1215[[#This Row],[Column2]],Table12[[Column2]:[Column54]],39,FALSE),"0")</f>
        <v>4</v>
      </c>
      <c r="AO187" s="74">
        <f>IFERROR(VLOOKUP(Table1215[[#This Row],[Column2]],Table12[[Column2]:[Column54]],40,FALSE),"0")</f>
        <v>0</v>
      </c>
      <c r="AP187" s="80">
        <f>AVERAGE(Table1215[[#This Row],[Column37]],Table1215[[#This Row],[Column38]],Table1215[[#This Row],[Column40]])</f>
        <v>2.3333333333333335</v>
      </c>
      <c r="AQ187" s="74">
        <f>IFERROR(VLOOKUP(Table1215[[#This Row],[Column2]],Table12[[Column2]:[Column54]],42,FALSE),"0")</f>
        <v>3</v>
      </c>
      <c r="AR187" s="74">
        <f>IFERROR(VLOOKUP(Table1215[[#This Row],[Column2]],Table12[[Column2]:[Column54]],43,FALSE),"0")</f>
        <v>0</v>
      </c>
      <c r="AS187" s="74">
        <f>IFERROR(VLOOKUP(Table1215[[#This Row],[Column2]],Table12[[Column2]:[Column54]],44,FALSE),"0")</f>
        <v>0</v>
      </c>
      <c r="AT187" s="74">
        <f>IFERROR(VLOOKUP(Table1215[[#This Row],[Column2]],Table12[[Column2]:[Column54]],45,FALSE),"0")</f>
        <v>0</v>
      </c>
      <c r="AU187" s="74">
        <f>IFERROR(VLOOKUP(Table1215[[#This Row],[Column2]],Table12[[Column2]:[Column54]],46,FALSE),"0")</f>
        <v>0</v>
      </c>
      <c r="AV187" s="80">
        <f>Table1215[[#This Row],[Column43]]</f>
        <v>3</v>
      </c>
      <c r="AW187" s="74">
        <f>IFERROR(VLOOKUP(Table1215[[#This Row],[Column2]],Table12[[Column2]:[Column54]],48,FALSE),"0")</f>
        <v>0</v>
      </c>
      <c r="AX187" s="74">
        <f>IFERROR(VLOOKUP(Table1215[[#This Row],[Column2]],Table12[[Column2]:[Column54]],49,FALSE),"0")</f>
        <v>0</v>
      </c>
      <c r="AY187" s="74">
        <f>IFERROR(VLOOKUP(Table1215[[#This Row],[Column2]],Table12[[Column2]:[Column54]],50,FALSE),"0")</f>
        <v>0</v>
      </c>
      <c r="AZ187" s="74">
        <f>IFERROR(VLOOKUP(Table1215[[#This Row],[Column2]],Table12[[Column2]:[Column54]],51,FALSE),"0")</f>
        <v>4</v>
      </c>
      <c r="BA187" s="74">
        <f>IFERROR(VLOOKUP(Table1215[[#This Row],[Column2]],Table12[[Column2]:[Column54]],52,FALSE),"0")</f>
        <v>3</v>
      </c>
      <c r="BB187" s="80">
        <f>AVERAGE(Table1215[[#This Row],[Column52]],Table1215[[#This Row],[Column53]])</f>
        <v>3.5</v>
      </c>
    </row>
    <row r="188" spans="1:54" ht="23.1" customHeight="1" x14ac:dyDescent="0.3">
      <c r="A188" s="99">
        <v>185</v>
      </c>
      <c r="B188" s="76" t="s">
        <v>408</v>
      </c>
      <c r="C188" s="77" t="s">
        <v>409</v>
      </c>
      <c r="D188" s="76" t="s">
        <v>450</v>
      </c>
      <c r="E188" s="76" t="s">
        <v>493</v>
      </c>
      <c r="F188" s="76" t="str">
        <f>REPT(CHAR(160),10)&amp;Working!$E189</f>
        <v>          C</v>
      </c>
      <c r="G188" s="78">
        <f>IFERROR(VLOOKUP(Table1215[[#This Row],[Column2]],Table12[[Column2]:[Column54]],6,FALSE),"0")</f>
        <v>0</v>
      </c>
      <c r="H188" s="78">
        <f>IFERROR(VLOOKUP(Table1215[[#This Row],[Column2]],Table12[[Column2]:[Column54]],7,FALSE),"0")</f>
        <v>0</v>
      </c>
      <c r="I188" s="78">
        <f>IFERROR(VLOOKUP(Table1215[[#This Row],[Column2]],Table12[[Column2]:[Column54]],8,FALSE),"0")</f>
        <v>1</v>
      </c>
      <c r="J188" s="78">
        <f>IFERROR(VLOOKUP(Table1215[[#This Row],[Column2]],Table12[[Column2]:[Column54]],9,FALSE),"0")</f>
        <v>0</v>
      </c>
      <c r="K188" s="78">
        <f>IFERROR(VLOOKUP(Table1215[[#This Row],[Column2]],Table12[[Column2]:[Column54]],10,FALSE),"0")</f>
        <v>0</v>
      </c>
      <c r="L188" s="80">
        <f>Table1215[[#This Row],[Column9]]</f>
        <v>1</v>
      </c>
      <c r="M188" s="78">
        <f>IFERROR(VLOOKUP(Table1215[[#This Row],[Column2]],Table12[[Column2]:[Column54]],12,FALSE),"0")</f>
        <v>0</v>
      </c>
      <c r="N188" s="78">
        <f>IFERROR(VLOOKUP(Table1215[[#This Row],[Column2]],Table12[[Column2]:[Column54]],13,FALSE),"0")</f>
        <v>3</v>
      </c>
      <c r="O188" s="78">
        <f>IFERROR(VLOOKUP(Table1215[[#This Row],[Column2]],Table12[[Column2]:[Column54]],14,FALSE),"0")</f>
        <v>2</v>
      </c>
      <c r="P188" s="78">
        <f>IFERROR(VLOOKUP(Table1215[[#This Row],[Column2]],Table12[[Column2]:[Column54]],10,FALSE),"0")</f>
        <v>0</v>
      </c>
      <c r="Q188" s="78">
        <f>IFERROR(VLOOKUP(Table1215[[#This Row],[Column2]],Table12[[Column2]:[Column54]],16,FALSE),"0")</f>
        <v>2</v>
      </c>
      <c r="R188" s="80">
        <f>AVERAGE(Table1215[[#This Row],[Column14]],Table1215[[#This Row],[Column15]],Table1215[[#This Row],[Column17]])</f>
        <v>2.3333333333333335</v>
      </c>
      <c r="S188" s="78">
        <f>IFERROR(VLOOKUP(Table1215[[#This Row],[Column2]],Table12[[Column2]:[Column54]],18,FALSE),"0")</f>
        <v>0</v>
      </c>
      <c r="T188" s="78">
        <f>IFERROR(VLOOKUP(Table1215[[#This Row],[Column2]],Table12[[Column2]:[Column54]],19,FALSE),"0")</f>
        <v>0</v>
      </c>
      <c r="U188" s="78">
        <f>IFERROR(VLOOKUP(Table1215[[#This Row],[Column2]],Table12[[Column2]:[Column54]],20,FALSE),"0")</f>
        <v>0</v>
      </c>
      <c r="V188" s="78">
        <f>IFERROR(VLOOKUP(Table1215[[#This Row],[Column2]],Table12[[Column2]:[Column54]],21,FALSE),"0")</f>
        <v>0</v>
      </c>
      <c r="W188" s="78">
        <f>IFERROR(VLOOKUP(Table1215[[#This Row],[Column2]],Table12[[Column2]:[Column54]],22,FALSE),"0")</f>
        <v>0</v>
      </c>
      <c r="X188" s="80">
        <f>Table1215[[#This Row],[Column19]]</f>
        <v>0</v>
      </c>
      <c r="Y188" s="78">
        <f>IFERROR(VLOOKUP(Table1215[[#This Row],[Column2]],Table12[[Column2]:[Column54]],24,FALSE),"0")</f>
        <v>2</v>
      </c>
      <c r="Z188" s="78">
        <f>IFERROR(VLOOKUP(Table1215[[#This Row],[Column2]],Table12[[Column2]:[Column54]],25,FALSE),"0")</f>
        <v>0</v>
      </c>
      <c r="AA188" s="78">
        <f>IFERROR(VLOOKUP(Table1215[[#This Row],[Column2]],Table12[[Column2]:[Column54]],26,FALSE),"0")</f>
        <v>0</v>
      </c>
      <c r="AB188" s="78">
        <f>IFERROR(VLOOKUP(Table1215[[#This Row],[Column2]],Table12[[Column2]:[Column54]],27,FALSE),"0")</f>
        <v>0</v>
      </c>
      <c r="AC188" s="78">
        <f>IFERROR(VLOOKUP(Table1215[[#This Row],[Column2]],Table12[[Column2]:[Column54]],28,FALSE),"0")</f>
        <v>0</v>
      </c>
      <c r="AD188" s="80">
        <f>Table1215[[#This Row],[Column25]]</f>
        <v>2</v>
      </c>
      <c r="AE188" s="78">
        <f>IFERROR(VLOOKUP(Table1215[[#This Row],[Column2]],Table12[[Column2]:[Column54]],30,FALSE),"0")</f>
        <v>0</v>
      </c>
      <c r="AF188" s="78">
        <f>IFERROR(VLOOKUP(Table1215[[#This Row],[Column2]],Table12[[Column2]:[Column54]],31,FALSE),"0")</f>
        <v>0</v>
      </c>
      <c r="AG188" s="78">
        <f>IFERROR(VLOOKUP(Table1215[[#This Row],[Column2]],Table12[[Column2]:[Column54]],32,FALSE),"0")</f>
        <v>0</v>
      </c>
      <c r="AH188" s="78">
        <f>IFERROR(VLOOKUP(Table1215[[#This Row],[Column2]],Table12[[Column2]:[Column54]],33,FALSE),"0")</f>
        <v>0</v>
      </c>
      <c r="AI188" s="78">
        <f>IFERROR(VLOOKUP(Table1215[[#This Row],[Column2]],Table12[[Column2]:[Column54]],34,FALSE),"0")</f>
        <v>0</v>
      </c>
      <c r="AJ188" s="80">
        <f>AVERAGE(Table1215[[#This Row],[Column31]],Table1215[[#This Row],[Column32]],Table1215[[#This Row],[Column33]])</f>
        <v>0</v>
      </c>
      <c r="AK188" s="78">
        <f>IFERROR(VLOOKUP(Table1215[[#This Row],[Column2]],Table12[[Column2]:[Column54]],36,FALSE),"0")</f>
        <v>2</v>
      </c>
      <c r="AL188" s="78">
        <f>IFERROR(VLOOKUP(Table1215[[#This Row],[Column2]],Table12[[Column2]:[Column54]],37,FALSE),"0")</f>
        <v>2</v>
      </c>
      <c r="AM188" s="78">
        <f>IFERROR(VLOOKUP(Table1215[[#This Row],[Column2]],Table12[[Column2]:[Column54]],38,FALSE),"0")</f>
        <v>0</v>
      </c>
      <c r="AN188" s="78">
        <f>IFERROR(VLOOKUP(Table1215[[#This Row],[Column2]],Table12[[Column2]:[Column54]],39,FALSE),"0")</f>
        <v>3</v>
      </c>
      <c r="AO188" s="78">
        <f>IFERROR(VLOOKUP(Table1215[[#This Row],[Column2]],Table12[[Column2]:[Column54]],40,FALSE),"0")</f>
        <v>0</v>
      </c>
      <c r="AP188" s="80">
        <f>AVERAGE(Table1215[[#This Row],[Column37]],Table1215[[#This Row],[Column38]],Table1215[[#This Row],[Column40]])</f>
        <v>2.3333333333333335</v>
      </c>
      <c r="AQ188" s="78">
        <f>IFERROR(VLOOKUP(Table1215[[#This Row],[Column2]],Table12[[Column2]:[Column54]],42,FALSE),"0")</f>
        <v>2</v>
      </c>
      <c r="AR188" s="78">
        <f>IFERROR(VLOOKUP(Table1215[[#This Row],[Column2]],Table12[[Column2]:[Column54]],43,FALSE),"0")</f>
        <v>0</v>
      </c>
      <c r="AS188" s="78">
        <f>IFERROR(VLOOKUP(Table1215[[#This Row],[Column2]],Table12[[Column2]:[Column54]],44,FALSE),"0")</f>
        <v>0</v>
      </c>
      <c r="AT188" s="78">
        <f>IFERROR(VLOOKUP(Table1215[[#This Row],[Column2]],Table12[[Column2]:[Column54]],45,FALSE),"0")</f>
        <v>0</v>
      </c>
      <c r="AU188" s="78">
        <f>IFERROR(VLOOKUP(Table1215[[#This Row],[Column2]],Table12[[Column2]:[Column54]],46,FALSE),"0")</f>
        <v>0</v>
      </c>
      <c r="AV188" s="80">
        <f>Table1215[[#This Row],[Column43]]</f>
        <v>2</v>
      </c>
      <c r="AW188" s="78">
        <f>IFERROR(VLOOKUP(Table1215[[#This Row],[Column2]],Table12[[Column2]:[Column54]],48,FALSE),"0")</f>
        <v>0</v>
      </c>
      <c r="AX188" s="78">
        <f>IFERROR(VLOOKUP(Table1215[[#This Row],[Column2]],Table12[[Column2]:[Column54]],49,FALSE),"0")</f>
        <v>0</v>
      </c>
      <c r="AY188" s="78">
        <f>IFERROR(VLOOKUP(Table1215[[#This Row],[Column2]],Table12[[Column2]:[Column54]],50,FALSE),"0")</f>
        <v>0</v>
      </c>
      <c r="AZ188" s="78">
        <f>IFERROR(VLOOKUP(Table1215[[#This Row],[Column2]],Table12[[Column2]:[Column54]],51,FALSE),"0")</f>
        <v>2</v>
      </c>
      <c r="BA188" s="78">
        <f>IFERROR(VLOOKUP(Table1215[[#This Row],[Column2]],Table12[[Column2]:[Column54]],52,FALSE),"0")</f>
        <v>1</v>
      </c>
      <c r="BB188" s="80">
        <f>AVERAGE(Table1215[[#This Row],[Column52]],Table1215[[#This Row],[Column53]])</f>
        <v>1.5</v>
      </c>
    </row>
    <row r="189" spans="1:54" ht="23.1" customHeight="1" x14ac:dyDescent="0.3">
      <c r="A189" s="100">
        <v>186</v>
      </c>
      <c r="B189" s="83" t="s">
        <v>410</v>
      </c>
      <c r="C189" s="84" t="s">
        <v>411</v>
      </c>
      <c r="D189" s="83" t="s">
        <v>450</v>
      </c>
      <c r="E189" s="83" t="s">
        <v>493</v>
      </c>
      <c r="F189" s="83" t="str">
        <f>REPT(CHAR(160),10)&amp;Working!$E190</f>
        <v>          C</v>
      </c>
      <c r="G189" s="74">
        <f>IFERROR(VLOOKUP(Table1215[[#This Row],[Column2]],Table12[[Column2]:[Column54]],6,FALSE),"0")</f>
        <v>0</v>
      </c>
      <c r="H189" s="74">
        <f>IFERROR(VLOOKUP(Table1215[[#This Row],[Column2]],Table12[[Column2]:[Column54]],7,FALSE),"0")</f>
        <v>0</v>
      </c>
      <c r="I189" s="74">
        <f>IFERROR(VLOOKUP(Table1215[[#This Row],[Column2]],Table12[[Column2]:[Column54]],8,FALSE),"0")</f>
        <v>2</v>
      </c>
      <c r="J189" s="74">
        <f>IFERROR(VLOOKUP(Table1215[[#This Row],[Column2]],Table12[[Column2]:[Column54]],9,FALSE),"0")</f>
        <v>0</v>
      </c>
      <c r="K189" s="74">
        <f>IFERROR(VLOOKUP(Table1215[[#This Row],[Column2]],Table12[[Column2]:[Column54]],10,FALSE),"0")</f>
        <v>0</v>
      </c>
      <c r="L189" s="80">
        <f>Table1215[[#This Row],[Column9]]</f>
        <v>2</v>
      </c>
      <c r="M189" s="74">
        <f>IFERROR(VLOOKUP(Table1215[[#This Row],[Column2]],Table12[[Column2]:[Column54]],12,FALSE),"0")</f>
        <v>0</v>
      </c>
      <c r="N189" s="74">
        <f>IFERROR(VLOOKUP(Table1215[[#This Row],[Column2]],Table12[[Column2]:[Column54]],13,FALSE),"0")</f>
        <v>3</v>
      </c>
      <c r="O189" s="74">
        <f>IFERROR(VLOOKUP(Table1215[[#This Row],[Column2]],Table12[[Column2]:[Column54]],14,FALSE),"0")</f>
        <v>3</v>
      </c>
      <c r="P189" s="74">
        <f>IFERROR(VLOOKUP(Table1215[[#This Row],[Column2]],Table12[[Column2]:[Column54]],10,FALSE),"0")</f>
        <v>0</v>
      </c>
      <c r="Q189" s="74">
        <f>IFERROR(VLOOKUP(Table1215[[#This Row],[Column2]],Table12[[Column2]:[Column54]],16,FALSE),"0")</f>
        <v>3</v>
      </c>
      <c r="R189" s="80">
        <f>AVERAGE(Table1215[[#This Row],[Column14]],Table1215[[#This Row],[Column15]],Table1215[[#This Row],[Column17]])</f>
        <v>3</v>
      </c>
      <c r="S189" s="74">
        <f>IFERROR(VLOOKUP(Table1215[[#This Row],[Column2]],Table12[[Column2]:[Column54]],18,FALSE),"0")</f>
        <v>0</v>
      </c>
      <c r="T189" s="74">
        <f>IFERROR(VLOOKUP(Table1215[[#This Row],[Column2]],Table12[[Column2]:[Column54]],19,FALSE),"0")</f>
        <v>0</v>
      </c>
      <c r="U189" s="74">
        <f>IFERROR(VLOOKUP(Table1215[[#This Row],[Column2]],Table12[[Column2]:[Column54]],20,FALSE),"0")</f>
        <v>0</v>
      </c>
      <c r="V189" s="74">
        <f>IFERROR(VLOOKUP(Table1215[[#This Row],[Column2]],Table12[[Column2]:[Column54]],21,FALSE),"0")</f>
        <v>0</v>
      </c>
      <c r="W189" s="74">
        <f>IFERROR(VLOOKUP(Table1215[[#This Row],[Column2]],Table12[[Column2]:[Column54]],22,FALSE),"0")</f>
        <v>0</v>
      </c>
      <c r="X189" s="80">
        <f>Table1215[[#This Row],[Column19]]</f>
        <v>0</v>
      </c>
      <c r="Y189" s="74">
        <f>IFERROR(VLOOKUP(Table1215[[#This Row],[Column2]],Table12[[Column2]:[Column54]],24,FALSE),"0")</f>
        <v>3</v>
      </c>
      <c r="Z189" s="74">
        <f>IFERROR(VLOOKUP(Table1215[[#This Row],[Column2]],Table12[[Column2]:[Column54]],25,FALSE),"0")</f>
        <v>0</v>
      </c>
      <c r="AA189" s="74">
        <f>IFERROR(VLOOKUP(Table1215[[#This Row],[Column2]],Table12[[Column2]:[Column54]],26,FALSE),"0")</f>
        <v>0</v>
      </c>
      <c r="AB189" s="74">
        <f>IFERROR(VLOOKUP(Table1215[[#This Row],[Column2]],Table12[[Column2]:[Column54]],27,FALSE),"0")</f>
        <v>0</v>
      </c>
      <c r="AC189" s="74">
        <f>IFERROR(VLOOKUP(Table1215[[#This Row],[Column2]],Table12[[Column2]:[Column54]],28,FALSE),"0")</f>
        <v>0</v>
      </c>
      <c r="AD189" s="80">
        <f>Table1215[[#This Row],[Column25]]</f>
        <v>3</v>
      </c>
      <c r="AE189" s="74">
        <f>IFERROR(VLOOKUP(Table1215[[#This Row],[Column2]],Table12[[Column2]:[Column54]],30,FALSE),"0")</f>
        <v>0</v>
      </c>
      <c r="AF189" s="74">
        <f>IFERROR(VLOOKUP(Table1215[[#This Row],[Column2]],Table12[[Column2]:[Column54]],31,FALSE),"0")</f>
        <v>0</v>
      </c>
      <c r="AG189" s="74">
        <f>IFERROR(VLOOKUP(Table1215[[#This Row],[Column2]],Table12[[Column2]:[Column54]],32,FALSE),"0")</f>
        <v>0</v>
      </c>
      <c r="AH189" s="74">
        <f>IFERROR(VLOOKUP(Table1215[[#This Row],[Column2]],Table12[[Column2]:[Column54]],33,FALSE),"0")</f>
        <v>0</v>
      </c>
      <c r="AI189" s="74">
        <f>IFERROR(VLOOKUP(Table1215[[#This Row],[Column2]],Table12[[Column2]:[Column54]],34,FALSE),"0")</f>
        <v>0</v>
      </c>
      <c r="AJ189" s="80">
        <f>AVERAGE(Table1215[[#This Row],[Column31]],Table1215[[#This Row],[Column32]],Table1215[[#This Row],[Column33]])</f>
        <v>0</v>
      </c>
      <c r="AK189" s="74">
        <f>IFERROR(VLOOKUP(Table1215[[#This Row],[Column2]],Table12[[Column2]:[Column54]],36,FALSE),"0")</f>
        <v>2</v>
      </c>
      <c r="AL189" s="74">
        <f>IFERROR(VLOOKUP(Table1215[[#This Row],[Column2]],Table12[[Column2]:[Column54]],37,FALSE),"0")</f>
        <v>2</v>
      </c>
      <c r="AM189" s="74">
        <f>IFERROR(VLOOKUP(Table1215[[#This Row],[Column2]],Table12[[Column2]:[Column54]],38,FALSE),"0")</f>
        <v>0</v>
      </c>
      <c r="AN189" s="74">
        <f>IFERROR(VLOOKUP(Table1215[[#This Row],[Column2]],Table12[[Column2]:[Column54]],39,FALSE),"0")</f>
        <v>3</v>
      </c>
      <c r="AO189" s="74">
        <f>IFERROR(VLOOKUP(Table1215[[#This Row],[Column2]],Table12[[Column2]:[Column54]],40,FALSE),"0")</f>
        <v>0</v>
      </c>
      <c r="AP189" s="80">
        <f>AVERAGE(Table1215[[#This Row],[Column37]],Table1215[[#This Row],[Column38]],Table1215[[#This Row],[Column40]])</f>
        <v>2.3333333333333335</v>
      </c>
      <c r="AQ189" s="74">
        <f>IFERROR(VLOOKUP(Table1215[[#This Row],[Column2]],Table12[[Column2]:[Column54]],42,FALSE),"0")</f>
        <v>2</v>
      </c>
      <c r="AR189" s="74">
        <f>IFERROR(VLOOKUP(Table1215[[#This Row],[Column2]],Table12[[Column2]:[Column54]],43,FALSE),"0")</f>
        <v>0</v>
      </c>
      <c r="AS189" s="74">
        <f>IFERROR(VLOOKUP(Table1215[[#This Row],[Column2]],Table12[[Column2]:[Column54]],44,FALSE),"0")</f>
        <v>0</v>
      </c>
      <c r="AT189" s="74">
        <f>IFERROR(VLOOKUP(Table1215[[#This Row],[Column2]],Table12[[Column2]:[Column54]],45,FALSE),"0")</f>
        <v>0</v>
      </c>
      <c r="AU189" s="74">
        <f>IFERROR(VLOOKUP(Table1215[[#This Row],[Column2]],Table12[[Column2]:[Column54]],46,FALSE),"0")</f>
        <v>0</v>
      </c>
      <c r="AV189" s="80">
        <f>Table1215[[#This Row],[Column43]]</f>
        <v>2</v>
      </c>
      <c r="AW189" s="74">
        <f>IFERROR(VLOOKUP(Table1215[[#This Row],[Column2]],Table12[[Column2]:[Column54]],48,FALSE),"0")</f>
        <v>0</v>
      </c>
      <c r="AX189" s="74">
        <f>IFERROR(VLOOKUP(Table1215[[#This Row],[Column2]],Table12[[Column2]:[Column54]],49,FALSE),"0")</f>
        <v>0</v>
      </c>
      <c r="AY189" s="74">
        <f>IFERROR(VLOOKUP(Table1215[[#This Row],[Column2]],Table12[[Column2]:[Column54]],50,FALSE),"0")</f>
        <v>0</v>
      </c>
      <c r="AZ189" s="74">
        <f>IFERROR(VLOOKUP(Table1215[[#This Row],[Column2]],Table12[[Column2]:[Column54]],51,FALSE),"0")</f>
        <v>2</v>
      </c>
      <c r="BA189" s="74">
        <f>IFERROR(VLOOKUP(Table1215[[#This Row],[Column2]],Table12[[Column2]:[Column54]],52,FALSE),"0")</f>
        <v>2</v>
      </c>
      <c r="BB189" s="80">
        <f>AVERAGE(Table1215[[#This Row],[Column52]],Table1215[[#This Row],[Column53]])</f>
        <v>2</v>
      </c>
    </row>
    <row r="190" spans="1:54" ht="23.1" customHeight="1" x14ac:dyDescent="0.3">
      <c r="A190" s="99">
        <v>187</v>
      </c>
      <c r="B190" s="76" t="s">
        <v>412</v>
      </c>
      <c r="C190" s="77" t="s">
        <v>413</v>
      </c>
      <c r="D190" s="76" t="s">
        <v>542</v>
      </c>
      <c r="E190" s="76" t="s">
        <v>493</v>
      </c>
      <c r="F190" s="76" t="str">
        <f>REPT(CHAR(160),10)&amp;Working!$E191</f>
        <v>          C</v>
      </c>
      <c r="G190" s="78">
        <f>IFERROR(VLOOKUP(Table1215[[#This Row],[Column2]],Table12[[Column2]:[Column54]],6,FALSE),"0")</f>
        <v>0</v>
      </c>
      <c r="H190" s="78">
        <f>IFERROR(VLOOKUP(Table1215[[#This Row],[Column2]],Table12[[Column2]:[Column54]],7,FALSE),"0")</f>
        <v>0</v>
      </c>
      <c r="I190" s="78">
        <f>IFERROR(VLOOKUP(Table1215[[#This Row],[Column2]],Table12[[Column2]:[Column54]],8,FALSE),"0")</f>
        <v>2</v>
      </c>
      <c r="J190" s="78">
        <f>IFERROR(VLOOKUP(Table1215[[#This Row],[Column2]],Table12[[Column2]:[Column54]],9,FALSE),"0")</f>
        <v>0</v>
      </c>
      <c r="K190" s="78">
        <f>IFERROR(VLOOKUP(Table1215[[#This Row],[Column2]],Table12[[Column2]:[Column54]],10,FALSE),"0")</f>
        <v>0</v>
      </c>
      <c r="L190" s="80">
        <f>Table1215[[#This Row],[Column9]]</f>
        <v>2</v>
      </c>
      <c r="M190" s="78">
        <f>IFERROR(VLOOKUP(Table1215[[#This Row],[Column2]],Table12[[Column2]:[Column54]],12,FALSE),"0")</f>
        <v>0</v>
      </c>
      <c r="N190" s="78">
        <f>IFERROR(VLOOKUP(Table1215[[#This Row],[Column2]],Table12[[Column2]:[Column54]],13,FALSE),"0")</f>
        <v>2</v>
      </c>
      <c r="O190" s="78">
        <f>IFERROR(VLOOKUP(Table1215[[#This Row],[Column2]],Table12[[Column2]:[Column54]],14,FALSE),"0")</f>
        <v>2</v>
      </c>
      <c r="P190" s="78">
        <f>IFERROR(VLOOKUP(Table1215[[#This Row],[Column2]],Table12[[Column2]:[Column54]],10,FALSE),"0")</f>
        <v>0</v>
      </c>
      <c r="Q190" s="78">
        <f>IFERROR(VLOOKUP(Table1215[[#This Row],[Column2]],Table12[[Column2]:[Column54]],16,FALSE),"0")</f>
        <v>2</v>
      </c>
      <c r="R190" s="80">
        <f>AVERAGE(Table1215[[#This Row],[Column14]],Table1215[[#This Row],[Column15]],Table1215[[#This Row],[Column17]])</f>
        <v>2</v>
      </c>
      <c r="S190" s="78">
        <f>IFERROR(VLOOKUP(Table1215[[#This Row],[Column2]],Table12[[Column2]:[Column54]],18,FALSE),"0")</f>
        <v>0</v>
      </c>
      <c r="T190" s="78">
        <f>IFERROR(VLOOKUP(Table1215[[#This Row],[Column2]],Table12[[Column2]:[Column54]],19,FALSE),"0")</f>
        <v>0</v>
      </c>
      <c r="U190" s="78">
        <f>IFERROR(VLOOKUP(Table1215[[#This Row],[Column2]],Table12[[Column2]:[Column54]],20,FALSE),"0")</f>
        <v>0</v>
      </c>
      <c r="V190" s="78">
        <f>IFERROR(VLOOKUP(Table1215[[#This Row],[Column2]],Table12[[Column2]:[Column54]],21,FALSE),"0")</f>
        <v>0</v>
      </c>
      <c r="W190" s="78">
        <f>IFERROR(VLOOKUP(Table1215[[#This Row],[Column2]],Table12[[Column2]:[Column54]],22,FALSE),"0")</f>
        <v>0</v>
      </c>
      <c r="X190" s="80">
        <f>Table1215[[#This Row],[Column19]]</f>
        <v>0</v>
      </c>
      <c r="Y190" s="78">
        <f>IFERROR(VLOOKUP(Table1215[[#This Row],[Column2]],Table12[[Column2]:[Column54]],24,FALSE),"0")</f>
        <v>2</v>
      </c>
      <c r="Z190" s="78">
        <f>IFERROR(VLOOKUP(Table1215[[#This Row],[Column2]],Table12[[Column2]:[Column54]],25,FALSE),"0")</f>
        <v>0</v>
      </c>
      <c r="AA190" s="78">
        <f>IFERROR(VLOOKUP(Table1215[[#This Row],[Column2]],Table12[[Column2]:[Column54]],26,FALSE),"0")</f>
        <v>0</v>
      </c>
      <c r="AB190" s="78">
        <f>IFERROR(VLOOKUP(Table1215[[#This Row],[Column2]],Table12[[Column2]:[Column54]],27,FALSE),"0")</f>
        <v>0</v>
      </c>
      <c r="AC190" s="78">
        <f>IFERROR(VLOOKUP(Table1215[[#This Row],[Column2]],Table12[[Column2]:[Column54]],28,FALSE),"0")</f>
        <v>0</v>
      </c>
      <c r="AD190" s="80">
        <f>Table1215[[#This Row],[Column25]]</f>
        <v>2</v>
      </c>
      <c r="AE190" s="78">
        <f>IFERROR(VLOOKUP(Table1215[[#This Row],[Column2]],Table12[[Column2]:[Column54]],30,FALSE),"0")</f>
        <v>0</v>
      </c>
      <c r="AF190" s="78">
        <f>IFERROR(VLOOKUP(Table1215[[#This Row],[Column2]],Table12[[Column2]:[Column54]],31,FALSE),"0")</f>
        <v>0</v>
      </c>
      <c r="AG190" s="78">
        <f>IFERROR(VLOOKUP(Table1215[[#This Row],[Column2]],Table12[[Column2]:[Column54]],32,FALSE),"0")</f>
        <v>0</v>
      </c>
      <c r="AH190" s="78">
        <f>IFERROR(VLOOKUP(Table1215[[#This Row],[Column2]],Table12[[Column2]:[Column54]],33,FALSE),"0")</f>
        <v>0</v>
      </c>
      <c r="AI190" s="78">
        <f>IFERROR(VLOOKUP(Table1215[[#This Row],[Column2]],Table12[[Column2]:[Column54]],34,FALSE),"0")</f>
        <v>0</v>
      </c>
      <c r="AJ190" s="80">
        <f>AVERAGE(Table1215[[#This Row],[Column31]],Table1215[[#This Row],[Column32]],Table1215[[#This Row],[Column33]])</f>
        <v>0</v>
      </c>
      <c r="AK190" s="78">
        <f>IFERROR(VLOOKUP(Table1215[[#This Row],[Column2]],Table12[[Column2]:[Column54]],36,FALSE),"0")</f>
        <v>2</v>
      </c>
      <c r="AL190" s="78">
        <f>IFERROR(VLOOKUP(Table1215[[#This Row],[Column2]],Table12[[Column2]:[Column54]],37,FALSE),"0")</f>
        <v>3</v>
      </c>
      <c r="AM190" s="78">
        <f>IFERROR(VLOOKUP(Table1215[[#This Row],[Column2]],Table12[[Column2]:[Column54]],38,FALSE),"0")</f>
        <v>0</v>
      </c>
      <c r="AN190" s="78">
        <f>IFERROR(VLOOKUP(Table1215[[#This Row],[Column2]],Table12[[Column2]:[Column54]],39,FALSE),"0")</f>
        <v>4</v>
      </c>
      <c r="AO190" s="78">
        <f>IFERROR(VLOOKUP(Table1215[[#This Row],[Column2]],Table12[[Column2]:[Column54]],40,FALSE),"0")</f>
        <v>0</v>
      </c>
      <c r="AP190" s="80">
        <f>AVERAGE(Table1215[[#This Row],[Column37]],Table1215[[#This Row],[Column38]],Table1215[[#This Row],[Column40]])</f>
        <v>3</v>
      </c>
      <c r="AQ190" s="78">
        <f>IFERROR(VLOOKUP(Table1215[[#This Row],[Column2]],Table12[[Column2]:[Column54]],42,FALSE),"0")</f>
        <v>1</v>
      </c>
      <c r="AR190" s="78">
        <f>IFERROR(VLOOKUP(Table1215[[#This Row],[Column2]],Table12[[Column2]:[Column54]],43,FALSE),"0")</f>
        <v>0</v>
      </c>
      <c r="AS190" s="78">
        <f>IFERROR(VLOOKUP(Table1215[[#This Row],[Column2]],Table12[[Column2]:[Column54]],44,FALSE),"0")</f>
        <v>0</v>
      </c>
      <c r="AT190" s="78">
        <f>IFERROR(VLOOKUP(Table1215[[#This Row],[Column2]],Table12[[Column2]:[Column54]],45,FALSE),"0")</f>
        <v>0</v>
      </c>
      <c r="AU190" s="78">
        <f>IFERROR(VLOOKUP(Table1215[[#This Row],[Column2]],Table12[[Column2]:[Column54]],46,FALSE),"0")</f>
        <v>0</v>
      </c>
      <c r="AV190" s="80">
        <f>Table1215[[#This Row],[Column43]]</f>
        <v>1</v>
      </c>
      <c r="AW190" s="78">
        <f>IFERROR(VLOOKUP(Table1215[[#This Row],[Column2]],Table12[[Column2]:[Column54]],48,FALSE),"0")</f>
        <v>0</v>
      </c>
      <c r="AX190" s="78">
        <f>IFERROR(VLOOKUP(Table1215[[#This Row],[Column2]],Table12[[Column2]:[Column54]],49,FALSE),"0")</f>
        <v>0</v>
      </c>
      <c r="AY190" s="78">
        <f>IFERROR(VLOOKUP(Table1215[[#This Row],[Column2]],Table12[[Column2]:[Column54]],50,FALSE),"0")</f>
        <v>0</v>
      </c>
      <c r="AZ190" s="78">
        <f>IFERROR(VLOOKUP(Table1215[[#This Row],[Column2]],Table12[[Column2]:[Column54]],51,FALSE),"0")</f>
        <v>4</v>
      </c>
      <c r="BA190" s="78">
        <f>IFERROR(VLOOKUP(Table1215[[#This Row],[Column2]],Table12[[Column2]:[Column54]],52,FALSE),"0")</f>
        <v>2</v>
      </c>
      <c r="BB190" s="80">
        <f>AVERAGE(Table1215[[#This Row],[Column52]],Table1215[[#This Row],[Column53]])</f>
        <v>3</v>
      </c>
    </row>
    <row r="191" spans="1:54" ht="23.1" customHeight="1" x14ac:dyDescent="0.3">
      <c r="A191" s="100">
        <v>188</v>
      </c>
      <c r="B191" s="83" t="s">
        <v>148</v>
      </c>
      <c r="C191" s="84" t="s">
        <v>149</v>
      </c>
      <c r="D191" s="83" t="s">
        <v>542</v>
      </c>
      <c r="E191" s="83" t="s">
        <v>35</v>
      </c>
      <c r="F191" s="83" t="str">
        <f>REPT(CHAR(160),10)&amp;Working!$E192</f>
        <v>          A</v>
      </c>
      <c r="G191" s="74">
        <f>IFERROR(VLOOKUP(Table1215[[#This Row],[Column2]],Table12[[Column2]:[Column54]],6,FALSE),"0")</f>
        <v>0</v>
      </c>
      <c r="H191" s="74">
        <f>IFERROR(VLOOKUP(Table1215[[#This Row],[Column2]],Table12[[Column2]:[Column54]],7,FALSE),"0")</f>
        <v>0</v>
      </c>
      <c r="I191" s="74">
        <f>IFERROR(VLOOKUP(Table1215[[#This Row],[Column2]],Table12[[Column2]:[Column54]],8,FALSE),"0")</f>
        <v>2</v>
      </c>
      <c r="J191" s="74">
        <f>IFERROR(VLOOKUP(Table1215[[#This Row],[Column2]],Table12[[Column2]:[Column54]],9,FALSE),"0")</f>
        <v>0</v>
      </c>
      <c r="K191" s="74">
        <f>IFERROR(VLOOKUP(Table1215[[#This Row],[Column2]],Table12[[Column2]:[Column54]],10,FALSE),"0")</f>
        <v>0</v>
      </c>
      <c r="L191" s="80">
        <f>Table1215[[#This Row],[Column9]]</f>
        <v>2</v>
      </c>
      <c r="M191" s="74">
        <f>IFERROR(VLOOKUP(Table1215[[#This Row],[Column2]],Table12[[Column2]:[Column54]],12,FALSE),"0")</f>
        <v>0</v>
      </c>
      <c r="N191" s="74">
        <f>IFERROR(VLOOKUP(Table1215[[#This Row],[Column2]],Table12[[Column2]:[Column54]],13,FALSE),"0")</f>
        <v>2</v>
      </c>
      <c r="O191" s="74">
        <f>IFERROR(VLOOKUP(Table1215[[#This Row],[Column2]],Table12[[Column2]:[Column54]],14,FALSE),"0")</f>
        <v>2</v>
      </c>
      <c r="P191" s="74">
        <f>IFERROR(VLOOKUP(Table1215[[#This Row],[Column2]],Table12[[Column2]:[Column54]],10,FALSE),"0")</f>
        <v>0</v>
      </c>
      <c r="Q191" s="74">
        <f>IFERROR(VLOOKUP(Table1215[[#This Row],[Column2]],Table12[[Column2]:[Column54]],16,FALSE),"0")</f>
        <v>2</v>
      </c>
      <c r="R191" s="80">
        <f>AVERAGE(Table1215[[#This Row],[Column14]],Table1215[[#This Row],[Column15]],Table1215[[#This Row],[Column17]])</f>
        <v>2</v>
      </c>
      <c r="S191" s="74">
        <f>IFERROR(VLOOKUP(Table1215[[#This Row],[Column2]],Table12[[Column2]:[Column54]],18,FALSE),"0")</f>
        <v>0</v>
      </c>
      <c r="T191" s="74">
        <f>IFERROR(VLOOKUP(Table1215[[#This Row],[Column2]],Table12[[Column2]:[Column54]],19,FALSE),"0")</f>
        <v>0</v>
      </c>
      <c r="U191" s="74">
        <f>IFERROR(VLOOKUP(Table1215[[#This Row],[Column2]],Table12[[Column2]:[Column54]],20,FALSE),"0")</f>
        <v>0</v>
      </c>
      <c r="V191" s="74">
        <f>IFERROR(VLOOKUP(Table1215[[#This Row],[Column2]],Table12[[Column2]:[Column54]],21,FALSE),"0")</f>
        <v>0</v>
      </c>
      <c r="W191" s="74">
        <f>IFERROR(VLOOKUP(Table1215[[#This Row],[Column2]],Table12[[Column2]:[Column54]],22,FALSE),"0")</f>
        <v>0</v>
      </c>
      <c r="X191" s="80">
        <f>Table1215[[#This Row],[Column19]]</f>
        <v>0</v>
      </c>
      <c r="Y191" s="74">
        <f>IFERROR(VLOOKUP(Table1215[[#This Row],[Column2]],Table12[[Column2]:[Column54]],24,FALSE),"0")</f>
        <v>2</v>
      </c>
      <c r="Z191" s="74">
        <f>IFERROR(VLOOKUP(Table1215[[#This Row],[Column2]],Table12[[Column2]:[Column54]],25,FALSE),"0")</f>
        <v>0</v>
      </c>
      <c r="AA191" s="74">
        <f>IFERROR(VLOOKUP(Table1215[[#This Row],[Column2]],Table12[[Column2]:[Column54]],26,FALSE),"0")</f>
        <v>0</v>
      </c>
      <c r="AB191" s="74">
        <f>IFERROR(VLOOKUP(Table1215[[#This Row],[Column2]],Table12[[Column2]:[Column54]],27,FALSE),"0")</f>
        <v>0</v>
      </c>
      <c r="AC191" s="74">
        <f>IFERROR(VLOOKUP(Table1215[[#This Row],[Column2]],Table12[[Column2]:[Column54]],28,FALSE),"0")</f>
        <v>0</v>
      </c>
      <c r="AD191" s="80">
        <f>Table1215[[#This Row],[Column25]]</f>
        <v>2</v>
      </c>
      <c r="AE191" s="74">
        <f>IFERROR(VLOOKUP(Table1215[[#This Row],[Column2]],Table12[[Column2]:[Column54]],30,FALSE),"0")</f>
        <v>0</v>
      </c>
      <c r="AF191" s="74">
        <f>IFERROR(VLOOKUP(Table1215[[#This Row],[Column2]],Table12[[Column2]:[Column54]],31,FALSE),"0")</f>
        <v>0</v>
      </c>
      <c r="AG191" s="74">
        <f>IFERROR(VLOOKUP(Table1215[[#This Row],[Column2]],Table12[[Column2]:[Column54]],32,FALSE),"0")</f>
        <v>0</v>
      </c>
      <c r="AH191" s="74">
        <f>IFERROR(VLOOKUP(Table1215[[#This Row],[Column2]],Table12[[Column2]:[Column54]],33,FALSE),"0")</f>
        <v>0</v>
      </c>
      <c r="AI191" s="74">
        <f>IFERROR(VLOOKUP(Table1215[[#This Row],[Column2]],Table12[[Column2]:[Column54]],34,FALSE),"0")</f>
        <v>0</v>
      </c>
      <c r="AJ191" s="80">
        <f>AVERAGE(Table1215[[#This Row],[Column31]],Table1215[[#This Row],[Column32]],Table1215[[#This Row],[Column33]])</f>
        <v>0</v>
      </c>
      <c r="AK191" s="74">
        <f>IFERROR(VLOOKUP(Table1215[[#This Row],[Column2]],Table12[[Column2]:[Column54]],36,FALSE),"0")</f>
        <v>2</v>
      </c>
      <c r="AL191" s="74">
        <f>IFERROR(VLOOKUP(Table1215[[#This Row],[Column2]],Table12[[Column2]:[Column54]],37,FALSE),"0")</f>
        <v>2</v>
      </c>
      <c r="AM191" s="74">
        <f>IFERROR(VLOOKUP(Table1215[[#This Row],[Column2]],Table12[[Column2]:[Column54]],38,FALSE),"0")</f>
        <v>0</v>
      </c>
      <c r="AN191" s="74">
        <f>IFERROR(VLOOKUP(Table1215[[#This Row],[Column2]],Table12[[Column2]:[Column54]],39,FALSE),"0")</f>
        <v>2</v>
      </c>
      <c r="AO191" s="74">
        <f>IFERROR(VLOOKUP(Table1215[[#This Row],[Column2]],Table12[[Column2]:[Column54]],40,FALSE),"0")</f>
        <v>0</v>
      </c>
      <c r="AP191" s="80">
        <f>AVERAGE(Table1215[[#This Row],[Column37]],Table1215[[#This Row],[Column38]],Table1215[[#This Row],[Column40]])</f>
        <v>2</v>
      </c>
      <c r="AQ191" s="74">
        <f>IFERROR(VLOOKUP(Table1215[[#This Row],[Column2]],Table12[[Column2]:[Column54]],42,FALSE),"0")</f>
        <v>2</v>
      </c>
      <c r="AR191" s="74">
        <f>IFERROR(VLOOKUP(Table1215[[#This Row],[Column2]],Table12[[Column2]:[Column54]],43,FALSE),"0")</f>
        <v>0</v>
      </c>
      <c r="AS191" s="74">
        <f>IFERROR(VLOOKUP(Table1215[[#This Row],[Column2]],Table12[[Column2]:[Column54]],44,FALSE),"0")</f>
        <v>0</v>
      </c>
      <c r="AT191" s="74">
        <f>IFERROR(VLOOKUP(Table1215[[#This Row],[Column2]],Table12[[Column2]:[Column54]],45,FALSE),"0")</f>
        <v>0</v>
      </c>
      <c r="AU191" s="74">
        <f>IFERROR(VLOOKUP(Table1215[[#This Row],[Column2]],Table12[[Column2]:[Column54]],46,FALSE),"0")</f>
        <v>0</v>
      </c>
      <c r="AV191" s="80">
        <f>Table1215[[#This Row],[Column43]]</f>
        <v>2</v>
      </c>
      <c r="AW191" s="74">
        <f>IFERROR(VLOOKUP(Table1215[[#This Row],[Column2]],Table12[[Column2]:[Column54]],48,FALSE),"0")</f>
        <v>0</v>
      </c>
      <c r="AX191" s="74">
        <f>IFERROR(VLOOKUP(Table1215[[#This Row],[Column2]],Table12[[Column2]:[Column54]],49,FALSE),"0")</f>
        <v>0</v>
      </c>
      <c r="AY191" s="74">
        <f>IFERROR(VLOOKUP(Table1215[[#This Row],[Column2]],Table12[[Column2]:[Column54]],50,FALSE),"0")</f>
        <v>0</v>
      </c>
      <c r="AZ191" s="74">
        <f>IFERROR(VLOOKUP(Table1215[[#This Row],[Column2]],Table12[[Column2]:[Column54]],51,FALSE),"0")</f>
        <v>3</v>
      </c>
      <c r="BA191" s="74">
        <f>IFERROR(VLOOKUP(Table1215[[#This Row],[Column2]],Table12[[Column2]:[Column54]],52,FALSE),"0")</f>
        <v>3</v>
      </c>
      <c r="BB191" s="80">
        <f>AVERAGE(Table1215[[#This Row],[Column52]],Table1215[[#This Row],[Column53]])</f>
        <v>3</v>
      </c>
    </row>
    <row r="192" spans="1:54" ht="23.1" customHeight="1" x14ac:dyDescent="0.3">
      <c r="A192" s="99">
        <v>189</v>
      </c>
      <c r="B192" s="76" t="s">
        <v>414</v>
      </c>
      <c r="C192" s="77" t="s">
        <v>415</v>
      </c>
      <c r="D192" s="76" t="s">
        <v>450</v>
      </c>
      <c r="E192" s="76" t="s">
        <v>493</v>
      </c>
      <c r="F192" s="76" t="str">
        <f>REPT(CHAR(160),10)&amp;Working!$E193</f>
        <v>          C</v>
      </c>
      <c r="G192" s="78">
        <f>IFERROR(VLOOKUP(Table1215[[#This Row],[Column2]],Table12[[Column2]:[Column54]],6,FALSE),"0")</f>
        <v>0</v>
      </c>
      <c r="H192" s="78">
        <f>IFERROR(VLOOKUP(Table1215[[#This Row],[Column2]],Table12[[Column2]:[Column54]],7,FALSE),"0")</f>
        <v>0</v>
      </c>
      <c r="I192" s="78">
        <f>IFERROR(VLOOKUP(Table1215[[#This Row],[Column2]],Table12[[Column2]:[Column54]],8,FALSE),"0")</f>
        <v>2</v>
      </c>
      <c r="J192" s="78">
        <f>IFERROR(VLOOKUP(Table1215[[#This Row],[Column2]],Table12[[Column2]:[Column54]],9,FALSE),"0")</f>
        <v>0</v>
      </c>
      <c r="K192" s="78">
        <f>IFERROR(VLOOKUP(Table1215[[#This Row],[Column2]],Table12[[Column2]:[Column54]],10,FALSE),"0")</f>
        <v>0</v>
      </c>
      <c r="L192" s="80">
        <f>Table1215[[#This Row],[Column9]]</f>
        <v>2</v>
      </c>
      <c r="M192" s="78">
        <f>IFERROR(VLOOKUP(Table1215[[#This Row],[Column2]],Table12[[Column2]:[Column54]],12,FALSE),"0")</f>
        <v>0</v>
      </c>
      <c r="N192" s="78">
        <f>IFERROR(VLOOKUP(Table1215[[#This Row],[Column2]],Table12[[Column2]:[Column54]],13,FALSE),"0")</f>
        <v>3</v>
      </c>
      <c r="O192" s="78">
        <f>IFERROR(VLOOKUP(Table1215[[#This Row],[Column2]],Table12[[Column2]:[Column54]],14,FALSE),"0")</f>
        <v>2</v>
      </c>
      <c r="P192" s="78">
        <f>IFERROR(VLOOKUP(Table1215[[#This Row],[Column2]],Table12[[Column2]:[Column54]],10,FALSE),"0")</f>
        <v>0</v>
      </c>
      <c r="Q192" s="78">
        <f>IFERROR(VLOOKUP(Table1215[[#This Row],[Column2]],Table12[[Column2]:[Column54]],16,FALSE),"0")</f>
        <v>2</v>
      </c>
      <c r="R192" s="80">
        <f>AVERAGE(Table1215[[#This Row],[Column14]],Table1215[[#This Row],[Column15]],Table1215[[#This Row],[Column17]])</f>
        <v>2.3333333333333335</v>
      </c>
      <c r="S192" s="78">
        <f>IFERROR(VLOOKUP(Table1215[[#This Row],[Column2]],Table12[[Column2]:[Column54]],18,FALSE),"0")</f>
        <v>0</v>
      </c>
      <c r="T192" s="78">
        <f>IFERROR(VLOOKUP(Table1215[[#This Row],[Column2]],Table12[[Column2]:[Column54]],19,FALSE),"0")</f>
        <v>0</v>
      </c>
      <c r="U192" s="78">
        <f>IFERROR(VLOOKUP(Table1215[[#This Row],[Column2]],Table12[[Column2]:[Column54]],20,FALSE),"0")</f>
        <v>0</v>
      </c>
      <c r="V192" s="78">
        <f>IFERROR(VLOOKUP(Table1215[[#This Row],[Column2]],Table12[[Column2]:[Column54]],21,FALSE),"0")</f>
        <v>0</v>
      </c>
      <c r="W192" s="78">
        <f>IFERROR(VLOOKUP(Table1215[[#This Row],[Column2]],Table12[[Column2]:[Column54]],22,FALSE),"0")</f>
        <v>0</v>
      </c>
      <c r="X192" s="80">
        <f>Table1215[[#This Row],[Column19]]</f>
        <v>0</v>
      </c>
      <c r="Y192" s="78">
        <f>IFERROR(VLOOKUP(Table1215[[#This Row],[Column2]],Table12[[Column2]:[Column54]],24,FALSE),"0")</f>
        <v>2</v>
      </c>
      <c r="Z192" s="78">
        <f>IFERROR(VLOOKUP(Table1215[[#This Row],[Column2]],Table12[[Column2]:[Column54]],25,FALSE),"0")</f>
        <v>0</v>
      </c>
      <c r="AA192" s="78">
        <f>IFERROR(VLOOKUP(Table1215[[#This Row],[Column2]],Table12[[Column2]:[Column54]],26,FALSE),"0")</f>
        <v>0</v>
      </c>
      <c r="AB192" s="78">
        <f>IFERROR(VLOOKUP(Table1215[[#This Row],[Column2]],Table12[[Column2]:[Column54]],27,FALSE),"0")</f>
        <v>0</v>
      </c>
      <c r="AC192" s="78">
        <f>IFERROR(VLOOKUP(Table1215[[#This Row],[Column2]],Table12[[Column2]:[Column54]],28,FALSE),"0")</f>
        <v>0</v>
      </c>
      <c r="AD192" s="80">
        <f>Table1215[[#This Row],[Column25]]</f>
        <v>2</v>
      </c>
      <c r="AE192" s="78">
        <f>IFERROR(VLOOKUP(Table1215[[#This Row],[Column2]],Table12[[Column2]:[Column54]],30,FALSE),"0")</f>
        <v>0</v>
      </c>
      <c r="AF192" s="78">
        <f>IFERROR(VLOOKUP(Table1215[[#This Row],[Column2]],Table12[[Column2]:[Column54]],31,FALSE),"0")</f>
        <v>0</v>
      </c>
      <c r="AG192" s="78">
        <f>IFERROR(VLOOKUP(Table1215[[#This Row],[Column2]],Table12[[Column2]:[Column54]],32,FALSE),"0")</f>
        <v>0</v>
      </c>
      <c r="AH192" s="78">
        <f>IFERROR(VLOOKUP(Table1215[[#This Row],[Column2]],Table12[[Column2]:[Column54]],33,FALSE),"0")</f>
        <v>0</v>
      </c>
      <c r="AI192" s="78">
        <f>IFERROR(VLOOKUP(Table1215[[#This Row],[Column2]],Table12[[Column2]:[Column54]],34,FALSE),"0")</f>
        <v>0</v>
      </c>
      <c r="AJ192" s="80">
        <f>AVERAGE(Table1215[[#This Row],[Column31]],Table1215[[#This Row],[Column32]],Table1215[[#This Row],[Column33]])</f>
        <v>0</v>
      </c>
      <c r="AK192" s="78">
        <f>IFERROR(VLOOKUP(Table1215[[#This Row],[Column2]],Table12[[Column2]:[Column54]],36,FALSE),"0")</f>
        <v>2</v>
      </c>
      <c r="AL192" s="78">
        <f>IFERROR(VLOOKUP(Table1215[[#This Row],[Column2]],Table12[[Column2]:[Column54]],37,FALSE),"0")</f>
        <v>2</v>
      </c>
      <c r="AM192" s="78">
        <f>IFERROR(VLOOKUP(Table1215[[#This Row],[Column2]],Table12[[Column2]:[Column54]],38,FALSE),"0")</f>
        <v>0</v>
      </c>
      <c r="AN192" s="78">
        <f>IFERROR(VLOOKUP(Table1215[[#This Row],[Column2]],Table12[[Column2]:[Column54]],39,FALSE),"0")</f>
        <v>2</v>
      </c>
      <c r="AO192" s="78">
        <f>IFERROR(VLOOKUP(Table1215[[#This Row],[Column2]],Table12[[Column2]:[Column54]],40,FALSE),"0")</f>
        <v>0</v>
      </c>
      <c r="AP192" s="80">
        <f>AVERAGE(Table1215[[#This Row],[Column37]],Table1215[[#This Row],[Column38]],Table1215[[#This Row],[Column40]])</f>
        <v>2</v>
      </c>
      <c r="AQ192" s="78">
        <f>IFERROR(VLOOKUP(Table1215[[#This Row],[Column2]],Table12[[Column2]:[Column54]],42,FALSE),"0")</f>
        <v>3</v>
      </c>
      <c r="AR192" s="78">
        <f>IFERROR(VLOOKUP(Table1215[[#This Row],[Column2]],Table12[[Column2]:[Column54]],43,FALSE),"0")</f>
        <v>0</v>
      </c>
      <c r="AS192" s="78">
        <f>IFERROR(VLOOKUP(Table1215[[#This Row],[Column2]],Table12[[Column2]:[Column54]],44,FALSE),"0")</f>
        <v>0</v>
      </c>
      <c r="AT192" s="78">
        <f>IFERROR(VLOOKUP(Table1215[[#This Row],[Column2]],Table12[[Column2]:[Column54]],45,FALSE),"0")</f>
        <v>0</v>
      </c>
      <c r="AU192" s="78">
        <f>IFERROR(VLOOKUP(Table1215[[#This Row],[Column2]],Table12[[Column2]:[Column54]],46,FALSE),"0")</f>
        <v>0</v>
      </c>
      <c r="AV192" s="80">
        <f>Table1215[[#This Row],[Column43]]</f>
        <v>3</v>
      </c>
      <c r="AW192" s="78">
        <f>IFERROR(VLOOKUP(Table1215[[#This Row],[Column2]],Table12[[Column2]:[Column54]],48,FALSE),"0")</f>
        <v>0</v>
      </c>
      <c r="AX192" s="78">
        <f>IFERROR(VLOOKUP(Table1215[[#This Row],[Column2]],Table12[[Column2]:[Column54]],49,FALSE),"0")</f>
        <v>0</v>
      </c>
      <c r="AY192" s="78">
        <f>IFERROR(VLOOKUP(Table1215[[#This Row],[Column2]],Table12[[Column2]:[Column54]],50,FALSE),"0")</f>
        <v>0</v>
      </c>
      <c r="AZ192" s="78">
        <f>IFERROR(VLOOKUP(Table1215[[#This Row],[Column2]],Table12[[Column2]:[Column54]],51,FALSE),"0")</f>
        <v>3</v>
      </c>
      <c r="BA192" s="78">
        <f>IFERROR(VLOOKUP(Table1215[[#This Row],[Column2]],Table12[[Column2]:[Column54]],52,FALSE),"0")</f>
        <v>3</v>
      </c>
      <c r="BB192" s="80">
        <f>AVERAGE(Table1215[[#This Row],[Column52]],Table1215[[#This Row],[Column53]])</f>
        <v>3</v>
      </c>
    </row>
    <row r="193" spans="1:54" ht="23.1" customHeight="1" x14ac:dyDescent="0.3">
      <c r="A193" s="100">
        <v>190</v>
      </c>
      <c r="B193" s="83" t="s">
        <v>416</v>
      </c>
      <c r="C193" s="84" t="s">
        <v>417</v>
      </c>
      <c r="D193" s="83" t="s">
        <v>542</v>
      </c>
      <c r="E193" s="83" t="s">
        <v>289</v>
      </c>
      <c r="F193" s="83" t="str">
        <f>REPT(CHAR(160),10)&amp;Working!$E194</f>
        <v>          D</v>
      </c>
      <c r="G193" s="74">
        <f>IFERROR(VLOOKUP(Table1215[[#This Row],[Column2]],Table12[[Column2]:[Column54]],6,FALSE),"0")</f>
        <v>0</v>
      </c>
      <c r="H193" s="74">
        <f>IFERROR(VLOOKUP(Table1215[[#This Row],[Column2]],Table12[[Column2]:[Column54]],7,FALSE),"0")</f>
        <v>0</v>
      </c>
      <c r="I193" s="74">
        <f>IFERROR(VLOOKUP(Table1215[[#This Row],[Column2]],Table12[[Column2]:[Column54]],8,FALSE),"0")</f>
        <v>3</v>
      </c>
      <c r="J193" s="74">
        <f>IFERROR(VLOOKUP(Table1215[[#This Row],[Column2]],Table12[[Column2]:[Column54]],9,FALSE),"0")</f>
        <v>0</v>
      </c>
      <c r="K193" s="74">
        <f>IFERROR(VLOOKUP(Table1215[[#This Row],[Column2]],Table12[[Column2]:[Column54]],10,FALSE),"0")</f>
        <v>0</v>
      </c>
      <c r="L193" s="80">
        <f>Table1215[[#This Row],[Column9]]</f>
        <v>3</v>
      </c>
      <c r="M193" s="74">
        <f>IFERROR(VLOOKUP(Table1215[[#This Row],[Column2]],Table12[[Column2]:[Column54]],12,FALSE),"0")</f>
        <v>0</v>
      </c>
      <c r="N193" s="74">
        <f>IFERROR(VLOOKUP(Table1215[[#This Row],[Column2]],Table12[[Column2]:[Column54]],13,FALSE),"0")</f>
        <v>3</v>
      </c>
      <c r="O193" s="74">
        <f>IFERROR(VLOOKUP(Table1215[[#This Row],[Column2]],Table12[[Column2]:[Column54]],14,FALSE),"0")</f>
        <v>3</v>
      </c>
      <c r="P193" s="74">
        <f>IFERROR(VLOOKUP(Table1215[[#This Row],[Column2]],Table12[[Column2]:[Column54]],10,FALSE),"0")</f>
        <v>0</v>
      </c>
      <c r="Q193" s="74">
        <f>IFERROR(VLOOKUP(Table1215[[#This Row],[Column2]],Table12[[Column2]:[Column54]],16,FALSE),"0")</f>
        <v>3</v>
      </c>
      <c r="R193" s="80">
        <f>AVERAGE(Table1215[[#This Row],[Column14]],Table1215[[#This Row],[Column15]],Table1215[[#This Row],[Column17]])</f>
        <v>3</v>
      </c>
      <c r="S193" s="74">
        <f>IFERROR(VLOOKUP(Table1215[[#This Row],[Column2]],Table12[[Column2]:[Column54]],18,FALSE),"0")</f>
        <v>0</v>
      </c>
      <c r="T193" s="74">
        <f>IFERROR(VLOOKUP(Table1215[[#This Row],[Column2]],Table12[[Column2]:[Column54]],19,FALSE),"0")</f>
        <v>0</v>
      </c>
      <c r="U193" s="74">
        <f>IFERROR(VLOOKUP(Table1215[[#This Row],[Column2]],Table12[[Column2]:[Column54]],20,FALSE),"0")</f>
        <v>0</v>
      </c>
      <c r="V193" s="74">
        <f>IFERROR(VLOOKUP(Table1215[[#This Row],[Column2]],Table12[[Column2]:[Column54]],21,FALSE),"0")</f>
        <v>0</v>
      </c>
      <c r="W193" s="74">
        <f>IFERROR(VLOOKUP(Table1215[[#This Row],[Column2]],Table12[[Column2]:[Column54]],22,FALSE),"0")</f>
        <v>0</v>
      </c>
      <c r="X193" s="80">
        <f>Table1215[[#This Row],[Column19]]</f>
        <v>0</v>
      </c>
      <c r="Y193" s="74">
        <f>IFERROR(VLOOKUP(Table1215[[#This Row],[Column2]],Table12[[Column2]:[Column54]],24,FALSE),"0")</f>
        <v>3</v>
      </c>
      <c r="Z193" s="74">
        <f>IFERROR(VLOOKUP(Table1215[[#This Row],[Column2]],Table12[[Column2]:[Column54]],25,FALSE),"0")</f>
        <v>0</v>
      </c>
      <c r="AA193" s="74">
        <f>IFERROR(VLOOKUP(Table1215[[#This Row],[Column2]],Table12[[Column2]:[Column54]],26,FALSE),"0")</f>
        <v>0</v>
      </c>
      <c r="AB193" s="74">
        <f>IFERROR(VLOOKUP(Table1215[[#This Row],[Column2]],Table12[[Column2]:[Column54]],27,FALSE),"0")</f>
        <v>0</v>
      </c>
      <c r="AC193" s="74">
        <f>IFERROR(VLOOKUP(Table1215[[#This Row],[Column2]],Table12[[Column2]:[Column54]],28,FALSE),"0")</f>
        <v>0</v>
      </c>
      <c r="AD193" s="80">
        <f>Table1215[[#This Row],[Column25]]</f>
        <v>3</v>
      </c>
      <c r="AE193" s="74">
        <f>IFERROR(VLOOKUP(Table1215[[#This Row],[Column2]],Table12[[Column2]:[Column54]],30,FALSE),"0")</f>
        <v>0</v>
      </c>
      <c r="AF193" s="74">
        <f>IFERROR(VLOOKUP(Table1215[[#This Row],[Column2]],Table12[[Column2]:[Column54]],31,FALSE),"0")</f>
        <v>0</v>
      </c>
      <c r="AG193" s="74">
        <f>IFERROR(VLOOKUP(Table1215[[#This Row],[Column2]],Table12[[Column2]:[Column54]],32,FALSE),"0")</f>
        <v>0</v>
      </c>
      <c r="AH193" s="74">
        <f>IFERROR(VLOOKUP(Table1215[[#This Row],[Column2]],Table12[[Column2]:[Column54]],33,FALSE),"0")</f>
        <v>0</v>
      </c>
      <c r="AI193" s="74">
        <f>IFERROR(VLOOKUP(Table1215[[#This Row],[Column2]],Table12[[Column2]:[Column54]],34,FALSE),"0")</f>
        <v>0</v>
      </c>
      <c r="AJ193" s="80">
        <f>AVERAGE(Table1215[[#This Row],[Column31]],Table1215[[#This Row],[Column32]],Table1215[[#This Row],[Column33]])</f>
        <v>0</v>
      </c>
      <c r="AK193" s="74">
        <f>IFERROR(VLOOKUP(Table1215[[#This Row],[Column2]],Table12[[Column2]:[Column54]],36,FALSE),"0")</f>
        <v>3</v>
      </c>
      <c r="AL193" s="74">
        <f>IFERROR(VLOOKUP(Table1215[[#This Row],[Column2]],Table12[[Column2]:[Column54]],37,FALSE),"0")</f>
        <v>3</v>
      </c>
      <c r="AM193" s="74">
        <f>IFERROR(VLOOKUP(Table1215[[#This Row],[Column2]],Table12[[Column2]:[Column54]],38,FALSE),"0")</f>
        <v>0</v>
      </c>
      <c r="AN193" s="74">
        <f>IFERROR(VLOOKUP(Table1215[[#This Row],[Column2]],Table12[[Column2]:[Column54]],39,FALSE),"0")</f>
        <v>4</v>
      </c>
      <c r="AO193" s="74">
        <f>IFERROR(VLOOKUP(Table1215[[#This Row],[Column2]],Table12[[Column2]:[Column54]],40,FALSE),"0")</f>
        <v>0</v>
      </c>
      <c r="AP193" s="80">
        <f>AVERAGE(Table1215[[#This Row],[Column37]],Table1215[[#This Row],[Column38]],Table1215[[#This Row],[Column40]])</f>
        <v>3.3333333333333335</v>
      </c>
      <c r="AQ193" s="74">
        <f>IFERROR(VLOOKUP(Table1215[[#This Row],[Column2]],Table12[[Column2]:[Column54]],42,FALSE),"0")</f>
        <v>1</v>
      </c>
      <c r="AR193" s="74">
        <f>IFERROR(VLOOKUP(Table1215[[#This Row],[Column2]],Table12[[Column2]:[Column54]],43,FALSE),"0")</f>
        <v>0</v>
      </c>
      <c r="AS193" s="74">
        <f>IFERROR(VLOOKUP(Table1215[[#This Row],[Column2]],Table12[[Column2]:[Column54]],44,FALSE),"0")</f>
        <v>0</v>
      </c>
      <c r="AT193" s="74">
        <f>IFERROR(VLOOKUP(Table1215[[#This Row],[Column2]],Table12[[Column2]:[Column54]],45,FALSE),"0")</f>
        <v>0</v>
      </c>
      <c r="AU193" s="74">
        <f>IFERROR(VLOOKUP(Table1215[[#This Row],[Column2]],Table12[[Column2]:[Column54]],46,FALSE),"0")</f>
        <v>0</v>
      </c>
      <c r="AV193" s="80">
        <f>Table1215[[#This Row],[Column43]]</f>
        <v>1</v>
      </c>
      <c r="AW193" s="74">
        <f>IFERROR(VLOOKUP(Table1215[[#This Row],[Column2]],Table12[[Column2]:[Column54]],48,FALSE),"0")</f>
        <v>0</v>
      </c>
      <c r="AX193" s="74">
        <f>IFERROR(VLOOKUP(Table1215[[#This Row],[Column2]],Table12[[Column2]:[Column54]],49,FALSE),"0")</f>
        <v>0</v>
      </c>
      <c r="AY193" s="74">
        <f>IFERROR(VLOOKUP(Table1215[[#This Row],[Column2]],Table12[[Column2]:[Column54]],50,FALSE),"0")</f>
        <v>0</v>
      </c>
      <c r="AZ193" s="74">
        <f>IFERROR(VLOOKUP(Table1215[[#This Row],[Column2]],Table12[[Column2]:[Column54]],51,FALSE),"0")</f>
        <v>3</v>
      </c>
      <c r="BA193" s="74">
        <f>IFERROR(VLOOKUP(Table1215[[#This Row],[Column2]],Table12[[Column2]:[Column54]],52,FALSE),"0")</f>
        <v>3</v>
      </c>
      <c r="BB193" s="80">
        <f>AVERAGE(Table1215[[#This Row],[Column52]],Table1215[[#This Row],[Column53]])</f>
        <v>3</v>
      </c>
    </row>
    <row r="194" spans="1:54" ht="23.1" customHeight="1" x14ac:dyDescent="0.3">
      <c r="A194" s="99">
        <v>191</v>
      </c>
      <c r="B194" s="76" t="s">
        <v>418</v>
      </c>
      <c r="C194" s="77" t="s">
        <v>419</v>
      </c>
      <c r="D194" s="76" t="s">
        <v>450</v>
      </c>
      <c r="E194" s="76" t="s">
        <v>493</v>
      </c>
      <c r="F194" s="76" t="str">
        <f>REPT(CHAR(160),10)&amp;Working!$E195</f>
        <v>          C</v>
      </c>
      <c r="G194" s="78">
        <f>IFERROR(VLOOKUP(Table1215[[#This Row],[Column2]],Table12[[Column2]:[Column54]],6,FALSE),"0")</f>
        <v>0</v>
      </c>
      <c r="H194" s="78">
        <f>IFERROR(VLOOKUP(Table1215[[#This Row],[Column2]],Table12[[Column2]:[Column54]],7,FALSE),"0")</f>
        <v>0</v>
      </c>
      <c r="I194" s="78">
        <f>IFERROR(VLOOKUP(Table1215[[#This Row],[Column2]],Table12[[Column2]:[Column54]],8,FALSE),"0")</f>
        <v>4</v>
      </c>
      <c r="J194" s="78">
        <f>IFERROR(VLOOKUP(Table1215[[#This Row],[Column2]],Table12[[Column2]:[Column54]],9,FALSE),"0")</f>
        <v>0</v>
      </c>
      <c r="K194" s="78">
        <f>IFERROR(VLOOKUP(Table1215[[#This Row],[Column2]],Table12[[Column2]:[Column54]],10,FALSE),"0")</f>
        <v>0</v>
      </c>
      <c r="L194" s="80">
        <f>Table1215[[#This Row],[Column9]]</f>
        <v>4</v>
      </c>
      <c r="M194" s="78">
        <f>IFERROR(VLOOKUP(Table1215[[#This Row],[Column2]],Table12[[Column2]:[Column54]],12,FALSE),"0")</f>
        <v>0</v>
      </c>
      <c r="N194" s="78">
        <f>IFERROR(VLOOKUP(Table1215[[#This Row],[Column2]],Table12[[Column2]:[Column54]],13,FALSE),"0")</f>
        <v>5</v>
      </c>
      <c r="O194" s="78">
        <f>IFERROR(VLOOKUP(Table1215[[#This Row],[Column2]],Table12[[Column2]:[Column54]],14,FALSE),"0")</f>
        <v>4</v>
      </c>
      <c r="P194" s="78">
        <f>IFERROR(VLOOKUP(Table1215[[#This Row],[Column2]],Table12[[Column2]:[Column54]],10,FALSE),"0")</f>
        <v>0</v>
      </c>
      <c r="Q194" s="78">
        <f>IFERROR(VLOOKUP(Table1215[[#This Row],[Column2]],Table12[[Column2]:[Column54]],16,FALSE),"0")</f>
        <v>4</v>
      </c>
      <c r="R194" s="80">
        <f>AVERAGE(Table1215[[#This Row],[Column14]],Table1215[[#This Row],[Column15]],Table1215[[#This Row],[Column17]])</f>
        <v>4.333333333333333</v>
      </c>
      <c r="S194" s="78">
        <f>IFERROR(VLOOKUP(Table1215[[#This Row],[Column2]],Table12[[Column2]:[Column54]],18,FALSE),"0")</f>
        <v>0</v>
      </c>
      <c r="T194" s="78">
        <f>IFERROR(VLOOKUP(Table1215[[#This Row],[Column2]],Table12[[Column2]:[Column54]],19,FALSE),"0")</f>
        <v>0</v>
      </c>
      <c r="U194" s="78">
        <f>IFERROR(VLOOKUP(Table1215[[#This Row],[Column2]],Table12[[Column2]:[Column54]],20,FALSE),"0")</f>
        <v>0</v>
      </c>
      <c r="V194" s="78">
        <f>IFERROR(VLOOKUP(Table1215[[#This Row],[Column2]],Table12[[Column2]:[Column54]],21,FALSE),"0")</f>
        <v>0</v>
      </c>
      <c r="W194" s="78">
        <f>IFERROR(VLOOKUP(Table1215[[#This Row],[Column2]],Table12[[Column2]:[Column54]],22,FALSE),"0")</f>
        <v>0</v>
      </c>
      <c r="X194" s="80">
        <f>Table1215[[#This Row],[Column19]]</f>
        <v>0</v>
      </c>
      <c r="Y194" s="78">
        <f>IFERROR(VLOOKUP(Table1215[[#This Row],[Column2]],Table12[[Column2]:[Column54]],24,FALSE),"0")</f>
        <v>4</v>
      </c>
      <c r="Z194" s="78">
        <f>IFERROR(VLOOKUP(Table1215[[#This Row],[Column2]],Table12[[Column2]:[Column54]],25,FALSE),"0")</f>
        <v>0</v>
      </c>
      <c r="AA194" s="78">
        <f>IFERROR(VLOOKUP(Table1215[[#This Row],[Column2]],Table12[[Column2]:[Column54]],26,FALSE),"0")</f>
        <v>0</v>
      </c>
      <c r="AB194" s="78">
        <f>IFERROR(VLOOKUP(Table1215[[#This Row],[Column2]],Table12[[Column2]:[Column54]],27,FALSE),"0")</f>
        <v>0</v>
      </c>
      <c r="AC194" s="78">
        <f>IFERROR(VLOOKUP(Table1215[[#This Row],[Column2]],Table12[[Column2]:[Column54]],28,FALSE),"0")</f>
        <v>0</v>
      </c>
      <c r="AD194" s="80">
        <f>Table1215[[#This Row],[Column25]]</f>
        <v>4</v>
      </c>
      <c r="AE194" s="78">
        <f>IFERROR(VLOOKUP(Table1215[[#This Row],[Column2]],Table12[[Column2]:[Column54]],30,FALSE),"0")</f>
        <v>0</v>
      </c>
      <c r="AF194" s="78">
        <f>IFERROR(VLOOKUP(Table1215[[#This Row],[Column2]],Table12[[Column2]:[Column54]],31,FALSE),"0")</f>
        <v>0</v>
      </c>
      <c r="AG194" s="78">
        <f>IFERROR(VLOOKUP(Table1215[[#This Row],[Column2]],Table12[[Column2]:[Column54]],32,FALSE),"0")</f>
        <v>0</v>
      </c>
      <c r="AH194" s="78">
        <f>IFERROR(VLOOKUP(Table1215[[#This Row],[Column2]],Table12[[Column2]:[Column54]],33,FALSE),"0")</f>
        <v>0</v>
      </c>
      <c r="AI194" s="78">
        <f>IFERROR(VLOOKUP(Table1215[[#This Row],[Column2]],Table12[[Column2]:[Column54]],34,FALSE),"0")</f>
        <v>0</v>
      </c>
      <c r="AJ194" s="80">
        <f>AVERAGE(Table1215[[#This Row],[Column31]],Table1215[[#This Row],[Column32]],Table1215[[#This Row],[Column33]])</f>
        <v>0</v>
      </c>
      <c r="AK194" s="78">
        <f>IFERROR(VLOOKUP(Table1215[[#This Row],[Column2]],Table12[[Column2]:[Column54]],36,FALSE),"0")</f>
        <v>5</v>
      </c>
      <c r="AL194" s="78">
        <f>IFERROR(VLOOKUP(Table1215[[#This Row],[Column2]],Table12[[Column2]:[Column54]],37,FALSE),"0")</f>
        <v>4</v>
      </c>
      <c r="AM194" s="78">
        <f>IFERROR(VLOOKUP(Table1215[[#This Row],[Column2]],Table12[[Column2]:[Column54]],38,FALSE),"0")</f>
        <v>0</v>
      </c>
      <c r="AN194" s="78">
        <f>IFERROR(VLOOKUP(Table1215[[#This Row],[Column2]],Table12[[Column2]:[Column54]],39,FALSE),"0")</f>
        <v>5</v>
      </c>
      <c r="AO194" s="78">
        <f>IFERROR(VLOOKUP(Table1215[[#This Row],[Column2]],Table12[[Column2]:[Column54]],40,FALSE),"0")</f>
        <v>0</v>
      </c>
      <c r="AP194" s="80">
        <f>AVERAGE(Table1215[[#This Row],[Column37]],Table1215[[#This Row],[Column38]],Table1215[[#This Row],[Column40]])</f>
        <v>4.666666666666667</v>
      </c>
      <c r="AQ194" s="78">
        <f>IFERROR(VLOOKUP(Table1215[[#This Row],[Column2]],Table12[[Column2]:[Column54]],42,FALSE),"0")</f>
        <v>3</v>
      </c>
      <c r="AR194" s="78">
        <f>IFERROR(VLOOKUP(Table1215[[#This Row],[Column2]],Table12[[Column2]:[Column54]],43,FALSE),"0")</f>
        <v>0</v>
      </c>
      <c r="AS194" s="78">
        <f>IFERROR(VLOOKUP(Table1215[[#This Row],[Column2]],Table12[[Column2]:[Column54]],44,FALSE),"0")</f>
        <v>0</v>
      </c>
      <c r="AT194" s="78">
        <f>IFERROR(VLOOKUP(Table1215[[#This Row],[Column2]],Table12[[Column2]:[Column54]],45,FALSE),"0")</f>
        <v>0</v>
      </c>
      <c r="AU194" s="78">
        <f>IFERROR(VLOOKUP(Table1215[[#This Row],[Column2]],Table12[[Column2]:[Column54]],46,FALSE),"0")</f>
        <v>0</v>
      </c>
      <c r="AV194" s="80">
        <f>Table1215[[#This Row],[Column43]]</f>
        <v>3</v>
      </c>
      <c r="AW194" s="78">
        <f>IFERROR(VLOOKUP(Table1215[[#This Row],[Column2]],Table12[[Column2]:[Column54]],48,FALSE),"0")</f>
        <v>0</v>
      </c>
      <c r="AX194" s="78">
        <f>IFERROR(VLOOKUP(Table1215[[#This Row],[Column2]],Table12[[Column2]:[Column54]],49,FALSE),"0")</f>
        <v>0</v>
      </c>
      <c r="AY194" s="78">
        <f>IFERROR(VLOOKUP(Table1215[[#This Row],[Column2]],Table12[[Column2]:[Column54]],50,FALSE),"0")</f>
        <v>0</v>
      </c>
      <c r="AZ194" s="78">
        <f>IFERROR(VLOOKUP(Table1215[[#This Row],[Column2]],Table12[[Column2]:[Column54]],51,FALSE),"0")</f>
        <v>5</v>
      </c>
      <c r="BA194" s="78">
        <f>IFERROR(VLOOKUP(Table1215[[#This Row],[Column2]],Table12[[Column2]:[Column54]],52,FALSE),"0")</f>
        <v>4</v>
      </c>
      <c r="BB194" s="80">
        <f>AVERAGE(Table1215[[#This Row],[Column52]],Table1215[[#This Row],[Column53]])</f>
        <v>4.5</v>
      </c>
    </row>
    <row r="195" spans="1:54" ht="23.1" customHeight="1" x14ac:dyDescent="0.3">
      <c r="A195" s="100">
        <v>192</v>
      </c>
      <c r="B195" s="83" t="s">
        <v>420</v>
      </c>
      <c r="C195" s="84" t="s">
        <v>421</v>
      </c>
      <c r="D195" s="83" t="s">
        <v>450</v>
      </c>
      <c r="E195" s="83" t="s">
        <v>493</v>
      </c>
      <c r="F195" s="83" t="str">
        <f>REPT(CHAR(160),10)&amp;Working!$E196</f>
        <v>          C</v>
      </c>
      <c r="G195" s="74">
        <f>IFERROR(VLOOKUP(Table1215[[#This Row],[Column2]],Table12[[Column2]:[Column54]],6,FALSE),"0")</f>
        <v>0</v>
      </c>
      <c r="H195" s="74">
        <f>IFERROR(VLOOKUP(Table1215[[#This Row],[Column2]],Table12[[Column2]:[Column54]],7,FALSE),"0")</f>
        <v>0</v>
      </c>
      <c r="I195" s="74">
        <f>IFERROR(VLOOKUP(Table1215[[#This Row],[Column2]],Table12[[Column2]:[Column54]],8,FALSE),"0")</f>
        <v>3</v>
      </c>
      <c r="J195" s="74">
        <f>IFERROR(VLOOKUP(Table1215[[#This Row],[Column2]],Table12[[Column2]:[Column54]],9,FALSE),"0")</f>
        <v>0</v>
      </c>
      <c r="K195" s="74">
        <f>IFERROR(VLOOKUP(Table1215[[#This Row],[Column2]],Table12[[Column2]:[Column54]],10,FALSE),"0")</f>
        <v>0</v>
      </c>
      <c r="L195" s="80">
        <f>Table1215[[#This Row],[Column9]]</f>
        <v>3</v>
      </c>
      <c r="M195" s="74">
        <f>IFERROR(VLOOKUP(Table1215[[#This Row],[Column2]],Table12[[Column2]:[Column54]],12,FALSE),"0")</f>
        <v>0</v>
      </c>
      <c r="N195" s="74">
        <f>IFERROR(VLOOKUP(Table1215[[#This Row],[Column2]],Table12[[Column2]:[Column54]],13,FALSE),"0")</f>
        <v>3</v>
      </c>
      <c r="O195" s="74">
        <f>IFERROR(VLOOKUP(Table1215[[#This Row],[Column2]],Table12[[Column2]:[Column54]],14,FALSE),"0")</f>
        <v>3</v>
      </c>
      <c r="P195" s="74">
        <f>IFERROR(VLOOKUP(Table1215[[#This Row],[Column2]],Table12[[Column2]:[Column54]],10,FALSE),"0")</f>
        <v>0</v>
      </c>
      <c r="Q195" s="74">
        <f>IFERROR(VLOOKUP(Table1215[[#This Row],[Column2]],Table12[[Column2]:[Column54]],16,FALSE),"0")</f>
        <v>3</v>
      </c>
      <c r="R195" s="80">
        <f>AVERAGE(Table1215[[#This Row],[Column14]],Table1215[[#This Row],[Column15]],Table1215[[#This Row],[Column17]])</f>
        <v>3</v>
      </c>
      <c r="S195" s="74">
        <f>IFERROR(VLOOKUP(Table1215[[#This Row],[Column2]],Table12[[Column2]:[Column54]],18,FALSE),"0")</f>
        <v>0</v>
      </c>
      <c r="T195" s="74">
        <f>IFERROR(VLOOKUP(Table1215[[#This Row],[Column2]],Table12[[Column2]:[Column54]],19,FALSE),"0")</f>
        <v>0</v>
      </c>
      <c r="U195" s="74">
        <f>IFERROR(VLOOKUP(Table1215[[#This Row],[Column2]],Table12[[Column2]:[Column54]],20,FALSE),"0")</f>
        <v>0</v>
      </c>
      <c r="V195" s="74">
        <f>IFERROR(VLOOKUP(Table1215[[#This Row],[Column2]],Table12[[Column2]:[Column54]],21,FALSE),"0")</f>
        <v>0</v>
      </c>
      <c r="W195" s="74">
        <f>IFERROR(VLOOKUP(Table1215[[#This Row],[Column2]],Table12[[Column2]:[Column54]],22,FALSE),"0")</f>
        <v>0</v>
      </c>
      <c r="X195" s="80">
        <f>Table1215[[#This Row],[Column19]]</f>
        <v>0</v>
      </c>
      <c r="Y195" s="74">
        <f>IFERROR(VLOOKUP(Table1215[[#This Row],[Column2]],Table12[[Column2]:[Column54]],24,FALSE),"0")</f>
        <v>3</v>
      </c>
      <c r="Z195" s="74">
        <f>IFERROR(VLOOKUP(Table1215[[#This Row],[Column2]],Table12[[Column2]:[Column54]],25,FALSE),"0")</f>
        <v>0</v>
      </c>
      <c r="AA195" s="74">
        <f>IFERROR(VLOOKUP(Table1215[[#This Row],[Column2]],Table12[[Column2]:[Column54]],26,FALSE),"0")</f>
        <v>0</v>
      </c>
      <c r="AB195" s="74">
        <f>IFERROR(VLOOKUP(Table1215[[#This Row],[Column2]],Table12[[Column2]:[Column54]],27,FALSE),"0")</f>
        <v>0</v>
      </c>
      <c r="AC195" s="74">
        <f>IFERROR(VLOOKUP(Table1215[[#This Row],[Column2]],Table12[[Column2]:[Column54]],28,FALSE),"0")</f>
        <v>0</v>
      </c>
      <c r="AD195" s="80">
        <f>Table1215[[#This Row],[Column25]]</f>
        <v>3</v>
      </c>
      <c r="AE195" s="74">
        <f>IFERROR(VLOOKUP(Table1215[[#This Row],[Column2]],Table12[[Column2]:[Column54]],30,FALSE),"0")</f>
        <v>0</v>
      </c>
      <c r="AF195" s="74">
        <f>IFERROR(VLOOKUP(Table1215[[#This Row],[Column2]],Table12[[Column2]:[Column54]],31,FALSE),"0")</f>
        <v>0</v>
      </c>
      <c r="AG195" s="74">
        <f>IFERROR(VLOOKUP(Table1215[[#This Row],[Column2]],Table12[[Column2]:[Column54]],32,FALSE),"0")</f>
        <v>0</v>
      </c>
      <c r="AH195" s="74">
        <f>IFERROR(VLOOKUP(Table1215[[#This Row],[Column2]],Table12[[Column2]:[Column54]],33,FALSE),"0")</f>
        <v>0</v>
      </c>
      <c r="AI195" s="74">
        <f>IFERROR(VLOOKUP(Table1215[[#This Row],[Column2]],Table12[[Column2]:[Column54]],34,FALSE),"0")</f>
        <v>0</v>
      </c>
      <c r="AJ195" s="80">
        <f>AVERAGE(Table1215[[#This Row],[Column31]],Table1215[[#This Row],[Column32]],Table1215[[#This Row],[Column33]])</f>
        <v>0</v>
      </c>
      <c r="AK195" s="74">
        <f>IFERROR(VLOOKUP(Table1215[[#This Row],[Column2]],Table12[[Column2]:[Column54]],36,FALSE),"0")</f>
        <v>3</v>
      </c>
      <c r="AL195" s="74">
        <f>IFERROR(VLOOKUP(Table1215[[#This Row],[Column2]],Table12[[Column2]:[Column54]],37,FALSE),"0")</f>
        <v>3</v>
      </c>
      <c r="AM195" s="74">
        <f>IFERROR(VLOOKUP(Table1215[[#This Row],[Column2]],Table12[[Column2]:[Column54]],38,FALSE),"0")</f>
        <v>0</v>
      </c>
      <c r="AN195" s="74">
        <f>IFERROR(VLOOKUP(Table1215[[#This Row],[Column2]],Table12[[Column2]:[Column54]],39,FALSE),"0")</f>
        <v>4</v>
      </c>
      <c r="AO195" s="74">
        <f>IFERROR(VLOOKUP(Table1215[[#This Row],[Column2]],Table12[[Column2]:[Column54]],40,FALSE),"0")</f>
        <v>0</v>
      </c>
      <c r="AP195" s="80">
        <f>AVERAGE(Table1215[[#This Row],[Column37]],Table1215[[#This Row],[Column38]],Table1215[[#This Row],[Column40]])</f>
        <v>3.3333333333333335</v>
      </c>
      <c r="AQ195" s="74">
        <f>IFERROR(VLOOKUP(Table1215[[#This Row],[Column2]],Table12[[Column2]:[Column54]],42,FALSE),"0")</f>
        <v>3</v>
      </c>
      <c r="AR195" s="74">
        <f>IFERROR(VLOOKUP(Table1215[[#This Row],[Column2]],Table12[[Column2]:[Column54]],43,FALSE),"0")</f>
        <v>0</v>
      </c>
      <c r="AS195" s="74">
        <f>IFERROR(VLOOKUP(Table1215[[#This Row],[Column2]],Table12[[Column2]:[Column54]],44,FALSE),"0")</f>
        <v>0</v>
      </c>
      <c r="AT195" s="74">
        <f>IFERROR(VLOOKUP(Table1215[[#This Row],[Column2]],Table12[[Column2]:[Column54]],45,FALSE),"0")</f>
        <v>0</v>
      </c>
      <c r="AU195" s="74">
        <f>IFERROR(VLOOKUP(Table1215[[#This Row],[Column2]],Table12[[Column2]:[Column54]],46,FALSE),"0")</f>
        <v>0</v>
      </c>
      <c r="AV195" s="80">
        <f>Table1215[[#This Row],[Column43]]</f>
        <v>3</v>
      </c>
      <c r="AW195" s="74">
        <f>IFERROR(VLOOKUP(Table1215[[#This Row],[Column2]],Table12[[Column2]:[Column54]],48,FALSE),"0")</f>
        <v>0</v>
      </c>
      <c r="AX195" s="74">
        <f>IFERROR(VLOOKUP(Table1215[[#This Row],[Column2]],Table12[[Column2]:[Column54]],49,FALSE),"0")</f>
        <v>0</v>
      </c>
      <c r="AY195" s="74">
        <f>IFERROR(VLOOKUP(Table1215[[#This Row],[Column2]],Table12[[Column2]:[Column54]],50,FALSE),"0")</f>
        <v>0</v>
      </c>
      <c r="AZ195" s="74">
        <f>IFERROR(VLOOKUP(Table1215[[#This Row],[Column2]],Table12[[Column2]:[Column54]],51,FALSE),"0")</f>
        <v>3</v>
      </c>
      <c r="BA195" s="74">
        <f>IFERROR(VLOOKUP(Table1215[[#This Row],[Column2]],Table12[[Column2]:[Column54]],52,FALSE),"0")</f>
        <v>3</v>
      </c>
      <c r="BB195" s="80">
        <f>AVERAGE(Table1215[[#This Row],[Column52]],Table1215[[#This Row],[Column53]])</f>
        <v>3</v>
      </c>
    </row>
    <row r="196" spans="1:54" ht="23.1" customHeight="1" x14ac:dyDescent="0.3">
      <c r="A196" s="99">
        <v>193</v>
      </c>
      <c r="B196" s="76" t="s">
        <v>422</v>
      </c>
      <c r="C196" s="77" t="s">
        <v>423</v>
      </c>
      <c r="D196" s="76" t="s">
        <v>450</v>
      </c>
      <c r="E196" s="76" t="s">
        <v>493</v>
      </c>
      <c r="F196" s="76" t="str">
        <f>REPT(CHAR(160),10)&amp;Working!$E197</f>
        <v>          C</v>
      </c>
      <c r="G196" s="78">
        <f>IFERROR(VLOOKUP(Table1215[[#This Row],[Column2]],Table12[[Column2]:[Column54]],6,FALSE),"0")</f>
        <v>0</v>
      </c>
      <c r="H196" s="78">
        <f>IFERROR(VLOOKUP(Table1215[[#This Row],[Column2]],Table12[[Column2]:[Column54]],7,FALSE),"0")</f>
        <v>0</v>
      </c>
      <c r="I196" s="78">
        <f>IFERROR(VLOOKUP(Table1215[[#This Row],[Column2]],Table12[[Column2]:[Column54]],8,FALSE),"0")</f>
        <v>4</v>
      </c>
      <c r="J196" s="78">
        <f>IFERROR(VLOOKUP(Table1215[[#This Row],[Column2]],Table12[[Column2]:[Column54]],9,FALSE),"0")</f>
        <v>0</v>
      </c>
      <c r="K196" s="78">
        <f>IFERROR(VLOOKUP(Table1215[[#This Row],[Column2]],Table12[[Column2]:[Column54]],10,FALSE),"0")</f>
        <v>0</v>
      </c>
      <c r="L196" s="80">
        <f>Table1215[[#This Row],[Column9]]</f>
        <v>4</v>
      </c>
      <c r="M196" s="78">
        <f>IFERROR(VLOOKUP(Table1215[[#This Row],[Column2]],Table12[[Column2]:[Column54]],12,FALSE),"0")</f>
        <v>0</v>
      </c>
      <c r="N196" s="78">
        <f>IFERROR(VLOOKUP(Table1215[[#This Row],[Column2]],Table12[[Column2]:[Column54]],13,FALSE),"0")</f>
        <v>5</v>
      </c>
      <c r="O196" s="78">
        <f>IFERROR(VLOOKUP(Table1215[[#This Row],[Column2]],Table12[[Column2]:[Column54]],14,FALSE),"0")</f>
        <v>3</v>
      </c>
      <c r="P196" s="78">
        <f>IFERROR(VLOOKUP(Table1215[[#This Row],[Column2]],Table12[[Column2]:[Column54]],10,FALSE),"0")</f>
        <v>0</v>
      </c>
      <c r="Q196" s="78">
        <f>IFERROR(VLOOKUP(Table1215[[#This Row],[Column2]],Table12[[Column2]:[Column54]],16,FALSE),"0")</f>
        <v>3</v>
      </c>
      <c r="R196" s="80">
        <f>AVERAGE(Table1215[[#This Row],[Column14]],Table1215[[#This Row],[Column15]],Table1215[[#This Row],[Column17]])</f>
        <v>3.6666666666666665</v>
      </c>
      <c r="S196" s="78">
        <f>IFERROR(VLOOKUP(Table1215[[#This Row],[Column2]],Table12[[Column2]:[Column54]],18,FALSE),"0")</f>
        <v>0</v>
      </c>
      <c r="T196" s="78">
        <f>IFERROR(VLOOKUP(Table1215[[#This Row],[Column2]],Table12[[Column2]:[Column54]],19,FALSE),"0")</f>
        <v>0</v>
      </c>
      <c r="U196" s="78">
        <f>IFERROR(VLOOKUP(Table1215[[#This Row],[Column2]],Table12[[Column2]:[Column54]],20,FALSE),"0")</f>
        <v>0</v>
      </c>
      <c r="V196" s="78">
        <f>IFERROR(VLOOKUP(Table1215[[#This Row],[Column2]],Table12[[Column2]:[Column54]],21,FALSE),"0")</f>
        <v>0</v>
      </c>
      <c r="W196" s="78">
        <f>IFERROR(VLOOKUP(Table1215[[#This Row],[Column2]],Table12[[Column2]:[Column54]],22,FALSE),"0")</f>
        <v>0</v>
      </c>
      <c r="X196" s="80">
        <f>Table1215[[#This Row],[Column19]]</f>
        <v>0</v>
      </c>
      <c r="Y196" s="78">
        <f>IFERROR(VLOOKUP(Table1215[[#This Row],[Column2]],Table12[[Column2]:[Column54]],24,FALSE),"0")</f>
        <v>3</v>
      </c>
      <c r="Z196" s="78">
        <f>IFERROR(VLOOKUP(Table1215[[#This Row],[Column2]],Table12[[Column2]:[Column54]],25,FALSE),"0")</f>
        <v>0</v>
      </c>
      <c r="AA196" s="78">
        <f>IFERROR(VLOOKUP(Table1215[[#This Row],[Column2]],Table12[[Column2]:[Column54]],26,FALSE),"0")</f>
        <v>0</v>
      </c>
      <c r="AB196" s="78">
        <f>IFERROR(VLOOKUP(Table1215[[#This Row],[Column2]],Table12[[Column2]:[Column54]],27,FALSE),"0")</f>
        <v>0</v>
      </c>
      <c r="AC196" s="78">
        <f>IFERROR(VLOOKUP(Table1215[[#This Row],[Column2]],Table12[[Column2]:[Column54]],28,FALSE),"0")</f>
        <v>0</v>
      </c>
      <c r="AD196" s="80">
        <f>Table1215[[#This Row],[Column25]]</f>
        <v>3</v>
      </c>
      <c r="AE196" s="78">
        <f>IFERROR(VLOOKUP(Table1215[[#This Row],[Column2]],Table12[[Column2]:[Column54]],30,FALSE),"0")</f>
        <v>0</v>
      </c>
      <c r="AF196" s="78">
        <f>IFERROR(VLOOKUP(Table1215[[#This Row],[Column2]],Table12[[Column2]:[Column54]],31,FALSE),"0")</f>
        <v>0</v>
      </c>
      <c r="AG196" s="78">
        <f>IFERROR(VLOOKUP(Table1215[[#This Row],[Column2]],Table12[[Column2]:[Column54]],32,FALSE),"0")</f>
        <v>0</v>
      </c>
      <c r="AH196" s="78">
        <f>IFERROR(VLOOKUP(Table1215[[#This Row],[Column2]],Table12[[Column2]:[Column54]],33,FALSE),"0")</f>
        <v>0</v>
      </c>
      <c r="AI196" s="78">
        <f>IFERROR(VLOOKUP(Table1215[[#This Row],[Column2]],Table12[[Column2]:[Column54]],34,FALSE),"0")</f>
        <v>0</v>
      </c>
      <c r="AJ196" s="80">
        <f>AVERAGE(Table1215[[#This Row],[Column31]],Table1215[[#This Row],[Column32]],Table1215[[#This Row],[Column33]])</f>
        <v>0</v>
      </c>
      <c r="AK196" s="78">
        <f>IFERROR(VLOOKUP(Table1215[[#This Row],[Column2]],Table12[[Column2]:[Column54]],36,FALSE),"0")</f>
        <v>3</v>
      </c>
      <c r="AL196" s="78">
        <f>IFERROR(VLOOKUP(Table1215[[#This Row],[Column2]],Table12[[Column2]:[Column54]],37,FALSE),"0")</f>
        <v>4</v>
      </c>
      <c r="AM196" s="78">
        <f>IFERROR(VLOOKUP(Table1215[[#This Row],[Column2]],Table12[[Column2]:[Column54]],38,FALSE),"0")</f>
        <v>0</v>
      </c>
      <c r="AN196" s="78">
        <f>IFERROR(VLOOKUP(Table1215[[#This Row],[Column2]],Table12[[Column2]:[Column54]],39,FALSE),"0")</f>
        <v>4</v>
      </c>
      <c r="AO196" s="78">
        <f>IFERROR(VLOOKUP(Table1215[[#This Row],[Column2]],Table12[[Column2]:[Column54]],40,FALSE),"0")</f>
        <v>0</v>
      </c>
      <c r="AP196" s="80">
        <f>AVERAGE(Table1215[[#This Row],[Column37]],Table1215[[#This Row],[Column38]],Table1215[[#This Row],[Column40]])</f>
        <v>3.6666666666666665</v>
      </c>
      <c r="AQ196" s="78">
        <f>IFERROR(VLOOKUP(Table1215[[#This Row],[Column2]],Table12[[Column2]:[Column54]],42,FALSE),"0")</f>
        <v>4</v>
      </c>
      <c r="AR196" s="78">
        <f>IFERROR(VLOOKUP(Table1215[[#This Row],[Column2]],Table12[[Column2]:[Column54]],43,FALSE),"0")</f>
        <v>0</v>
      </c>
      <c r="AS196" s="78">
        <f>IFERROR(VLOOKUP(Table1215[[#This Row],[Column2]],Table12[[Column2]:[Column54]],44,FALSE),"0")</f>
        <v>0</v>
      </c>
      <c r="AT196" s="78">
        <f>IFERROR(VLOOKUP(Table1215[[#This Row],[Column2]],Table12[[Column2]:[Column54]],45,FALSE),"0")</f>
        <v>0</v>
      </c>
      <c r="AU196" s="78">
        <f>IFERROR(VLOOKUP(Table1215[[#This Row],[Column2]],Table12[[Column2]:[Column54]],46,FALSE),"0")</f>
        <v>0</v>
      </c>
      <c r="AV196" s="80">
        <f>Table1215[[#This Row],[Column43]]</f>
        <v>4</v>
      </c>
      <c r="AW196" s="78">
        <f>IFERROR(VLOOKUP(Table1215[[#This Row],[Column2]],Table12[[Column2]:[Column54]],48,FALSE),"0")</f>
        <v>0</v>
      </c>
      <c r="AX196" s="78">
        <f>IFERROR(VLOOKUP(Table1215[[#This Row],[Column2]],Table12[[Column2]:[Column54]],49,FALSE),"0")</f>
        <v>0</v>
      </c>
      <c r="AY196" s="78">
        <f>IFERROR(VLOOKUP(Table1215[[#This Row],[Column2]],Table12[[Column2]:[Column54]],50,FALSE),"0")</f>
        <v>0</v>
      </c>
      <c r="AZ196" s="78">
        <f>IFERROR(VLOOKUP(Table1215[[#This Row],[Column2]],Table12[[Column2]:[Column54]],51,FALSE),"0")</f>
        <v>4</v>
      </c>
      <c r="BA196" s="78">
        <f>IFERROR(VLOOKUP(Table1215[[#This Row],[Column2]],Table12[[Column2]:[Column54]],52,FALSE),"0")</f>
        <v>5</v>
      </c>
      <c r="BB196" s="80">
        <f>AVERAGE(Table1215[[#This Row],[Column52]],Table1215[[#This Row],[Column53]])</f>
        <v>4.5</v>
      </c>
    </row>
    <row r="197" spans="1:54" ht="23.1" customHeight="1" x14ac:dyDescent="0.3">
      <c r="A197" s="100">
        <v>194</v>
      </c>
      <c r="B197" s="83" t="s">
        <v>424</v>
      </c>
      <c r="C197" s="84" t="s">
        <v>425</v>
      </c>
      <c r="D197" s="83" t="s">
        <v>450</v>
      </c>
      <c r="E197" s="83" t="s">
        <v>493</v>
      </c>
      <c r="F197" s="83" t="str">
        <f>REPT(CHAR(160),10)&amp;Working!$E198</f>
        <v>          C</v>
      </c>
      <c r="G197" s="74">
        <f>IFERROR(VLOOKUP(Table1215[[#This Row],[Column2]],Table12[[Column2]:[Column54]],6,FALSE),"0")</f>
        <v>0</v>
      </c>
      <c r="H197" s="74">
        <f>IFERROR(VLOOKUP(Table1215[[#This Row],[Column2]],Table12[[Column2]:[Column54]],7,FALSE),"0")</f>
        <v>0</v>
      </c>
      <c r="I197" s="74">
        <f>IFERROR(VLOOKUP(Table1215[[#This Row],[Column2]],Table12[[Column2]:[Column54]],8,FALSE),"0")</f>
        <v>4</v>
      </c>
      <c r="J197" s="74">
        <f>IFERROR(VLOOKUP(Table1215[[#This Row],[Column2]],Table12[[Column2]:[Column54]],9,FALSE),"0")</f>
        <v>0</v>
      </c>
      <c r="K197" s="74">
        <f>IFERROR(VLOOKUP(Table1215[[#This Row],[Column2]],Table12[[Column2]:[Column54]],10,FALSE),"0")</f>
        <v>0</v>
      </c>
      <c r="L197" s="80">
        <f>Table1215[[#This Row],[Column9]]</f>
        <v>4</v>
      </c>
      <c r="M197" s="74">
        <f>IFERROR(VLOOKUP(Table1215[[#This Row],[Column2]],Table12[[Column2]:[Column54]],12,FALSE),"0")</f>
        <v>0</v>
      </c>
      <c r="N197" s="74">
        <f>IFERROR(VLOOKUP(Table1215[[#This Row],[Column2]],Table12[[Column2]:[Column54]],13,FALSE),"0")</f>
        <v>3</v>
      </c>
      <c r="O197" s="74">
        <f>IFERROR(VLOOKUP(Table1215[[#This Row],[Column2]],Table12[[Column2]:[Column54]],14,FALSE),"0")</f>
        <v>3</v>
      </c>
      <c r="P197" s="74">
        <f>IFERROR(VLOOKUP(Table1215[[#This Row],[Column2]],Table12[[Column2]:[Column54]],10,FALSE),"0")</f>
        <v>0</v>
      </c>
      <c r="Q197" s="74">
        <f>IFERROR(VLOOKUP(Table1215[[#This Row],[Column2]],Table12[[Column2]:[Column54]],16,FALSE),"0")</f>
        <v>3</v>
      </c>
      <c r="R197" s="80">
        <f>AVERAGE(Table1215[[#This Row],[Column14]],Table1215[[#This Row],[Column15]],Table1215[[#This Row],[Column17]])</f>
        <v>3</v>
      </c>
      <c r="S197" s="74">
        <f>IFERROR(VLOOKUP(Table1215[[#This Row],[Column2]],Table12[[Column2]:[Column54]],18,FALSE),"0")</f>
        <v>0</v>
      </c>
      <c r="T197" s="74">
        <f>IFERROR(VLOOKUP(Table1215[[#This Row],[Column2]],Table12[[Column2]:[Column54]],19,FALSE),"0")</f>
        <v>0</v>
      </c>
      <c r="U197" s="74">
        <f>IFERROR(VLOOKUP(Table1215[[#This Row],[Column2]],Table12[[Column2]:[Column54]],20,FALSE),"0")</f>
        <v>0</v>
      </c>
      <c r="V197" s="74">
        <f>IFERROR(VLOOKUP(Table1215[[#This Row],[Column2]],Table12[[Column2]:[Column54]],21,FALSE),"0")</f>
        <v>0</v>
      </c>
      <c r="W197" s="74">
        <f>IFERROR(VLOOKUP(Table1215[[#This Row],[Column2]],Table12[[Column2]:[Column54]],22,FALSE),"0")</f>
        <v>0</v>
      </c>
      <c r="X197" s="80">
        <f>Table1215[[#This Row],[Column19]]</f>
        <v>0</v>
      </c>
      <c r="Y197" s="74">
        <f>IFERROR(VLOOKUP(Table1215[[#This Row],[Column2]],Table12[[Column2]:[Column54]],24,FALSE),"0")</f>
        <v>4</v>
      </c>
      <c r="Z197" s="74">
        <f>IFERROR(VLOOKUP(Table1215[[#This Row],[Column2]],Table12[[Column2]:[Column54]],25,FALSE),"0")</f>
        <v>0</v>
      </c>
      <c r="AA197" s="74">
        <f>IFERROR(VLOOKUP(Table1215[[#This Row],[Column2]],Table12[[Column2]:[Column54]],26,FALSE),"0")</f>
        <v>0</v>
      </c>
      <c r="AB197" s="74">
        <f>IFERROR(VLOOKUP(Table1215[[#This Row],[Column2]],Table12[[Column2]:[Column54]],27,FALSE),"0")</f>
        <v>0</v>
      </c>
      <c r="AC197" s="74">
        <f>IFERROR(VLOOKUP(Table1215[[#This Row],[Column2]],Table12[[Column2]:[Column54]],28,FALSE),"0")</f>
        <v>0</v>
      </c>
      <c r="AD197" s="80">
        <f>Table1215[[#This Row],[Column25]]</f>
        <v>4</v>
      </c>
      <c r="AE197" s="74">
        <f>IFERROR(VLOOKUP(Table1215[[#This Row],[Column2]],Table12[[Column2]:[Column54]],30,FALSE),"0")</f>
        <v>0</v>
      </c>
      <c r="AF197" s="74">
        <f>IFERROR(VLOOKUP(Table1215[[#This Row],[Column2]],Table12[[Column2]:[Column54]],31,FALSE),"0")</f>
        <v>0</v>
      </c>
      <c r="AG197" s="74">
        <f>IFERROR(VLOOKUP(Table1215[[#This Row],[Column2]],Table12[[Column2]:[Column54]],32,FALSE),"0")</f>
        <v>0</v>
      </c>
      <c r="AH197" s="74">
        <f>IFERROR(VLOOKUP(Table1215[[#This Row],[Column2]],Table12[[Column2]:[Column54]],33,FALSE),"0")</f>
        <v>0</v>
      </c>
      <c r="AI197" s="74">
        <f>IFERROR(VLOOKUP(Table1215[[#This Row],[Column2]],Table12[[Column2]:[Column54]],34,FALSE),"0")</f>
        <v>0</v>
      </c>
      <c r="AJ197" s="80">
        <f>AVERAGE(Table1215[[#This Row],[Column31]],Table1215[[#This Row],[Column32]],Table1215[[#This Row],[Column33]])</f>
        <v>0</v>
      </c>
      <c r="AK197" s="74">
        <f>IFERROR(VLOOKUP(Table1215[[#This Row],[Column2]],Table12[[Column2]:[Column54]],36,FALSE),"0")</f>
        <v>3</v>
      </c>
      <c r="AL197" s="74">
        <f>IFERROR(VLOOKUP(Table1215[[#This Row],[Column2]],Table12[[Column2]:[Column54]],37,FALSE),"0")</f>
        <v>3</v>
      </c>
      <c r="AM197" s="74">
        <f>IFERROR(VLOOKUP(Table1215[[#This Row],[Column2]],Table12[[Column2]:[Column54]],38,FALSE),"0")</f>
        <v>0</v>
      </c>
      <c r="AN197" s="74">
        <f>IFERROR(VLOOKUP(Table1215[[#This Row],[Column2]],Table12[[Column2]:[Column54]],39,FALSE),"0")</f>
        <v>4</v>
      </c>
      <c r="AO197" s="74">
        <f>IFERROR(VLOOKUP(Table1215[[#This Row],[Column2]],Table12[[Column2]:[Column54]],40,FALSE),"0")</f>
        <v>0</v>
      </c>
      <c r="AP197" s="80">
        <f>AVERAGE(Table1215[[#This Row],[Column37]],Table1215[[#This Row],[Column38]],Table1215[[#This Row],[Column40]])</f>
        <v>3.3333333333333335</v>
      </c>
      <c r="AQ197" s="74">
        <f>IFERROR(VLOOKUP(Table1215[[#This Row],[Column2]],Table12[[Column2]:[Column54]],42,FALSE),"0")</f>
        <v>4</v>
      </c>
      <c r="AR197" s="74">
        <f>IFERROR(VLOOKUP(Table1215[[#This Row],[Column2]],Table12[[Column2]:[Column54]],43,FALSE),"0")</f>
        <v>0</v>
      </c>
      <c r="AS197" s="74">
        <f>IFERROR(VLOOKUP(Table1215[[#This Row],[Column2]],Table12[[Column2]:[Column54]],44,FALSE),"0")</f>
        <v>0</v>
      </c>
      <c r="AT197" s="74">
        <f>IFERROR(VLOOKUP(Table1215[[#This Row],[Column2]],Table12[[Column2]:[Column54]],45,FALSE),"0")</f>
        <v>0</v>
      </c>
      <c r="AU197" s="74">
        <f>IFERROR(VLOOKUP(Table1215[[#This Row],[Column2]],Table12[[Column2]:[Column54]],46,FALSE),"0")</f>
        <v>0</v>
      </c>
      <c r="AV197" s="80">
        <f>Table1215[[#This Row],[Column43]]</f>
        <v>4</v>
      </c>
      <c r="AW197" s="74">
        <f>IFERROR(VLOOKUP(Table1215[[#This Row],[Column2]],Table12[[Column2]:[Column54]],48,FALSE),"0")</f>
        <v>0</v>
      </c>
      <c r="AX197" s="74">
        <f>IFERROR(VLOOKUP(Table1215[[#This Row],[Column2]],Table12[[Column2]:[Column54]],49,FALSE),"0")</f>
        <v>0</v>
      </c>
      <c r="AY197" s="74">
        <f>IFERROR(VLOOKUP(Table1215[[#This Row],[Column2]],Table12[[Column2]:[Column54]],50,FALSE),"0")</f>
        <v>0</v>
      </c>
      <c r="AZ197" s="74">
        <f>IFERROR(VLOOKUP(Table1215[[#This Row],[Column2]],Table12[[Column2]:[Column54]],51,FALSE),"0")</f>
        <v>2</v>
      </c>
      <c r="BA197" s="74">
        <f>IFERROR(VLOOKUP(Table1215[[#This Row],[Column2]],Table12[[Column2]:[Column54]],52,FALSE),"0")</f>
        <v>4</v>
      </c>
      <c r="BB197" s="80">
        <f>AVERAGE(Table1215[[#This Row],[Column52]],Table1215[[#This Row],[Column53]])</f>
        <v>3</v>
      </c>
    </row>
    <row r="198" spans="1:54" ht="23.1" customHeight="1" x14ac:dyDescent="0.3">
      <c r="A198" s="99">
        <v>195</v>
      </c>
      <c r="B198" s="76" t="s">
        <v>426</v>
      </c>
      <c r="C198" s="77" t="s">
        <v>427</v>
      </c>
      <c r="D198" s="76" t="s">
        <v>450</v>
      </c>
      <c r="E198" s="76" t="s">
        <v>289</v>
      </c>
      <c r="F198" s="76" t="str">
        <f>REPT(CHAR(160),10)&amp;Working!$E199</f>
        <v>          D</v>
      </c>
      <c r="G198" s="78">
        <f>IFERROR(VLOOKUP(Table1215[[#This Row],[Column2]],Table12[[Column2]:[Column54]],6,FALSE),"0")</f>
        <v>0</v>
      </c>
      <c r="H198" s="78">
        <f>IFERROR(VLOOKUP(Table1215[[#This Row],[Column2]],Table12[[Column2]:[Column54]],7,FALSE),"0")</f>
        <v>0</v>
      </c>
      <c r="I198" s="78">
        <f>IFERROR(VLOOKUP(Table1215[[#This Row],[Column2]],Table12[[Column2]:[Column54]],8,FALSE),"0")</f>
        <v>3</v>
      </c>
      <c r="J198" s="78">
        <f>IFERROR(VLOOKUP(Table1215[[#This Row],[Column2]],Table12[[Column2]:[Column54]],9,FALSE),"0")</f>
        <v>0</v>
      </c>
      <c r="K198" s="78">
        <f>IFERROR(VLOOKUP(Table1215[[#This Row],[Column2]],Table12[[Column2]:[Column54]],10,FALSE),"0")</f>
        <v>0</v>
      </c>
      <c r="L198" s="80">
        <f>Table1215[[#This Row],[Column9]]</f>
        <v>3</v>
      </c>
      <c r="M198" s="78">
        <f>IFERROR(VLOOKUP(Table1215[[#This Row],[Column2]],Table12[[Column2]:[Column54]],12,FALSE),"0")</f>
        <v>0</v>
      </c>
      <c r="N198" s="78">
        <f>IFERROR(VLOOKUP(Table1215[[#This Row],[Column2]],Table12[[Column2]:[Column54]],13,FALSE),"0")</f>
        <v>4</v>
      </c>
      <c r="O198" s="78">
        <f>IFERROR(VLOOKUP(Table1215[[#This Row],[Column2]],Table12[[Column2]:[Column54]],14,FALSE),"0")</f>
        <v>3</v>
      </c>
      <c r="P198" s="78">
        <f>IFERROR(VLOOKUP(Table1215[[#This Row],[Column2]],Table12[[Column2]:[Column54]],10,FALSE),"0")</f>
        <v>0</v>
      </c>
      <c r="Q198" s="78">
        <f>IFERROR(VLOOKUP(Table1215[[#This Row],[Column2]],Table12[[Column2]:[Column54]],16,FALSE),"0")</f>
        <v>3</v>
      </c>
      <c r="R198" s="80">
        <f>AVERAGE(Table1215[[#This Row],[Column14]],Table1215[[#This Row],[Column15]],Table1215[[#This Row],[Column17]])</f>
        <v>3.3333333333333335</v>
      </c>
      <c r="S198" s="78">
        <f>IFERROR(VLOOKUP(Table1215[[#This Row],[Column2]],Table12[[Column2]:[Column54]],18,FALSE),"0")</f>
        <v>0</v>
      </c>
      <c r="T198" s="78">
        <f>IFERROR(VLOOKUP(Table1215[[#This Row],[Column2]],Table12[[Column2]:[Column54]],19,FALSE),"0")</f>
        <v>0</v>
      </c>
      <c r="U198" s="78">
        <f>IFERROR(VLOOKUP(Table1215[[#This Row],[Column2]],Table12[[Column2]:[Column54]],20,FALSE),"0")</f>
        <v>0</v>
      </c>
      <c r="V198" s="78">
        <f>IFERROR(VLOOKUP(Table1215[[#This Row],[Column2]],Table12[[Column2]:[Column54]],21,FALSE),"0")</f>
        <v>0</v>
      </c>
      <c r="W198" s="78">
        <f>IFERROR(VLOOKUP(Table1215[[#This Row],[Column2]],Table12[[Column2]:[Column54]],22,FALSE),"0")</f>
        <v>0</v>
      </c>
      <c r="X198" s="80">
        <f>Table1215[[#This Row],[Column19]]</f>
        <v>0</v>
      </c>
      <c r="Y198" s="78">
        <f>IFERROR(VLOOKUP(Table1215[[#This Row],[Column2]],Table12[[Column2]:[Column54]],24,FALSE),"0")</f>
        <v>3</v>
      </c>
      <c r="Z198" s="78">
        <f>IFERROR(VLOOKUP(Table1215[[#This Row],[Column2]],Table12[[Column2]:[Column54]],25,FALSE),"0")</f>
        <v>0</v>
      </c>
      <c r="AA198" s="78">
        <f>IFERROR(VLOOKUP(Table1215[[#This Row],[Column2]],Table12[[Column2]:[Column54]],26,FALSE),"0")</f>
        <v>0</v>
      </c>
      <c r="AB198" s="78">
        <f>IFERROR(VLOOKUP(Table1215[[#This Row],[Column2]],Table12[[Column2]:[Column54]],27,FALSE),"0")</f>
        <v>0</v>
      </c>
      <c r="AC198" s="78">
        <f>IFERROR(VLOOKUP(Table1215[[#This Row],[Column2]],Table12[[Column2]:[Column54]],28,FALSE),"0")</f>
        <v>0</v>
      </c>
      <c r="AD198" s="80">
        <f>Table1215[[#This Row],[Column25]]</f>
        <v>3</v>
      </c>
      <c r="AE198" s="78">
        <f>IFERROR(VLOOKUP(Table1215[[#This Row],[Column2]],Table12[[Column2]:[Column54]],30,FALSE),"0")</f>
        <v>0</v>
      </c>
      <c r="AF198" s="78">
        <f>IFERROR(VLOOKUP(Table1215[[#This Row],[Column2]],Table12[[Column2]:[Column54]],31,FALSE),"0")</f>
        <v>0</v>
      </c>
      <c r="AG198" s="78">
        <f>IFERROR(VLOOKUP(Table1215[[#This Row],[Column2]],Table12[[Column2]:[Column54]],32,FALSE),"0")</f>
        <v>0</v>
      </c>
      <c r="AH198" s="78">
        <f>IFERROR(VLOOKUP(Table1215[[#This Row],[Column2]],Table12[[Column2]:[Column54]],33,FALSE),"0")</f>
        <v>0</v>
      </c>
      <c r="AI198" s="78">
        <f>IFERROR(VLOOKUP(Table1215[[#This Row],[Column2]],Table12[[Column2]:[Column54]],34,FALSE),"0")</f>
        <v>0</v>
      </c>
      <c r="AJ198" s="80">
        <f>AVERAGE(Table1215[[#This Row],[Column31]],Table1215[[#This Row],[Column32]],Table1215[[#This Row],[Column33]])</f>
        <v>0</v>
      </c>
      <c r="AK198" s="78">
        <f>IFERROR(VLOOKUP(Table1215[[#This Row],[Column2]],Table12[[Column2]:[Column54]],36,FALSE),"0")</f>
        <v>3</v>
      </c>
      <c r="AL198" s="78">
        <f>IFERROR(VLOOKUP(Table1215[[#This Row],[Column2]],Table12[[Column2]:[Column54]],37,FALSE),"0")</f>
        <v>3</v>
      </c>
      <c r="AM198" s="78">
        <f>IFERROR(VLOOKUP(Table1215[[#This Row],[Column2]],Table12[[Column2]:[Column54]],38,FALSE),"0")</f>
        <v>0</v>
      </c>
      <c r="AN198" s="78">
        <f>IFERROR(VLOOKUP(Table1215[[#This Row],[Column2]],Table12[[Column2]:[Column54]],39,FALSE),"0")</f>
        <v>4</v>
      </c>
      <c r="AO198" s="78">
        <f>IFERROR(VLOOKUP(Table1215[[#This Row],[Column2]],Table12[[Column2]:[Column54]],40,FALSE),"0")</f>
        <v>0</v>
      </c>
      <c r="AP198" s="80">
        <f>AVERAGE(Table1215[[#This Row],[Column37]],Table1215[[#This Row],[Column38]],Table1215[[#This Row],[Column40]])</f>
        <v>3.3333333333333335</v>
      </c>
      <c r="AQ198" s="78">
        <f>IFERROR(VLOOKUP(Table1215[[#This Row],[Column2]],Table12[[Column2]:[Column54]],42,FALSE),"0")</f>
        <v>3</v>
      </c>
      <c r="AR198" s="78">
        <f>IFERROR(VLOOKUP(Table1215[[#This Row],[Column2]],Table12[[Column2]:[Column54]],43,FALSE),"0")</f>
        <v>0</v>
      </c>
      <c r="AS198" s="78">
        <f>IFERROR(VLOOKUP(Table1215[[#This Row],[Column2]],Table12[[Column2]:[Column54]],44,FALSE),"0")</f>
        <v>0</v>
      </c>
      <c r="AT198" s="78">
        <f>IFERROR(VLOOKUP(Table1215[[#This Row],[Column2]],Table12[[Column2]:[Column54]],45,FALSE),"0")</f>
        <v>0</v>
      </c>
      <c r="AU198" s="78">
        <f>IFERROR(VLOOKUP(Table1215[[#This Row],[Column2]],Table12[[Column2]:[Column54]],46,FALSE),"0")</f>
        <v>0</v>
      </c>
      <c r="AV198" s="80">
        <f>Table1215[[#This Row],[Column43]]</f>
        <v>3</v>
      </c>
      <c r="AW198" s="78">
        <f>IFERROR(VLOOKUP(Table1215[[#This Row],[Column2]],Table12[[Column2]:[Column54]],48,FALSE),"0")</f>
        <v>0</v>
      </c>
      <c r="AX198" s="78">
        <f>IFERROR(VLOOKUP(Table1215[[#This Row],[Column2]],Table12[[Column2]:[Column54]],49,FALSE),"0")</f>
        <v>0</v>
      </c>
      <c r="AY198" s="78">
        <f>IFERROR(VLOOKUP(Table1215[[#This Row],[Column2]],Table12[[Column2]:[Column54]],50,FALSE),"0")</f>
        <v>0</v>
      </c>
      <c r="AZ198" s="78">
        <f>IFERROR(VLOOKUP(Table1215[[#This Row],[Column2]],Table12[[Column2]:[Column54]],51,FALSE),"0")</f>
        <v>3</v>
      </c>
      <c r="BA198" s="78">
        <f>IFERROR(VLOOKUP(Table1215[[#This Row],[Column2]],Table12[[Column2]:[Column54]],52,FALSE),"0")</f>
        <v>3</v>
      </c>
      <c r="BB198" s="80">
        <f>AVERAGE(Table1215[[#This Row],[Column52]],Table1215[[#This Row],[Column53]])</f>
        <v>3</v>
      </c>
    </row>
    <row r="199" spans="1:54" ht="23.1" customHeight="1" x14ac:dyDescent="0.3">
      <c r="A199" s="100">
        <v>196</v>
      </c>
      <c r="B199" s="83" t="s">
        <v>428</v>
      </c>
      <c r="C199" s="84" t="s">
        <v>429</v>
      </c>
      <c r="D199" s="83" t="s">
        <v>450</v>
      </c>
      <c r="E199" s="83" t="s">
        <v>493</v>
      </c>
      <c r="F199" s="83" t="str">
        <f>REPT(CHAR(160),10)&amp;Working!$E200</f>
        <v>          C</v>
      </c>
      <c r="G199" s="74">
        <f>IFERROR(VLOOKUP(Table1215[[#This Row],[Column2]],Table12[[Column2]:[Column54]],6,FALSE),"0")</f>
        <v>0</v>
      </c>
      <c r="H199" s="74">
        <f>IFERROR(VLOOKUP(Table1215[[#This Row],[Column2]],Table12[[Column2]:[Column54]],7,FALSE),"0")</f>
        <v>0</v>
      </c>
      <c r="I199" s="74">
        <f>IFERROR(VLOOKUP(Table1215[[#This Row],[Column2]],Table12[[Column2]:[Column54]],8,FALSE),"0")</f>
        <v>4</v>
      </c>
      <c r="J199" s="74">
        <f>IFERROR(VLOOKUP(Table1215[[#This Row],[Column2]],Table12[[Column2]:[Column54]],9,FALSE),"0")</f>
        <v>0</v>
      </c>
      <c r="K199" s="74">
        <f>IFERROR(VLOOKUP(Table1215[[#This Row],[Column2]],Table12[[Column2]:[Column54]],10,FALSE),"0")</f>
        <v>0</v>
      </c>
      <c r="L199" s="80">
        <f>Table1215[[#This Row],[Column9]]</f>
        <v>4</v>
      </c>
      <c r="M199" s="74">
        <f>IFERROR(VLOOKUP(Table1215[[#This Row],[Column2]],Table12[[Column2]:[Column54]],12,FALSE),"0")</f>
        <v>0</v>
      </c>
      <c r="N199" s="74">
        <f>IFERROR(VLOOKUP(Table1215[[#This Row],[Column2]],Table12[[Column2]:[Column54]],13,FALSE),"0")</f>
        <v>5</v>
      </c>
      <c r="O199" s="74">
        <f>IFERROR(VLOOKUP(Table1215[[#This Row],[Column2]],Table12[[Column2]:[Column54]],14,FALSE),"0")</f>
        <v>4</v>
      </c>
      <c r="P199" s="74">
        <f>IFERROR(VLOOKUP(Table1215[[#This Row],[Column2]],Table12[[Column2]:[Column54]],10,FALSE),"0")</f>
        <v>0</v>
      </c>
      <c r="Q199" s="74">
        <f>IFERROR(VLOOKUP(Table1215[[#This Row],[Column2]],Table12[[Column2]:[Column54]],16,FALSE),"0")</f>
        <v>4</v>
      </c>
      <c r="R199" s="80">
        <f>AVERAGE(Table1215[[#This Row],[Column14]],Table1215[[#This Row],[Column15]],Table1215[[#This Row],[Column17]])</f>
        <v>4.333333333333333</v>
      </c>
      <c r="S199" s="74">
        <f>IFERROR(VLOOKUP(Table1215[[#This Row],[Column2]],Table12[[Column2]:[Column54]],18,FALSE),"0")</f>
        <v>0</v>
      </c>
      <c r="T199" s="74">
        <f>IFERROR(VLOOKUP(Table1215[[#This Row],[Column2]],Table12[[Column2]:[Column54]],19,FALSE),"0")</f>
        <v>0</v>
      </c>
      <c r="U199" s="74">
        <f>IFERROR(VLOOKUP(Table1215[[#This Row],[Column2]],Table12[[Column2]:[Column54]],20,FALSE),"0")</f>
        <v>0</v>
      </c>
      <c r="V199" s="74">
        <f>IFERROR(VLOOKUP(Table1215[[#This Row],[Column2]],Table12[[Column2]:[Column54]],21,FALSE),"0")</f>
        <v>0</v>
      </c>
      <c r="W199" s="74">
        <f>IFERROR(VLOOKUP(Table1215[[#This Row],[Column2]],Table12[[Column2]:[Column54]],22,FALSE),"0")</f>
        <v>0</v>
      </c>
      <c r="X199" s="80">
        <f>Table1215[[#This Row],[Column19]]</f>
        <v>0</v>
      </c>
      <c r="Y199" s="74">
        <f>IFERROR(VLOOKUP(Table1215[[#This Row],[Column2]],Table12[[Column2]:[Column54]],24,FALSE),"0")</f>
        <v>4</v>
      </c>
      <c r="Z199" s="74">
        <f>IFERROR(VLOOKUP(Table1215[[#This Row],[Column2]],Table12[[Column2]:[Column54]],25,FALSE),"0")</f>
        <v>0</v>
      </c>
      <c r="AA199" s="74">
        <f>IFERROR(VLOOKUP(Table1215[[#This Row],[Column2]],Table12[[Column2]:[Column54]],26,FALSE),"0")</f>
        <v>0</v>
      </c>
      <c r="AB199" s="74">
        <f>IFERROR(VLOOKUP(Table1215[[#This Row],[Column2]],Table12[[Column2]:[Column54]],27,FALSE),"0")</f>
        <v>0</v>
      </c>
      <c r="AC199" s="74">
        <f>IFERROR(VLOOKUP(Table1215[[#This Row],[Column2]],Table12[[Column2]:[Column54]],28,FALSE),"0")</f>
        <v>0</v>
      </c>
      <c r="AD199" s="80">
        <f>Table1215[[#This Row],[Column25]]</f>
        <v>4</v>
      </c>
      <c r="AE199" s="74">
        <f>IFERROR(VLOOKUP(Table1215[[#This Row],[Column2]],Table12[[Column2]:[Column54]],30,FALSE),"0")</f>
        <v>0</v>
      </c>
      <c r="AF199" s="74">
        <f>IFERROR(VLOOKUP(Table1215[[#This Row],[Column2]],Table12[[Column2]:[Column54]],31,FALSE),"0")</f>
        <v>0</v>
      </c>
      <c r="AG199" s="74">
        <f>IFERROR(VLOOKUP(Table1215[[#This Row],[Column2]],Table12[[Column2]:[Column54]],32,FALSE),"0")</f>
        <v>0</v>
      </c>
      <c r="AH199" s="74">
        <f>IFERROR(VLOOKUP(Table1215[[#This Row],[Column2]],Table12[[Column2]:[Column54]],33,FALSE),"0")</f>
        <v>0</v>
      </c>
      <c r="AI199" s="74">
        <f>IFERROR(VLOOKUP(Table1215[[#This Row],[Column2]],Table12[[Column2]:[Column54]],34,FALSE),"0")</f>
        <v>4</v>
      </c>
      <c r="AJ199" s="80">
        <f>AVERAGE(Table1215[[#This Row],[Column31]],Table1215[[#This Row],[Column32]],Table1215[[#This Row],[Column33]])</f>
        <v>0</v>
      </c>
      <c r="AK199" s="74">
        <f>IFERROR(VLOOKUP(Table1215[[#This Row],[Column2]],Table12[[Column2]:[Column54]],36,FALSE),"0")</f>
        <v>4</v>
      </c>
      <c r="AL199" s="74">
        <f>IFERROR(VLOOKUP(Table1215[[#This Row],[Column2]],Table12[[Column2]:[Column54]],37,FALSE),"0")</f>
        <v>4</v>
      </c>
      <c r="AM199" s="74">
        <f>IFERROR(VLOOKUP(Table1215[[#This Row],[Column2]],Table12[[Column2]:[Column54]],38,FALSE),"0")</f>
        <v>0</v>
      </c>
      <c r="AN199" s="74">
        <f>IFERROR(VLOOKUP(Table1215[[#This Row],[Column2]],Table12[[Column2]:[Column54]],39,FALSE),"0")</f>
        <v>5</v>
      </c>
      <c r="AO199" s="74">
        <f>IFERROR(VLOOKUP(Table1215[[#This Row],[Column2]],Table12[[Column2]:[Column54]],40,FALSE),"0")</f>
        <v>0</v>
      </c>
      <c r="AP199" s="80">
        <f>AVERAGE(Table1215[[#This Row],[Column37]],Table1215[[#This Row],[Column38]],Table1215[[#This Row],[Column40]])</f>
        <v>4.333333333333333</v>
      </c>
      <c r="AQ199" s="74">
        <f>IFERROR(VLOOKUP(Table1215[[#This Row],[Column2]],Table12[[Column2]:[Column54]],42,FALSE),"0")</f>
        <v>3</v>
      </c>
      <c r="AR199" s="74">
        <f>IFERROR(VLOOKUP(Table1215[[#This Row],[Column2]],Table12[[Column2]:[Column54]],43,FALSE),"0")</f>
        <v>0</v>
      </c>
      <c r="AS199" s="74">
        <f>IFERROR(VLOOKUP(Table1215[[#This Row],[Column2]],Table12[[Column2]:[Column54]],44,FALSE),"0")</f>
        <v>0</v>
      </c>
      <c r="AT199" s="74">
        <f>IFERROR(VLOOKUP(Table1215[[#This Row],[Column2]],Table12[[Column2]:[Column54]],45,FALSE),"0")</f>
        <v>0</v>
      </c>
      <c r="AU199" s="74">
        <f>IFERROR(VLOOKUP(Table1215[[#This Row],[Column2]],Table12[[Column2]:[Column54]],46,FALSE),"0")</f>
        <v>0</v>
      </c>
      <c r="AV199" s="80">
        <f>Table1215[[#This Row],[Column43]]</f>
        <v>3</v>
      </c>
      <c r="AW199" s="74">
        <f>IFERROR(VLOOKUP(Table1215[[#This Row],[Column2]],Table12[[Column2]:[Column54]],48,FALSE),"0")</f>
        <v>0</v>
      </c>
      <c r="AX199" s="74">
        <f>IFERROR(VLOOKUP(Table1215[[#This Row],[Column2]],Table12[[Column2]:[Column54]],49,FALSE),"0")</f>
        <v>0</v>
      </c>
      <c r="AY199" s="74">
        <f>IFERROR(VLOOKUP(Table1215[[#This Row],[Column2]],Table12[[Column2]:[Column54]],50,FALSE),"0")</f>
        <v>0</v>
      </c>
      <c r="AZ199" s="74">
        <f>IFERROR(VLOOKUP(Table1215[[#This Row],[Column2]],Table12[[Column2]:[Column54]],51,FALSE),"0")</f>
        <v>4</v>
      </c>
      <c r="BA199" s="74">
        <f>IFERROR(VLOOKUP(Table1215[[#This Row],[Column2]],Table12[[Column2]:[Column54]],52,FALSE),"0")</f>
        <v>5</v>
      </c>
      <c r="BB199" s="80">
        <f>AVERAGE(Table1215[[#This Row],[Column52]],Table1215[[#This Row],[Column53]])</f>
        <v>4.5</v>
      </c>
    </row>
    <row r="200" spans="1:54" ht="23.1" customHeight="1" x14ac:dyDescent="0.3">
      <c r="A200" s="99">
        <v>197</v>
      </c>
      <c r="B200" s="76" t="s">
        <v>430</v>
      </c>
      <c r="C200" s="77" t="s">
        <v>431</v>
      </c>
      <c r="D200" s="76" t="s">
        <v>542</v>
      </c>
      <c r="E200" s="76" t="s">
        <v>493</v>
      </c>
      <c r="F200" s="76" t="str">
        <f>REPT(CHAR(160),10)&amp;Working!$E201</f>
        <v>          C</v>
      </c>
      <c r="G200" s="78">
        <f>IFERROR(VLOOKUP(Table1215[[#This Row],[Column2]],Table12[[Column2]:[Column54]],6,FALSE),"0")</f>
        <v>0</v>
      </c>
      <c r="H200" s="78">
        <f>IFERROR(VLOOKUP(Table1215[[#This Row],[Column2]],Table12[[Column2]:[Column54]],7,FALSE),"0")</f>
        <v>0</v>
      </c>
      <c r="I200" s="78">
        <f>IFERROR(VLOOKUP(Table1215[[#This Row],[Column2]],Table12[[Column2]:[Column54]],8,FALSE),"0")</f>
        <v>3</v>
      </c>
      <c r="J200" s="78">
        <f>IFERROR(VLOOKUP(Table1215[[#This Row],[Column2]],Table12[[Column2]:[Column54]],9,FALSE),"0")</f>
        <v>0</v>
      </c>
      <c r="K200" s="78">
        <f>IFERROR(VLOOKUP(Table1215[[#This Row],[Column2]],Table12[[Column2]:[Column54]],10,FALSE),"0")</f>
        <v>0</v>
      </c>
      <c r="L200" s="80">
        <f>Table1215[[#This Row],[Column9]]</f>
        <v>3</v>
      </c>
      <c r="M200" s="78">
        <f>IFERROR(VLOOKUP(Table1215[[#This Row],[Column2]],Table12[[Column2]:[Column54]],12,FALSE),"0")</f>
        <v>0</v>
      </c>
      <c r="N200" s="78">
        <f>IFERROR(VLOOKUP(Table1215[[#This Row],[Column2]],Table12[[Column2]:[Column54]],13,FALSE),"0")</f>
        <v>2</v>
      </c>
      <c r="O200" s="78">
        <f>IFERROR(VLOOKUP(Table1215[[#This Row],[Column2]],Table12[[Column2]:[Column54]],14,FALSE),"0")</f>
        <v>3</v>
      </c>
      <c r="P200" s="78">
        <f>IFERROR(VLOOKUP(Table1215[[#This Row],[Column2]],Table12[[Column2]:[Column54]],10,FALSE),"0")</f>
        <v>0</v>
      </c>
      <c r="Q200" s="78">
        <f>IFERROR(VLOOKUP(Table1215[[#This Row],[Column2]],Table12[[Column2]:[Column54]],16,FALSE),"0")</f>
        <v>3</v>
      </c>
      <c r="R200" s="80">
        <f>AVERAGE(Table1215[[#This Row],[Column14]],Table1215[[#This Row],[Column15]],Table1215[[#This Row],[Column17]])</f>
        <v>2.6666666666666665</v>
      </c>
      <c r="S200" s="78">
        <f>IFERROR(VLOOKUP(Table1215[[#This Row],[Column2]],Table12[[Column2]:[Column54]],18,FALSE),"0")</f>
        <v>0</v>
      </c>
      <c r="T200" s="78">
        <f>IFERROR(VLOOKUP(Table1215[[#This Row],[Column2]],Table12[[Column2]:[Column54]],19,FALSE),"0")</f>
        <v>0</v>
      </c>
      <c r="U200" s="78">
        <f>IFERROR(VLOOKUP(Table1215[[#This Row],[Column2]],Table12[[Column2]:[Column54]],20,FALSE),"0")</f>
        <v>0</v>
      </c>
      <c r="V200" s="78">
        <f>IFERROR(VLOOKUP(Table1215[[#This Row],[Column2]],Table12[[Column2]:[Column54]],21,FALSE),"0")</f>
        <v>0</v>
      </c>
      <c r="W200" s="78">
        <f>IFERROR(VLOOKUP(Table1215[[#This Row],[Column2]],Table12[[Column2]:[Column54]],22,FALSE),"0")</f>
        <v>0</v>
      </c>
      <c r="X200" s="80">
        <f>Table1215[[#This Row],[Column19]]</f>
        <v>0</v>
      </c>
      <c r="Y200" s="78">
        <f>IFERROR(VLOOKUP(Table1215[[#This Row],[Column2]],Table12[[Column2]:[Column54]],24,FALSE),"0")</f>
        <v>4</v>
      </c>
      <c r="Z200" s="78">
        <f>IFERROR(VLOOKUP(Table1215[[#This Row],[Column2]],Table12[[Column2]:[Column54]],25,FALSE),"0")</f>
        <v>0</v>
      </c>
      <c r="AA200" s="78">
        <f>IFERROR(VLOOKUP(Table1215[[#This Row],[Column2]],Table12[[Column2]:[Column54]],26,FALSE),"0")</f>
        <v>0</v>
      </c>
      <c r="AB200" s="78">
        <f>IFERROR(VLOOKUP(Table1215[[#This Row],[Column2]],Table12[[Column2]:[Column54]],27,FALSE),"0")</f>
        <v>0</v>
      </c>
      <c r="AC200" s="78">
        <f>IFERROR(VLOOKUP(Table1215[[#This Row],[Column2]],Table12[[Column2]:[Column54]],28,FALSE),"0")</f>
        <v>0</v>
      </c>
      <c r="AD200" s="80">
        <f>Table1215[[#This Row],[Column25]]</f>
        <v>4</v>
      </c>
      <c r="AE200" s="78">
        <f>IFERROR(VLOOKUP(Table1215[[#This Row],[Column2]],Table12[[Column2]:[Column54]],30,FALSE),"0")</f>
        <v>0</v>
      </c>
      <c r="AF200" s="78">
        <f>IFERROR(VLOOKUP(Table1215[[#This Row],[Column2]],Table12[[Column2]:[Column54]],31,FALSE),"0")</f>
        <v>0</v>
      </c>
      <c r="AG200" s="78">
        <f>IFERROR(VLOOKUP(Table1215[[#This Row],[Column2]],Table12[[Column2]:[Column54]],32,FALSE),"0")</f>
        <v>0</v>
      </c>
      <c r="AH200" s="78">
        <f>IFERROR(VLOOKUP(Table1215[[#This Row],[Column2]],Table12[[Column2]:[Column54]],33,FALSE),"0")</f>
        <v>0</v>
      </c>
      <c r="AI200" s="78">
        <f>IFERROR(VLOOKUP(Table1215[[#This Row],[Column2]],Table12[[Column2]:[Column54]],34,FALSE),"0")</f>
        <v>0</v>
      </c>
      <c r="AJ200" s="80">
        <f>AVERAGE(Table1215[[#This Row],[Column31]],Table1215[[#This Row],[Column32]],Table1215[[#This Row],[Column33]])</f>
        <v>0</v>
      </c>
      <c r="AK200" s="78">
        <f>IFERROR(VLOOKUP(Table1215[[#This Row],[Column2]],Table12[[Column2]:[Column54]],36,FALSE),"0")</f>
        <v>2</v>
      </c>
      <c r="AL200" s="78">
        <f>IFERROR(VLOOKUP(Table1215[[#This Row],[Column2]],Table12[[Column2]:[Column54]],37,FALSE),"0")</f>
        <v>2</v>
      </c>
      <c r="AM200" s="78">
        <f>IFERROR(VLOOKUP(Table1215[[#This Row],[Column2]],Table12[[Column2]:[Column54]],38,FALSE),"0")</f>
        <v>0</v>
      </c>
      <c r="AN200" s="78">
        <f>IFERROR(VLOOKUP(Table1215[[#This Row],[Column2]],Table12[[Column2]:[Column54]],39,FALSE),"0")</f>
        <v>3</v>
      </c>
      <c r="AO200" s="78">
        <f>IFERROR(VLOOKUP(Table1215[[#This Row],[Column2]],Table12[[Column2]:[Column54]],40,FALSE),"0")</f>
        <v>0</v>
      </c>
      <c r="AP200" s="80">
        <f>AVERAGE(Table1215[[#This Row],[Column37]],Table1215[[#This Row],[Column38]],Table1215[[#This Row],[Column40]])</f>
        <v>2.3333333333333335</v>
      </c>
      <c r="AQ200" s="78">
        <f>IFERROR(VLOOKUP(Table1215[[#This Row],[Column2]],Table12[[Column2]:[Column54]],42,FALSE),"0")</f>
        <v>2</v>
      </c>
      <c r="AR200" s="78">
        <f>IFERROR(VLOOKUP(Table1215[[#This Row],[Column2]],Table12[[Column2]:[Column54]],43,FALSE),"0")</f>
        <v>0</v>
      </c>
      <c r="AS200" s="78">
        <f>IFERROR(VLOOKUP(Table1215[[#This Row],[Column2]],Table12[[Column2]:[Column54]],44,FALSE),"0")</f>
        <v>0</v>
      </c>
      <c r="AT200" s="78">
        <f>IFERROR(VLOOKUP(Table1215[[#This Row],[Column2]],Table12[[Column2]:[Column54]],45,FALSE),"0")</f>
        <v>0</v>
      </c>
      <c r="AU200" s="78">
        <f>IFERROR(VLOOKUP(Table1215[[#This Row],[Column2]],Table12[[Column2]:[Column54]],46,FALSE),"0")</f>
        <v>0</v>
      </c>
      <c r="AV200" s="80">
        <f>Table1215[[#This Row],[Column43]]</f>
        <v>2</v>
      </c>
      <c r="AW200" s="78">
        <f>IFERROR(VLOOKUP(Table1215[[#This Row],[Column2]],Table12[[Column2]:[Column54]],48,FALSE),"0")</f>
        <v>0</v>
      </c>
      <c r="AX200" s="78">
        <f>IFERROR(VLOOKUP(Table1215[[#This Row],[Column2]],Table12[[Column2]:[Column54]],49,FALSE),"0")</f>
        <v>0</v>
      </c>
      <c r="AY200" s="78">
        <f>IFERROR(VLOOKUP(Table1215[[#This Row],[Column2]],Table12[[Column2]:[Column54]],50,FALSE),"0")</f>
        <v>0</v>
      </c>
      <c r="AZ200" s="78">
        <f>IFERROR(VLOOKUP(Table1215[[#This Row],[Column2]],Table12[[Column2]:[Column54]],51,FALSE),"0")</f>
        <v>3</v>
      </c>
      <c r="BA200" s="78">
        <f>IFERROR(VLOOKUP(Table1215[[#This Row],[Column2]],Table12[[Column2]:[Column54]],52,FALSE),"0")</f>
        <v>3</v>
      </c>
      <c r="BB200" s="80">
        <f>AVERAGE(Table1215[[#This Row],[Column52]],Table1215[[#This Row],[Column53]])</f>
        <v>3</v>
      </c>
    </row>
    <row r="201" spans="1:54" ht="23.1" customHeight="1" x14ac:dyDescent="0.3">
      <c r="A201" s="100">
        <v>198</v>
      </c>
      <c r="B201" s="83" t="s">
        <v>176</v>
      </c>
      <c r="C201" s="84" t="s">
        <v>177</v>
      </c>
      <c r="D201" s="83" t="s">
        <v>542</v>
      </c>
      <c r="E201" s="83" t="s">
        <v>161</v>
      </c>
      <c r="F201" s="83" t="str">
        <f>REPT(CHAR(160),10)&amp;Working!$E202</f>
        <v>          B</v>
      </c>
      <c r="G201" s="74">
        <f>IFERROR(VLOOKUP(Table1215[[#This Row],[Column2]],Table12[[Column2]:[Column54]],6,FALSE),"0")</f>
        <v>0</v>
      </c>
      <c r="H201" s="74">
        <f>IFERROR(VLOOKUP(Table1215[[#This Row],[Column2]],Table12[[Column2]:[Column54]],7,FALSE),"0")</f>
        <v>0</v>
      </c>
      <c r="I201" s="74" t="str">
        <f>IFERROR(VLOOKUP(Table1215[[#This Row],[Column2]],Table12[[Column2]:[Column54]],8,FALSE),"0")</f>
        <v>A</v>
      </c>
      <c r="J201" s="74">
        <f>IFERROR(VLOOKUP(Table1215[[#This Row],[Column2]],Table12[[Column2]:[Column54]],9,FALSE),"0")</f>
        <v>0</v>
      </c>
      <c r="K201" s="74">
        <f>IFERROR(VLOOKUP(Table1215[[#This Row],[Column2]],Table12[[Column2]:[Column54]],10,FALSE),"0")</f>
        <v>0</v>
      </c>
      <c r="L201" s="80" t="str">
        <f>Table1215[[#This Row],[Column9]]</f>
        <v>A</v>
      </c>
      <c r="M201" s="74">
        <f>IFERROR(VLOOKUP(Table1215[[#This Row],[Column2]],Table12[[Column2]:[Column54]],12,FALSE),"0")</f>
        <v>0</v>
      </c>
      <c r="N201" s="74" t="str">
        <f>IFERROR(VLOOKUP(Table1215[[#This Row],[Column2]],Table12[[Column2]:[Column54]],13,FALSE),"0")</f>
        <v>0</v>
      </c>
      <c r="O201" s="74" t="str">
        <f>IFERROR(VLOOKUP(Table1215[[#This Row],[Column2]],Table12[[Column2]:[Column54]],14,FALSE),"0")</f>
        <v>0</v>
      </c>
      <c r="P201" s="74">
        <f>IFERROR(VLOOKUP(Table1215[[#This Row],[Column2]],Table12[[Column2]:[Column54]],10,FALSE),"0")</f>
        <v>0</v>
      </c>
      <c r="Q201" s="74" t="str">
        <f>IFERROR(VLOOKUP(Table1215[[#This Row],[Column2]],Table12[[Column2]:[Column54]],16,FALSE),"0")</f>
        <v>0</v>
      </c>
      <c r="R201" s="80" t="e">
        <f>AVERAGE(Table1215[[#This Row],[Column14]],Table1215[[#This Row],[Column15]],Table1215[[#This Row],[Column17]])</f>
        <v>#DIV/0!</v>
      </c>
      <c r="S201" s="74">
        <f>IFERROR(VLOOKUP(Table1215[[#This Row],[Column2]],Table12[[Column2]:[Column54]],18,FALSE),"0")</f>
        <v>0</v>
      </c>
      <c r="T201" s="74">
        <f>IFERROR(VLOOKUP(Table1215[[#This Row],[Column2]],Table12[[Column2]:[Column54]],19,FALSE),"0")</f>
        <v>0</v>
      </c>
      <c r="U201" s="74">
        <f>IFERROR(VLOOKUP(Table1215[[#This Row],[Column2]],Table12[[Column2]:[Column54]],20,FALSE),"0")</f>
        <v>0</v>
      </c>
      <c r="V201" s="74">
        <f>IFERROR(VLOOKUP(Table1215[[#This Row],[Column2]],Table12[[Column2]:[Column54]],21,FALSE),"0")</f>
        <v>0</v>
      </c>
      <c r="W201" s="74">
        <f>IFERROR(VLOOKUP(Table1215[[#This Row],[Column2]],Table12[[Column2]:[Column54]],22,FALSE),"0")</f>
        <v>0</v>
      </c>
      <c r="X201" s="80">
        <f>Table1215[[#This Row],[Column19]]</f>
        <v>0</v>
      </c>
      <c r="Y201" s="74" t="str">
        <f>IFERROR(VLOOKUP(Table1215[[#This Row],[Column2]],Table12[[Column2]:[Column54]],24,FALSE),"0")</f>
        <v>0</v>
      </c>
      <c r="Z201" s="74">
        <f>IFERROR(VLOOKUP(Table1215[[#This Row],[Column2]],Table12[[Column2]:[Column54]],25,FALSE),"0")</f>
        <v>0</v>
      </c>
      <c r="AA201" s="74">
        <f>IFERROR(VLOOKUP(Table1215[[#This Row],[Column2]],Table12[[Column2]:[Column54]],26,FALSE),"0")</f>
        <v>0</v>
      </c>
      <c r="AB201" s="74">
        <f>IFERROR(VLOOKUP(Table1215[[#This Row],[Column2]],Table12[[Column2]:[Column54]],27,FALSE),"0")</f>
        <v>0</v>
      </c>
      <c r="AC201" s="74">
        <f>IFERROR(VLOOKUP(Table1215[[#This Row],[Column2]],Table12[[Column2]:[Column54]],28,FALSE),"0")</f>
        <v>0</v>
      </c>
      <c r="AD201" s="80" t="str">
        <f>Table1215[[#This Row],[Column25]]</f>
        <v>0</v>
      </c>
      <c r="AE201" s="74">
        <f>IFERROR(VLOOKUP(Table1215[[#This Row],[Column2]],Table12[[Column2]:[Column54]],30,FALSE),"0")</f>
        <v>0</v>
      </c>
      <c r="AF201" s="74">
        <f>IFERROR(VLOOKUP(Table1215[[#This Row],[Column2]],Table12[[Column2]:[Column54]],31,FALSE),"0")</f>
        <v>0</v>
      </c>
      <c r="AG201" s="74">
        <f>IFERROR(VLOOKUP(Table1215[[#This Row],[Column2]],Table12[[Column2]:[Column54]],32,FALSE),"0")</f>
        <v>0</v>
      </c>
      <c r="AH201" s="74">
        <f>IFERROR(VLOOKUP(Table1215[[#This Row],[Column2]],Table12[[Column2]:[Column54]],33,FALSE),"0")</f>
        <v>0</v>
      </c>
      <c r="AI201" s="74">
        <f>IFERROR(VLOOKUP(Table1215[[#This Row],[Column2]],Table12[[Column2]:[Column54]],34,FALSE),"0")</f>
        <v>0</v>
      </c>
      <c r="AJ201" s="80">
        <f>AVERAGE(Table1215[[#This Row],[Column31]],Table1215[[#This Row],[Column32]],Table1215[[#This Row],[Column33]])</f>
        <v>0</v>
      </c>
      <c r="AK201" s="74" t="str">
        <f>IFERROR(VLOOKUP(Table1215[[#This Row],[Column2]],Table12[[Column2]:[Column54]],36,FALSE),"0")</f>
        <v>0</v>
      </c>
      <c r="AL201" s="74" t="str">
        <f>IFERROR(VLOOKUP(Table1215[[#This Row],[Column2]],Table12[[Column2]:[Column54]],37,FALSE),"0")</f>
        <v>0</v>
      </c>
      <c r="AM201" s="74">
        <f>IFERROR(VLOOKUP(Table1215[[#This Row],[Column2]],Table12[[Column2]:[Column54]],38,FALSE),"0")</f>
        <v>0</v>
      </c>
      <c r="AN201" s="74" t="str">
        <f>IFERROR(VLOOKUP(Table1215[[#This Row],[Column2]],Table12[[Column2]:[Column54]],39,FALSE),"0")</f>
        <v>0</v>
      </c>
      <c r="AO201" s="74">
        <f>IFERROR(VLOOKUP(Table1215[[#This Row],[Column2]],Table12[[Column2]:[Column54]],40,FALSE),"0")</f>
        <v>0</v>
      </c>
      <c r="AP201" s="80" t="e">
        <f>AVERAGE(Table1215[[#This Row],[Column37]],Table1215[[#This Row],[Column38]],Table1215[[#This Row],[Column40]])</f>
        <v>#DIV/0!</v>
      </c>
      <c r="AQ201" s="74" t="str">
        <f>IFERROR(VLOOKUP(Table1215[[#This Row],[Column2]],Table12[[Column2]:[Column54]],42,FALSE),"0")</f>
        <v>0</v>
      </c>
      <c r="AR201" s="74">
        <f>IFERROR(VLOOKUP(Table1215[[#This Row],[Column2]],Table12[[Column2]:[Column54]],43,FALSE),"0")</f>
        <v>0</v>
      </c>
      <c r="AS201" s="74">
        <f>IFERROR(VLOOKUP(Table1215[[#This Row],[Column2]],Table12[[Column2]:[Column54]],44,FALSE),"0")</f>
        <v>0</v>
      </c>
      <c r="AT201" s="74">
        <f>IFERROR(VLOOKUP(Table1215[[#This Row],[Column2]],Table12[[Column2]:[Column54]],45,FALSE),"0")</f>
        <v>0</v>
      </c>
      <c r="AU201" s="74">
        <f>IFERROR(VLOOKUP(Table1215[[#This Row],[Column2]],Table12[[Column2]:[Column54]],46,FALSE),"0")</f>
        <v>0</v>
      </c>
      <c r="AV201" s="80" t="str">
        <f>Table1215[[#This Row],[Column43]]</f>
        <v>0</v>
      </c>
      <c r="AW201" s="74">
        <f>IFERROR(VLOOKUP(Table1215[[#This Row],[Column2]],Table12[[Column2]:[Column54]],48,FALSE),"0")</f>
        <v>0</v>
      </c>
      <c r="AX201" s="74">
        <f>IFERROR(VLOOKUP(Table1215[[#This Row],[Column2]],Table12[[Column2]:[Column54]],49,FALSE),"0")</f>
        <v>0</v>
      </c>
      <c r="AY201" s="74">
        <f>IFERROR(VLOOKUP(Table1215[[#This Row],[Column2]],Table12[[Column2]:[Column54]],50,FALSE),"0")</f>
        <v>0</v>
      </c>
      <c r="AZ201" s="74" t="str">
        <f>IFERROR(VLOOKUP(Table1215[[#This Row],[Column2]],Table12[[Column2]:[Column54]],51,FALSE),"0")</f>
        <v>0</v>
      </c>
      <c r="BA201" s="74" t="str">
        <f>IFERROR(VLOOKUP(Table1215[[#This Row],[Column2]],Table12[[Column2]:[Column54]],52,FALSE),"0")</f>
        <v>0</v>
      </c>
      <c r="BB201" s="80" t="e">
        <f>AVERAGE(Table1215[[#This Row],[Column52]],Table1215[[#This Row],[Column53]])</f>
        <v>#DIV/0!</v>
      </c>
    </row>
    <row r="202" spans="1:54" ht="23.1" customHeight="1" x14ac:dyDescent="0.3">
      <c r="A202" s="99">
        <v>199</v>
      </c>
      <c r="B202" s="76" t="s">
        <v>432</v>
      </c>
      <c r="C202" s="77" t="s">
        <v>433</v>
      </c>
      <c r="D202" s="76" t="s">
        <v>542</v>
      </c>
      <c r="E202" s="76" t="s">
        <v>289</v>
      </c>
      <c r="F202" s="76" t="str">
        <f>REPT(CHAR(160),10)&amp;Working!$E203</f>
        <v>          D</v>
      </c>
      <c r="G202" s="78">
        <f>IFERROR(VLOOKUP(Table1215[[#This Row],[Column2]],Table12[[Column2]:[Column54]],6,FALSE),"0")</f>
        <v>0</v>
      </c>
      <c r="H202" s="78">
        <f>IFERROR(VLOOKUP(Table1215[[#This Row],[Column2]],Table12[[Column2]:[Column54]],7,FALSE),"0")</f>
        <v>0</v>
      </c>
      <c r="I202" s="78">
        <f>IFERROR(VLOOKUP(Table1215[[#This Row],[Column2]],Table12[[Column2]:[Column54]],8,FALSE),"0")</f>
        <v>3</v>
      </c>
      <c r="J202" s="78">
        <f>IFERROR(VLOOKUP(Table1215[[#This Row],[Column2]],Table12[[Column2]:[Column54]],9,FALSE),"0")</f>
        <v>0</v>
      </c>
      <c r="K202" s="78">
        <f>IFERROR(VLOOKUP(Table1215[[#This Row],[Column2]],Table12[[Column2]:[Column54]],10,FALSE),"0")</f>
        <v>0</v>
      </c>
      <c r="L202" s="80">
        <f>Table1215[[#This Row],[Column9]]</f>
        <v>3</v>
      </c>
      <c r="M202" s="78">
        <f>IFERROR(VLOOKUP(Table1215[[#This Row],[Column2]],Table12[[Column2]:[Column54]],12,FALSE),"0")</f>
        <v>0</v>
      </c>
      <c r="N202" s="78">
        <f>IFERROR(VLOOKUP(Table1215[[#This Row],[Column2]],Table12[[Column2]:[Column54]],13,FALSE),"0")</f>
        <v>3</v>
      </c>
      <c r="O202" s="78">
        <f>IFERROR(VLOOKUP(Table1215[[#This Row],[Column2]],Table12[[Column2]:[Column54]],14,FALSE),"0")</f>
        <v>3</v>
      </c>
      <c r="P202" s="78">
        <f>IFERROR(VLOOKUP(Table1215[[#This Row],[Column2]],Table12[[Column2]:[Column54]],10,FALSE),"0")</f>
        <v>0</v>
      </c>
      <c r="Q202" s="78">
        <f>IFERROR(VLOOKUP(Table1215[[#This Row],[Column2]],Table12[[Column2]:[Column54]],16,FALSE),"0")</f>
        <v>3</v>
      </c>
      <c r="R202" s="80">
        <f>AVERAGE(Table1215[[#This Row],[Column14]],Table1215[[#This Row],[Column15]],Table1215[[#This Row],[Column17]])</f>
        <v>3</v>
      </c>
      <c r="S202" s="78">
        <f>IFERROR(VLOOKUP(Table1215[[#This Row],[Column2]],Table12[[Column2]:[Column54]],18,FALSE),"0")</f>
        <v>0</v>
      </c>
      <c r="T202" s="78">
        <f>IFERROR(VLOOKUP(Table1215[[#This Row],[Column2]],Table12[[Column2]:[Column54]],19,FALSE),"0")</f>
        <v>0</v>
      </c>
      <c r="U202" s="78">
        <f>IFERROR(VLOOKUP(Table1215[[#This Row],[Column2]],Table12[[Column2]:[Column54]],20,FALSE),"0")</f>
        <v>0</v>
      </c>
      <c r="V202" s="78">
        <f>IFERROR(VLOOKUP(Table1215[[#This Row],[Column2]],Table12[[Column2]:[Column54]],21,FALSE),"0")</f>
        <v>0</v>
      </c>
      <c r="W202" s="78">
        <f>IFERROR(VLOOKUP(Table1215[[#This Row],[Column2]],Table12[[Column2]:[Column54]],22,FALSE),"0")</f>
        <v>0</v>
      </c>
      <c r="X202" s="80">
        <f>Table1215[[#This Row],[Column19]]</f>
        <v>0</v>
      </c>
      <c r="Y202" s="78">
        <f>IFERROR(VLOOKUP(Table1215[[#This Row],[Column2]],Table12[[Column2]:[Column54]],24,FALSE),"0")</f>
        <v>3</v>
      </c>
      <c r="Z202" s="78">
        <f>IFERROR(VLOOKUP(Table1215[[#This Row],[Column2]],Table12[[Column2]:[Column54]],25,FALSE),"0")</f>
        <v>0</v>
      </c>
      <c r="AA202" s="78">
        <f>IFERROR(VLOOKUP(Table1215[[#This Row],[Column2]],Table12[[Column2]:[Column54]],26,FALSE),"0")</f>
        <v>0</v>
      </c>
      <c r="AB202" s="78">
        <f>IFERROR(VLOOKUP(Table1215[[#This Row],[Column2]],Table12[[Column2]:[Column54]],27,FALSE),"0")</f>
        <v>0</v>
      </c>
      <c r="AC202" s="78">
        <f>IFERROR(VLOOKUP(Table1215[[#This Row],[Column2]],Table12[[Column2]:[Column54]],28,FALSE),"0")</f>
        <v>0</v>
      </c>
      <c r="AD202" s="80">
        <f>Table1215[[#This Row],[Column25]]</f>
        <v>3</v>
      </c>
      <c r="AE202" s="78">
        <f>IFERROR(VLOOKUP(Table1215[[#This Row],[Column2]],Table12[[Column2]:[Column54]],30,FALSE),"0")</f>
        <v>0</v>
      </c>
      <c r="AF202" s="78">
        <f>IFERROR(VLOOKUP(Table1215[[#This Row],[Column2]],Table12[[Column2]:[Column54]],31,FALSE),"0")</f>
        <v>0</v>
      </c>
      <c r="AG202" s="78">
        <f>IFERROR(VLOOKUP(Table1215[[#This Row],[Column2]],Table12[[Column2]:[Column54]],32,FALSE),"0")</f>
        <v>0</v>
      </c>
      <c r="AH202" s="78">
        <f>IFERROR(VLOOKUP(Table1215[[#This Row],[Column2]],Table12[[Column2]:[Column54]],33,FALSE),"0")</f>
        <v>0</v>
      </c>
      <c r="AI202" s="78">
        <f>IFERROR(VLOOKUP(Table1215[[#This Row],[Column2]],Table12[[Column2]:[Column54]],34,FALSE),"0")</f>
        <v>0</v>
      </c>
      <c r="AJ202" s="80">
        <f>AVERAGE(Table1215[[#This Row],[Column31]],Table1215[[#This Row],[Column32]],Table1215[[#This Row],[Column33]])</f>
        <v>0</v>
      </c>
      <c r="AK202" s="78">
        <f>IFERROR(VLOOKUP(Table1215[[#This Row],[Column2]],Table12[[Column2]:[Column54]],36,FALSE),"0")</f>
        <v>3</v>
      </c>
      <c r="AL202" s="78">
        <f>IFERROR(VLOOKUP(Table1215[[#This Row],[Column2]],Table12[[Column2]:[Column54]],37,FALSE),"0")</f>
        <v>2</v>
      </c>
      <c r="AM202" s="78">
        <f>IFERROR(VLOOKUP(Table1215[[#This Row],[Column2]],Table12[[Column2]:[Column54]],38,FALSE),"0")</f>
        <v>0</v>
      </c>
      <c r="AN202" s="78">
        <f>IFERROR(VLOOKUP(Table1215[[#This Row],[Column2]],Table12[[Column2]:[Column54]],39,FALSE),"0")</f>
        <v>3</v>
      </c>
      <c r="AO202" s="78">
        <f>IFERROR(VLOOKUP(Table1215[[#This Row],[Column2]],Table12[[Column2]:[Column54]],40,FALSE),"0")</f>
        <v>0</v>
      </c>
      <c r="AP202" s="80">
        <f>AVERAGE(Table1215[[#This Row],[Column37]],Table1215[[#This Row],[Column38]],Table1215[[#This Row],[Column40]])</f>
        <v>2.6666666666666665</v>
      </c>
      <c r="AQ202" s="78">
        <f>IFERROR(VLOOKUP(Table1215[[#This Row],[Column2]],Table12[[Column2]:[Column54]],42,FALSE),"0")</f>
        <v>3</v>
      </c>
      <c r="AR202" s="78">
        <f>IFERROR(VLOOKUP(Table1215[[#This Row],[Column2]],Table12[[Column2]:[Column54]],43,FALSE),"0")</f>
        <v>0</v>
      </c>
      <c r="AS202" s="78">
        <f>IFERROR(VLOOKUP(Table1215[[#This Row],[Column2]],Table12[[Column2]:[Column54]],44,FALSE),"0")</f>
        <v>0</v>
      </c>
      <c r="AT202" s="78">
        <f>IFERROR(VLOOKUP(Table1215[[#This Row],[Column2]],Table12[[Column2]:[Column54]],45,FALSE),"0")</f>
        <v>0</v>
      </c>
      <c r="AU202" s="78">
        <f>IFERROR(VLOOKUP(Table1215[[#This Row],[Column2]],Table12[[Column2]:[Column54]],46,FALSE),"0")</f>
        <v>0</v>
      </c>
      <c r="AV202" s="80">
        <f>Table1215[[#This Row],[Column43]]</f>
        <v>3</v>
      </c>
      <c r="AW202" s="78">
        <f>IFERROR(VLOOKUP(Table1215[[#This Row],[Column2]],Table12[[Column2]:[Column54]],48,FALSE),"0")</f>
        <v>0</v>
      </c>
      <c r="AX202" s="78">
        <f>IFERROR(VLOOKUP(Table1215[[#This Row],[Column2]],Table12[[Column2]:[Column54]],49,FALSE),"0")</f>
        <v>0</v>
      </c>
      <c r="AY202" s="78">
        <f>IFERROR(VLOOKUP(Table1215[[#This Row],[Column2]],Table12[[Column2]:[Column54]],50,FALSE),"0")</f>
        <v>0</v>
      </c>
      <c r="AZ202" s="78">
        <f>IFERROR(VLOOKUP(Table1215[[#This Row],[Column2]],Table12[[Column2]:[Column54]],51,FALSE),"0")</f>
        <v>2</v>
      </c>
      <c r="BA202" s="78">
        <f>IFERROR(VLOOKUP(Table1215[[#This Row],[Column2]],Table12[[Column2]:[Column54]],52,FALSE),"0")</f>
        <v>3</v>
      </c>
      <c r="BB202" s="80">
        <f>AVERAGE(Table1215[[#This Row],[Column52]],Table1215[[#This Row],[Column53]])</f>
        <v>2.5</v>
      </c>
    </row>
    <row r="203" spans="1:54" ht="23.1" customHeight="1" x14ac:dyDescent="0.3">
      <c r="A203" s="100">
        <v>200</v>
      </c>
      <c r="B203" s="83" t="s">
        <v>434</v>
      </c>
      <c r="C203" s="84" t="s">
        <v>435</v>
      </c>
      <c r="D203" s="83" t="s">
        <v>450</v>
      </c>
      <c r="E203" s="83" t="s">
        <v>493</v>
      </c>
      <c r="F203" s="83" t="str">
        <f>REPT(CHAR(160),10)&amp;Working!$E204</f>
        <v>          C</v>
      </c>
      <c r="G203" s="74">
        <f>IFERROR(VLOOKUP(Table1215[[#This Row],[Column2]],Table12[[Column2]:[Column54]],6,FALSE),"0")</f>
        <v>0</v>
      </c>
      <c r="H203" s="74">
        <f>IFERROR(VLOOKUP(Table1215[[#This Row],[Column2]],Table12[[Column2]:[Column54]],7,FALSE),"0")</f>
        <v>0</v>
      </c>
      <c r="I203" s="74">
        <f>IFERROR(VLOOKUP(Table1215[[#This Row],[Column2]],Table12[[Column2]:[Column54]],8,FALSE),"0")</f>
        <v>2</v>
      </c>
      <c r="J203" s="74">
        <f>IFERROR(VLOOKUP(Table1215[[#This Row],[Column2]],Table12[[Column2]:[Column54]],9,FALSE),"0")</f>
        <v>0</v>
      </c>
      <c r="K203" s="74">
        <f>IFERROR(VLOOKUP(Table1215[[#This Row],[Column2]],Table12[[Column2]:[Column54]],10,FALSE),"0")</f>
        <v>0</v>
      </c>
      <c r="L203" s="80">
        <f>Table1215[[#This Row],[Column9]]</f>
        <v>2</v>
      </c>
      <c r="M203" s="74">
        <f>IFERROR(VLOOKUP(Table1215[[#This Row],[Column2]],Table12[[Column2]:[Column54]],12,FALSE),"0")</f>
        <v>0</v>
      </c>
      <c r="N203" s="74">
        <f>IFERROR(VLOOKUP(Table1215[[#This Row],[Column2]],Table12[[Column2]:[Column54]],13,FALSE),"0")</f>
        <v>3</v>
      </c>
      <c r="O203" s="74">
        <f>IFERROR(VLOOKUP(Table1215[[#This Row],[Column2]],Table12[[Column2]:[Column54]],14,FALSE),"0")</f>
        <v>2</v>
      </c>
      <c r="P203" s="74">
        <f>IFERROR(VLOOKUP(Table1215[[#This Row],[Column2]],Table12[[Column2]:[Column54]],10,FALSE),"0")</f>
        <v>0</v>
      </c>
      <c r="Q203" s="74">
        <f>IFERROR(VLOOKUP(Table1215[[#This Row],[Column2]],Table12[[Column2]:[Column54]],16,FALSE),"0")</f>
        <v>2</v>
      </c>
      <c r="R203" s="80">
        <f>AVERAGE(Table1215[[#This Row],[Column14]],Table1215[[#This Row],[Column15]],Table1215[[#This Row],[Column17]])</f>
        <v>2.3333333333333335</v>
      </c>
      <c r="S203" s="74">
        <f>IFERROR(VLOOKUP(Table1215[[#This Row],[Column2]],Table12[[Column2]:[Column54]],18,FALSE),"0")</f>
        <v>0</v>
      </c>
      <c r="T203" s="74">
        <f>IFERROR(VLOOKUP(Table1215[[#This Row],[Column2]],Table12[[Column2]:[Column54]],19,FALSE),"0")</f>
        <v>0</v>
      </c>
      <c r="U203" s="74">
        <f>IFERROR(VLOOKUP(Table1215[[#This Row],[Column2]],Table12[[Column2]:[Column54]],20,FALSE),"0")</f>
        <v>0</v>
      </c>
      <c r="V203" s="74">
        <f>IFERROR(VLOOKUP(Table1215[[#This Row],[Column2]],Table12[[Column2]:[Column54]],21,FALSE),"0")</f>
        <v>0</v>
      </c>
      <c r="W203" s="74">
        <f>IFERROR(VLOOKUP(Table1215[[#This Row],[Column2]],Table12[[Column2]:[Column54]],22,FALSE),"0")</f>
        <v>0</v>
      </c>
      <c r="X203" s="80">
        <f>Table1215[[#This Row],[Column19]]</f>
        <v>0</v>
      </c>
      <c r="Y203" s="74">
        <f>IFERROR(VLOOKUP(Table1215[[#This Row],[Column2]],Table12[[Column2]:[Column54]],24,FALSE),"0")</f>
        <v>3</v>
      </c>
      <c r="Z203" s="74">
        <f>IFERROR(VLOOKUP(Table1215[[#This Row],[Column2]],Table12[[Column2]:[Column54]],25,FALSE),"0")</f>
        <v>0</v>
      </c>
      <c r="AA203" s="74">
        <f>IFERROR(VLOOKUP(Table1215[[#This Row],[Column2]],Table12[[Column2]:[Column54]],26,FALSE),"0")</f>
        <v>0</v>
      </c>
      <c r="AB203" s="74">
        <f>IFERROR(VLOOKUP(Table1215[[#This Row],[Column2]],Table12[[Column2]:[Column54]],27,FALSE),"0")</f>
        <v>0</v>
      </c>
      <c r="AC203" s="74">
        <f>IFERROR(VLOOKUP(Table1215[[#This Row],[Column2]],Table12[[Column2]:[Column54]],28,FALSE),"0")</f>
        <v>0</v>
      </c>
      <c r="AD203" s="80">
        <f>Table1215[[#This Row],[Column25]]</f>
        <v>3</v>
      </c>
      <c r="AE203" s="74">
        <f>IFERROR(VLOOKUP(Table1215[[#This Row],[Column2]],Table12[[Column2]:[Column54]],30,FALSE),"0")</f>
        <v>0</v>
      </c>
      <c r="AF203" s="74">
        <f>IFERROR(VLOOKUP(Table1215[[#This Row],[Column2]],Table12[[Column2]:[Column54]],31,FALSE),"0")</f>
        <v>0</v>
      </c>
      <c r="AG203" s="74">
        <f>IFERROR(VLOOKUP(Table1215[[#This Row],[Column2]],Table12[[Column2]:[Column54]],32,FALSE),"0")</f>
        <v>0</v>
      </c>
      <c r="AH203" s="74">
        <f>IFERROR(VLOOKUP(Table1215[[#This Row],[Column2]],Table12[[Column2]:[Column54]],33,FALSE),"0")</f>
        <v>0</v>
      </c>
      <c r="AI203" s="74">
        <f>IFERROR(VLOOKUP(Table1215[[#This Row],[Column2]],Table12[[Column2]:[Column54]],34,FALSE),"0")</f>
        <v>0</v>
      </c>
      <c r="AJ203" s="80">
        <f>AVERAGE(Table1215[[#This Row],[Column31]],Table1215[[#This Row],[Column32]],Table1215[[#This Row],[Column33]])</f>
        <v>0</v>
      </c>
      <c r="AK203" s="74">
        <f>IFERROR(VLOOKUP(Table1215[[#This Row],[Column2]],Table12[[Column2]:[Column54]],36,FALSE),"0")</f>
        <v>3</v>
      </c>
      <c r="AL203" s="74">
        <f>IFERROR(VLOOKUP(Table1215[[#This Row],[Column2]],Table12[[Column2]:[Column54]],37,FALSE),"0")</f>
        <v>3</v>
      </c>
      <c r="AM203" s="74">
        <f>IFERROR(VLOOKUP(Table1215[[#This Row],[Column2]],Table12[[Column2]:[Column54]],38,FALSE),"0")</f>
        <v>0</v>
      </c>
      <c r="AN203" s="74">
        <f>IFERROR(VLOOKUP(Table1215[[#This Row],[Column2]],Table12[[Column2]:[Column54]],39,FALSE),"0")</f>
        <v>3</v>
      </c>
      <c r="AO203" s="74">
        <f>IFERROR(VLOOKUP(Table1215[[#This Row],[Column2]],Table12[[Column2]:[Column54]],40,FALSE),"0")</f>
        <v>0</v>
      </c>
      <c r="AP203" s="80">
        <f>AVERAGE(Table1215[[#This Row],[Column37]],Table1215[[#This Row],[Column38]],Table1215[[#This Row],[Column40]])</f>
        <v>3</v>
      </c>
      <c r="AQ203" s="74">
        <f>IFERROR(VLOOKUP(Table1215[[#This Row],[Column2]],Table12[[Column2]:[Column54]],42,FALSE),"0")</f>
        <v>2</v>
      </c>
      <c r="AR203" s="74">
        <f>IFERROR(VLOOKUP(Table1215[[#This Row],[Column2]],Table12[[Column2]:[Column54]],43,FALSE),"0")</f>
        <v>0</v>
      </c>
      <c r="AS203" s="74">
        <f>IFERROR(VLOOKUP(Table1215[[#This Row],[Column2]],Table12[[Column2]:[Column54]],44,FALSE),"0")</f>
        <v>0</v>
      </c>
      <c r="AT203" s="74">
        <f>IFERROR(VLOOKUP(Table1215[[#This Row],[Column2]],Table12[[Column2]:[Column54]],45,FALSE),"0")</f>
        <v>0</v>
      </c>
      <c r="AU203" s="74">
        <f>IFERROR(VLOOKUP(Table1215[[#This Row],[Column2]],Table12[[Column2]:[Column54]],46,FALSE),"0")</f>
        <v>0</v>
      </c>
      <c r="AV203" s="80">
        <f>Table1215[[#This Row],[Column43]]</f>
        <v>2</v>
      </c>
      <c r="AW203" s="74">
        <f>IFERROR(VLOOKUP(Table1215[[#This Row],[Column2]],Table12[[Column2]:[Column54]],48,FALSE),"0")</f>
        <v>0</v>
      </c>
      <c r="AX203" s="74">
        <f>IFERROR(VLOOKUP(Table1215[[#This Row],[Column2]],Table12[[Column2]:[Column54]],49,FALSE),"0")</f>
        <v>0</v>
      </c>
      <c r="AY203" s="74">
        <f>IFERROR(VLOOKUP(Table1215[[#This Row],[Column2]],Table12[[Column2]:[Column54]],50,FALSE),"0")</f>
        <v>0</v>
      </c>
      <c r="AZ203" s="74">
        <f>IFERROR(VLOOKUP(Table1215[[#This Row],[Column2]],Table12[[Column2]:[Column54]],51,FALSE),"0")</f>
        <v>3</v>
      </c>
      <c r="BA203" s="74">
        <f>IFERROR(VLOOKUP(Table1215[[#This Row],[Column2]],Table12[[Column2]:[Column54]],52,FALSE),"0")</f>
        <v>3</v>
      </c>
      <c r="BB203" s="80">
        <f>AVERAGE(Table1215[[#This Row],[Column52]],Table1215[[#This Row],[Column53]])</f>
        <v>3</v>
      </c>
    </row>
    <row r="204" spans="1:54" ht="23.1" customHeight="1" x14ac:dyDescent="0.3">
      <c r="A204" s="99">
        <v>201</v>
      </c>
      <c r="B204" s="76" t="s">
        <v>436</v>
      </c>
      <c r="C204" s="77" t="s">
        <v>437</v>
      </c>
      <c r="D204" s="76" t="s">
        <v>450</v>
      </c>
      <c r="E204" s="76" t="s">
        <v>493</v>
      </c>
      <c r="F204" s="76" t="str">
        <f>REPT(CHAR(160),10)&amp;Working!$E205</f>
        <v>          C</v>
      </c>
      <c r="G204" s="78">
        <f>IFERROR(VLOOKUP(Table1215[[#This Row],[Column2]],Table12[[Column2]:[Column54]],6,FALSE),"0")</f>
        <v>0</v>
      </c>
      <c r="H204" s="78">
        <f>IFERROR(VLOOKUP(Table1215[[#This Row],[Column2]],Table12[[Column2]:[Column54]],7,FALSE),"0")</f>
        <v>0</v>
      </c>
      <c r="I204" s="78">
        <f>IFERROR(VLOOKUP(Table1215[[#This Row],[Column2]],Table12[[Column2]:[Column54]],8,FALSE),"0")</f>
        <v>3</v>
      </c>
      <c r="J204" s="78">
        <f>IFERROR(VLOOKUP(Table1215[[#This Row],[Column2]],Table12[[Column2]:[Column54]],9,FALSE),"0")</f>
        <v>0</v>
      </c>
      <c r="K204" s="78">
        <f>IFERROR(VLOOKUP(Table1215[[#This Row],[Column2]],Table12[[Column2]:[Column54]],10,FALSE),"0")</f>
        <v>0</v>
      </c>
      <c r="L204" s="80">
        <f>Table1215[[#This Row],[Column9]]</f>
        <v>3</v>
      </c>
      <c r="M204" s="78">
        <f>IFERROR(VLOOKUP(Table1215[[#This Row],[Column2]],Table12[[Column2]:[Column54]],12,FALSE),"0")</f>
        <v>0</v>
      </c>
      <c r="N204" s="78">
        <f>IFERROR(VLOOKUP(Table1215[[#This Row],[Column2]],Table12[[Column2]:[Column54]],13,FALSE),"0")</f>
        <v>3</v>
      </c>
      <c r="O204" s="78">
        <f>IFERROR(VLOOKUP(Table1215[[#This Row],[Column2]],Table12[[Column2]:[Column54]],14,FALSE),"0")</f>
        <v>3</v>
      </c>
      <c r="P204" s="78">
        <f>IFERROR(VLOOKUP(Table1215[[#This Row],[Column2]],Table12[[Column2]:[Column54]],10,FALSE),"0")</f>
        <v>0</v>
      </c>
      <c r="Q204" s="78">
        <f>IFERROR(VLOOKUP(Table1215[[#This Row],[Column2]],Table12[[Column2]:[Column54]],16,FALSE),"0")</f>
        <v>3</v>
      </c>
      <c r="R204" s="80">
        <f>AVERAGE(Table1215[[#This Row],[Column14]],Table1215[[#This Row],[Column15]],Table1215[[#This Row],[Column17]])</f>
        <v>3</v>
      </c>
      <c r="S204" s="78">
        <f>IFERROR(VLOOKUP(Table1215[[#This Row],[Column2]],Table12[[Column2]:[Column54]],18,FALSE),"0")</f>
        <v>0</v>
      </c>
      <c r="T204" s="78">
        <f>IFERROR(VLOOKUP(Table1215[[#This Row],[Column2]],Table12[[Column2]:[Column54]],19,FALSE),"0")</f>
        <v>0</v>
      </c>
      <c r="U204" s="78">
        <f>IFERROR(VLOOKUP(Table1215[[#This Row],[Column2]],Table12[[Column2]:[Column54]],20,FALSE),"0")</f>
        <v>0</v>
      </c>
      <c r="V204" s="78">
        <f>IFERROR(VLOOKUP(Table1215[[#This Row],[Column2]],Table12[[Column2]:[Column54]],21,FALSE),"0")</f>
        <v>0</v>
      </c>
      <c r="W204" s="78">
        <f>IFERROR(VLOOKUP(Table1215[[#This Row],[Column2]],Table12[[Column2]:[Column54]],22,FALSE),"0")</f>
        <v>0</v>
      </c>
      <c r="X204" s="80">
        <f>Table1215[[#This Row],[Column19]]</f>
        <v>0</v>
      </c>
      <c r="Y204" s="78">
        <f>IFERROR(VLOOKUP(Table1215[[#This Row],[Column2]],Table12[[Column2]:[Column54]],24,FALSE),"0")</f>
        <v>2</v>
      </c>
      <c r="Z204" s="78">
        <f>IFERROR(VLOOKUP(Table1215[[#This Row],[Column2]],Table12[[Column2]:[Column54]],25,FALSE),"0")</f>
        <v>0</v>
      </c>
      <c r="AA204" s="78">
        <f>IFERROR(VLOOKUP(Table1215[[#This Row],[Column2]],Table12[[Column2]:[Column54]],26,FALSE),"0")</f>
        <v>0</v>
      </c>
      <c r="AB204" s="78">
        <f>IFERROR(VLOOKUP(Table1215[[#This Row],[Column2]],Table12[[Column2]:[Column54]],27,FALSE),"0")</f>
        <v>0</v>
      </c>
      <c r="AC204" s="78">
        <f>IFERROR(VLOOKUP(Table1215[[#This Row],[Column2]],Table12[[Column2]:[Column54]],28,FALSE),"0")</f>
        <v>0</v>
      </c>
      <c r="AD204" s="80">
        <f>Table1215[[#This Row],[Column25]]</f>
        <v>2</v>
      </c>
      <c r="AE204" s="78">
        <f>IFERROR(VLOOKUP(Table1215[[#This Row],[Column2]],Table12[[Column2]:[Column54]],30,FALSE),"0")</f>
        <v>0</v>
      </c>
      <c r="AF204" s="78">
        <f>IFERROR(VLOOKUP(Table1215[[#This Row],[Column2]],Table12[[Column2]:[Column54]],31,FALSE),"0")</f>
        <v>0</v>
      </c>
      <c r="AG204" s="78">
        <f>IFERROR(VLOOKUP(Table1215[[#This Row],[Column2]],Table12[[Column2]:[Column54]],32,FALSE),"0")</f>
        <v>0</v>
      </c>
      <c r="AH204" s="78">
        <f>IFERROR(VLOOKUP(Table1215[[#This Row],[Column2]],Table12[[Column2]:[Column54]],33,FALSE),"0")</f>
        <v>0</v>
      </c>
      <c r="AI204" s="78">
        <f>IFERROR(VLOOKUP(Table1215[[#This Row],[Column2]],Table12[[Column2]:[Column54]],34,FALSE),"0")</f>
        <v>0</v>
      </c>
      <c r="AJ204" s="80">
        <f>AVERAGE(Table1215[[#This Row],[Column31]],Table1215[[#This Row],[Column32]],Table1215[[#This Row],[Column33]])</f>
        <v>0</v>
      </c>
      <c r="AK204" s="78">
        <f>IFERROR(VLOOKUP(Table1215[[#This Row],[Column2]],Table12[[Column2]:[Column54]],36,FALSE),"0")</f>
        <v>2</v>
      </c>
      <c r="AL204" s="78">
        <f>IFERROR(VLOOKUP(Table1215[[#This Row],[Column2]],Table12[[Column2]:[Column54]],37,FALSE),"0")</f>
        <v>2</v>
      </c>
      <c r="AM204" s="78">
        <f>IFERROR(VLOOKUP(Table1215[[#This Row],[Column2]],Table12[[Column2]:[Column54]],38,FALSE),"0")</f>
        <v>0</v>
      </c>
      <c r="AN204" s="78">
        <f>IFERROR(VLOOKUP(Table1215[[#This Row],[Column2]],Table12[[Column2]:[Column54]],39,FALSE),"0")</f>
        <v>2</v>
      </c>
      <c r="AO204" s="78">
        <f>IFERROR(VLOOKUP(Table1215[[#This Row],[Column2]],Table12[[Column2]:[Column54]],40,FALSE),"0")</f>
        <v>0</v>
      </c>
      <c r="AP204" s="80">
        <f>AVERAGE(Table1215[[#This Row],[Column37]],Table1215[[#This Row],[Column38]],Table1215[[#This Row],[Column40]])</f>
        <v>2</v>
      </c>
      <c r="AQ204" s="78">
        <f>IFERROR(VLOOKUP(Table1215[[#This Row],[Column2]],Table12[[Column2]:[Column54]],42,FALSE),"0")</f>
        <v>3</v>
      </c>
      <c r="AR204" s="78">
        <f>IFERROR(VLOOKUP(Table1215[[#This Row],[Column2]],Table12[[Column2]:[Column54]],43,FALSE),"0")</f>
        <v>0</v>
      </c>
      <c r="AS204" s="78">
        <f>IFERROR(VLOOKUP(Table1215[[#This Row],[Column2]],Table12[[Column2]:[Column54]],44,FALSE),"0")</f>
        <v>0</v>
      </c>
      <c r="AT204" s="78">
        <f>IFERROR(VLOOKUP(Table1215[[#This Row],[Column2]],Table12[[Column2]:[Column54]],45,FALSE),"0")</f>
        <v>0</v>
      </c>
      <c r="AU204" s="78">
        <f>IFERROR(VLOOKUP(Table1215[[#This Row],[Column2]],Table12[[Column2]:[Column54]],46,FALSE),"0")</f>
        <v>0</v>
      </c>
      <c r="AV204" s="80">
        <f>Table1215[[#This Row],[Column43]]</f>
        <v>3</v>
      </c>
      <c r="AW204" s="78">
        <f>IFERROR(VLOOKUP(Table1215[[#This Row],[Column2]],Table12[[Column2]:[Column54]],48,FALSE),"0")</f>
        <v>0</v>
      </c>
      <c r="AX204" s="78">
        <f>IFERROR(VLOOKUP(Table1215[[#This Row],[Column2]],Table12[[Column2]:[Column54]],49,FALSE),"0")</f>
        <v>0</v>
      </c>
      <c r="AY204" s="78">
        <f>IFERROR(VLOOKUP(Table1215[[#This Row],[Column2]],Table12[[Column2]:[Column54]],50,FALSE),"0")</f>
        <v>0</v>
      </c>
      <c r="AZ204" s="78">
        <f>IFERROR(VLOOKUP(Table1215[[#This Row],[Column2]],Table12[[Column2]:[Column54]],51,FALSE),"0")</f>
        <v>3</v>
      </c>
      <c r="BA204" s="78">
        <f>IFERROR(VLOOKUP(Table1215[[#This Row],[Column2]],Table12[[Column2]:[Column54]],52,FALSE),"0")</f>
        <v>2</v>
      </c>
      <c r="BB204" s="80">
        <f>AVERAGE(Table1215[[#This Row],[Column52]],Table1215[[#This Row],[Column53]])</f>
        <v>2.5</v>
      </c>
    </row>
    <row r="205" spans="1:54" ht="23.1" customHeight="1" x14ac:dyDescent="0.3">
      <c r="A205" s="100">
        <v>202</v>
      </c>
      <c r="B205" s="83" t="s">
        <v>438</v>
      </c>
      <c r="C205" s="84" t="s">
        <v>439</v>
      </c>
      <c r="D205" s="83" t="s">
        <v>450</v>
      </c>
      <c r="E205" s="83" t="s">
        <v>289</v>
      </c>
      <c r="F205" s="83" t="str">
        <f>REPT(CHAR(160),10)&amp;Working!$E206</f>
        <v>          D</v>
      </c>
      <c r="G205" s="74">
        <f>IFERROR(VLOOKUP(Table1215[[#This Row],[Column2]],Table12[[Column2]:[Column54]],6,FALSE),"0")</f>
        <v>0</v>
      </c>
      <c r="H205" s="74">
        <f>IFERROR(VLOOKUP(Table1215[[#This Row],[Column2]],Table12[[Column2]:[Column54]],7,FALSE),"0")</f>
        <v>0</v>
      </c>
      <c r="I205" s="74">
        <f>IFERROR(VLOOKUP(Table1215[[#This Row],[Column2]],Table12[[Column2]:[Column54]],8,FALSE),"0")</f>
        <v>0</v>
      </c>
      <c r="J205" s="74">
        <f>IFERROR(VLOOKUP(Table1215[[#This Row],[Column2]],Table12[[Column2]:[Column54]],9,FALSE),"0")</f>
        <v>0</v>
      </c>
      <c r="K205" s="74">
        <f>IFERROR(VLOOKUP(Table1215[[#This Row],[Column2]],Table12[[Column2]:[Column54]],10,FALSE),"0")</f>
        <v>0</v>
      </c>
      <c r="L205" s="80">
        <f>Table1215[[#This Row],[Column9]]</f>
        <v>0</v>
      </c>
      <c r="M205" s="74">
        <f>IFERROR(VLOOKUP(Table1215[[#This Row],[Column2]],Table12[[Column2]:[Column54]],12,FALSE),"0")</f>
        <v>0</v>
      </c>
      <c r="N205" s="74">
        <f>IFERROR(VLOOKUP(Table1215[[#This Row],[Column2]],Table12[[Column2]:[Column54]],13,FALSE),"0")</f>
        <v>0</v>
      </c>
      <c r="O205" s="74">
        <f>IFERROR(VLOOKUP(Table1215[[#This Row],[Column2]],Table12[[Column2]:[Column54]],14,FALSE),"0")</f>
        <v>0</v>
      </c>
      <c r="P205" s="74">
        <f>IFERROR(VLOOKUP(Table1215[[#This Row],[Column2]],Table12[[Column2]:[Column54]],10,FALSE),"0")</f>
        <v>0</v>
      </c>
      <c r="Q205" s="74">
        <f>IFERROR(VLOOKUP(Table1215[[#This Row],[Column2]],Table12[[Column2]:[Column54]],16,FALSE),"0")</f>
        <v>0</v>
      </c>
      <c r="R205" s="80">
        <f>AVERAGE(Table1215[[#This Row],[Column14]],Table1215[[#This Row],[Column15]],Table1215[[#This Row],[Column17]])</f>
        <v>0</v>
      </c>
      <c r="S205" s="74">
        <f>IFERROR(VLOOKUP(Table1215[[#This Row],[Column2]],Table12[[Column2]:[Column54]],18,FALSE),"0")</f>
        <v>0</v>
      </c>
      <c r="T205" s="74">
        <f>IFERROR(VLOOKUP(Table1215[[#This Row],[Column2]],Table12[[Column2]:[Column54]],19,FALSE),"0")</f>
        <v>0</v>
      </c>
      <c r="U205" s="74">
        <f>IFERROR(VLOOKUP(Table1215[[#This Row],[Column2]],Table12[[Column2]:[Column54]],20,FALSE),"0")</f>
        <v>0</v>
      </c>
      <c r="V205" s="74">
        <f>IFERROR(VLOOKUP(Table1215[[#This Row],[Column2]],Table12[[Column2]:[Column54]],21,FALSE),"0")</f>
        <v>0</v>
      </c>
      <c r="W205" s="74">
        <f>IFERROR(VLOOKUP(Table1215[[#This Row],[Column2]],Table12[[Column2]:[Column54]],22,FALSE),"0")</f>
        <v>0</v>
      </c>
      <c r="X205" s="80">
        <f>Table1215[[#This Row],[Column19]]</f>
        <v>0</v>
      </c>
      <c r="Y205" s="74">
        <f>IFERROR(VLOOKUP(Table1215[[#This Row],[Column2]],Table12[[Column2]:[Column54]],24,FALSE),"0")</f>
        <v>0</v>
      </c>
      <c r="Z205" s="74">
        <f>IFERROR(VLOOKUP(Table1215[[#This Row],[Column2]],Table12[[Column2]:[Column54]],25,FALSE),"0")</f>
        <v>0</v>
      </c>
      <c r="AA205" s="74">
        <f>IFERROR(VLOOKUP(Table1215[[#This Row],[Column2]],Table12[[Column2]:[Column54]],26,FALSE),"0")</f>
        <v>0</v>
      </c>
      <c r="AB205" s="74">
        <f>IFERROR(VLOOKUP(Table1215[[#This Row],[Column2]],Table12[[Column2]:[Column54]],27,FALSE),"0")</f>
        <v>0</v>
      </c>
      <c r="AC205" s="74">
        <f>IFERROR(VLOOKUP(Table1215[[#This Row],[Column2]],Table12[[Column2]:[Column54]],28,FALSE),"0")</f>
        <v>0</v>
      </c>
      <c r="AD205" s="80">
        <f>Table1215[[#This Row],[Column25]]</f>
        <v>0</v>
      </c>
      <c r="AE205" s="74">
        <f>IFERROR(VLOOKUP(Table1215[[#This Row],[Column2]],Table12[[Column2]:[Column54]],30,FALSE),"0")</f>
        <v>0</v>
      </c>
      <c r="AF205" s="74">
        <f>IFERROR(VLOOKUP(Table1215[[#This Row],[Column2]],Table12[[Column2]:[Column54]],31,FALSE),"0")</f>
        <v>0</v>
      </c>
      <c r="AG205" s="74">
        <f>IFERROR(VLOOKUP(Table1215[[#This Row],[Column2]],Table12[[Column2]:[Column54]],32,FALSE),"0")</f>
        <v>0</v>
      </c>
      <c r="AH205" s="74">
        <f>IFERROR(VLOOKUP(Table1215[[#This Row],[Column2]],Table12[[Column2]:[Column54]],33,FALSE),"0")</f>
        <v>0</v>
      </c>
      <c r="AI205" s="74">
        <f>IFERROR(VLOOKUP(Table1215[[#This Row],[Column2]],Table12[[Column2]:[Column54]],34,FALSE),"0")</f>
        <v>0</v>
      </c>
      <c r="AJ205" s="80">
        <f>AVERAGE(Table1215[[#This Row],[Column31]],Table1215[[#This Row],[Column32]],Table1215[[#This Row],[Column33]])</f>
        <v>0</v>
      </c>
      <c r="AK205" s="74">
        <f>IFERROR(VLOOKUP(Table1215[[#This Row],[Column2]],Table12[[Column2]:[Column54]],36,FALSE),"0")</f>
        <v>0</v>
      </c>
      <c r="AL205" s="74">
        <f>IFERROR(VLOOKUP(Table1215[[#This Row],[Column2]],Table12[[Column2]:[Column54]],37,FALSE),"0")</f>
        <v>0</v>
      </c>
      <c r="AM205" s="74">
        <f>IFERROR(VLOOKUP(Table1215[[#This Row],[Column2]],Table12[[Column2]:[Column54]],38,FALSE),"0")</f>
        <v>0</v>
      </c>
      <c r="AN205" s="74">
        <f>IFERROR(VLOOKUP(Table1215[[#This Row],[Column2]],Table12[[Column2]:[Column54]],39,FALSE),"0")</f>
        <v>0</v>
      </c>
      <c r="AO205" s="74">
        <f>IFERROR(VLOOKUP(Table1215[[#This Row],[Column2]],Table12[[Column2]:[Column54]],40,FALSE),"0")</f>
        <v>0</v>
      </c>
      <c r="AP205" s="80">
        <f>AVERAGE(Table1215[[#This Row],[Column37]],Table1215[[#This Row],[Column38]],Table1215[[#This Row],[Column40]])</f>
        <v>0</v>
      </c>
      <c r="AQ205" s="74">
        <f>IFERROR(VLOOKUP(Table1215[[#This Row],[Column2]],Table12[[Column2]:[Column54]],42,FALSE),"0")</f>
        <v>0</v>
      </c>
      <c r="AR205" s="74">
        <f>IFERROR(VLOOKUP(Table1215[[#This Row],[Column2]],Table12[[Column2]:[Column54]],43,FALSE),"0")</f>
        <v>0</v>
      </c>
      <c r="AS205" s="74">
        <f>IFERROR(VLOOKUP(Table1215[[#This Row],[Column2]],Table12[[Column2]:[Column54]],44,FALSE),"0")</f>
        <v>0</v>
      </c>
      <c r="AT205" s="74">
        <f>IFERROR(VLOOKUP(Table1215[[#This Row],[Column2]],Table12[[Column2]:[Column54]],45,FALSE),"0")</f>
        <v>0</v>
      </c>
      <c r="AU205" s="74">
        <f>IFERROR(VLOOKUP(Table1215[[#This Row],[Column2]],Table12[[Column2]:[Column54]],46,FALSE),"0")</f>
        <v>0</v>
      </c>
      <c r="AV205" s="80">
        <f>Table1215[[#This Row],[Column43]]</f>
        <v>0</v>
      </c>
      <c r="AW205" s="74">
        <f>IFERROR(VLOOKUP(Table1215[[#This Row],[Column2]],Table12[[Column2]:[Column54]],48,FALSE),"0")</f>
        <v>0</v>
      </c>
      <c r="AX205" s="74">
        <f>IFERROR(VLOOKUP(Table1215[[#This Row],[Column2]],Table12[[Column2]:[Column54]],49,FALSE),"0")</f>
        <v>0</v>
      </c>
      <c r="AY205" s="74">
        <f>IFERROR(VLOOKUP(Table1215[[#This Row],[Column2]],Table12[[Column2]:[Column54]],50,FALSE),"0")</f>
        <v>0</v>
      </c>
      <c r="AZ205" s="74">
        <f>IFERROR(VLOOKUP(Table1215[[#This Row],[Column2]],Table12[[Column2]:[Column54]],51,FALSE),"0")</f>
        <v>0</v>
      </c>
      <c r="BA205" s="74">
        <f>IFERROR(VLOOKUP(Table1215[[#This Row],[Column2]],Table12[[Column2]:[Column54]],52,FALSE),"0")</f>
        <v>0</v>
      </c>
      <c r="BB205" s="80">
        <f>AVERAGE(Table1215[[#This Row],[Column52]],Table1215[[#This Row],[Column53]])</f>
        <v>0</v>
      </c>
    </row>
    <row r="206" spans="1:54" ht="23.1" customHeight="1" x14ac:dyDescent="0.3">
      <c r="A206" s="99">
        <v>203</v>
      </c>
      <c r="B206" s="76" t="s">
        <v>440</v>
      </c>
      <c r="C206" s="77" t="s">
        <v>441</v>
      </c>
      <c r="D206" s="76" t="s">
        <v>450</v>
      </c>
      <c r="E206" s="76" t="s">
        <v>289</v>
      </c>
      <c r="F206" s="76" t="str">
        <f>REPT(CHAR(160),10)&amp;Working!$E207</f>
        <v>          D</v>
      </c>
      <c r="G206" s="78">
        <f>IFERROR(VLOOKUP(Table1215[[#This Row],[Column2]],Table12[[Column2]:[Column54]],6,FALSE),"0")</f>
        <v>0</v>
      </c>
      <c r="H206" s="78">
        <f>IFERROR(VLOOKUP(Table1215[[#This Row],[Column2]],Table12[[Column2]:[Column54]],7,FALSE),"0")</f>
        <v>0</v>
      </c>
      <c r="I206" s="78">
        <f>IFERROR(VLOOKUP(Table1215[[#This Row],[Column2]],Table12[[Column2]:[Column54]],8,FALSE),"0")</f>
        <v>3</v>
      </c>
      <c r="J206" s="78">
        <f>IFERROR(VLOOKUP(Table1215[[#This Row],[Column2]],Table12[[Column2]:[Column54]],9,FALSE),"0")</f>
        <v>0</v>
      </c>
      <c r="K206" s="78">
        <f>IFERROR(VLOOKUP(Table1215[[#This Row],[Column2]],Table12[[Column2]:[Column54]],10,FALSE),"0")</f>
        <v>0</v>
      </c>
      <c r="L206" s="80">
        <f>Table1215[[#This Row],[Column9]]</f>
        <v>3</v>
      </c>
      <c r="M206" s="78">
        <f>IFERROR(VLOOKUP(Table1215[[#This Row],[Column2]],Table12[[Column2]:[Column54]],12,FALSE),"0")</f>
        <v>0</v>
      </c>
      <c r="N206" s="78">
        <f>IFERROR(VLOOKUP(Table1215[[#This Row],[Column2]],Table12[[Column2]:[Column54]],13,FALSE),"0")</f>
        <v>3</v>
      </c>
      <c r="O206" s="78">
        <f>IFERROR(VLOOKUP(Table1215[[#This Row],[Column2]],Table12[[Column2]:[Column54]],14,FALSE),"0")</f>
        <v>4</v>
      </c>
      <c r="P206" s="78">
        <f>IFERROR(VLOOKUP(Table1215[[#This Row],[Column2]],Table12[[Column2]:[Column54]],10,FALSE),"0")</f>
        <v>0</v>
      </c>
      <c r="Q206" s="78">
        <f>IFERROR(VLOOKUP(Table1215[[#This Row],[Column2]],Table12[[Column2]:[Column54]],16,FALSE),"0")</f>
        <v>4</v>
      </c>
      <c r="R206" s="80">
        <f>AVERAGE(Table1215[[#This Row],[Column14]],Table1215[[#This Row],[Column15]],Table1215[[#This Row],[Column17]])</f>
        <v>3.6666666666666665</v>
      </c>
      <c r="S206" s="78">
        <f>IFERROR(VLOOKUP(Table1215[[#This Row],[Column2]],Table12[[Column2]:[Column54]],18,FALSE),"0")</f>
        <v>0</v>
      </c>
      <c r="T206" s="78">
        <f>IFERROR(VLOOKUP(Table1215[[#This Row],[Column2]],Table12[[Column2]:[Column54]],19,FALSE),"0")</f>
        <v>0</v>
      </c>
      <c r="U206" s="78">
        <f>IFERROR(VLOOKUP(Table1215[[#This Row],[Column2]],Table12[[Column2]:[Column54]],20,FALSE),"0")</f>
        <v>0</v>
      </c>
      <c r="V206" s="78">
        <f>IFERROR(VLOOKUP(Table1215[[#This Row],[Column2]],Table12[[Column2]:[Column54]],21,FALSE),"0")</f>
        <v>0</v>
      </c>
      <c r="W206" s="78">
        <f>IFERROR(VLOOKUP(Table1215[[#This Row],[Column2]],Table12[[Column2]:[Column54]],22,FALSE),"0")</f>
        <v>0</v>
      </c>
      <c r="X206" s="80">
        <f>Table1215[[#This Row],[Column19]]</f>
        <v>0</v>
      </c>
      <c r="Y206" s="78">
        <f>IFERROR(VLOOKUP(Table1215[[#This Row],[Column2]],Table12[[Column2]:[Column54]],24,FALSE),"0")</f>
        <v>4</v>
      </c>
      <c r="Z206" s="78">
        <f>IFERROR(VLOOKUP(Table1215[[#This Row],[Column2]],Table12[[Column2]:[Column54]],25,FALSE),"0")</f>
        <v>0</v>
      </c>
      <c r="AA206" s="78">
        <f>IFERROR(VLOOKUP(Table1215[[#This Row],[Column2]],Table12[[Column2]:[Column54]],26,FALSE),"0")</f>
        <v>0</v>
      </c>
      <c r="AB206" s="78">
        <f>IFERROR(VLOOKUP(Table1215[[#This Row],[Column2]],Table12[[Column2]:[Column54]],27,FALSE),"0")</f>
        <v>0</v>
      </c>
      <c r="AC206" s="78">
        <f>IFERROR(VLOOKUP(Table1215[[#This Row],[Column2]],Table12[[Column2]:[Column54]],28,FALSE),"0")</f>
        <v>0</v>
      </c>
      <c r="AD206" s="80">
        <f>Table1215[[#This Row],[Column25]]</f>
        <v>4</v>
      </c>
      <c r="AE206" s="78">
        <f>IFERROR(VLOOKUP(Table1215[[#This Row],[Column2]],Table12[[Column2]:[Column54]],30,FALSE),"0")</f>
        <v>0</v>
      </c>
      <c r="AF206" s="78">
        <f>IFERROR(VLOOKUP(Table1215[[#This Row],[Column2]],Table12[[Column2]:[Column54]],31,FALSE),"0")</f>
        <v>0</v>
      </c>
      <c r="AG206" s="78">
        <f>IFERROR(VLOOKUP(Table1215[[#This Row],[Column2]],Table12[[Column2]:[Column54]],32,FALSE),"0")</f>
        <v>0</v>
      </c>
      <c r="AH206" s="78">
        <f>IFERROR(VLOOKUP(Table1215[[#This Row],[Column2]],Table12[[Column2]:[Column54]],33,FALSE),"0")</f>
        <v>0</v>
      </c>
      <c r="AI206" s="78">
        <f>IFERROR(VLOOKUP(Table1215[[#This Row],[Column2]],Table12[[Column2]:[Column54]],34,FALSE),"0")</f>
        <v>0</v>
      </c>
      <c r="AJ206" s="80">
        <f>AVERAGE(Table1215[[#This Row],[Column31]],Table1215[[#This Row],[Column32]],Table1215[[#This Row],[Column33]])</f>
        <v>0</v>
      </c>
      <c r="AK206" s="78">
        <f>IFERROR(VLOOKUP(Table1215[[#This Row],[Column2]],Table12[[Column2]:[Column54]],36,FALSE),"0")</f>
        <v>3</v>
      </c>
      <c r="AL206" s="78">
        <f>IFERROR(VLOOKUP(Table1215[[#This Row],[Column2]],Table12[[Column2]:[Column54]],37,FALSE),"0")</f>
        <v>4</v>
      </c>
      <c r="AM206" s="78">
        <f>IFERROR(VLOOKUP(Table1215[[#This Row],[Column2]],Table12[[Column2]:[Column54]],38,FALSE),"0")</f>
        <v>0</v>
      </c>
      <c r="AN206" s="78">
        <f>IFERROR(VLOOKUP(Table1215[[#This Row],[Column2]],Table12[[Column2]:[Column54]],39,FALSE),"0")</f>
        <v>3</v>
      </c>
      <c r="AO206" s="78">
        <f>IFERROR(VLOOKUP(Table1215[[#This Row],[Column2]],Table12[[Column2]:[Column54]],40,FALSE),"0")</f>
        <v>0</v>
      </c>
      <c r="AP206" s="80">
        <f>AVERAGE(Table1215[[#This Row],[Column37]],Table1215[[#This Row],[Column38]],Table1215[[#This Row],[Column40]])</f>
        <v>3.3333333333333335</v>
      </c>
      <c r="AQ206" s="78">
        <f>IFERROR(VLOOKUP(Table1215[[#This Row],[Column2]],Table12[[Column2]:[Column54]],42,FALSE),"0")</f>
        <v>3</v>
      </c>
      <c r="AR206" s="78">
        <f>IFERROR(VLOOKUP(Table1215[[#This Row],[Column2]],Table12[[Column2]:[Column54]],43,FALSE),"0")</f>
        <v>0</v>
      </c>
      <c r="AS206" s="78">
        <f>IFERROR(VLOOKUP(Table1215[[#This Row],[Column2]],Table12[[Column2]:[Column54]],44,FALSE),"0")</f>
        <v>0</v>
      </c>
      <c r="AT206" s="78">
        <f>IFERROR(VLOOKUP(Table1215[[#This Row],[Column2]],Table12[[Column2]:[Column54]],45,FALSE),"0")</f>
        <v>0</v>
      </c>
      <c r="AU206" s="78">
        <f>IFERROR(VLOOKUP(Table1215[[#This Row],[Column2]],Table12[[Column2]:[Column54]],46,FALSE),"0")</f>
        <v>0</v>
      </c>
      <c r="AV206" s="80">
        <f>Table1215[[#This Row],[Column43]]</f>
        <v>3</v>
      </c>
      <c r="AW206" s="78">
        <f>IFERROR(VLOOKUP(Table1215[[#This Row],[Column2]],Table12[[Column2]:[Column54]],48,FALSE),"0")</f>
        <v>0</v>
      </c>
      <c r="AX206" s="78">
        <f>IFERROR(VLOOKUP(Table1215[[#This Row],[Column2]],Table12[[Column2]:[Column54]],49,FALSE),"0")</f>
        <v>0</v>
      </c>
      <c r="AY206" s="78">
        <f>IFERROR(VLOOKUP(Table1215[[#This Row],[Column2]],Table12[[Column2]:[Column54]],50,FALSE),"0")</f>
        <v>0</v>
      </c>
      <c r="AZ206" s="78">
        <f>IFERROR(VLOOKUP(Table1215[[#This Row],[Column2]],Table12[[Column2]:[Column54]],51,FALSE),"0")</f>
        <v>3</v>
      </c>
      <c r="BA206" s="78">
        <f>IFERROR(VLOOKUP(Table1215[[#This Row],[Column2]],Table12[[Column2]:[Column54]],52,FALSE),"0")</f>
        <v>3</v>
      </c>
      <c r="BB206" s="80">
        <f>AVERAGE(Table1215[[#This Row],[Column52]],Table1215[[#This Row],[Column53]])</f>
        <v>3</v>
      </c>
    </row>
    <row r="207" spans="1:54" ht="23.1" customHeight="1" x14ac:dyDescent="0.3">
      <c r="A207" s="100">
        <v>204</v>
      </c>
      <c r="B207" s="83" t="s">
        <v>442</v>
      </c>
      <c r="C207" s="84" t="s">
        <v>443</v>
      </c>
      <c r="D207" s="83" t="s">
        <v>450</v>
      </c>
      <c r="E207" s="83" t="s">
        <v>289</v>
      </c>
      <c r="F207" s="83" t="str">
        <f>REPT(CHAR(160),10)&amp;Working!$E208</f>
        <v>          D</v>
      </c>
      <c r="G207" s="74">
        <f>IFERROR(VLOOKUP(Table1215[[#This Row],[Column2]],Table12[[Column2]:[Column54]],6,FALSE),"0")</f>
        <v>0</v>
      </c>
      <c r="H207" s="74">
        <f>IFERROR(VLOOKUP(Table1215[[#This Row],[Column2]],Table12[[Column2]:[Column54]],7,FALSE),"0")</f>
        <v>0</v>
      </c>
      <c r="I207" s="74">
        <f>IFERROR(VLOOKUP(Table1215[[#This Row],[Column2]],Table12[[Column2]:[Column54]],8,FALSE),"0")</f>
        <v>2</v>
      </c>
      <c r="J207" s="74">
        <f>IFERROR(VLOOKUP(Table1215[[#This Row],[Column2]],Table12[[Column2]:[Column54]],9,FALSE),"0")</f>
        <v>0</v>
      </c>
      <c r="K207" s="74">
        <f>IFERROR(VLOOKUP(Table1215[[#This Row],[Column2]],Table12[[Column2]:[Column54]],10,FALSE),"0")</f>
        <v>0</v>
      </c>
      <c r="L207" s="80">
        <f>Table1215[[#This Row],[Column9]]</f>
        <v>2</v>
      </c>
      <c r="M207" s="74">
        <f>IFERROR(VLOOKUP(Table1215[[#This Row],[Column2]],Table12[[Column2]:[Column54]],12,FALSE),"0")</f>
        <v>0</v>
      </c>
      <c r="N207" s="74">
        <f>IFERROR(VLOOKUP(Table1215[[#This Row],[Column2]],Table12[[Column2]:[Column54]],13,FALSE),"0")</f>
        <v>2</v>
      </c>
      <c r="O207" s="74">
        <f>IFERROR(VLOOKUP(Table1215[[#This Row],[Column2]],Table12[[Column2]:[Column54]],14,FALSE),"0")</f>
        <v>3</v>
      </c>
      <c r="P207" s="74">
        <f>IFERROR(VLOOKUP(Table1215[[#This Row],[Column2]],Table12[[Column2]:[Column54]],10,FALSE),"0")</f>
        <v>0</v>
      </c>
      <c r="Q207" s="74">
        <f>IFERROR(VLOOKUP(Table1215[[#This Row],[Column2]],Table12[[Column2]:[Column54]],16,FALSE),"0")</f>
        <v>3</v>
      </c>
      <c r="R207" s="80">
        <f>AVERAGE(Table1215[[#This Row],[Column14]],Table1215[[#This Row],[Column15]],Table1215[[#This Row],[Column17]])</f>
        <v>2.6666666666666665</v>
      </c>
      <c r="S207" s="74">
        <f>IFERROR(VLOOKUP(Table1215[[#This Row],[Column2]],Table12[[Column2]:[Column54]],18,FALSE),"0")</f>
        <v>0</v>
      </c>
      <c r="T207" s="74">
        <f>IFERROR(VLOOKUP(Table1215[[#This Row],[Column2]],Table12[[Column2]:[Column54]],19,FALSE),"0")</f>
        <v>0</v>
      </c>
      <c r="U207" s="74">
        <f>IFERROR(VLOOKUP(Table1215[[#This Row],[Column2]],Table12[[Column2]:[Column54]],20,FALSE),"0")</f>
        <v>0</v>
      </c>
      <c r="V207" s="74">
        <f>IFERROR(VLOOKUP(Table1215[[#This Row],[Column2]],Table12[[Column2]:[Column54]],21,FALSE),"0")</f>
        <v>0</v>
      </c>
      <c r="W207" s="74">
        <f>IFERROR(VLOOKUP(Table1215[[#This Row],[Column2]],Table12[[Column2]:[Column54]],22,FALSE),"0")</f>
        <v>0</v>
      </c>
      <c r="X207" s="80">
        <f>Table1215[[#This Row],[Column19]]</f>
        <v>0</v>
      </c>
      <c r="Y207" s="74">
        <f>IFERROR(VLOOKUP(Table1215[[#This Row],[Column2]],Table12[[Column2]:[Column54]],24,FALSE),"0")</f>
        <v>2</v>
      </c>
      <c r="Z207" s="74">
        <f>IFERROR(VLOOKUP(Table1215[[#This Row],[Column2]],Table12[[Column2]:[Column54]],25,FALSE),"0")</f>
        <v>0</v>
      </c>
      <c r="AA207" s="74">
        <f>IFERROR(VLOOKUP(Table1215[[#This Row],[Column2]],Table12[[Column2]:[Column54]],26,FALSE),"0")</f>
        <v>0</v>
      </c>
      <c r="AB207" s="74">
        <f>IFERROR(VLOOKUP(Table1215[[#This Row],[Column2]],Table12[[Column2]:[Column54]],27,FALSE),"0")</f>
        <v>0</v>
      </c>
      <c r="AC207" s="74">
        <f>IFERROR(VLOOKUP(Table1215[[#This Row],[Column2]],Table12[[Column2]:[Column54]],28,FALSE),"0")</f>
        <v>0</v>
      </c>
      <c r="AD207" s="80">
        <f>Table1215[[#This Row],[Column25]]</f>
        <v>2</v>
      </c>
      <c r="AE207" s="74">
        <f>IFERROR(VLOOKUP(Table1215[[#This Row],[Column2]],Table12[[Column2]:[Column54]],30,FALSE),"0")</f>
        <v>0</v>
      </c>
      <c r="AF207" s="74">
        <f>IFERROR(VLOOKUP(Table1215[[#This Row],[Column2]],Table12[[Column2]:[Column54]],31,FALSE),"0")</f>
        <v>0</v>
      </c>
      <c r="AG207" s="74">
        <f>IFERROR(VLOOKUP(Table1215[[#This Row],[Column2]],Table12[[Column2]:[Column54]],32,FALSE),"0")</f>
        <v>0</v>
      </c>
      <c r="AH207" s="74">
        <f>IFERROR(VLOOKUP(Table1215[[#This Row],[Column2]],Table12[[Column2]:[Column54]],33,FALSE),"0")</f>
        <v>0</v>
      </c>
      <c r="AI207" s="74">
        <f>IFERROR(VLOOKUP(Table1215[[#This Row],[Column2]],Table12[[Column2]:[Column54]],34,FALSE),"0")</f>
        <v>0</v>
      </c>
      <c r="AJ207" s="80">
        <f>AVERAGE(Table1215[[#This Row],[Column31]],Table1215[[#This Row],[Column32]],Table1215[[#This Row],[Column33]])</f>
        <v>0</v>
      </c>
      <c r="AK207" s="74">
        <f>IFERROR(VLOOKUP(Table1215[[#This Row],[Column2]],Table12[[Column2]:[Column54]],36,FALSE),"0")</f>
        <v>2</v>
      </c>
      <c r="AL207" s="74">
        <f>IFERROR(VLOOKUP(Table1215[[#This Row],[Column2]],Table12[[Column2]:[Column54]],37,FALSE),"0")</f>
        <v>3</v>
      </c>
      <c r="AM207" s="74">
        <f>IFERROR(VLOOKUP(Table1215[[#This Row],[Column2]],Table12[[Column2]:[Column54]],38,FALSE),"0")</f>
        <v>0</v>
      </c>
      <c r="AN207" s="74">
        <f>IFERROR(VLOOKUP(Table1215[[#This Row],[Column2]],Table12[[Column2]:[Column54]],39,FALSE),"0")</f>
        <v>3</v>
      </c>
      <c r="AO207" s="74">
        <f>IFERROR(VLOOKUP(Table1215[[#This Row],[Column2]],Table12[[Column2]:[Column54]],40,FALSE),"0")</f>
        <v>0</v>
      </c>
      <c r="AP207" s="80">
        <f>AVERAGE(Table1215[[#This Row],[Column37]],Table1215[[#This Row],[Column38]],Table1215[[#This Row],[Column40]])</f>
        <v>2.6666666666666665</v>
      </c>
      <c r="AQ207" s="74">
        <f>IFERROR(VLOOKUP(Table1215[[#This Row],[Column2]],Table12[[Column2]:[Column54]],42,FALSE),"0")</f>
        <v>3</v>
      </c>
      <c r="AR207" s="74">
        <f>IFERROR(VLOOKUP(Table1215[[#This Row],[Column2]],Table12[[Column2]:[Column54]],43,FALSE),"0")</f>
        <v>0</v>
      </c>
      <c r="AS207" s="74">
        <f>IFERROR(VLOOKUP(Table1215[[#This Row],[Column2]],Table12[[Column2]:[Column54]],44,FALSE),"0")</f>
        <v>0</v>
      </c>
      <c r="AT207" s="74">
        <f>IFERROR(VLOOKUP(Table1215[[#This Row],[Column2]],Table12[[Column2]:[Column54]],45,FALSE),"0")</f>
        <v>0</v>
      </c>
      <c r="AU207" s="74">
        <f>IFERROR(VLOOKUP(Table1215[[#This Row],[Column2]],Table12[[Column2]:[Column54]],46,FALSE),"0")</f>
        <v>0</v>
      </c>
      <c r="AV207" s="80">
        <f>Table1215[[#This Row],[Column43]]</f>
        <v>3</v>
      </c>
      <c r="AW207" s="74">
        <f>IFERROR(VLOOKUP(Table1215[[#This Row],[Column2]],Table12[[Column2]:[Column54]],48,FALSE),"0")</f>
        <v>0</v>
      </c>
      <c r="AX207" s="74">
        <f>IFERROR(VLOOKUP(Table1215[[#This Row],[Column2]],Table12[[Column2]:[Column54]],49,FALSE),"0")</f>
        <v>0</v>
      </c>
      <c r="AY207" s="74">
        <f>IFERROR(VLOOKUP(Table1215[[#This Row],[Column2]],Table12[[Column2]:[Column54]],50,FALSE),"0")</f>
        <v>0</v>
      </c>
      <c r="AZ207" s="74">
        <f>IFERROR(VLOOKUP(Table1215[[#This Row],[Column2]],Table12[[Column2]:[Column54]],51,FALSE),"0")</f>
        <v>3</v>
      </c>
      <c r="BA207" s="74">
        <f>IFERROR(VLOOKUP(Table1215[[#This Row],[Column2]],Table12[[Column2]:[Column54]],52,FALSE),"0")</f>
        <v>3</v>
      </c>
      <c r="BB207" s="80">
        <f>AVERAGE(Table1215[[#This Row],[Column52]],Table1215[[#This Row],[Column53]])</f>
        <v>3</v>
      </c>
    </row>
    <row r="208" spans="1:54" ht="23.1" customHeight="1" x14ac:dyDescent="0.3">
      <c r="A208" s="99">
        <v>205</v>
      </c>
      <c r="B208" s="76" t="s">
        <v>444</v>
      </c>
      <c r="C208" s="77" t="s">
        <v>445</v>
      </c>
      <c r="D208" s="76" t="s">
        <v>450</v>
      </c>
      <c r="E208" s="76" t="s">
        <v>289</v>
      </c>
      <c r="F208" s="76" t="str">
        <f>REPT(CHAR(160),10)&amp;Working!$E209</f>
        <v>          D</v>
      </c>
      <c r="G208" s="78">
        <f>IFERROR(VLOOKUP(Table1215[[#This Row],[Column2]],Table12[[Column2]:[Column54]],6,FALSE),"0")</f>
        <v>0</v>
      </c>
      <c r="H208" s="78">
        <f>IFERROR(VLOOKUP(Table1215[[#This Row],[Column2]],Table12[[Column2]:[Column54]],7,FALSE),"0")</f>
        <v>0</v>
      </c>
      <c r="I208" s="78">
        <f>IFERROR(VLOOKUP(Table1215[[#This Row],[Column2]],Table12[[Column2]:[Column54]],8,FALSE),"0")</f>
        <v>2</v>
      </c>
      <c r="J208" s="78">
        <f>IFERROR(VLOOKUP(Table1215[[#This Row],[Column2]],Table12[[Column2]:[Column54]],9,FALSE),"0")</f>
        <v>0</v>
      </c>
      <c r="K208" s="78">
        <f>IFERROR(VLOOKUP(Table1215[[#This Row],[Column2]],Table12[[Column2]:[Column54]],10,FALSE),"0")</f>
        <v>0</v>
      </c>
      <c r="L208" s="80">
        <f>Table1215[[#This Row],[Column9]]</f>
        <v>2</v>
      </c>
      <c r="M208" s="78">
        <f>IFERROR(VLOOKUP(Table1215[[#This Row],[Column2]],Table12[[Column2]:[Column54]],12,FALSE),"0")</f>
        <v>0</v>
      </c>
      <c r="N208" s="78">
        <f>IFERROR(VLOOKUP(Table1215[[#This Row],[Column2]],Table12[[Column2]:[Column54]],13,FALSE),"0")</f>
        <v>3</v>
      </c>
      <c r="O208" s="78">
        <f>IFERROR(VLOOKUP(Table1215[[#This Row],[Column2]],Table12[[Column2]:[Column54]],14,FALSE),"0")</f>
        <v>3</v>
      </c>
      <c r="P208" s="78">
        <f>IFERROR(VLOOKUP(Table1215[[#This Row],[Column2]],Table12[[Column2]:[Column54]],10,FALSE),"0")</f>
        <v>0</v>
      </c>
      <c r="Q208" s="78">
        <f>IFERROR(VLOOKUP(Table1215[[#This Row],[Column2]],Table12[[Column2]:[Column54]],16,FALSE),"0")</f>
        <v>3</v>
      </c>
      <c r="R208" s="80">
        <f>AVERAGE(Table1215[[#This Row],[Column14]],Table1215[[#This Row],[Column15]],Table1215[[#This Row],[Column17]])</f>
        <v>3</v>
      </c>
      <c r="S208" s="78">
        <f>IFERROR(VLOOKUP(Table1215[[#This Row],[Column2]],Table12[[Column2]:[Column54]],18,FALSE),"0")</f>
        <v>0</v>
      </c>
      <c r="T208" s="78">
        <f>IFERROR(VLOOKUP(Table1215[[#This Row],[Column2]],Table12[[Column2]:[Column54]],19,FALSE),"0")</f>
        <v>0</v>
      </c>
      <c r="U208" s="78">
        <f>IFERROR(VLOOKUP(Table1215[[#This Row],[Column2]],Table12[[Column2]:[Column54]],20,FALSE),"0")</f>
        <v>0</v>
      </c>
      <c r="V208" s="78">
        <f>IFERROR(VLOOKUP(Table1215[[#This Row],[Column2]],Table12[[Column2]:[Column54]],21,FALSE),"0")</f>
        <v>0</v>
      </c>
      <c r="W208" s="78">
        <f>IFERROR(VLOOKUP(Table1215[[#This Row],[Column2]],Table12[[Column2]:[Column54]],22,FALSE),"0")</f>
        <v>0</v>
      </c>
      <c r="X208" s="80">
        <f>Table1215[[#This Row],[Column19]]</f>
        <v>0</v>
      </c>
      <c r="Y208" s="78">
        <f>IFERROR(VLOOKUP(Table1215[[#This Row],[Column2]],Table12[[Column2]:[Column54]],24,FALSE),"0")</f>
        <v>2</v>
      </c>
      <c r="Z208" s="78">
        <f>IFERROR(VLOOKUP(Table1215[[#This Row],[Column2]],Table12[[Column2]:[Column54]],25,FALSE),"0")</f>
        <v>0</v>
      </c>
      <c r="AA208" s="78">
        <f>IFERROR(VLOOKUP(Table1215[[#This Row],[Column2]],Table12[[Column2]:[Column54]],26,FALSE),"0")</f>
        <v>0</v>
      </c>
      <c r="AB208" s="78">
        <f>IFERROR(VLOOKUP(Table1215[[#This Row],[Column2]],Table12[[Column2]:[Column54]],27,FALSE),"0")</f>
        <v>0</v>
      </c>
      <c r="AC208" s="78">
        <f>IFERROR(VLOOKUP(Table1215[[#This Row],[Column2]],Table12[[Column2]:[Column54]],28,FALSE),"0")</f>
        <v>0</v>
      </c>
      <c r="AD208" s="80">
        <f>Table1215[[#This Row],[Column25]]</f>
        <v>2</v>
      </c>
      <c r="AE208" s="78">
        <f>IFERROR(VLOOKUP(Table1215[[#This Row],[Column2]],Table12[[Column2]:[Column54]],30,FALSE),"0")</f>
        <v>0</v>
      </c>
      <c r="AF208" s="78">
        <f>IFERROR(VLOOKUP(Table1215[[#This Row],[Column2]],Table12[[Column2]:[Column54]],31,FALSE),"0")</f>
        <v>0</v>
      </c>
      <c r="AG208" s="78">
        <f>IFERROR(VLOOKUP(Table1215[[#This Row],[Column2]],Table12[[Column2]:[Column54]],32,FALSE),"0")</f>
        <v>0</v>
      </c>
      <c r="AH208" s="78">
        <f>IFERROR(VLOOKUP(Table1215[[#This Row],[Column2]],Table12[[Column2]:[Column54]],33,FALSE),"0")</f>
        <v>0</v>
      </c>
      <c r="AI208" s="78">
        <f>IFERROR(VLOOKUP(Table1215[[#This Row],[Column2]],Table12[[Column2]:[Column54]],34,FALSE),"0")</f>
        <v>0</v>
      </c>
      <c r="AJ208" s="80">
        <f>AVERAGE(Table1215[[#This Row],[Column31]],Table1215[[#This Row],[Column32]],Table1215[[#This Row],[Column33]])</f>
        <v>0</v>
      </c>
      <c r="AK208" s="78">
        <f>IFERROR(VLOOKUP(Table1215[[#This Row],[Column2]],Table12[[Column2]:[Column54]],36,FALSE),"0")</f>
        <v>2</v>
      </c>
      <c r="AL208" s="78">
        <f>IFERROR(VLOOKUP(Table1215[[#This Row],[Column2]],Table12[[Column2]:[Column54]],37,FALSE),"0")</f>
        <v>2</v>
      </c>
      <c r="AM208" s="78">
        <f>IFERROR(VLOOKUP(Table1215[[#This Row],[Column2]],Table12[[Column2]:[Column54]],38,FALSE),"0")</f>
        <v>0</v>
      </c>
      <c r="AN208" s="78">
        <f>IFERROR(VLOOKUP(Table1215[[#This Row],[Column2]],Table12[[Column2]:[Column54]],39,FALSE),"0")</f>
        <v>2</v>
      </c>
      <c r="AO208" s="78">
        <f>IFERROR(VLOOKUP(Table1215[[#This Row],[Column2]],Table12[[Column2]:[Column54]],40,FALSE),"0")</f>
        <v>0</v>
      </c>
      <c r="AP208" s="80">
        <f>AVERAGE(Table1215[[#This Row],[Column37]],Table1215[[#This Row],[Column38]],Table1215[[#This Row],[Column40]])</f>
        <v>2</v>
      </c>
      <c r="AQ208" s="78">
        <f>IFERROR(VLOOKUP(Table1215[[#This Row],[Column2]],Table12[[Column2]:[Column54]],42,FALSE),"0")</f>
        <v>2</v>
      </c>
      <c r="AR208" s="78">
        <f>IFERROR(VLOOKUP(Table1215[[#This Row],[Column2]],Table12[[Column2]:[Column54]],43,FALSE),"0")</f>
        <v>0</v>
      </c>
      <c r="AS208" s="78">
        <f>IFERROR(VLOOKUP(Table1215[[#This Row],[Column2]],Table12[[Column2]:[Column54]],44,FALSE),"0")</f>
        <v>0</v>
      </c>
      <c r="AT208" s="78">
        <f>IFERROR(VLOOKUP(Table1215[[#This Row],[Column2]],Table12[[Column2]:[Column54]],45,FALSE),"0")</f>
        <v>0</v>
      </c>
      <c r="AU208" s="78">
        <f>IFERROR(VLOOKUP(Table1215[[#This Row],[Column2]],Table12[[Column2]:[Column54]],46,FALSE),"0")</f>
        <v>0</v>
      </c>
      <c r="AV208" s="80">
        <f>Table1215[[#This Row],[Column43]]</f>
        <v>2</v>
      </c>
      <c r="AW208" s="78">
        <f>IFERROR(VLOOKUP(Table1215[[#This Row],[Column2]],Table12[[Column2]:[Column54]],48,FALSE),"0")</f>
        <v>0</v>
      </c>
      <c r="AX208" s="78">
        <f>IFERROR(VLOOKUP(Table1215[[#This Row],[Column2]],Table12[[Column2]:[Column54]],49,FALSE),"0")</f>
        <v>0</v>
      </c>
      <c r="AY208" s="78">
        <f>IFERROR(VLOOKUP(Table1215[[#This Row],[Column2]],Table12[[Column2]:[Column54]],50,FALSE),"0")</f>
        <v>0</v>
      </c>
      <c r="AZ208" s="78">
        <f>IFERROR(VLOOKUP(Table1215[[#This Row],[Column2]],Table12[[Column2]:[Column54]],51,FALSE),"0")</f>
        <v>3</v>
      </c>
      <c r="BA208" s="78">
        <f>IFERROR(VLOOKUP(Table1215[[#This Row],[Column2]],Table12[[Column2]:[Column54]],52,FALSE),"0")</f>
        <v>2</v>
      </c>
      <c r="BB208" s="80">
        <f>AVERAGE(Table1215[[#This Row],[Column52]],Table1215[[#This Row],[Column53]])</f>
        <v>2.5</v>
      </c>
    </row>
    <row r="209" spans="1:54" ht="23.1" customHeight="1" x14ac:dyDescent="0.3">
      <c r="A209" s="100">
        <v>206</v>
      </c>
      <c r="B209" s="83" t="s">
        <v>446</v>
      </c>
      <c r="C209" s="84" t="s">
        <v>447</v>
      </c>
      <c r="D209" s="83" t="s">
        <v>450</v>
      </c>
      <c r="E209" s="83" t="s">
        <v>289</v>
      </c>
      <c r="F209" s="83" t="str">
        <f>REPT(CHAR(160),10)&amp;Working!$E210</f>
        <v>          D</v>
      </c>
      <c r="G209" s="74">
        <f>IFERROR(VLOOKUP(Table1215[[#This Row],[Column2]],Table12[[Column2]:[Column54]],6,FALSE),"0")</f>
        <v>0</v>
      </c>
      <c r="H209" s="74">
        <f>IFERROR(VLOOKUP(Table1215[[#This Row],[Column2]],Table12[[Column2]:[Column54]],7,FALSE),"0")</f>
        <v>0</v>
      </c>
      <c r="I209" s="74">
        <f>IFERROR(VLOOKUP(Table1215[[#This Row],[Column2]],Table12[[Column2]:[Column54]],8,FALSE),"0")</f>
        <v>2</v>
      </c>
      <c r="J209" s="74">
        <f>IFERROR(VLOOKUP(Table1215[[#This Row],[Column2]],Table12[[Column2]:[Column54]],9,FALSE),"0")</f>
        <v>0</v>
      </c>
      <c r="K209" s="74">
        <f>IFERROR(VLOOKUP(Table1215[[#This Row],[Column2]],Table12[[Column2]:[Column54]],10,FALSE),"0")</f>
        <v>0</v>
      </c>
      <c r="L209" s="80">
        <f>Table1215[[#This Row],[Column9]]</f>
        <v>2</v>
      </c>
      <c r="M209" s="74">
        <f>IFERROR(VLOOKUP(Table1215[[#This Row],[Column2]],Table12[[Column2]:[Column54]],12,FALSE),"0")</f>
        <v>0</v>
      </c>
      <c r="N209" s="74">
        <f>IFERROR(VLOOKUP(Table1215[[#This Row],[Column2]],Table12[[Column2]:[Column54]],13,FALSE),"0")</f>
        <v>3</v>
      </c>
      <c r="O209" s="74">
        <f>IFERROR(VLOOKUP(Table1215[[#This Row],[Column2]],Table12[[Column2]:[Column54]],14,FALSE),"0")</f>
        <v>3</v>
      </c>
      <c r="P209" s="74">
        <f>IFERROR(VLOOKUP(Table1215[[#This Row],[Column2]],Table12[[Column2]:[Column54]],10,FALSE),"0")</f>
        <v>0</v>
      </c>
      <c r="Q209" s="74">
        <f>IFERROR(VLOOKUP(Table1215[[#This Row],[Column2]],Table12[[Column2]:[Column54]],16,FALSE),"0")</f>
        <v>3</v>
      </c>
      <c r="R209" s="80">
        <f>AVERAGE(Table1215[[#This Row],[Column14]],Table1215[[#This Row],[Column15]],Table1215[[#This Row],[Column17]])</f>
        <v>3</v>
      </c>
      <c r="S209" s="74">
        <f>IFERROR(VLOOKUP(Table1215[[#This Row],[Column2]],Table12[[Column2]:[Column54]],18,FALSE),"0")</f>
        <v>0</v>
      </c>
      <c r="T209" s="74">
        <f>IFERROR(VLOOKUP(Table1215[[#This Row],[Column2]],Table12[[Column2]:[Column54]],19,FALSE),"0")</f>
        <v>0</v>
      </c>
      <c r="U209" s="74">
        <f>IFERROR(VLOOKUP(Table1215[[#This Row],[Column2]],Table12[[Column2]:[Column54]],20,FALSE),"0")</f>
        <v>0</v>
      </c>
      <c r="V209" s="74">
        <f>IFERROR(VLOOKUP(Table1215[[#This Row],[Column2]],Table12[[Column2]:[Column54]],21,FALSE),"0")</f>
        <v>0</v>
      </c>
      <c r="W209" s="74">
        <f>IFERROR(VLOOKUP(Table1215[[#This Row],[Column2]],Table12[[Column2]:[Column54]],22,FALSE),"0")</f>
        <v>0</v>
      </c>
      <c r="X209" s="80">
        <f>Table1215[[#This Row],[Column19]]</f>
        <v>0</v>
      </c>
      <c r="Y209" s="74">
        <f>IFERROR(VLOOKUP(Table1215[[#This Row],[Column2]],Table12[[Column2]:[Column54]],24,FALSE),"0")</f>
        <v>2</v>
      </c>
      <c r="Z209" s="74">
        <f>IFERROR(VLOOKUP(Table1215[[#This Row],[Column2]],Table12[[Column2]:[Column54]],25,FALSE),"0")</f>
        <v>0</v>
      </c>
      <c r="AA209" s="74">
        <f>IFERROR(VLOOKUP(Table1215[[#This Row],[Column2]],Table12[[Column2]:[Column54]],26,FALSE),"0")</f>
        <v>0</v>
      </c>
      <c r="AB209" s="74">
        <f>IFERROR(VLOOKUP(Table1215[[#This Row],[Column2]],Table12[[Column2]:[Column54]],27,FALSE),"0")</f>
        <v>0</v>
      </c>
      <c r="AC209" s="74">
        <f>IFERROR(VLOOKUP(Table1215[[#This Row],[Column2]],Table12[[Column2]:[Column54]],28,FALSE),"0")</f>
        <v>0</v>
      </c>
      <c r="AD209" s="80">
        <f>Table1215[[#This Row],[Column25]]</f>
        <v>2</v>
      </c>
      <c r="AE209" s="74">
        <f>IFERROR(VLOOKUP(Table1215[[#This Row],[Column2]],Table12[[Column2]:[Column54]],30,FALSE),"0")</f>
        <v>0</v>
      </c>
      <c r="AF209" s="74">
        <f>IFERROR(VLOOKUP(Table1215[[#This Row],[Column2]],Table12[[Column2]:[Column54]],31,FALSE),"0")</f>
        <v>0</v>
      </c>
      <c r="AG209" s="74">
        <f>IFERROR(VLOOKUP(Table1215[[#This Row],[Column2]],Table12[[Column2]:[Column54]],32,FALSE),"0")</f>
        <v>0</v>
      </c>
      <c r="AH209" s="74">
        <f>IFERROR(VLOOKUP(Table1215[[#This Row],[Column2]],Table12[[Column2]:[Column54]],33,FALSE),"0")</f>
        <v>0</v>
      </c>
      <c r="AI209" s="74">
        <f>IFERROR(VLOOKUP(Table1215[[#This Row],[Column2]],Table12[[Column2]:[Column54]],34,FALSE),"0")</f>
        <v>0</v>
      </c>
      <c r="AJ209" s="80">
        <f>AVERAGE(Table1215[[#This Row],[Column31]],Table1215[[#This Row],[Column32]],Table1215[[#This Row],[Column33]])</f>
        <v>0</v>
      </c>
      <c r="AK209" s="74">
        <f>IFERROR(VLOOKUP(Table1215[[#This Row],[Column2]],Table12[[Column2]:[Column54]],36,FALSE),"0")</f>
        <v>2</v>
      </c>
      <c r="AL209" s="74">
        <f>IFERROR(VLOOKUP(Table1215[[#This Row],[Column2]],Table12[[Column2]:[Column54]],37,FALSE),"0")</f>
        <v>2</v>
      </c>
      <c r="AM209" s="74">
        <f>IFERROR(VLOOKUP(Table1215[[#This Row],[Column2]],Table12[[Column2]:[Column54]],38,FALSE),"0")</f>
        <v>0</v>
      </c>
      <c r="AN209" s="74">
        <f>IFERROR(VLOOKUP(Table1215[[#This Row],[Column2]],Table12[[Column2]:[Column54]],39,FALSE),"0")</f>
        <v>3</v>
      </c>
      <c r="AO209" s="74">
        <f>IFERROR(VLOOKUP(Table1215[[#This Row],[Column2]],Table12[[Column2]:[Column54]],40,FALSE),"0")</f>
        <v>0</v>
      </c>
      <c r="AP209" s="80">
        <f>AVERAGE(Table1215[[#This Row],[Column37]],Table1215[[#This Row],[Column38]],Table1215[[#This Row],[Column40]])</f>
        <v>2.3333333333333335</v>
      </c>
      <c r="AQ209" s="74">
        <f>IFERROR(VLOOKUP(Table1215[[#This Row],[Column2]],Table12[[Column2]:[Column54]],42,FALSE),"0")</f>
        <v>2</v>
      </c>
      <c r="AR209" s="74">
        <f>IFERROR(VLOOKUP(Table1215[[#This Row],[Column2]],Table12[[Column2]:[Column54]],43,FALSE),"0")</f>
        <v>0</v>
      </c>
      <c r="AS209" s="74">
        <f>IFERROR(VLOOKUP(Table1215[[#This Row],[Column2]],Table12[[Column2]:[Column54]],44,FALSE),"0")</f>
        <v>0</v>
      </c>
      <c r="AT209" s="74">
        <f>IFERROR(VLOOKUP(Table1215[[#This Row],[Column2]],Table12[[Column2]:[Column54]],45,FALSE),"0")</f>
        <v>0</v>
      </c>
      <c r="AU209" s="74">
        <f>IFERROR(VLOOKUP(Table1215[[#This Row],[Column2]],Table12[[Column2]:[Column54]],46,FALSE),"0")</f>
        <v>0</v>
      </c>
      <c r="AV209" s="80">
        <f>Table1215[[#This Row],[Column43]]</f>
        <v>2</v>
      </c>
      <c r="AW209" s="74">
        <f>IFERROR(VLOOKUP(Table1215[[#This Row],[Column2]],Table12[[Column2]:[Column54]],48,FALSE),"0")</f>
        <v>0</v>
      </c>
      <c r="AX209" s="74">
        <f>IFERROR(VLOOKUP(Table1215[[#This Row],[Column2]],Table12[[Column2]:[Column54]],49,FALSE),"0")</f>
        <v>0</v>
      </c>
      <c r="AY209" s="74">
        <f>IFERROR(VLOOKUP(Table1215[[#This Row],[Column2]],Table12[[Column2]:[Column54]],50,FALSE),"0")</f>
        <v>0</v>
      </c>
      <c r="AZ209" s="74">
        <f>IFERROR(VLOOKUP(Table1215[[#This Row],[Column2]],Table12[[Column2]:[Column54]],51,FALSE),"0")</f>
        <v>2</v>
      </c>
      <c r="BA209" s="74">
        <f>IFERROR(VLOOKUP(Table1215[[#This Row],[Column2]],Table12[[Column2]:[Column54]],52,FALSE),"0")</f>
        <v>3</v>
      </c>
      <c r="BB209" s="80">
        <f>AVERAGE(Table1215[[#This Row],[Column52]],Table1215[[#This Row],[Column53]])</f>
        <v>2.5</v>
      </c>
    </row>
    <row r="210" spans="1:54" ht="23.1" customHeight="1" x14ac:dyDescent="0.3">
      <c r="A210" s="99">
        <v>207</v>
      </c>
      <c r="B210" s="76" t="s">
        <v>448</v>
      </c>
      <c r="C210" s="77" t="s">
        <v>449</v>
      </c>
      <c r="D210" s="76" t="s">
        <v>450</v>
      </c>
      <c r="E210" s="76" t="s">
        <v>289</v>
      </c>
      <c r="F210" s="76" t="str">
        <f>REPT(CHAR(160),10)&amp;Working!$E211</f>
        <v>          D</v>
      </c>
      <c r="G210" s="78">
        <f>IFERROR(VLOOKUP(Table1215[[#This Row],[Column2]],Table12[[Column2]:[Column54]],6,FALSE),"0")</f>
        <v>0</v>
      </c>
      <c r="H210" s="78">
        <f>IFERROR(VLOOKUP(Table1215[[#This Row],[Column2]],Table12[[Column2]:[Column54]],7,FALSE),"0")</f>
        <v>0</v>
      </c>
      <c r="I210" s="78">
        <f>IFERROR(VLOOKUP(Table1215[[#This Row],[Column2]],Table12[[Column2]:[Column54]],8,FALSE),"0")</f>
        <v>2</v>
      </c>
      <c r="J210" s="78">
        <f>IFERROR(VLOOKUP(Table1215[[#This Row],[Column2]],Table12[[Column2]:[Column54]],9,FALSE),"0")</f>
        <v>0</v>
      </c>
      <c r="K210" s="78">
        <f>IFERROR(VLOOKUP(Table1215[[#This Row],[Column2]],Table12[[Column2]:[Column54]],10,FALSE),"0")</f>
        <v>0</v>
      </c>
      <c r="L210" s="80">
        <f>Table1215[[#This Row],[Column9]]</f>
        <v>2</v>
      </c>
      <c r="M210" s="78">
        <f>IFERROR(VLOOKUP(Table1215[[#This Row],[Column2]],Table12[[Column2]:[Column54]],12,FALSE),"0")</f>
        <v>0</v>
      </c>
      <c r="N210" s="78">
        <f>IFERROR(VLOOKUP(Table1215[[#This Row],[Column2]],Table12[[Column2]:[Column54]],13,FALSE),"0")</f>
        <v>2</v>
      </c>
      <c r="O210" s="78">
        <f>IFERROR(VLOOKUP(Table1215[[#This Row],[Column2]],Table12[[Column2]:[Column54]],14,FALSE),"0")</f>
        <v>3</v>
      </c>
      <c r="P210" s="78">
        <f>IFERROR(VLOOKUP(Table1215[[#This Row],[Column2]],Table12[[Column2]:[Column54]],10,FALSE),"0")</f>
        <v>0</v>
      </c>
      <c r="Q210" s="78">
        <f>IFERROR(VLOOKUP(Table1215[[#This Row],[Column2]],Table12[[Column2]:[Column54]],16,FALSE),"0")</f>
        <v>3</v>
      </c>
      <c r="R210" s="80">
        <f>AVERAGE(Table1215[[#This Row],[Column14]],Table1215[[#This Row],[Column15]],Table1215[[#This Row],[Column17]])</f>
        <v>2.6666666666666665</v>
      </c>
      <c r="S210" s="78">
        <f>IFERROR(VLOOKUP(Table1215[[#This Row],[Column2]],Table12[[Column2]:[Column54]],18,FALSE),"0")</f>
        <v>0</v>
      </c>
      <c r="T210" s="78">
        <f>IFERROR(VLOOKUP(Table1215[[#This Row],[Column2]],Table12[[Column2]:[Column54]],19,FALSE),"0")</f>
        <v>0</v>
      </c>
      <c r="U210" s="78">
        <f>IFERROR(VLOOKUP(Table1215[[#This Row],[Column2]],Table12[[Column2]:[Column54]],20,FALSE),"0")</f>
        <v>0</v>
      </c>
      <c r="V210" s="78">
        <f>IFERROR(VLOOKUP(Table1215[[#This Row],[Column2]],Table12[[Column2]:[Column54]],21,FALSE),"0")</f>
        <v>0</v>
      </c>
      <c r="W210" s="78">
        <f>IFERROR(VLOOKUP(Table1215[[#This Row],[Column2]],Table12[[Column2]:[Column54]],22,FALSE),"0")</f>
        <v>0</v>
      </c>
      <c r="X210" s="80">
        <f>Table1215[[#This Row],[Column19]]</f>
        <v>0</v>
      </c>
      <c r="Y210" s="78">
        <f>IFERROR(VLOOKUP(Table1215[[#This Row],[Column2]],Table12[[Column2]:[Column54]],24,FALSE),"0")</f>
        <v>2</v>
      </c>
      <c r="Z210" s="78">
        <f>IFERROR(VLOOKUP(Table1215[[#This Row],[Column2]],Table12[[Column2]:[Column54]],25,FALSE),"0")</f>
        <v>0</v>
      </c>
      <c r="AA210" s="78">
        <f>IFERROR(VLOOKUP(Table1215[[#This Row],[Column2]],Table12[[Column2]:[Column54]],26,FALSE),"0")</f>
        <v>0</v>
      </c>
      <c r="AB210" s="78">
        <f>IFERROR(VLOOKUP(Table1215[[#This Row],[Column2]],Table12[[Column2]:[Column54]],27,FALSE),"0")</f>
        <v>0</v>
      </c>
      <c r="AC210" s="78">
        <f>IFERROR(VLOOKUP(Table1215[[#This Row],[Column2]],Table12[[Column2]:[Column54]],28,FALSE),"0")</f>
        <v>0</v>
      </c>
      <c r="AD210" s="80">
        <f>Table1215[[#This Row],[Column25]]</f>
        <v>2</v>
      </c>
      <c r="AE210" s="78">
        <f>IFERROR(VLOOKUP(Table1215[[#This Row],[Column2]],Table12[[Column2]:[Column54]],30,FALSE),"0")</f>
        <v>0</v>
      </c>
      <c r="AF210" s="78">
        <f>IFERROR(VLOOKUP(Table1215[[#This Row],[Column2]],Table12[[Column2]:[Column54]],31,FALSE),"0")</f>
        <v>0</v>
      </c>
      <c r="AG210" s="78">
        <f>IFERROR(VLOOKUP(Table1215[[#This Row],[Column2]],Table12[[Column2]:[Column54]],32,FALSE),"0")</f>
        <v>0</v>
      </c>
      <c r="AH210" s="78">
        <f>IFERROR(VLOOKUP(Table1215[[#This Row],[Column2]],Table12[[Column2]:[Column54]],33,FALSE),"0")</f>
        <v>0</v>
      </c>
      <c r="AI210" s="78">
        <f>IFERROR(VLOOKUP(Table1215[[#This Row],[Column2]],Table12[[Column2]:[Column54]],34,FALSE),"0")</f>
        <v>0</v>
      </c>
      <c r="AJ210" s="80">
        <f>AVERAGE(Table1215[[#This Row],[Column31]],Table1215[[#This Row],[Column32]],Table1215[[#This Row],[Column33]])</f>
        <v>0</v>
      </c>
      <c r="AK210" s="78">
        <f>IFERROR(VLOOKUP(Table1215[[#This Row],[Column2]],Table12[[Column2]:[Column54]],36,FALSE),"0")</f>
        <v>2</v>
      </c>
      <c r="AL210" s="78">
        <f>IFERROR(VLOOKUP(Table1215[[#This Row],[Column2]],Table12[[Column2]:[Column54]],37,FALSE),"0")</f>
        <v>3</v>
      </c>
      <c r="AM210" s="78">
        <f>IFERROR(VLOOKUP(Table1215[[#This Row],[Column2]],Table12[[Column2]:[Column54]],38,FALSE),"0")</f>
        <v>0</v>
      </c>
      <c r="AN210" s="78">
        <f>IFERROR(VLOOKUP(Table1215[[#This Row],[Column2]],Table12[[Column2]:[Column54]],39,FALSE),"0")</f>
        <v>3</v>
      </c>
      <c r="AO210" s="78">
        <f>IFERROR(VLOOKUP(Table1215[[#This Row],[Column2]],Table12[[Column2]:[Column54]],40,FALSE),"0")</f>
        <v>0</v>
      </c>
      <c r="AP210" s="80">
        <f>AVERAGE(Table1215[[#This Row],[Column37]],Table1215[[#This Row],[Column38]],Table1215[[#This Row],[Column40]])</f>
        <v>2.6666666666666665</v>
      </c>
      <c r="AQ210" s="78">
        <f>IFERROR(VLOOKUP(Table1215[[#This Row],[Column2]],Table12[[Column2]:[Column54]],42,FALSE),"0")</f>
        <v>3</v>
      </c>
      <c r="AR210" s="78">
        <f>IFERROR(VLOOKUP(Table1215[[#This Row],[Column2]],Table12[[Column2]:[Column54]],43,FALSE),"0")</f>
        <v>0</v>
      </c>
      <c r="AS210" s="78">
        <f>IFERROR(VLOOKUP(Table1215[[#This Row],[Column2]],Table12[[Column2]:[Column54]],44,FALSE),"0")</f>
        <v>0</v>
      </c>
      <c r="AT210" s="78">
        <f>IFERROR(VLOOKUP(Table1215[[#This Row],[Column2]],Table12[[Column2]:[Column54]],45,FALSE),"0")</f>
        <v>0</v>
      </c>
      <c r="AU210" s="78">
        <f>IFERROR(VLOOKUP(Table1215[[#This Row],[Column2]],Table12[[Column2]:[Column54]],46,FALSE),"0")</f>
        <v>0</v>
      </c>
      <c r="AV210" s="80">
        <f>Table1215[[#This Row],[Column43]]</f>
        <v>3</v>
      </c>
      <c r="AW210" s="78">
        <f>IFERROR(VLOOKUP(Table1215[[#This Row],[Column2]],Table12[[Column2]:[Column54]],48,FALSE),"0")</f>
        <v>0</v>
      </c>
      <c r="AX210" s="78">
        <f>IFERROR(VLOOKUP(Table1215[[#This Row],[Column2]],Table12[[Column2]:[Column54]],49,FALSE),"0")</f>
        <v>0</v>
      </c>
      <c r="AY210" s="78">
        <f>IFERROR(VLOOKUP(Table1215[[#This Row],[Column2]],Table12[[Column2]:[Column54]],50,FALSE),"0")</f>
        <v>0</v>
      </c>
      <c r="AZ210" s="78">
        <f>IFERROR(VLOOKUP(Table1215[[#This Row],[Column2]],Table12[[Column2]:[Column54]],51,FALSE),"0")</f>
        <v>3</v>
      </c>
      <c r="BA210" s="78">
        <f>IFERROR(VLOOKUP(Table1215[[#This Row],[Column2]],Table12[[Column2]:[Column54]],52,FALSE),"0")</f>
        <v>3</v>
      </c>
      <c r="BB210" s="80">
        <f>AVERAGE(Table1215[[#This Row],[Column52]],Table1215[[#This Row],[Column53]])</f>
        <v>3</v>
      </c>
    </row>
    <row r="211" spans="1:54" ht="23.1" customHeight="1" x14ac:dyDescent="0.3">
      <c r="A211" s="100">
        <v>208</v>
      </c>
      <c r="B211" s="83" t="s">
        <v>74</v>
      </c>
      <c r="C211" s="84" t="s">
        <v>494</v>
      </c>
      <c r="D211" s="83" t="s">
        <v>450</v>
      </c>
      <c r="E211" s="83" t="s">
        <v>289</v>
      </c>
      <c r="F211" s="83" t="str">
        <f>REPT(CHAR(160),10)&amp;Working!$E212</f>
        <v>          D</v>
      </c>
      <c r="G211" s="74">
        <f>IFERROR(VLOOKUP(Table1215[[#This Row],[Column2]],Table12[[Column2]:[Column54]],6,FALSE),"0")</f>
        <v>0</v>
      </c>
      <c r="H211" s="74">
        <f>IFERROR(VLOOKUP(Table1215[[#This Row],[Column2]],Table12[[Column2]:[Column54]],7,FALSE),"0")</f>
        <v>0</v>
      </c>
      <c r="I211" s="74">
        <f>IFERROR(VLOOKUP(Table1215[[#This Row],[Column2]],Table12[[Column2]:[Column54]],8,FALSE),"0")</f>
        <v>3</v>
      </c>
      <c r="J211" s="74">
        <f>IFERROR(VLOOKUP(Table1215[[#This Row],[Column2]],Table12[[Column2]:[Column54]],9,FALSE),"0")</f>
        <v>0</v>
      </c>
      <c r="K211" s="74">
        <f>IFERROR(VLOOKUP(Table1215[[#This Row],[Column2]],Table12[[Column2]:[Column54]],10,FALSE),"0")</f>
        <v>0</v>
      </c>
      <c r="L211" s="80">
        <f>Table1215[[#This Row],[Column9]]</f>
        <v>3</v>
      </c>
      <c r="M211" s="74">
        <f>IFERROR(VLOOKUP(Table1215[[#This Row],[Column2]],Table12[[Column2]:[Column54]],12,FALSE),"0")</f>
        <v>0</v>
      </c>
      <c r="N211" s="74">
        <f>IFERROR(VLOOKUP(Table1215[[#This Row],[Column2]],Table12[[Column2]:[Column54]],13,FALSE),"0")</f>
        <v>4</v>
      </c>
      <c r="O211" s="74">
        <f>IFERROR(VLOOKUP(Table1215[[#This Row],[Column2]],Table12[[Column2]:[Column54]],14,FALSE),"0")</f>
        <v>3</v>
      </c>
      <c r="P211" s="74">
        <f>IFERROR(VLOOKUP(Table1215[[#This Row],[Column2]],Table12[[Column2]:[Column54]],10,FALSE),"0")</f>
        <v>0</v>
      </c>
      <c r="Q211" s="74">
        <f>IFERROR(VLOOKUP(Table1215[[#This Row],[Column2]],Table12[[Column2]:[Column54]],16,FALSE),"0")</f>
        <v>3</v>
      </c>
      <c r="R211" s="80">
        <f>AVERAGE(Table1215[[#This Row],[Column14]],Table1215[[#This Row],[Column15]],Table1215[[#This Row],[Column17]])</f>
        <v>3.3333333333333335</v>
      </c>
      <c r="S211" s="74">
        <f>IFERROR(VLOOKUP(Table1215[[#This Row],[Column2]],Table12[[Column2]:[Column54]],18,FALSE),"0")</f>
        <v>0</v>
      </c>
      <c r="T211" s="74">
        <f>IFERROR(VLOOKUP(Table1215[[#This Row],[Column2]],Table12[[Column2]:[Column54]],19,FALSE),"0")</f>
        <v>0</v>
      </c>
      <c r="U211" s="74">
        <f>IFERROR(VLOOKUP(Table1215[[#This Row],[Column2]],Table12[[Column2]:[Column54]],20,FALSE),"0")</f>
        <v>0</v>
      </c>
      <c r="V211" s="74">
        <f>IFERROR(VLOOKUP(Table1215[[#This Row],[Column2]],Table12[[Column2]:[Column54]],21,FALSE),"0")</f>
        <v>0</v>
      </c>
      <c r="W211" s="74">
        <f>IFERROR(VLOOKUP(Table1215[[#This Row],[Column2]],Table12[[Column2]:[Column54]],22,FALSE),"0")</f>
        <v>0</v>
      </c>
      <c r="X211" s="80">
        <f>Table1215[[#This Row],[Column19]]</f>
        <v>0</v>
      </c>
      <c r="Y211" s="74">
        <f>IFERROR(VLOOKUP(Table1215[[#This Row],[Column2]],Table12[[Column2]:[Column54]],24,FALSE),"0")</f>
        <v>4</v>
      </c>
      <c r="Z211" s="74">
        <f>IFERROR(VLOOKUP(Table1215[[#This Row],[Column2]],Table12[[Column2]:[Column54]],25,FALSE),"0")</f>
        <v>0</v>
      </c>
      <c r="AA211" s="74">
        <f>IFERROR(VLOOKUP(Table1215[[#This Row],[Column2]],Table12[[Column2]:[Column54]],26,FALSE),"0")</f>
        <v>0</v>
      </c>
      <c r="AB211" s="74">
        <f>IFERROR(VLOOKUP(Table1215[[#This Row],[Column2]],Table12[[Column2]:[Column54]],27,FALSE),"0")</f>
        <v>0</v>
      </c>
      <c r="AC211" s="74">
        <f>IFERROR(VLOOKUP(Table1215[[#This Row],[Column2]],Table12[[Column2]:[Column54]],28,FALSE),"0")</f>
        <v>0</v>
      </c>
      <c r="AD211" s="80">
        <f>Table1215[[#This Row],[Column25]]</f>
        <v>4</v>
      </c>
      <c r="AE211" s="74">
        <f>IFERROR(VLOOKUP(Table1215[[#This Row],[Column2]],Table12[[Column2]:[Column54]],30,FALSE),"0")</f>
        <v>0</v>
      </c>
      <c r="AF211" s="74">
        <f>IFERROR(VLOOKUP(Table1215[[#This Row],[Column2]],Table12[[Column2]:[Column54]],31,FALSE),"0")</f>
        <v>0</v>
      </c>
      <c r="AG211" s="74">
        <f>IFERROR(VLOOKUP(Table1215[[#This Row],[Column2]],Table12[[Column2]:[Column54]],32,FALSE),"0")</f>
        <v>0</v>
      </c>
      <c r="AH211" s="74">
        <f>IFERROR(VLOOKUP(Table1215[[#This Row],[Column2]],Table12[[Column2]:[Column54]],33,FALSE),"0")</f>
        <v>0</v>
      </c>
      <c r="AI211" s="74">
        <f>IFERROR(VLOOKUP(Table1215[[#This Row],[Column2]],Table12[[Column2]:[Column54]],34,FALSE),"0")</f>
        <v>0</v>
      </c>
      <c r="AJ211" s="80">
        <f>AVERAGE(Table1215[[#This Row],[Column31]],Table1215[[#This Row],[Column32]],Table1215[[#This Row],[Column33]])</f>
        <v>0</v>
      </c>
      <c r="AK211" s="74">
        <f>IFERROR(VLOOKUP(Table1215[[#This Row],[Column2]],Table12[[Column2]:[Column54]],36,FALSE),"0")</f>
        <v>2</v>
      </c>
      <c r="AL211" s="74">
        <f>IFERROR(VLOOKUP(Table1215[[#This Row],[Column2]],Table12[[Column2]:[Column54]],37,FALSE),"0")</f>
        <v>3</v>
      </c>
      <c r="AM211" s="74">
        <f>IFERROR(VLOOKUP(Table1215[[#This Row],[Column2]],Table12[[Column2]:[Column54]],38,FALSE),"0")</f>
        <v>0</v>
      </c>
      <c r="AN211" s="74">
        <f>IFERROR(VLOOKUP(Table1215[[#This Row],[Column2]],Table12[[Column2]:[Column54]],39,FALSE),"0")</f>
        <v>3</v>
      </c>
      <c r="AO211" s="74">
        <f>IFERROR(VLOOKUP(Table1215[[#This Row],[Column2]],Table12[[Column2]:[Column54]],40,FALSE),"0")</f>
        <v>0</v>
      </c>
      <c r="AP211" s="80">
        <f>AVERAGE(Table1215[[#This Row],[Column37]],Table1215[[#This Row],[Column38]],Table1215[[#This Row],[Column40]])</f>
        <v>2.6666666666666665</v>
      </c>
      <c r="AQ211" s="74">
        <f>IFERROR(VLOOKUP(Table1215[[#This Row],[Column2]],Table12[[Column2]:[Column54]],42,FALSE),"0")</f>
        <v>3</v>
      </c>
      <c r="AR211" s="74">
        <f>IFERROR(VLOOKUP(Table1215[[#This Row],[Column2]],Table12[[Column2]:[Column54]],43,FALSE),"0")</f>
        <v>0</v>
      </c>
      <c r="AS211" s="74">
        <f>IFERROR(VLOOKUP(Table1215[[#This Row],[Column2]],Table12[[Column2]:[Column54]],44,FALSE),"0")</f>
        <v>0</v>
      </c>
      <c r="AT211" s="74">
        <f>IFERROR(VLOOKUP(Table1215[[#This Row],[Column2]],Table12[[Column2]:[Column54]],45,FALSE),"0")</f>
        <v>0</v>
      </c>
      <c r="AU211" s="74">
        <f>IFERROR(VLOOKUP(Table1215[[#This Row],[Column2]],Table12[[Column2]:[Column54]],46,FALSE),"0")</f>
        <v>0</v>
      </c>
      <c r="AV211" s="80">
        <f>Table1215[[#This Row],[Column43]]</f>
        <v>3</v>
      </c>
      <c r="AW211" s="74">
        <f>IFERROR(VLOOKUP(Table1215[[#This Row],[Column2]],Table12[[Column2]:[Column54]],48,FALSE),"0")</f>
        <v>0</v>
      </c>
      <c r="AX211" s="74">
        <f>IFERROR(VLOOKUP(Table1215[[#This Row],[Column2]],Table12[[Column2]:[Column54]],49,FALSE),"0")</f>
        <v>0</v>
      </c>
      <c r="AY211" s="74">
        <f>IFERROR(VLOOKUP(Table1215[[#This Row],[Column2]],Table12[[Column2]:[Column54]],50,FALSE),"0")</f>
        <v>0</v>
      </c>
      <c r="AZ211" s="74">
        <f>IFERROR(VLOOKUP(Table1215[[#This Row],[Column2]],Table12[[Column2]:[Column54]],51,FALSE),"0")</f>
        <v>3</v>
      </c>
      <c r="BA211" s="74">
        <f>IFERROR(VLOOKUP(Table1215[[#This Row],[Column2]],Table12[[Column2]:[Column54]],52,FALSE),"0")</f>
        <v>3</v>
      </c>
      <c r="BB211" s="80">
        <f>AVERAGE(Table1215[[#This Row],[Column52]],Table1215[[#This Row],[Column53]])</f>
        <v>3</v>
      </c>
    </row>
    <row r="212" spans="1:54" ht="23.1" customHeight="1" x14ac:dyDescent="0.3">
      <c r="A212" s="99">
        <v>209</v>
      </c>
      <c r="B212" s="76" t="s">
        <v>451</v>
      </c>
      <c r="C212" s="77" t="s">
        <v>452</v>
      </c>
      <c r="D212" s="76" t="s">
        <v>450</v>
      </c>
      <c r="E212" s="76" t="s">
        <v>289</v>
      </c>
      <c r="F212" s="76" t="str">
        <f>REPT(CHAR(160),10)&amp;Working!$E213</f>
        <v>          D</v>
      </c>
      <c r="G212" s="78">
        <f>IFERROR(VLOOKUP(Table1215[[#This Row],[Column2]],Table12[[Column2]:[Column54]],6,FALSE),"0")</f>
        <v>0</v>
      </c>
      <c r="H212" s="78">
        <f>IFERROR(VLOOKUP(Table1215[[#This Row],[Column2]],Table12[[Column2]:[Column54]],7,FALSE),"0")</f>
        <v>0</v>
      </c>
      <c r="I212" s="78">
        <f>IFERROR(VLOOKUP(Table1215[[#This Row],[Column2]],Table12[[Column2]:[Column54]],8,FALSE),"0")</f>
        <v>2</v>
      </c>
      <c r="J212" s="78">
        <f>IFERROR(VLOOKUP(Table1215[[#This Row],[Column2]],Table12[[Column2]:[Column54]],9,FALSE),"0")</f>
        <v>0</v>
      </c>
      <c r="K212" s="78">
        <f>IFERROR(VLOOKUP(Table1215[[#This Row],[Column2]],Table12[[Column2]:[Column54]],10,FALSE),"0")</f>
        <v>0</v>
      </c>
      <c r="L212" s="80">
        <f>Table1215[[#This Row],[Column9]]</f>
        <v>2</v>
      </c>
      <c r="M212" s="78">
        <f>IFERROR(VLOOKUP(Table1215[[#This Row],[Column2]],Table12[[Column2]:[Column54]],12,FALSE),"0")</f>
        <v>0</v>
      </c>
      <c r="N212" s="78">
        <f>IFERROR(VLOOKUP(Table1215[[#This Row],[Column2]],Table12[[Column2]:[Column54]],13,FALSE),"0")</f>
        <v>2</v>
      </c>
      <c r="O212" s="78">
        <f>IFERROR(VLOOKUP(Table1215[[#This Row],[Column2]],Table12[[Column2]:[Column54]],14,FALSE),"0")</f>
        <v>2</v>
      </c>
      <c r="P212" s="78">
        <f>IFERROR(VLOOKUP(Table1215[[#This Row],[Column2]],Table12[[Column2]:[Column54]],10,FALSE),"0")</f>
        <v>0</v>
      </c>
      <c r="Q212" s="78">
        <f>IFERROR(VLOOKUP(Table1215[[#This Row],[Column2]],Table12[[Column2]:[Column54]],16,FALSE),"0")</f>
        <v>2</v>
      </c>
      <c r="R212" s="80">
        <f>AVERAGE(Table1215[[#This Row],[Column14]],Table1215[[#This Row],[Column15]],Table1215[[#This Row],[Column17]])</f>
        <v>2</v>
      </c>
      <c r="S212" s="78">
        <f>IFERROR(VLOOKUP(Table1215[[#This Row],[Column2]],Table12[[Column2]:[Column54]],18,FALSE),"0")</f>
        <v>0</v>
      </c>
      <c r="T212" s="78">
        <f>IFERROR(VLOOKUP(Table1215[[#This Row],[Column2]],Table12[[Column2]:[Column54]],19,FALSE),"0")</f>
        <v>0</v>
      </c>
      <c r="U212" s="78">
        <f>IFERROR(VLOOKUP(Table1215[[#This Row],[Column2]],Table12[[Column2]:[Column54]],20,FALSE),"0")</f>
        <v>0</v>
      </c>
      <c r="V212" s="78">
        <f>IFERROR(VLOOKUP(Table1215[[#This Row],[Column2]],Table12[[Column2]:[Column54]],21,FALSE),"0")</f>
        <v>0</v>
      </c>
      <c r="W212" s="78">
        <f>IFERROR(VLOOKUP(Table1215[[#This Row],[Column2]],Table12[[Column2]:[Column54]],22,FALSE),"0")</f>
        <v>0</v>
      </c>
      <c r="X212" s="80">
        <f>Table1215[[#This Row],[Column19]]</f>
        <v>0</v>
      </c>
      <c r="Y212" s="78">
        <f>IFERROR(VLOOKUP(Table1215[[#This Row],[Column2]],Table12[[Column2]:[Column54]],24,FALSE),"0")</f>
        <v>2</v>
      </c>
      <c r="Z212" s="78">
        <f>IFERROR(VLOOKUP(Table1215[[#This Row],[Column2]],Table12[[Column2]:[Column54]],25,FALSE),"0")</f>
        <v>0</v>
      </c>
      <c r="AA212" s="78">
        <f>IFERROR(VLOOKUP(Table1215[[#This Row],[Column2]],Table12[[Column2]:[Column54]],26,FALSE),"0")</f>
        <v>0</v>
      </c>
      <c r="AB212" s="78">
        <f>IFERROR(VLOOKUP(Table1215[[#This Row],[Column2]],Table12[[Column2]:[Column54]],27,FALSE),"0")</f>
        <v>0</v>
      </c>
      <c r="AC212" s="78">
        <f>IFERROR(VLOOKUP(Table1215[[#This Row],[Column2]],Table12[[Column2]:[Column54]],28,FALSE),"0")</f>
        <v>0</v>
      </c>
      <c r="AD212" s="80">
        <f>Table1215[[#This Row],[Column25]]</f>
        <v>2</v>
      </c>
      <c r="AE212" s="78">
        <f>IFERROR(VLOOKUP(Table1215[[#This Row],[Column2]],Table12[[Column2]:[Column54]],30,FALSE),"0")</f>
        <v>0</v>
      </c>
      <c r="AF212" s="78">
        <f>IFERROR(VLOOKUP(Table1215[[#This Row],[Column2]],Table12[[Column2]:[Column54]],31,FALSE),"0")</f>
        <v>0</v>
      </c>
      <c r="AG212" s="78">
        <f>IFERROR(VLOOKUP(Table1215[[#This Row],[Column2]],Table12[[Column2]:[Column54]],32,FALSE),"0")</f>
        <v>0</v>
      </c>
      <c r="AH212" s="78">
        <f>IFERROR(VLOOKUP(Table1215[[#This Row],[Column2]],Table12[[Column2]:[Column54]],33,FALSE),"0")</f>
        <v>0</v>
      </c>
      <c r="AI212" s="78">
        <f>IFERROR(VLOOKUP(Table1215[[#This Row],[Column2]],Table12[[Column2]:[Column54]],34,FALSE),"0")</f>
        <v>0</v>
      </c>
      <c r="AJ212" s="80">
        <f>AVERAGE(Table1215[[#This Row],[Column31]],Table1215[[#This Row],[Column32]],Table1215[[#This Row],[Column33]])</f>
        <v>0</v>
      </c>
      <c r="AK212" s="78">
        <f>IFERROR(VLOOKUP(Table1215[[#This Row],[Column2]],Table12[[Column2]:[Column54]],36,FALSE),"0")</f>
        <v>2</v>
      </c>
      <c r="AL212" s="78">
        <f>IFERROR(VLOOKUP(Table1215[[#This Row],[Column2]],Table12[[Column2]:[Column54]],37,FALSE),"0")</f>
        <v>2</v>
      </c>
      <c r="AM212" s="78">
        <f>IFERROR(VLOOKUP(Table1215[[#This Row],[Column2]],Table12[[Column2]:[Column54]],38,FALSE),"0")</f>
        <v>0</v>
      </c>
      <c r="AN212" s="78">
        <f>IFERROR(VLOOKUP(Table1215[[#This Row],[Column2]],Table12[[Column2]:[Column54]],39,FALSE),"0")</f>
        <v>3</v>
      </c>
      <c r="AO212" s="78">
        <f>IFERROR(VLOOKUP(Table1215[[#This Row],[Column2]],Table12[[Column2]:[Column54]],40,FALSE),"0")</f>
        <v>0</v>
      </c>
      <c r="AP212" s="80">
        <f>AVERAGE(Table1215[[#This Row],[Column37]],Table1215[[#This Row],[Column38]],Table1215[[#This Row],[Column40]])</f>
        <v>2.3333333333333335</v>
      </c>
      <c r="AQ212" s="78">
        <f>IFERROR(VLOOKUP(Table1215[[#This Row],[Column2]],Table12[[Column2]:[Column54]],42,FALSE),"0")</f>
        <v>2</v>
      </c>
      <c r="AR212" s="78">
        <f>IFERROR(VLOOKUP(Table1215[[#This Row],[Column2]],Table12[[Column2]:[Column54]],43,FALSE),"0")</f>
        <v>0</v>
      </c>
      <c r="AS212" s="78">
        <f>IFERROR(VLOOKUP(Table1215[[#This Row],[Column2]],Table12[[Column2]:[Column54]],44,FALSE),"0")</f>
        <v>0</v>
      </c>
      <c r="AT212" s="78">
        <f>IFERROR(VLOOKUP(Table1215[[#This Row],[Column2]],Table12[[Column2]:[Column54]],45,FALSE),"0")</f>
        <v>0</v>
      </c>
      <c r="AU212" s="78">
        <f>IFERROR(VLOOKUP(Table1215[[#This Row],[Column2]],Table12[[Column2]:[Column54]],46,FALSE),"0")</f>
        <v>0</v>
      </c>
      <c r="AV212" s="80">
        <f>Table1215[[#This Row],[Column43]]</f>
        <v>2</v>
      </c>
      <c r="AW212" s="78">
        <f>IFERROR(VLOOKUP(Table1215[[#This Row],[Column2]],Table12[[Column2]:[Column54]],48,FALSE),"0")</f>
        <v>0</v>
      </c>
      <c r="AX212" s="78">
        <f>IFERROR(VLOOKUP(Table1215[[#This Row],[Column2]],Table12[[Column2]:[Column54]],49,FALSE),"0")</f>
        <v>0</v>
      </c>
      <c r="AY212" s="78">
        <f>IFERROR(VLOOKUP(Table1215[[#This Row],[Column2]],Table12[[Column2]:[Column54]],50,FALSE),"0")</f>
        <v>0</v>
      </c>
      <c r="AZ212" s="78">
        <f>IFERROR(VLOOKUP(Table1215[[#This Row],[Column2]],Table12[[Column2]:[Column54]],51,FALSE),"0")</f>
        <v>3</v>
      </c>
      <c r="BA212" s="78">
        <f>IFERROR(VLOOKUP(Table1215[[#This Row],[Column2]],Table12[[Column2]:[Column54]],52,FALSE),"0")</f>
        <v>3</v>
      </c>
      <c r="BB212" s="80">
        <f>AVERAGE(Table1215[[#This Row],[Column52]],Table1215[[#This Row],[Column53]])</f>
        <v>3</v>
      </c>
    </row>
    <row r="213" spans="1:54" ht="23.1" customHeight="1" x14ac:dyDescent="0.3">
      <c r="A213" s="100">
        <v>210</v>
      </c>
      <c r="B213" s="83" t="s">
        <v>453</v>
      </c>
      <c r="C213" s="84" t="s">
        <v>454</v>
      </c>
      <c r="D213" s="83" t="s">
        <v>450</v>
      </c>
      <c r="E213" s="83" t="s">
        <v>289</v>
      </c>
      <c r="F213" s="83" t="str">
        <f>REPT(CHAR(160),10)&amp;Working!$E214</f>
        <v>          D</v>
      </c>
      <c r="G213" s="74">
        <f>IFERROR(VLOOKUP(Table1215[[#This Row],[Column2]],Table12[[Column2]:[Column54]],6,FALSE),"0")</f>
        <v>0</v>
      </c>
      <c r="H213" s="74">
        <f>IFERROR(VLOOKUP(Table1215[[#This Row],[Column2]],Table12[[Column2]:[Column54]],7,FALSE),"0")</f>
        <v>0</v>
      </c>
      <c r="I213" s="74">
        <f>IFERROR(VLOOKUP(Table1215[[#This Row],[Column2]],Table12[[Column2]:[Column54]],8,FALSE),"0")</f>
        <v>2</v>
      </c>
      <c r="J213" s="74">
        <f>IFERROR(VLOOKUP(Table1215[[#This Row],[Column2]],Table12[[Column2]:[Column54]],9,FALSE),"0")</f>
        <v>0</v>
      </c>
      <c r="K213" s="74">
        <f>IFERROR(VLOOKUP(Table1215[[#This Row],[Column2]],Table12[[Column2]:[Column54]],10,FALSE),"0")</f>
        <v>0</v>
      </c>
      <c r="L213" s="80">
        <f>Table1215[[#This Row],[Column9]]</f>
        <v>2</v>
      </c>
      <c r="M213" s="74">
        <f>IFERROR(VLOOKUP(Table1215[[#This Row],[Column2]],Table12[[Column2]:[Column54]],12,FALSE),"0")</f>
        <v>0</v>
      </c>
      <c r="N213" s="74">
        <f>IFERROR(VLOOKUP(Table1215[[#This Row],[Column2]],Table12[[Column2]:[Column54]],13,FALSE),"0")</f>
        <v>2</v>
      </c>
      <c r="O213" s="74">
        <f>IFERROR(VLOOKUP(Table1215[[#This Row],[Column2]],Table12[[Column2]:[Column54]],14,FALSE),"0")</f>
        <v>2</v>
      </c>
      <c r="P213" s="74">
        <f>IFERROR(VLOOKUP(Table1215[[#This Row],[Column2]],Table12[[Column2]:[Column54]],10,FALSE),"0")</f>
        <v>0</v>
      </c>
      <c r="Q213" s="74">
        <f>IFERROR(VLOOKUP(Table1215[[#This Row],[Column2]],Table12[[Column2]:[Column54]],16,FALSE),"0")</f>
        <v>2</v>
      </c>
      <c r="R213" s="80">
        <f>AVERAGE(Table1215[[#This Row],[Column14]],Table1215[[#This Row],[Column15]],Table1215[[#This Row],[Column17]])</f>
        <v>2</v>
      </c>
      <c r="S213" s="74">
        <f>IFERROR(VLOOKUP(Table1215[[#This Row],[Column2]],Table12[[Column2]:[Column54]],18,FALSE),"0")</f>
        <v>0</v>
      </c>
      <c r="T213" s="74">
        <f>IFERROR(VLOOKUP(Table1215[[#This Row],[Column2]],Table12[[Column2]:[Column54]],19,FALSE),"0")</f>
        <v>0</v>
      </c>
      <c r="U213" s="74">
        <f>IFERROR(VLOOKUP(Table1215[[#This Row],[Column2]],Table12[[Column2]:[Column54]],20,FALSE),"0")</f>
        <v>0</v>
      </c>
      <c r="V213" s="74">
        <f>IFERROR(VLOOKUP(Table1215[[#This Row],[Column2]],Table12[[Column2]:[Column54]],21,FALSE),"0")</f>
        <v>0</v>
      </c>
      <c r="W213" s="74">
        <f>IFERROR(VLOOKUP(Table1215[[#This Row],[Column2]],Table12[[Column2]:[Column54]],22,FALSE),"0")</f>
        <v>0</v>
      </c>
      <c r="X213" s="80">
        <f>Table1215[[#This Row],[Column19]]</f>
        <v>0</v>
      </c>
      <c r="Y213" s="74">
        <f>IFERROR(VLOOKUP(Table1215[[#This Row],[Column2]],Table12[[Column2]:[Column54]],24,FALSE),"0")</f>
        <v>3</v>
      </c>
      <c r="Z213" s="74">
        <f>IFERROR(VLOOKUP(Table1215[[#This Row],[Column2]],Table12[[Column2]:[Column54]],25,FALSE),"0")</f>
        <v>0</v>
      </c>
      <c r="AA213" s="74">
        <f>IFERROR(VLOOKUP(Table1215[[#This Row],[Column2]],Table12[[Column2]:[Column54]],26,FALSE),"0")</f>
        <v>0</v>
      </c>
      <c r="AB213" s="74">
        <f>IFERROR(VLOOKUP(Table1215[[#This Row],[Column2]],Table12[[Column2]:[Column54]],27,FALSE),"0")</f>
        <v>0</v>
      </c>
      <c r="AC213" s="74">
        <f>IFERROR(VLOOKUP(Table1215[[#This Row],[Column2]],Table12[[Column2]:[Column54]],28,FALSE),"0")</f>
        <v>0</v>
      </c>
      <c r="AD213" s="80">
        <f>Table1215[[#This Row],[Column25]]</f>
        <v>3</v>
      </c>
      <c r="AE213" s="74">
        <f>IFERROR(VLOOKUP(Table1215[[#This Row],[Column2]],Table12[[Column2]:[Column54]],30,FALSE),"0")</f>
        <v>0</v>
      </c>
      <c r="AF213" s="74">
        <f>IFERROR(VLOOKUP(Table1215[[#This Row],[Column2]],Table12[[Column2]:[Column54]],31,FALSE),"0")</f>
        <v>0</v>
      </c>
      <c r="AG213" s="74">
        <f>IFERROR(VLOOKUP(Table1215[[#This Row],[Column2]],Table12[[Column2]:[Column54]],32,FALSE),"0")</f>
        <v>0</v>
      </c>
      <c r="AH213" s="74">
        <f>IFERROR(VLOOKUP(Table1215[[#This Row],[Column2]],Table12[[Column2]:[Column54]],33,FALSE),"0")</f>
        <v>0</v>
      </c>
      <c r="AI213" s="74">
        <f>IFERROR(VLOOKUP(Table1215[[#This Row],[Column2]],Table12[[Column2]:[Column54]],34,FALSE),"0")</f>
        <v>0</v>
      </c>
      <c r="AJ213" s="80">
        <f>AVERAGE(Table1215[[#This Row],[Column31]],Table1215[[#This Row],[Column32]],Table1215[[#This Row],[Column33]])</f>
        <v>0</v>
      </c>
      <c r="AK213" s="74">
        <f>IFERROR(VLOOKUP(Table1215[[#This Row],[Column2]],Table12[[Column2]:[Column54]],36,FALSE),"0")</f>
        <v>3</v>
      </c>
      <c r="AL213" s="74">
        <f>IFERROR(VLOOKUP(Table1215[[#This Row],[Column2]],Table12[[Column2]:[Column54]],37,FALSE),"0")</f>
        <v>3</v>
      </c>
      <c r="AM213" s="74">
        <f>IFERROR(VLOOKUP(Table1215[[#This Row],[Column2]],Table12[[Column2]:[Column54]],38,FALSE),"0")</f>
        <v>0</v>
      </c>
      <c r="AN213" s="74">
        <f>IFERROR(VLOOKUP(Table1215[[#This Row],[Column2]],Table12[[Column2]:[Column54]],39,FALSE),"0")</f>
        <v>3</v>
      </c>
      <c r="AO213" s="74">
        <f>IFERROR(VLOOKUP(Table1215[[#This Row],[Column2]],Table12[[Column2]:[Column54]],40,FALSE),"0")</f>
        <v>0</v>
      </c>
      <c r="AP213" s="80">
        <f>AVERAGE(Table1215[[#This Row],[Column37]],Table1215[[#This Row],[Column38]],Table1215[[#This Row],[Column40]])</f>
        <v>3</v>
      </c>
      <c r="AQ213" s="74">
        <f>IFERROR(VLOOKUP(Table1215[[#This Row],[Column2]],Table12[[Column2]:[Column54]],42,FALSE),"0")</f>
        <v>2</v>
      </c>
      <c r="AR213" s="74">
        <f>IFERROR(VLOOKUP(Table1215[[#This Row],[Column2]],Table12[[Column2]:[Column54]],43,FALSE),"0")</f>
        <v>0</v>
      </c>
      <c r="AS213" s="74">
        <f>IFERROR(VLOOKUP(Table1215[[#This Row],[Column2]],Table12[[Column2]:[Column54]],44,FALSE),"0")</f>
        <v>0</v>
      </c>
      <c r="AT213" s="74">
        <f>IFERROR(VLOOKUP(Table1215[[#This Row],[Column2]],Table12[[Column2]:[Column54]],45,FALSE),"0")</f>
        <v>0</v>
      </c>
      <c r="AU213" s="74">
        <f>IFERROR(VLOOKUP(Table1215[[#This Row],[Column2]],Table12[[Column2]:[Column54]],46,FALSE),"0")</f>
        <v>0</v>
      </c>
      <c r="AV213" s="80">
        <f>Table1215[[#This Row],[Column43]]</f>
        <v>2</v>
      </c>
      <c r="AW213" s="74">
        <f>IFERROR(VLOOKUP(Table1215[[#This Row],[Column2]],Table12[[Column2]:[Column54]],48,FALSE),"0")</f>
        <v>0</v>
      </c>
      <c r="AX213" s="74">
        <f>IFERROR(VLOOKUP(Table1215[[#This Row],[Column2]],Table12[[Column2]:[Column54]],49,FALSE),"0")</f>
        <v>0</v>
      </c>
      <c r="AY213" s="74">
        <f>IFERROR(VLOOKUP(Table1215[[#This Row],[Column2]],Table12[[Column2]:[Column54]],50,FALSE),"0")</f>
        <v>0</v>
      </c>
      <c r="AZ213" s="74">
        <f>IFERROR(VLOOKUP(Table1215[[#This Row],[Column2]],Table12[[Column2]:[Column54]],51,FALSE),"0")</f>
        <v>3</v>
      </c>
      <c r="BA213" s="74">
        <f>IFERROR(VLOOKUP(Table1215[[#This Row],[Column2]],Table12[[Column2]:[Column54]],52,FALSE),"0")</f>
        <v>2</v>
      </c>
      <c r="BB213" s="80">
        <f>AVERAGE(Table1215[[#This Row],[Column52]],Table1215[[#This Row],[Column53]])</f>
        <v>2.5</v>
      </c>
    </row>
    <row r="214" spans="1:54" ht="23.1" customHeight="1" x14ac:dyDescent="0.3">
      <c r="A214" s="99">
        <v>211</v>
      </c>
      <c r="B214" s="76" t="s">
        <v>455</v>
      </c>
      <c r="C214" s="77" t="s">
        <v>456</v>
      </c>
      <c r="D214" s="76" t="s">
        <v>542</v>
      </c>
      <c r="E214" s="76" t="s">
        <v>289</v>
      </c>
      <c r="F214" s="76" t="str">
        <f>REPT(CHAR(160),10)&amp;Working!$E215</f>
        <v>          D</v>
      </c>
      <c r="G214" s="78">
        <f>IFERROR(VLOOKUP(Table1215[[#This Row],[Column2]],Table12[[Column2]:[Column54]],6,FALSE),"0")</f>
        <v>0</v>
      </c>
      <c r="H214" s="78">
        <f>IFERROR(VLOOKUP(Table1215[[#This Row],[Column2]],Table12[[Column2]:[Column54]],7,FALSE),"0")</f>
        <v>0</v>
      </c>
      <c r="I214" s="78">
        <f>IFERROR(VLOOKUP(Table1215[[#This Row],[Column2]],Table12[[Column2]:[Column54]],8,FALSE),"0")</f>
        <v>3</v>
      </c>
      <c r="J214" s="78">
        <f>IFERROR(VLOOKUP(Table1215[[#This Row],[Column2]],Table12[[Column2]:[Column54]],9,FALSE),"0")</f>
        <v>0</v>
      </c>
      <c r="K214" s="78">
        <f>IFERROR(VLOOKUP(Table1215[[#This Row],[Column2]],Table12[[Column2]:[Column54]],10,FALSE),"0")</f>
        <v>0</v>
      </c>
      <c r="L214" s="80">
        <f>Table1215[[#This Row],[Column9]]</f>
        <v>3</v>
      </c>
      <c r="M214" s="78">
        <f>IFERROR(VLOOKUP(Table1215[[#This Row],[Column2]],Table12[[Column2]:[Column54]],12,FALSE),"0")</f>
        <v>0</v>
      </c>
      <c r="N214" s="78">
        <f>IFERROR(VLOOKUP(Table1215[[#This Row],[Column2]],Table12[[Column2]:[Column54]],13,FALSE),"0")</f>
        <v>4</v>
      </c>
      <c r="O214" s="78">
        <f>IFERROR(VLOOKUP(Table1215[[#This Row],[Column2]],Table12[[Column2]:[Column54]],14,FALSE),"0")</f>
        <v>3</v>
      </c>
      <c r="P214" s="78">
        <f>IFERROR(VLOOKUP(Table1215[[#This Row],[Column2]],Table12[[Column2]:[Column54]],10,FALSE),"0")</f>
        <v>0</v>
      </c>
      <c r="Q214" s="78">
        <f>IFERROR(VLOOKUP(Table1215[[#This Row],[Column2]],Table12[[Column2]:[Column54]],16,FALSE),"0")</f>
        <v>3</v>
      </c>
      <c r="R214" s="80">
        <f>AVERAGE(Table1215[[#This Row],[Column14]],Table1215[[#This Row],[Column15]],Table1215[[#This Row],[Column17]])</f>
        <v>3.3333333333333335</v>
      </c>
      <c r="S214" s="78">
        <f>IFERROR(VLOOKUP(Table1215[[#This Row],[Column2]],Table12[[Column2]:[Column54]],18,FALSE),"0")</f>
        <v>0</v>
      </c>
      <c r="T214" s="78">
        <f>IFERROR(VLOOKUP(Table1215[[#This Row],[Column2]],Table12[[Column2]:[Column54]],19,FALSE),"0")</f>
        <v>0</v>
      </c>
      <c r="U214" s="78">
        <f>IFERROR(VLOOKUP(Table1215[[#This Row],[Column2]],Table12[[Column2]:[Column54]],20,FALSE),"0")</f>
        <v>0</v>
      </c>
      <c r="V214" s="78">
        <f>IFERROR(VLOOKUP(Table1215[[#This Row],[Column2]],Table12[[Column2]:[Column54]],21,FALSE),"0")</f>
        <v>0</v>
      </c>
      <c r="W214" s="78">
        <f>IFERROR(VLOOKUP(Table1215[[#This Row],[Column2]],Table12[[Column2]:[Column54]],22,FALSE),"0")</f>
        <v>0</v>
      </c>
      <c r="X214" s="80">
        <f>Table1215[[#This Row],[Column19]]</f>
        <v>0</v>
      </c>
      <c r="Y214" s="78">
        <f>IFERROR(VLOOKUP(Table1215[[#This Row],[Column2]],Table12[[Column2]:[Column54]],24,FALSE),"0")</f>
        <v>3</v>
      </c>
      <c r="Z214" s="78">
        <f>IFERROR(VLOOKUP(Table1215[[#This Row],[Column2]],Table12[[Column2]:[Column54]],25,FALSE),"0")</f>
        <v>0</v>
      </c>
      <c r="AA214" s="78">
        <f>IFERROR(VLOOKUP(Table1215[[#This Row],[Column2]],Table12[[Column2]:[Column54]],26,FALSE),"0")</f>
        <v>0</v>
      </c>
      <c r="AB214" s="78">
        <f>IFERROR(VLOOKUP(Table1215[[#This Row],[Column2]],Table12[[Column2]:[Column54]],27,FALSE),"0")</f>
        <v>0</v>
      </c>
      <c r="AC214" s="78">
        <f>IFERROR(VLOOKUP(Table1215[[#This Row],[Column2]],Table12[[Column2]:[Column54]],28,FALSE),"0")</f>
        <v>0</v>
      </c>
      <c r="AD214" s="80">
        <f>Table1215[[#This Row],[Column25]]</f>
        <v>3</v>
      </c>
      <c r="AE214" s="78">
        <f>IFERROR(VLOOKUP(Table1215[[#This Row],[Column2]],Table12[[Column2]:[Column54]],30,FALSE),"0")</f>
        <v>0</v>
      </c>
      <c r="AF214" s="78">
        <f>IFERROR(VLOOKUP(Table1215[[#This Row],[Column2]],Table12[[Column2]:[Column54]],31,FALSE),"0")</f>
        <v>0</v>
      </c>
      <c r="AG214" s="78">
        <f>IFERROR(VLOOKUP(Table1215[[#This Row],[Column2]],Table12[[Column2]:[Column54]],32,FALSE),"0")</f>
        <v>0</v>
      </c>
      <c r="AH214" s="78">
        <f>IFERROR(VLOOKUP(Table1215[[#This Row],[Column2]],Table12[[Column2]:[Column54]],33,FALSE),"0")</f>
        <v>0</v>
      </c>
      <c r="AI214" s="78">
        <f>IFERROR(VLOOKUP(Table1215[[#This Row],[Column2]],Table12[[Column2]:[Column54]],34,FALSE),"0")</f>
        <v>0</v>
      </c>
      <c r="AJ214" s="80">
        <f>AVERAGE(Table1215[[#This Row],[Column31]],Table1215[[#This Row],[Column32]],Table1215[[#This Row],[Column33]])</f>
        <v>0</v>
      </c>
      <c r="AK214" s="78">
        <f>IFERROR(VLOOKUP(Table1215[[#This Row],[Column2]],Table12[[Column2]:[Column54]],36,FALSE),"0")</f>
        <v>3</v>
      </c>
      <c r="AL214" s="78">
        <f>IFERROR(VLOOKUP(Table1215[[#This Row],[Column2]],Table12[[Column2]:[Column54]],37,FALSE),"0")</f>
        <v>3</v>
      </c>
      <c r="AM214" s="78">
        <f>IFERROR(VLOOKUP(Table1215[[#This Row],[Column2]],Table12[[Column2]:[Column54]],38,FALSE),"0")</f>
        <v>0</v>
      </c>
      <c r="AN214" s="78">
        <f>IFERROR(VLOOKUP(Table1215[[#This Row],[Column2]],Table12[[Column2]:[Column54]],39,FALSE),"0")</f>
        <v>4</v>
      </c>
      <c r="AO214" s="78">
        <f>IFERROR(VLOOKUP(Table1215[[#This Row],[Column2]],Table12[[Column2]:[Column54]],40,FALSE),"0")</f>
        <v>0</v>
      </c>
      <c r="AP214" s="80">
        <f>AVERAGE(Table1215[[#This Row],[Column37]],Table1215[[#This Row],[Column38]],Table1215[[#This Row],[Column40]])</f>
        <v>3.3333333333333335</v>
      </c>
      <c r="AQ214" s="78">
        <f>IFERROR(VLOOKUP(Table1215[[#This Row],[Column2]],Table12[[Column2]:[Column54]],42,FALSE),"0")</f>
        <v>3</v>
      </c>
      <c r="AR214" s="78">
        <f>IFERROR(VLOOKUP(Table1215[[#This Row],[Column2]],Table12[[Column2]:[Column54]],43,FALSE),"0")</f>
        <v>0</v>
      </c>
      <c r="AS214" s="78">
        <f>IFERROR(VLOOKUP(Table1215[[#This Row],[Column2]],Table12[[Column2]:[Column54]],44,FALSE),"0")</f>
        <v>0</v>
      </c>
      <c r="AT214" s="78">
        <f>IFERROR(VLOOKUP(Table1215[[#This Row],[Column2]],Table12[[Column2]:[Column54]],45,FALSE),"0")</f>
        <v>0</v>
      </c>
      <c r="AU214" s="78">
        <f>IFERROR(VLOOKUP(Table1215[[#This Row],[Column2]],Table12[[Column2]:[Column54]],46,FALSE),"0")</f>
        <v>0</v>
      </c>
      <c r="AV214" s="80">
        <f>Table1215[[#This Row],[Column43]]</f>
        <v>3</v>
      </c>
      <c r="AW214" s="78">
        <f>IFERROR(VLOOKUP(Table1215[[#This Row],[Column2]],Table12[[Column2]:[Column54]],48,FALSE),"0")</f>
        <v>0</v>
      </c>
      <c r="AX214" s="78">
        <f>IFERROR(VLOOKUP(Table1215[[#This Row],[Column2]],Table12[[Column2]:[Column54]],49,FALSE),"0")</f>
        <v>0</v>
      </c>
      <c r="AY214" s="78">
        <f>IFERROR(VLOOKUP(Table1215[[#This Row],[Column2]],Table12[[Column2]:[Column54]],50,FALSE),"0")</f>
        <v>0</v>
      </c>
      <c r="AZ214" s="78">
        <f>IFERROR(VLOOKUP(Table1215[[#This Row],[Column2]],Table12[[Column2]:[Column54]],51,FALSE),"0")</f>
        <v>3</v>
      </c>
      <c r="BA214" s="78">
        <f>IFERROR(VLOOKUP(Table1215[[#This Row],[Column2]],Table12[[Column2]:[Column54]],52,FALSE),"0")</f>
        <v>3</v>
      </c>
      <c r="BB214" s="80">
        <f>AVERAGE(Table1215[[#This Row],[Column52]],Table1215[[#This Row],[Column53]])</f>
        <v>3</v>
      </c>
    </row>
    <row r="215" spans="1:54" ht="23.1" customHeight="1" x14ac:dyDescent="0.3">
      <c r="A215" s="100">
        <v>212</v>
      </c>
      <c r="B215" s="83" t="s">
        <v>457</v>
      </c>
      <c r="C215" s="84" t="s">
        <v>458</v>
      </c>
      <c r="D215" s="83" t="s">
        <v>542</v>
      </c>
      <c r="E215" s="83" t="s">
        <v>289</v>
      </c>
      <c r="F215" s="83" t="str">
        <f>REPT(CHAR(160),10)&amp;Working!$E216</f>
        <v>          D</v>
      </c>
      <c r="G215" s="74">
        <f>IFERROR(VLOOKUP(Table1215[[#This Row],[Column2]],Table12[[Column2]:[Column54]],6,FALSE),"0")</f>
        <v>0</v>
      </c>
      <c r="H215" s="74">
        <f>IFERROR(VLOOKUP(Table1215[[#This Row],[Column2]],Table12[[Column2]:[Column54]],7,FALSE),"0")</f>
        <v>0</v>
      </c>
      <c r="I215" s="74">
        <f>IFERROR(VLOOKUP(Table1215[[#This Row],[Column2]],Table12[[Column2]:[Column54]],8,FALSE),"0")</f>
        <v>4</v>
      </c>
      <c r="J215" s="74">
        <f>IFERROR(VLOOKUP(Table1215[[#This Row],[Column2]],Table12[[Column2]:[Column54]],9,FALSE),"0")</f>
        <v>0</v>
      </c>
      <c r="K215" s="74">
        <f>IFERROR(VLOOKUP(Table1215[[#This Row],[Column2]],Table12[[Column2]:[Column54]],10,FALSE),"0")</f>
        <v>0</v>
      </c>
      <c r="L215" s="80">
        <f>Table1215[[#This Row],[Column9]]</f>
        <v>4</v>
      </c>
      <c r="M215" s="74">
        <f>IFERROR(VLOOKUP(Table1215[[#This Row],[Column2]],Table12[[Column2]:[Column54]],12,FALSE),"0")</f>
        <v>0</v>
      </c>
      <c r="N215" s="74">
        <f>IFERROR(VLOOKUP(Table1215[[#This Row],[Column2]],Table12[[Column2]:[Column54]],13,FALSE),"0")</f>
        <v>5</v>
      </c>
      <c r="O215" s="74">
        <f>IFERROR(VLOOKUP(Table1215[[#This Row],[Column2]],Table12[[Column2]:[Column54]],14,FALSE),"0")</f>
        <v>5</v>
      </c>
      <c r="P215" s="74">
        <f>IFERROR(VLOOKUP(Table1215[[#This Row],[Column2]],Table12[[Column2]:[Column54]],10,FALSE),"0")</f>
        <v>0</v>
      </c>
      <c r="Q215" s="74">
        <f>IFERROR(VLOOKUP(Table1215[[#This Row],[Column2]],Table12[[Column2]:[Column54]],16,FALSE),"0")</f>
        <v>5</v>
      </c>
      <c r="R215" s="80">
        <f>AVERAGE(Table1215[[#This Row],[Column14]],Table1215[[#This Row],[Column15]],Table1215[[#This Row],[Column17]])</f>
        <v>5</v>
      </c>
      <c r="S215" s="74">
        <f>IFERROR(VLOOKUP(Table1215[[#This Row],[Column2]],Table12[[Column2]:[Column54]],18,FALSE),"0")</f>
        <v>0</v>
      </c>
      <c r="T215" s="74">
        <f>IFERROR(VLOOKUP(Table1215[[#This Row],[Column2]],Table12[[Column2]:[Column54]],19,FALSE),"0")</f>
        <v>0</v>
      </c>
      <c r="U215" s="74">
        <f>IFERROR(VLOOKUP(Table1215[[#This Row],[Column2]],Table12[[Column2]:[Column54]],20,FALSE),"0")</f>
        <v>0</v>
      </c>
      <c r="V215" s="74">
        <f>IFERROR(VLOOKUP(Table1215[[#This Row],[Column2]],Table12[[Column2]:[Column54]],21,FALSE),"0")</f>
        <v>0</v>
      </c>
      <c r="W215" s="74">
        <f>IFERROR(VLOOKUP(Table1215[[#This Row],[Column2]],Table12[[Column2]:[Column54]],22,FALSE),"0")</f>
        <v>0</v>
      </c>
      <c r="X215" s="80">
        <f>Table1215[[#This Row],[Column19]]</f>
        <v>0</v>
      </c>
      <c r="Y215" s="74">
        <f>IFERROR(VLOOKUP(Table1215[[#This Row],[Column2]],Table12[[Column2]:[Column54]],24,FALSE),"0")</f>
        <v>5</v>
      </c>
      <c r="Z215" s="74">
        <f>IFERROR(VLOOKUP(Table1215[[#This Row],[Column2]],Table12[[Column2]:[Column54]],25,FALSE),"0")</f>
        <v>0</v>
      </c>
      <c r="AA215" s="74">
        <f>IFERROR(VLOOKUP(Table1215[[#This Row],[Column2]],Table12[[Column2]:[Column54]],26,FALSE),"0")</f>
        <v>0</v>
      </c>
      <c r="AB215" s="74">
        <f>IFERROR(VLOOKUP(Table1215[[#This Row],[Column2]],Table12[[Column2]:[Column54]],27,FALSE),"0")</f>
        <v>0</v>
      </c>
      <c r="AC215" s="74">
        <f>IFERROR(VLOOKUP(Table1215[[#This Row],[Column2]],Table12[[Column2]:[Column54]],28,FALSE),"0")</f>
        <v>0</v>
      </c>
      <c r="AD215" s="80">
        <f>Table1215[[#This Row],[Column25]]</f>
        <v>5</v>
      </c>
      <c r="AE215" s="74">
        <f>IFERROR(VLOOKUP(Table1215[[#This Row],[Column2]],Table12[[Column2]:[Column54]],30,FALSE),"0")</f>
        <v>0</v>
      </c>
      <c r="AF215" s="74">
        <f>IFERROR(VLOOKUP(Table1215[[#This Row],[Column2]],Table12[[Column2]:[Column54]],31,FALSE),"0")</f>
        <v>0</v>
      </c>
      <c r="AG215" s="74">
        <f>IFERROR(VLOOKUP(Table1215[[#This Row],[Column2]],Table12[[Column2]:[Column54]],32,FALSE),"0")</f>
        <v>0</v>
      </c>
      <c r="AH215" s="74">
        <f>IFERROR(VLOOKUP(Table1215[[#This Row],[Column2]],Table12[[Column2]:[Column54]],33,FALSE),"0")</f>
        <v>0</v>
      </c>
      <c r="AI215" s="74">
        <f>IFERROR(VLOOKUP(Table1215[[#This Row],[Column2]],Table12[[Column2]:[Column54]],34,FALSE),"0")</f>
        <v>0</v>
      </c>
      <c r="AJ215" s="80">
        <f>AVERAGE(Table1215[[#This Row],[Column31]],Table1215[[#This Row],[Column32]],Table1215[[#This Row],[Column33]])</f>
        <v>0</v>
      </c>
      <c r="AK215" s="74">
        <f>IFERROR(VLOOKUP(Table1215[[#This Row],[Column2]],Table12[[Column2]:[Column54]],36,FALSE),"0")</f>
        <v>4</v>
      </c>
      <c r="AL215" s="74">
        <f>IFERROR(VLOOKUP(Table1215[[#This Row],[Column2]],Table12[[Column2]:[Column54]],37,FALSE),"0")</f>
        <v>4</v>
      </c>
      <c r="AM215" s="74">
        <f>IFERROR(VLOOKUP(Table1215[[#This Row],[Column2]],Table12[[Column2]:[Column54]],38,FALSE),"0")</f>
        <v>0</v>
      </c>
      <c r="AN215" s="74">
        <f>IFERROR(VLOOKUP(Table1215[[#This Row],[Column2]],Table12[[Column2]:[Column54]],39,FALSE),"0")</f>
        <v>4</v>
      </c>
      <c r="AO215" s="74">
        <f>IFERROR(VLOOKUP(Table1215[[#This Row],[Column2]],Table12[[Column2]:[Column54]],40,FALSE),"0")</f>
        <v>0</v>
      </c>
      <c r="AP215" s="80">
        <f>AVERAGE(Table1215[[#This Row],[Column37]],Table1215[[#This Row],[Column38]],Table1215[[#This Row],[Column40]])</f>
        <v>4</v>
      </c>
      <c r="AQ215" s="74">
        <f>IFERROR(VLOOKUP(Table1215[[#This Row],[Column2]],Table12[[Column2]:[Column54]],42,FALSE),"0")</f>
        <v>3</v>
      </c>
      <c r="AR215" s="74">
        <f>IFERROR(VLOOKUP(Table1215[[#This Row],[Column2]],Table12[[Column2]:[Column54]],43,FALSE),"0")</f>
        <v>0</v>
      </c>
      <c r="AS215" s="74">
        <f>IFERROR(VLOOKUP(Table1215[[#This Row],[Column2]],Table12[[Column2]:[Column54]],44,FALSE),"0")</f>
        <v>0</v>
      </c>
      <c r="AT215" s="74">
        <f>IFERROR(VLOOKUP(Table1215[[#This Row],[Column2]],Table12[[Column2]:[Column54]],45,FALSE),"0")</f>
        <v>0</v>
      </c>
      <c r="AU215" s="74">
        <f>IFERROR(VLOOKUP(Table1215[[#This Row],[Column2]],Table12[[Column2]:[Column54]],46,FALSE),"0")</f>
        <v>0</v>
      </c>
      <c r="AV215" s="80">
        <f>Table1215[[#This Row],[Column43]]</f>
        <v>3</v>
      </c>
      <c r="AW215" s="74">
        <f>IFERROR(VLOOKUP(Table1215[[#This Row],[Column2]],Table12[[Column2]:[Column54]],48,FALSE),"0")</f>
        <v>0</v>
      </c>
      <c r="AX215" s="74">
        <f>IFERROR(VLOOKUP(Table1215[[#This Row],[Column2]],Table12[[Column2]:[Column54]],49,FALSE),"0")</f>
        <v>0</v>
      </c>
      <c r="AY215" s="74">
        <f>IFERROR(VLOOKUP(Table1215[[#This Row],[Column2]],Table12[[Column2]:[Column54]],50,FALSE),"0")</f>
        <v>0</v>
      </c>
      <c r="AZ215" s="74">
        <f>IFERROR(VLOOKUP(Table1215[[#This Row],[Column2]],Table12[[Column2]:[Column54]],51,FALSE),"0")</f>
        <v>3</v>
      </c>
      <c r="BA215" s="74">
        <f>IFERROR(VLOOKUP(Table1215[[#This Row],[Column2]],Table12[[Column2]:[Column54]],52,FALSE),"0")</f>
        <v>4</v>
      </c>
      <c r="BB215" s="80">
        <f>AVERAGE(Table1215[[#This Row],[Column52]],Table1215[[#This Row],[Column53]])</f>
        <v>3.5</v>
      </c>
    </row>
    <row r="216" spans="1:54" ht="23.1" customHeight="1" x14ac:dyDescent="0.3">
      <c r="A216" s="99">
        <v>213</v>
      </c>
      <c r="B216" s="76" t="s">
        <v>459</v>
      </c>
      <c r="C216" s="77" t="s">
        <v>460</v>
      </c>
      <c r="D216" s="76" t="s">
        <v>542</v>
      </c>
      <c r="E216" s="76" t="s">
        <v>289</v>
      </c>
      <c r="F216" s="76" t="str">
        <f>REPT(CHAR(160),10)&amp;Working!$E217</f>
        <v>          D</v>
      </c>
      <c r="G216" s="78">
        <f>IFERROR(VLOOKUP(Table1215[[#This Row],[Column2]],Table12[[Column2]:[Column54]],6,FALSE),"0")</f>
        <v>0</v>
      </c>
      <c r="H216" s="78">
        <f>IFERROR(VLOOKUP(Table1215[[#This Row],[Column2]],Table12[[Column2]:[Column54]],7,FALSE),"0")</f>
        <v>0</v>
      </c>
      <c r="I216" s="78">
        <f>IFERROR(VLOOKUP(Table1215[[#This Row],[Column2]],Table12[[Column2]:[Column54]],8,FALSE),"0")</f>
        <v>1</v>
      </c>
      <c r="J216" s="78">
        <f>IFERROR(VLOOKUP(Table1215[[#This Row],[Column2]],Table12[[Column2]:[Column54]],9,FALSE),"0")</f>
        <v>0</v>
      </c>
      <c r="K216" s="78">
        <f>IFERROR(VLOOKUP(Table1215[[#This Row],[Column2]],Table12[[Column2]:[Column54]],10,FALSE),"0")</f>
        <v>0</v>
      </c>
      <c r="L216" s="80">
        <f>Table1215[[#This Row],[Column9]]</f>
        <v>1</v>
      </c>
      <c r="M216" s="78">
        <f>IFERROR(VLOOKUP(Table1215[[#This Row],[Column2]],Table12[[Column2]:[Column54]],12,FALSE),"0")</f>
        <v>0</v>
      </c>
      <c r="N216" s="78">
        <f>IFERROR(VLOOKUP(Table1215[[#This Row],[Column2]],Table12[[Column2]:[Column54]],13,FALSE),"0")</f>
        <v>2</v>
      </c>
      <c r="O216" s="78">
        <f>IFERROR(VLOOKUP(Table1215[[#This Row],[Column2]],Table12[[Column2]:[Column54]],14,FALSE),"0")</f>
        <v>2</v>
      </c>
      <c r="P216" s="78">
        <f>IFERROR(VLOOKUP(Table1215[[#This Row],[Column2]],Table12[[Column2]:[Column54]],10,FALSE),"0")</f>
        <v>0</v>
      </c>
      <c r="Q216" s="78">
        <f>IFERROR(VLOOKUP(Table1215[[#This Row],[Column2]],Table12[[Column2]:[Column54]],16,FALSE),"0")</f>
        <v>2</v>
      </c>
      <c r="R216" s="80">
        <f>AVERAGE(Table1215[[#This Row],[Column14]],Table1215[[#This Row],[Column15]],Table1215[[#This Row],[Column17]])</f>
        <v>2</v>
      </c>
      <c r="S216" s="78">
        <f>IFERROR(VLOOKUP(Table1215[[#This Row],[Column2]],Table12[[Column2]:[Column54]],18,FALSE),"0")</f>
        <v>0</v>
      </c>
      <c r="T216" s="78">
        <f>IFERROR(VLOOKUP(Table1215[[#This Row],[Column2]],Table12[[Column2]:[Column54]],19,FALSE),"0")</f>
        <v>0</v>
      </c>
      <c r="U216" s="78">
        <f>IFERROR(VLOOKUP(Table1215[[#This Row],[Column2]],Table12[[Column2]:[Column54]],20,FALSE),"0")</f>
        <v>0</v>
      </c>
      <c r="V216" s="78">
        <f>IFERROR(VLOOKUP(Table1215[[#This Row],[Column2]],Table12[[Column2]:[Column54]],21,FALSE),"0")</f>
        <v>0</v>
      </c>
      <c r="W216" s="78">
        <f>IFERROR(VLOOKUP(Table1215[[#This Row],[Column2]],Table12[[Column2]:[Column54]],22,FALSE),"0")</f>
        <v>0</v>
      </c>
      <c r="X216" s="80">
        <f>Table1215[[#This Row],[Column19]]</f>
        <v>0</v>
      </c>
      <c r="Y216" s="78">
        <f>IFERROR(VLOOKUP(Table1215[[#This Row],[Column2]],Table12[[Column2]:[Column54]],24,FALSE),"0")</f>
        <v>3</v>
      </c>
      <c r="Z216" s="78">
        <f>IFERROR(VLOOKUP(Table1215[[#This Row],[Column2]],Table12[[Column2]:[Column54]],25,FALSE),"0")</f>
        <v>0</v>
      </c>
      <c r="AA216" s="78">
        <f>IFERROR(VLOOKUP(Table1215[[#This Row],[Column2]],Table12[[Column2]:[Column54]],26,FALSE),"0")</f>
        <v>0</v>
      </c>
      <c r="AB216" s="78">
        <f>IFERROR(VLOOKUP(Table1215[[#This Row],[Column2]],Table12[[Column2]:[Column54]],27,FALSE),"0")</f>
        <v>0</v>
      </c>
      <c r="AC216" s="78">
        <f>IFERROR(VLOOKUP(Table1215[[#This Row],[Column2]],Table12[[Column2]:[Column54]],28,FALSE),"0")</f>
        <v>0</v>
      </c>
      <c r="AD216" s="80">
        <f>Table1215[[#This Row],[Column25]]</f>
        <v>3</v>
      </c>
      <c r="AE216" s="78">
        <f>IFERROR(VLOOKUP(Table1215[[#This Row],[Column2]],Table12[[Column2]:[Column54]],30,FALSE),"0")</f>
        <v>0</v>
      </c>
      <c r="AF216" s="78">
        <f>IFERROR(VLOOKUP(Table1215[[#This Row],[Column2]],Table12[[Column2]:[Column54]],31,FALSE),"0")</f>
        <v>0</v>
      </c>
      <c r="AG216" s="78">
        <f>IFERROR(VLOOKUP(Table1215[[#This Row],[Column2]],Table12[[Column2]:[Column54]],32,FALSE),"0")</f>
        <v>0</v>
      </c>
      <c r="AH216" s="78">
        <f>IFERROR(VLOOKUP(Table1215[[#This Row],[Column2]],Table12[[Column2]:[Column54]],33,FALSE),"0")</f>
        <v>0</v>
      </c>
      <c r="AI216" s="78">
        <f>IFERROR(VLOOKUP(Table1215[[#This Row],[Column2]],Table12[[Column2]:[Column54]],34,FALSE),"0")</f>
        <v>0</v>
      </c>
      <c r="AJ216" s="80">
        <f>AVERAGE(Table1215[[#This Row],[Column31]],Table1215[[#This Row],[Column32]],Table1215[[#This Row],[Column33]])</f>
        <v>0</v>
      </c>
      <c r="AK216" s="78">
        <f>IFERROR(VLOOKUP(Table1215[[#This Row],[Column2]],Table12[[Column2]:[Column54]],36,FALSE),"0")</f>
        <v>1</v>
      </c>
      <c r="AL216" s="78">
        <f>IFERROR(VLOOKUP(Table1215[[#This Row],[Column2]],Table12[[Column2]:[Column54]],37,FALSE),"0")</f>
        <v>1</v>
      </c>
      <c r="AM216" s="78">
        <f>IFERROR(VLOOKUP(Table1215[[#This Row],[Column2]],Table12[[Column2]:[Column54]],38,FALSE),"0")</f>
        <v>0</v>
      </c>
      <c r="AN216" s="78">
        <f>IFERROR(VLOOKUP(Table1215[[#This Row],[Column2]],Table12[[Column2]:[Column54]],39,FALSE),"0")</f>
        <v>1</v>
      </c>
      <c r="AO216" s="78">
        <f>IFERROR(VLOOKUP(Table1215[[#This Row],[Column2]],Table12[[Column2]:[Column54]],40,FALSE),"0")</f>
        <v>0</v>
      </c>
      <c r="AP216" s="80">
        <f>AVERAGE(Table1215[[#This Row],[Column37]],Table1215[[#This Row],[Column38]],Table1215[[#This Row],[Column40]])</f>
        <v>1</v>
      </c>
      <c r="AQ216" s="78">
        <f>IFERROR(VLOOKUP(Table1215[[#This Row],[Column2]],Table12[[Column2]:[Column54]],42,FALSE),"0")</f>
        <v>2</v>
      </c>
      <c r="AR216" s="78">
        <f>IFERROR(VLOOKUP(Table1215[[#This Row],[Column2]],Table12[[Column2]:[Column54]],43,FALSE),"0")</f>
        <v>0</v>
      </c>
      <c r="AS216" s="78">
        <f>IFERROR(VLOOKUP(Table1215[[#This Row],[Column2]],Table12[[Column2]:[Column54]],44,FALSE),"0")</f>
        <v>0</v>
      </c>
      <c r="AT216" s="78">
        <f>IFERROR(VLOOKUP(Table1215[[#This Row],[Column2]],Table12[[Column2]:[Column54]],45,FALSE),"0")</f>
        <v>0</v>
      </c>
      <c r="AU216" s="78">
        <f>IFERROR(VLOOKUP(Table1215[[#This Row],[Column2]],Table12[[Column2]:[Column54]],46,FALSE),"0")</f>
        <v>0</v>
      </c>
      <c r="AV216" s="80">
        <f>Table1215[[#This Row],[Column43]]</f>
        <v>2</v>
      </c>
      <c r="AW216" s="78">
        <f>IFERROR(VLOOKUP(Table1215[[#This Row],[Column2]],Table12[[Column2]:[Column54]],48,FALSE),"0")</f>
        <v>0</v>
      </c>
      <c r="AX216" s="78">
        <f>IFERROR(VLOOKUP(Table1215[[#This Row],[Column2]],Table12[[Column2]:[Column54]],49,FALSE),"0")</f>
        <v>0</v>
      </c>
      <c r="AY216" s="78">
        <f>IFERROR(VLOOKUP(Table1215[[#This Row],[Column2]],Table12[[Column2]:[Column54]],50,FALSE),"0")</f>
        <v>0</v>
      </c>
      <c r="AZ216" s="78">
        <f>IFERROR(VLOOKUP(Table1215[[#This Row],[Column2]],Table12[[Column2]:[Column54]],51,FALSE),"0")</f>
        <v>2</v>
      </c>
      <c r="BA216" s="78">
        <f>IFERROR(VLOOKUP(Table1215[[#This Row],[Column2]],Table12[[Column2]:[Column54]],52,FALSE),"0")</f>
        <v>1</v>
      </c>
      <c r="BB216" s="80">
        <f>AVERAGE(Table1215[[#This Row],[Column52]],Table1215[[#This Row],[Column53]])</f>
        <v>1.5</v>
      </c>
    </row>
    <row r="217" spans="1:54" ht="23.1" customHeight="1" x14ac:dyDescent="0.3">
      <c r="A217" s="100">
        <v>214</v>
      </c>
      <c r="B217" s="83" t="s">
        <v>461</v>
      </c>
      <c r="C217" s="84" t="s">
        <v>462</v>
      </c>
      <c r="D217" s="83" t="s">
        <v>450</v>
      </c>
      <c r="E217" s="83" t="s">
        <v>289</v>
      </c>
      <c r="F217" s="83" t="str">
        <f>REPT(CHAR(160),10)&amp;Working!$E218</f>
        <v>          D</v>
      </c>
      <c r="G217" s="74">
        <f>IFERROR(VLOOKUP(Table1215[[#This Row],[Column2]],Table12[[Column2]:[Column54]],6,FALSE),"0")</f>
        <v>0</v>
      </c>
      <c r="H217" s="74">
        <f>IFERROR(VLOOKUP(Table1215[[#This Row],[Column2]],Table12[[Column2]:[Column54]],7,FALSE),"0")</f>
        <v>0</v>
      </c>
      <c r="I217" s="74">
        <f>IFERROR(VLOOKUP(Table1215[[#This Row],[Column2]],Table12[[Column2]:[Column54]],8,FALSE),"0")</f>
        <v>3</v>
      </c>
      <c r="J217" s="74">
        <f>IFERROR(VLOOKUP(Table1215[[#This Row],[Column2]],Table12[[Column2]:[Column54]],9,FALSE),"0")</f>
        <v>0</v>
      </c>
      <c r="K217" s="74">
        <f>IFERROR(VLOOKUP(Table1215[[#This Row],[Column2]],Table12[[Column2]:[Column54]],10,FALSE),"0")</f>
        <v>0</v>
      </c>
      <c r="L217" s="80">
        <f>Table1215[[#This Row],[Column9]]</f>
        <v>3</v>
      </c>
      <c r="M217" s="74">
        <f>IFERROR(VLOOKUP(Table1215[[#This Row],[Column2]],Table12[[Column2]:[Column54]],12,FALSE),"0")</f>
        <v>0</v>
      </c>
      <c r="N217" s="74">
        <f>IFERROR(VLOOKUP(Table1215[[#This Row],[Column2]],Table12[[Column2]:[Column54]],13,FALSE),"0")</f>
        <v>2</v>
      </c>
      <c r="O217" s="74">
        <f>IFERROR(VLOOKUP(Table1215[[#This Row],[Column2]],Table12[[Column2]:[Column54]],14,FALSE),"0")</f>
        <v>4</v>
      </c>
      <c r="P217" s="74">
        <f>IFERROR(VLOOKUP(Table1215[[#This Row],[Column2]],Table12[[Column2]:[Column54]],10,FALSE),"0")</f>
        <v>0</v>
      </c>
      <c r="Q217" s="74">
        <f>IFERROR(VLOOKUP(Table1215[[#This Row],[Column2]],Table12[[Column2]:[Column54]],16,FALSE),"0")</f>
        <v>4</v>
      </c>
      <c r="R217" s="80">
        <f>AVERAGE(Table1215[[#This Row],[Column14]],Table1215[[#This Row],[Column15]],Table1215[[#This Row],[Column17]])</f>
        <v>3.3333333333333335</v>
      </c>
      <c r="S217" s="74">
        <f>IFERROR(VLOOKUP(Table1215[[#This Row],[Column2]],Table12[[Column2]:[Column54]],18,FALSE),"0")</f>
        <v>0</v>
      </c>
      <c r="T217" s="74">
        <f>IFERROR(VLOOKUP(Table1215[[#This Row],[Column2]],Table12[[Column2]:[Column54]],19,FALSE),"0")</f>
        <v>0</v>
      </c>
      <c r="U217" s="74">
        <f>IFERROR(VLOOKUP(Table1215[[#This Row],[Column2]],Table12[[Column2]:[Column54]],20,FALSE),"0")</f>
        <v>0</v>
      </c>
      <c r="V217" s="74">
        <f>IFERROR(VLOOKUP(Table1215[[#This Row],[Column2]],Table12[[Column2]:[Column54]],21,FALSE),"0")</f>
        <v>0</v>
      </c>
      <c r="W217" s="74">
        <f>IFERROR(VLOOKUP(Table1215[[#This Row],[Column2]],Table12[[Column2]:[Column54]],22,FALSE),"0")</f>
        <v>0</v>
      </c>
      <c r="X217" s="80">
        <f>Table1215[[#This Row],[Column19]]</f>
        <v>0</v>
      </c>
      <c r="Y217" s="74">
        <f>IFERROR(VLOOKUP(Table1215[[#This Row],[Column2]],Table12[[Column2]:[Column54]],24,FALSE),"0")</f>
        <v>3</v>
      </c>
      <c r="Z217" s="74">
        <f>IFERROR(VLOOKUP(Table1215[[#This Row],[Column2]],Table12[[Column2]:[Column54]],25,FALSE),"0")</f>
        <v>0</v>
      </c>
      <c r="AA217" s="74">
        <f>IFERROR(VLOOKUP(Table1215[[#This Row],[Column2]],Table12[[Column2]:[Column54]],26,FALSE),"0")</f>
        <v>0</v>
      </c>
      <c r="AB217" s="74">
        <f>IFERROR(VLOOKUP(Table1215[[#This Row],[Column2]],Table12[[Column2]:[Column54]],27,FALSE),"0")</f>
        <v>0</v>
      </c>
      <c r="AC217" s="74">
        <f>IFERROR(VLOOKUP(Table1215[[#This Row],[Column2]],Table12[[Column2]:[Column54]],28,FALSE),"0")</f>
        <v>0</v>
      </c>
      <c r="AD217" s="80">
        <f>Table1215[[#This Row],[Column25]]</f>
        <v>3</v>
      </c>
      <c r="AE217" s="74">
        <f>IFERROR(VLOOKUP(Table1215[[#This Row],[Column2]],Table12[[Column2]:[Column54]],30,FALSE),"0")</f>
        <v>0</v>
      </c>
      <c r="AF217" s="74">
        <f>IFERROR(VLOOKUP(Table1215[[#This Row],[Column2]],Table12[[Column2]:[Column54]],31,FALSE),"0")</f>
        <v>0</v>
      </c>
      <c r="AG217" s="74">
        <f>IFERROR(VLOOKUP(Table1215[[#This Row],[Column2]],Table12[[Column2]:[Column54]],32,FALSE),"0")</f>
        <v>0</v>
      </c>
      <c r="AH217" s="74">
        <f>IFERROR(VLOOKUP(Table1215[[#This Row],[Column2]],Table12[[Column2]:[Column54]],33,FALSE),"0")</f>
        <v>0</v>
      </c>
      <c r="AI217" s="74">
        <f>IFERROR(VLOOKUP(Table1215[[#This Row],[Column2]],Table12[[Column2]:[Column54]],34,FALSE),"0")</f>
        <v>0</v>
      </c>
      <c r="AJ217" s="80">
        <f>AVERAGE(Table1215[[#This Row],[Column31]],Table1215[[#This Row],[Column32]],Table1215[[#This Row],[Column33]])</f>
        <v>0</v>
      </c>
      <c r="AK217" s="74">
        <f>IFERROR(VLOOKUP(Table1215[[#This Row],[Column2]],Table12[[Column2]:[Column54]],36,FALSE),"0")</f>
        <v>3</v>
      </c>
      <c r="AL217" s="74">
        <f>IFERROR(VLOOKUP(Table1215[[#This Row],[Column2]],Table12[[Column2]:[Column54]],37,FALSE),"0")</f>
        <v>3</v>
      </c>
      <c r="AM217" s="74">
        <f>IFERROR(VLOOKUP(Table1215[[#This Row],[Column2]],Table12[[Column2]:[Column54]],38,FALSE),"0")</f>
        <v>0</v>
      </c>
      <c r="AN217" s="74">
        <f>IFERROR(VLOOKUP(Table1215[[#This Row],[Column2]],Table12[[Column2]:[Column54]],39,FALSE),"0")</f>
        <v>4</v>
      </c>
      <c r="AO217" s="74">
        <f>IFERROR(VLOOKUP(Table1215[[#This Row],[Column2]],Table12[[Column2]:[Column54]],40,FALSE),"0")</f>
        <v>0</v>
      </c>
      <c r="AP217" s="80">
        <f>AVERAGE(Table1215[[#This Row],[Column37]],Table1215[[#This Row],[Column38]],Table1215[[#This Row],[Column40]])</f>
        <v>3.3333333333333335</v>
      </c>
      <c r="AQ217" s="74">
        <f>IFERROR(VLOOKUP(Table1215[[#This Row],[Column2]],Table12[[Column2]:[Column54]],42,FALSE),"0")</f>
        <v>3</v>
      </c>
      <c r="AR217" s="74">
        <f>IFERROR(VLOOKUP(Table1215[[#This Row],[Column2]],Table12[[Column2]:[Column54]],43,FALSE),"0")</f>
        <v>0</v>
      </c>
      <c r="AS217" s="74">
        <f>IFERROR(VLOOKUP(Table1215[[#This Row],[Column2]],Table12[[Column2]:[Column54]],44,FALSE),"0")</f>
        <v>0</v>
      </c>
      <c r="AT217" s="74">
        <f>IFERROR(VLOOKUP(Table1215[[#This Row],[Column2]],Table12[[Column2]:[Column54]],45,FALSE),"0")</f>
        <v>0</v>
      </c>
      <c r="AU217" s="74">
        <f>IFERROR(VLOOKUP(Table1215[[#This Row],[Column2]],Table12[[Column2]:[Column54]],46,FALSE),"0")</f>
        <v>0</v>
      </c>
      <c r="AV217" s="80">
        <f>Table1215[[#This Row],[Column43]]</f>
        <v>3</v>
      </c>
      <c r="AW217" s="74">
        <f>IFERROR(VLOOKUP(Table1215[[#This Row],[Column2]],Table12[[Column2]:[Column54]],48,FALSE),"0")</f>
        <v>0</v>
      </c>
      <c r="AX217" s="74">
        <f>IFERROR(VLOOKUP(Table1215[[#This Row],[Column2]],Table12[[Column2]:[Column54]],49,FALSE),"0")</f>
        <v>0</v>
      </c>
      <c r="AY217" s="74">
        <f>IFERROR(VLOOKUP(Table1215[[#This Row],[Column2]],Table12[[Column2]:[Column54]],50,FALSE),"0")</f>
        <v>0</v>
      </c>
      <c r="AZ217" s="74">
        <f>IFERROR(VLOOKUP(Table1215[[#This Row],[Column2]],Table12[[Column2]:[Column54]],51,FALSE),"0")</f>
        <v>3</v>
      </c>
      <c r="BA217" s="74">
        <f>IFERROR(VLOOKUP(Table1215[[#This Row],[Column2]],Table12[[Column2]:[Column54]],52,FALSE),"0")</f>
        <v>3</v>
      </c>
      <c r="BB217" s="80">
        <f>AVERAGE(Table1215[[#This Row],[Column52]],Table1215[[#This Row],[Column53]])</f>
        <v>3</v>
      </c>
    </row>
    <row r="218" spans="1:54" ht="23.1" customHeight="1" x14ac:dyDescent="0.3">
      <c r="A218" s="99">
        <v>215</v>
      </c>
      <c r="B218" s="76" t="s">
        <v>463</v>
      </c>
      <c r="C218" s="77" t="s">
        <v>464</v>
      </c>
      <c r="D218" s="76" t="s">
        <v>450</v>
      </c>
      <c r="E218" s="76" t="s">
        <v>289</v>
      </c>
      <c r="F218" s="76" t="str">
        <f>REPT(CHAR(160),10)&amp;Working!$E219</f>
        <v>          D</v>
      </c>
      <c r="G218" s="78">
        <f>IFERROR(VLOOKUP(Table1215[[#This Row],[Column2]],Table12[[Column2]:[Column54]],6,FALSE),"0")</f>
        <v>0</v>
      </c>
      <c r="H218" s="78">
        <f>IFERROR(VLOOKUP(Table1215[[#This Row],[Column2]],Table12[[Column2]:[Column54]],7,FALSE),"0")</f>
        <v>0</v>
      </c>
      <c r="I218" s="78">
        <f>IFERROR(VLOOKUP(Table1215[[#This Row],[Column2]],Table12[[Column2]:[Column54]],8,FALSE),"0")</f>
        <v>2</v>
      </c>
      <c r="J218" s="78">
        <f>IFERROR(VLOOKUP(Table1215[[#This Row],[Column2]],Table12[[Column2]:[Column54]],9,FALSE),"0")</f>
        <v>0</v>
      </c>
      <c r="K218" s="78">
        <f>IFERROR(VLOOKUP(Table1215[[#This Row],[Column2]],Table12[[Column2]:[Column54]],10,FALSE),"0")</f>
        <v>0</v>
      </c>
      <c r="L218" s="80">
        <f>Table1215[[#This Row],[Column9]]</f>
        <v>2</v>
      </c>
      <c r="M218" s="78">
        <f>IFERROR(VLOOKUP(Table1215[[#This Row],[Column2]],Table12[[Column2]:[Column54]],12,FALSE),"0")</f>
        <v>0</v>
      </c>
      <c r="N218" s="78">
        <f>IFERROR(VLOOKUP(Table1215[[#This Row],[Column2]],Table12[[Column2]:[Column54]],13,FALSE),"0")</f>
        <v>2</v>
      </c>
      <c r="O218" s="78">
        <f>IFERROR(VLOOKUP(Table1215[[#This Row],[Column2]],Table12[[Column2]:[Column54]],14,FALSE),"0")</f>
        <v>3</v>
      </c>
      <c r="P218" s="78">
        <f>IFERROR(VLOOKUP(Table1215[[#This Row],[Column2]],Table12[[Column2]:[Column54]],10,FALSE),"0")</f>
        <v>0</v>
      </c>
      <c r="Q218" s="78">
        <f>IFERROR(VLOOKUP(Table1215[[#This Row],[Column2]],Table12[[Column2]:[Column54]],16,FALSE),"0")</f>
        <v>3</v>
      </c>
      <c r="R218" s="80">
        <f>AVERAGE(Table1215[[#This Row],[Column14]],Table1215[[#This Row],[Column15]],Table1215[[#This Row],[Column17]])</f>
        <v>2.6666666666666665</v>
      </c>
      <c r="S218" s="78">
        <f>IFERROR(VLOOKUP(Table1215[[#This Row],[Column2]],Table12[[Column2]:[Column54]],18,FALSE),"0")</f>
        <v>0</v>
      </c>
      <c r="T218" s="78">
        <f>IFERROR(VLOOKUP(Table1215[[#This Row],[Column2]],Table12[[Column2]:[Column54]],19,FALSE),"0")</f>
        <v>0</v>
      </c>
      <c r="U218" s="78">
        <f>IFERROR(VLOOKUP(Table1215[[#This Row],[Column2]],Table12[[Column2]:[Column54]],20,FALSE),"0")</f>
        <v>0</v>
      </c>
      <c r="V218" s="78">
        <f>IFERROR(VLOOKUP(Table1215[[#This Row],[Column2]],Table12[[Column2]:[Column54]],21,FALSE),"0")</f>
        <v>0</v>
      </c>
      <c r="W218" s="78">
        <f>IFERROR(VLOOKUP(Table1215[[#This Row],[Column2]],Table12[[Column2]:[Column54]],22,FALSE),"0")</f>
        <v>0</v>
      </c>
      <c r="X218" s="80">
        <f>Table1215[[#This Row],[Column19]]</f>
        <v>0</v>
      </c>
      <c r="Y218" s="78">
        <f>IFERROR(VLOOKUP(Table1215[[#This Row],[Column2]],Table12[[Column2]:[Column54]],24,FALSE),"0")</f>
        <v>2</v>
      </c>
      <c r="Z218" s="78">
        <f>IFERROR(VLOOKUP(Table1215[[#This Row],[Column2]],Table12[[Column2]:[Column54]],25,FALSE),"0")</f>
        <v>0</v>
      </c>
      <c r="AA218" s="78">
        <f>IFERROR(VLOOKUP(Table1215[[#This Row],[Column2]],Table12[[Column2]:[Column54]],26,FALSE),"0")</f>
        <v>0</v>
      </c>
      <c r="AB218" s="78">
        <f>IFERROR(VLOOKUP(Table1215[[#This Row],[Column2]],Table12[[Column2]:[Column54]],27,FALSE),"0")</f>
        <v>0</v>
      </c>
      <c r="AC218" s="78">
        <f>IFERROR(VLOOKUP(Table1215[[#This Row],[Column2]],Table12[[Column2]:[Column54]],28,FALSE),"0")</f>
        <v>0</v>
      </c>
      <c r="AD218" s="80">
        <f>Table1215[[#This Row],[Column25]]</f>
        <v>2</v>
      </c>
      <c r="AE218" s="78">
        <f>IFERROR(VLOOKUP(Table1215[[#This Row],[Column2]],Table12[[Column2]:[Column54]],30,FALSE),"0")</f>
        <v>0</v>
      </c>
      <c r="AF218" s="78">
        <f>IFERROR(VLOOKUP(Table1215[[#This Row],[Column2]],Table12[[Column2]:[Column54]],31,FALSE),"0")</f>
        <v>0</v>
      </c>
      <c r="AG218" s="78">
        <f>IFERROR(VLOOKUP(Table1215[[#This Row],[Column2]],Table12[[Column2]:[Column54]],32,FALSE),"0")</f>
        <v>0</v>
      </c>
      <c r="AH218" s="78">
        <f>IFERROR(VLOOKUP(Table1215[[#This Row],[Column2]],Table12[[Column2]:[Column54]],33,FALSE),"0")</f>
        <v>0</v>
      </c>
      <c r="AI218" s="78">
        <f>IFERROR(VLOOKUP(Table1215[[#This Row],[Column2]],Table12[[Column2]:[Column54]],34,FALSE),"0")</f>
        <v>0</v>
      </c>
      <c r="AJ218" s="80">
        <f>AVERAGE(Table1215[[#This Row],[Column31]],Table1215[[#This Row],[Column32]],Table1215[[#This Row],[Column33]])</f>
        <v>0</v>
      </c>
      <c r="AK218" s="78">
        <f>IFERROR(VLOOKUP(Table1215[[#This Row],[Column2]],Table12[[Column2]:[Column54]],36,FALSE),"0")</f>
        <v>2</v>
      </c>
      <c r="AL218" s="78">
        <f>IFERROR(VLOOKUP(Table1215[[#This Row],[Column2]],Table12[[Column2]:[Column54]],37,FALSE),"0")</f>
        <v>2</v>
      </c>
      <c r="AM218" s="78">
        <f>IFERROR(VLOOKUP(Table1215[[#This Row],[Column2]],Table12[[Column2]:[Column54]],38,FALSE),"0")</f>
        <v>0</v>
      </c>
      <c r="AN218" s="78">
        <f>IFERROR(VLOOKUP(Table1215[[#This Row],[Column2]],Table12[[Column2]:[Column54]],39,FALSE),"0")</f>
        <v>3</v>
      </c>
      <c r="AO218" s="78">
        <f>IFERROR(VLOOKUP(Table1215[[#This Row],[Column2]],Table12[[Column2]:[Column54]],40,FALSE),"0")</f>
        <v>0</v>
      </c>
      <c r="AP218" s="80">
        <f>AVERAGE(Table1215[[#This Row],[Column37]],Table1215[[#This Row],[Column38]],Table1215[[#This Row],[Column40]])</f>
        <v>2.3333333333333335</v>
      </c>
      <c r="AQ218" s="78">
        <f>IFERROR(VLOOKUP(Table1215[[#This Row],[Column2]],Table12[[Column2]:[Column54]],42,FALSE),"0")</f>
        <v>2</v>
      </c>
      <c r="AR218" s="78">
        <f>IFERROR(VLOOKUP(Table1215[[#This Row],[Column2]],Table12[[Column2]:[Column54]],43,FALSE),"0")</f>
        <v>0</v>
      </c>
      <c r="AS218" s="78">
        <f>IFERROR(VLOOKUP(Table1215[[#This Row],[Column2]],Table12[[Column2]:[Column54]],44,FALSE),"0")</f>
        <v>0</v>
      </c>
      <c r="AT218" s="78">
        <f>IFERROR(VLOOKUP(Table1215[[#This Row],[Column2]],Table12[[Column2]:[Column54]],45,FALSE),"0")</f>
        <v>0</v>
      </c>
      <c r="AU218" s="78">
        <f>IFERROR(VLOOKUP(Table1215[[#This Row],[Column2]],Table12[[Column2]:[Column54]],46,FALSE),"0")</f>
        <v>0</v>
      </c>
      <c r="AV218" s="80">
        <f>Table1215[[#This Row],[Column43]]</f>
        <v>2</v>
      </c>
      <c r="AW218" s="78">
        <f>IFERROR(VLOOKUP(Table1215[[#This Row],[Column2]],Table12[[Column2]:[Column54]],48,FALSE),"0")</f>
        <v>0</v>
      </c>
      <c r="AX218" s="78">
        <f>IFERROR(VLOOKUP(Table1215[[#This Row],[Column2]],Table12[[Column2]:[Column54]],49,FALSE),"0")</f>
        <v>0</v>
      </c>
      <c r="AY218" s="78">
        <f>IFERROR(VLOOKUP(Table1215[[#This Row],[Column2]],Table12[[Column2]:[Column54]],50,FALSE),"0")</f>
        <v>0</v>
      </c>
      <c r="AZ218" s="78">
        <f>IFERROR(VLOOKUP(Table1215[[#This Row],[Column2]],Table12[[Column2]:[Column54]],51,FALSE),"0")</f>
        <v>3</v>
      </c>
      <c r="BA218" s="78">
        <f>IFERROR(VLOOKUP(Table1215[[#This Row],[Column2]],Table12[[Column2]:[Column54]],52,FALSE),"0")</f>
        <v>3</v>
      </c>
      <c r="BB218" s="80">
        <f>AVERAGE(Table1215[[#This Row],[Column52]],Table1215[[#This Row],[Column53]])</f>
        <v>3</v>
      </c>
    </row>
    <row r="219" spans="1:54" ht="23.1" customHeight="1" x14ac:dyDescent="0.3">
      <c r="A219" s="100">
        <v>216</v>
      </c>
      <c r="B219" s="83" t="s">
        <v>465</v>
      </c>
      <c r="C219" s="84" t="s">
        <v>466</v>
      </c>
      <c r="D219" s="83" t="s">
        <v>450</v>
      </c>
      <c r="E219" s="83" t="s">
        <v>289</v>
      </c>
      <c r="F219" s="83" t="str">
        <f>REPT(CHAR(160),10)&amp;Working!$E220</f>
        <v>          D</v>
      </c>
      <c r="G219" s="74">
        <f>IFERROR(VLOOKUP(Table1215[[#This Row],[Column2]],Table12[[Column2]:[Column54]],6,FALSE),"0")</f>
        <v>0</v>
      </c>
      <c r="H219" s="74">
        <f>IFERROR(VLOOKUP(Table1215[[#This Row],[Column2]],Table12[[Column2]:[Column54]],7,FALSE),"0")</f>
        <v>0</v>
      </c>
      <c r="I219" s="74">
        <f>IFERROR(VLOOKUP(Table1215[[#This Row],[Column2]],Table12[[Column2]:[Column54]],8,FALSE),"0")</f>
        <v>2</v>
      </c>
      <c r="J219" s="74">
        <f>IFERROR(VLOOKUP(Table1215[[#This Row],[Column2]],Table12[[Column2]:[Column54]],9,FALSE),"0")</f>
        <v>0</v>
      </c>
      <c r="K219" s="74">
        <f>IFERROR(VLOOKUP(Table1215[[#This Row],[Column2]],Table12[[Column2]:[Column54]],10,FALSE),"0")</f>
        <v>0</v>
      </c>
      <c r="L219" s="80">
        <f>Table1215[[#This Row],[Column9]]</f>
        <v>2</v>
      </c>
      <c r="M219" s="74">
        <f>IFERROR(VLOOKUP(Table1215[[#This Row],[Column2]],Table12[[Column2]:[Column54]],12,FALSE),"0")</f>
        <v>0</v>
      </c>
      <c r="N219" s="74">
        <f>IFERROR(VLOOKUP(Table1215[[#This Row],[Column2]],Table12[[Column2]:[Column54]],13,FALSE),"0")</f>
        <v>2</v>
      </c>
      <c r="O219" s="74">
        <f>IFERROR(VLOOKUP(Table1215[[#This Row],[Column2]],Table12[[Column2]:[Column54]],14,FALSE),"0")</f>
        <v>3</v>
      </c>
      <c r="P219" s="74">
        <f>IFERROR(VLOOKUP(Table1215[[#This Row],[Column2]],Table12[[Column2]:[Column54]],10,FALSE),"0")</f>
        <v>0</v>
      </c>
      <c r="Q219" s="74">
        <f>IFERROR(VLOOKUP(Table1215[[#This Row],[Column2]],Table12[[Column2]:[Column54]],16,FALSE),"0")</f>
        <v>3</v>
      </c>
      <c r="R219" s="80">
        <f>AVERAGE(Table1215[[#This Row],[Column14]],Table1215[[#This Row],[Column15]],Table1215[[#This Row],[Column17]])</f>
        <v>2.6666666666666665</v>
      </c>
      <c r="S219" s="74">
        <f>IFERROR(VLOOKUP(Table1215[[#This Row],[Column2]],Table12[[Column2]:[Column54]],18,FALSE),"0")</f>
        <v>0</v>
      </c>
      <c r="T219" s="74">
        <f>IFERROR(VLOOKUP(Table1215[[#This Row],[Column2]],Table12[[Column2]:[Column54]],19,FALSE),"0")</f>
        <v>0</v>
      </c>
      <c r="U219" s="74">
        <f>IFERROR(VLOOKUP(Table1215[[#This Row],[Column2]],Table12[[Column2]:[Column54]],20,FALSE),"0")</f>
        <v>0</v>
      </c>
      <c r="V219" s="74">
        <f>IFERROR(VLOOKUP(Table1215[[#This Row],[Column2]],Table12[[Column2]:[Column54]],21,FALSE),"0")</f>
        <v>0</v>
      </c>
      <c r="W219" s="74">
        <f>IFERROR(VLOOKUP(Table1215[[#This Row],[Column2]],Table12[[Column2]:[Column54]],22,FALSE),"0")</f>
        <v>0</v>
      </c>
      <c r="X219" s="80">
        <f>Table1215[[#This Row],[Column19]]</f>
        <v>0</v>
      </c>
      <c r="Y219" s="74">
        <f>IFERROR(VLOOKUP(Table1215[[#This Row],[Column2]],Table12[[Column2]:[Column54]],24,FALSE),"0")</f>
        <v>3</v>
      </c>
      <c r="Z219" s="74">
        <f>IFERROR(VLOOKUP(Table1215[[#This Row],[Column2]],Table12[[Column2]:[Column54]],25,FALSE),"0")</f>
        <v>0</v>
      </c>
      <c r="AA219" s="74">
        <f>IFERROR(VLOOKUP(Table1215[[#This Row],[Column2]],Table12[[Column2]:[Column54]],26,FALSE),"0")</f>
        <v>0</v>
      </c>
      <c r="AB219" s="74">
        <f>IFERROR(VLOOKUP(Table1215[[#This Row],[Column2]],Table12[[Column2]:[Column54]],27,FALSE),"0")</f>
        <v>0</v>
      </c>
      <c r="AC219" s="74">
        <f>IFERROR(VLOOKUP(Table1215[[#This Row],[Column2]],Table12[[Column2]:[Column54]],28,FALSE),"0")</f>
        <v>0</v>
      </c>
      <c r="AD219" s="80">
        <f>Table1215[[#This Row],[Column25]]</f>
        <v>3</v>
      </c>
      <c r="AE219" s="74">
        <f>IFERROR(VLOOKUP(Table1215[[#This Row],[Column2]],Table12[[Column2]:[Column54]],30,FALSE),"0")</f>
        <v>0</v>
      </c>
      <c r="AF219" s="74">
        <f>IFERROR(VLOOKUP(Table1215[[#This Row],[Column2]],Table12[[Column2]:[Column54]],31,FALSE),"0")</f>
        <v>0</v>
      </c>
      <c r="AG219" s="74">
        <f>IFERROR(VLOOKUP(Table1215[[#This Row],[Column2]],Table12[[Column2]:[Column54]],32,FALSE),"0")</f>
        <v>0</v>
      </c>
      <c r="AH219" s="74">
        <f>IFERROR(VLOOKUP(Table1215[[#This Row],[Column2]],Table12[[Column2]:[Column54]],33,FALSE),"0")</f>
        <v>0</v>
      </c>
      <c r="AI219" s="74">
        <f>IFERROR(VLOOKUP(Table1215[[#This Row],[Column2]],Table12[[Column2]:[Column54]],34,FALSE),"0")</f>
        <v>0</v>
      </c>
      <c r="AJ219" s="80">
        <f>AVERAGE(Table1215[[#This Row],[Column31]],Table1215[[#This Row],[Column32]],Table1215[[#This Row],[Column33]])</f>
        <v>0</v>
      </c>
      <c r="AK219" s="74">
        <f>IFERROR(VLOOKUP(Table1215[[#This Row],[Column2]],Table12[[Column2]:[Column54]],36,FALSE),"0")</f>
        <v>2</v>
      </c>
      <c r="AL219" s="74">
        <f>IFERROR(VLOOKUP(Table1215[[#This Row],[Column2]],Table12[[Column2]:[Column54]],37,FALSE),"0")</f>
        <v>3</v>
      </c>
      <c r="AM219" s="74">
        <f>IFERROR(VLOOKUP(Table1215[[#This Row],[Column2]],Table12[[Column2]:[Column54]],38,FALSE),"0")</f>
        <v>0</v>
      </c>
      <c r="AN219" s="74">
        <f>IFERROR(VLOOKUP(Table1215[[#This Row],[Column2]],Table12[[Column2]:[Column54]],39,FALSE),"0")</f>
        <v>3</v>
      </c>
      <c r="AO219" s="74">
        <f>IFERROR(VLOOKUP(Table1215[[#This Row],[Column2]],Table12[[Column2]:[Column54]],40,FALSE),"0")</f>
        <v>0</v>
      </c>
      <c r="AP219" s="80">
        <f>AVERAGE(Table1215[[#This Row],[Column37]],Table1215[[#This Row],[Column38]],Table1215[[#This Row],[Column40]])</f>
        <v>2.6666666666666665</v>
      </c>
      <c r="AQ219" s="74">
        <f>IFERROR(VLOOKUP(Table1215[[#This Row],[Column2]],Table12[[Column2]:[Column54]],42,FALSE),"0")</f>
        <v>3</v>
      </c>
      <c r="AR219" s="74">
        <f>IFERROR(VLOOKUP(Table1215[[#This Row],[Column2]],Table12[[Column2]:[Column54]],43,FALSE),"0")</f>
        <v>0</v>
      </c>
      <c r="AS219" s="74">
        <f>IFERROR(VLOOKUP(Table1215[[#This Row],[Column2]],Table12[[Column2]:[Column54]],44,FALSE),"0")</f>
        <v>0</v>
      </c>
      <c r="AT219" s="74">
        <f>IFERROR(VLOOKUP(Table1215[[#This Row],[Column2]],Table12[[Column2]:[Column54]],45,FALSE),"0")</f>
        <v>0</v>
      </c>
      <c r="AU219" s="74">
        <f>IFERROR(VLOOKUP(Table1215[[#This Row],[Column2]],Table12[[Column2]:[Column54]],46,FALSE),"0")</f>
        <v>0</v>
      </c>
      <c r="AV219" s="80">
        <f>Table1215[[#This Row],[Column43]]</f>
        <v>3</v>
      </c>
      <c r="AW219" s="74">
        <f>IFERROR(VLOOKUP(Table1215[[#This Row],[Column2]],Table12[[Column2]:[Column54]],48,FALSE),"0")</f>
        <v>0</v>
      </c>
      <c r="AX219" s="74">
        <f>IFERROR(VLOOKUP(Table1215[[#This Row],[Column2]],Table12[[Column2]:[Column54]],49,FALSE),"0")</f>
        <v>0</v>
      </c>
      <c r="AY219" s="74">
        <f>IFERROR(VLOOKUP(Table1215[[#This Row],[Column2]],Table12[[Column2]:[Column54]],50,FALSE),"0")</f>
        <v>0</v>
      </c>
      <c r="AZ219" s="74">
        <f>IFERROR(VLOOKUP(Table1215[[#This Row],[Column2]],Table12[[Column2]:[Column54]],51,FALSE),"0")</f>
        <v>2</v>
      </c>
      <c r="BA219" s="74">
        <f>IFERROR(VLOOKUP(Table1215[[#This Row],[Column2]],Table12[[Column2]:[Column54]],52,FALSE),"0")</f>
        <v>2</v>
      </c>
      <c r="BB219" s="80">
        <f>AVERAGE(Table1215[[#This Row],[Column52]],Table1215[[#This Row],[Column53]])</f>
        <v>2</v>
      </c>
    </row>
    <row r="220" spans="1:54" ht="23.1" customHeight="1" x14ac:dyDescent="0.3">
      <c r="A220" s="99">
        <v>217</v>
      </c>
      <c r="B220" s="76" t="s">
        <v>467</v>
      </c>
      <c r="C220" s="77" t="s">
        <v>468</v>
      </c>
      <c r="D220" s="76" t="s">
        <v>542</v>
      </c>
      <c r="E220" s="76" t="s">
        <v>289</v>
      </c>
      <c r="F220" s="76" t="str">
        <f>REPT(CHAR(160),10)&amp;Working!$E221</f>
        <v>          D</v>
      </c>
      <c r="G220" s="78">
        <f>IFERROR(VLOOKUP(Table1215[[#This Row],[Column2]],Table12[[Column2]:[Column54]],6,FALSE),"0")</f>
        <v>0</v>
      </c>
      <c r="H220" s="78">
        <f>IFERROR(VLOOKUP(Table1215[[#This Row],[Column2]],Table12[[Column2]:[Column54]],7,FALSE),"0")</f>
        <v>0</v>
      </c>
      <c r="I220" s="78">
        <f>IFERROR(VLOOKUP(Table1215[[#This Row],[Column2]],Table12[[Column2]:[Column54]],8,FALSE),"0")</f>
        <v>3</v>
      </c>
      <c r="J220" s="78">
        <f>IFERROR(VLOOKUP(Table1215[[#This Row],[Column2]],Table12[[Column2]:[Column54]],9,FALSE),"0")</f>
        <v>0</v>
      </c>
      <c r="K220" s="78">
        <f>IFERROR(VLOOKUP(Table1215[[#This Row],[Column2]],Table12[[Column2]:[Column54]],10,FALSE),"0")</f>
        <v>0</v>
      </c>
      <c r="L220" s="80">
        <f>Table1215[[#This Row],[Column9]]</f>
        <v>3</v>
      </c>
      <c r="M220" s="78">
        <f>IFERROR(VLOOKUP(Table1215[[#This Row],[Column2]],Table12[[Column2]:[Column54]],12,FALSE),"0")</f>
        <v>0</v>
      </c>
      <c r="N220" s="78">
        <f>IFERROR(VLOOKUP(Table1215[[#This Row],[Column2]],Table12[[Column2]:[Column54]],13,FALSE),"0")</f>
        <v>4</v>
      </c>
      <c r="O220" s="78">
        <f>IFERROR(VLOOKUP(Table1215[[#This Row],[Column2]],Table12[[Column2]:[Column54]],14,FALSE),"0")</f>
        <v>5</v>
      </c>
      <c r="P220" s="78">
        <f>IFERROR(VLOOKUP(Table1215[[#This Row],[Column2]],Table12[[Column2]:[Column54]],10,FALSE),"0")</f>
        <v>0</v>
      </c>
      <c r="Q220" s="78">
        <f>IFERROR(VLOOKUP(Table1215[[#This Row],[Column2]],Table12[[Column2]:[Column54]],16,FALSE),"0")</f>
        <v>5</v>
      </c>
      <c r="R220" s="80">
        <f>AVERAGE(Table1215[[#This Row],[Column14]],Table1215[[#This Row],[Column15]],Table1215[[#This Row],[Column17]])</f>
        <v>4.666666666666667</v>
      </c>
      <c r="S220" s="78">
        <f>IFERROR(VLOOKUP(Table1215[[#This Row],[Column2]],Table12[[Column2]:[Column54]],18,FALSE),"0")</f>
        <v>0</v>
      </c>
      <c r="T220" s="78">
        <f>IFERROR(VLOOKUP(Table1215[[#This Row],[Column2]],Table12[[Column2]:[Column54]],19,FALSE),"0")</f>
        <v>0</v>
      </c>
      <c r="U220" s="78">
        <f>IFERROR(VLOOKUP(Table1215[[#This Row],[Column2]],Table12[[Column2]:[Column54]],20,FALSE),"0")</f>
        <v>0</v>
      </c>
      <c r="V220" s="78">
        <f>IFERROR(VLOOKUP(Table1215[[#This Row],[Column2]],Table12[[Column2]:[Column54]],21,FALSE),"0")</f>
        <v>0</v>
      </c>
      <c r="W220" s="78">
        <f>IFERROR(VLOOKUP(Table1215[[#This Row],[Column2]],Table12[[Column2]:[Column54]],22,FALSE),"0")</f>
        <v>0</v>
      </c>
      <c r="X220" s="80">
        <f>Table1215[[#This Row],[Column19]]</f>
        <v>0</v>
      </c>
      <c r="Y220" s="78">
        <f>IFERROR(VLOOKUP(Table1215[[#This Row],[Column2]],Table12[[Column2]:[Column54]],24,FALSE),"0")</f>
        <v>4</v>
      </c>
      <c r="Z220" s="78">
        <f>IFERROR(VLOOKUP(Table1215[[#This Row],[Column2]],Table12[[Column2]:[Column54]],25,FALSE),"0")</f>
        <v>0</v>
      </c>
      <c r="AA220" s="78">
        <f>IFERROR(VLOOKUP(Table1215[[#This Row],[Column2]],Table12[[Column2]:[Column54]],26,FALSE),"0")</f>
        <v>0</v>
      </c>
      <c r="AB220" s="78">
        <f>IFERROR(VLOOKUP(Table1215[[#This Row],[Column2]],Table12[[Column2]:[Column54]],27,FALSE),"0")</f>
        <v>0</v>
      </c>
      <c r="AC220" s="78">
        <f>IFERROR(VLOOKUP(Table1215[[#This Row],[Column2]],Table12[[Column2]:[Column54]],28,FALSE),"0")</f>
        <v>0</v>
      </c>
      <c r="AD220" s="80">
        <f>Table1215[[#This Row],[Column25]]</f>
        <v>4</v>
      </c>
      <c r="AE220" s="78">
        <f>IFERROR(VLOOKUP(Table1215[[#This Row],[Column2]],Table12[[Column2]:[Column54]],30,FALSE),"0")</f>
        <v>0</v>
      </c>
      <c r="AF220" s="78">
        <f>IFERROR(VLOOKUP(Table1215[[#This Row],[Column2]],Table12[[Column2]:[Column54]],31,FALSE),"0")</f>
        <v>0</v>
      </c>
      <c r="AG220" s="78">
        <f>IFERROR(VLOOKUP(Table1215[[#This Row],[Column2]],Table12[[Column2]:[Column54]],32,FALSE),"0")</f>
        <v>0</v>
      </c>
      <c r="AH220" s="78">
        <f>IFERROR(VLOOKUP(Table1215[[#This Row],[Column2]],Table12[[Column2]:[Column54]],33,FALSE),"0")</f>
        <v>0</v>
      </c>
      <c r="AI220" s="78">
        <f>IFERROR(VLOOKUP(Table1215[[#This Row],[Column2]],Table12[[Column2]:[Column54]],34,FALSE),"0")</f>
        <v>0</v>
      </c>
      <c r="AJ220" s="80">
        <f>AVERAGE(Table1215[[#This Row],[Column31]],Table1215[[#This Row],[Column32]],Table1215[[#This Row],[Column33]])</f>
        <v>0</v>
      </c>
      <c r="AK220" s="78">
        <f>IFERROR(VLOOKUP(Table1215[[#This Row],[Column2]],Table12[[Column2]:[Column54]],36,FALSE),"0")</f>
        <v>3</v>
      </c>
      <c r="AL220" s="78">
        <f>IFERROR(VLOOKUP(Table1215[[#This Row],[Column2]],Table12[[Column2]:[Column54]],37,FALSE),"0")</f>
        <v>3</v>
      </c>
      <c r="AM220" s="78">
        <f>IFERROR(VLOOKUP(Table1215[[#This Row],[Column2]],Table12[[Column2]:[Column54]],38,FALSE),"0")</f>
        <v>0</v>
      </c>
      <c r="AN220" s="78">
        <f>IFERROR(VLOOKUP(Table1215[[#This Row],[Column2]],Table12[[Column2]:[Column54]],39,FALSE),"0")</f>
        <v>4</v>
      </c>
      <c r="AO220" s="78">
        <f>IFERROR(VLOOKUP(Table1215[[#This Row],[Column2]],Table12[[Column2]:[Column54]],40,FALSE),"0")</f>
        <v>0</v>
      </c>
      <c r="AP220" s="80">
        <f>AVERAGE(Table1215[[#This Row],[Column37]],Table1215[[#This Row],[Column38]],Table1215[[#This Row],[Column40]])</f>
        <v>3.3333333333333335</v>
      </c>
      <c r="AQ220" s="78">
        <f>IFERROR(VLOOKUP(Table1215[[#This Row],[Column2]],Table12[[Column2]:[Column54]],42,FALSE),"0")</f>
        <v>4</v>
      </c>
      <c r="AR220" s="78">
        <f>IFERROR(VLOOKUP(Table1215[[#This Row],[Column2]],Table12[[Column2]:[Column54]],43,FALSE),"0")</f>
        <v>0</v>
      </c>
      <c r="AS220" s="78">
        <f>IFERROR(VLOOKUP(Table1215[[#This Row],[Column2]],Table12[[Column2]:[Column54]],44,FALSE),"0")</f>
        <v>0</v>
      </c>
      <c r="AT220" s="78">
        <f>IFERROR(VLOOKUP(Table1215[[#This Row],[Column2]],Table12[[Column2]:[Column54]],45,FALSE),"0")</f>
        <v>0</v>
      </c>
      <c r="AU220" s="78">
        <f>IFERROR(VLOOKUP(Table1215[[#This Row],[Column2]],Table12[[Column2]:[Column54]],46,FALSE),"0")</f>
        <v>0</v>
      </c>
      <c r="AV220" s="80">
        <f>Table1215[[#This Row],[Column43]]</f>
        <v>4</v>
      </c>
      <c r="AW220" s="78">
        <f>IFERROR(VLOOKUP(Table1215[[#This Row],[Column2]],Table12[[Column2]:[Column54]],48,FALSE),"0")</f>
        <v>0</v>
      </c>
      <c r="AX220" s="78">
        <f>IFERROR(VLOOKUP(Table1215[[#This Row],[Column2]],Table12[[Column2]:[Column54]],49,FALSE),"0")</f>
        <v>0</v>
      </c>
      <c r="AY220" s="78">
        <f>IFERROR(VLOOKUP(Table1215[[#This Row],[Column2]],Table12[[Column2]:[Column54]],50,FALSE),"0")</f>
        <v>0</v>
      </c>
      <c r="AZ220" s="78">
        <f>IFERROR(VLOOKUP(Table1215[[#This Row],[Column2]],Table12[[Column2]:[Column54]],51,FALSE),"0")</f>
        <v>3</v>
      </c>
      <c r="BA220" s="78">
        <f>IFERROR(VLOOKUP(Table1215[[#This Row],[Column2]],Table12[[Column2]:[Column54]],52,FALSE),"0")</f>
        <v>3</v>
      </c>
      <c r="BB220" s="80">
        <f>AVERAGE(Table1215[[#This Row],[Column52]],Table1215[[#This Row],[Column53]])</f>
        <v>3</v>
      </c>
    </row>
    <row r="221" spans="1:54" ht="23.1" customHeight="1" x14ac:dyDescent="0.3">
      <c r="A221" s="100">
        <v>218</v>
      </c>
      <c r="B221" s="83" t="s">
        <v>469</v>
      </c>
      <c r="C221" s="84" t="s">
        <v>470</v>
      </c>
      <c r="D221" s="83" t="s">
        <v>450</v>
      </c>
      <c r="E221" s="83" t="s">
        <v>289</v>
      </c>
      <c r="F221" s="83" t="str">
        <f>REPT(CHAR(160),10)&amp;Working!$E222</f>
        <v>          D</v>
      </c>
      <c r="G221" s="74">
        <f>IFERROR(VLOOKUP(Table1215[[#This Row],[Column2]],Table12[[Column2]:[Column54]],6,FALSE),"0")</f>
        <v>0</v>
      </c>
      <c r="H221" s="74">
        <f>IFERROR(VLOOKUP(Table1215[[#This Row],[Column2]],Table12[[Column2]:[Column54]],7,FALSE),"0")</f>
        <v>0</v>
      </c>
      <c r="I221" s="74">
        <f>IFERROR(VLOOKUP(Table1215[[#This Row],[Column2]],Table12[[Column2]:[Column54]],8,FALSE),"0")</f>
        <v>2</v>
      </c>
      <c r="J221" s="74">
        <f>IFERROR(VLOOKUP(Table1215[[#This Row],[Column2]],Table12[[Column2]:[Column54]],9,FALSE),"0")</f>
        <v>0</v>
      </c>
      <c r="K221" s="74">
        <f>IFERROR(VLOOKUP(Table1215[[#This Row],[Column2]],Table12[[Column2]:[Column54]],10,FALSE),"0")</f>
        <v>0</v>
      </c>
      <c r="L221" s="80">
        <f>Table1215[[#This Row],[Column9]]</f>
        <v>2</v>
      </c>
      <c r="M221" s="74">
        <f>IFERROR(VLOOKUP(Table1215[[#This Row],[Column2]],Table12[[Column2]:[Column54]],12,FALSE),"0")</f>
        <v>0</v>
      </c>
      <c r="N221" s="74">
        <f>IFERROR(VLOOKUP(Table1215[[#This Row],[Column2]],Table12[[Column2]:[Column54]],13,FALSE),"0")</f>
        <v>2</v>
      </c>
      <c r="O221" s="74">
        <f>IFERROR(VLOOKUP(Table1215[[#This Row],[Column2]],Table12[[Column2]:[Column54]],14,FALSE),"0")</f>
        <v>3</v>
      </c>
      <c r="P221" s="74">
        <f>IFERROR(VLOOKUP(Table1215[[#This Row],[Column2]],Table12[[Column2]:[Column54]],10,FALSE),"0")</f>
        <v>0</v>
      </c>
      <c r="Q221" s="74">
        <f>IFERROR(VLOOKUP(Table1215[[#This Row],[Column2]],Table12[[Column2]:[Column54]],16,FALSE),"0")</f>
        <v>3</v>
      </c>
      <c r="R221" s="80">
        <f>AVERAGE(Table1215[[#This Row],[Column14]],Table1215[[#This Row],[Column15]],Table1215[[#This Row],[Column17]])</f>
        <v>2.6666666666666665</v>
      </c>
      <c r="S221" s="74">
        <f>IFERROR(VLOOKUP(Table1215[[#This Row],[Column2]],Table12[[Column2]:[Column54]],18,FALSE),"0")</f>
        <v>0</v>
      </c>
      <c r="T221" s="74">
        <f>IFERROR(VLOOKUP(Table1215[[#This Row],[Column2]],Table12[[Column2]:[Column54]],19,FALSE),"0")</f>
        <v>0</v>
      </c>
      <c r="U221" s="74">
        <f>IFERROR(VLOOKUP(Table1215[[#This Row],[Column2]],Table12[[Column2]:[Column54]],20,FALSE),"0")</f>
        <v>0</v>
      </c>
      <c r="V221" s="74">
        <f>IFERROR(VLOOKUP(Table1215[[#This Row],[Column2]],Table12[[Column2]:[Column54]],21,FALSE),"0")</f>
        <v>0</v>
      </c>
      <c r="W221" s="74">
        <f>IFERROR(VLOOKUP(Table1215[[#This Row],[Column2]],Table12[[Column2]:[Column54]],22,FALSE),"0")</f>
        <v>0</v>
      </c>
      <c r="X221" s="80">
        <f>Table1215[[#This Row],[Column19]]</f>
        <v>0</v>
      </c>
      <c r="Y221" s="74">
        <f>IFERROR(VLOOKUP(Table1215[[#This Row],[Column2]],Table12[[Column2]:[Column54]],24,FALSE),"0")</f>
        <v>2</v>
      </c>
      <c r="Z221" s="74">
        <f>IFERROR(VLOOKUP(Table1215[[#This Row],[Column2]],Table12[[Column2]:[Column54]],25,FALSE),"0")</f>
        <v>0</v>
      </c>
      <c r="AA221" s="74">
        <f>IFERROR(VLOOKUP(Table1215[[#This Row],[Column2]],Table12[[Column2]:[Column54]],26,FALSE),"0")</f>
        <v>0</v>
      </c>
      <c r="AB221" s="74">
        <f>IFERROR(VLOOKUP(Table1215[[#This Row],[Column2]],Table12[[Column2]:[Column54]],27,FALSE),"0")</f>
        <v>0</v>
      </c>
      <c r="AC221" s="74">
        <f>IFERROR(VLOOKUP(Table1215[[#This Row],[Column2]],Table12[[Column2]:[Column54]],28,FALSE),"0")</f>
        <v>0</v>
      </c>
      <c r="AD221" s="80">
        <f>Table1215[[#This Row],[Column25]]</f>
        <v>2</v>
      </c>
      <c r="AE221" s="74">
        <f>IFERROR(VLOOKUP(Table1215[[#This Row],[Column2]],Table12[[Column2]:[Column54]],30,FALSE),"0")</f>
        <v>0</v>
      </c>
      <c r="AF221" s="74">
        <f>IFERROR(VLOOKUP(Table1215[[#This Row],[Column2]],Table12[[Column2]:[Column54]],31,FALSE),"0")</f>
        <v>0</v>
      </c>
      <c r="AG221" s="74">
        <f>IFERROR(VLOOKUP(Table1215[[#This Row],[Column2]],Table12[[Column2]:[Column54]],32,FALSE),"0")</f>
        <v>0</v>
      </c>
      <c r="AH221" s="74">
        <f>IFERROR(VLOOKUP(Table1215[[#This Row],[Column2]],Table12[[Column2]:[Column54]],33,FALSE),"0")</f>
        <v>0</v>
      </c>
      <c r="AI221" s="74">
        <f>IFERROR(VLOOKUP(Table1215[[#This Row],[Column2]],Table12[[Column2]:[Column54]],34,FALSE),"0")</f>
        <v>0</v>
      </c>
      <c r="AJ221" s="80">
        <f>AVERAGE(Table1215[[#This Row],[Column31]],Table1215[[#This Row],[Column32]],Table1215[[#This Row],[Column33]])</f>
        <v>0</v>
      </c>
      <c r="AK221" s="74">
        <f>IFERROR(VLOOKUP(Table1215[[#This Row],[Column2]],Table12[[Column2]:[Column54]],36,FALSE),"0")</f>
        <v>2</v>
      </c>
      <c r="AL221" s="74">
        <f>IFERROR(VLOOKUP(Table1215[[#This Row],[Column2]],Table12[[Column2]:[Column54]],37,FALSE),"0")</f>
        <v>2</v>
      </c>
      <c r="AM221" s="74">
        <f>IFERROR(VLOOKUP(Table1215[[#This Row],[Column2]],Table12[[Column2]:[Column54]],38,FALSE),"0")</f>
        <v>0</v>
      </c>
      <c r="AN221" s="74">
        <f>IFERROR(VLOOKUP(Table1215[[#This Row],[Column2]],Table12[[Column2]:[Column54]],39,FALSE),"0")</f>
        <v>2</v>
      </c>
      <c r="AO221" s="74">
        <f>IFERROR(VLOOKUP(Table1215[[#This Row],[Column2]],Table12[[Column2]:[Column54]],40,FALSE),"0")</f>
        <v>0</v>
      </c>
      <c r="AP221" s="80">
        <f>AVERAGE(Table1215[[#This Row],[Column37]],Table1215[[#This Row],[Column38]],Table1215[[#This Row],[Column40]])</f>
        <v>2</v>
      </c>
      <c r="AQ221" s="74">
        <f>IFERROR(VLOOKUP(Table1215[[#This Row],[Column2]],Table12[[Column2]:[Column54]],42,FALSE),"0")</f>
        <v>2</v>
      </c>
      <c r="AR221" s="74">
        <f>IFERROR(VLOOKUP(Table1215[[#This Row],[Column2]],Table12[[Column2]:[Column54]],43,FALSE),"0")</f>
        <v>0</v>
      </c>
      <c r="AS221" s="74">
        <f>IFERROR(VLOOKUP(Table1215[[#This Row],[Column2]],Table12[[Column2]:[Column54]],44,FALSE),"0")</f>
        <v>0</v>
      </c>
      <c r="AT221" s="74">
        <f>IFERROR(VLOOKUP(Table1215[[#This Row],[Column2]],Table12[[Column2]:[Column54]],45,FALSE),"0")</f>
        <v>0</v>
      </c>
      <c r="AU221" s="74">
        <f>IFERROR(VLOOKUP(Table1215[[#This Row],[Column2]],Table12[[Column2]:[Column54]],46,FALSE),"0")</f>
        <v>0</v>
      </c>
      <c r="AV221" s="80">
        <f>Table1215[[#This Row],[Column43]]</f>
        <v>2</v>
      </c>
      <c r="AW221" s="74">
        <f>IFERROR(VLOOKUP(Table1215[[#This Row],[Column2]],Table12[[Column2]:[Column54]],48,FALSE),"0")</f>
        <v>0</v>
      </c>
      <c r="AX221" s="74">
        <f>IFERROR(VLOOKUP(Table1215[[#This Row],[Column2]],Table12[[Column2]:[Column54]],49,FALSE),"0")</f>
        <v>0</v>
      </c>
      <c r="AY221" s="74">
        <f>IFERROR(VLOOKUP(Table1215[[#This Row],[Column2]],Table12[[Column2]:[Column54]],50,FALSE),"0")</f>
        <v>0</v>
      </c>
      <c r="AZ221" s="74">
        <f>IFERROR(VLOOKUP(Table1215[[#This Row],[Column2]],Table12[[Column2]:[Column54]],51,FALSE),"0")</f>
        <v>3</v>
      </c>
      <c r="BA221" s="74">
        <f>IFERROR(VLOOKUP(Table1215[[#This Row],[Column2]],Table12[[Column2]:[Column54]],52,FALSE),"0")</f>
        <v>2</v>
      </c>
      <c r="BB221" s="80">
        <f>AVERAGE(Table1215[[#This Row],[Column52]],Table1215[[#This Row],[Column53]])</f>
        <v>2.5</v>
      </c>
    </row>
    <row r="222" spans="1:54" ht="23.1" customHeight="1" x14ac:dyDescent="0.3">
      <c r="A222" s="99">
        <v>219</v>
      </c>
      <c r="B222" s="76" t="s">
        <v>471</v>
      </c>
      <c r="C222" s="77" t="s">
        <v>472</v>
      </c>
      <c r="D222" s="76" t="s">
        <v>450</v>
      </c>
      <c r="E222" s="76" t="s">
        <v>289</v>
      </c>
      <c r="F222" s="76" t="str">
        <f>REPT(CHAR(160),10)&amp;Working!$E223</f>
        <v>          D</v>
      </c>
      <c r="G222" s="78">
        <f>IFERROR(VLOOKUP(Table1215[[#This Row],[Column2]],Table12[[Column2]:[Column54]],6,FALSE),"0")</f>
        <v>0</v>
      </c>
      <c r="H222" s="78">
        <f>IFERROR(VLOOKUP(Table1215[[#This Row],[Column2]],Table12[[Column2]:[Column54]],7,FALSE),"0")</f>
        <v>0</v>
      </c>
      <c r="I222" s="78">
        <f>IFERROR(VLOOKUP(Table1215[[#This Row],[Column2]],Table12[[Column2]:[Column54]],8,FALSE),"0")</f>
        <v>3</v>
      </c>
      <c r="J222" s="78">
        <f>IFERROR(VLOOKUP(Table1215[[#This Row],[Column2]],Table12[[Column2]:[Column54]],9,FALSE),"0")</f>
        <v>0</v>
      </c>
      <c r="K222" s="78">
        <f>IFERROR(VLOOKUP(Table1215[[#This Row],[Column2]],Table12[[Column2]:[Column54]],10,FALSE),"0")</f>
        <v>0</v>
      </c>
      <c r="L222" s="80">
        <f>Table1215[[#This Row],[Column9]]</f>
        <v>3</v>
      </c>
      <c r="M222" s="78">
        <f>IFERROR(VLOOKUP(Table1215[[#This Row],[Column2]],Table12[[Column2]:[Column54]],12,FALSE),"0")</f>
        <v>0</v>
      </c>
      <c r="N222" s="78">
        <f>IFERROR(VLOOKUP(Table1215[[#This Row],[Column2]],Table12[[Column2]:[Column54]],13,FALSE),"0")</f>
        <v>3</v>
      </c>
      <c r="O222" s="78">
        <f>IFERROR(VLOOKUP(Table1215[[#This Row],[Column2]],Table12[[Column2]:[Column54]],14,FALSE),"0")</f>
        <v>3</v>
      </c>
      <c r="P222" s="78">
        <f>IFERROR(VLOOKUP(Table1215[[#This Row],[Column2]],Table12[[Column2]:[Column54]],10,FALSE),"0")</f>
        <v>0</v>
      </c>
      <c r="Q222" s="78">
        <f>IFERROR(VLOOKUP(Table1215[[#This Row],[Column2]],Table12[[Column2]:[Column54]],16,FALSE),"0")</f>
        <v>3</v>
      </c>
      <c r="R222" s="80">
        <f>AVERAGE(Table1215[[#This Row],[Column14]],Table1215[[#This Row],[Column15]],Table1215[[#This Row],[Column17]])</f>
        <v>3</v>
      </c>
      <c r="S222" s="78">
        <f>IFERROR(VLOOKUP(Table1215[[#This Row],[Column2]],Table12[[Column2]:[Column54]],18,FALSE),"0")</f>
        <v>0</v>
      </c>
      <c r="T222" s="78">
        <f>IFERROR(VLOOKUP(Table1215[[#This Row],[Column2]],Table12[[Column2]:[Column54]],19,FALSE),"0")</f>
        <v>0</v>
      </c>
      <c r="U222" s="78">
        <f>IFERROR(VLOOKUP(Table1215[[#This Row],[Column2]],Table12[[Column2]:[Column54]],20,FALSE),"0")</f>
        <v>0</v>
      </c>
      <c r="V222" s="78">
        <f>IFERROR(VLOOKUP(Table1215[[#This Row],[Column2]],Table12[[Column2]:[Column54]],21,FALSE),"0")</f>
        <v>0</v>
      </c>
      <c r="W222" s="78">
        <f>IFERROR(VLOOKUP(Table1215[[#This Row],[Column2]],Table12[[Column2]:[Column54]],22,FALSE),"0")</f>
        <v>0</v>
      </c>
      <c r="X222" s="80">
        <f>Table1215[[#This Row],[Column19]]</f>
        <v>0</v>
      </c>
      <c r="Y222" s="78">
        <f>IFERROR(VLOOKUP(Table1215[[#This Row],[Column2]],Table12[[Column2]:[Column54]],24,FALSE),"0")</f>
        <v>3</v>
      </c>
      <c r="Z222" s="78">
        <f>IFERROR(VLOOKUP(Table1215[[#This Row],[Column2]],Table12[[Column2]:[Column54]],25,FALSE),"0")</f>
        <v>0</v>
      </c>
      <c r="AA222" s="78">
        <f>IFERROR(VLOOKUP(Table1215[[#This Row],[Column2]],Table12[[Column2]:[Column54]],26,FALSE),"0")</f>
        <v>0</v>
      </c>
      <c r="AB222" s="78">
        <f>IFERROR(VLOOKUP(Table1215[[#This Row],[Column2]],Table12[[Column2]:[Column54]],27,FALSE),"0")</f>
        <v>0</v>
      </c>
      <c r="AC222" s="78">
        <f>IFERROR(VLOOKUP(Table1215[[#This Row],[Column2]],Table12[[Column2]:[Column54]],28,FALSE),"0")</f>
        <v>0</v>
      </c>
      <c r="AD222" s="80">
        <f>Table1215[[#This Row],[Column25]]</f>
        <v>3</v>
      </c>
      <c r="AE222" s="78">
        <f>IFERROR(VLOOKUP(Table1215[[#This Row],[Column2]],Table12[[Column2]:[Column54]],30,FALSE),"0")</f>
        <v>0</v>
      </c>
      <c r="AF222" s="78">
        <f>IFERROR(VLOOKUP(Table1215[[#This Row],[Column2]],Table12[[Column2]:[Column54]],31,FALSE),"0")</f>
        <v>0</v>
      </c>
      <c r="AG222" s="78">
        <f>IFERROR(VLOOKUP(Table1215[[#This Row],[Column2]],Table12[[Column2]:[Column54]],32,FALSE),"0")</f>
        <v>0</v>
      </c>
      <c r="AH222" s="78">
        <f>IFERROR(VLOOKUP(Table1215[[#This Row],[Column2]],Table12[[Column2]:[Column54]],33,FALSE),"0")</f>
        <v>0</v>
      </c>
      <c r="AI222" s="78">
        <f>IFERROR(VLOOKUP(Table1215[[#This Row],[Column2]],Table12[[Column2]:[Column54]],34,FALSE),"0")</f>
        <v>0</v>
      </c>
      <c r="AJ222" s="80">
        <f>AVERAGE(Table1215[[#This Row],[Column31]],Table1215[[#This Row],[Column32]],Table1215[[#This Row],[Column33]])</f>
        <v>0</v>
      </c>
      <c r="AK222" s="78">
        <f>IFERROR(VLOOKUP(Table1215[[#This Row],[Column2]],Table12[[Column2]:[Column54]],36,FALSE),"0")</f>
        <v>2</v>
      </c>
      <c r="AL222" s="78">
        <f>IFERROR(VLOOKUP(Table1215[[#This Row],[Column2]],Table12[[Column2]:[Column54]],37,FALSE),"0")</f>
        <v>2</v>
      </c>
      <c r="AM222" s="78">
        <f>IFERROR(VLOOKUP(Table1215[[#This Row],[Column2]],Table12[[Column2]:[Column54]],38,FALSE),"0")</f>
        <v>0</v>
      </c>
      <c r="AN222" s="78">
        <f>IFERROR(VLOOKUP(Table1215[[#This Row],[Column2]],Table12[[Column2]:[Column54]],39,FALSE),"0")</f>
        <v>3</v>
      </c>
      <c r="AO222" s="78">
        <f>IFERROR(VLOOKUP(Table1215[[#This Row],[Column2]],Table12[[Column2]:[Column54]],40,FALSE),"0")</f>
        <v>0</v>
      </c>
      <c r="AP222" s="80">
        <f>AVERAGE(Table1215[[#This Row],[Column37]],Table1215[[#This Row],[Column38]],Table1215[[#This Row],[Column40]])</f>
        <v>2.3333333333333335</v>
      </c>
      <c r="AQ222" s="78">
        <f>IFERROR(VLOOKUP(Table1215[[#This Row],[Column2]],Table12[[Column2]:[Column54]],42,FALSE),"0")</f>
        <v>3</v>
      </c>
      <c r="AR222" s="78">
        <f>IFERROR(VLOOKUP(Table1215[[#This Row],[Column2]],Table12[[Column2]:[Column54]],43,FALSE),"0")</f>
        <v>0</v>
      </c>
      <c r="AS222" s="78">
        <f>IFERROR(VLOOKUP(Table1215[[#This Row],[Column2]],Table12[[Column2]:[Column54]],44,FALSE),"0")</f>
        <v>0</v>
      </c>
      <c r="AT222" s="78">
        <f>IFERROR(VLOOKUP(Table1215[[#This Row],[Column2]],Table12[[Column2]:[Column54]],45,FALSE),"0")</f>
        <v>0</v>
      </c>
      <c r="AU222" s="78">
        <f>IFERROR(VLOOKUP(Table1215[[#This Row],[Column2]],Table12[[Column2]:[Column54]],46,FALSE),"0")</f>
        <v>0</v>
      </c>
      <c r="AV222" s="80">
        <f>Table1215[[#This Row],[Column43]]</f>
        <v>3</v>
      </c>
      <c r="AW222" s="78">
        <f>IFERROR(VLOOKUP(Table1215[[#This Row],[Column2]],Table12[[Column2]:[Column54]],48,FALSE),"0")</f>
        <v>0</v>
      </c>
      <c r="AX222" s="78">
        <f>IFERROR(VLOOKUP(Table1215[[#This Row],[Column2]],Table12[[Column2]:[Column54]],49,FALSE),"0")</f>
        <v>0</v>
      </c>
      <c r="AY222" s="78">
        <f>IFERROR(VLOOKUP(Table1215[[#This Row],[Column2]],Table12[[Column2]:[Column54]],50,FALSE),"0")</f>
        <v>0</v>
      </c>
      <c r="AZ222" s="78">
        <f>IFERROR(VLOOKUP(Table1215[[#This Row],[Column2]],Table12[[Column2]:[Column54]],51,FALSE),"0")</f>
        <v>3</v>
      </c>
      <c r="BA222" s="78">
        <f>IFERROR(VLOOKUP(Table1215[[#This Row],[Column2]],Table12[[Column2]:[Column54]],52,FALSE),"0")</f>
        <v>2</v>
      </c>
      <c r="BB222" s="80">
        <f>AVERAGE(Table1215[[#This Row],[Column52]],Table1215[[#This Row],[Column53]])</f>
        <v>2.5</v>
      </c>
    </row>
    <row r="223" spans="1:54" ht="23.1" customHeight="1" x14ac:dyDescent="0.3">
      <c r="A223" s="100">
        <v>220</v>
      </c>
      <c r="B223" s="83" t="s">
        <v>473</v>
      </c>
      <c r="C223" s="84" t="s">
        <v>474</v>
      </c>
      <c r="D223" s="83" t="s">
        <v>542</v>
      </c>
      <c r="E223" s="83" t="s">
        <v>289</v>
      </c>
      <c r="F223" s="83" t="str">
        <f>REPT(CHAR(160),10)&amp;Working!$E224</f>
        <v>          D</v>
      </c>
      <c r="G223" s="74">
        <f>IFERROR(VLOOKUP(Table1215[[#This Row],[Column2]],Table12[[Column2]:[Column54]],6,FALSE),"0")</f>
        <v>0</v>
      </c>
      <c r="H223" s="74">
        <f>IFERROR(VLOOKUP(Table1215[[#This Row],[Column2]],Table12[[Column2]:[Column54]],7,FALSE),"0")</f>
        <v>0</v>
      </c>
      <c r="I223" s="74">
        <f>IFERROR(VLOOKUP(Table1215[[#This Row],[Column2]],Table12[[Column2]:[Column54]],8,FALSE),"0")</f>
        <v>0</v>
      </c>
      <c r="J223" s="74">
        <f>IFERROR(VLOOKUP(Table1215[[#This Row],[Column2]],Table12[[Column2]:[Column54]],9,FALSE),"0")</f>
        <v>0</v>
      </c>
      <c r="K223" s="74">
        <f>IFERROR(VLOOKUP(Table1215[[#This Row],[Column2]],Table12[[Column2]:[Column54]],10,FALSE),"0")</f>
        <v>0</v>
      </c>
      <c r="L223" s="80">
        <f>Table1215[[#This Row],[Column9]]</f>
        <v>0</v>
      </c>
      <c r="M223" s="74">
        <f>IFERROR(VLOOKUP(Table1215[[#This Row],[Column2]],Table12[[Column2]:[Column54]],12,FALSE),"0")</f>
        <v>0</v>
      </c>
      <c r="N223" s="74">
        <f>IFERROR(VLOOKUP(Table1215[[#This Row],[Column2]],Table12[[Column2]:[Column54]],13,FALSE),"0")</f>
        <v>0</v>
      </c>
      <c r="O223" s="74">
        <f>IFERROR(VLOOKUP(Table1215[[#This Row],[Column2]],Table12[[Column2]:[Column54]],14,FALSE),"0")</f>
        <v>0</v>
      </c>
      <c r="P223" s="74">
        <f>IFERROR(VLOOKUP(Table1215[[#This Row],[Column2]],Table12[[Column2]:[Column54]],10,FALSE),"0")</f>
        <v>0</v>
      </c>
      <c r="Q223" s="74">
        <f>IFERROR(VLOOKUP(Table1215[[#This Row],[Column2]],Table12[[Column2]:[Column54]],16,FALSE),"0")</f>
        <v>0</v>
      </c>
      <c r="R223" s="80">
        <f>AVERAGE(Table1215[[#This Row],[Column14]],Table1215[[#This Row],[Column15]],Table1215[[#This Row],[Column17]])</f>
        <v>0</v>
      </c>
      <c r="S223" s="74">
        <f>IFERROR(VLOOKUP(Table1215[[#This Row],[Column2]],Table12[[Column2]:[Column54]],18,FALSE),"0")</f>
        <v>0</v>
      </c>
      <c r="T223" s="74">
        <f>IFERROR(VLOOKUP(Table1215[[#This Row],[Column2]],Table12[[Column2]:[Column54]],19,FALSE),"0")</f>
        <v>0</v>
      </c>
      <c r="U223" s="74">
        <f>IFERROR(VLOOKUP(Table1215[[#This Row],[Column2]],Table12[[Column2]:[Column54]],20,FALSE),"0")</f>
        <v>0</v>
      </c>
      <c r="V223" s="74">
        <f>IFERROR(VLOOKUP(Table1215[[#This Row],[Column2]],Table12[[Column2]:[Column54]],21,FALSE),"0")</f>
        <v>0</v>
      </c>
      <c r="W223" s="74">
        <f>IFERROR(VLOOKUP(Table1215[[#This Row],[Column2]],Table12[[Column2]:[Column54]],22,FALSE),"0")</f>
        <v>0</v>
      </c>
      <c r="X223" s="80">
        <f>Table1215[[#This Row],[Column19]]</f>
        <v>0</v>
      </c>
      <c r="Y223" s="74">
        <f>IFERROR(VLOOKUP(Table1215[[#This Row],[Column2]],Table12[[Column2]:[Column54]],24,FALSE),"0")</f>
        <v>0</v>
      </c>
      <c r="Z223" s="74">
        <f>IFERROR(VLOOKUP(Table1215[[#This Row],[Column2]],Table12[[Column2]:[Column54]],25,FALSE),"0")</f>
        <v>0</v>
      </c>
      <c r="AA223" s="74">
        <f>IFERROR(VLOOKUP(Table1215[[#This Row],[Column2]],Table12[[Column2]:[Column54]],26,FALSE),"0")</f>
        <v>0</v>
      </c>
      <c r="AB223" s="74">
        <f>IFERROR(VLOOKUP(Table1215[[#This Row],[Column2]],Table12[[Column2]:[Column54]],27,FALSE),"0")</f>
        <v>0</v>
      </c>
      <c r="AC223" s="74">
        <f>IFERROR(VLOOKUP(Table1215[[#This Row],[Column2]],Table12[[Column2]:[Column54]],28,FALSE),"0")</f>
        <v>0</v>
      </c>
      <c r="AD223" s="80">
        <f>Table1215[[#This Row],[Column25]]</f>
        <v>0</v>
      </c>
      <c r="AE223" s="74">
        <f>IFERROR(VLOOKUP(Table1215[[#This Row],[Column2]],Table12[[Column2]:[Column54]],30,FALSE),"0")</f>
        <v>0</v>
      </c>
      <c r="AF223" s="74">
        <f>IFERROR(VLOOKUP(Table1215[[#This Row],[Column2]],Table12[[Column2]:[Column54]],31,FALSE),"0")</f>
        <v>0</v>
      </c>
      <c r="AG223" s="74">
        <f>IFERROR(VLOOKUP(Table1215[[#This Row],[Column2]],Table12[[Column2]:[Column54]],32,FALSE),"0")</f>
        <v>0</v>
      </c>
      <c r="AH223" s="74">
        <f>IFERROR(VLOOKUP(Table1215[[#This Row],[Column2]],Table12[[Column2]:[Column54]],33,FALSE),"0")</f>
        <v>0</v>
      </c>
      <c r="AI223" s="74">
        <f>IFERROR(VLOOKUP(Table1215[[#This Row],[Column2]],Table12[[Column2]:[Column54]],34,FALSE),"0")</f>
        <v>0</v>
      </c>
      <c r="AJ223" s="80">
        <f>AVERAGE(Table1215[[#This Row],[Column31]],Table1215[[#This Row],[Column32]],Table1215[[#This Row],[Column33]])</f>
        <v>0</v>
      </c>
      <c r="AK223" s="74">
        <f>IFERROR(VLOOKUP(Table1215[[#This Row],[Column2]],Table12[[Column2]:[Column54]],36,FALSE),"0")</f>
        <v>0</v>
      </c>
      <c r="AL223" s="74">
        <f>IFERROR(VLOOKUP(Table1215[[#This Row],[Column2]],Table12[[Column2]:[Column54]],37,FALSE),"0")</f>
        <v>0</v>
      </c>
      <c r="AM223" s="74">
        <f>IFERROR(VLOOKUP(Table1215[[#This Row],[Column2]],Table12[[Column2]:[Column54]],38,FALSE),"0")</f>
        <v>0</v>
      </c>
      <c r="AN223" s="74">
        <f>IFERROR(VLOOKUP(Table1215[[#This Row],[Column2]],Table12[[Column2]:[Column54]],39,FALSE),"0")</f>
        <v>0</v>
      </c>
      <c r="AO223" s="74">
        <f>IFERROR(VLOOKUP(Table1215[[#This Row],[Column2]],Table12[[Column2]:[Column54]],40,FALSE),"0")</f>
        <v>0</v>
      </c>
      <c r="AP223" s="80">
        <f>AVERAGE(Table1215[[#This Row],[Column37]],Table1215[[#This Row],[Column38]],Table1215[[#This Row],[Column40]])</f>
        <v>0</v>
      </c>
      <c r="AQ223" s="74">
        <f>IFERROR(VLOOKUP(Table1215[[#This Row],[Column2]],Table12[[Column2]:[Column54]],42,FALSE),"0")</f>
        <v>0</v>
      </c>
      <c r="AR223" s="74">
        <f>IFERROR(VLOOKUP(Table1215[[#This Row],[Column2]],Table12[[Column2]:[Column54]],43,FALSE),"0")</f>
        <v>0</v>
      </c>
      <c r="AS223" s="74">
        <f>IFERROR(VLOOKUP(Table1215[[#This Row],[Column2]],Table12[[Column2]:[Column54]],44,FALSE),"0")</f>
        <v>0</v>
      </c>
      <c r="AT223" s="74">
        <f>IFERROR(VLOOKUP(Table1215[[#This Row],[Column2]],Table12[[Column2]:[Column54]],45,FALSE),"0")</f>
        <v>0</v>
      </c>
      <c r="AU223" s="74">
        <f>IFERROR(VLOOKUP(Table1215[[#This Row],[Column2]],Table12[[Column2]:[Column54]],46,FALSE),"0")</f>
        <v>0</v>
      </c>
      <c r="AV223" s="80">
        <f>Table1215[[#This Row],[Column43]]</f>
        <v>0</v>
      </c>
      <c r="AW223" s="74">
        <f>IFERROR(VLOOKUP(Table1215[[#This Row],[Column2]],Table12[[Column2]:[Column54]],48,FALSE),"0")</f>
        <v>0</v>
      </c>
      <c r="AX223" s="74">
        <f>IFERROR(VLOOKUP(Table1215[[#This Row],[Column2]],Table12[[Column2]:[Column54]],49,FALSE),"0")</f>
        <v>0</v>
      </c>
      <c r="AY223" s="74">
        <f>IFERROR(VLOOKUP(Table1215[[#This Row],[Column2]],Table12[[Column2]:[Column54]],50,FALSE),"0")</f>
        <v>0</v>
      </c>
      <c r="AZ223" s="74">
        <f>IFERROR(VLOOKUP(Table1215[[#This Row],[Column2]],Table12[[Column2]:[Column54]],51,FALSE),"0")</f>
        <v>0</v>
      </c>
      <c r="BA223" s="74">
        <f>IFERROR(VLOOKUP(Table1215[[#This Row],[Column2]],Table12[[Column2]:[Column54]],52,FALSE),"0")</f>
        <v>0</v>
      </c>
      <c r="BB223" s="80">
        <f>AVERAGE(Table1215[[#This Row],[Column52]],Table1215[[#This Row],[Column53]])</f>
        <v>0</v>
      </c>
    </row>
    <row r="224" spans="1:54" ht="23.1" customHeight="1" x14ac:dyDescent="0.3">
      <c r="A224" s="99">
        <v>221</v>
      </c>
      <c r="B224" s="76" t="s">
        <v>475</v>
      </c>
      <c r="C224" s="77" t="s">
        <v>476</v>
      </c>
      <c r="D224" s="76" t="s">
        <v>450</v>
      </c>
      <c r="E224" s="76" t="s">
        <v>289</v>
      </c>
      <c r="F224" s="76" t="str">
        <f>REPT(CHAR(160),10)&amp;Working!$E225</f>
        <v>          D</v>
      </c>
      <c r="G224" s="78">
        <f>IFERROR(VLOOKUP(Table1215[[#This Row],[Column2]],Table12[[Column2]:[Column54]],6,FALSE),"0")</f>
        <v>0</v>
      </c>
      <c r="H224" s="78">
        <f>IFERROR(VLOOKUP(Table1215[[#This Row],[Column2]],Table12[[Column2]:[Column54]],7,FALSE),"0")</f>
        <v>0</v>
      </c>
      <c r="I224" s="78">
        <f>IFERROR(VLOOKUP(Table1215[[#This Row],[Column2]],Table12[[Column2]:[Column54]],8,FALSE),"0")</f>
        <v>0</v>
      </c>
      <c r="J224" s="78">
        <f>IFERROR(VLOOKUP(Table1215[[#This Row],[Column2]],Table12[[Column2]:[Column54]],9,FALSE),"0")</f>
        <v>0</v>
      </c>
      <c r="K224" s="78">
        <f>IFERROR(VLOOKUP(Table1215[[#This Row],[Column2]],Table12[[Column2]:[Column54]],10,FALSE),"0")</f>
        <v>0</v>
      </c>
      <c r="L224" s="80">
        <f>Table1215[[#This Row],[Column9]]</f>
        <v>0</v>
      </c>
      <c r="M224" s="78">
        <f>IFERROR(VLOOKUP(Table1215[[#This Row],[Column2]],Table12[[Column2]:[Column54]],12,FALSE),"0")</f>
        <v>0</v>
      </c>
      <c r="N224" s="78">
        <f>IFERROR(VLOOKUP(Table1215[[#This Row],[Column2]],Table12[[Column2]:[Column54]],13,FALSE),"0")</f>
        <v>0</v>
      </c>
      <c r="O224" s="78">
        <f>IFERROR(VLOOKUP(Table1215[[#This Row],[Column2]],Table12[[Column2]:[Column54]],14,FALSE),"0")</f>
        <v>0</v>
      </c>
      <c r="P224" s="78">
        <f>IFERROR(VLOOKUP(Table1215[[#This Row],[Column2]],Table12[[Column2]:[Column54]],10,FALSE),"0")</f>
        <v>0</v>
      </c>
      <c r="Q224" s="78">
        <f>IFERROR(VLOOKUP(Table1215[[#This Row],[Column2]],Table12[[Column2]:[Column54]],16,FALSE),"0")</f>
        <v>0</v>
      </c>
      <c r="R224" s="80">
        <f>AVERAGE(Table1215[[#This Row],[Column14]],Table1215[[#This Row],[Column15]],Table1215[[#This Row],[Column17]])</f>
        <v>0</v>
      </c>
      <c r="S224" s="78">
        <f>IFERROR(VLOOKUP(Table1215[[#This Row],[Column2]],Table12[[Column2]:[Column54]],18,FALSE),"0")</f>
        <v>0</v>
      </c>
      <c r="T224" s="78">
        <f>IFERROR(VLOOKUP(Table1215[[#This Row],[Column2]],Table12[[Column2]:[Column54]],19,FALSE),"0")</f>
        <v>0</v>
      </c>
      <c r="U224" s="78">
        <f>IFERROR(VLOOKUP(Table1215[[#This Row],[Column2]],Table12[[Column2]:[Column54]],20,FALSE),"0")</f>
        <v>0</v>
      </c>
      <c r="V224" s="78">
        <f>IFERROR(VLOOKUP(Table1215[[#This Row],[Column2]],Table12[[Column2]:[Column54]],21,FALSE),"0")</f>
        <v>0</v>
      </c>
      <c r="W224" s="78">
        <f>IFERROR(VLOOKUP(Table1215[[#This Row],[Column2]],Table12[[Column2]:[Column54]],22,FALSE),"0")</f>
        <v>0</v>
      </c>
      <c r="X224" s="80">
        <f>Table1215[[#This Row],[Column19]]</f>
        <v>0</v>
      </c>
      <c r="Y224" s="78">
        <f>IFERROR(VLOOKUP(Table1215[[#This Row],[Column2]],Table12[[Column2]:[Column54]],24,FALSE),"0")</f>
        <v>0</v>
      </c>
      <c r="Z224" s="78">
        <f>IFERROR(VLOOKUP(Table1215[[#This Row],[Column2]],Table12[[Column2]:[Column54]],25,FALSE),"0")</f>
        <v>0</v>
      </c>
      <c r="AA224" s="78">
        <f>IFERROR(VLOOKUP(Table1215[[#This Row],[Column2]],Table12[[Column2]:[Column54]],26,FALSE),"0")</f>
        <v>0</v>
      </c>
      <c r="AB224" s="78">
        <f>IFERROR(VLOOKUP(Table1215[[#This Row],[Column2]],Table12[[Column2]:[Column54]],27,FALSE),"0")</f>
        <v>0</v>
      </c>
      <c r="AC224" s="78">
        <f>IFERROR(VLOOKUP(Table1215[[#This Row],[Column2]],Table12[[Column2]:[Column54]],28,FALSE),"0")</f>
        <v>0</v>
      </c>
      <c r="AD224" s="80">
        <f>Table1215[[#This Row],[Column25]]</f>
        <v>0</v>
      </c>
      <c r="AE224" s="78">
        <f>IFERROR(VLOOKUP(Table1215[[#This Row],[Column2]],Table12[[Column2]:[Column54]],30,FALSE),"0")</f>
        <v>0</v>
      </c>
      <c r="AF224" s="78">
        <f>IFERROR(VLOOKUP(Table1215[[#This Row],[Column2]],Table12[[Column2]:[Column54]],31,FALSE),"0")</f>
        <v>0</v>
      </c>
      <c r="AG224" s="78">
        <f>IFERROR(VLOOKUP(Table1215[[#This Row],[Column2]],Table12[[Column2]:[Column54]],32,FALSE),"0")</f>
        <v>0</v>
      </c>
      <c r="AH224" s="78">
        <f>IFERROR(VLOOKUP(Table1215[[#This Row],[Column2]],Table12[[Column2]:[Column54]],33,FALSE),"0")</f>
        <v>0</v>
      </c>
      <c r="AI224" s="78">
        <f>IFERROR(VLOOKUP(Table1215[[#This Row],[Column2]],Table12[[Column2]:[Column54]],34,FALSE),"0")</f>
        <v>0</v>
      </c>
      <c r="AJ224" s="80">
        <f>AVERAGE(Table1215[[#This Row],[Column31]],Table1215[[#This Row],[Column32]],Table1215[[#This Row],[Column33]])</f>
        <v>0</v>
      </c>
      <c r="AK224" s="78">
        <f>IFERROR(VLOOKUP(Table1215[[#This Row],[Column2]],Table12[[Column2]:[Column54]],36,FALSE),"0")</f>
        <v>0</v>
      </c>
      <c r="AL224" s="78">
        <f>IFERROR(VLOOKUP(Table1215[[#This Row],[Column2]],Table12[[Column2]:[Column54]],37,FALSE),"0")</f>
        <v>0</v>
      </c>
      <c r="AM224" s="78">
        <f>IFERROR(VLOOKUP(Table1215[[#This Row],[Column2]],Table12[[Column2]:[Column54]],38,FALSE),"0")</f>
        <v>0</v>
      </c>
      <c r="AN224" s="78">
        <f>IFERROR(VLOOKUP(Table1215[[#This Row],[Column2]],Table12[[Column2]:[Column54]],39,FALSE),"0")</f>
        <v>0</v>
      </c>
      <c r="AO224" s="78">
        <f>IFERROR(VLOOKUP(Table1215[[#This Row],[Column2]],Table12[[Column2]:[Column54]],40,FALSE),"0")</f>
        <v>0</v>
      </c>
      <c r="AP224" s="80">
        <f>AVERAGE(Table1215[[#This Row],[Column37]],Table1215[[#This Row],[Column38]],Table1215[[#This Row],[Column40]])</f>
        <v>0</v>
      </c>
      <c r="AQ224" s="78">
        <f>IFERROR(VLOOKUP(Table1215[[#This Row],[Column2]],Table12[[Column2]:[Column54]],42,FALSE),"0")</f>
        <v>0</v>
      </c>
      <c r="AR224" s="78">
        <f>IFERROR(VLOOKUP(Table1215[[#This Row],[Column2]],Table12[[Column2]:[Column54]],43,FALSE),"0")</f>
        <v>0</v>
      </c>
      <c r="AS224" s="78">
        <f>IFERROR(VLOOKUP(Table1215[[#This Row],[Column2]],Table12[[Column2]:[Column54]],44,FALSE),"0")</f>
        <v>0</v>
      </c>
      <c r="AT224" s="78">
        <f>IFERROR(VLOOKUP(Table1215[[#This Row],[Column2]],Table12[[Column2]:[Column54]],45,FALSE),"0")</f>
        <v>0</v>
      </c>
      <c r="AU224" s="78">
        <f>IFERROR(VLOOKUP(Table1215[[#This Row],[Column2]],Table12[[Column2]:[Column54]],46,FALSE),"0")</f>
        <v>0</v>
      </c>
      <c r="AV224" s="80">
        <f>Table1215[[#This Row],[Column43]]</f>
        <v>0</v>
      </c>
      <c r="AW224" s="78">
        <f>IFERROR(VLOOKUP(Table1215[[#This Row],[Column2]],Table12[[Column2]:[Column54]],48,FALSE),"0")</f>
        <v>0</v>
      </c>
      <c r="AX224" s="78">
        <f>IFERROR(VLOOKUP(Table1215[[#This Row],[Column2]],Table12[[Column2]:[Column54]],49,FALSE),"0")</f>
        <v>0</v>
      </c>
      <c r="AY224" s="78">
        <f>IFERROR(VLOOKUP(Table1215[[#This Row],[Column2]],Table12[[Column2]:[Column54]],50,FALSE),"0")</f>
        <v>0</v>
      </c>
      <c r="AZ224" s="78">
        <f>IFERROR(VLOOKUP(Table1215[[#This Row],[Column2]],Table12[[Column2]:[Column54]],51,FALSE),"0")</f>
        <v>0</v>
      </c>
      <c r="BA224" s="78">
        <f>IFERROR(VLOOKUP(Table1215[[#This Row],[Column2]],Table12[[Column2]:[Column54]],52,FALSE),"0")</f>
        <v>0</v>
      </c>
      <c r="BB224" s="80">
        <f>AVERAGE(Table1215[[#This Row],[Column52]],Table1215[[#This Row],[Column53]])</f>
        <v>0</v>
      </c>
    </row>
    <row r="225" spans="1:54" ht="23.1" customHeight="1" x14ac:dyDescent="0.3">
      <c r="A225" s="100">
        <v>222</v>
      </c>
      <c r="B225" s="83" t="s">
        <v>477</v>
      </c>
      <c r="C225" s="84" t="s">
        <v>478</v>
      </c>
      <c r="D225" s="83" t="s">
        <v>450</v>
      </c>
      <c r="E225" s="83" t="s">
        <v>289</v>
      </c>
      <c r="F225" s="83" t="str">
        <f>REPT(CHAR(160),10)&amp;Working!$E226</f>
        <v>          D</v>
      </c>
      <c r="G225" s="74">
        <f>IFERROR(VLOOKUP(Table1215[[#This Row],[Column2]],Table12[[Column2]:[Column54]],6,FALSE),"0")</f>
        <v>0</v>
      </c>
      <c r="H225" s="74">
        <f>IFERROR(VLOOKUP(Table1215[[#This Row],[Column2]],Table12[[Column2]:[Column54]],7,FALSE),"0")</f>
        <v>0</v>
      </c>
      <c r="I225" s="74">
        <f>IFERROR(VLOOKUP(Table1215[[#This Row],[Column2]],Table12[[Column2]:[Column54]],8,FALSE),"0")</f>
        <v>2</v>
      </c>
      <c r="J225" s="74">
        <f>IFERROR(VLOOKUP(Table1215[[#This Row],[Column2]],Table12[[Column2]:[Column54]],9,FALSE),"0")</f>
        <v>0</v>
      </c>
      <c r="K225" s="74">
        <f>IFERROR(VLOOKUP(Table1215[[#This Row],[Column2]],Table12[[Column2]:[Column54]],10,FALSE),"0")</f>
        <v>0</v>
      </c>
      <c r="L225" s="80">
        <f>Table1215[[#This Row],[Column9]]</f>
        <v>2</v>
      </c>
      <c r="M225" s="74">
        <f>IFERROR(VLOOKUP(Table1215[[#This Row],[Column2]],Table12[[Column2]:[Column54]],12,FALSE),"0")</f>
        <v>0</v>
      </c>
      <c r="N225" s="74">
        <f>IFERROR(VLOOKUP(Table1215[[#This Row],[Column2]],Table12[[Column2]:[Column54]],13,FALSE),"0")</f>
        <v>4</v>
      </c>
      <c r="O225" s="74">
        <f>IFERROR(VLOOKUP(Table1215[[#This Row],[Column2]],Table12[[Column2]:[Column54]],14,FALSE),"0")</f>
        <v>3</v>
      </c>
      <c r="P225" s="74">
        <f>IFERROR(VLOOKUP(Table1215[[#This Row],[Column2]],Table12[[Column2]:[Column54]],10,FALSE),"0")</f>
        <v>0</v>
      </c>
      <c r="Q225" s="74">
        <f>IFERROR(VLOOKUP(Table1215[[#This Row],[Column2]],Table12[[Column2]:[Column54]],16,FALSE),"0")</f>
        <v>3</v>
      </c>
      <c r="R225" s="80">
        <f>AVERAGE(Table1215[[#This Row],[Column14]],Table1215[[#This Row],[Column15]],Table1215[[#This Row],[Column17]])</f>
        <v>3.3333333333333335</v>
      </c>
      <c r="S225" s="74">
        <f>IFERROR(VLOOKUP(Table1215[[#This Row],[Column2]],Table12[[Column2]:[Column54]],18,FALSE),"0")</f>
        <v>0</v>
      </c>
      <c r="T225" s="74">
        <f>IFERROR(VLOOKUP(Table1215[[#This Row],[Column2]],Table12[[Column2]:[Column54]],19,FALSE),"0")</f>
        <v>0</v>
      </c>
      <c r="U225" s="74">
        <f>IFERROR(VLOOKUP(Table1215[[#This Row],[Column2]],Table12[[Column2]:[Column54]],20,FALSE),"0")</f>
        <v>0</v>
      </c>
      <c r="V225" s="74">
        <f>IFERROR(VLOOKUP(Table1215[[#This Row],[Column2]],Table12[[Column2]:[Column54]],21,FALSE),"0")</f>
        <v>0</v>
      </c>
      <c r="W225" s="74">
        <f>IFERROR(VLOOKUP(Table1215[[#This Row],[Column2]],Table12[[Column2]:[Column54]],22,FALSE),"0")</f>
        <v>0</v>
      </c>
      <c r="X225" s="80">
        <f>Table1215[[#This Row],[Column19]]</f>
        <v>0</v>
      </c>
      <c r="Y225" s="74">
        <f>IFERROR(VLOOKUP(Table1215[[#This Row],[Column2]],Table12[[Column2]:[Column54]],24,FALSE),"0")</f>
        <v>3</v>
      </c>
      <c r="Z225" s="74">
        <f>IFERROR(VLOOKUP(Table1215[[#This Row],[Column2]],Table12[[Column2]:[Column54]],25,FALSE),"0")</f>
        <v>0</v>
      </c>
      <c r="AA225" s="74">
        <f>IFERROR(VLOOKUP(Table1215[[#This Row],[Column2]],Table12[[Column2]:[Column54]],26,FALSE),"0")</f>
        <v>0</v>
      </c>
      <c r="AB225" s="74">
        <f>IFERROR(VLOOKUP(Table1215[[#This Row],[Column2]],Table12[[Column2]:[Column54]],27,FALSE),"0")</f>
        <v>0</v>
      </c>
      <c r="AC225" s="74">
        <f>IFERROR(VLOOKUP(Table1215[[#This Row],[Column2]],Table12[[Column2]:[Column54]],28,FALSE),"0")</f>
        <v>0</v>
      </c>
      <c r="AD225" s="80">
        <f>Table1215[[#This Row],[Column25]]</f>
        <v>3</v>
      </c>
      <c r="AE225" s="74">
        <f>IFERROR(VLOOKUP(Table1215[[#This Row],[Column2]],Table12[[Column2]:[Column54]],30,FALSE),"0")</f>
        <v>0</v>
      </c>
      <c r="AF225" s="74">
        <f>IFERROR(VLOOKUP(Table1215[[#This Row],[Column2]],Table12[[Column2]:[Column54]],31,FALSE),"0")</f>
        <v>0</v>
      </c>
      <c r="AG225" s="74">
        <f>IFERROR(VLOOKUP(Table1215[[#This Row],[Column2]],Table12[[Column2]:[Column54]],32,FALSE),"0")</f>
        <v>0</v>
      </c>
      <c r="AH225" s="74">
        <f>IFERROR(VLOOKUP(Table1215[[#This Row],[Column2]],Table12[[Column2]:[Column54]],33,FALSE),"0")</f>
        <v>0</v>
      </c>
      <c r="AI225" s="74">
        <f>IFERROR(VLOOKUP(Table1215[[#This Row],[Column2]],Table12[[Column2]:[Column54]],34,FALSE),"0")</f>
        <v>0</v>
      </c>
      <c r="AJ225" s="80">
        <f>AVERAGE(Table1215[[#This Row],[Column31]],Table1215[[#This Row],[Column32]],Table1215[[#This Row],[Column33]])</f>
        <v>0</v>
      </c>
      <c r="AK225" s="74">
        <f>IFERROR(VLOOKUP(Table1215[[#This Row],[Column2]],Table12[[Column2]:[Column54]],36,FALSE),"0")</f>
        <v>3</v>
      </c>
      <c r="AL225" s="74">
        <f>IFERROR(VLOOKUP(Table1215[[#This Row],[Column2]],Table12[[Column2]:[Column54]],37,FALSE),"0")</f>
        <v>2</v>
      </c>
      <c r="AM225" s="74">
        <f>IFERROR(VLOOKUP(Table1215[[#This Row],[Column2]],Table12[[Column2]:[Column54]],38,FALSE),"0")</f>
        <v>0</v>
      </c>
      <c r="AN225" s="74">
        <f>IFERROR(VLOOKUP(Table1215[[#This Row],[Column2]],Table12[[Column2]:[Column54]],39,FALSE),"0")</f>
        <v>2</v>
      </c>
      <c r="AO225" s="74">
        <f>IFERROR(VLOOKUP(Table1215[[#This Row],[Column2]],Table12[[Column2]:[Column54]],40,FALSE),"0")</f>
        <v>0</v>
      </c>
      <c r="AP225" s="80">
        <f>AVERAGE(Table1215[[#This Row],[Column37]],Table1215[[#This Row],[Column38]],Table1215[[#This Row],[Column40]])</f>
        <v>2.3333333333333335</v>
      </c>
      <c r="AQ225" s="74">
        <f>IFERROR(VLOOKUP(Table1215[[#This Row],[Column2]],Table12[[Column2]:[Column54]],42,FALSE),"0")</f>
        <v>3</v>
      </c>
      <c r="AR225" s="74">
        <f>IFERROR(VLOOKUP(Table1215[[#This Row],[Column2]],Table12[[Column2]:[Column54]],43,FALSE),"0")</f>
        <v>0</v>
      </c>
      <c r="AS225" s="74">
        <f>IFERROR(VLOOKUP(Table1215[[#This Row],[Column2]],Table12[[Column2]:[Column54]],44,FALSE),"0")</f>
        <v>0</v>
      </c>
      <c r="AT225" s="74">
        <f>IFERROR(VLOOKUP(Table1215[[#This Row],[Column2]],Table12[[Column2]:[Column54]],45,FALSE),"0")</f>
        <v>0</v>
      </c>
      <c r="AU225" s="74">
        <f>IFERROR(VLOOKUP(Table1215[[#This Row],[Column2]],Table12[[Column2]:[Column54]],46,FALSE),"0")</f>
        <v>0</v>
      </c>
      <c r="AV225" s="80">
        <f>Table1215[[#This Row],[Column43]]</f>
        <v>3</v>
      </c>
      <c r="AW225" s="74">
        <f>IFERROR(VLOOKUP(Table1215[[#This Row],[Column2]],Table12[[Column2]:[Column54]],48,FALSE),"0")</f>
        <v>0</v>
      </c>
      <c r="AX225" s="74">
        <f>IFERROR(VLOOKUP(Table1215[[#This Row],[Column2]],Table12[[Column2]:[Column54]],49,FALSE),"0")</f>
        <v>0</v>
      </c>
      <c r="AY225" s="74">
        <f>IFERROR(VLOOKUP(Table1215[[#This Row],[Column2]],Table12[[Column2]:[Column54]],50,FALSE),"0")</f>
        <v>0</v>
      </c>
      <c r="AZ225" s="74">
        <f>IFERROR(VLOOKUP(Table1215[[#This Row],[Column2]],Table12[[Column2]:[Column54]],51,FALSE),"0")</f>
        <v>3</v>
      </c>
      <c r="BA225" s="74">
        <f>IFERROR(VLOOKUP(Table1215[[#This Row],[Column2]],Table12[[Column2]:[Column54]],52,FALSE),"0")</f>
        <v>3</v>
      </c>
      <c r="BB225" s="80">
        <f>AVERAGE(Table1215[[#This Row],[Column52]],Table1215[[#This Row],[Column53]])</f>
        <v>3</v>
      </c>
    </row>
    <row r="226" spans="1:54" ht="23.1" customHeight="1" x14ac:dyDescent="0.3">
      <c r="A226" s="99">
        <v>223</v>
      </c>
      <c r="B226" s="76" t="s">
        <v>479</v>
      </c>
      <c r="C226" s="77" t="s">
        <v>480</v>
      </c>
      <c r="D226" s="76" t="s">
        <v>450</v>
      </c>
      <c r="E226" s="76" t="s">
        <v>289</v>
      </c>
      <c r="F226" s="76" t="str">
        <f>REPT(CHAR(160),10)&amp;Working!$E227</f>
        <v>          D</v>
      </c>
      <c r="G226" s="78">
        <f>IFERROR(VLOOKUP(Table1215[[#This Row],[Column2]],Table12[[Column2]:[Column54]],6,FALSE),"0")</f>
        <v>0</v>
      </c>
      <c r="H226" s="78">
        <f>IFERROR(VLOOKUP(Table1215[[#This Row],[Column2]],Table12[[Column2]:[Column54]],7,FALSE),"0")</f>
        <v>0</v>
      </c>
      <c r="I226" s="78">
        <f>IFERROR(VLOOKUP(Table1215[[#This Row],[Column2]],Table12[[Column2]:[Column54]],8,FALSE),"0")</f>
        <v>2</v>
      </c>
      <c r="J226" s="78">
        <f>IFERROR(VLOOKUP(Table1215[[#This Row],[Column2]],Table12[[Column2]:[Column54]],9,FALSE),"0")</f>
        <v>0</v>
      </c>
      <c r="K226" s="78">
        <f>IFERROR(VLOOKUP(Table1215[[#This Row],[Column2]],Table12[[Column2]:[Column54]],10,FALSE),"0")</f>
        <v>0</v>
      </c>
      <c r="L226" s="80">
        <f>Table1215[[#This Row],[Column9]]</f>
        <v>2</v>
      </c>
      <c r="M226" s="78">
        <f>IFERROR(VLOOKUP(Table1215[[#This Row],[Column2]],Table12[[Column2]:[Column54]],12,FALSE),"0")</f>
        <v>0</v>
      </c>
      <c r="N226" s="78">
        <f>IFERROR(VLOOKUP(Table1215[[#This Row],[Column2]],Table12[[Column2]:[Column54]],13,FALSE),"0")</f>
        <v>2</v>
      </c>
      <c r="O226" s="78">
        <f>IFERROR(VLOOKUP(Table1215[[#This Row],[Column2]],Table12[[Column2]:[Column54]],14,FALSE),"0")</f>
        <v>1</v>
      </c>
      <c r="P226" s="78">
        <f>IFERROR(VLOOKUP(Table1215[[#This Row],[Column2]],Table12[[Column2]:[Column54]],10,FALSE),"0")</f>
        <v>0</v>
      </c>
      <c r="Q226" s="78">
        <f>IFERROR(VLOOKUP(Table1215[[#This Row],[Column2]],Table12[[Column2]:[Column54]],16,FALSE),"0")</f>
        <v>1</v>
      </c>
      <c r="R226" s="80">
        <f>AVERAGE(Table1215[[#This Row],[Column14]],Table1215[[#This Row],[Column15]],Table1215[[#This Row],[Column17]])</f>
        <v>1.3333333333333333</v>
      </c>
      <c r="S226" s="78">
        <f>IFERROR(VLOOKUP(Table1215[[#This Row],[Column2]],Table12[[Column2]:[Column54]],18,FALSE),"0")</f>
        <v>0</v>
      </c>
      <c r="T226" s="78">
        <f>IFERROR(VLOOKUP(Table1215[[#This Row],[Column2]],Table12[[Column2]:[Column54]],19,FALSE),"0")</f>
        <v>0</v>
      </c>
      <c r="U226" s="78">
        <f>IFERROR(VLOOKUP(Table1215[[#This Row],[Column2]],Table12[[Column2]:[Column54]],20,FALSE),"0")</f>
        <v>0</v>
      </c>
      <c r="V226" s="78">
        <f>IFERROR(VLOOKUP(Table1215[[#This Row],[Column2]],Table12[[Column2]:[Column54]],21,FALSE),"0")</f>
        <v>0</v>
      </c>
      <c r="W226" s="78">
        <f>IFERROR(VLOOKUP(Table1215[[#This Row],[Column2]],Table12[[Column2]:[Column54]],22,FALSE),"0")</f>
        <v>0</v>
      </c>
      <c r="X226" s="80">
        <f>Table1215[[#This Row],[Column19]]</f>
        <v>0</v>
      </c>
      <c r="Y226" s="78">
        <f>IFERROR(VLOOKUP(Table1215[[#This Row],[Column2]],Table12[[Column2]:[Column54]],24,FALSE),"0")</f>
        <v>2</v>
      </c>
      <c r="Z226" s="78">
        <f>IFERROR(VLOOKUP(Table1215[[#This Row],[Column2]],Table12[[Column2]:[Column54]],25,FALSE),"0")</f>
        <v>0</v>
      </c>
      <c r="AA226" s="78">
        <f>IFERROR(VLOOKUP(Table1215[[#This Row],[Column2]],Table12[[Column2]:[Column54]],26,FALSE),"0")</f>
        <v>0</v>
      </c>
      <c r="AB226" s="78">
        <f>IFERROR(VLOOKUP(Table1215[[#This Row],[Column2]],Table12[[Column2]:[Column54]],27,FALSE),"0")</f>
        <v>0</v>
      </c>
      <c r="AC226" s="78">
        <f>IFERROR(VLOOKUP(Table1215[[#This Row],[Column2]],Table12[[Column2]:[Column54]],28,FALSE),"0")</f>
        <v>0</v>
      </c>
      <c r="AD226" s="80">
        <f>Table1215[[#This Row],[Column25]]</f>
        <v>2</v>
      </c>
      <c r="AE226" s="78">
        <f>IFERROR(VLOOKUP(Table1215[[#This Row],[Column2]],Table12[[Column2]:[Column54]],30,FALSE),"0")</f>
        <v>0</v>
      </c>
      <c r="AF226" s="78">
        <f>IFERROR(VLOOKUP(Table1215[[#This Row],[Column2]],Table12[[Column2]:[Column54]],31,FALSE),"0")</f>
        <v>0</v>
      </c>
      <c r="AG226" s="78">
        <f>IFERROR(VLOOKUP(Table1215[[#This Row],[Column2]],Table12[[Column2]:[Column54]],32,FALSE),"0")</f>
        <v>0</v>
      </c>
      <c r="AH226" s="78">
        <f>IFERROR(VLOOKUP(Table1215[[#This Row],[Column2]],Table12[[Column2]:[Column54]],33,FALSE),"0")</f>
        <v>0</v>
      </c>
      <c r="AI226" s="78">
        <f>IFERROR(VLOOKUP(Table1215[[#This Row],[Column2]],Table12[[Column2]:[Column54]],34,FALSE),"0")</f>
        <v>0</v>
      </c>
      <c r="AJ226" s="80">
        <f>AVERAGE(Table1215[[#This Row],[Column31]],Table1215[[#This Row],[Column32]],Table1215[[#This Row],[Column33]])</f>
        <v>0</v>
      </c>
      <c r="AK226" s="78">
        <f>IFERROR(VLOOKUP(Table1215[[#This Row],[Column2]],Table12[[Column2]:[Column54]],36,FALSE),"0")</f>
        <v>3</v>
      </c>
      <c r="AL226" s="78">
        <f>IFERROR(VLOOKUP(Table1215[[#This Row],[Column2]],Table12[[Column2]:[Column54]],37,FALSE),"0")</f>
        <v>2</v>
      </c>
      <c r="AM226" s="78">
        <f>IFERROR(VLOOKUP(Table1215[[#This Row],[Column2]],Table12[[Column2]:[Column54]],38,FALSE),"0")</f>
        <v>0</v>
      </c>
      <c r="AN226" s="78">
        <f>IFERROR(VLOOKUP(Table1215[[#This Row],[Column2]],Table12[[Column2]:[Column54]],39,FALSE),"0")</f>
        <v>3</v>
      </c>
      <c r="AO226" s="78">
        <f>IFERROR(VLOOKUP(Table1215[[#This Row],[Column2]],Table12[[Column2]:[Column54]],40,FALSE),"0")</f>
        <v>0</v>
      </c>
      <c r="AP226" s="80">
        <f>AVERAGE(Table1215[[#This Row],[Column37]],Table1215[[#This Row],[Column38]],Table1215[[#This Row],[Column40]])</f>
        <v>2.6666666666666665</v>
      </c>
      <c r="AQ226" s="78">
        <f>IFERROR(VLOOKUP(Table1215[[#This Row],[Column2]],Table12[[Column2]:[Column54]],42,FALSE),"0")</f>
        <v>2</v>
      </c>
      <c r="AR226" s="78">
        <f>IFERROR(VLOOKUP(Table1215[[#This Row],[Column2]],Table12[[Column2]:[Column54]],43,FALSE),"0")</f>
        <v>0</v>
      </c>
      <c r="AS226" s="78">
        <f>IFERROR(VLOOKUP(Table1215[[#This Row],[Column2]],Table12[[Column2]:[Column54]],44,FALSE),"0")</f>
        <v>0</v>
      </c>
      <c r="AT226" s="78">
        <f>IFERROR(VLOOKUP(Table1215[[#This Row],[Column2]],Table12[[Column2]:[Column54]],45,FALSE),"0")</f>
        <v>0</v>
      </c>
      <c r="AU226" s="78">
        <f>IFERROR(VLOOKUP(Table1215[[#This Row],[Column2]],Table12[[Column2]:[Column54]],46,FALSE),"0")</f>
        <v>0</v>
      </c>
      <c r="AV226" s="80">
        <f>Table1215[[#This Row],[Column43]]</f>
        <v>2</v>
      </c>
      <c r="AW226" s="78">
        <f>IFERROR(VLOOKUP(Table1215[[#This Row],[Column2]],Table12[[Column2]:[Column54]],48,FALSE),"0")</f>
        <v>0</v>
      </c>
      <c r="AX226" s="78">
        <f>IFERROR(VLOOKUP(Table1215[[#This Row],[Column2]],Table12[[Column2]:[Column54]],49,FALSE),"0")</f>
        <v>0</v>
      </c>
      <c r="AY226" s="78">
        <f>IFERROR(VLOOKUP(Table1215[[#This Row],[Column2]],Table12[[Column2]:[Column54]],50,FALSE),"0")</f>
        <v>0</v>
      </c>
      <c r="AZ226" s="78">
        <f>IFERROR(VLOOKUP(Table1215[[#This Row],[Column2]],Table12[[Column2]:[Column54]],51,FALSE),"0")</f>
        <v>2</v>
      </c>
      <c r="BA226" s="78">
        <f>IFERROR(VLOOKUP(Table1215[[#This Row],[Column2]],Table12[[Column2]:[Column54]],52,FALSE),"0")</f>
        <v>4</v>
      </c>
      <c r="BB226" s="80">
        <f>AVERAGE(Table1215[[#This Row],[Column52]],Table1215[[#This Row],[Column53]])</f>
        <v>3</v>
      </c>
    </row>
    <row r="227" spans="1:54" ht="23.1" customHeight="1" x14ac:dyDescent="0.3">
      <c r="A227" s="100">
        <v>224</v>
      </c>
      <c r="B227" s="83" t="s">
        <v>481</v>
      </c>
      <c r="C227" s="84" t="s">
        <v>482</v>
      </c>
      <c r="D227" s="83" t="s">
        <v>450</v>
      </c>
      <c r="E227" s="83" t="s">
        <v>289</v>
      </c>
      <c r="F227" s="83" t="str">
        <f>REPT(CHAR(160),10)&amp;Working!$E228</f>
        <v>          D</v>
      </c>
      <c r="G227" s="74">
        <f>IFERROR(VLOOKUP(Table1215[[#This Row],[Column2]],Table12[[Column2]:[Column54]],6,FALSE),"0")</f>
        <v>0</v>
      </c>
      <c r="H227" s="74">
        <f>IFERROR(VLOOKUP(Table1215[[#This Row],[Column2]],Table12[[Column2]:[Column54]],7,FALSE),"0")</f>
        <v>0</v>
      </c>
      <c r="I227" s="74">
        <f>IFERROR(VLOOKUP(Table1215[[#This Row],[Column2]],Table12[[Column2]:[Column54]],8,FALSE),"0")</f>
        <v>3</v>
      </c>
      <c r="J227" s="74">
        <f>IFERROR(VLOOKUP(Table1215[[#This Row],[Column2]],Table12[[Column2]:[Column54]],9,FALSE),"0")</f>
        <v>0</v>
      </c>
      <c r="K227" s="74">
        <f>IFERROR(VLOOKUP(Table1215[[#This Row],[Column2]],Table12[[Column2]:[Column54]],10,FALSE),"0")</f>
        <v>0</v>
      </c>
      <c r="L227" s="80">
        <f>Table1215[[#This Row],[Column9]]</f>
        <v>3</v>
      </c>
      <c r="M227" s="74">
        <f>IFERROR(VLOOKUP(Table1215[[#This Row],[Column2]],Table12[[Column2]:[Column54]],12,FALSE),"0")</f>
        <v>0</v>
      </c>
      <c r="N227" s="74">
        <f>IFERROR(VLOOKUP(Table1215[[#This Row],[Column2]],Table12[[Column2]:[Column54]],13,FALSE),"0")</f>
        <v>3</v>
      </c>
      <c r="O227" s="74">
        <f>IFERROR(VLOOKUP(Table1215[[#This Row],[Column2]],Table12[[Column2]:[Column54]],14,FALSE),"0")</f>
        <v>3</v>
      </c>
      <c r="P227" s="74">
        <f>IFERROR(VLOOKUP(Table1215[[#This Row],[Column2]],Table12[[Column2]:[Column54]],10,FALSE),"0")</f>
        <v>0</v>
      </c>
      <c r="Q227" s="74">
        <f>IFERROR(VLOOKUP(Table1215[[#This Row],[Column2]],Table12[[Column2]:[Column54]],16,FALSE),"0")</f>
        <v>3</v>
      </c>
      <c r="R227" s="80">
        <f>AVERAGE(Table1215[[#This Row],[Column14]],Table1215[[#This Row],[Column15]],Table1215[[#This Row],[Column17]])</f>
        <v>3</v>
      </c>
      <c r="S227" s="74">
        <f>IFERROR(VLOOKUP(Table1215[[#This Row],[Column2]],Table12[[Column2]:[Column54]],18,FALSE),"0")</f>
        <v>0</v>
      </c>
      <c r="T227" s="74">
        <f>IFERROR(VLOOKUP(Table1215[[#This Row],[Column2]],Table12[[Column2]:[Column54]],19,FALSE),"0")</f>
        <v>0</v>
      </c>
      <c r="U227" s="74">
        <f>IFERROR(VLOOKUP(Table1215[[#This Row],[Column2]],Table12[[Column2]:[Column54]],20,FALSE),"0")</f>
        <v>0</v>
      </c>
      <c r="V227" s="74">
        <f>IFERROR(VLOOKUP(Table1215[[#This Row],[Column2]],Table12[[Column2]:[Column54]],21,FALSE),"0")</f>
        <v>0</v>
      </c>
      <c r="W227" s="74">
        <f>IFERROR(VLOOKUP(Table1215[[#This Row],[Column2]],Table12[[Column2]:[Column54]],22,FALSE),"0")</f>
        <v>0</v>
      </c>
      <c r="X227" s="80">
        <f>Table1215[[#This Row],[Column19]]</f>
        <v>0</v>
      </c>
      <c r="Y227" s="74">
        <f>IFERROR(VLOOKUP(Table1215[[#This Row],[Column2]],Table12[[Column2]:[Column54]],24,FALSE),"0")</f>
        <v>3</v>
      </c>
      <c r="Z227" s="74">
        <f>IFERROR(VLOOKUP(Table1215[[#This Row],[Column2]],Table12[[Column2]:[Column54]],25,FALSE),"0")</f>
        <v>0</v>
      </c>
      <c r="AA227" s="74">
        <f>IFERROR(VLOOKUP(Table1215[[#This Row],[Column2]],Table12[[Column2]:[Column54]],26,FALSE),"0")</f>
        <v>0</v>
      </c>
      <c r="AB227" s="74">
        <f>IFERROR(VLOOKUP(Table1215[[#This Row],[Column2]],Table12[[Column2]:[Column54]],27,FALSE),"0")</f>
        <v>0</v>
      </c>
      <c r="AC227" s="74">
        <f>IFERROR(VLOOKUP(Table1215[[#This Row],[Column2]],Table12[[Column2]:[Column54]],28,FALSE),"0")</f>
        <v>0</v>
      </c>
      <c r="AD227" s="80">
        <f>Table1215[[#This Row],[Column25]]</f>
        <v>3</v>
      </c>
      <c r="AE227" s="74">
        <f>IFERROR(VLOOKUP(Table1215[[#This Row],[Column2]],Table12[[Column2]:[Column54]],30,FALSE),"0")</f>
        <v>0</v>
      </c>
      <c r="AF227" s="74">
        <f>IFERROR(VLOOKUP(Table1215[[#This Row],[Column2]],Table12[[Column2]:[Column54]],31,FALSE),"0")</f>
        <v>0</v>
      </c>
      <c r="AG227" s="74">
        <f>IFERROR(VLOOKUP(Table1215[[#This Row],[Column2]],Table12[[Column2]:[Column54]],32,FALSE),"0")</f>
        <v>0</v>
      </c>
      <c r="AH227" s="74">
        <f>IFERROR(VLOOKUP(Table1215[[#This Row],[Column2]],Table12[[Column2]:[Column54]],33,FALSE),"0")</f>
        <v>0</v>
      </c>
      <c r="AI227" s="74">
        <f>IFERROR(VLOOKUP(Table1215[[#This Row],[Column2]],Table12[[Column2]:[Column54]],34,FALSE),"0")</f>
        <v>0</v>
      </c>
      <c r="AJ227" s="80">
        <f>AVERAGE(Table1215[[#This Row],[Column31]],Table1215[[#This Row],[Column32]],Table1215[[#This Row],[Column33]])</f>
        <v>0</v>
      </c>
      <c r="AK227" s="74">
        <f>IFERROR(VLOOKUP(Table1215[[#This Row],[Column2]],Table12[[Column2]:[Column54]],36,FALSE),"0")</f>
        <v>2</v>
      </c>
      <c r="AL227" s="74">
        <f>IFERROR(VLOOKUP(Table1215[[#This Row],[Column2]],Table12[[Column2]:[Column54]],37,FALSE),"0")</f>
        <v>3</v>
      </c>
      <c r="AM227" s="74">
        <f>IFERROR(VLOOKUP(Table1215[[#This Row],[Column2]],Table12[[Column2]:[Column54]],38,FALSE),"0")</f>
        <v>0</v>
      </c>
      <c r="AN227" s="74">
        <f>IFERROR(VLOOKUP(Table1215[[#This Row],[Column2]],Table12[[Column2]:[Column54]],39,FALSE),"0")</f>
        <v>3</v>
      </c>
      <c r="AO227" s="74">
        <f>IFERROR(VLOOKUP(Table1215[[#This Row],[Column2]],Table12[[Column2]:[Column54]],40,FALSE),"0")</f>
        <v>0</v>
      </c>
      <c r="AP227" s="80">
        <f>AVERAGE(Table1215[[#This Row],[Column37]],Table1215[[#This Row],[Column38]],Table1215[[#This Row],[Column40]])</f>
        <v>2.6666666666666665</v>
      </c>
      <c r="AQ227" s="74">
        <f>IFERROR(VLOOKUP(Table1215[[#This Row],[Column2]],Table12[[Column2]:[Column54]],42,FALSE),"0")</f>
        <v>3</v>
      </c>
      <c r="AR227" s="74">
        <f>IFERROR(VLOOKUP(Table1215[[#This Row],[Column2]],Table12[[Column2]:[Column54]],43,FALSE),"0")</f>
        <v>0</v>
      </c>
      <c r="AS227" s="74">
        <f>IFERROR(VLOOKUP(Table1215[[#This Row],[Column2]],Table12[[Column2]:[Column54]],44,FALSE),"0")</f>
        <v>0</v>
      </c>
      <c r="AT227" s="74">
        <f>IFERROR(VLOOKUP(Table1215[[#This Row],[Column2]],Table12[[Column2]:[Column54]],45,FALSE),"0")</f>
        <v>0</v>
      </c>
      <c r="AU227" s="74">
        <f>IFERROR(VLOOKUP(Table1215[[#This Row],[Column2]],Table12[[Column2]:[Column54]],46,FALSE),"0")</f>
        <v>0</v>
      </c>
      <c r="AV227" s="80">
        <f>Table1215[[#This Row],[Column43]]</f>
        <v>3</v>
      </c>
      <c r="AW227" s="74">
        <f>IFERROR(VLOOKUP(Table1215[[#This Row],[Column2]],Table12[[Column2]:[Column54]],48,FALSE),"0")</f>
        <v>0</v>
      </c>
      <c r="AX227" s="74">
        <f>IFERROR(VLOOKUP(Table1215[[#This Row],[Column2]],Table12[[Column2]:[Column54]],49,FALSE),"0")</f>
        <v>0</v>
      </c>
      <c r="AY227" s="74">
        <f>IFERROR(VLOOKUP(Table1215[[#This Row],[Column2]],Table12[[Column2]:[Column54]],50,FALSE),"0")</f>
        <v>0</v>
      </c>
      <c r="AZ227" s="74">
        <f>IFERROR(VLOOKUP(Table1215[[#This Row],[Column2]],Table12[[Column2]:[Column54]],51,FALSE),"0")</f>
        <v>3</v>
      </c>
      <c r="BA227" s="74">
        <f>IFERROR(VLOOKUP(Table1215[[#This Row],[Column2]],Table12[[Column2]:[Column54]],52,FALSE),"0")</f>
        <v>2</v>
      </c>
      <c r="BB227" s="80">
        <f>AVERAGE(Table1215[[#This Row],[Column52]],Table1215[[#This Row],[Column53]])</f>
        <v>2.5</v>
      </c>
    </row>
    <row r="228" spans="1:54" ht="23.1" customHeight="1" x14ac:dyDescent="0.3">
      <c r="A228" s="99">
        <v>225</v>
      </c>
      <c r="B228" s="76" t="s">
        <v>483</v>
      </c>
      <c r="C228" s="77" t="s">
        <v>540</v>
      </c>
      <c r="D228" s="76" t="s">
        <v>450</v>
      </c>
      <c r="E228" s="76" t="s">
        <v>289</v>
      </c>
      <c r="F228" s="76" t="str">
        <f>REPT(CHAR(160),10)&amp;Working!$E229</f>
        <v>          D</v>
      </c>
      <c r="G228" s="78">
        <f>IFERROR(VLOOKUP(Table1215[[#This Row],[Column2]],Table12[[Column2]:[Column54]],6,FALSE),"0")</f>
        <v>0</v>
      </c>
      <c r="H228" s="78">
        <f>IFERROR(VLOOKUP(Table1215[[#This Row],[Column2]],Table12[[Column2]:[Column54]],7,FALSE),"0")</f>
        <v>0</v>
      </c>
      <c r="I228" s="78">
        <f>IFERROR(VLOOKUP(Table1215[[#This Row],[Column2]],Table12[[Column2]:[Column54]],8,FALSE),"0")</f>
        <v>2</v>
      </c>
      <c r="J228" s="78">
        <f>IFERROR(VLOOKUP(Table1215[[#This Row],[Column2]],Table12[[Column2]:[Column54]],9,FALSE),"0")</f>
        <v>0</v>
      </c>
      <c r="K228" s="78">
        <f>IFERROR(VLOOKUP(Table1215[[#This Row],[Column2]],Table12[[Column2]:[Column54]],10,FALSE),"0")</f>
        <v>0</v>
      </c>
      <c r="L228" s="80">
        <f>Table1215[[#This Row],[Column9]]</f>
        <v>2</v>
      </c>
      <c r="M228" s="78">
        <f>IFERROR(VLOOKUP(Table1215[[#This Row],[Column2]],Table12[[Column2]:[Column54]],12,FALSE),"0")</f>
        <v>0</v>
      </c>
      <c r="N228" s="78">
        <f>IFERROR(VLOOKUP(Table1215[[#This Row],[Column2]],Table12[[Column2]:[Column54]],13,FALSE),"0")</f>
        <v>2</v>
      </c>
      <c r="O228" s="78">
        <f>IFERROR(VLOOKUP(Table1215[[#This Row],[Column2]],Table12[[Column2]:[Column54]],14,FALSE),"0")</f>
        <v>3</v>
      </c>
      <c r="P228" s="78">
        <f>IFERROR(VLOOKUP(Table1215[[#This Row],[Column2]],Table12[[Column2]:[Column54]],10,FALSE),"0")</f>
        <v>0</v>
      </c>
      <c r="Q228" s="78">
        <f>IFERROR(VLOOKUP(Table1215[[#This Row],[Column2]],Table12[[Column2]:[Column54]],16,FALSE),"0")</f>
        <v>3</v>
      </c>
      <c r="R228" s="80">
        <f>AVERAGE(Table1215[[#This Row],[Column14]],Table1215[[#This Row],[Column15]],Table1215[[#This Row],[Column17]])</f>
        <v>2.6666666666666665</v>
      </c>
      <c r="S228" s="78">
        <f>IFERROR(VLOOKUP(Table1215[[#This Row],[Column2]],Table12[[Column2]:[Column54]],18,FALSE),"0")</f>
        <v>0</v>
      </c>
      <c r="T228" s="78">
        <f>IFERROR(VLOOKUP(Table1215[[#This Row],[Column2]],Table12[[Column2]:[Column54]],19,FALSE),"0")</f>
        <v>0</v>
      </c>
      <c r="U228" s="78">
        <f>IFERROR(VLOOKUP(Table1215[[#This Row],[Column2]],Table12[[Column2]:[Column54]],20,FALSE),"0")</f>
        <v>0</v>
      </c>
      <c r="V228" s="78">
        <f>IFERROR(VLOOKUP(Table1215[[#This Row],[Column2]],Table12[[Column2]:[Column54]],21,FALSE),"0")</f>
        <v>0</v>
      </c>
      <c r="W228" s="78">
        <f>IFERROR(VLOOKUP(Table1215[[#This Row],[Column2]],Table12[[Column2]:[Column54]],22,FALSE),"0")</f>
        <v>0</v>
      </c>
      <c r="X228" s="80">
        <f>Table1215[[#This Row],[Column19]]</f>
        <v>0</v>
      </c>
      <c r="Y228" s="78">
        <f>IFERROR(VLOOKUP(Table1215[[#This Row],[Column2]],Table12[[Column2]:[Column54]],24,FALSE),"0")</f>
        <v>2</v>
      </c>
      <c r="Z228" s="78">
        <f>IFERROR(VLOOKUP(Table1215[[#This Row],[Column2]],Table12[[Column2]:[Column54]],25,FALSE),"0")</f>
        <v>0</v>
      </c>
      <c r="AA228" s="78">
        <f>IFERROR(VLOOKUP(Table1215[[#This Row],[Column2]],Table12[[Column2]:[Column54]],26,FALSE),"0")</f>
        <v>0</v>
      </c>
      <c r="AB228" s="78">
        <f>IFERROR(VLOOKUP(Table1215[[#This Row],[Column2]],Table12[[Column2]:[Column54]],27,FALSE),"0")</f>
        <v>0</v>
      </c>
      <c r="AC228" s="78">
        <f>IFERROR(VLOOKUP(Table1215[[#This Row],[Column2]],Table12[[Column2]:[Column54]],28,FALSE),"0")</f>
        <v>0</v>
      </c>
      <c r="AD228" s="80">
        <f>Table1215[[#This Row],[Column25]]</f>
        <v>2</v>
      </c>
      <c r="AE228" s="78">
        <f>IFERROR(VLOOKUP(Table1215[[#This Row],[Column2]],Table12[[Column2]:[Column54]],30,FALSE),"0")</f>
        <v>0</v>
      </c>
      <c r="AF228" s="78">
        <f>IFERROR(VLOOKUP(Table1215[[#This Row],[Column2]],Table12[[Column2]:[Column54]],31,FALSE),"0")</f>
        <v>0</v>
      </c>
      <c r="AG228" s="78">
        <f>IFERROR(VLOOKUP(Table1215[[#This Row],[Column2]],Table12[[Column2]:[Column54]],32,FALSE),"0")</f>
        <v>0</v>
      </c>
      <c r="AH228" s="78">
        <f>IFERROR(VLOOKUP(Table1215[[#This Row],[Column2]],Table12[[Column2]:[Column54]],33,FALSE),"0")</f>
        <v>0</v>
      </c>
      <c r="AI228" s="78">
        <f>IFERROR(VLOOKUP(Table1215[[#This Row],[Column2]],Table12[[Column2]:[Column54]],34,FALSE),"0")</f>
        <v>0</v>
      </c>
      <c r="AJ228" s="80">
        <f>AVERAGE(Table1215[[#This Row],[Column31]],Table1215[[#This Row],[Column32]],Table1215[[#This Row],[Column33]])</f>
        <v>0</v>
      </c>
      <c r="AK228" s="78">
        <f>IFERROR(VLOOKUP(Table1215[[#This Row],[Column2]],Table12[[Column2]:[Column54]],36,FALSE),"0")</f>
        <v>2</v>
      </c>
      <c r="AL228" s="78">
        <f>IFERROR(VLOOKUP(Table1215[[#This Row],[Column2]],Table12[[Column2]:[Column54]],37,FALSE),"0")</f>
        <v>2</v>
      </c>
      <c r="AM228" s="78">
        <f>IFERROR(VLOOKUP(Table1215[[#This Row],[Column2]],Table12[[Column2]:[Column54]],38,FALSE),"0")</f>
        <v>0</v>
      </c>
      <c r="AN228" s="78">
        <f>IFERROR(VLOOKUP(Table1215[[#This Row],[Column2]],Table12[[Column2]:[Column54]],39,FALSE),"0")</f>
        <v>3</v>
      </c>
      <c r="AO228" s="78">
        <f>IFERROR(VLOOKUP(Table1215[[#This Row],[Column2]],Table12[[Column2]:[Column54]],40,FALSE),"0")</f>
        <v>0</v>
      </c>
      <c r="AP228" s="80">
        <f>AVERAGE(Table1215[[#This Row],[Column37]],Table1215[[#This Row],[Column38]],Table1215[[#This Row],[Column40]])</f>
        <v>2.3333333333333335</v>
      </c>
      <c r="AQ228" s="78">
        <f>IFERROR(VLOOKUP(Table1215[[#This Row],[Column2]],Table12[[Column2]:[Column54]],42,FALSE),"0")</f>
        <v>2</v>
      </c>
      <c r="AR228" s="78">
        <f>IFERROR(VLOOKUP(Table1215[[#This Row],[Column2]],Table12[[Column2]:[Column54]],43,FALSE),"0")</f>
        <v>0</v>
      </c>
      <c r="AS228" s="78">
        <f>IFERROR(VLOOKUP(Table1215[[#This Row],[Column2]],Table12[[Column2]:[Column54]],44,FALSE),"0")</f>
        <v>0</v>
      </c>
      <c r="AT228" s="78">
        <f>IFERROR(VLOOKUP(Table1215[[#This Row],[Column2]],Table12[[Column2]:[Column54]],45,FALSE),"0")</f>
        <v>0</v>
      </c>
      <c r="AU228" s="78">
        <f>IFERROR(VLOOKUP(Table1215[[#This Row],[Column2]],Table12[[Column2]:[Column54]],46,FALSE),"0")</f>
        <v>0</v>
      </c>
      <c r="AV228" s="80">
        <f>Table1215[[#This Row],[Column43]]</f>
        <v>2</v>
      </c>
      <c r="AW228" s="78">
        <f>IFERROR(VLOOKUP(Table1215[[#This Row],[Column2]],Table12[[Column2]:[Column54]],48,FALSE),"0")</f>
        <v>0</v>
      </c>
      <c r="AX228" s="78">
        <f>IFERROR(VLOOKUP(Table1215[[#This Row],[Column2]],Table12[[Column2]:[Column54]],49,FALSE),"0")</f>
        <v>0</v>
      </c>
      <c r="AY228" s="78">
        <f>IFERROR(VLOOKUP(Table1215[[#This Row],[Column2]],Table12[[Column2]:[Column54]],50,FALSE),"0")</f>
        <v>0</v>
      </c>
      <c r="AZ228" s="78">
        <f>IFERROR(VLOOKUP(Table1215[[#This Row],[Column2]],Table12[[Column2]:[Column54]],51,FALSE),"0")</f>
        <v>3</v>
      </c>
      <c r="BA228" s="78">
        <f>IFERROR(VLOOKUP(Table1215[[#This Row],[Column2]],Table12[[Column2]:[Column54]],52,FALSE),"0")</f>
        <v>2</v>
      </c>
      <c r="BB228" s="80">
        <f>AVERAGE(Table1215[[#This Row],[Column52]],Table1215[[#This Row],[Column53]])</f>
        <v>2.5</v>
      </c>
    </row>
    <row r="229" spans="1:54" ht="23.1" customHeight="1" x14ac:dyDescent="0.3">
      <c r="A229" s="100">
        <v>226</v>
      </c>
      <c r="B229" s="83" t="s">
        <v>484</v>
      </c>
      <c r="C229" s="84" t="s">
        <v>485</v>
      </c>
      <c r="D229" s="83" t="s">
        <v>450</v>
      </c>
      <c r="E229" s="83" t="s">
        <v>289</v>
      </c>
      <c r="F229" s="83" t="str">
        <f>REPT(CHAR(160),10)&amp;Working!$E230</f>
        <v>          D</v>
      </c>
      <c r="G229" s="74">
        <f>IFERROR(VLOOKUP(Table1215[[#This Row],[Column2]],Table12[[Column2]:[Column54]],6,FALSE),"0")</f>
        <v>0</v>
      </c>
      <c r="H229" s="74">
        <f>IFERROR(VLOOKUP(Table1215[[#This Row],[Column2]],Table12[[Column2]:[Column54]],7,FALSE),"0")</f>
        <v>0</v>
      </c>
      <c r="I229" s="74">
        <f>IFERROR(VLOOKUP(Table1215[[#This Row],[Column2]],Table12[[Column2]:[Column54]],8,FALSE),"0")</f>
        <v>2</v>
      </c>
      <c r="J229" s="74">
        <f>IFERROR(VLOOKUP(Table1215[[#This Row],[Column2]],Table12[[Column2]:[Column54]],9,FALSE),"0")</f>
        <v>0</v>
      </c>
      <c r="K229" s="74">
        <f>IFERROR(VLOOKUP(Table1215[[#This Row],[Column2]],Table12[[Column2]:[Column54]],10,FALSE),"0")</f>
        <v>0</v>
      </c>
      <c r="L229" s="80">
        <f>Table1215[[#This Row],[Column9]]</f>
        <v>2</v>
      </c>
      <c r="M229" s="74">
        <f>IFERROR(VLOOKUP(Table1215[[#This Row],[Column2]],Table12[[Column2]:[Column54]],12,FALSE),"0")</f>
        <v>0</v>
      </c>
      <c r="N229" s="74">
        <f>IFERROR(VLOOKUP(Table1215[[#This Row],[Column2]],Table12[[Column2]:[Column54]],13,FALSE),"0")</f>
        <v>3</v>
      </c>
      <c r="O229" s="74">
        <f>IFERROR(VLOOKUP(Table1215[[#This Row],[Column2]],Table12[[Column2]:[Column54]],14,FALSE),"0")</f>
        <v>3</v>
      </c>
      <c r="P229" s="74">
        <f>IFERROR(VLOOKUP(Table1215[[#This Row],[Column2]],Table12[[Column2]:[Column54]],10,FALSE),"0")</f>
        <v>0</v>
      </c>
      <c r="Q229" s="74">
        <f>IFERROR(VLOOKUP(Table1215[[#This Row],[Column2]],Table12[[Column2]:[Column54]],16,FALSE),"0")</f>
        <v>3</v>
      </c>
      <c r="R229" s="80">
        <f>AVERAGE(Table1215[[#This Row],[Column14]],Table1215[[#This Row],[Column15]],Table1215[[#This Row],[Column17]])</f>
        <v>3</v>
      </c>
      <c r="S229" s="74">
        <f>IFERROR(VLOOKUP(Table1215[[#This Row],[Column2]],Table12[[Column2]:[Column54]],18,FALSE),"0")</f>
        <v>0</v>
      </c>
      <c r="T229" s="74">
        <f>IFERROR(VLOOKUP(Table1215[[#This Row],[Column2]],Table12[[Column2]:[Column54]],19,FALSE),"0")</f>
        <v>0</v>
      </c>
      <c r="U229" s="74">
        <f>IFERROR(VLOOKUP(Table1215[[#This Row],[Column2]],Table12[[Column2]:[Column54]],20,FALSE),"0")</f>
        <v>0</v>
      </c>
      <c r="V229" s="74">
        <f>IFERROR(VLOOKUP(Table1215[[#This Row],[Column2]],Table12[[Column2]:[Column54]],21,FALSE),"0")</f>
        <v>0</v>
      </c>
      <c r="W229" s="74">
        <f>IFERROR(VLOOKUP(Table1215[[#This Row],[Column2]],Table12[[Column2]:[Column54]],22,FALSE),"0")</f>
        <v>0</v>
      </c>
      <c r="X229" s="80">
        <f>Table1215[[#This Row],[Column19]]</f>
        <v>0</v>
      </c>
      <c r="Y229" s="74">
        <f>IFERROR(VLOOKUP(Table1215[[#This Row],[Column2]],Table12[[Column2]:[Column54]],24,FALSE),"0")</f>
        <v>3</v>
      </c>
      <c r="Z229" s="74">
        <f>IFERROR(VLOOKUP(Table1215[[#This Row],[Column2]],Table12[[Column2]:[Column54]],25,FALSE),"0")</f>
        <v>0</v>
      </c>
      <c r="AA229" s="74">
        <f>IFERROR(VLOOKUP(Table1215[[#This Row],[Column2]],Table12[[Column2]:[Column54]],26,FALSE),"0")</f>
        <v>0</v>
      </c>
      <c r="AB229" s="74">
        <f>IFERROR(VLOOKUP(Table1215[[#This Row],[Column2]],Table12[[Column2]:[Column54]],27,FALSE),"0")</f>
        <v>0</v>
      </c>
      <c r="AC229" s="74">
        <f>IFERROR(VLOOKUP(Table1215[[#This Row],[Column2]],Table12[[Column2]:[Column54]],28,FALSE),"0")</f>
        <v>0</v>
      </c>
      <c r="AD229" s="80">
        <f>Table1215[[#This Row],[Column25]]</f>
        <v>3</v>
      </c>
      <c r="AE229" s="74">
        <f>IFERROR(VLOOKUP(Table1215[[#This Row],[Column2]],Table12[[Column2]:[Column54]],30,FALSE),"0")</f>
        <v>0</v>
      </c>
      <c r="AF229" s="74">
        <f>IFERROR(VLOOKUP(Table1215[[#This Row],[Column2]],Table12[[Column2]:[Column54]],31,FALSE),"0")</f>
        <v>0</v>
      </c>
      <c r="AG229" s="74">
        <f>IFERROR(VLOOKUP(Table1215[[#This Row],[Column2]],Table12[[Column2]:[Column54]],32,FALSE),"0")</f>
        <v>0</v>
      </c>
      <c r="AH229" s="74">
        <f>IFERROR(VLOOKUP(Table1215[[#This Row],[Column2]],Table12[[Column2]:[Column54]],33,FALSE),"0")</f>
        <v>0</v>
      </c>
      <c r="AI229" s="74">
        <f>IFERROR(VLOOKUP(Table1215[[#This Row],[Column2]],Table12[[Column2]:[Column54]],34,FALSE),"0")</f>
        <v>0</v>
      </c>
      <c r="AJ229" s="80">
        <f>AVERAGE(Table1215[[#This Row],[Column31]],Table1215[[#This Row],[Column32]],Table1215[[#This Row],[Column33]])</f>
        <v>0</v>
      </c>
      <c r="AK229" s="74">
        <f>IFERROR(VLOOKUP(Table1215[[#This Row],[Column2]],Table12[[Column2]:[Column54]],36,FALSE),"0")</f>
        <v>2</v>
      </c>
      <c r="AL229" s="74">
        <f>IFERROR(VLOOKUP(Table1215[[#This Row],[Column2]],Table12[[Column2]:[Column54]],37,FALSE),"0")</f>
        <v>2</v>
      </c>
      <c r="AM229" s="74">
        <f>IFERROR(VLOOKUP(Table1215[[#This Row],[Column2]],Table12[[Column2]:[Column54]],38,FALSE),"0")</f>
        <v>0</v>
      </c>
      <c r="AN229" s="74">
        <f>IFERROR(VLOOKUP(Table1215[[#This Row],[Column2]],Table12[[Column2]:[Column54]],39,FALSE),"0")</f>
        <v>3</v>
      </c>
      <c r="AO229" s="74">
        <f>IFERROR(VLOOKUP(Table1215[[#This Row],[Column2]],Table12[[Column2]:[Column54]],40,FALSE),"0")</f>
        <v>0</v>
      </c>
      <c r="AP229" s="80">
        <f>AVERAGE(Table1215[[#This Row],[Column37]],Table1215[[#This Row],[Column38]],Table1215[[#This Row],[Column40]])</f>
        <v>2.3333333333333335</v>
      </c>
      <c r="AQ229" s="74">
        <f>IFERROR(VLOOKUP(Table1215[[#This Row],[Column2]],Table12[[Column2]:[Column54]],42,FALSE),"0")</f>
        <v>0</v>
      </c>
      <c r="AR229" s="74">
        <f>IFERROR(VLOOKUP(Table1215[[#This Row],[Column2]],Table12[[Column2]:[Column54]],43,FALSE),"0")</f>
        <v>0</v>
      </c>
      <c r="AS229" s="74">
        <f>IFERROR(VLOOKUP(Table1215[[#This Row],[Column2]],Table12[[Column2]:[Column54]],44,FALSE),"0")</f>
        <v>0</v>
      </c>
      <c r="AT229" s="74">
        <f>IFERROR(VLOOKUP(Table1215[[#This Row],[Column2]],Table12[[Column2]:[Column54]],45,FALSE),"0")</f>
        <v>0</v>
      </c>
      <c r="AU229" s="74">
        <f>IFERROR(VLOOKUP(Table1215[[#This Row],[Column2]],Table12[[Column2]:[Column54]],46,FALSE),"0")</f>
        <v>0</v>
      </c>
      <c r="AV229" s="80">
        <f>Table1215[[#This Row],[Column43]]</f>
        <v>0</v>
      </c>
      <c r="AW229" s="74">
        <f>IFERROR(VLOOKUP(Table1215[[#This Row],[Column2]],Table12[[Column2]:[Column54]],48,FALSE),"0")</f>
        <v>0</v>
      </c>
      <c r="AX229" s="74">
        <f>IFERROR(VLOOKUP(Table1215[[#This Row],[Column2]],Table12[[Column2]:[Column54]],49,FALSE),"0")</f>
        <v>0</v>
      </c>
      <c r="AY229" s="74">
        <f>IFERROR(VLOOKUP(Table1215[[#This Row],[Column2]],Table12[[Column2]:[Column54]],50,FALSE),"0")</f>
        <v>0</v>
      </c>
      <c r="AZ229" s="74">
        <f>IFERROR(VLOOKUP(Table1215[[#This Row],[Column2]],Table12[[Column2]:[Column54]],51,FALSE),"0")</f>
        <v>3</v>
      </c>
      <c r="BA229" s="74">
        <f>IFERROR(VLOOKUP(Table1215[[#This Row],[Column2]],Table12[[Column2]:[Column54]],52,FALSE),"0")</f>
        <v>3</v>
      </c>
      <c r="BB229" s="80">
        <f>AVERAGE(Table1215[[#This Row],[Column52]],Table1215[[#This Row],[Column53]])</f>
        <v>3</v>
      </c>
    </row>
    <row r="230" spans="1:54" ht="23.1" customHeight="1" x14ac:dyDescent="0.3">
      <c r="A230" s="99">
        <v>227</v>
      </c>
      <c r="B230" s="76" t="s">
        <v>486</v>
      </c>
      <c r="C230" s="77" t="s">
        <v>487</v>
      </c>
      <c r="D230" s="76" t="s">
        <v>450</v>
      </c>
      <c r="E230" s="76" t="s">
        <v>289</v>
      </c>
      <c r="F230" s="76" t="str">
        <f>REPT(CHAR(160),10)&amp;Working!$E231</f>
        <v>          D</v>
      </c>
      <c r="G230" s="78">
        <f>IFERROR(VLOOKUP(Table1215[[#This Row],[Column2]],Table12[[Column2]:[Column54]],6,FALSE),"0")</f>
        <v>0</v>
      </c>
      <c r="H230" s="78">
        <f>IFERROR(VLOOKUP(Table1215[[#This Row],[Column2]],Table12[[Column2]:[Column54]],7,FALSE),"0")</f>
        <v>0</v>
      </c>
      <c r="I230" s="78" t="str">
        <f>IFERROR(VLOOKUP(Table1215[[#This Row],[Column2]],Table12[[Column2]:[Column54]],8,FALSE),"0")</f>
        <v>A</v>
      </c>
      <c r="J230" s="78">
        <f>IFERROR(VLOOKUP(Table1215[[#This Row],[Column2]],Table12[[Column2]:[Column54]],9,FALSE),"0")</f>
        <v>0</v>
      </c>
      <c r="K230" s="78">
        <f>IFERROR(VLOOKUP(Table1215[[#This Row],[Column2]],Table12[[Column2]:[Column54]],10,FALSE),"0")</f>
        <v>0</v>
      </c>
      <c r="L230" s="80" t="str">
        <f>Table1215[[#This Row],[Column9]]</f>
        <v>A</v>
      </c>
      <c r="M230" s="78">
        <f>IFERROR(VLOOKUP(Table1215[[#This Row],[Column2]],Table12[[Column2]:[Column54]],12,FALSE),"0")</f>
        <v>0</v>
      </c>
      <c r="N230" s="78" t="str">
        <f>IFERROR(VLOOKUP(Table1215[[#This Row],[Column2]],Table12[[Column2]:[Column54]],13,FALSE),"0")</f>
        <v>0</v>
      </c>
      <c r="O230" s="78" t="str">
        <f>IFERROR(VLOOKUP(Table1215[[#This Row],[Column2]],Table12[[Column2]:[Column54]],14,FALSE),"0")</f>
        <v>0</v>
      </c>
      <c r="P230" s="78">
        <f>IFERROR(VLOOKUP(Table1215[[#This Row],[Column2]],Table12[[Column2]:[Column54]],10,FALSE),"0")</f>
        <v>0</v>
      </c>
      <c r="Q230" s="78" t="str">
        <f>IFERROR(VLOOKUP(Table1215[[#This Row],[Column2]],Table12[[Column2]:[Column54]],16,FALSE),"0")</f>
        <v>0</v>
      </c>
      <c r="R230" s="80" t="e">
        <f>AVERAGE(Table1215[[#This Row],[Column14]],Table1215[[#This Row],[Column15]],Table1215[[#This Row],[Column17]])</f>
        <v>#DIV/0!</v>
      </c>
      <c r="S230" s="78">
        <f>IFERROR(VLOOKUP(Table1215[[#This Row],[Column2]],Table12[[Column2]:[Column54]],18,FALSE),"0")</f>
        <v>0</v>
      </c>
      <c r="T230" s="78">
        <f>IFERROR(VLOOKUP(Table1215[[#This Row],[Column2]],Table12[[Column2]:[Column54]],19,FALSE),"0")</f>
        <v>0</v>
      </c>
      <c r="U230" s="78">
        <f>IFERROR(VLOOKUP(Table1215[[#This Row],[Column2]],Table12[[Column2]:[Column54]],20,FALSE),"0")</f>
        <v>0</v>
      </c>
      <c r="V230" s="78">
        <f>IFERROR(VLOOKUP(Table1215[[#This Row],[Column2]],Table12[[Column2]:[Column54]],21,FALSE),"0")</f>
        <v>0</v>
      </c>
      <c r="W230" s="78">
        <f>IFERROR(VLOOKUP(Table1215[[#This Row],[Column2]],Table12[[Column2]:[Column54]],22,FALSE),"0")</f>
        <v>0</v>
      </c>
      <c r="X230" s="80">
        <f>Table1215[[#This Row],[Column19]]</f>
        <v>0</v>
      </c>
      <c r="Y230" s="78" t="str">
        <f>IFERROR(VLOOKUP(Table1215[[#This Row],[Column2]],Table12[[Column2]:[Column54]],24,FALSE),"0")</f>
        <v>0</v>
      </c>
      <c r="Z230" s="78">
        <f>IFERROR(VLOOKUP(Table1215[[#This Row],[Column2]],Table12[[Column2]:[Column54]],25,FALSE),"0")</f>
        <v>0</v>
      </c>
      <c r="AA230" s="78">
        <f>IFERROR(VLOOKUP(Table1215[[#This Row],[Column2]],Table12[[Column2]:[Column54]],26,FALSE),"0")</f>
        <v>0</v>
      </c>
      <c r="AB230" s="78">
        <f>IFERROR(VLOOKUP(Table1215[[#This Row],[Column2]],Table12[[Column2]:[Column54]],27,FALSE),"0")</f>
        <v>0</v>
      </c>
      <c r="AC230" s="78">
        <f>IFERROR(VLOOKUP(Table1215[[#This Row],[Column2]],Table12[[Column2]:[Column54]],28,FALSE),"0")</f>
        <v>0</v>
      </c>
      <c r="AD230" s="80" t="str">
        <f>Table1215[[#This Row],[Column25]]</f>
        <v>0</v>
      </c>
      <c r="AE230" s="78">
        <f>IFERROR(VLOOKUP(Table1215[[#This Row],[Column2]],Table12[[Column2]:[Column54]],30,FALSE),"0")</f>
        <v>0</v>
      </c>
      <c r="AF230" s="78">
        <f>IFERROR(VLOOKUP(Table1215[[#This Row],[Column2]],Table12[[Column2]:[Column54]],31,FALSE),"0")</f>
        <v>0</v>
      </c>
      <c r="AG230" s="78">
        <f>IFERROR(VLOOKUP(Table1215[[#This Row],[Column2]],Table12[[Column2]:[Column54]],32,FALSE),"0")</f>
        <v>0</v>
      </c>
      <c r="AH230" s="78">
        <f>IFERROR(VLOOKUP(Table1215[[#This Row],[Column2]],Table12[[Column2]:[Column54]],33,FALSE),"0")</f>
        <v>0</v>
      </c>
      <c r="AI230" s="78">
        <f>IFERROR(VLOOKUP(Table1215[[#This Row],[Column2]],Table12[[Column2]:[Column54]],34,FALSE),"0")</f>
        <v>0</v>
      </c>
      <c r="AJ230" s="80">
        <f>AVERAGE(Table1215[[#This Row],[Column31]],Table1215[[#This Row],[Column32]],Table1215[[#This Row],[Column33]])</f>
        <v>0</v>
      </c>
      <c r="AK230" s="78" t="str">
        <f>IFERROR(VLOOKUP(Table1215[[#This Row],[Column2]],Table12[[Column2]:[Column54]],36,FALSE),"0")</f>
        <v>0</v>
      </c>
      <c r="AL230" s="78" t="str">
        <f>IFERROR(VLOOKUP(Table1215[[#This Row],[Column2]],Table12[[Column2]:[Column54]],37,FALSE),"0")</f>
        <v>0</v>
      </c>
      <c r="AM230" s="78">
        <f>IFERROR(VLOOKUP(Table1215[[#This Row],[Column2]],Table12[[Column2]:[Column54]],38,FALSE),"0")</f>
        <v>0</v>
      </c>
      <c r="AN230" s="78" t="str">
        <f>IFERROR(VLOOKUP(Table1215[[#This Row],[Column2]],Table12[[Column2]:[Column54]],39,FALSE),"0")</f>
        <v>0</v>
      </c>
      <c r="AO230" s="78">
        <f>IFERROR(VLOOKUP(Table1215[[#This Row],[Column2]],Table12[[Column2]:[Column54]],40,FALSE),"0")</f>
        <v>0</v>
      </c>
      <c r="AP230" s="80" t="e">
        <f>AVERAGE(Table1215[[#This Row],[Column37]],Table1215[[#This Row],[Column38]],Table1215[[#This Row],[Column40]])</f>
        <v>#DIV/0!</v>
      </c>
      <c r="AQ230" s="78" t="str">
        <f>IFERROR(VLOOKUP(Table1215[[#This Row],[Column2]],Table12[[Column2]:[Column54]],42,FALSE),"0")</f>
        <v>0</v>
      </c>
      <c r="AR230" s="78">
        <f>IFERROR(VLOOKUP(Table1215[[#This Row],[Column2]],Table12[[Column2]:[Column54]],43,FALSE),"0")</f>
        <v>0</v>
      </c>
      <c r="AS230" s="78">
        <f>IFERROR(VLOOKUP(Table1215[[#This Row],[Column2]],Table12[[Column2]:[Column54]],44,FALSE),"0")</f>
        <v>0</v>
      </c>
      <c r="AT230" s="78">
        <f>IFERROR(VLOOKUP(Table1215[[#This Row],[Column2]],Table12[[Column2]:[Column54]],45,FALSE),"0")</f>
        <v>0</v>
      </c>
      <c r="AU230" s="78">
        <f>IFERROR(VLOOKUP(Table1215[[#This Row],[Column2]],Table12[[Column2]:[Column54]],46,FALSE),"0")</f>
        <v>0</v>
      </c>
      <c r="AV230" s="80" t="str">
        <f>Table1215[[#This Row],[Column43]]</f>
        <v>0</v>
      </c>
      <c r="AW230" s="78">
        <f>IFERROR(VLOOKUP(Table1215[[#This Row],[Column2]],Table12[[Column2]:[Column54]],48,FALSE),"0")</f>
        <v>0</v>
      </c>
      <c r="AX230" s="78">
        <f>IFERROR(VLOOKUP(Table1215[[#This Row],[Column2]],Table12[[Column2]:[Column54]],49,FALSE),"0")</f>
        <v>0</v>
      </c>
      <c r="AY230" s="78">
        <f>IFERROR(VLOOKUP(Table1215[[#This Row],[Column2]],Table12[[Column2]:[Column54]],50,FALSE),"0")</f>
        <v>0</v>
      </c>
      <c r="AZ230" s="78" t="str">
        <f>IFERROR(VLOOKUP(Table1215[[#This Row],[Column2]],Table12[[Column2]:[Column54]],51,FALSE),"0")</f>
        <v>0</v>
      </c>
      <c r="BA230" s="78" t="str">
        <f>IFERROR(VLOOKUP(Table1215[[#This Row],[Column2]],Table12[[Column2]:[Column54]],52,FALSE),"0")</f>
        <v>0</v>
      </c>
      <c r="BB230" s="80" t="e">
        <f>AVERAGE(Table1215[[#This Row],[Column52]],Table1215[[#This Row],[Column53]])</f>
        <v>#DIV/0!</v>
      </c>
    </row>
    <row r="231" spans="1:54" ht="23.1" customHeight="1" x14ac:dyDescent="0.3">
      <c r="A231" s="100">
        <v>228</v>
      </c>
      <c r="B231" s="83" t="s">
        <v>541</v>
      </c>
      <c r="C231" s="84" t="s">
        <v>488</v>
      </c>
      <c r="D231" s="83" t="s">
        <v>545</v>
      </c>
      <c r="E231" s="83" t="s">
        <v>289</v>
      </c>
      <c r="F231" s="83" t="str">
        <f>REPT(CHAR(160),10)&amp;Working!$E232</f>
        <v>          D</v>
      </c>
      <c r="G231" s="74">
        <f>IFERROR(VLOOKUP(Table1215[[#This Row],[Column2]],Table12[[Column2]:[Column54]],6,FALSE),"0")</f>
        <v>0</v>
      </c>
      <c r="H231" s="74">
        <f>IFERROR(VLOOKUP(Table1215[[#This Row],[Column2]],Table12[[Column2]:[Column54]],7,FALSE),"0")</f>
        <v>0</v>
      </c>
      <c r="I231" s="74" t="str">
        <f>IFERROR(VLOOKUP(Table1215[[#This Row],[Column2]],Table12[[Column2]:[Column54]],8,FALSE),"0")</f>
        <v>A</v>
      </c>
      <c r="J231" s="74">
        <f>IFERROR(VLOOKUP(Table1215[[#This Row],[Column2]],Table12[[Column2]:[Column54]],9,FALSE),"0")</f>
        <v>0</v>
      </c>
      <c r="K231" s="74">
        <f>IFERROR(VLOOKUP(Table1215[[#This Row],[Column2]],Table12[[Column2]:[Column54]],10,FALSE),"0")</f>
        <v>0</v>
      </c>
      <c r="L231" s="80" t="str">
        <f>Table1215[[#This Row],[Column9]]</f>
        <v>A</v>
      </c>
      <c r="M231" s="74">
        <f>IFERROR(VLOOKUP(Table1215[[#This Row],[Column2]],Table12[[Column2]:[Column54]],12,FALSE),"0")</f>
        <v>0</v>
      </c>
      <c r="N231" s="74" t="str">
        <f>IFERROR(VLOOKUP(Table1215[[#This Row],[Column2]],Table12[[Column2]:[Column54]],13,FALSE),"0")</f>
        <v>0</v>
      </c>
      <c r="O231" s="74" t="str">
        <f>IFERROR(VLOOKUP(Table1215[[#This Row],[Column2]],Table12[[Column2]:[Column54]],14,FALSE),"0")</f>
        <v>0</v>
      </c>
      <c r="P231" s="74">
        <f>IFERROR(VLOOKUP(Table1215[[#This Row],[Column2]],Table12[[Column2]:[Column54]],10,FALSE),"0")</f>
        <v>0</v>
      </c>
      <c r="Q231" s="74" t="str">
        <f>IFERROR(VLOOKUP(Table1215[[#This Row],[Column2]],Table12[[Column2]:[Column54]],16,FALSE),"0")</f>
        <v>0</v>
      </c>
      <c r="R231" s="80" t="e">
        <f>AVERAGE(Table1215[[#This Row],[Column14]],Table1215[[#This Row],[Column15]],Table1215[[#This Row],[Column17]])</f>
        <v>#DIV/0!</v>
      </c>
      <c r="S231" s="74">
        <f>IFERROR(VLOOKUP(Table1215[[#This Row],[Column2]],Table12[[Column2]:[Column54]],18,FALSE),"0")</f>
        <v>0</v>
      </c>
      <c r="T231" s="74">
        <f>IFERROR(VLOOKUP(Table1215[[#This Row],[Column2]],Table12[[Column2]:[Column54]],19,FALSE),"0")</f>
        <v>0</v>
      </c>
      <c r="U231" s="74">
        <f>IFERROR(VLOOKUP(Table1215[[#This Row],[Column2]],Table12[[Column2]:[Column54]],20,FALSE),"0")</f>
        <v>0</v>
      </c>
      <c r="V231" s="74">
        <f>IFERROR(VLOOKUP(Table1215[[#This Row],[Column2]],Table12[[Column2]:[Column54]],21,FALSE),"0")</f>
        <v>0</v>
      </c>
      <c r="W231" s="74">
        <f>IFERROR(VLOOKUP(Table1215[[#This Row],[Column2]],Table12[[Column2]:[Column54]],22,FALSE),"0")</f>
        <v>0</v>
      </c>
      <c r="X231" s="80">
        <f>Table1215[[#This Row],[Column19]]</f>
        <v>0</v>
      </c>
      <c r="Y231" s="74" t="str">
        <f>IFERROR(VLOOKUP(Table1215[[#This Row],[Column2]],Table12[[Column2]:[Column54]],24,FALSE),"0")</f>
        <v>0</v>
      </c>
      <c r="Z231" s="74">
        <f>IFERROR(VLOOKUP(Table1215[[#This Row],[Column2]],Table12[[Column2]:[Column54]],25,FALSE),"0")</f>
        <v>0</v>
      </c>
      <c r="AA231" s="74">
        <f>IFERROR(VLOOKUP(Table1215[[#This Row],[Column2]],Table12[[Column2]:[Column54]],26,FALSE),"0")</f>
        <v>0</v>
      </c>
      <c r="AB231" s="74">
        <f>IFERROR(VLOOKUP(Table1215[[#This Row],[Column2]],Table12[[Column2]:[Column54]],27,FALSE),"0")</f>
        <v>0</v>
      </c>
      <c r="AC231" s="74">
        <f>IFERROR(VLOOKUP(Table1215[[#This Row],[Column2]],Table12[[Column2]:[Column54]],28,FALSE),"0")</f>
        <v>0</v>
      </c>
      <c r="AD231" s="80" t="str">
        <f>Table1215[[#This Row],[Column25]]</f>
        <v>0</v>
      </c>
      <c r="AE231" s="74">
        <f>IFERROR(VLOOKUP(Table1215[[#This Row],[Column2]],Table12[[Column2]:[Column54]],30,FALSE),"0")</f>
        <v>0</v>
      </c>
      <c r="AF231" s="74">
        <f>IFERROR(VLOOKUP(Table1215[[#This Row],[Column2]],Table12[[Column2]:[Column54]],31,FALSE),"0")</f>
        <v>0</v>
      </c>
      <c r="AG231" s="74">
        <f>IFERROR(VLOOKUP(Table1215[[#This Row],[Column2]],Table12[[Column2]:[Column54]],32,FALSE),"0")</f>
        <v>0</v>
      </c>
      <c r="AH231" s="74">
        <f>IFERROR(VLOOKUP(Table1215[[#This Row],[Column2]],Table12[[Column2]:[Column54]],33,FALSE),"0")</f>
        <v>0</v>
      </c>
      <c r="AI231" s="74">
        <f>IFERROR(VLOOKUP(Table1215[[#This Row],[Column2]],Table12[[Column2]:[Column54]],34,FALSE),"0")</f>
        <v>0</v>
      </c>
      <c r="AJ231" s="80">
        <f>AVERAGE(Table1215[[#This Row],[Column31]],Table1215[[#This Row],[Column32]],Table1215[[#This Row],[Column33]])</f>
        <v>0</v>
      </c>
      <c r="AK231" s="74" t="str">
        <f>IFERROR(VLOOKUP(Table1215[[#This Row],[Column2]],Table12[[Column2]:[Column54]],36,FALSE),"0")</f>
        <v>0</v>
      </c>
      <c r="AL231" s="74" t="str">
        <f>IFERROR(VLOOKUP(Table1215[[#This Row],[Column2]],Table12[[Column2]:[Column54]],37,FALSE),"0")</f>
        <v>0</v>
      </c>
      <c r="AM231" s="74">
        <f>IFERROR(VLOOKUP(Table1215[[#This Row],[Column2]],Table12[[Column2]:[Column54]],38,FALSE),"0")</f>
        <v>0</v>
      </c>
      <c r="AN231" s="74" t="str">
        <f>IFERROR(VLOOKUP(Table1215[[#This Row],[Column2]],Table12[[Column2]:[Column54]],39,FALSE),"0")</f>
        <v>0</v>
      </c>
      <c r="AO231" s="74">
        <f>IFERROR(VLOOKUP(Table1215[[#This Row],[Column2]],Table12[[Column2]:[Column54]],40,FALSE),"0")</f>
        <v>0</v>
      </c>
      <c r="AP231" s="80" t="e">
        <f>AVERAGE(Table1215[[#This Row],[Column37]],Table1215[[#This Row],[Column38]],Table1215[[#This Row],[Column40]])</f>
        <v>#DIV/0!</v>
      </c>
      <c r="AQ231" s="74" t="str">
        <f>IFERROR(VLOOKUP(Table1215[[#This Row],[Column2]],Table12[[Column2]:[Column54]],42,FALSE),"0")</f>
        <v>0</v>
      </c>
      <c r="AR231" s="74">
        <f>IFERROR(VLOOKUP(Table1215[[#This Row],[Column2]],Table12[[Column2]:[Column54]],43,FALSE),"0")</f>
        <v>0</v>
      </c>
      <c r="AS231" s="74">
        <f>IFERROR(VLOOKUP(Table1215[[#This Row],[Column2]],Table12[[Column2]:[Column54]],44,FALSE),"0")</f>
        <v>0</v>
      </c>
      <c r="AT231" s="74">
        <f>IFERROR(VLOOKUP(Table1215[[#This Row],[Column2]],Table12[[Column2]:[Column54]],45,FALSE),"0")</f>
        <v>0</v>
      </c>
      <c r="AU231" s="74">
        <f>IFERROR(VLOOKUP(Table1215[[#This Row],[Column2]],Table12[[Column2]:[Column54]],46,FALSE),"0")</f>
        <v>0</v>
      </c>
      <c r="AV231" s="80" t="str">
        <f>Table1215[[#This Row],[Column43]]</f>
        <v>0</v>
      </c>
      <c r="AW231" s="74">
        <f>IFERROR(VLOOKUP(Table1215[[#This Row],[Column2]],Table12[[Column2]:[Column54]],48,FALSE),"0")</f>
        <v>0</v>
      </c>
      <c r="AX231" s="74">
        <f>IFERROR(VLOOKUP(Table1215[[#This Row],[Column2]],Table12[[Column2]:[Column54]],49,FALSE),"0")</f>
        <v>0</v>
      </c>
      <c r="AY231" s="74">
        <f>IFERROR(VLOOKUP(Table1215[[#This Row],[Column2]],Table12[[Column2]:[Column54]],50,FALSE),"0")</f>
        <v>0</v>
      </c>
      <c r="AZ231" s="74" t="str">
        <f>IFERROR(VLOOKUP(Table1215[[#This Row],[Column2]],Table12[[Column2]:[Column54]],51,FALSE),"0")</f>
        <v>0</v>
      </c>
      <c r="BA231" s="74" t="str">
        <f>IFERROR(VLOOKUP(Table1215[[#This Row],[Column2]],Table12[[Column2]:[Column54]],52,FALSE),"0")</f>
        <v>0</v>
      </c>
      <c r="BB231" s="80" t="e">
        <f>AVERAGE(Table1215[[#This Row],[Column52]],Table1215[[#This Row],[Column53]])</f>
        <v>#DIV/0!</v>
      </c>
    </row>
    <row r="232" spans="1:54" x14ac:dyDescent="0.3">
      <c r="R232" s="42"/>
      <c r="X232" s="42"/>
      <c r="AD232" s="42"/>
      <c r="AJ232" s="42"/>
      <c r="AK232" s="16"/>
      <c r="AP232" s="42"/>
      <c r="AS232" s="69"/>
      <c r="AV232" s="42"/>
      <c r="BB232" s="42"/>
    </row>
    <row r="233" spans="1:54" x14ac:dyDescent="0.3">
      <c r="R233" s="42"/>
      <c r="X233" s="42"/>
      <c r="AD233" s="42"/>
      <c r="AJ233" s="42"/>
      <c r="AP233" s="42"/>
      <c r="AS233" s="22"/>
      <c r="AV233" s="42"/>
      <c r="BB233" s="42"/>
    </row>
    <row r="234" spans="1:54" x14ac:dyDescent="0.3">
      <c r="R234" s="42"/>
      <c r="X234" s="42"/>
      <c r="AD234" s="42"/>
      <c r="AJ234" s="42"/>
      <c r="AP234" s="42"/>
      <c r="AV234" s="42"/>
      <c r="BB234" s="42"/>
    </row>
    <row r="235" spans="1:54" x14ac:dyDescent="0.3">
      <c r="R235" s="42"/>
      <c r="X235" s="42"/>
      <c r="AD235" s="42"/>
      <c r="AJ235" s="42"/>
      <c r="AP235" s="42"/>
      <c r="AV235" s="42"/>
      <c r="BB235" s="42"/>
    </row>
    <row r="236" spans="1:54" x14ac:dyDescent="0.3">
      <c r="R236" s="42"/>
      <c r="X236" s="42"/>
      <c r="AD236" s="42"/>
      <c r="AJ236" s="42"/>
      <c r="AP236" s="42"/>
      <c r="AV236" s="42"/>
      <c r="BB236" s="42"/>
    </row>
    <row r="237" spans="1:54" x14ac:dyDescent="0.3">
      <c r="R237" s="42"/>
      <c r="X237" s="42"/>
      <c r="AD237" s="42"/>
      <c r="AJ237" s="42"/>
      <c r="AP237" s="42"/>
      <c r="AV237" s="42"/>
      <c r="BB237" s="42"/>
    </row>
    <row r="238" spans="1:54" x14ac:dyDescent="0.3">
      <c r="R238" s="42"/>
      <c r="X238" s="42"/>
      <c r="AD238" s="42"/>
      <c r="AJ238" s="42"/>
      <c r="AP238" s="42"/>
      <c r="AV238" s="42"/>
      <c r="BB238" s="42"/>
    </row>
    <row r="239" spans="1:54" x14ac:dyDescent="0.3">
      <c r="R239" s="42"/>
      <c r="X239" s="42"/>
      <c r="AD239" s="42"/>
      <c r="AJ239" s="42"/>
      <c r="AP239" s="42"/>
      <c r="AV239" s="42"/>
      <c r="BB239" s="42"/>
    </row>
    <row r="240" spans="1:54" x14ac:dyDescent="0.3">
      <c r="R240" s="42"/>
      <c r="X240" s="42"/>
      <c r="AD240" s="42"/>
      <c r="AJ240" s="42"/>
      <c r="AP240" s="42"/>
      <c r="AV240" s="42"/>
      <c r="BB240" s="42"/>
    </row>
    <row r="241" spans="18:54" x14ac:dyDescent="0.3">
      <c r="R241" s="42"/>
      <c r="X241" s="42"/>
      <c r="AD241" s="42"/>
      <c r="AJ241" s="42"/>
      <c r="AP241" s="42"/>
      <c r="AV241" s="42"/>
      <c r="BB241" s="42"/>
    </row>
    <row r="242" spans="18:54" x14ac:dyDescent="0.3">
      <c r="R242" s="42"/>
      <c r="X242" s="42"/>
      <c r="AD242" s="42"/>
      <c r="AJ242" s="42"/>
      <c r="AP242" s="42"/>
      <c r="AV242" s="42"/>
      <c r="BB242" s="42"/>
    </row>
    <row r="243" spans="18:54" x14ac:dyDescent="0.3">
      <c r="R243" s="42"/>
      <c r="X243" s="42"/>
      <c r="AD243" s="42"/>
      <c r="AJ243" s="42"/>
      <c r="AP243" s="42"/>
      <c r="AV243" s="42"/>
      <c r="BB243" s="42"/>
    </row>
    <row r="244" spans="18:54" x14ac:dyDescent="0.3">
      <c r="R244" s="42"/>
      <c r="X244" s="42"/>
      <c r="AD244" s="42"/>
      <c r="AJ244" s="42"/>
      <c r="AP244" s="42"/>
      <c r="AV244" s="42"/>
      <c r="BB244" s="42"/>
    </row>
    <row r="245" spans="18:54" x14ac:dyDescent="0.3">
      <c r="R245" s="42"/>
      <c r="X245" s="42"/>
      <c r="AD245" s="42"/>
      <c r="AJ245" s="42"/>
      <c r="AP245" s="42"/>
      <c r="AV245" s="42"/>
      <c r="BB245" s="42"/>
    </row>
    <row r="246" spans="18:54" x14ac:dyDescent="0.3">
      <c r="R246" s="42"/>
      <c r="X246" s="42"/>
      <c r="AD246" s="42"/>
      <c r="AJ246" s="42"/>
      <c r="AP246" s="42"/>
      <c r="AV246" s="42"/>
      <c r="BB246" s="42"/>
    </row>
    <row r="247" spans="18:54" x14ac:dyDescent="0.3">
      <c r="R247" s="42"/>
      <c r="X247" s="42"/>
      <c r="AD247" s="42"/>
      <c r="AJ247" s="42"/>
      <c r="AP247" s="42"/>
      <c r="AV247" s="42"/>
      <c r="BB247" s="42"/>
    </row>
    <row r="248" spans="18:54" x14ac:dyDescent="0.3">
      <c r="R248" s="42"/>
      <c r="X248" s="42"/>
      <c r="AD248" s="42"/>
      <c r="AJ248" s="42"/>
      <c r="AP248" s="42"/>
      <c r="AV248" s="42"/>
      <c r="BB248" s="42"/>
    </row>
    <row r="249" spans="18:54" x14ac:dyDescent="0.3">
      <c r="R249" s="42"/>
      <c r="X249" s="42"/>
      <c r="AD249" s="42"/>
      <c r="AJ249" s="42"/>
      <c r="AP249" s="42"/>
      <c r="AV249" s="42"/>
      <c r="BB249" s="42"/>
    </row>
    <row r="250" spans="18:54" x14ac:dyDescent="0.3">
      <c r="R250" s="42"/>
      <c r="X250" s="42"/>
      <c r="AD250" s="42"/>
      <c r="AJ250" s="42"/>
      <c r="AP250" s="42"/>
      <c r="AV250" s="42"/>
      <c r="BB250" s="42"/>
    </row>
    <row r="251" spans="18:54" x14ac:dyDescent="0.3">
      <c r="R251" s="42"/>
      <c r="X251" s="42"/>
      <c r="AD251" s="42"/>
      <c r="AJ251" s="42"/>
      <c r="AP251" s="42"/>
      <c r="AV251" s="42"/>
      <c r="BB251" s="42"/>
    </row>
    <row r="252" spans="18:54" x14ac:dyDescent="0.3">
      <c r="R252" s="42"/>
      <c r="X252" s="42"/>
      <c r="AD252" s="42"/>
      <c r="AJ252" s="42"/>
      <c r="AP252" s="42"/>
      <c r="AV252" s="42"/>
      <c r="BB252" s="42"/>
    </row>
    <row r="253" spans="18:54" x14ac:dyDescent="0.3">
      <c r="R253" s="42"/>
      <c r="X253" s="42"/>
      <c r="AD253" s="42"/>
      <c r="AJ253" s="42"/>
      <c r="AP253" s="42"/>
      <c r="AV253" s="42"/>
      <c r="BB253" s="42"/>
    </row>
    <row r="254" spans="18:54" x14ac:dyDescent="0.3">
      <c r="R254" s="42"/>
      <c r="X254" s="42"/>
      <c r="AD254" s="42"/>
      <c r="AJ254" s="42"/>
      <c r="AP254" s="42"/>
      <c r="AV254" s="42"/>
      <c r="BB254" s="42"/>
    </row>
    <row r="255" spans="18:54" x14ac:dyDescent="0.3">
      <c r="R255" s="42"/>
      <c r="X255" s="42"/>
      <c r="AD255" s="42"/>
      <c r="AJ255" s="42"/>
      <c r="AP255" s="42"/>
      <c r="AV255" s="42"/>
      <c r="BB255" s="42"/>
    </row>
    <row r="256" spans="18:54" x14ac:dyDescent="0.3">
      <c r="R256" s="42"/>
      <c r="X256" s="42"/>
      <c r="AD256" s="42"/>
      <c r="AJ256" s="42"/>
      <c r="AP256" s="42"/>
      <c r="AV256" s="42"/>
      <c r="BB256" s="42"/>
    </row>
    <row r="257" spans="18:54" x14ac:dyDescent="0.3">
      <c r="R257" s="42"/>
      <c r="X257" s="42"/>
      <c r="AD257" s="42"/>
      <c r="AJ257" s="42"/>
      <c r="AP257" s="42"/>
      <c r="AV257" s="42"/>
      <c r="BB257" s="42"/>
    </row>
    <row r="258" spans="18:54" x14ac:dyDescent="0.3">
      <c r="R258" s="42"/>
      <c r="X258" s="42"/>
      <c r="AD258" s="42"/>
      <c r="AJ258" s="42"/>
      <c r="AP258" s="42"/>
      <c r="AV258" s="42"/>
      <c r="BB258" s="42"/>
    </row>
    <row r="259" spans="18:54" x14ac:dyDescent="0.3">
      <c r="R259" s="42"/>
      <c r="X259" s="42"/>
      <c r="AD259" s="42"/>
      <c r="AJ259" s="42"/>
      <c r="AP259" s="42"/>
      <c r="AV259" s="42"/>
      <c r="BB259" s="42"/>
    </row>
    <row r="260" spans="18:54" x14ac:dyDescent="0.3">
      <c r="R260" s="42"/>
      <c r="X260" s="42"/>
      <c r="AD260" s="42"/>
      <c r="AJ260" s="42"/>
      <c r="AP260" s="42"/>
      <c r="AV260" s="42"/>
      <c r="BB260" s="42"/>
    </row>
    <row r="261" spans="18:54" x14ac:dyDescent="0.3">
      <c r="R261" s="42"/>
      <c r="X261" s="42"/>
      <c r="AD261" s="42"/>
      <c r="AJ261" s="42"/>
      <c r="AP261" s="42"/>
      <c r="AV261" s="42"/>
      <c r="BB261" s="42"/>
    </row>
    <row r="262" spans="18:54" x14ac:dyDescent="0.3">
      <c r="R262" s="42"/>
      <c r="X262" s="42"/>
      <c r="AD262" s="42"/>
      <c r="AJ262" s="42"/>
      <c r="AP262" s="42"/>
      <c r="AV262" s="42"/>
      <c r="BB262" s="42"/>
    </row>
    <row r="263" spans="18:54" x14ac:dyDescent="0.3">
      <c r="R263" s="42"/>
      <c r="X263" s="42"/>
      <c r="AD263" s="42"/>
      <c r="AJ263" s="42"/>
      <c r="AP263" s="42"/>
      <c r="AV263" s="42"/>
      <c r="BB263" s="42"/>
    </row>
    <row r="264" spans="18:54" x14ac:dyDescent="0.3">
      <c r="R264" s="42"/>
      <c r="X264" s="42"/>
      <c r="AD264" s="42"/>
      <c r="AJ264" s="42"/>
      <c r="AP264" s="42"/>
      <c r="AV264" s="42"/>
      <c r="BB264" s="42"/>
    </row>
    <row r="265" spans="18:54" x14ac:dyDescent="0.3">
      <c r="R265" s="42"/>
      <c r="X265" s="42"/>
      <c r="AD265" s="42"/>
      <c r="AJ265" s="42"/>
      <c r="AP265" s="42"/>
      <c r="AV265" s="42"/>
      <c r="BB265" s="42"/>
    </row>
    <row r="266" spans="18:54" x14ac:dyDescent="0.3">
      <c r="R266" s="42"/>
      <c r="X266" s="42"/>
      <c r="AD266" s="42"/>
      <c r="AJ266" s="42"/>
      <c r="AP266" s="42"/>
      <c r="AV266" s="42"/>
      <c r="BB266" s="42"/>
    </row>
    <row r="267" spans="18:54" x14ac:dyDescent="0.3">
      <c r="R267" s="42"/>
      <c r="X267" s="42"/>
      <c r="AD267" s="42"/>
      <c r="AJ267" s="42"/>
      <c r="AP267" s="42"/>
      <c r="AV267" s="42"/>
      <c r="BB267" s="42"/>
    </row>
    <row r="268" spans="18:54" x14ac:dyDescent="0.3">
      <c r="R268" s="42"/>
      <c r="X268" s="42"/>
      <c r="AD268" s="42"/>
      <c r="AJ268" s="42"/>
      <c r="AP268" s="42"/>
      <c r="AV268" s="42"/>
      <c r="BB268" s="42"/>
    </row>
    <row r="269" spans="18:54" x14ac:dyDescent="0.3">
      <c r="R269" s="42"/>
      <c r="X269" s="42"/>
      <c r="AD269" s="42"/>
      <c r="AJ269" s="42"/>
      <c r="AP269" s="42"/>
      <c r="AV269" s="42"/>
      <c r="BB269" s="42"/>
    </row>
    <row r="270" spans="18:54" x14ac:dyDescent="0.3">
      <c r="R270" s="42"/>
      <c r="X270" s="42"/>
      <c r="AD270" s="42"/>
      <c r="AJ270" s="42"/>
      <c r="AP270" s="42"/>
      <c r="AV270" s="42"/>
      <c r="BB270" s="42"/>
    </row>
    <row r="271" spans="18:54" x14ac:dyDescent="0.3">
      <c r="R271" s="42"/>
      <c r="X271" s="42"/>
      <c r="AD271" s="42"/>
      <c r="AJ271" s="42"/>
      <c r="AP271" s="42"/>
      <c r="AV271" s="42"/>
      <c r="BB271" s="42"/>
    </row>
    <row r="272" spans="18:54" x14ac:dyDescent="0.3">
      <c r="R272" s="42"/>
      <c r="X272" s="42"/>
      <c r="AD272" s="42"/>
      <c r="AJ272" s="42"/>
      <c r="AP272" s="42"/>
      <c r="AV272" s="42"/>
      <c r="BB272" s="42"/>
    </row>
    <row r="273" spans="18:54" x14ac:dyDescent="0.3">
      <c r="R273" s="42"/>
      <c r="X273" s="42"/>
      <c r="AD273" s="42"/>
      <c r="AJ273" s="42"/>
      <c r="AP273" s="42"/>
      <c r="AV273" s="42"/>
      <c r="BB273" s="42"/>
    </row>
    <row r="274" spans="18:54" x14ac:dyDescent="0.3">
      <c r="R274" s="42"/>
      <c r="X274" s="42"/>
      <c r="AD274" s="42"/>
      <c r="AJ274" s="42"/>
      <c r="AP274" s="42"/>
      <c r="AV274" s="42"/>
      <c r="BB274" s="42"/>
    </row>
    <row r="275" spans="18:54" x14ac:dyDescent="0.3">
      <c r="R275" s="42"/>
      <c r="X275" s="42"/>
      <c r="AD275" s="42"/>
      <c r="AJ275" s="42"/>
      <c r="AP275" s="42"/>
      <c r="AV275" s="42"/>
      <c r="BB275" s="42"/>
    </row>
    <row r="276" spans="18:54" x14ac:dyDescent="0.3">
      <c r="R276" s="42"/>
      <c r="X276" s="42"/>
      <c r="AD276" s="42"/>
      <c r="AJ276" s="42"/>
      <c r="AP276" s="42"/>
      <c r="AV276" s="42"/>
      <c r="BB276" s="42"/>
    </row>
    <row r="277" spans="18:54" x14ac:dyDescent="0.3">
      <c r="R277" s="42"/>
      <c r="X277" s="42"/>
      <c r="AD277" s="42"/>
      <c r="AJ277" s="42"/>
      <c r="AP277" s="42"/>
      <c r="AV277" s="42"/>
      <c r="BB277" s="42"/>
    </row>
    <row r="278" spans="18:54" x14ac:dyDescent="0.3">
      <c r="R278" s="42"/>
      <c r="X278" s="42"/>
      <c r="AD278" s="42"/>
      <c r="AJ278" s="42"/>
      <c r="AP278" s="42"/>
      <c r="AV278" s="42"/>
      <c r="BB278" s="42"/>
    </row>
    <row r="279" spans="18:54" x14ac:dyDescent="0.3">
      <c r="R279" s="42"/>
      <c r="X279" s="42"/>
      <c r="AD279" s="42"/>
      <c r="AJ279" s="42"/>
      <c r="AP279" s="42"/>
      <c r="AV279" s="42"/>
      <c r="BB279" s="42"/>
    </row>
    <row r="280" spans="18:54" x14ac:dyDescent="0.3">
      <c r="R280" s="42"/>
      <c r="X280" s="42"/>
      <c r="AD280" s="42"/>
      <c r="AJ280" s="42"/>
      <c r="AP280" s="42"/>
      <c r="AV280" s="42"/>
      <c r="BB280" s="42"/>
    </row>
    <row r="281" spans="18:54" x14ac:dyDescent="0.3">
      <c r="R281" s="42"/>
      <c r="X281" s="42"/>
      <c r="AD281" s="42"/>
      <c r="AJ281" s="42"/>
      <c r="AP281" s="42"/>
      <c r="AV281" s="42"/>
      <c r="BB281" s="42"/>
    </row>
    <row r="282" spans="18:54" x14ac:dyDescent="0.3">
      <c r="R282" s="42"/>
      <c r="X282" s="42"/>
      <c r="AD282" s="42"/>
      <c r="AJ282" s="42"/>
      <c r="AP282" s="42"/>
      <c r="AV282" s="42"/>
      <c r="BB282" s="42"/>
    </row>
    <row r="283" spans="18:54" x14ac:dyDescent="0.3">
      <c r="R283" s="42"/>
      <c r="X283" s="42"/>
      <c r="AD283" s="42"/>
      <c r="AJ283" s="42"/>
      <c r="AP283" s="42"/>
      <c r="AV283" s="42"/>
      <c r="BB283" s="42"/>
    </row>
    <row r="284" spans="18:54" x14ac:dyDescent="0.3">
      <c r="R284" s="42"/>
      <c r="X284" s="42"/>
      <c r="AD284" s="42"/>
      <c r="AJ284" s="42"/>
      <c r="AP284" s="42"/>
      <c r="AV284" s="42"/>
      <c r="BB284" s="42"/>
    </row>
    <row r="285" spans="18:54" x14ac:dyDescent="0.3">
      <c r="R285" s="42"/>
      <c r="X285" s="42"/>
      <c r="AD285" s="42"/>
      <c r="AJ285" s="42"/>
      <c r="AP285" s="42"/>
      <c r="AV285" s="42"/>
      <c r="BB285" s="42"/>
    </row>
    <row r="286" spans="18:54" x14ac:dyDescent="0.3">
      <c r="R286" s="42"/>
      <c r="X286" s="42"/>
      <c r="AD286" s="42"/>
      <c r="AJ286" s="42"/>
      <c r="AP286" s="42"/>
      <c r="AV286" s="42"/>
      <c r="BB286" s="42"/>
    </row>
    <row r="287" spans="18:54" x14ac:dyDescent="0.3">
      <c r="R287" s="42"/>
      <c r="X287" s="42"/>
      <c r="AD287" s="42"/>
      <c r="AJ287" s="42"/>
      <c r="AP287" s="42"/>
      <c r="AV287" s="42"/>
      <c r="BB287" s="42"/>
    </row>
    <row r="288" spans="18:54" x14ac:dyDescent="0.3">
      <c r="R288" s="42"/>
      <c r="X288" s="42"/>
      <c r="AD288" s="42"/>
      <c r="AJ288" s="42"/>
      <c r="AP288" s="42"/>
      <c r="AV288" s="42"/>
      <c r="BB288" s="42"/>
    </row>
    <row r="289" spans="18:54" x14ac:dyDescent="0.3">
      <c r="R289" s="42"/>
      <c r="X289" s="42"/>
      <c r="AD289" s="42"/>
      <c r="AJ289" s="42"/>
      <c r="AP289" s="42"/>
      <c r="AV289" s="42"/>
      <c r="BB289" s="42"/>
    </row>
    <row r="290" spans="18:54" x14ac:dyDescent="0.3">
      <c r="R290" s="42"/>
      <c r="X290" s="42"/>
      <c r="AD290" s="42"/>
      <c r="AJ290" s="42"/>
      <c r="AP290" s="42"/>
      <c r="AV290" s="42"/>
      <c r="BB290" s="42"/>
    </row>
    <row r="291" spans="18:54" x14ac:dyDescent="0.3">
      <c r="R291" s="42"/>
      <c r="X291" s="42"/>
      <c r="AD291" s="42"/>
      <c r="AJ291" s="42"/>
      <c r="AP291" s="42"/>
      <c r="AV291" s="42"/>
      <c r="BB291" s="42"/>
    </row>
    <row r="292" spans="18:54" x14ac:dyDescent="0.3">
      <c r="R292" s="42"/>
      <c r="X292" s="42"/>
      <c r="AD292" s="42"/>
      <c r="AJ292" s="42"/>
      <c r="AP292" s="42"/>
      <c r="AV292" s="42"/>
      <c r="BB292" s="42"/>
    </row>
    <row r="293" spans="18:54" x14ac:dyDescent="0.3">
      <c r="R293" s="42"/>
      <c r="X293" s="42"/>
      <c r="AD293" s="42"/>
      <c r="AJ293" s="42"/>
      <c r="AP293" s="42"/>
      <c r="AV293" s="42"/>
      <c r="BB293" s="42"/>
    </row>
    <row r="294" spans="18:54" x14ac:dyDescent="0.3">
      <c r="R294" s="42"/>
      <c r="X294" s="42"/>
      <c r="AD294" s="42"/>
      <c r="AJ294" s="42"/>
      <c r="AP294" s="42"/>
      <c r="AV294" s="42"/>
      <c r="BB294" s="42"/>
    </row>
    <row r="295" spans="18:54" x14ac:dyDescent="0.3">
      <c r="R295" s="42"/>
      <c r="X295" s="42"/>
      <c r="AD295" s="42"/>
      <c r="AJ295" s="42"/>
      <c r="AP295" s="42"/>
      <c r="AV295" s="42"/>
      <c r="BB295" s="42"/>
    </row>
    <row r="296" spans="18:54" x14ac:dyDescent="0.3">
      <c r="R296" s="42"/>
      <c r="X296" s="42"/>
      <c r="AD296" s="42"/>
      <c r="AJ296" s="42"/>
      <c r="AP296" s="42"/>
      <c r="AV296" s="42"/>
      <c r="BB296" s="42"/>
    </row>
    <row r="297" spans="18:54" x14ac:dyDescent="0.3">
      <c r="R297" s="42"/>
      <c r="X297" s="42"/>
      <c r="AD297" s="42"/>
      <c r="AJ297" s="42"/>
      <c r="AP297" s="42"/>
      <c r="AV297" s="42"/>
      <c r="BB297" s="42"/>
    </row>
    <row r="298" spans="18:54" x14ac:dyDescent="0.3">
      <c r="R298" s="42"/>
      <c r="X298" s="42"/>
      <c r="AD298" s="42"/>
      <c r="AJ298" s="42"/>
      <c r="AP298" s="42"/>
      <c r="AV298" s="42"/>
      <c r="BB298" s="42"/>
    </row>
    <row r="299" spans="18:54" x14ac:dyDescent="0.3">
      <c r="R299" s="42"/>
      <c r="X299" s="42"/>
      <c r="AD299" s="42"/>
      <c r="AJ299" s="42"/>
      <c r="AP299" s="42"/>
      <c r="AV299" s="42"/>
      <c r="BB299" s="42"/>
    </row>
    <row r="300" spans="18:54" x14ac:dyDescent="0.3">
      <c r="R300" s="42"/>
      <c r="X300" s="42"/>
      <c r="AD300" s="42"/>
      <c r="AJ300" s="42"/>
      <c r="AP300" s="42"/>
      <c r="AV300" s="42"/>
      <c r="BB300" s="42"/>
    </row>
    <row r="301" spans="18:54" x14ac:dyDescent="0.3">
      <c r="R301" s="42"/>
      <c r="X301" s="42"/>
      <c r="AD301" s="42"/>
      <c r="AJ301" s="42"/>
      <c r="AP301" s="42"/>
      <c r="AV301" s="42"/>
      <c r="BB301" s="42"/>
    </row>
    <row r="302" spans="18:54" x14ac:dyDescent="0.3">
      <c r="R302" s="42"/>
      <c r="X302" s="42"/>
      <c r="AD302" s="42"/>
      <c r="AJ302" s="42"/>
      <c r="AP302" s="42"/>
      <c r="AV302" s="42"/>
      <c r="BB302" s="42"/>
    </row>
    <row r="303" spans="18:54" x14ac:dyDescent="0.3">
      <c r="R303" s="42"/>
      <c r="X303" s="42"/>
      <c r="AD303" s="42"/>
      <c r="AJ303" s="42"/>
      <c r="AP303" s="42"/>
      <c r="AV303" s="42"/>
      <c r="BB303" s="42"/>
    </row>
    <row r="304" spans="18:54" x14ac:dyDescent="0.3">
      <c r="R304" s="42"/>
      <c r="X304" s="42"/>
      <c r="AD304" s="42"/>
      <c r="AJ304" s="42"/>
      <c r="AP304" s="42"/>
      <c r="AV304" s="42"/>
      <c r="BB304" s="42"/>
    </row>
    <row r="305" spans="18:54" x14ac:dyDescent="0.3">
      <c r="R305" s="42"/>
      <c r="X305" s="42"/>
      <c r="AD305" s="42"/>
      <c r="AJ305" s="42"/>
      <c r="AP305" s="42"/>
      <c r="AV305" s="42"/>
      <c r="BB305" s="42"/>
    </row>
    <row r="306" spans="18:54" x14ac:dyDescent="0.3">
      <c r="R306" s="42"/>
      <c r="X306" s="42"/>
      <c r="AD306" s="42"/>
      <c r="AJ306" s="42"/>
      <c r="AP306" s="42"/>
      <c r="AV306" s="42"/>
      <c r="BB306" s="42"/>
    </row>
    <row r="307" spans="18:54" x14ac:dyDescent="0.3">
      <c r="R307" s="42"/>
      <c r="X307" s="42"/>
      <c r="AD307" s="42"/>
      <c r="AJ307" s="42"/>
      <c r="AP307" s="42"/>
      <c r="AV307" s="42"/>
      <c r="BB307" s="42"/>
    </row>
    <row r="308" spans="18:54" x14ac:dyDescent="0.3">
      <c r="R308" s="42"/>
      <c r="X308" s="42"/>
      <c r="AD308" s="42"/>
      <c r="AJ308" s="42"/>
      <c r="AP308" s="42"/>
      <c r="AV308" s="42"/>
      <c r="BB308" s="42"/>
    </row>
    <row r="309" spans="18:54" x14ac:dyDescent="0.3">
      <c r="R309" s="42"/>
      <c r="X309" s="42"/>
      <c r="AD309" s="42"/>
      <c r="AJ309" s="42"/>
      <c r="AP309" s="42"/>
      <c r="AV309" s="42"/>
      <c r="BB309" s="42"/>
    </row>
    <row r="310" spans="18:54" x14ac:dyDescent="0.3">
      <c r="R310" s="42"/>
      <c r="X310" s="42"/>
      <c r="AD310" s="42"/>
      <c r="AJ310" s="42"/>
      <c r="AP310" s="42"/>
      <c r="AV310" s="42"/>
      <c r="BB310" s="42"/>
    </row>
    <row r="311" spans="18:54" x14ac:dyDescent="0.3">
      <c r="R311" s="42"/>
      <c r="X311" s="42"/>
      <c r="AD311" s="42"/>
      <c r="AJ311" s="42"/>
      <c r="AP311" s="42"/>
      <c r="AV311" s="42"/>
      <c r="BB311" s="42"/>
    </row>
    <row r="312" spans="18:54" x14ac:dyDescent="0.3">
      <c r="R312" s="42"/>
      <c r="X312" s="42"/>
      <c r="AD312" s="42"/>
      <c r="AJ312" s="42"/>
      <c r="AP312" s="42"/>
      <c r="AV312" s="42"/>
      <c r="BB312" s="42"/>
    </row>
    <row r="313" spans="18:54" x14ac:dyDescent="0.3">
      <c r="R313" s="42"/>
      <c r="X313" s="42"/>
      <c r="AD313" s="42"/>
      <c r="AJ313" s="42"/>
      <c r="AP313" s="42"/>
      <c r="AV313" s="42"/>
      <c r="BB313" s="42"/>
    </row>
    <row r="314" spans="18:54" x14ac:dyDescent="0.3">
      <c r="R314" s="42"/>
      <c r="X314" s="42"/>
      <c r="AD314" s="42"/>
      <c r="AJ314" s="42"/>
      <c r="AP314" s="42"/>
      <c r="AV314" s="42"/>
      <c r="BB314" s="42"/>
    </row>
    <row r="315" spans="18:54" x14ac:dyDescent="0.3">
      <c r="R315" s="42"/>
      <c r="X315" s="42"/>
      <c r="AD315" s="42"/>
      <c r="AJ315" s="42"/>
      <c r="AP315" s="42"/>
      <c r="AV315" s="42"/>
      <c r="BB315" s="42"/>
    </row>
    <row r="316" spans="18:54" x14ac:dyDescent="0.3">
      <c r="R316" s="42"/>
      <c r="X316" s="42"/>
      <c r="AD316" s="42"/>
      <c r="AJ316" s="42"/>
      <c r="AP316" s="42"/>
      <c r="AV316" s="42"/>
      <c r="BB316" s="42"/>
    </row>
    <row r="317" spans="18:54" x14ac:dyDescent="0.3">
      <c r="R317" s="42"/>
      <c r="X317" s="42"/>
      <c r="AD317" s="42"/>
      <c r="AJ317" s="42"/>
      <c r="AP317" s="42"/>
      <c r="AV317" s="42"/>
      <c r="BB317" s="42"/>
    </row>
    <row r="318" spans="18:54" x14ac:dyDescent="0.3">
      <c r="R318" s="42"/>
      <c r="X318" s="42"/>
      <c r="AD318" s="42"/>
      <c r="AJ318" s="42"/>
      <c r="AP318" s="42"/>
      <c r="AV318" s="42"/>
      <c r="BB318" s="42"/>
    </row>
    <row r="319" spans="18:54" x14ac:dyDescent="0.3">
      <c r="R319" s="42"/>
      <c r="X319" s="42"/>
      <c r="AD319" s="42"/>
      <c r="AJ319" s="42"/>
      <c r="AP319" s="42"/>
      <c r="AV319" s="42"/>
      <c r="BB319" s="42"/>
    </row>
    <row r="320" spans="18:54" x14ac:dyDescent="0.3">
      <c r="R320" s="42"/>
      <c r="X320" s="42"/>
      <c r="AD320" s="42"/>
      <c r="AJ320" s="42"/>
      <c r="AP320" s="42"/>
      <c r="AV320" s="42"/>
      <c r="BB320" s="42"/>
    </row>
    <row r="321" spans="18:54" x14ac:dyDescent="0.3">
      <c r="R321" s="42"/>
      <c r="X321" s="42"/>
      <c r="AD321" s="42"/>
      <c r="AJ321" s="42"/>
      <c r="AP321" s="42"/>
      <c r="AV321" s="42"/>
      <c r="BB321" s="42"/>
    </row>
    <row r="322" spans="18:54" x14ac:dyDescent="0.3">
      <c r="R322" s="42"/>
      <c r="X322" s="42"/>
      <c r="AD322" s="42"/>
      <c r="AJ322" s="42"/>
      <c r="AP322" s="42"/>
      <c r="AV322" s="42"/>
      <c r="BB322" s="42"/>
    </row>
    <row r="323" spans="18:54" x14ac:dyDescent="0.3">
      <c r="R323" s="42"/>
      <c r="X323" s="42"/>
      <c r="AD323" s="42"/>
      <c r="AJ323" s="42"/>
      <c r="AP323" s="42"/>
      <c r="AV323" s="42"/>
      <c r="BB323" s="42"/>
    </row>
    <row r="324" spans="18:54" x14ac:dyDescent="0.3">
      <c r="R324" s="42"/>
      <c r="X324" s="42"/>
      <c r="AD324" s="42"/>
      <c r="AJ324" s="42"/>
      <c r="AP324" s="42"/>
      <c r="AV324" s="42"/>
      <c r="BB324" s="42"/>
    </row>
    <row r="325" spans="18:54" x14ac:dyDescent="0.3">
      <c r="R325" s="42"/>
      <c r="X325" s="42"/>
      <c r="AD325" s="42"/>
      <c r="AJ325" s="42"/>
      <c r="AP325" s="42"/>
      <c r="AV325" s="42"/>
      <c r="BB325" s="42"/>
    </row>
    <row r="326" spans="18:54" x14ac:dyDescent="0.3">
      <c r="R326" s="42"/>
      <c r="X326" s="42"/>
      <c r="AD326" s="42"/>
      <c r="AJ326" s="42"/>
      <c r="AP326" s="42"/>
      <c r="AV326" s="42"/>
      <c r="BB326" s="42"/>
    </row>
    <row r="327" spans="18:54" x14ac:dyDescent="0.3">
      <c r="R327" s="42"/>
      <c r="X327" s="42"/>
      <c r="AD327" s="42"/>
      <c r="AJ327" s="42"/>
      <c r="AP327" s="42"/>
      <c r="AV327" s="42"/>
      <c r="BB327" s="42"/>
    </row>
    <row r="328" spans="18:54" x14ac:dyDescent="0.3">
      <c r="R328" s="42"/>
      <c r="X328" s="42"/>
      <c r="AD328" s="42"/>
      <c r="AJ328" s="42"/>
      <c r="AP328" s="42"/>
      <c r="AV328" s="42"/>
      <c r="BB328" s="42"/>
    </row>
    <row r="329" spans="18:54" x14ac:dyDescent="0.3">
      <c r="R329" s="42"/>
      <c r="X329" s="42"/>
      <c r="AD329" s="42"/>
      <c r="AJ329" s="42"/>
      <c r="AP329" s="42"/>
      <c r="AV329" s="42"/>
      <c r="BB329" s="42"/>
    </row>
    <row r="330" spans="18:54" x14ac:dyDescent="0.3">
      <c r="R330" s="42"/>
      <c r="X330" s="42"/>
      <c r="AD330" s="42"/>
      <c r="AJ330" s="42"/>
      <c r="AP330" s="42"/>
      <c r="AV330" s="42"/>
      <c r="BB330" s="42"/>
    </row>
    <row r="331" spans="18:54" x14ac:dyDescent="0.3">
      <c r="R331" s="42"/>
      <c r="X331" s="42"/>
      <c r="AD331" s="42"/>
      <c r="AJ331" s="42"/>
      <c r="AP331" s="42"/>
      <c r="AV331" s="42"/>
      <c r="BB331" s="42"/>
    </row>
    <row r="332" spans="18:54" x14ac:dyDescent="0.3">
      <c r="R332" s="42"/>
      <c r="X332" s="42"/>
      <c r="AD332" s="42"/>
      <c r="AJ332" s="42"/>
      <c r="AP332" s="42"/>
      <c r="AV332" s="42"/>
      <c r="BB332" s="42"/>
    </row>
    <row r="333" spans="18:54" x14ac:dyDescent="0.3">
      <c r="R333" s="42"/>
      <c r="X333" s="42"/>
      <c r="AD333" s="42"/>
      <c r="AJ333" s="42"/>
      <c r="AP333" s="42"/>
      <c r="AV333" s="42"/>
      <c r="BB333" s="42"/>
    </row>
    <row r="334" spans="18:54" x14ac:dyDescent="0.3">
      <c r="R334" s="42"/>
      <c r="X334" s="42"/>
      <c r="AD334" s="42"/>
      <c r="AJ334" s="42"/>
      <c r="AP334" s="42"/>
      <c r="AV334" s="42"/>
      <c r="BB334" s="42"/>
    </row>
    <row r="335" spans="18:54" x14ac:dyDescent="0.3">
      <c r="R335" s="42"/>
      <c r="X335" s="42"/>
      <c r="AD335" s="42"/>
      <c r="AJ335" s="42"/>
      <c r="AP335" s="42"/>
      <c r="AV335" s="42"/>
      <c r="BB335" s="42"/>
    </row>
    <row r="336" spans="18:54" x14ac:dyDescent="0.3">
      <c r="R336" s="42"/>
      <c r="X336" s="42"/>
      <c r="AD336" s="42"/>
      <c r="AJ336" s="42"/>
      <c r="AP336" s="42"/>
      <c r="AV336" s="42"/>
      <c r="BB336" s="42"/>
    </row>
    <row r="337" spans="18:54" x14ac:dyDescent="0.3">
      <c r="R337" s="42"/>
      <c r="X337" s="42"/>
      <c r="AD337" s="42"/>
      <c r="AJ337" s="42"/>
      <c r="AP337" s="42"/>
      <c r="AV337" s="42"/>
      <c r="BB337" s="42"/>
    </row>
    <row r="338" spans="18:54" x14ac:dyDescent="0.3">
      <c r="R338" s="42"/>
      <c r="X338" s="42"/>
      <c r="AD338" s="42"/>
      <c r="AJ338" s="42"/>
      <c r="AP338" s="42"/>
      <c r="AV338" s="42"/>
      <c r="BB338" s="42"/>
    </row>
    <row r="339" spans="18:54" x14ac:dyDescent="0.3">
      <c r="R339" s="42"/>
      <c r="X339" s="42"/>
      <c r="AD339" s="42"/>
      <c r="AJ339" s="42"/>
      <c r="AP339" s="42"/>
      <c r="AV339" s="42"/>
      <c r="BB339" s="42"/>
    </row>
    <row r="340" spans="18:54" x14ac:dyDescent="0.3">
      <c r="R340" s="42"/>
      <c r="X340" s="42"/>
      <c r="AD340" s="42"/>
      <c r="AJ340" s="42"/>
      <c r="AP340" s="42"/>
      <c r="AV340" s="42"/>
      <c r="BB340" s="42"/>
    </row>
    <row r="341" spans="18:54" x14ac:dyDescent="0.3">
      <c r="R341" s="42"/>
      <c r="X341" s="42"/>
      <c r="AD341" s="42"/>
      <c r="AJ341" s="42"/>
      <c r="AP341" s="42"/>
      <c r="AV341" s="42"/>
      <c r="BB341" s="42"/>
    </row>
    <row r="342" spans="18:54" x14ac:dyDescent="0.3">
      <c r="R342" s="42"/>
      <c r="X342" s="42"/>
      <c r="AD342" s="42"/>
      <c r="AJ342" s="42"/>
      <c r="AP342" s="42"/>
      <c r="AV342" s="42"/>
      <c r="BB342" s="42"/>
    </row>
    <row r="343" spans="18:54" x14ac:dyDescent="0.3">
      <c r="R343" s="42"/>
      <c r="X343" s="42"/>
      <c r="AD343" s="42"/>
      <c r="AJ343" s="42"/>
      <c r="AP343" s="42"/>
      <c r="AV343" s="42"/>
      <c r="BB343" s="42"/>
    </row>
    <row r="344" spans="18:54" x14ac:dyDescent="0.3">
      <c r="R344" s="42"/>
      <c r="X344" s="42"/>
      <c r="AD344" s="42"/>
      <c r="AJ344" s="42"/>
      <c r="AP344" s="42"/>
      <c r="AV344" s="42"/>
      <c r="BB344" s="42"/>
    </row>
    <row r="345" spans="18:54" x14ac:dyDescent="0.3">
      <c r="R345" s="42"/>
      <c r="X345" s="42"/>
      <c r="AD345" s="42"/>
      <c r="AJ345" s="42"/>
      <c r="AP345" s="42"/>
      <c r="AV345" s="42"/>
      <c r="BB345" s="42"/>
    </row>
    <row r="346" spans="18:54" x14ac:dyDescent="0.3">
      <c r="R346" s="42"/>
      <c r="X346" s="42"/>
      <c r="AD346" s="42"/>
      <c r="AJ346" s="42"/>
      <c r="AP346" s="42"/>
      <c r="AV346" s="42"/>
      <c r="BB346" s="42"/>
    </row>
    <row r="347" spans="18:54" x14ac:dyDescent="0.3">
      <c r="R347" s="42"/>
      <c r="X347" s="42"/>
      <c r="AD347" s="42"/>
      <c r="AJ347" s="42"/>
      <c r="AP347" s="42"/>
      <c r="AV347" s="42"/>
      <c r="BB347" s="42"/>
    </row>
    <row r="348" spans="18:54" x14ac:dyDescent="0.3">
      <c r="R348" s="42"/>
      <c r="X348" s="42"/>
      <c r="AD348" s="42"/>
      <c r="AJ348" s="42"/>
      <c r="AP348" s="42"/>
      <c r="AV348" s="42"/>
      <c r="BB348" s="42"/>
    </row>
    <row r="349" spans="18:54" x14ac:dyDescent="0.3">
      <c r="R349" s="42"/>
      <c r="X349" s="42"/>
      <c r="AD349" s="42"/>
      <c r="AJ349" s="42"/>
      <c r="AP349" s="42"/>
      <c r="AV349" s="42"/>
      <c r="BB349" s="42"/>
    </row>
    <row r="350" spans="18:54" x14ac:dyDescent="0.3">
      <c r="R350" s="42"/>
      <c r="X350" s="42"/>
      <c r="AD350" s="42"/>
      <c r="AJ350" s="42"/>
      <c r="AP350" s="42"/>
      <c r="AV350" s="42"/>
      <c r="BB350" s="42"/>
    </row>
    <row r="351" spans="18:54" x14ac:dyDescent="0.3">
      <c r="R351" s="42"/>
      <c r="X351" s="42"/>
      <c r="AD351" s="42"/>
      <c r="AJ351" s="42"/>
      <c r="AP351" s="42"/>
      <c r="AV351" s="42"/>
      <c r="BB351" s="42"/>
    </row>
    <row r="352" spans="18:54" x14ac:dyDescent="0.3">
      <c r="R352" s="42"/>
      <c r="X352" s="42"/>
      <c r="AD352" s="42"/>
      <c r="AJ352" s="42"/>
      <c r="AP352" s="42"/>
      <c r="AV352" s="42"/>
      <c r="BB352" s="42"/>
    </row>
    <row r="353" spans="18:54" x14ac:dyDescent="0.3">
      <c r="R353" s="42"/>
      <c r="X353" s="42"/>
      <c r="AD353" s="42"/>
      <c r="AJ353" s="42"/>
      <c r="AP353" s="42"/>
      <c r="AV353" s="42"/>
      <c r="BB353" s="42"/>
    </row>
    <row r="354" spans="18:54" x14ac:dyDescent="0.3">
      <c r="R354" s="42"/>
      <c r="X354" s="42"/>
      <c r="AD354" s="42"/>
      <c r="AJ354" s="42"/>
      <c r="AP354" s="42"/>
      <c r="AV354" s="42"/>
      <c r="BB354" s="42"/>
    </row>
    <row r="355" spans="18:54" x14ac:dyDescent="0.3">
      <c r="R355" s="42"/>
      <c r="X355" s="42"/>
      <c r="AD355" s="42"/>
      <c r="AJ355" s="42"/>
      <c r="AP355" s="42"/>
      <c r="AV355" s="42"/>
      <c r="BB355" s="42"/>
    </row>
    <row r="356" spans="18:54" x14ac:dyDescent="0.3">
      <c r="R356" s="42"/>
      <c r="X356" s="42"/>
      <c r="AD356" s="42"/>
      <c r="AJ356" s="42"/>
      <c r="AP356" s="42"/>
      <c r="AV356" s="42"/>
      <c r="BB356" s="42"/>
    </row>
    <row r="357" spans="18:54" x14ac:dyDescent="0.3">
      <c r="R357" s="42"/>
      <c r="X357" s="42"/>
      <c r="AD357" s="42"/>
      <c r="AJ357" s="42"/>
      <c r="AP357" s="42"/>
      <c r="AV357" s="42"/>
      <c r="BB357" s="42"/>
    </row>
    <row r="358" spans="18:54" x14ac:dyDescent="0.3">
      <c r="R358" s="42"/>
      <c r="X358" s="42"/>
      <c r="AD358" s="42"/>
      <c r="AJ358" s="42"/>
      <c r="AP358" s="42"/>
      <c r="AV358" s="42"/>
      <c r="BB358" s="42"/>
    </row>
    <row r="359" spans="18:54" x14ac:dyDescent="0.3">
      <c r="R359" s="42"/>
      <c r="X359" s="42"/>
      <c r="AD359" s="42"/>
      <c r="AJ359" s="42"/>
      <c r="AP359" s="42"/>
      <c r="AV359" s="42"/>
      <c r="BB359" s="42"/>
    </row>
    <row r="360" spans="18:54" x14ac:dyDescent="0.3">
      <c r="R360" s="42"/>
      <c r="X360" s="42"/>
      <c r="AD360" s="42"/>
      <c r="AJ360" s="42"/>
      <c r="AP360" s="42"/>
      <c r="AV360" s="42"/>
      <c r="BB360" s="42"/>
    </row>
    <row r="361" spans="18:54" x14ac:dyDescent="0.3">
      <c r="R361" s="42"/>
      <c r="X361" s="42"/>
      <c r="AD361" s="42"/>
      <c r="AJ361" s="42"/>
      <c r="AP361" s="42"/>
      <c r="AV361" s="42"/>
      <c r="BB361" s="42"/>
    </row>
    <row r="362" spans="18:54" x14ac:dyDescent="0.3">
      <c r="R362" s="42"/>
      <c r="X362" s="42"/>
      <c r="AD362" s="42"/>
      <c r="AJ362" s="42"/>
      <c r="AP362" s="42"/>
      <c r="AV362" s="42"/>
      <c r="BB362" s="42"/>
    </row>
    <row r="363" spans="18:54" x14ac:dyDescent="0.3">
      <c r="R363" s="42"/>
      <c r="X363" s="42"/>
      <c r="AD363" s="42"/>
      <c r="AJ363" s="42"/>
      <c r="AP363" s="42"/>
      <c r="AV363" s="42"/>
      <c r="BB363" s="42"/>
    </row>
    <row r="364" spans="18:54" x14ac:dyDescent="0.3">
      <c r="R364" s="42"/>
      <c r="X364" s="42"/>
      <c r="AD364" s="42"/>
      <c r="AJ364" s="42"/>
      <c r="AP364" s="42"/>
      <c r="AV364" s="42"/>
      <c r="BB364" s="42"/>
    </row>
    <row r="365" spans="18:54" x14ac:dyDescent="0.3">
      <c r="R365" s="42"/>
      <c r="X365" s="42"/>
      <c r="AD365" s="42"/>
      <c r="AJ365" s="42"/>
      <c r="AP365" s="42"/>
      <c r="AV365" s="42"/>
      <c r="BB365" s="42"/>
    </row>
    <row r="366" spans="18:54" x14ac:dyDescent="0.3">
      <c r="R366" s="42"/>
      <c r="X366" s="42"/>
      <c r="AD366" s="42"/>
      <c r="AJ366" s="42"/>
      <c r="AP366" s="42"/>
      <c r="AV366" s="42"/>
      <c r="BB366" s="42"/>
    </row>
    <row r="367" spans="18:54" x14ac:dyDescent="0.3">
      <c r="R367" s="42"/>
      <c r="X367" s="42"/>
      <c r="AD367" s="42"/>
      <c r="AJ367" s="42"/>
      <c r="AP367" s="42"/>
      <c r="AV367" s="42"/>
      <c r="BB367" s="42"/>
    </row>
    <row r="368" spans="18:54" x14ac:dyDescent="0.3">
      <c r="R368" s="42"/>
      <c r="X368" s="42"/>
      <c r="AD368" s="42"/>
      <c r="AJ368" s="42"/>
      <c r="AP368" s="42"/>
      <c r="AV368" s="42"/>
      <c r="BB368" s="42"/>
    </row>
    <row r="369" spans="18:54" x14ac:dyDescent="0.3">
      <c r="R369" s="42"/>
      <c r="X369" s="42"/>
      <c r="AD369" s="42"/>
      <c r="AJ369" s="42"/>
      <c r="AP369" s="42"/>
      <c r="AV369" s="42"/>
      <c r="BB369" s="42"/>
    </row>
    <row r="370" spans="18:54" x14ac:dyDescent="0.3">
      <c r="R370" s="42"/>
      <c r="X370" s="42"/>
      <c r="AD370" s="42"/>
      <c r="AJ370" s="42"/>
      <c r="AP370" s="42"/>
      <c r="AV370" s="42"/>
      <c r="BB370" s="42"/>
    </row>
    <row r="371" spans="18:54" x14ac:dyDescent="0.3">
      <c r="R371" s="42"/>
      <c r="X371" s="42"/>
      <c r="AD371" s="42"/>
      <c r="AJ371" s="42"/>
      <c r="AP371" s="42"/>
      <c r="AV371" s="42"/>
      <c r="BB371" s="42"/>
    </row>
    <row r="372" spans="18:54" x14ac:dyDescent="0.3">
      <c r="R372" s="42"/>
      <c r="X372" s="42"/>
      <c r="AD372" s="42"/>
      <c r="AJ372" s="42"/>
      <c r="AP372" s="42"/>
      <c r="AV372" s="42"/>
      <c r="BB372" s="42"/>
    </row>
    <row r="373" spans="18:54" x14ac:dyDescent="0.3">
      <c r="R373" s="42"/>
      <c r="X373" s="42"/>
      <c r="AD373" s="42"/>
      <c r="AJ373" s="42"/>
      <c r="AP373" s="42"/>
      <c r="AV373" s="42"/>
      <c r="BB373" s="42"/>
    </row>
    <row r="374" spans="18:54" x14ac:dyDescent="0.3">
      <c r="R374" s="43"/>
      <c r="X374" s="43"/>
      <c r="AD374" s="43"/>
      <c r="AJ374" s="43"/>
      <c r="AP374" s="43"/>
      <c r="AV374" s="43"/>
      <c r="BB374" s="43"/>
    </row>
    <row r="375" spans="18:54" x14ac:dyDescent="0.3">
      <c r="R375" s="42"/>
      <c r="X375" s="42"/>
      <c r="AD375" s="42"/>
      <c r="AJ375" s="42"/>
      <c r="AP375" s="42"/>
      <c r="AV375" s="42"/>
      <c r="BB375" s="42"/>
    </row>
    <row r="376" spans="18:54" x14ac:dyDescent="0.3">
      <c r="R376" s="42"/>
      <c r="X376" s="42"/>
      <c r="AD376" s="42"/>
      <c r="AJ376" s="42"/>
      <c r="AP376" s="42"/>
      <c r="AV376" s="42"/>
      <c r="BB376" s="42"/>
    </row>
    <row r="377" spans="18:54" x14ac:dyDescent="0.3">
      <c r="R377" s="42"/>
      <c r="X377" s="42"/>
      <c r="AD377" s="42"/>
      <c r="AJ377" s="42"/>
      <c r="AP377" s="42"/>
      <c r="AV377" s="42"/>
      <c r="BB377" s="42"/>
    </row>
    <row r="378" spans="18:54" x14ac:dyDescent="0.3">
      <c r="R378" s="42"/>
      <c r="X378" s="42"/>
      <c r="AD378" s="42"/>
      <c r="AJ378" s="42"/>
      <c r="AP378" s="42"/>
      <c r="AV378" s="42"/>
      <c r="BB378" s="42"/>
    </row>
    <row r="379" spans="18:54" x14ac:dyDescent="0.3">
      <c r="R379" s="42"/>
      <c r="X379" s="42"/>
      <c r="AD379" s="42"/>
      <c r="AJ379" s="42"/>
      <c r="AP379" s="42"/>
      <c r="AV379" s="42"/>
      <c r="BB379" s="42"/>
    </row>
  </sheetData>
  <mergeCells count="24">
    <mergeCell ref="Y2:AC2"/>
    <mergeCell ref="A1:B1"/>
    <mergeCell ref="C1:D1"/>
    <mergeCell ref="A2:A3"/>
    <mergeCell ref="B2:B3"/>
    <mergeCell ref="C2:C3"/>
    <mergeCell ref="D2:D3"/>
    <mergeCell ref="E2:E3"/>
    <mergeCell ref="F2:F3"/>
    <mergeCell ref="G2:K2"/>
    <mergeCell ref="L2:L3"/>
    <mergeCell ref="M2:Q2"/>
    <mergeCell ref="R2:R3"/>
    <mergeCell ref="S2:W2"/>
    <mergeCell ref="X2:X3"/>
    <mergeCell ref="AV2:AV3"/>
    <mergeCell ref="AW2:BA2"/>
    <mergeCell ref="BB2:BB3"/>
    <mergeCell ref="AD2:AD3"/>
    <mergeCell ref="AE2:AI2"/>
    <mergeCell ref="AJ2:AJ3"/>
    <mergeCell ref="AK2:AO2"/>
    <mergeCell ref="AP2:AP3"/>
    <mergeCell ref="AQ2:A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A01F-9638-41CE-BD9E-A1E023B1096E}">
  <dimension ref="A1:BA232"/>
  <sheetViews>
    <sheetView topLeftCell="AV1" workbookViewId="0">
      <selection activeCell="BE222" sqref="BE222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3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3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</row>
    <row r="3" spans="1:53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0</v>
      </c>
      <c r="M3" s="62">
        <v>0</v>
      </c>
      <c r="N3" s="62">
        <v>0</v>
      </c>
      <c r="O3" s="62">
        <v>0</v>
      </c>
      <c r="P3" s="62">
        <v>0</v>
      </c>
      <c r="Q3" s="72">
        <f>IFERROR(AVERAGE(M3,N3,L3,O3,P3),"A")</f>
        <v>0</v>
      </c>
      <c r="R3" s="62">
        <v>0</v>
      </c>
      <c r="S3" s="62">
        <v>0</v>
      </c>
      <c r="T3" s="62"/>
      <c r="U3" s="62">
        <v>0</v>
      </c>
      <c r="V3" s="62"/>
      <c r="W3" s="72">
        <f>IFERROR(AVERAGE(R3,S3,U3),"A")</f>
        <v>0</v>
      </c>
      <c r="X3" s="62">
        <v>0</v>
      </c>
      <c r="Y3" s="62">
        <v>0</v>
      </c>
      <c r="Z3" s="62"/>
      <c r="AA3" s="62"/>
      <c r="AB3" s="62"/>
      <c r="AC3" s="72">
        <f>IFERROR(AVERAGE(Y3,X3),"A")</f>
        <v>0</v>
      </c>
      <c r="AD3" s="62">
        <v>0</v>
      </c>
      <c r="AE3" s="62"/>
      <c r="AF3" s="62">
        <v>0</v>
      </c>
      <c r="AG3" s="62"/>
      <c r="AH3" s="62"/>
      <c r="AI3" s="72">
        <f>IFERROR(AVERAGE(AF3,AD3),"A")</f>
        <v>0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>
        <v>0</v>
      </c>
      <c r="AQ3" s="62">
        <v>0</v>
      </c>
      <c r="AR3" s="62">
        <v>0</v>
      </c>
      <c r="AS3" s="62"/>
      <c r="AT3" s="62"/>
      <c r="AU3" s="72">
        <f>IFERROR(AVERAGE(AR3,AQ3,AP3),"A")</f>
        <v>0</v>
      </c>
      <c r="AV3" s="62"/>
      <c r="AW3" s="62"/>
      <c r="AX3" s="62">
        <v>0</v>
      </c>
      <c r="AY3" s="62">
        <v>0</v>
      </c>
      <c r="AZ3" s="62">
        <v>0</v>
      </c>
      <c r="BA3" s="72">
        <f>IFERROR(AVERAGE(AX3,AY3,AZ3),"A")</f>
        <v>0</v>
      </c>
    </row>
    <row r="4" spans="1:53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72">
        <f t="shared" ref="Q4:Q67" si="1">IFERROR(AVERAGE(M4,N4,L4,O4,P4),"A")</f>
        <v>0</v>
      </c>
      <c r="R4" s="62">
        <v>0</v>
      </c>
      <c r="S4" s="62">
        <v>0</v>
      </c>
      <c r="T4" s="7"/>
      <c r="U4" s="62">
        <v>0</v>
      </c>
      <c r="V4" s="7"/>
      <c r="W4" s="72">
        <f t="shared" ref="W4:W67" si="2">IFERROR(AVERAGE(R4,S4,U4),"A")</f>
        <v>0</v>
      </c>
      <c r="X4" s="62">
        <v>0</v>
      </c>
      <c r="Y4" s="62">
        <v>0</v>
      </c>
      <c r="Z4" s="7"/>
      <c r="AA4" s="7"/>
      <c r="AB4" s="7"/>
      <c r="AC4" s="72">
        <f t="shared" ref="AC4:AC67" si="3">IFERROR(AVERAGE(Y4,X4),"A")</f>
        <v>0</v>
      </c>
      <c r="AD4" s="62">
        <v>0</v>
      </c>
      <c r="AE4" s="7"/>
      <c r="AF4" s="62">
        <v>0</v>
      </c>
      <c r="AG4" s="7"/>
      <c r="AH4" s="7"/>
      <c r="AI4" s="72">
        <f t="shared" ref="AI4:AI67" si="4">IFERROR(AVERAGE(AF4,AD4),"A")</f>
        <v>0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62">
        <v>0</v>
      </c>
      <c r="AQ4" s="62">
        <v>0</v>
      </c>
      <c r="AR4" s="62">
        <v>0</v>
      </c>
      <c r="AS4" s="7"/>
      <c r="AT4" s="7"/>
      <c r="AU4" s="72">
        <f t="shared" ref="AU4:AU67" si="6">IFERROR(AVERAGE(AR4,AQ4,AP4),"A")</f>
        <v>0</v>
      </c>
      <c r="AV4" s="7"/>
      <c r="AW4" s="7"/>
      <c r="AX4" s="62">
        <v>0</v>
      </c>
      <c r="AY4" s="62">
        <v>0</v>
      </c>
      <c r="AZ4" s="62">
        <v>0</v>
      </c>
      <c r="BA4" s="72">
        <f t="shared" ref="BA4:BA67" si="7">IFERROR(AVERAGE(AX4,AY4,AZ4),"A")</f>
        <v>0</v>
      </c>
    </row>
    <row r="5" spans="1:53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72">
        <f t="shared" si="1"/>
        <v>0</v>
      </c>
      <c r="R5" s="62">
        <v>0</v>
      </c>
      <c r="S5" s="62">
        <v>0</v>
      </c>
      <c r="T5" s="62"/>
      <c r="U5" s="62">
        <v>0</v>
      </c>
      <c r="V5" s="62"/>
      <c r="W5" s="72">
        <f t="shared" si="2"/>
        <v>0</v>
      </c>
      <c r="X5" s="62">
        <v>0</v>
      </c>
      <c r="Y5" s="62">
        <v>0</v>
      </c>
      <c r="Z5" s="62"/>
      <c r="AA5" s="62"/>
      <c r="AB5" s="62"/>
      <c r="AC5" s="72">
        <f t="shared" si="3"/>
        <v>0</v>
      </c>
      <c r="AD5" s="62">
        <v>0</v>
      </c>
      <c r="AE5" s="62"/>
      <c r="AF5" s="62">
        <v>0</v>
      </c>
      <c r="AG5" s="62"/>
      <c r="AH5" s="62"/>
      <c r="AI5" s="72">
        <f t="shared" si="4"/>
        <v>0</v>
      </c>
      <c r="AJ5" s="62"/>
      <c r="AK5" s="62"/>
      <c r="AL5" s="62"/>
      <c r="AM5" s="62"/>
      <c r="AN5" s="62"/>
      <c r="AO5" s="72" t="str">
        <f t="shared" si="5"/>
        <v>A</v>
      </c>
      <c r="AP5" s="62">
        <v>0</v>
      </c>
      <c r="AQ5" s="62">
        <v>0</v>
      </c>
      <c r="AR5" s="62">
        <v>0</v>
      </c>
      <c r="AS5" s="62"/>
      <c r="AT5" s="62"/>
      <c r="AU5" s="72">
        <f t="shared" si="6"/>
        <v>0</v>
      </c>
      <c r="AV5" s="62"/>
      <c r="AW5" s="62"/>
      <c r="AX5" s="62">
        <v>0</v>
      </c>
      <c r="AY5" s="62">
        <v>0</v>
      </c>
      <c r="AZ5" s="62">
        <v>0</v>
      </c>
      <c r="BA5" s="72">
        <f t="shared" si="7"/>
        <v>0</v>
      </c>
    </row>
    <row r="6" spans="1:53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72">
        <f t="shared" si="1"/>
        <v>0</v>
      </c>
      <c r="R6" s="62">
        <v>0</v>
      </c>
      <c r="S6" s="62">
        <v>0</v>
      </c>
      <c r="T6" s="7"/>
      <c r="U6" s="62">
        <v>0</v>
      </c>
      <c r="V6" s="7"/>
      <c r="W6" s="72">
        <f t="shared" si="2"/>
        <v>0</v>
      </c>
      <c r="X6" s="62">
        <v>0</v>
      </c>
      <c r="Y6" s="62">
        <v>0</v>
      </c>
      <c r="Z6" s="7"/>
      <c r="AA6" s="7"/>
      <c r="AB6" s="7"/>
      <c r="AC6" s="72">
        <f t="shared" si="3"/>
        <v>0</v>
      </c>
      <c r="AD6" s="62">
        <v>0</v>
      </c>
      <c r="AE6" s="7"/>
      <c r="AF6" s="62">
        <v>0</v>
      </c>
      <c r="AG6" s="7"/>
      <c r="AH6" s="7"/>
      <c r="AI6" s="72">
        <f t="shared" si="4"/>
        <v>0</v>
      </c>
      <c r="AJ6" s="7"/>
      <c r="AK6" s="7"/>
      <c r="AL6" s="7"/>
      <c r="AM6" s="7"/>
      <c r="AN6" s="7"/>
      <c r="AO6" s="72" t="str">
        <f t="shared" si="5"/>
        <v>A</v>
      </c>
      <c r="AP6" s="62">
        <v>0</v>
      </c>
      <c r="AQ6" s="62">
        <v>0</v>
      </c>
      <c r="AR6" s="62">
        <v>0</v>
      </c>
      <c r="AS6" s="7"/>
      <c r="AT6" s="7"/>
      <c r="AU6" s="72">
        <f t="shared" si="6"/>
        <v>0</v>
      </c>
      <c r="AV6" s="7"/>
      <c r="AW6" s="7"/>
      <c r="AX6" s="62">
        <v>0</v>
      </c>
      <c r="AY6" s="62">
        <v>0</v>
      </c>
      <c r="AZ6" s="62">
        <v>0</v>
      </c>
      <c r="BA6" s="72">
        <f t="shared" si="7"/>
        <v>0</v>
      </c>
    </row>
    <row r="7" spans="1:53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3</v>
      </c>
      <c r="M7" s="62">
        <v>3</v>
      </c>
      <c r="N7" s="62">
        <v>3</v>
      </c>
      <c r="O7" s="62">
        <v>3</v>
      </c>
      <c r="P7" s="62">
        <v>3</v>
      </c>
      <c r="Q7" s="72">
        <f t="shared" si="1"/>
        <v>3</v>
      </c>
      <c r="R7" s="62">
        <v>2</v>
      </c>
      <c r="S7" s="62">
        <v>2</v>
      </c>
      <c r="T7" s="62"/>
      <c r="U7" s="62">
        <v>3</v>
      </c>
      <c r="V7" s="62"/>
      <c r="W7" s="72">
        <f t="shared" si="2"/>
        <v>2.3333333333333335</v>
      </c>
      <c r="X7" s="62">
        <v>3</v>
      </c>
      <c r="Y7" s="62">
        <v>2</v>
      </c>
      <c r="Z7" s="62"/>
      <c r="AA7" s="62"/>
      <c r="AB7" s="62"/>
      <c r="AC7" s="72">
        <f t="shared" si="3"/>
        <v>2.5</v>
      </c>
      <c r="AD7" s="62">
        <v>2</v>
      </c>
      <c r="AE7" s="62"/>
      <c r="AF7" s="62">
        <v>2</v>
      </c>
      <c r="AG7" s="62"/>
      <c r="AH7" s="62"/>
      <c r="AI7" s="72">
        <f t="shared" si="4"/>
        <v>2</v>
      </c>
      <c r="AJ7" s="62"/>
      <c r="AK7" s="62"/>
      <c r="AL7" s="62"/>
      <c r="AM7" s="62"/>
      <c r="AN7" s="62"/>
      <c r="AO7" s="72" t="str">
        <f t="shared" si="5"/>
        <v>A</v>
      </c>
      <c r="AP7" s="62">
        <v>3</v>
      </c>
      <c r="AQ7" s="62">
        <v>3</v>
      </c>
      <c r="AR7" s="62">
        <v>3</v>
      </c>
      <c r="AS7" s="62"/>
      <c r="AT7" s="62"/>
      <c r="AU7" s="72">
        <f t="shared" si="6"/>
        <v>3</v>
      </c>
      <c r="AV7" s="62"/>
      <c r="AW7" s="62"/>
      <c r="AX7" s="62">
        <v>3</v>
      </c>
      <c r="AY7" s="62">
        <v>3</v>
      </c>
      <c r="AZ7" s="62">
        <v>3</v>
      </c>
      <c r="BA7" s="72">
        <f t="shared" si="7"/>
        <v>3</v>
      </c>
    </row>
    <row r="8" spans="1:53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72">
        <f t="shared" si="1"/>
        <v>0</v>
      </c>
      <c r="R8" s="62">
        <v>0</v>
      </c>
      <c r="S8" s="62">
        <v>0</v>
      </c>
      <c r="T8" s="7"/>
      <c r="U8" s="62">
        <v>0</v>
      </c>
      <c r="V8" s="7"/>
      <c r="W8" s="72">
        <f t="shared" si="2"/>
        <v>0</v>
      </c>
      <c r="X8" s="62">
        <v>0</v>
      </c>
      <c r="Y8" s="62">
        <v>0</v>
      </c>
      <c r="Z8" s="7"/>
      <c r="AA8" s="7"/>
      <c r="AB8" s="7"/>
      <c r="AC8" s="72">
        <f t="shared" si="3"/>
        <v>0</v>
      </c>
      <c r="AD8" s="62">
        <v>0</v>
      </c>
      <c r="AE8" s="7"/>
      <c r="AF8" s="62">
        <v>0</v>
      </c>
      <c r="AG8" s="7"/>
      <c r="AH8" s="7"/>
      <c r="AI8" s="72">
        <f t="shared" si="4"/>
        <v>0</v>
      </c>
      <c r="AJ8" s="7"/>
      <c r="AK8" s="7"/>
      <c r="AL8" s="7"/>
      <c r="AM8" s="7"/>
      <c r="AN8" s="7"/>
      <c r="AO8" s="72" t="str">
        <f t="shared" si="5"/>
        <v>A</v>
      </c>
      <c r="AP8" s="62">
        <v>0</v>
      </c>
      <c r="AQ8" s="62">
        <v>0</v>
      </c>
      <c r="AR8" s="62">
        <v>0</v>
      </c>
      <c r="AS8" s="7"/>
      <c r="AT8" s="7"/>
      <c r="AU8" s="72">
        <f t="shared" si="6"/>
        <v>0</v>
      </c>
      <c r="AV8" s="7"/>
      <c r="AW8" s="7"/>
      <c r="AX8" s="62">
        <v>0</v>
      </c>
      <c r="AY8" s="62">
        <v>0</v>
      </c>
      <c r="AZ8" s="62">
        <v>0</v>
      </c>
      <c r="BA8" s="72">
        <f t="shared" si="7"/>
        <v>0</v>
      </c>
    </row>
    <row r="9" spans="1:53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72">
        <f t="shared" si="1"/>
        <v>0</v>
      </c>
      <c r="R9" s="62">
        <v>0</v>
      </c>
      <c r="S9" s="62">
        <v>0</v>
      </c>
      <c r="T9" s="62"/>
      <c r="U9" s="62">
        <v>0</v>
      </c>
      <c r="V9" s="62"/>
      <c r="W9" s="72">
        <f t="shared" si="2"/>
        <v>0</v>
      </c>
      <c r="X9" s="62">
        <v>0</v>
      </c>
      <c r="Y9" s="62">
        <v>0</v>
      </c>
      <c r="Z9" s="62"/>
      <c r="AA9" s="62"/>
      <c r="AB9" s="62"/>
      <c r="AC9" s="72">
        <f t="shared" si="3"/>
        <v>0</v>
      </c>
      <c r="AD9" s="62">
        <v>0</v>
      </c>
      <c r="AE9" s="62"/>
      <c r="AF9" s="62">
        <v>0</v>
      </c>
      <c r="AG9" s="62"/>
      <c r="AH9" s="62"/>
      <c r="AI9" s="72">
        <f t="shared" si="4"/>
        <v>0</v>
      </c>
      <c r="AJ9" s="62"/>
      <c r="AK9" s="62"/>
      <c r="AL9" s="62"/>
      <c r="AM9" s="62"/>
      <c r="AN9" s="62"/>
      <c r="AO9" s="72" t="str">
        <f t="shared" si="5"/>
        <v>A</v>
      </c>
      <c r="AP9" s="62">
        <v>0</v>
      </c>
      <c r="AQ9" s="62">
        <v>0</v>
      </c>
      <c r="AR9" s="62">
        <v>0</v>
      </c>
      <c r="AS9" s="62"/>
      <c r="AT9" s="62"/>
      <c r="AU9" s="72">
        <f t="shared" si="6"/>
        <v>0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3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3</v>
      </c>
      <c r="M10" s="62">
        <v>3</v>
      </c>
      <c r="N10" s="62">
        <v>3</v>
      </c>
      <c r="O10" s="62">
        <v>3</v>
      </c>
      <c r="P10" s="62">
        <v>3</v>
      </c>
      <c r="Q10" s="72">
        <f t="shared" si="1"/>
        <v>3</v>
      </c>
      <c r="R10" s="62">
        <v>2</v>
      </c>
      <c r="S10" s="62">
        <v>2</v>
      </c>
      <c r="T10" s="7"/>
      <c r="U10" s="62">
        <v>3</v>
      </c>
      <c r="V10" s="7"/>
      <c r="W10" s="72">
        <f t="shared" si="2"/>
        <v>2.3333333333333335</v>
      </c>
      <c r="X10" s="62">
        <v>3</v>
      </c>
      <c r="Y10" s="62">
        <v>2</v>
      </c>
      <c r="Z10" s="7"/>
      <c r="AA10" s="7"/>
      <c r="AB10" s="7"/>
      <c r="AC10" s="72">
        <f t="shared" si="3"/>
        <v>2.5</v>
      </c>
      <c r="AD10" s="62">
        <v>2</v>
      </c>
      <c r="AE10" s="7"/>
      <c r="AF10" s="62">
        <v>2</v>
      </c>
      <c r="AG10" s="7"/>
      <c r="AH10" s="7"/>
      <c r="AI10" s="72">
        <f t="shared" si="4"/>
        <v>2</v>
      </c>
      <c r="AJ10" s="7"/>
      <c r="AK10" s="7"/>
      <c r="AL10" s="7"/>
      <c r="AM10" s="7"/>
      <c r="AN10" s="7"/>
      <c r="AO10" s="72" t="str">
        <f t="shared" si="5"/>
        <v>A</v>
      </c>
      <c r="AP10" s="62">
        <v>3</v>
      </c>
      <c r="AQ10" s="62">
        <v>3</v>
      </c>
      <c r="AR10" s="62">
        <v>3</v>
      </c>
      <c r="AS10" s="7"/>
      <c r="AT10" s="7"/>
      <c r="AU10" s="72">
        <f t="shared" si="6"/>
        <v>3</v>
      </c>
      <c r="AV10" s="7"/>
      <c r="AW10" s="7"/>
      <c r="AX10" s="62">
        <v>3</v>
      </c>
      <c r="AY10" s="62">
        <v>3</v>
      </c>
      <c r="AZ10" s="62">
        <v>3</v>
      </c>
      <c r="BA10" s="72">
        <f t="shared" si="7"/>
        <v>3</v>
      </c>
    </row>
    <row r="11" spans="1:53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72">
        <f t="shared" si="1"/>
        <v>0</v>
      </c>
      <c r="R11" s="62">
        <v>0</v>
      </c>
      <c r="S11" s="62">
        <v>0</v>
      </c>
      <c r="T11" s="62"/>
      <c r="U11" s="62">
        <v>0</v>
      </c>
      <c r="V11" s="62"/>
      <c r="W11" s="72">
        <f t="shared" si="2"/>
        <v>0</v>
      </c>
      <c r="X11" s="62">
        <v>0</v>
      </c>
      <c r="Y11" s="62">
        <v>0</v>
      </c>
      <c r="Z11" s="62"/>
      <c r="AA11" s="62"/>
      <c r="AB11" s="62"/>
      <c r="AC11" s="72">
        <f t="shared" si="3"/>
        <v>0</v>
      </c>
      <c r="AD11" s="62">
        <v>0</v>
      </c>
      <c r="AE11" s="62"/>
      <c r="AF11" s="62">
        <v>0</v>
      </c>
      <c r="AG11" s="62"/>
      <c r="AH11" s="62"/>
      <c r="AI11" s="72">
        <f t="shared" si="4"/>
        <v>0</v>
      </c>
      <c r="AJ11" s="62"/>
      <c r="AK11" s="62"/>
      <c r="AL11" s="62"/>
      <c r="AM11" s="62"/>
      <c r="AN11" s="62"/>
      <c r="AO11" s="72" t="str">
        <f t="shared" si="5"/>
        <v>A</v>
      </c>
      <c r="AP11" s="62">
        <v>0</v>
      </c>
      <c r="AQ11" s="62">
        <v>0</v>
      </c>
      <c r="AR11" s="62">
        <v>0</v>
      </c>
      <c r="AS11" s="62"/>
      <c r="AT11" s="62"/>
      <c r="AU11" s="72">
        <f t="shared" si="6"/>
        <v>0</v>
      </c>
      <c r="AV11" s="62"/>
      <c r="AW11" s="62"/>
      <c r="AX11" s="62">
        <v>0</v>
      </c>
      <c r="AY11" s="62">
        <v>0</v>
      </c>
      <c r="AZ11" s="62">
        <v>0</v>
      </c>
      <c r="BA11" s="72">
        <f t="shared" si="7"/>
        <v>0</v>
      </c>
    </row>
    <row r="12" spans="1:53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72">
        <f t="shared" si="1"/>
        <v>0</v>
      </c>
      <c r="R12" s="62">
        <v>0</v>
      </c>
      <c r="S12" s="62">
        <v>0</v>
      </c>
      <c r="T12" s="7"/>
      <c r="U12" s="62">
        <v>0</v>
      </c>
      <c r="V12" s="7"/>
      <c r="W12" s="72">
        <f t="shared" si="2"/>
        <v>0</v>
      </c>
      <c r="X12" s="62">
        <v>0</v>
      </c>
      <c r="Y12" s="62">
        <v>0</v>
      </c>
      <c r="Z12" s="7"/>
      <c r="AA12" s="7"/>
      <c r="AB12" s="7"/>
      <c r="AC12" s="72">
        <f t="shared" si="3"/>
        <v>0</v>
      </c>
      <c r="AD12" s="62">
        <v>0</v>
      </c>
      <c r="AE12" s="7"/>
      <c r="AF12" s="62">
        <v>0</v>
      </c>
      <c r="AG12" s="7"/>
      <c r="AH12" s="7"/>
      <c r="AI12" s="72">
        <f t="shared" si="4"/>
        <v>0</v>
      </c>
      <c r="AJ12" s="7"/>
      <c r="AK12" s="7"/>
      <c r="AL12" s="7"/>
      <c r="AM12" s="7"/>
      <c r="AN12" s="7"/>
      <c r="AO12" s="72" t="str">
        <f t="shared" si="5"/>
        <v>A</v>
      </c>
      <c r="AP12" s="62">
        <v>0</v>
      </c>
      <c r="AQ12" s="62">
        <v>0</v>
      </c>
      <c r="AR12" s="62">
        <v>0</v>
      </c>
      <c r="AS12" s="7"/>
      <c r="AT12" s="7"/>
      <c r="AU12" s="72">
        <f t="shared" si="6"/>
        <v>0</v>
      </c>
      <c r="AV12" s="7"/>
      <c r="AW12" s="7"/>
      <c r="AX12" s="62">
        <v>0</v>
      </c>
      <c r="AY12" s="62">
        <v>0</v>
      </c>
      <c r="AZ12" s="62">
        <v>0</v>
      </c>
      <c r="BA12" s="72">
        <f t="shared" si="7"/>
        <v>0</v>
      </c>
    </row>
    <row r="13" spans="1:53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2</v>
      </c>
      <c r="M13" s="62">
        <v>2</v>
      </c>
      <c r="N13" s="62">
        <v>2</v>
      </c>
      <c r="O13" s="62">
        <v>2</v>
      </c>
      <c r="P13" s="62">
        <v>2</v>
      </c>
      <c r="Q13" s="72">
        <f t="shared" si="1"/>
        <v>2</v>
      </c>
      <c r="R13" s="62">
        <v>2</v>
      </c>
      <c r="S13" s="62">
        <v>2</v>
      </c>
      <c r="T13" s="62"/>
      <c r="U13" s="62">
        <v>2</v>
      </c>
      <c r="V13" s="62"/>
      <c r="W13" s="72">
        <f t="shared" si="2"/>
        <v>2</v>
      </c>
      <c r="X13" s="62">
        <v>2</v>
      </c>
      <c r="Y13" s="62">
        <v>2</v>
      </c>
      <c r="Z13" s="62"/>
      <c r="AA13" s="62"/>
      <c r="AB13" s="62"/>
      <c r="AC13" s="72">
        <f t="shared" si="3"/>
        <v>2</v>
      </c>
      <c r="AD13" s="62">
        <v>2</v>
      </c>
      <c r="AE13" s="62"/>
      <c r="AF13" s="62">
        <v>2</v>
      </c>
      <c r="AG13" s="62"/>
      <c r="AH13" s="62"/>
      <c r="AI13" s="72">
        <f t="shared" si="4"/>
        <v>2</v>
      </c>
      <c r="AJ13" s="62"/>
      <c r="AK13" s="62"/>
      <c r="AL13" s="62"/>
      <c r="AM13" s="62"/>
      <c r="AN13" s="62"/>
      <c r="AO13" s="72" t="str">
        <f t="shared" si="5"/>
        <v>A</v>
      </c>
      <c r="AP13" s="62">
        <v>2</v>
      </c>
      <c r="AQ13" s="62">
        <v>2</v>
      </c>
      <c r="AR13" s="62">
        <v>2</v>
      </c>
      <c r="AS13" s="62"/>
      <c r="AT13" s="62"/>
      <c r="AU13" s="72">
        <f t="shared" si="6"/>
        <v>2</v>
      </c>
      <c r="AV13" s="62"/>
      <c r="AW13" s="62"/>
      <c r="AX13" s="62">
        <v>2</v>
      </c>
      <c r="AY13" s="62">
        <v>2</v>
      </c>
      <c r="AZ13" s="62">
        <v>1</v>
      </c>
      <c r="BA13" s="72">
        <f t="shared" si="7"/>
        <v>1.6666666666666667</v>
      </c>
    </row>
    <row r="14" spans="1:53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3</v>
      </c>
      <c r="M14" s="62">
        <v>3</v>
      </c>
      <c r="N14" s="62">
        <v>3</v>
      </c>
      <c r="O14" s="62">
        <v>3</v>
      </c>
      <c r="P14" s="62">
        <v>3</v>
      </c>
      <c r="Q14" s="72">
        <f t="shared" si="1"/>
        <v>3</v>
      </c>
      <c r="R14" s="62">
        <v>3</v>
      </c>
      <c r="S14" s="62">
        <v>3</v>
      </c>
      <c r="T14" s="7"/>
      <c r="U14" s="62">
        <v>3</v>
      </c>
      <c r="V14" s="7"/>
      <c r="W14" s="72">
        <f t="shared" si="2"/>
        <v>3</v>
      </c>
      <c r="X14" s="62">
        <v>3</v>
      </c>
      <c r="Y14" s="62">
        <v>3</v>
      </c>
      <c r="Z14" s="7"/>
      <c r="AA14" s="7"/>
      <c r="AB14" s="7"/>
      <c r="AC14" s="72">
        <f t="shared" si="3"/>
        <v>3</v>
      </c>
      <c r="AD14" s="62">
        <v>3</v>
      </c>
      <c r="AE14" s="7"/>
      <c r="AF14" s="62">
        <v>3</v>
      </c>
      <c r="AG14" s="7"/>
      <c r="AH14" s="7"/>
      <c r="AI14" s="72">
        <f t="shared" si="4"/>
        <v>3</v>
      </c>
      <c r="AJ14" s="7"/>
      <c r="AK14" s="7"/>
      <c r="AL14" s="7"/>
      <c r="AM14" s="7"/>
      <c r="AN14" s="7"/>
      <c r="AO14" s="72" t="str">
        <f t="shared" si="5"/>
        <v>A</v>
      </c>
      <c r="AP14" s="62">
        <v>3</v>
      </c>
      <c r="AQ14" s="62">
        <v>3</v>
      </c>
      <c r="AR14" s="62">
        <v>3</v>
      </c>
      <c r="AS14" s="7"/>
      <c r="AT14" s="7"/>
      <c r="AU14" s="72">
        <f t="shared" si="6"/>
        <v>3</v>
      </c>
      <c r="AV14" s="7"/>
      <c r="AW14" s="7"/>
      <c r="AX14" s="62">
        <v>3</v>
      </c>
      <c r="AY14" s="62">
        <v>3</v>
      </c>
      <c r="AZ14" s="62">
        <v>4</v>
      </c>
      <c r="BA14" s="72">
        <f t="shared" si="7"/>
        <v>3.3333333333333335</v>
      </c>
    </row>
    <row r="15" spans="1:53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2</v>
      </c>
      <c r="M15" s="62">
        <v>2</v>
      </c>
      <c r="N15" s="62">
        <v>2</v>
      </c>
      <c r="O15" s="62">
        <v>3</v>
      </c>
      <c r="P15" s="62">
        <v>1</v>
      </c>
      <c r="Q15" s="72">
        <f t="shared" si="1"/>
        <v>2</v>
      </c>
      <c r="R15" s="62">
        <v>3</v>
      </c>
      <c r="S15" s="62">
        <v>3</v>
      </c>
      <c r="T15" s="62"/>
      <c r="U15" s="62">
        <v>3</v>
      </c>
      <c r="V15" s="62"/>
      <c r="W15" s="72">
        <f t="shared" si="2"/>
        <v>3</v>
      </c>
      <c r="X15" s="62">
        <v>3</v>
      </c>
      <c r="Y15" s="62">
        <v>2</v>
      </c>
      <c r="Z15" s="62"/>
      <c r="AA15" s="62"/>
      <c r="AB15" s="62"/>
      <c r="AC15" s="72">
        <f t="shared" si="3"/>
        <v>2.5</v>
      </c>
      <c r="AD15" s="62">
        <v>3</v>
      </c>
      <c r="AE15" s="62"/>
      <c r="AF15" s="62">
        <v>3</v>
      </c>
      <c r="AG15" s="62"/>
      <c r="AH15" s="62"/>
      <c r="AI15" s="72">
        <f t="shared" si="4"/>
        <v>3</v>
      </c>
      <c r="AJ15" s="62"/>
      <c r="AK15" s="62"/>
      <c r="AL15" s="62"/>
      <c r="AM15" s="62"/>
      <c r="AN15" s="62"/>
      <c r="AO15" s="72" t="str">
        <f t="shared" si="5"/>
        <v>A</v>
      </c>
      <c r="AP15" s="62">
        <v>1</v>
      </c>
      <c r="AQ15" s="62">
        <v>1</v>
      </c>
      <c r="AR15" s="62">
        <v>1</v>
      </c>
      <c r="AS15" s="62"/>
      <c r="AT15" s="62"/>
      <c r="AU15" s="72">
        <f t="shared" si="6"/>
        <v>1</v>
      </c>
      <c r="AV15" s="62"/>
      <c r="AW15" s="62"/>
      <c r="AX15" s="62">
        <v>5</v>
      </c>
      <c r="AY15" s="62">
        <v>4</v>
      </c>
      <c r="AZ15" s="62">
        <v>4</v>
      </c>
      <c r="BA15" s="72">
        <f t="shared" si="7"/>
        <v>4.333333333333333</v>
      </c>
    </row>
    <row r="16" spans="1:53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3</v>
      </c>
      <c r="M16" s="62">
        <v>2</v>
      </c>
      <c r="N16" s="62">
        <v>2</v>
      </c>
      <c r="O16" s="62">
        <v>2</v>
      </c>
      <c r="P16" s="62">
        <v>3</v>
      </c>
      <c r="Q16" s="72">
        <f t="shared" si="1"/>
        <v>2.4</v>
      </c>
      <c r="R16" s="62">
        <v>3</v>
      </c>
      <c r="S16" s="62">
        <v>2</v>
      </c>
      <c r="T16" s="7"/>
      <c r="U16" s="62">
        <v>3</v>
      </c>
      <c r="V16" s="7"/>
      <c r="W16" s="72">
        <f t="shared" si="2"/>
        <v>2.6666666666666665</v>
      </c>
      <c r="X16" s="62">
        <v>2</v>
      </c>
      <c r="Y16" s="62">
        <v>2</v>
      </c>
      <c r="Z16" s="7"/>
      <c r="AA16" s="7"/>
      <c r="AB16" s="7"/>
      <c r="AC16" s="72">
        <f t="shared" si="3"/>
        <v>2</v>
      </c>
      <c r="AD16" s="62">
        <v>2</v>
      </c>
      <c r="AE16" s="7"/>
      <c r="AF16" s="62">
        <v>2</v>
      </c>
      <c r="AG16" s="7"/>
      <c r="AH16" s="7"/>
      <c r="AI16" s="72">
        <f t="shared" si="4"/>
        <v>2</v>
      </c>
      <c r="AJ16" s="7"/>
      <c r="AK16" s="7"/>
      <c r="AL16" s="7"/>
      <c r="AM16" s="7"/>
      <c r="AN16" s="7"/>
      <c r="AO16" s="72" t="str">
        <f t="shared" si="5"/>
        <v>A</v>
      </c>
      <c r="AP16" s="62">
        <v>2</v>
      </c>
      <c r="AQ16" s="62">
        <v>2</v>
      </c>
      <c r="AR16" s="62">
        <v>2</v>
      </c>
      <c r="AS16" s="7"/>
      <c r="AT16" s="7"/>
      <c r="AU16" s="72">
        <f t="shared" si="6"/>
        <v>2</v>
      </c>
      <c r="AV16" s="7"/>
      <c r="AW16" s="7"/>
      <c r="AX16" s="62">
        <v>2</v>
      </c>
      <c r="AY16" s="62">
        <v>2</v>
      </c>
      <c r="AZ16" s="62">
        <v>3</v>
      </c>
      <c r="BA16" s="72">
        <f t="shared" si="7"/>
        <v>2.3333333333333335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3</v>
      </c>
      <c r="M17" s="62">
        <v>4</v>
      </c>
      <c r="N17" s="62">
        <v>3</v>
      </c>
      <c r="O17" s="62">
        <v>3</v>
      </c>
      <c r="P17" s="62">
        <v>3</v>
      </c>
      <c r="Q17" s="72">
        <f t="shared" si="1"/>
        <v>3.2</v>
      </c>
      <c r="R17" s="62">
        <v>3</v>
      </c>
      <c r="S17" s="62">
        <v>3</v>
      </c>
      <c r="T17" s="62"/>
      <c r="U17" s="62">
        <v>3</v>
      </c>
      <c r="V17" s="62"/>
      <c r="W17" s="72">
        <f t="shared" si="2"/>
        <v>3</v>
      </c>
      <c r="X17" s="62">
        <v>3</v>
      </c>
      <c r="Y17" s="62">
        <v>2</v>
      </c>
      <c r="Z17" s="62"/>
      <c r="AA17" s="62"/>
      <c r="AB17" s="62"/>
      <c r="AC17" s="72">
        <f t="shared" si="3"/>
        <v>2.5</v>
      </c>
      <c r="AD17" s="62">
        <v>3</v>
      </c>
      <c r="AE17" s="62"/>
      <c r="AF17" s="62">
        <v>3</v>
      </c>
      <c r="AG17" s="62"/>
      <c r="AH17" s="62"/>
      <c r="AI17" s="72">
        <f t="shared" si="4"/>
        <v>3</v>
      </c>
      <c r="AJ17" s="62"/>
      <c r="AK17" s="62"/>
      <c r="AL17" s="62"/>
      <c r="AM17" s="62"/>
      <c r="AN17" s="62"/>
      <c r="AO17" s="72" t="str">
        <f t="shared" si="5"/>
        <v>A</v>
      </c>
      <c r="AP17" s="62">
        <v>3</v>
      </c>
      <c r="AQ17" s="62">
        <v>3</v>
      </c>
      <c r="AR17" s="62">
        <v>3</v>
      </c>
      <c r="AS17" s="62"/>
      <c r="AT17" s="62"/>
      <c r="AU17" s="72">
        <f t="shared" si="6"/>
        <v>3</v>
      </c>
      <c r="AV17" s="62"/>
      <c r="AW17" s="62"/>
      <c r="AX17" s="62">
        <v>3</v>
      </c>
      <c r="AY17" s="62">
        <v>3</v>
      </c>
      <c r="AZ17" s="62">
        <v>4</v>
      </c>
      <c r="BA17" s="72">
        <f t="shared" si="7"/>
        <v>3.3333333333333335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1</v>
      </c>
      <c r="M18" s="62">
        <v>1</v>
      </c>
      <c r="N18" s="62">
        <v>1</v>
      </c>
      <c r="O18" s="62">
        <v>1</v>
      </c>
      <c r="P18" s="62">
        <v>1</v>
      </c>
      <c r="Q18" s="72">
        <f t="shared" si="1"/>
        <v>1</v>
      </c>
      <c r="R18" s="62">
        <v>1</v>
      </c>
      <c r="S18" s="62">
        <v>1</v>
      </c>
      <c r="T18" s="7"/>
      <c r="U18" s="62">
        <v>1</v>
      </c>
      <c r="V18" s="7"/>
      <c r="W18" s="72">
        <f t="shared" si="2"/>
        <v>1</v>
      </c>
      <c r="X18" s="62">
        <v>1</v>
      </c>
      <c r="Y18" s="62">
        <v>1</v>
      </c>
      <c r="Z18" s="7"/>
      <c r="AA18" s="7"/>
      <c r="AB18" s="7"/>
      <c r="AC18" s="72">
        <f t="shared" si="3"/>
        <v>1</v>
      </c>
      <c r="AD18" s="62">
        <v>1</v>
      </c>
      <c r="AE18" s="7"/>
      <c r="AF18" s="62">
        <v>1</v>
      </c>
      <c r="AG18" s="7"/>
      <c r="AH18" s="7"/>
      <c r="AI18" s="72">
        <f t="shared" si="4"/>
        <v>1</v>
      </c>
      <c r="AJ18" s="7"/>
      <c r="AK18" s="7"/>
      <c r="AL18" s="7"/>
      <c r="AM18" s="7"/>
      <c r="AN18" s="7"/>
      <c r="AO18" s="72" t="str">
        <f t="shared" si="5"/>
        <v>A</v>
      </c>
      <c r="AP18" s="62">
        <v>1</v>
      </c>
      <c r="AQ18" s="62">
        <v>1</v>
      </c>
      <c r="AR18" s="62">
        <v>1</v>
      </c>
      <c r="AS18" s="7"/>
      <c r="AT18" s="7"/>
      <c r="AU18" s="72">
        <f t="shared" si="6"/>
        <v>1</v>
      </c>
      <c r="AV18" s="7"/>
      <c r="AW18" s="7"/>
      <c r="AX18" s="62">
        <v>1</v>
      </c>
      <c r="AY18" s="62">
        <v>1</v>
      </c>
      <c r="AZ18" s="62">
        <v>1</v>
      </c>
      <c r="BA18" s="72">
        <f t="shared" si="7"/>
        <v>1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3</v>
      </c>
      <c r="M19" s="62">
        <v>2</v>
      </c>
      <c r="N19" s="62">
        <v>3</v>
      </c>
      <c r="O19" s="62">
        <v>3</v>
      </c>
      <c r="P19" s="62">
        <v>3</v>
      </c>
      <c r="Q19" s="72">
        <f t="shared" si="1"/>
        <v>2.8</v>
      </c>
      <c r="R19" s="62">
        <v>2</v>
      </c>
      <c r="S19" s="62">
        <v>3</v>
      </c>
      <c r="T19" s="62"/>
      <c r="U19" s="62">
        <v>2</v>
      </c>
      <c r="V19" s="62"/>
      <c r="W19" s="72">
        <f t="shared" si="2"/>
        <v>2.3333333333333335</v>
      </c>
      <c r="X19" s="62">
        <v>2</v>
      </c>
      <c r="Y19" s="62">
        <v>2</v>
      </c>
      <c r="Z19" s="62"/>
      <c r="AA19" s="62"/>
      <c r="AB19" s="62"/>
      <c r="AC19" s="72">
        <f t="shared" si="3"/>
        <v>2</v>
      </c>
      <c r="AD19" s="62">
        <v>2</v>
      </c>
      <c r="AE19" s="62"/>
      <c r="AF19" s="62">
        <v>4</v>
      </c>
      <c r="AG19" s="62"/>
      <c r="AH19" s="62"/>
      <c r="AI19" s="72">
        <f t="shared" si="4"/>
        <v>3</v>
      </c>
      <c r="AJ19" s="62"/>
      <c r="AK19" s="62"/>
      <c r="AL19" s="62"/>
      <c r="AM19" s="62"/>
      <c r="AN19" s="62"/>
      <c r="AO19" s="72" t="str">
        <f t="shared" si="5"/>
        <v>A</v>
      </c>
      <c r="AP19" s="62">
        <v>3</v>
      </c>
      <c r="AQ19" s="62">
        <v>3</v>
      </c>
      <c r="AR19" s="62">
        <v>3</v>
      </c>
      <c r="AS19" s="62"/>
      <c r="AT19" s="62"/>
      <c r="AU19" s="72">
        <f t="shared" si="6"/>
        <v>3</v>
      </c>
      <c r="AV19" s="62"/>
      <c r="AW19" s="62"/>
      <c r="AX19" s="62">
        <v>5</v>
      </c>
      <c r="AY19" s="62">
        <v>2</v>
      </c>
      <c r="AZ19" s="62">
        <v>3</v>
      </c>
      <c r="BA19" s="72">
        <f t="shared" si="7"/>
        <v>3.3333333333333335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2</v>
      </c>
      <c r="M20" s="62">
        <v>3</v>
      </c>
      <c r="N20" s="62">
        <v>2</v>
      </c>
      <c r="O20" s="62">
        <v>3</v>
      </c>
      <c r="P20" s="62">
        <v>2</v>
      </c>
      <c r="Q20" s="72">
        <f t="shared" si="1"/>
        <v>2.4</v>
      </c>
      <c r="R20" s="62">
        <v>1</v>
      </c>
      <c r="S20" s="62">
        <v>1</v>
      </c>
      <c r="T20" s="7"/>
      <c r="U20" s="62">
        <v>1</v>
      </c>
      <c r="V20" s="7"/>
      <c r="W20" s="72">
        <f t="shared" si="2"/>
        <v>1</v>
      </c>
      <c r="X20" s="62">
        <v>1</v>
      </c>
      <c r="Y20" s="62">
        <v>1</v>
      </c>
      <c r="Z20" s="7"/>
      <c r="AA20" s="7"/>
      <c r="AB20" s="7"/>
      <c r="AC20" s="72">
        <f t="shared" si="3"/>
        <v>1</v>
      </c>
      <c r="AD20" s="62">
        <v>1</v>
      </c>
      <c r="AE20" s="7"/>
      <c r="AF20" s="62">
        <v>1</v>
      </c>
      <c r="AG20" s="7"/>
      <c r="AH20" s="7"/>
      <c r="AI20" s="72">
        <f t="shared" si="4"/>
        <v>1</v>
      </c>
      <c r="AJ20" s="7"/>
      <c r="AK20" s="7"/>
      <c r="AL20" s="7"/>
      <c r="AM20" s="7"/>
      <c r="AN20" s="7"/>
      <c r="AO20" s="72" t="str">
        <f t="shared" si="5"/>
        <v>A</v>
      </c>
      <c r="AP20" s="62">
        <v>1</v>
      </c>
      <c r="AQ20" s="62">
        <v>1</v>
      </c>
      <c r="AR20" s="62">
        <v>1</v>
      </c>
      <c r="AS20" s="7"/>
      <c r="AT20" s="7"/>
      <c r="AU20" s="72">
        <f t="shared" si="6"/>
        <v>1</v>
      </c>
      <c r="AV20" s="7"/>
      <c r="AW20" s="7"/>
      <c r="AX20" s="62">
        <v>1</v>
      </c>
      <c r="AY20" s="62">
        <v>1</v>
      </c>
      <c r="AZ20" s="62">
        <v>1</v>
      </c>
      <c r="BA20" s="72">
        <f t="shared" si="7"/>
        <v>1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72">
        <f t="shared" si="1"/>
        <v>0</v>
      </c>
      <c r="R21" s="62">
        <v>0</v>
      </c>
      <c r="S21" s="62">
        <v>0</v>
      </c>
      <c r="T21" s="62"/>
      <c r="U21" s="62">
        <v>0</v>
      </c>
      <c r="V21" s="62"/>
      <c r="W21" s="72">
        <f t="shared" si="2"/>
        <v>0</v>
      </c>
      <c r="X21" s="62">
        <v>0</v>
      </c>
      <c r="Y21" s="62">
        <v>0</v>
      </c>
      <c r="Z21" s="62"/>
      <c r="AA21" s="62"/>
      <c r="AB21" s="62"/>
      <c r="AC21" s="72">
        <f t="shared" si="3"/>
        <v>0</v>
      </c>
      <c r="AD21" s="62">
        <v>0</v>
      </c>
      <c r="AE21" s="62"/>
      <c r="AF21" s="62">
        <v>0</v>
      </c>
      <c r="AG21" s="62"/>
      <c r="AH21" s="62"/>
      <c r="AI21" s="72">
        <f t="shared" si="4"/>
        <v>0</v>
      </c>
      <c r="AJ21" s="62"/>
      <c r="AK21" s="62"/>
      <c r="AL21" s="62"/>
      <c r="AM21" s="62"/>
      <c r="AN21" s="62"/>
      <c r="AO21" s="72" t="str">
        <f t="shared" si="5"/>
        <v>A</v>
      </c>
      <c r="AP21" s="62">
        <v>0</v>
      </c>
      <c r="AQ21" s="62">
        <v>0</v>
      </c>
      <c r="AR21" s="62">
        <v>0</v>
      </c>
      <c r="AS21" s="62"/>
      <c r="AT21" s="62"/>
      <c r="AU21" s="72">
        <f t="shared" si="6"/>
        <v>0</v>
      </c>
      <c r="AV21" s="62"/>
      <c r="AW21" s="62"/>
      <c r="AX21" s="62">
        <v>0</v>
      </c>
      <c r="AY21" s="62">
        <v>0</v>
      </c>
      <c r="AZ21" s="62">
        <v>0</v>
      </c>
      <c r="BA21" s="72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>
        <v>3</v>
      </c>
      <c r="N22" s="62">
        <v>3</v>
      </c>
      <c r="O22" s="62">
        <v>3</v>
      </c>
      <c r="P22" s="62">
        <v>3</v>
      </c>
      <c r="Q22" s="72">
        <f t="shared" si="1"/>
        <v>3</v>
      </c>
      <c r="R22" s="62">
        <v>3</v>
      </c>
      <c r="S22" s="62">
        <v>3</v>
      </c>
      <c r="T22" s="7"/>
      <c r="U22" s="62">
        <v>3</v>
      </c>
      <c r="V22" s="7"/>
      <c r="W22" s="72">
        <f t="shared" si="2"/>
        <v>3</v>
      </c>
      <c r="X22" s="62">
        <v>3</v>
      </c>
      <c r="Y22" s="62">
        <v>3</v>
      </c>
      <c r="Z22" s="7"/>
      <c r="AA22" s="7"/>
      <c r="AB22" s="7"/>
      <c r="AC22" s="72">
        <f t="shared" si="3"/>
        <v>3</v>
      </c>
      <c r="AD22" s="62">
        <v>3</v>
      </c>
      <c r="AE22" s="7"/>
      <c r="AF22" s="62">
        <v>3</v>
      </c>
      <c r="AG22" s="7"/>
      <c r="AH22" s="7"/>
      <c r="AI22" s="72">
        <f t="shared" si="4"/>
        <v>3</v>
      </c>
      <c r="AJ22" s="7"/>
      <c r="AK22" s="7"/>
      <c r="AL22" s="7"/>
      <c r="AM22" s="7"/>
      <c r="AN22" s="7"/>
      <c r="AO22" s="72" t="str">
        <f t="shared" si="5"/>
        <v>A</v>
      </c>
      <c r="AP22" s="62">
        <v>3</v>
      </c>
      <c r="AQ22" s="62">
        <v>3</v>
      </c>
      <c r="AR22" s="62">
        <v>3</v>
      </c>
      <c r="AS22" s="7"/>
      <c r="AT22" s="7"/>
      <c r="AU22" s="72">
        <f t="shared" si="6"/>
        <v>3</v>
      </c>
      <c r="AV22" s="7"/>
      <c r="AW22" s="7"/>
      <c r="AX22" s="62">
        <v>3</v>
      </c>
      <c r="AY22" s="62">
        <v>3</v>
      </c>
      <c r="AZ22" s="62">
        <v>4</v>
      </c>
      <c r="BA22" s="72">
        <f t="shared" si="7"/>
        <v>3.3333333333333335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2</v>
      </c>
      <c r="M23" s="62">
        <v>2</v>
      </c>
      <c r="N23" s="62">
        <v>2</v>
      </c>
      <c r="O23" s="62">
        <v>2</v>
      </c>
      <c r="P23" s="62">
        <v>2</v>
      </c>
      <c r="Q23" s="72">
        <f t="shared" si="1"/>
        <v>2</v>
      </c>
      <c r="R23" s="62">
        <v>2</v>
      </c>
      <c r="S23" s="62">
        <v>2</v>
      </c>
      <c r="T23" s="62"/>
      <c r="U23" s="62">
        <v>2</v>
      </c>
      <c r="V23" s="62"/>
      <c r="W23" s="72">
        <f t="shared" si="2"/>
        <v>2</v>
      </c>
      <c r="X23" s="62">
        <v>2</v>
      </c>
      <c r="Y23" s="62">
        <v>2</v>
      </c>
      <c r="Z23" s="62"/>
      <c r="AA23" s="62"/>
      <c r="AB23" s="62"/>
      <c r="AC23" s="72">
        <f t="shared" si="3"/>
        <v>2</v>
      </c>
      <c r="AD23" s="62">
        <v>2</v>
      </c>
      <c r="AE23" s="62"/>
      <c r="AF23" s="62">
        <v>2</v>
      </c>
      <c r="AG23" s="62"/>
      <c r="AH23" s="62"/>
      <c r="AI23" s="72">
        <f t="shared" si="4"/>
        <v>2</v>
      </c>
      <c r="AJ23" s="62"/>
      <c r="AK23" s="62"/>
      <c r="AL23" s="62"/>
      <c r="AM23" s="62"/>
      <c r="AN23" s="62"/>
      <c r="AO23" s="72" t="str">
        <f t="shared" si="5"/>
        <v>A</v>
      </c>
      <c r="AP23" s="62">
        <v>2</v>
      </c>
      <c r="AQ23" s="62">
        <v>2</v>
      </c>
      <c r="AR23" s="62">
        <v>2</v>
      </c>
      <c r="AS23" s="62"/>
      <c r="AT23" s="62"/>
      <c r="AU23" s="72">
        <f t="shared" si="6"/>
        <v>2</v>
      </c>
      <c r="AV23" s="62"/>
      <c r="AW23" s="62"/>
      <c r="AX23" s="62">
        <v>2</v>
      </c>
      <c r="AY23" s="62">
        <v>2</v>
      </c>
      <c r="AZ23" s="62">
        <v>2</v>
      </c>
      <c r="BA23" s="72">
        <f t="shared" si="7"/>
        <v>2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3</v>
      </c>
      <c r="M24" s="62">
        <v>3</v>
      </c>
      <c r="N24" s="62">
        <v>2</v>
      </c>
      <c r="O24" s="62">
        <v>1</v>
      </c>
      <c r="P24" s="62">
        <v>3</v>
      </c>
      <c r="Q24" s="72">
        <f t="shared" si="1"/>
        <v>2.4</v>
      </c>
      <c r="R24" s="62">
        <v>2</v>
      </c>
      <c r="S24" s="62">
        <v>2</v>
      </c>
      <c r="T24" s="7"/>
      <c r="U24" s="62">
        <v>2</v>
      </c>
      <c r="V24" s="7"/>
      <c r="W24" s="72">
        <f t="shared" si="2"/>
        <v>2</v>
      </c>
      <c r="X24" s="62">
        <v>2</v>
      </c>
      <c r="Y24" s="62">
        <v>2</v>
      </c>
      <c r="Z24" s="7"/>
      <c r="AA24" s="7"/>
      <c r="AB24" s="7"/>
      <c r="AC24" s="72">
        <f t="shared" si="3"/>
        <v>2</v>
      </c>
      <c r="AD24" s="62">
        <v>1</v>
      </c>
      <c r="AE24" s="7"/>
      <c r="AF24" s="62">
        <v>1</v>
      </c>
      <c r="AG24" s="7"/>
      <c r="AH24" s="7"/>
      <c r="AI24" s="72">
        <f t="shared" si="4"/>
        <v>1</v>
      </c>
      <c r="AJ24" s="7"/>
      <c r="AK24" s="7"/>
      <c r="AL24" s="7"/>
      <c r="AM24" s="7"/>
      <c r="AN24" s="7"/>
      <c r="AO24" s="72" t="str">
        <f t="shared" si="5"/>
        <v>A</v>
      </c>
      <c r="AP24" s="62">
        <v>1</v>
      </c>
      <c r="AQ24" s="62">
        <v>1</v>
      </c>
      <c r="AR24" s="62">
        <v>1</v>
      </c>
      <c r="AS24" s="7"/>
      <c r="AT24" s="7"/>
      <c r="AU24" s="72">
        <f t="shared" si="6"/>
        <v>1</v>
      </c>
      <c r="AV24" s="7"/>
      <c r="AW24" s="7"/>
      <c r="AX24" s="62">
        <v>1</v>
      </c>
      <c r="AY24" s="62">
        <v>3</v>
      </c>
      <c r="AZ24" s="62">
        <v>3</v>
      </c>
      <c r="BA24" s="72">
        <f t="shared" si="7"/>
        <v>2.3333333333333335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3</v>
      </c>
      <c r="M25" s="62">
        <v>2</v>
      </c>
      <c r="N25" s="62">
        <v>3</v>
      </c>
      <c r="O25" s="62">
        <v>3</v>
      </c>
      <c r="P25" s="62">
        <v>3</v>
      </c>
      <c r="Q25" s="72">
        <f t="shared" si="1"/>
        <v>2.8</v>
      </c>
      <c r="R25" s="62">
        <v>3</v>
      </c>
      <c r="S25" s="62">
        <v>2</v>
      </c>
      <c r="T25" s="62"/>
      <c r="U25" s="62">
        <v>3</v>
      </c>
      <c r="V25" s="62"/>
      <c r="W25" s="72">
        <f t="shared" si="2"/>
        <v>2.6666666666666665</v>
      </c>
      <c r="X25" s="62">
        <v>3</v>
      </c>
      <c r="Y25" s="62">
        <v>3</v>
      </c>
      <c r="Z25" s="62"/>
      <c r="AA25" s="62"/>
      <c r="AB25" s="62"/>
      <c r="AC25" s="72">
        <f t="shared" si="3"/>
        <v>3</v>
      </c>
      <c r="AD25" s="62">
        <v>3</v>
      </c>
      <c r="AE25" s="62"/>
      <c r="AF25" s="62">
        <v>3</v>
      </c>
      <c r="AG25" s="62"/>
      <c r="AH25" s="62"/>
      <c r="AI25" s="72">
        <f t="shared" si="4"/>
        <v>3</v>
      </c>
      <c r="AJ25" s="62"/>
      <c r="AK25" s="62"/>
      <c r="AL25" s="62"/>
      <c r="AM25" s="62"/>
      <c r="AN25" s="62"/>
      <c r="AO25" s="72" t="str">
        <f t="shared" si="5"/>
        <v>A</v>
      </c>
      <c r="AP25" s="62">
        <v>2</v>
      </c>
      <c r="AQ25" s="62">
        <v>3</v>
      </c>
      <c r="AR25" s="62">
        <v>3</v>
      </c>
      <c r="AS25" s="62"/>
      <c r="AT25" s="62"/>
      <c r="AU25" s="72">
        <f t="shared" si="6"/>
        <v>2.6666666666666665</v>
      </c>
      <c r="AV25" s="62"/>
      <c r="AW25" s="62"/>
      <c r="AX25" s="62">
        <v>2</v>
      </c>
      <c r="AY25" s="62">
        <v>3</v>
      </c>
      <c r="AZ25" s="62">
        <v>1</v>
      </c>
      <c r="BA25" s="72">
        <f t="shared" si="7"/>
        <v>2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72">
        <f t="shared" si="1"/>
        <v>0</v>
      </c>
      <c r="R26" s="62">
        <v>0</v>
      </c>
      <c r="S26" s="62">
        <v>0</v>
      </c>
      <c r="T26" s="7"/>
      <c r="U26" s="62">
        <v>0</v>
      </c>
      <c r="V26" s="7"/>
      <c r="W26" s="72">
        <f t="shared" si="2"/>
        <v>0</v>
      </c>
      <c r="X26" s="62">
        <v>0</v>
      </c>
      <c r="Y26" s="62">
        <v>0</v>
      </c>
      <c r="Z26" s="7"/>
      <c r="AA26" s="7"/>
      <c r="AB26" s="7"/>
      <c r="AC26" s="72">
        <f t="shared" si="3"/>
        <v>0</v>
      </c>
      <c r="AD26" s="62">
        <v>0</v>
      </c>
      <c r="AE26" s="7"/>
      <c r="AF26" s="62">
        <v>0</v>
      </c>
      <c r="AG26" s="7"/>
      <c r="AH26" s="7"/>
      <c r="AI26" s="72">
        <f t="shared" si="4"/>
        <v>0</v>
      </c>
      <c r="AJ26" s="7"/>
      <c r="AK26" s="7"/>
      <c r="AL26" s="7"/>
      <c r="AM26" s="7"/>
      <c r="AN26" s="7"/>
      <c r="AO26" s="72" t="str">
        <f t="shared" si="5"/>
        <v>A</v>
      </c>
      <c r="AP26" s="62">
        <v>0</v>
      </c>
      <c r="AQ26" s="62">
        <v>0</v>
      </c>
      <c r="AR26" s="62">
        <v>0</v>
      </c>
      <c r="AS26" s="7"/>
      <c r="AT26" s="7"/>
      <c r="AU26" s="72">
        <f t="shared" si="6"/>
        <v>0</v>
      </c>
      <c r="AV26" s="7"/>
      <c r="AW26" s="7"/>
      <c r="AX26" s="62">
        <v>0</v>
      </c>
      <c r="AY26" s="62">
        <v>0</v>
      </c>
      <c r="AZ26" s="62">
        <v>0</v>
      </c>
      <c r="BA26" s="72">
        <f t="shared" si="7"/>
        <v>0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>
        <v>3</v>
      </c>
      <c r="N27" s="62">
        <v>3</v>
      </c>
      <c r="O27" s="62">
        <v>3</v>
      </c>
      <c r="P27" s="62">
        <v>3</v>
      </c>
      <c r="Q27" s="72">
        <f t="shared" si="1"/>
        <v>3</v>
      </c>
      <c r="R27" s="62">
        <v>3</v>
      </c>
      <c r="S27" s="62">
        <v>3</v>
      </c>
      <c r="T27" s="62"/>
      <c r="U27" s="62">
        <v>3</v>
      </c>
      <c r="V27" s="62"/>
      <c r="W27" s="72">
        <f t="shared" si="2"/>
        <v>3</v>
      </c>
      <c r="X27" s="62">
        <v>3</v>
      </c>
      <c r="Y27" s="62">
        <v>3</v>
      </c>
      <c r="Z27" s="62"/>
      <c r="AA27" s="62"/>
      <c r="AB27" s="62"/>
      <c r="AC27" s="72">
        <f t="shared" si="3"/>
        <v>3</v>
      </c>
      <c r="AD27" s="62">
        <v>3</v>
      </c>
      <c r="AE27" s="62"/>
      <c r="AF27" s="62">
        <v>3</v>
      </c>
      <c r="AG27" s="62"/>
      <c r="AH27" s="62"/>
      <c r="AI27" s="72">
        <f t="shared" si="4"/>
        <v>3</v>
      </c>
      <c r="AJ27" s="62"/>
      <c r="AK27" s="62"/>
      <c r="AL27" s="62"/>
      <c r="AM27" s="62"/>
      <c r="AN27" s="62"/>
      <c r="AO27" s="72" t="str">
        <f t="shared" si="5"/>
        <v>A</v>
      </c>
      <c r="AP27" s="62">
        <v>3</v>
      </c>
      <c r="AQ27" s="62">
        <v>3</v>
      </c>
      <c r="AR27" s="62">
        <v>3</v>
      </c>
      <c r="AS27" s="62"/>
      <c r="AT27" s="62"/>
      <c r="AU27" s="72">
        <f t="shared" si="6"/>
        <v>3</v>
      </c>
      <c r="AV27" s="62"/>
      <c r="AW27" s="62"/>
      <c r="AX27" s="62">
        <v>3</v>
      </c>
      <c r="AY27" s="62">
        <v>3</v>
      </c>
      <c r="AZ27" s="62">
        <v>4</v>
      </c>
      <c r="BA27" s="72">
        <f t="shared" si="7"/>
        <v>3.3333333333333335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3</v>
      </c>
      <c r="M28" s="62">
        <v>3</v>
      </c>
      <c r="N28" s="62">
        <v>2</v>
      </c>
      <c r="O28" s="62">
        <v>3</v>
      </c>
      <c r="P28" s="62">
        <v>2</v>
      </c>
      <c r="Q28" s="72">
        <f t="shared" si="1"/>
        <v>2.6</v>
      </c>
      <c r="R28" s="62">
        <v>4</v>
      </c>
      <c r="S28" s="62">
        <v>4</v>
      </c>
      <c r="T28" s="7"/>
      <c r="U28" s="62">
        <v>4</v>
      </c>
      <c r="V28" s="7"/>
      <c r="W28" s="72">
        <f t="shared" si="2"/>
        <v>4</v>
      </c>
      <c r="X28" s="62">
        <v>3</v>
      </c>
      <c r="Y28" s="62">
        <v>3</v>
      </c>
      <c r="Z28" s="7"/>
      <c r="AA28" s="7"/>
      <c r="AB28" s="7"/>
      <c r="AC28" s="72">
        <f t="shared" si="3"/>
        <v>3</v>
      </c>
      <c r="AD28" s="62">
        <v>3</v>
      </c>
      <c r="AE28" s="7"/>
      <c r="AF28" s="62">
        <v>3</v>
      </c>
      <c r="AG28" s="7"/>
      <c r="AH28" s="7"/>
      <c r="AI28" s="72">
        <f t="shared" si="4"/>
        <v>3</v>
      </c>
      <c r="AJ28" s="7"/>
      <c r="AK28" s="7"/>
      <c r="AL28" s="7"/>
      <c r="AM28" s="7"/>
      <c r="AN28" s="7"/>
      <c r="AO28" s="72" t="str">
        <f t="shared" si="5"/>
        <v>A</v>
      </c>
      <c r="AP28" s="62">
        <v>3</v>
      </c>
      <c r="AQ28" s="62">
        <v>3</v>
      </c>
      <c r="AR28" s="62">
        <v>3</v>
      </c>
      <c r="AS28" s="7"/>
      <c r="AT28" s="7"/>
      <c r="AU28" s="72">
        <f t="shared" si="6"/>
        <v>3</v>
      </c>
      <c r="AV28" s="7"/>
      <c r="AW28" s="7"/>
      <c r="AX28" s="62">
        <v>2</v>
      </c>
      <c r="AY28" s="62">
        <v>4</v>
      </c>
      <c r="AZ28" s="62">
        <v>4</v>
      </c>
      <c r="BA28" s="72">
        <f t="shared" si="7"/>
        <v>3.3333333333333335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4</v>
      </c>
      <c r="M29" s="62">
        <v>3</v>
      </c>
      <c r="N29" s="62">
        <v>3</v>
      </c>
      <c r="O29" s="62">
        <v>3</v>
      </c>
      <c r="P29" s="62">
        <v>3</v>
      </c>
      <c r="Q29" s="72">
        <f t="shared" si="1"/>
        <v>3.2</v>
      </c>
      <c r="R29" s="62">
        <v>4</v>
      </c>
      <c r="S29" s="62">
        <v>3</v>
      </c>
      <c r="T29" s="62"/>
      <c r="U29" s="62">
        <v>3</v>
      </c>
      <c r="V29" s="62"/>
      <c r="W29" s="72">
        <f t="shared" si="2"/>
        <v>3.3333333333333335</v>
      </c>
      <c r="X29" s="62">
        <v>3</v>
      </c>
      <c r="Y29" s="62">
        <v>3</v>
      </c>
      <c r="Z29" s="62"/>
      <c r="AA29" s="62"/>
      <c r="AB29" s="62"/>
      <c r="AC29" s="72">
        <f t="shared" si="3"/>
        <v>3</v>
      </c>
      <c r="AD29" s="62">
        <v>3</v>
      </c>
      <c r="AE29" s="62"/>
      <c r="AF29" s="62">
        <v>3</v>
      </c>
      <c r="AG29" s="62"/>
      <c r="AH29" s="62"/>
      <c r="AI29" s="72">
        <f t="shared" si="4"/>
        <v>3</v>
      </c>
      <c r="AJ29" s="62"/>
      <c r="AK29" s="62"/>
      <c r="AL29" s="62"/>
      <c r="AM29" s="62"/>
      <c r="AN29" s="62"/>
      <c r="AO29" s="72" t="str">
        <f t="shared" si="5"/>
        <v>A</v>
      </c>
      <c r="AP29" s="62">
        <v>3</v>
      </c>
      <c r="AQ29" s="62">
        <v>3</v>
      </c>
      <c r="AR29" s="62">
        <v>3</v>
      </c>
      <c r="AS29" s="62"/>
      <c r="AT29" s="62"/>
      <c r="AU29" s="72">
        <f t="shared" si="6"/>
        <v>3</v>
      </c>
      <c r="AV29" s="62"/>
      <c r="AW29" s="62"/>
      <c r="AX29" s="62">
        <v>3</v>
      </c>
      <c r="AY29" s="62">
        <v>3</v>
      </c>
      <c r="AZ29" s="62">
        <v>4</v>
      </c>
      <c r="BA29" s="72">
        <f t="shared" si="7"/>
        <v>3.3333333333333335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72">
        <f t="shared" si="1"/>
        <v>0</v>
      </c>
      <c r="R30" s="62">
        <v>0</v>
      </c>
      <c r="S30" s="62">
        <v>0</v>
      </c>
      <c r="T30" s="7"/>
      <c r="U30" s="62">
        <v>0</v>
      </c>
      <c r="V30" s="7"/>
      <c r="W30" s="72">
        <f t="shared" si="2"/>
        <v>0</v>
      </c>
      <c r="X30" s="62">
        <v>0</v>
      </c>
      <c r="Y30" s="62">
        <v>0</v>
      </c>
      <c r="Z30" s="7"/>
      <c r="AA30" s="7"/>
      <c r="AB30" s="7"/>
      <c r="AC30" s="72">
        <f t="shared" si="3"/>
        <v>0</v>
      </c>
      <c r="AD30" s="62">
        <v>0</v>
      </c>
      <c r="AE30" s="7"/>
      <c r="AF30" s="62">
        <v>0</v>
      </c>
      <c r="AG30" s="7"/>
      <c r="AH30" s="7"/>
      <c r="AI30" s="72">
        <f t="shared" si="4"/>
        <v>0</v>
      </c>
      <c r="AJ30" s="7"/>
      <c r="AK30" s="7"/>
      <c r="AL30" s="7"/>
      <c r="AM30" s="7"/>
      <c r="AN30" s="7"/>
      <c r="AO30" s="72" t="str">
        <f t="shared" si="5"/>
        <v>A</v>
      </c>
      <c r="AP30" s="62">
        <v>0</v>
      </c>
      <c r="AQ30" s="62">
        <v>0</v>
      </c>
      <c r="AR30" s="62">
        <v>0</v>
      </c>
      <c r="AS30" s="7"/>
      <c r="AT30" s="7"/>
      <c r="AU30" s="72">
        <f t="shared" si="6"/>
        <v>0</v>
      </c>
      <c r="AV30" s="7"/>
      <c r="AW30" s="7"/>
      <c r="AX30" s="62">
        <v>0</v>
      </c>
      <c r="AY30" s="62">
        <v>0</v>
      </c>
      <c r="AZ30" s="62">
        <v>0</v>
      </c>
      <c r="BA30" s="72">
        <f t="shared" si="7"/>
        <v>0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2</v>
      </c>
      <c r="M31" s="62">
        <v>2</v>
      </c>
      <c r="N31" s="62">
        <v>3</v>
      </c>
      <c r="O31" s="62">
        <v>3</v>
      </c>
      <c r="P31" s="62">
        <v>2</v>
      </c>
      <c r="Q31" s="72">
        <f t="shared" si="1"/>
        <v>2.4</v>
      </c>
      <c r="R31" s="62">
        <v>3</v>
      </c>
      <c r="S31" s="62">
        <v>2</v>
      </c>
      <c r="T31" s="62"/>
      <c r="U31" s="62">
        <v>3</v>
      </c>
      <c r="V31" s="62"/>
      <c r="W31" s="72">
        <f t="shared" si="2"/>
        <v>2.6666666666666665</v>
      </c>
      <c r="X31" s="62">
        <v>3</v>
      </c>
      <c r="Y31" s="62">
        <v>3</v>
      </c>
      <c r="Z31" s="62"/>
      <c r="AA31" s="62"/>
      <c r="AB31" s="62"/>
      <c r="AC31" s="72">
        <f t="shared" si="3"/>
        <v>3</v>
      </c>
      <c r="AD31" s="62">
        <v>3</v>
      </c>
      <c r="AE31" s="62"/>
      <c r="AF31" s="62">
        <v>3</v>
      </c>
      <c r="AG31" s="62"/>
      <c r="AH31" s="62"/>
      <c r="AI31" s="72">
        <f t="shared" si="4"/>
        <v>3</v>
      </c>
      <c r="AJ31" s="62"/>
      <c r="AK31" s="62"/>
      <c r="AL31" s="62"/>
      <c r="AM31" s="62"/>
      <c r="AN31" s="62"/>
      <c r="AO31" s="72" t="str">
        <f t="shared" si="5"/>
        <v>A</v>
      </c>
      <c r="AP31" s="62">
        <v>3</v>
      </c>
      <c r="AQ31" s="62">
        <v>3</v>
      </c>
      <c r="AR31" s="62">
        <v>3</v>
      </c>
      <c r="AS31" s="62"/>
      <c r="AT31" s="62"/>
      <c r="AU31" s="72">
        <f t="shared" si="6"/>
        <v>3</v>
      </c>
      <c r="AV31" s="62"/>
      <c r="AW31" s="62"/>
      <c r="AX31" s="62">
        <v>3</v>
      </c>
      <c r="AY31" s="62">
        <v>3</v>
      </c>
      <c r="AZ31" s="62">
        <v>2</v>
      </c>
      <c r="BA31" s="72">
        <f t="shared" si="7"/>
        <v>2.6666666666666665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72">
        <f t="shared" si="1"/>
        <v>0</v>
      </c>
      <c r="R32" s="62">
        <v>0</v>
      </c>
      <c r="S32" s="62">
        <v>0</v>
      </c>
      <c r="T32" s="7"/>
      <c r="U32" s="62">
        <v>0</v>
      </c>
      <c r="V32" s="7"/>
      <c r="W32" s="72">
        <f t="shared" si="2"/>
        <v>0</v>
      </c>
      <c r="X32" s="62">
        <v>0</v>
      </c>
      <c r="Y32" s="62">
        <v>0</v>
      </c>
      <c r="Z32" s="7"/>
      <c r="AA32" s="7"/>
      <c r="AB32" s="7"/>
      <c r="AC32" s="72">
        <f t="shared" si="3"/>
        <v>0</v>
      </c>
      <c r="AD32" s="62">
        <v>0</v>
      </c>
      <c r="AE32" s="7"/>
      <c r="AF32" s="62">
        <v>0</v>
      </c>
      <c r="AG32" s="7"/>
      <c r="AH32" s="7"/>
      <c r="AI32" s="72">
        <f t="shared" si="4"/>
        <v>0</v>
      </c>
      <c r="AJ32" s="7"/>
      <c r="AK32" s="7"/>
      <c r="AL32" s="7"/>
      <c r="AM32" s="7"/>
      <c r="AN32" s="7"/>
      <c r="AO32" s="72" t="str">
        <f t="shared" si="5"/>
        <v>A</v>
      </c>
      <c r="AP32" s="62">
        <v>0</v>
      </c>
      <c r="AQ32" s="62">
        <v>0</v>
      </c>
      <c r="AR32" s="62">
        <v>0</v>
      </c>
      <c r="AS32" s="7"/>
      <c r="AT32" s="7"/>
      <c r="AU32" s="72">
        <f t="shared" si="6"/>
        <v>0</v>
      </c>
      <c r="AV32" s="7"/>
      <c r="AW32" s="7"/>
      <c r="AX32" s="62">
        <v>0</v>
      </c>
      <c r="AY32" s="62">
        <v>0</v>
      </c>
      <c r="AZ32" s="62">
        <v>0</v>
      </c>
      <c r="BA32" s="72">
        <f t="shared" si="7"/>
        <v>0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72">
        <f t="shared" si="1"/>
        <v>0</v>
      </c>
      <c r="R33" s="62">
        <v>0</v>
      </c>
      <c r="S33" s="62">
        <v>0</v>
      </c>
      <c r="T33" s="62"/>
      <c r="U33" s="62">
        <v>0</v>
      </c>
      <c r="V33" s="62"/>
      <c r="W33" s="72">
        <f t="shared" si="2"/>
        <v>0</v>
      </c>
      <c r="X33" s="62">
        <v>0</v>
      </c>
      <c r="Y33" s="62">
        <v>0</v>
      </c>
      <c r="Z33" s="62"/>
      <c r="AA33" s="62"/>
      <c r="AB33" s="62"/>
      <c r="AC33" s="72">
        <f t="shared" si="3"/>
        <v>0</v>
      </c>
      <c r="AD33" s="62">
        <v>0</v>
      </c>
      <c r="AE33" s="62"/>
      <c r="AF33" s="62">
        <v>0</v>
      </c>
      <c r="AG33" s="62"/>
      <c r="AH33" s="62"/>
      <c r="AI33" s="72">
        <f t="shared" si="4"/>
        <v>0</v>
      </c>
      <c r="AJ33" s="62"/>
      <c r="AK33" s="62"/>
      <c r="AL33" s="62"/>
      <c r="AM33" s="62"/>
      <c r="AN33" s="62"/>
      <c r="AO33" s="72" t="str">
        <f t="shared" si="5"/>
        <v>A</v>
      </c>
      <c r="AP33" s="62">
        <v>0</v>
      </c>
      <c r="AQ33" s="62">
        <v>0</v>
      </c>
      <c r="AR33" s="62">
        <v>0</v>
      </c>
      <c r="AS33" s="62"/>
      <c r="AT33" s="62"/>
      <c r="AU33" s="72">
        <f t="shared" si="6"/>
        <v>0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3</v>
      </c>
      <c r="M34" s="62">
        <v>2</v>
      </c>
      <c r="N34" s="62">
        <v>3</v>
      </c>
      <c r="O34" s="62">
        <v>3</v>
      </c>
      <c r="P34" s="62">
        <v>3</v>
      </c>
      <c r="Q34" s="72">
        <f t="shared" si="1"/>
        <v>2.8</v>
      </c>
      <c r="R34" s="62">
        <v>3</v>
      </c>
      <c r="S34" s="62">
        <v>2</v>
      </c>
      <c r="T34" s="7"/>
      <c r="U34" s="62">
        <v>3</v>
      </c>
      <c r="V34" s="7"/>
      <c r="W34" s="72">
        <f t="shared" si="2"/>
        <v>2.6666666666666665</v>
      </c>
      <c r="X34" s="62">
        <v>3</v>
      </c>
      <c r="Y34" s="62">
        <v>3</v>
      </c>
      <c r="Z34" s="7"/>
      <c r="AA34" s="7"/>
      <c r="AB34" s="7"/>
      <c r="AC34" s="72">
        <f t="shared" si="3"/>
        <v>3</v>
      </c>
      <c r="AD34" s="62">
        <v>3</v>
      </c>
      <c r="AE34" s="7"/>
      <c r="AF34" s="62">
        <v>3</v>
      </c>
      <c r="AG34" s="7"/>
      <c r="AH34" s="7"/>
      <c r="AI34" s="72">
        <f t="shared" si="4"/>
        <v>3</v>
      </c>
      <c r="AJ34" s="7"/>
      <c r="AK34" s="7"/>
      <c r="AL34" s="7"/>
      <c r="AM34" s="7"/>
      <c r="AN34" s="7"/>
      <c r="AO34" s="72" t="str">
        <f t="shared" si="5"/>
        <v>A</v>
      </c>
      <c r="AP34" s="62">
        <v>2</v>
      </c>
      <c r="AQ34" s="62">
        <v>3</v>
      </c>
      <c r="AR34" s="62">
        <v>3</v>
      </c>
      <c r="AS34" s="7"/>
      <c r="AT34" s="7"/>
      <c r="AU34" s="72">
        <f t="shared" si="6"/>
        <v>2.6666666666666665</v>
      </c>
      <c r="AV34" s="7"/>
      <c r="AW34" s="7"/>
      <c r="AX34" s="62">
        <v>2</v>
      </c>
      <c r="AY34" s="62">
        <v>3</v>
      </c>
      <c r="AZ34" s="62">
        <v>1</v>
      </c>
      <c r="BA34" s="72">
        <f t="shared" si="7"/>
        <v>2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3</v>
      </c>
      <c r="M35" s="62">
        <v>4</v>
      </c>
      <c r="N35" s="62">
        <v>3</v>
      </c>
      <c r="O35" s="62">
        <v>3</v>
      </c>
      <c r="P35" s="62">
        <v>3</v>
      </c>
      <c r="Q35" s="72">
        <f t="shared" si="1"/>
        <v>3.2</v>
      </c>
      <c r="R35" s="62">
        <v>3</v>
      </c>
      <c r="S35" s="62">
        <v>4</v>
      </c>
      <c r="T35" s="62"/>
      <c r="U35" s="62">
        <v>3</v>
      </c>
      <c r="V35" s="62"/>
      <c r="W35" s="72">
        <f t="shared" si="2"/>
        <v>3.3333333333333335</v>
      </c>
      <c r="X35" s="62">
        <v>3</v>
      </c>
      <c r="Y35" s="62">
        <v>3</v>
      </c>
      <c r="Z35" s="62"/>
      <c r="AA35" s="62"/>
      <c r="AB35" s="62"/>
      <c r="AC35" s="72">
        <f t="shared" si="3"/>
        <v>3</v>
      </c>
      <c r="AD35" s="62">
        <v>3</v>
      </c>
      <c r="AE35" s="62"/>
      <c r="AF35" s="62">
        <v>3</v>
      </c>
      <c r="AG35" s="62"/>
      <c r="AH35" s="62"/>
      <c r="AI35" s="72">
        <f t="shared" si="4"/>
        <v>3</v>
      </c>
      <c r="AJ35" s="62"/>
      <c r="AK35" s="62"/>
      <c r="AL35" s="62"/>
      <c r="AM35" s="62"/>
      <c r="AN35" s="62"/>
      <c r="AO35" s="72" t="str">
        <f t="shared" si="5"/>
        <v>A</v>
      </c>
      <c r="AP35" s="62">
        <v>4</v>
      </c>
      <c r="AQ35" s="62">
        <v>3</v>
      </c>
      <c r="AR35" s="62">
        <v>3</v>
      </c>
      <c r="AS35" s="62"/>
      <c r="AT35" s="62"/>
      <c r="AU35" s="72">
        <f t="shared" si="6"/>
        <v>3.3333333333333335</v>
      </c>
      <c r="AV35" s="62"/>
      <c r="AW35" s="62"/>
      <c r="AX35" s="62">
        <v>4</v>
      </c>
      <c r="AY35" s="62">
        <v>3</v>
      </c>
      <c r="AZ35" s="62">
        <v>4</v>
      </c>
      <c r="BA35" s="72">
        <f t="shared" si="7"/>
        <v>3.6666666666666665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3</v>
      </c>
      <c r="M36" s="62">
        <v>4</v>
      </c>
      <c r="N36" s="62">
        <v>4</v>
      </c>
      <c r="O36" s="62">
        <v>4</v>
      </c>
      <c r="P36" s="62">
        <v>4</v>
      </c>
      <c r="Q36" s="72">
        <f t="shared" si="1"/>
        <v>3.8</v>
      </c>
      <c r="R36" s="62">
        <v>3</v>
      </c>
      <c r="S36" s="62">
        <v>3</v>
      </c>
      <c r="T36" s="7"/>
      <c r="U36" s="62">
        <v>3</v>
      </c>
      <c r="V36" s="7"/>
      <c r="W36" s="72">
        <f t="shared" si="2"/>
        <v>3</v>
      </c>
      <c r="X36" s="62">
        <v>3</v>
      </c>
      <c r="Y36" s="62">
        <v>3</v>
      </c>
      <c r="Z36" s="7"/>
      <c r="AA36" s="7"/>
      <c r="AB36" s="7"/>
      <c r="AC36" s="72">
        <f t="shared" si="3"/>
        <v>3</v>
      </c>
      <c r="AD36" s="62">
        <v>3</v>
      </c>
      <c r="AE36" s="7"/>
      <c r="AF36" s="62">
        <v>1</v>
      </c>
      <c r="AG36" s="7"/>
      <c r="AH36" s="7"/>
      <c r="AI36" s="72">
        <f t="shared" si="4"/>
        <v>2</v>
      </c>
      <c r="AJ36" s="7"/>
      <c r="AK36" s="7"/>
      <c r="AL36" s="7"/>
      <c r="AM36" s="7"/>
      <c r="AN36" s="7"/>
      <c r="AO36" s="72" t="str">
        <f t="shared" si="5"/>
        <v>A</v>
      </c>
      <c r="AP36" s="62">
        <v>1</v>
      </c>
      <c r="AQ36" s="62">
        <v>1</v>
      </c>
      <c r="AR36" s="62">
        <v>1</v>
      </c>
      <c r="AS36" s="7"/>
      <c r="AT36" s="7"/>
      <c r="AU36" s="72">
        <f t="shared" si="6"/>
        <v>1</v>
      </c>
      <c r="AV36" s="7"/>
      <c r="AW36" s="7"/>
      <c r="AX36" s="62">
        <v>1</v>
      </c>
      <c r="AY36" s="62">
        <v>3</v>
      </c>
      <c r="AZ36" s="62">
        <v>4</v>
      </c>
      <c r="BA36" s="72">
        <f t="shared" si="7"/>
        <v>2.6666666666666665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2</v>
      </c>
      <c r="M37" s="62">
        <v>2</v>
      </c>
      <c r="N37" s="62">
        <v>3</v>
      </c>
      <c r="O37" s="62">
        <v>2</v>
      </c>
      <c r="P37" s="62">
        <v>2</v>
      </c>
      <c r="Q37" s="72">
        <f t="shared" si="1"/>
        <v>2.2000000000000002</v>
      </c>
      <c r="R37" s="62">
        <v>2</v>
      </c>
      <c r="S37" s="62">
        <v>2</v>
      </c>
      <c r="T37" s="62"/>
      <c r="U37" s="62">
        <v>2</v>
      </c>
      <c r="V37" s="62"/>
      <c r="W37" s="72">
        <f t="shared" si="2"/>
        <v>2</v>
      </c>
      <c r="X37" s="62">
        <v>3</v>
      </c>
      <c r="Y37" s="62">
        <v>2</v>
      </c>
      <c r="Z37" s="62"/>
      <c r="AA37" s="62"/>
      <c r="AB37" s="62"/>
      <c r="AC37" s="72">
        <f t="shared" si="3"/>
        <v>2.5</v>
      </c>
      <c r="AD37" s="62">
        <v>2</v>
      </c>
      <c r="AE37" s="62"/>
      <c r="AF37" s="62">
        <v>3</v>
      </c>
      <c r="AG37" s="62"/>
      <c r="AH37" s="62"/>
      <c r="AI37" s="72">
        <f t="shared" si="4"/>
        <v>2.5</v>
      </c>
      <c r="AJ37" s="62"/>
      <c r="AK37" s="62"/>
      <c r="AL37" s="62"/>
      <c r="AM37" s="62"/>
      <c r="AN37" s="62"/>
      <c r="AO37" s="72" t="str">
        <f t="shared" si="5"/>
        <v>A</v>
      </c>
      <c r="AP37" s="62">
        <v>2</v>
      </c>
      <c r="AQ37" s="62">
        <v>3</v>
      </c>
      <c r="AR37" s="62">
        <v>2</v>
      </c>
      <c r="AS37" s="62"/>
      <c r="AT37" s="62"/>
      <c r="AU37" s="72">
        <f t="shared" si="6"/>
        <v>2.3333333333333335</v>
      </c>
      <c r="AV37" s="62"/>
      <c r="AW37" s="62"/>
      <c r="AX37" s="62">
        <v>2</v>
      </c>
      <c r="AY37" s="62">
        <v>3</v>
      </c>
      <c r="AZ37" s="62">
        <v>2</v>
      </c>
      <c r="BA37" s="72">
        <f t="shared" si="7"/>
        <v>2.3333333333333335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72">
        <f t="shared" si="1"/>
        <v>0</v>
      </c>
      <c r="R38" s="62">
        <v>0</v>
      </c>
      <c r="S38" s="62">
        <v>0</v>
      </c>
      <c r="T38" s="7"/>
      <c r="U38" s="62">
        <v>0</v>
      </c>
      <c r="V38" s="7"/>
      <c r="W38" s="72">
        <f t="shared" si="2"/>
        <v>0</v>
      </c>
      <c r="X38" s="62">
        <v>0</v>
      </c>
      <c r="Y38" s="62">
        <v>0</v>
      </c>
      <c r="Z38" s="7"/>
      <c r="AA38" s="7"/>
      <c r="AB38" s="7"/>
      <c r="AC38" s="72">
        <f t="shared" si="3"/>
        <v>0</v>
      </c>
      <c r="AD38" s="62">
        <v>0</v>
      </c>
      <c r="AE38" s="7"/>
      <c r="AF38" s="62">
        <v>0</v>
      </c>
      <c r="AG38" s="7"/>
      <c r="AH38" s="7"/>
      <c r="AI38" s="72">
        <f t="shared" si="4"/>
        <v>0</v>
      </c>
      <c r="AJ38" s="7"/>
      <c r="AK38" s="7"/>
      <c r="AL38" s="7"/>
      <c r="AM38" s="7"/>
      <c r="AN38" s="7"/>
      <c r="AO38" s="72" t="str">
        <f t="shared" si="5"/>
        <v>A</v>
      </c>
      <c r="AP38" s="62">
        <v>0</v>
      </c>
      <c r="AQ38" s="62">
        <v>0</v>
      </c>
      <c r="AR38" s="62">
        <v>0</v>
      </c>
      <c r="AS38" s="7"/>
      <c r="AT38" s="7"/>
      <c r="AU38" s="72">
        <f t="shared" si="6"/>
        <v>0</v>
      </c>
      <c r="AV38" s="7"/>
      <c r="AW38" s="7"/>
      <c r="AX38" s="62">
        <v>0</v>
      </c>
      <c r="AY38" s="62">
        <v>0</v>
      </c>
      <c r="AZ38" s="62">
        <v>0</v>
      </c>
      <c r="BA38" s="72">
        <f t="shared" si="7"/>
        <v>0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>
        <v>2</v>
      </c>
      <c r="N39" s="62">
        <v>2</v>
      </c>
      <c r="O39" s="62">
        <v>3</v>
      </c>
      <c r="P39" s="62">
        <v>2</v>
      </c>
      <c r="Q39" s="72">
        <f t="shared" si="1"/>
        <v>2.2000000000000002</v>
      </c>
      <c r="R39" s="62">
        <v>2</v>
      </c>
      <c r="S39" s="62">
        <v>3</v>
      </c>
      <c r="T39" s="62"/>
      <c r="U39" s="62">
        <v>3</v>
      </c>
      <c r="V39" s="62"/>
      <c r="W39" s="72">
        <f t="shared" si="2"/>
        <v>2.6666666666666665</v>
      </c>
      <c r="X39" s="62">
        <v>3</v>
      </c>
      <c r="Y39" s="62">
        <v>3</v>
      </c>
      <c r="Z39" s="62"/>
      <c r="AA39" s="62"/>
      <c r="AB39" s="62"/>
      <c r="AC39" s="72">
        <f t="shared" si="3"/>
        <v>3</v>
      </c>
      <c r="AD39" s="62">
        <v>3</v>
      </c>
      <c r="AE39" s="62"/>
      <c r="AF39" s="62">
        <v>3</v>
      </c>
      <c r="AG39" s="62"/>
      <c r="AH39" s="62"/>
      <c r="AI39" s="72">
        <f t="shared" si="4"/>
        <v>3</v>
      </c>
      <c r="AJ39" s="62"/>
      <c r="AK39" s="62"/>
      <c r="AL39" s="62"/>
      <c r="AM39" s="62"/>
      <c r="AN39" s="62"/>
      <c r="AO39" s="72" t="str">
        <f t="shared" si="5"/>
        <v>A</v>
      </c>
      <c r="AP39" s="62">
        <v>3</v>
      </c>
      <c r="AQ39" s="62">
        <v>3</v>
      </c>
      <c r="AR39" s="62">
        <v>3</v>
      </c>
      <c r="AS39" s="62"/>
      <c r="AT39" s="62"/>
      <c r="AU39" s="72">
        <f t="shared" si="6"/>
        <v>3</v>
      </c>
      <c r="AV39" s="62"/>
      <c r="AW39" s="62"/>
      <c r="AX39" s="62">
        <v>3</v>
      </c>
      <c r="AY39" s="62">
        <v>3</v>
      </c>
      <c r="AZ39" s="62">
        <v>3</v>
      </c>
      <c r="BA39" s="72">
        <f t="shared" si="7"/>
        <v>3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3</v>
      </c>
      <c r="M40" s="62">
        <v>2</v>
      </c>
      <c r="N40" s="62">
        <v>3</v>
      </c>
      <c r="O40" s="62">
        <v>3</v>
      </c>
      <c r="P40" s="62">
        <v>3</v>
      </c>
      <c r="Q40" s="72">
        <f t="shared" si="1"/>
        <v>2.8</v>
      </c>
      <c r="R40" s="62">
        <v>3</v>
      </c>
      <c r="S40" s="62">
        <v>2</v>
      </c>
      <c r="T40" s="7"/>
      <c r="U40" s="62">
        <v>3</v>
      </c>
      <c r="V40" s="7"/>
      <c r="W40" s="72">
        <f t="shared" si="2"/>
        <v>2.6666666666666665</v>
      </c>
      <c r="X40" s="62">
        <v>3</v>
      </c>
      <c r="Y40" s="62">
        <v>3</v>
      </c>
      <c r="Z40" s="7"/>
      <c r="AA40" s="7"/>
      <c r="AB40" s="7"/>
      <c r="AC40" s="72">
        <f t="shared" si="3"/>
        <v>3</v>
      </c>
      <c r="AD40" s="62">
        <v>3</v>
      </c>
      <c r="AE40" s="7"/>
      <c r="AF40" s="62">
        <v>3</v>
      </c>
      <c r="AG40" s="7"/>
      <c r="AH40" s="7"/>
      <c r="AI40" s="72">
        <f t="shared" si="4"/>
        <v>3</v>
      </c>
      <c r="AJ40" s="7"/>
      <c r="AK40" s="7"/>
      <c r="AL40" s="7"/>
      <c r="AM40" s="7"/>
      <c r="AN40" s="7"/>
      <c r="AO40" s="72" t="str">
        <f t="shared" si="5"/>
        <v>A</v>
      </c>
      <c r="AP40" s="62">
        <v>2</v>
      </c>
      <c r="AQ40" s="62">
        <v>3</v>
      </c>
      <c r="AR40" s="62">
        <v>3</v>
      </c>
      <c r="AS40" s="7"/>
      <c r="AT40" s="7"/>
      <c r="AU40" s="72">
        <f t="shared" si="6"/>
        <v>2.6666666666666665</v>
      </c>
      <c r="AV40" s="7"/>
      <c r="AW40" s="7"/>
      <c r="AX40" s="62">
        <v>2</v>
      </c>
      <c r="AY40" s="62">
        <v>3</v>
      </c>
      <c r="AZ40" s="62">
        <v>1</v>
      </c>
      <c r="BA40" s="72">
        <f t="shared" si="7"/>
        <v>2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>
        <v>4</v>
      </c>
      <c r="N41" s="62">
        <v>4</v>
      </c>
      <c r="O41" s="62">
        <v>4</v>
      </c>
      <c r="P41" s="62">
        <v>4</v>
      </c>
      <c r="Q41" s="72">
        <f t="shared" si="1"/>
        <v>3.8</v>
      </c>
      <c r="R41" s="62">
        <v>3</v>
      </c>
      <c r="S41" s="62">
        <v>3</v>
      </c>
      <c r="T41" s="62"/>
      <c r="U41" s="62">
        <v>3</v>
      </c>
      <c r="V41" s="62"/>
      <c r="W41" s="72">
        <f t="shared" si="2"/>
        <v>3</v>
      </c>
      <c r="X41" s="62">
        <v>3</v>
      </c>
      <c r="Y41" s="62">
        <v>3</v>
      </c>
      <c r="Z41" s="62"/>
      <c r="AA41" s="62"/>
      <c r="AB41" s="62"/>
      <c r="AC41" s="72">
        <f t="shared" si="3"/>
        <v>3</v>
      </c>
      <c r="AD41" s="62">
        <v>3</v>
      </c>
      <c r="AE41" s="62"/>
      <c r="AF41" s="62">
        <v>3</v>
      </c>
      <c r="AG41" s="62"/>
      <c r="AH41" s="62"/>
      <c r="AI41" s="72">
        <f t="shared" si="4"/>
        <v>3</v>
      </c>
      <c r="AJ41" s="62"/>
      <c r="AK41" s="62"/>
      <c r="AL41" s="62"/>
      <c r="AM41" s="62"/>
      <c r="AN41" s="62"/>
      <c r="AO41" s="72" t="str">
        <f t="shared" si="5"/>
        <v>A</v>
      </c>
      <c r="AP41" s="62">
        <v>3</v>
      </c>
      <c r="AQ41" s="62">
        <v>3</v>
      </c>
      <c r="AR41" s="62">
        <v>3</v>
      </c>
      <c r="AS41" s="62"/>
      <c r="AT41" s="62"/>
      <c r="AU41" s="72">
        <f t="shared" si="6"/>
        <v>3</v>
      </c>
      <c r="AV41" s="62"/>
      <c r="AW41" s="62"/>
      <c r="AX41" s="62">
        <v>3</v>
      </c>
      <c r="AY41" s="62">
        <v>3</v>
      </c>
      <c r="AZ41" s="62">
        <v>4</v>
      </c>
      <c r="BA41" s="72">
        <f t="shared" si="7"/>
        <v>3.3333333333333335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2</v>
      </c>
      <c r="M42" s="62">
        <v>2</v>
      </c>
      <c r="N42" s="62">
        <v>2</v>
      </c>
      <c r="O42" s="62">
        <v>3</v>
      </c>
      <c r="P42" s="62">
        <v>2</v>
      </c>
      <c r="Q42" s="72">
        <f t="shared" si="1"/>
        <v>2.2000000000000002</v>
      </c>
      <c r="R42" s="62">
        <v>1</v>
      </c>
      <c r="S42" s="62">
        <v>1</v>
      </c>
      <c r="T42" s="7"/>
      <c r="U42" s="62">
        <v>1</v>
      </c>
      <c r="V42" s="7"/>
      <c r="W42" s="72">
        <f t="shared" si="2"/>
        <v>1</v>
      </c>
      <c r="X42" s="62">
        <v>1</v>
      </c>
      <c r="Y42" s="62">
        <v>1</v>
      </c>
      <c r="Z42" s="7"/>
      <c r="AA42" s="7"/>
      <c r="AB42" s="7"/>
      <c r="AC42" s="72">
        <f t="shared" si="3"/>
        <v>1</v>
      </c>
      <c r="AD42" s="62">
        <v>1</v>
      </c>
      <c r="AE42" s="7"/>
      <c r="AF42" s="62">
        <v>1</v>
      </c>
      <c r="AG42" s="7"/>
      <c r="AH42" s="7"/>
      <c r="AI42" s="72">
        <f t="shared" si="4"/>
        <v>1</v>
      </c>
      <c r="AJ42" s="7"/>
      <c r="AK42" s="7"/>
      <c r="AL42" s="7"/>
      <c r="AM42" s="7"/>
      <c r="AN42" s="7"/>
      <c r="AO42" s="72" t="str">
        <f t="shared" si="5"/>
        <v>A</v>
      </c>
      <c r="AP42" s="62">
        <v>1</v>
      </c>
      <c r="AQ42" s="62">
        <v>1</v>
      </c>
      <c r="AR42" s="62">
        <v>1</v>
      </c>
      <c r="AS42" s="7"/>
      <c r="AT42" s="7"/>
      <c r="AU42" s="72">
        <f t="shared" si="6"/>
        <v>1</v>
      </c>
      <c r="AV42" s="7"/>
      <c r="AW42" s="7"/>
      <c r="AX42" s="62">
        <v>1</v>
      </c>
      <c r="AY42" s="62">
        <v>1</v>
      </c>
      <c r="AZ42" s="62">
        <v>1</v>
      </c>
      <c r="BA42" s="72">
        <f t="shared" si="7"/>
        <v>1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2</v>
      </c>
      <c r="M43" s="62">
        <v>3</v>
      </c>
      <c r="N43" s="62">
        <v>2</v>
      </c>
      <c r="O43" s="62">
        <v>4</v>
      </c>
      <c r="P43" s="62">
        <v>4</v>
      </c>
      <c r="Q43" s="72">
        <f t="shared" si="1"/>
        <v>3</v>
      </c>
      <c r="R43" s="62">
        <v>2</v>
      </c>
      <c r="S43" s="62">
        <v>2</v>
      </c>
      <c r="T43" s="62"/>
      <c r="U43" s="62">
        <v>2</v>
      </c>
      <c r="V43" s="62"/>
      <c r="W43" s="72">
        <f t="shared" si="2"/>
        <v>2</v>
      </c>
      <c r="X43" s="62">
        <v>2</v>
      </c>
      <c r="Y43" s="62">
        <v>2</v>
      </c>
      <c r="Z43" s="62"/>
      <c r="AA43" s="62"/>
      <c r="AB43" s="62"/>
      <c r="AC43" s="72">
        <f t="shared" si="3"/>
        <v>2</v>
      </c>
      <c r="AD43" s="62">
        <v>2</v>
      </c>
      <c r="AE43" s="62"/>
      <c r="AF43" s="62">
        <v>3</v>
      </c>
      <c r="AG43" s="62"/>
      <c r="AH43" s="62"/>
      <c r="AI43" s="72">
        <f t="shared" si="4"/>
        <v>2.5</v>
      </c>
      <c r="AJ43" s="62"/>
      <c r="AK43" s="62"/>
      <c r="AL43" s="62"/>
      <c r="AM43" s="62"/>
      <c r="AN43" s="62"/>
      <c r="AO43" s="72" t="str">
        <f t="shared" si="5"/>
        <v>A</v>
      </c>
      <c r="AP43" s="62">
        <v>3</v>
      </c>
      <c r="AQ43" s="62">
        <v>3</v>
      </c>
      <c r="AR43" s="62">
        <v>3</v>
      </c>
      <c r="AS43" s="62"/>
      <c r="AT43" s="62"/>
      <c r="AU43" s="72">
        <f t="shared" si="6"/>
        <v>3</v>
      </c>
      <c r="AV43" s="62"/>
      <c r="AW43" s="62"/>
      <c r="AX43" s="62">
        <v>3</v>
      </c>
      <c r="AY43" s="62">
        <v>3</v>
      </c>
      <c r="AZ43" s="62">
        <v>4</v>
      </c>
      <c r="BA43" s="72">
        <f t="shared" si="7"/>
        <v>3.3333333333333335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2</v>
      </c>
      <c r="M44" s="62">
        <v>3</v>
      </c>
      <c r="N44" s="62">
        <v>3</v>
      </c>
      <c r="O44" s="62">
        <v>2</v>
      </c>
      <c r="P44" s="62">
        <v>2</v>
      </c>
      <c r="Q44" s="72">
        <f t="shared" si="1"/>
        <v>2.4</v>
      </c>
      <c r="R44" s="62">
        <v>2</v>
      </c>
      <c r="S44" s="62">
        <v>3</v>
      </c>
      <c r="T44" s="7"/>
      <c r="U44" s="62">
        <v>2</v>
      </c>
      <c r="V44" s="7"/>
      <c r="W44" s="72">
        <f t="shared" si="2"/>
        <v>2.3333333333333335</v>
      </c>
      <c r="X44" s="62">
        <v>3</v>
      </c>
      <c r="Y44" s="62">
        <v>2</v>
      </c>
      <c r="Z44" s="7"/>
      <c r="AA44" s="7"/>
      <c r="AB44" s="7"/>
      <c r="AC44" s="72">
        <f t="shared" si="3"/>
        <v>2.5</v>
      </c>
      <c r="AD44" s="62">
        <v>2</v>
      </c>
      <c r="AE44" s="7"/>
      <c r="AF44" s="62">
        <v>3</v>
      </c>
      <c r="AG44" s="7"/>
      <c r="AH44" s="7"/>
      <c r="AI44" s="72">
        <f t="shared" si="4"/>
        <v>2.5</v>
      </c>
      <c r="AJ44" s="7"/>
      <c r="AK44" s="7"/>
      <c r="AL44" s="7"/>
      <c r="AM44" s="7"/>
      <c r="AN44" s="7"/>
      <c r="AO44" s="72" t="str">
        <f t="shared" si="5"/>
        <v>A</v>
      </c>
      <c r="AP44" s="62">
        <v>3</v>
      </c>
      <c r="AQ44" s="62">
        <v>3</v>
      </c>
      <c r="AR44" s="62">
        <v>2</v>
      </c>
      <c r="AS44" s="7"/>
      <c r="AT44" s="7"/>
      <c r="AU44" s="72">
        <f t="shared" si="6"/>
        <v>2.6666666666666665</v>
      </c>
      <c r="AV44" s="7"/>
      <c r="AW44" s="7"/>
      <c r="AX44" s="62">
        <v>3</v>
      </c>
      <c r="AY44" s="62">
        <v>3</v>
      </c>
      <c r="AZ44" s="62">
        <v>3</v>
      </c>
      <c r="BA44" s="72">
        <f t="shared" si="7"/>
        <v>3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3</v>
      </c>
      <c r="M45" s="62">
        <v>3</v>
      </c>
      <c r="N45" s="62">
        <v>2</v>
      </c>
      <c r="O45" s="62">
        <v>3</v>
      </c>
      <c r="P45" s="62">
        <v>2</v>
      </c>
      <c r="Q45" s="72">
        <f t="shared" si="1"/>
        <v>2.6</v>
      </c>
      <c r="R45" s="62">
        <v>2</v>
      </c>
      <c r="S45" s="62">
        <v>2</v>
      </c>
      <c r="T45" s="62"/>
      <c r="U45" s="62">
        <v>2</v>
      </c>
      <c r="V45" s="62"/>
      <c r="W45" s="72">
        <f t="shared" si="2"/>
        <v>2</v>
      </c>
      <c r="X45" s="62">
        <v>2</v>
      </c>
      <c r="Y45" s="62">
        <v>1</v>
      </c>
      <c r="Z45" s="62"/>
      <c r="AA45" s="62"/>
      <c r="AB45" s="62"/>
      <c r="AC45" s="72">
        <f t="shared" si="3"/>
        <v>1.5</v>
      </c>
      <c r="AD45" s="62">
        <v>2</v>
      </c>
      <c r="AE45" s="62"/>
      <c r="AF45" s="62">
        <v>1</v>
      </c>
      <c r="AG45" s="62"/>
      <c r="AH45" s="62"/>
      <c r="AI45" s="72">
        <f t="shared" si="4"/>
        <v>1.5</v>
      </c>
      <c r="AJ45" s="62"/>
      <c r="AK45" s="62"/>
      <c r="AL45" s="62"/>
      <c r="AM45" s="62"/>
      <c r="AN45" s="62"/>
      <c r="AO45" s="72" t="str">
        <f t="shared" si="5"/>
        <v>A</v>
      </c>
      <c r="AP45" s="62">
        <v>1</v>
      </c>
      <c r="AQ45" s="62">
        <v>1</v>
      </c>
      <c r="AR45" s="62">
        <v>1</v>
      </c>
      <c r="AS45" s="62"/>
      <c r="AT45" s="62"/>
      <c r="AU45" s="72">
        <f t="shared" si="6"/>
        <v>1</v>
      </c>
      <c r="AV45" s="62"/>
      <c r="AW45" s="62"/>
      <c r="AX45" s="62">
        <v>1</v>
      </c>
      <c r="AY45" s="62">
        <v>1</v>
      </c>
      <c r="AZ45" s="62">
        <v>2</v>
      </c>
      <c r="BA45" s="72">
        <f t="shared" si="7"/>
        <v>1.3333333333333333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4</v>
      </c>
      <c r="M46" s="62">
        <v>4</v>
      </c>
      <c r="N46" s="62">
        <v>3</v>
      </c>
      <c r="O46" s="62">
        <v>3</v>
      </c>
      <c r="P46" s="62">
        <v>3</v>
      </c>
      <c r="Q46" s="72">
        <f t="shared" si="1"/>
        <v>3.4</v>
      </c>
      <c r="R46" s="62">
        <v>3</v>
      </c>
      <c r="S46" s="62">
        <v>3</v>
      </c>
      <c r="T46" s="7"/>
      <c r="U46" s="62">
        <v>3</v>
      </c>
      <c r="V46" s="7"/>
      <c r="W46" s="72">
        <f t="shared" si="2"/>
        <v>3</v>
      </c>
      <c r="X46" s="62">
        <v>3</v>
      </c>
      <c r="Y46" s="62">
        <v>3</v>
      </c>
      <c r="Z46" s="7"/>
      <c r="AA46" s="7"/>
      <c r="AB46" s="7"/>
      <c r="AC46" s="72">
        <f t="shared" si="3"/>
        <v>3</v>
      </c>
      <c r="AD46" s="62">
        <v>2</v>
      </c>
      <c r="AE46" s="7"/>
      <c r="AF46" s="62">
        <v>3</v>
      </c>
      <c r="AG46" s="7"/>
      <c r="AH46" s="7"/>
      <c r="AI46" s="72">
        <f t="shared" si="4"/>
        <v>2.5</v>
      </c>
      <c r="AJ46" s="7"/>
      <c r="AK46" s="7"/>
      <c r="AL46" s="7"/>
      <c r="AM46" s="7"/>
      <c r="AN46" s="7"/>
      <c r="AO46" s="72" t="str">
        <f t="shared" si="5"/>
        <v>A</v>
      </c>
      <c r="AP46" s="62">
        <v>1</v>
      </c>
      <c r="AQ46" s="62">
        <v>1</v>
      </c>
      <c r="AR46" s="62">
        <v>1</v>
      </c>
      <c r="AS46" s="7"/>
      <c r="AT46" s="7"/>
      <c r="AU46" s="72">
        <f t="shared" si="6"/>
        <v>1</v>
      </c>
      <c r="AV46" s="7"/>
      <c r="AW46" s="7"/>
      <c r="AX46" s="62">
        <v>5</v>
      </c>
      <c r="AY46" s="62">
        <v>3</v>
      </c>
      <c r="AZ46" s="62">
        <v>3</v>
      </c>
      <c r="BA46" s="72">
        <f t="shared" si="7"/>
        <v>3.6666666666666665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2</v>
      </c>
      <c r="M47" s="62">
        <v>2</v>
      </c>
      <c r="N47" s="62">
        <v>2</v>
      </c>
      <c r="O47" s="62">
        <v>2</v>
      </c>
      <c r="P47" s="62">
        <v>2</v>
      </c>
      <c r="Q47" s="72">
        <f t="shared" si="1"/>
        <v>2</v>
      </c>
      <c r="R47" s="62">
        <v>2</v>
      </c>
      <c r="S47" s="62">
        <v>2</v>
      </c>
      <c r="T47" s="62"/>
      <c r="U47" s="62">
        <v>2</v>
      </c>
      <c r="V47" s="62"/>
      <c r="W47" s="72">
        <f t="shared" si="2"/>
        <v>2</v>
      </c>
      <c r="X47" s="62">
        <v>2</v>
      </c>
      <c r="Y47" s="62">
        <v>2</v>
      </c>
      <c r="Z47" s="62"/>
      <c r="AA47" s="62"/>
      <c r="AB47" s="62"/>
      <c r="AC47" s="72">
        <f t="shared" si="3"/>
        <v>2</v>
      </c>
      <c r="AD47" s="62">
        <v>2</v>
      </c>
      <c r="AE47" s="62"/>
      <c r="AF47" s="62">
        <v>2</v>
      </c>
      <c r="AG47" s="62"/>
      <c r="AH47" s="62"/>
      <c r="AI47" s="72">
        <f t="shared" si="4"/>
        <v>2</v>
      </c>
      <c r="AJ47" s="62"/>
      <c r="AK47" s="62"/>
      <c r="AL47" s="62"/>
      <c r="AM47" s="62"/>
      <c r="AN47" s="62"/>
      <c r="AO47" s="72" t="str">
        <f t="shared" si="5"/>
        <v>A</v>
      </c>
      <c r="AP47" s="62">
        <v>2</v>
      </c>
      <c r="AQ47" s="62">
        <v>2</v>
      </c>
      <c r="AR47" s="62">
        <v>2</v>
      </c>
      <c r="AS47" s="62"/>
      <c r="AT47" s="62"/>
      <c r="AU47" s="72">
        <f t="shared" si="6"/>
        <v>2</v>
      </c>
      <c r="AV47" s="62"/>
      <c r="AW47" s="62"/>
      <c r="AX47" s="62">
        <v>2</v>
      </c>
      <c r="AY47" s="62">
        <v>2</v>
      </c>
      <c r="AZ47" s="62">
        <v>3</v>
      </c>
      <c r="BA47" s="72">
        <f t="shared" si="7"/>
        <v>2.3333333333333335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2</v>
      </c>
      <c r="M48" s="62">
        <v>2</v>
      </c>
      <c r="N48" s="62">
        <v>2</v>
      </c>
      <c r="O48" s="62">
        <v>4</v>
      </c>
      <c r="P48" s="62">
        <v>4</v>
      </c>
      <c r="Q48" s="72">
        <f t="shared" si="1"/>
        <v>2.8</v>
      </c>
      <c r="R48" s="62">
        <v>3</v>
      </c>
      <c r="S48" s="62">
        <v>3</v>
      </c>
      <c r="T48" s="7"/>
      <c r="U48" s="62">
        <v>3</v>
      </c>
      <c r="V48" s="7"/>
      <c r="W48" s="72">
        <f t="shared" si="2"/>
        <v>3</v>
      </c>
      <c r="X48" s="62">
        <v>3</v>
      </c>
      <c r="Y48" s="62">
        <v>3</v>
      </c>
      <c r="Z48" s="7"/>
      <c r="AA48" s="7"/>
      <c r="AB48" s="7"/>
      <c r="AC48" s="72">
        <f t="shared" si="3"/>
        <v>3</v>
      </c>
      <c r="AD48" s="62">
        <v>3</v>
      </c>
      <c r="AE48" s="7"/>
      <c r="AF48" s="62">
        <v>3</v>
      </c>
      <c r="AG48" s="7"/>
      <c r="AH48" s="7"/>
      <c r="AI48" s="72">
        <f t="shared" si="4"/>
        <v>3</v>
      </c>
      <c r="AJ48" s="7"/>
      <c r="AK48" s="7"/>
      <c r="AL48" s="7"/>
      <c r="AM48" s="7"/>
      <c r="AN48" s="7"/>
      <c r="AO48" s="72" t="str">
        <f t="shared" si="5"/>
        <v>A</v>
      </c>
      <c r="AP48" s="62">
        <v>3</v>
      </c>
      <c r="AQ48" s="62">
        <v>3</v>
      </c>
      <c r="AR48" s="62">
        <v>3</v>
      </c>
      <c r="AS48" s="7"/>
      <c r="AT48" s="7"/>
      <c r="AU48" s="72">
        <f t="shared" si="6"/>
        <v>3</v>
      </c>
      <c r="AV48" s="7"/>
      <c r="AW48" s="7"/>
      <c r="AX48" s="62">
        <v>3</v>
      </c>
      <c r="AY48" s="62">
        <v>3</v>
      </c>
      <c r="AZ48" s="62">
        <v>3</v>
      </c>
      <c r="BA48" s="72">
        <f t="shared" si="7"/>
        <v>3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1</v>
      </c>
      <c r="M49" s="62">
        <v>1</v>
      </c>
      <c r="N49" s="62">
        <v>1</v>
      </c>
      <c r="O49" s="62">
        <v>3</v>
      </c>
      <c r="P49" s="62">
        <v>1</v>
      </c>
      <c r="Q49" s="72">
        <f t="shared" si="1"/>
        <v>1.4</v>
      </c>
      <c r="R49" s="62">
        <v>2</v>
      </c>
      <c r="S49" s="62">
        <v>2</v>
      </c>
      <c r="T49" s="62"/>
      <c r="U49" s="62">
        <v>2</v>
      </c>
      <c r="V49" s="62"/>
      <c r="W49" s="72">
        <f t="shared" si="2"/>
        <v>2</v>
      </c>
      <c r="X49" s="62">
        <v>2</v>
      </c>
      <c r="Y49" s="62">
        <v>2</v>
      </c>
      <c r="Z49" s="62"/>
      <c r="AA49" s="62"/>
      <c r="AB49" s="62"/>
      <c r="AC49" s="72">
        <f t="shared" si="3"/>
        <v>2</v>
      </c>
      <c r="AD49" s="62">
        <v>2</v>
      </c>
      <c r="AE49" s="62"/>
      <c r="AF49" s="62">
        <v>2</v>
      </c>
      <c r="AG49" s="62"/>
      <c r="AH49" s="62"/>
      <c r="AI49" s="72">
        <f t="shared" si="4"/>
        <v>2</v>
      </c>
      <c r="AJ49" s="62"/>
      <c r="AK49" s="62"/>
      <c r="AL49" s="62"/>
      <c r="AM49" s="62"/>
      <c r="AN49" s="62"/>
      <c r="AO49" s="72" t="str">
        <f t="shared" si="5"/>
        <v>A</v>
      </c>
      <c r="AP49" s="62">
        <v>1</v>
      </c>
      <c r="AQ49" s="62">
        <v>1</v>
      </c>
      <c r="AR49" s="62">
        <v>1</v>
      </c>
      <c r="AS49" s="62"/>
      <c r="AT49" s="62"/>
      <c r="AU49" s="72">
        <f t="shared" si="6"/>
        <v>1</v>
      </c>
      <c r="AV49" s="62"/>
      <c r="AW49" s="62"/>
      <c r="AX49" s="62">
        <v>5</v>
      </c>
      <c r="AY49" s="62">
        <v>3</v>
      </c>
      <c r="AZ49" s="62">
        <v>2</v>
      </c>
      <c r="BA49" s="72">
        <f t="shared" si="7"/>
        <v>3.3333333333333335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2</v>
      </c>
      <c r="M50" s="62">
        <v>2</v>
      </c>
      <c r="N50" s="62">
        <v>2</v>
      </c>
      <c r="O50" s="62">
        <v>2</v>
      </c>
      <c r="P50" s="62">
        <v>2</v>
      </c>
      <c r="Q50" s="72">
        <f t="shared" si="1"/>
        <v>2</v>
      </c>
      <c r="R50" s="62">
        <v>2</v>
      </c>
      <c r="S50" s="62">
        <v>2</v>
      </c>
      <c r="T50" s="7"/>
      <c r="U50" s="62">
        <v>2</v>
      </c>
      <c r="V50" s="7"/>
      <c r="W50" s="72">
        <f t="shared" si="2"/>
        <v>2</v>
      </c>
      <c r="X50" s="62">
        <v>2</v>
      </c>
      <c r="Y50" s="62">
        <v>2</v>
      </c>
      <c r="Z50" s="7"/>
      <c r="AA50" s="7"/>
      <c r="AB50" s="7"/>
      <c r="AC50" s="72">
        <f t="shared" si="3"/>
        <v>2</v>
      </c>
      <c r="AD50" s="62">
        <v>2</v>
      </c>
      <c r="AE50" s="7"/>
      <c r="AF50" s="62">
        <v>2</v>
      </c>
      <c r="AG50" s="7"/>
      <c r="AH50" s="7"/>
      <c r="AI50" s="72">
        <f t="shared" si="4"/>
        <v>2</v>
      </c>
      <c r="AJ50" s="7"/>
      <c r="AK50" s="7"/>
      <c r="AL50" s="7"/>
      <c r="AM50" s="7"/>
      <c r="AN50" s="7"/>
      <c r="AO50" s="72" t="str">
        <f t="shared" si="5"/>
        <v>A</v>
      </c>
      <c r="AP50" s="62">
        <v>2</v>
      </c>
      <c r="AQ50" s="62">
        <v>2</v>
      </c>
      <c r="AR50" s="62">
        <v>2</v>
      </c>
      <c r="AS50" s="7"/>
      <c r="AT50" s="7"/>
      <c r="AU50" s="72">
        <f t="shared" si="6"/>
        <v>2</v>
      </c>
      <c r="AV50" s="7"/>
      <c r="AW50" s="7"/>
      <c r="AX50" s="62">
        <v>2</v>
      </c>
      <c r="AY50" s="62">
        <v>2</v>
      </c>
      <c r="AZ50" s="62">
        <v>1</v>
      </c>
      <c r="BA50" s="72">
        <f t="shared" si="7"/>
        <v>1.6666666666666667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2</v>
      </c>
      <c r="M51" s="62">
        <v>3</v>
      </c>
      <c r="N51" s="62">
        <v>2</v>
      </c>
      <c r="O51" s="62">
        <v>4</v>
      </c>
      <c r="P51" s="62">
        <v>3</v>
      </c>
      <c r="Q51" s="72">
        <f t="shared" si="1"/>
        <v>2.8</v>
      </c>
      <c r="R51" s="62">
        <v>3</v>
      </c>
      <c r="S51" s="62">
        <v>3</v>
      </c>
      <c r="T51" s="62"/>
      <c r="U51" s="62">
        <v>3</v>
      </c>
      <c r="V51" s="62"/>
      <c r="W51" s="72">
        <f t="shared" si="2"/>
        <v>3</v>
      </c>
      <c r="X51" s="62">
        <v>3</v>
      </c>
      <c r="Y51" s="62">
        <v>3</v>
      </c>
      <c r="Z51" s="62"/>
      <c r="AA51" s="62"/>
      <c r="AB51" s="62"/>
      <c r="AC51" s="72">
        <f t="shared" si="3"/>
        <v>3</v>
      </c>
      <c r="AD51" s="62">
        <v>3</v>
      </c>
      <c r="AE51" s="62"/>
      <c r="AF51" s="62">
        <v>3</v>
      </c>
      <c r="AG51" s="62"/>
      <c r="AH51" s="62"/>
      <c r="AI51" s="72">
        <f t="shared" si="4"/>
        <v>3</v>
      </c>
      <c r="AJ51" s="62"/>
      <c r="AK51" s="62"/>
      <c r="AL51" s="62"/>
      <c r="AM51" s="62"/>
      <c r="AN51" s="62"/>
      <c r="AO51" s="72" t="str">
        <f t="shared" si="5"/>
        <v>A</v>
      </c>
      <c r="AP51" s="62">
        <v>3</v>
      </c>
      <c r="AQ51" s="62">
        <v>3</v>
      </c>
      <c r="AR51" s="62">
        <v>3</v>
      </c>
      <c r="AS51" s="62"/>
      <c r="AT51" s="62"/>
      <c r="AU51" s="72">
        <f t="shared" si="6"/>
        <v>3</v>
      </c>
      <c r="AV51" s="62"/>
      <c r="AW51" s="62"/>
      <c r="AX51" s="62">
        <v>5</v>
      </c>
      <c r="AY51" s="62">
        <v>3</v>
      </c>
      <c r="AZ51" s="62">
        <v>4</v>
      </c>
      <c r="BA51" s="72">
        <f t="shared" si="7"/>
        <v>4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1</v>
      </c>
      <c r="M52" s="62">
        <v>1</v>
      </c>
      <c r="N52" s="62">
        <v>1</v>
      </c>
      <c r="O52" s="62">
        <v>1</v>
      </c>
      <c r="P52" s="62">
        <v>1</v>
      </c>
      <c r="Q52" s="72">
        <f t="shared" si="1"/>
        <v>1</v>
      </c>
      <c r="R52" s="62">
        <v>1</v>
      </c>
      <c r="S52" s="62">
        <v>1</v>
      </c>
      <c r="T52" s="7"/>
      <c r="U52" s="62">
        <v>1</v>
      </c>
      <c r="V52" s="7"/>
      <c r="W52" s="72">
        <f t="shared" si="2"/>
        <v>1</v>
      </c>
      <c r="X52" s="62">
        <v>1</v>
      </c>
      <c r="Y52" s="62">
        <v>1</v>
      </c>
      <c r="Z52" s="7"/>
      <c r="AA52" s="7"/>
      <c r="AB52" s="7"/>
      <c r="AC52" s="72">
        <f t="shared" si="3"/>
        <v>1</v>
      </c>
      <c r="AD52" s="62">
        <v>1</v>
      </c>
      <c r="AE52" s="7"/>
      <c r="AF52" s="62">
        <v>1</v>
      </c>
      <c r="AG52" s="7"/>
      <c r="AH52" s="7"/>
      <c r="AI52" s="72">
        <f t="shared" si="4"/>
        <v>1</v>
      </c>
      <c r="AJ52" s="7"/>
      <c r="AK52" s="7"/>
      <c r="AL52" s="7"/>
      <c r="AM52" s="7"/>
      <c r="AN52" s="7"/>
      <c r="AO52" s="72" t="str">
        <f t="shared" si="5"/>
        <v>A</v>
      </c>
      <c r="AP52" s="62">
        <v>1</v>
      </c>
      <c r="AQ52" s="62">
        <v>1</v>
      </c>
      <c r="AR52" s="62">
        <v>1</v>
      </c>
      <c r="AS52" s="7"/>
      <c r="AT52" s="7"/>
      <c r="AU52" s="72">
        <f t="shared" si="6"/>
        <v>1</v>
      </c>
      <c r="AV52" s="7"/>
      <c r="AW52" s="7"/>
      <c r="AX52" s="62">
        <v>1</v>
      </c>
      <c r="AY52" s="62">
        <v>1</v>
      </c>
      <c r="AZ52" s="62">
        <v>1</v>
      </c>
      <c r="BA52" s="72">
        <f t="shared" si="7"/>
        <v>1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3</v>
      </c>
      <c r="M53" s="62">
        <v>2</v>
      </c>
      <c r="N53" s="62">
        <v>3</v>
      </c>
      <c r="O53" s="62">
        <v>3</v>
      </c>
      <c r="P53" s="62">
        <v>3</v>
      </c>
      <c r="Q53" s="72">
        <f t="shared" si="1"/>
        <v>2.8</v>
      </c>
      <c r="R53" s="62">
        <v>3</v>
      </c>
      <c r="S53" s="62">
        <v>2</v>
      </c>
      <c r="T53" s="62"/>
      <c r="U53" s="62">
        <v>3</v>
      </c>
      <c r="V53" s="62"/>
      <c r="W53" s="72">
        <f t="shared" si="2"/>
        <v>2.6666666666666665</v>
      </c>
      <c r="X53" s="62">
        <v>3</v>
      </c>
      <c r="Y53" s="62">
        <v>3</v>
      </c>
      <c r="Z53" s="62"/>
      <c r="AA53" s="62"/>
      <c r="AB53" s="62"/>
      <c r="AC53" s="72">
        <f t="shared" si="3"/>
        <v>3</v>
      </c>
      <c r="AD53" s="62">
        <v>3</v>
      </c>
      <c r="AE53" s="62"/>
      <c r="AF53" s="62">
        <v>3</v>
      </c>
      <c r="AG53" s="62"/>
      <c r="AH53" s="62"/>
      <c r="AI53" s="72">
        <f t="shared" si="4"/>
        <v>3</v>
      </c>
      <c r="AJ53" s="62"/>
      <c r="AK53" s="62"/>
      <c r="AL53" s="62"/>
      <c r="AM53" s="62"/>
      <c r="AN53" s="62"/>
      <c r="AO53" s="72" t="str">
        <f t="shared" si="5"/>
        <v>A</v>
      </c>
      <c r="AP53" s="62">
        <v>2</v>
      </c>
      <c r="AQ53" s="62">
        <v>3</v>
      </c>
      <c r="AR53" s="62">
        <v>3</v>
      </c>
      <c r="AS53" s="62"/>
      <c r="AT53" s="62"/>
      <c r="AU53" s="72">
        <f t="shared" si="6"/>
        <v>2.6666666666666665</v>
      </c>
      <c r="AV53" s="62"/>
      <c r="AW53" s="62"/>
      <c r="AX53" s="62">
        <v>2</v>
      </c>
      <c r="AY53" s="62">
        <v>3</v>
      </c>
      <c r="AZ53" s="62">
        <v>1</v>
      </c>
      <c r="BA53" s="72">
        <f t="shared" si="7"/>
        <v>2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2</v>
      </c>
      <c r="M54" s="62">
        <v>3</v>
      </c>
      <c r="N54" s="62">
        <v>3</v>
      </c>
      <c r="O54" s="62">
        <v>2</v>
      </c>
      <c r="P54" s="62">
        <v>3</v>
      </c>
      <c r="Q54" s="72">
        <f t="shared" si="1"/>
        <v>2.6</v>
      </c>
      <c r="R54" s="62">
        <v>2</v>
      </c>
      <c r="S54" s="62">
        <v>3</v>
      </c>
      <c r="T54" s="7"/>
      <c r="U54" s="62">
        <v>3</v>
      </c>
      <c r="V54" s="7"/>
      <c r="W54" s="72">
        <f t="shared" si="2"/>
        <v>2.6666666666666665</v>
      </c>
      <c r="X54" s="62">
        <v>3</v>
      </c>
      <c r="Y54" s="62">
        <v>2</v>
      </c>
      <c r="Z54" s="7"/>
      <c r="AA54" s="7"/>
      <c r="AB54" s="7"/>
      <c r="AC54" s="72">
        <f t="shared" si="3"/>
        <v>2.5</v>
      </c>
      <c r="AD54" s="62">
        <v>2</v>
      </c>
      <c r="AE54" s="7"/>
      <c r="AF54" s="62">
        <v>3</v>
      </c>
      <c r="AG54" s="7"/>
      <c r="AH54" s="7"/>
      <c r="AI54" s="72">
        <f t="shared" si="4"/>
        <v>2.5</v>
      </c>
      <c r="AJ54" s="7"/>
      <c r="AK54" s="7"/>
      <c r="AL54" s="7"/>
      <c r="AM54" s="7"/>
      <c r="AN54" s="7"/>
      <c r="AO54" s="72" t="str">
        <f t="shared" si="5"/>
        <v>A</v>
      </c>
      <c r="AP54" s="62">
        <v>3</v>
      </c>
      <c r="AQ54" s="62">
        <v>3</v>
      </c>
      <c r="AR54" s="62">
        <v>2</v>
      </c>
      <c r="AS54" s="7"/>
      <c r="AT54" s="7"/>
      <c r="AU54" s="72">
        <f t="shared" si="6"/>
        <v>2.6666666666666665</v>
      </c>
      <c r="AV54" s="7"/>
      <c r="AW54" s="7"/>
      <c r="AX54" s="62">
        <v>3</v>
      </c>
      <c r="AY54" s="62">
        <v>3</v>
      </c>
      <c r="AZ54" s="62">
        <v>3</v>
      </c>
      <c r="BA54" s="72">
        <f t="shared" si="7"/>
        <v>3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2</v>
      </c>
      <c r="M55" s="62">
        <v>2</v>
      </c>
      <c r="N55" s="62">
        <v>2</v>
      </c>
      <c r="O55" s="62">
        <v>2</v>
      </c>
      <c r="P55" s="62">
        <v>2</v>
      </c>
      <c r="Q55" s="72">
        <f t="shared" si="1"/>
        <v>2</v>
      </c>
      <c r="R55" s="62">
        <v>2</v>
      </c>
      <c r="S55" s="62">
        <v>2</v>
      </c>
      <c r="T55" s="62"/>
      <c r="U55" s="62">
        <v>2</v>
      </c>
      <c r="V55" s="62"/>
      <c r="W55" s="72">
        <f t="shared" si="2"/>
        <v>2</v>
      </c>
      <c r="X55" s="62">
        <v>2</v>
      </c>
      <c r="Y55" s="62">
        <v>2</v>
      </c>
      <c r="Z55" s="62"/>
      <c r="AA55" s="62"/>
      <c r="AB55" s="62"/>
      <c r="AC55" s="72">
        <f t="shared" si="3"/>
        <v>2</v>
      </c>
      <c r="AD55" s="62">
        <v>2</v>
      </c>
      <c r="AE55" s="62"/>
      <c r="AF55" s="62">
        <v>2</v>
      </c>
      <c r="AG55" s="62"/>
      <c r="AH55" s="62"/>
      <c r="AI55" s="72">
        <f t="shared" si="4"/>
        <v>2</v>
      </c>
      <c r="AJ55" s="62"/>
      <c r="AK55" s="62"/>
      <c r="AL55" s="62"/>
      <c r="AM55" s="62"/>
      <c r="AN55" s="62"/>
      <c r="AO55" s="72" t="str">
        <f t="shared" si="5"/>
        <v>A</v>
      </c>
      <c r="AP55" s="62">
        <v>2</v>
      </c>
      <c r="AQ55" s="62">
        <v>2</v>
      </c>
      <c r="AR55" s="62">
        <v>2</v>
      </c>
      <c r="AS55" s="62"/>
      <c r="AT55" s="62"/>
      <c r="AU55" s="72">
        <f t="shared" si="6"/>
        <v>2</v>
      </c>
      <c r="AV55" s="62"/>
      <c r="AW55" s="62"/>
      <c r="AX55" s="62">
        <v>2</v>
      </c>
      <c r="AY55" s="62">
        <v>2</v>
      </c>
      <c r="AZ55" s="62">
        <v>1</v>
      </c>
      <c r="BA55" s="72">
        <f t="shared" si="7"/>
        <v>1.6666666666666667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>
        <v>2</v>
      </c>
      <c r="N56" s="62">
        <v>3</v>
      </c>
      <c r="O56" s="62">
        <v>4</v>
      </c>
      <c r="P56" s="62">
        <v>3</v>
      </c>
      <c r="Q56" s="72">
        <f t="shared" si="1"/>
        <v>3</v>
      </c>
      <c r="R56" s="62">
        <v>2</v>
      </c>
      <c r="S56" s="62">
        <v>2</v>
      </c>
      <c r="T56" s="7"/>
      <c r="U56" s="62">
        <v>2</v>
      </c>
      <c r="V56" s="7"/>
      <c r="W56" s="72">
        <f t="shared" si="2"/>
        <v>2</v>
      </c>
      <c r="X56" s="62">
        <v>2</v>
      </c>
      <c r="Y56" s="62">
        <v>3</v>
      </c>
      <c r="Z56" s="7"/>
      <c r="AA56" s="7"/>
      <c r="AB56" s="7"/>
      <c r="AC56" s="72">
        <f t="shared" si="3"/>
        <v>2.5</v>
      </c>
      <c r="AD56" s="62">
        <v>3</v>
      </c>
      <c r="AE56" s="7"/>
      <c r="AF56" s="62">
        <v>3</v>
      </c>
      <c r="AG56" s="7"/>
      <c r="AH56" s="7"/>
      <c r="AI56" s="72">
        <f t="shared" si="4"/>
        <v>3</v>
      </c>
      <c r="AJ56" s="7"/>
      <c r="AK56" s="7"/>
      <c r="AL56" s="7"/>
      <c r="AM56" s="7"/>
      <c r="AN56" s="7"/>
      <c r="AO56" s="72" t="str">
        <f t="shared" si="5"/>
        <v>A</v>
      </c>
      <c r="AP56" s="62">
        <v>3</v>
      </c>
      <c r="AQ56" s="62">
        <v>3</v>
      </c>
      <c r="AR56" s="62">
        <v>3</v>
      </c>
      <c r="AS56" s="7"/>
      <c r="AT56" s="7"/>
      <c r="AU56" s="72">
        <f t="shared" si="6"/>
        <v>3</v>
      </c>
      <c r="AV56" s="7"/>
      <c r="AW56" s="7"/>
      <c r="AX56" s="62">
        <v>3</v>
      </c>
      <c r="AY56" s="62">
        <v>2</v>
      </c>
      <c r="AZ56" s="62">
        <v>2</v>
      </c>
      <c r="BA56" s="72">
        <f t="shared" si="7"/>
        <v>2.3333333333333335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3</v>
      </c>
      <c r="M57" s="62">
        <v>3</v>
      </c>
      <c r="N57" s="62">
        <v>3</v>
      </c>
      <c r="O57" s="62">
        <v>3</v>
      </c>
      <c r="P57" s="62">
        <v>3</v>
      </c>
      <c r="Q57" s="72">
        <f t="shared" si="1"/>
        <v>3</v>
      </c>
      <c r="R57" s="62">
        <v>3</v>
      </c>
      <c r="S57" s="62">
        <v>3</v>
      </c>
      <c r="T57" s="62"/>
      <c r="U57" s="62">
        <v>3</v>
      </c>
      <c r="V57" s="62"/>
      <c r="W57" s="72">
        <f t="shared" si="2"/>
        <v>3</v>
      </c>
      <c r="X57" s="62">
        <v>3</v>
      </c>
      <c r="Y57" s="62">
        <v>3</v>
      </c>
      <c r="Z57" s="62"/>
      <c r="AA57" s="62"/>
      <c r="AB57" s="62"/>
      <c r="AC57" s="72">
        <f t="shared" si="3"/>
        <v>3</v>
      </c>
      <c r="AD57" s="62">
        <v>3</v>
      </c>
      <c r="AE57" s="62"/>
      <c r="AF57" s="62">
        <v>3</v>
      </c>
      <c r="AG57" s="62"/>
      <c r="AH57" s="62"/>
      <c r="AI57" s="72">
        <f t="shared" si="4"/>
        <v>3</v>
      </c>
      <c r="AJ57" s="62"/>
      <c r="AK57" s="62"/>
      <c r="AL57" s="62"/>
      <c r="AM57" s="62"/>
      <c r="AN57" s="62"/>
      <c r="AO57" s="72" t="str">
        <f t="shared" si="5"/>
        <v>A</v>
      </c>
      <c r="AP57" s="62">
        <v>3</v>
      </c>
      <c r="AQ57" s="62">
        <v>3</v>
      </c>
      <c r="AR57" s="62">
        <v>3</v>
      </c>
      <c r="AS57" s="62"/>
      <c r="AT57" s="62"/>
      <c r="AU57" s="72">
        <f t="shared" si="6"/>
        <v>3</v>
      </c>
      <c r="AV57" s="62"/>
      <c r="AW57" s="62"/>
      <c r="AX57" s="62">
        <v>3</v>
      </c>
      <c r="AY57" s="62">
        <v>3</v>
      </c>
      <c r="AZ57" s="62">
        <v>1</v>
      </c>
      <c r="BA57" s="72">
        <f t="shared" si="7"/>
        <v>2.3333333333333335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72">
        <f t="shared" si="1"/>
        <v>0</v>
      </c>
      <c r="R58" s="62">
        <v>0</v>
      </c>
      <c r="S58" s="62">
        <v>0</v>
      </c>
      <c r="T58" s="7"/>
      <c r="U58" s="62">
        <v>0</v>
      </c>
      <c r="V58" s="7"/>
      <c r="W58" s="72">
        <f t="shared" si="2"/>
        <v>0</v>
      </c>
      <c r="X58" s="62">
        <v>0</v>
      </c>
      <c r="Y58" s="62">
        <v>0</v>
      </c>
      <c r="Z58" s="7"/>
      <c r="AA58" s="7"/>
      <c r="AB58" s="7"/>
      <c r="AC58" s="72">
        <f t="shared" si="3"/>
        <v>0</v>
      </c>
      <c r="AD58" s="62">
        <v>0</v>
      </c>
      <c r="AE58" s="7"/>
      <c r="AF58" s="62">
        <v>0</v>
      </c>
      <c r="AG58" s="7"/>
      <c r="AH58" s="7"/>
      <c r="AI58" s="72">
        <f t="shared" si="4"/>
        <v>0</v>
      </c>
      <c r="AJ58" s="7"/>
      <c r="AK58" s="7"/>
      <c r="AL58" s="7"/>
      <c r="AM58" s="7"/>
      <c r="AN58" s="7"/>
      <c r="AO58" s="72" t="str">
        <f t="shared" si="5"/>
        <v>A</v>
      </c>
      <c r="AP58" s="62">
        <v>0</v>
      </c>
      <c r="AQ58" s="62">
        <v>0</v>
      </c>
      <c r="AR58" s="62">
        <v>0</v>
      </c>
      <c r="AS58" s="7"/>
      <c r="AT58" s="7"/>
      <c r="AU58" s="72">
        <f t="shared" si="6"/>
        <v>0</v>
      </c>
      <c r="AV58" s="7"/>
      <c r="AW58" s="7"/>
      <c r="AX58" s="62">
        <v>0</v>
      </c>
      <c r="AY58" s="62">
        <v>0</v>
      </c>
      <c r="AZ58" s="62">
        <v>0</v>
      </c>
      <c r="BA58" s="72">
        <f t="shared" si="7"/>
        <v>0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2</v>
      </c>
      <c r="M59" s="62">
        <v>2</v>
      </c>
      <c r="N59" s="62">
        <v>2</v>
      </c>
      <c r="O59" s="62">
        <v>3</v>
      </c>
      <c r="P59" s="62">
        <v>2</v>
      </c>
      <c r="Q59" s="72">
        <f t="shared" si="1"/>
        <v>2.2000000000000002</v>
      </c>
      <c r="R59" s="62">
        <v>3</v>
      </c>
      <c r="S59" s="62">
        <v>3</v>
      </c>
      <c r="T59" s="62"/>
      <c r="U59" s="62">
        <v>3</v>
      </c>
      <c r="V59" s="62"/>
      <c r="W59" s="72">
        <f t="shared" si="2"/>
        <v>3</v>
      </c>
      <c r="X59" s="62">
        <v>3</v>
      </c>
      <c r="Y59" s="62">
        <v>3</v>
      </c>
      <c r="Z59" s="62"/>
      <c r="AA59" s="62"/>
      <c r="AB59" s="62"/>
      <c r="AC59" s="72">
        <f t="shared" si="3"/>
        <v>3</v>
      </c>
      <c r="AD59" s="62">
        <v>3</v>
      </c>
      <c r="AE59" s="62"/>
      <c r="AF59" s="62">
        <v>3</v>
      </c>
      <c r="AG59" s="62"/>
      <c r="AH59" s="62"/>
      <c r="AI59" s="72">
        <f t="shared" si="4"/>
        <v>3</v>
      </c>
      <c r="AJ59" s="62"/>
      <c r="AK59" s="62"/>
      <c r="AL59" s="62"/>
      <c r="AM59" s="62"/>
      <c r="AN59" s="62"/>
      <c r="AO59" s="72" t="str">
        <f t="shared" si="5"/>
        <v>A</v>
      </c>
      <c r="AP59" s="62">
        <v>3</v>
      </c>
      <c r="AQ59" s="62">
        <v>3</v>
      </c>
      <c r="AR59" s="62">
        <v>3</v>
      </c>
      <c r="AS59" s="62"/>
      <c r="AT59" s="62"/>
      <c r="AU59" s="72">
        <f t="shared" si="6"/>
        <v>3</v>
      </c>
      <c r="AV59" s="62"/>
      <c r="AW59" s="62"/>
      <c r="AX59" s="62">
        <v>3</v>
      </c>
      <c r="AY59" s="62">
        <v>3</v>
      </c>
      <c r="AZ59" s="62">
        <v>3</v>
      </c>
      <c r="BA59" s="72">
        <f t="shared" si="7"/>
        <v>3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3</v>
      </c>
      <c r="M60" s="62">
        <v>3</v>
      </c>
      <c r="N60" s="62">
        <v>2</v>
      </c>
      <c r="O60" s="62">
        <v>3</v>
      </c>
      <c r="P60" s="62">
        <v>2</v>
      </c>
      <c r="Q60" s="72">
        <f t="shared" si="1"/>
        <v>2.6</v>
      </c>
      <c r="R60" s="62">
        <v>2</v>
      </c>
      <c r="S60" s="62">
        <v>2</v>
      </c>
      <c r="T60" s="7"/>
      <c r="U60" s="62">
        <v>2</v>
      </c>
      <c r="V60" s="7"/>
      <c r="W60" s="72">
        <f t="shared" si="2"/>
        <v>2</v>
      </c>
      <c r="X60" s="62">
        <v>2</v>
      </c>
      <c r="Y60" s="62">
        <v>2</v>
      </c>
      <c r="Z60" s="7"/>
      <c r="AA60" s="7"/>
      <c r="AB60" s="7"/>
      <c r="AC60" s="72">
        <f t="shared" si="3"/>
        <v>2</v>
      </c>
      <c r="AD60" s="62">
        <v>3</v>
      </c>
      <c r="AE60" s="7"/>
      <c r="AF60" s="62">
        <v>3</v>
      </c>
      <c r="AG60" s="7"/>
      <c r="AH60" s="7"/>
      <c r="AI60" s="72">
        <f t="shared" si="4"/>
        <v>3</v>
      </c>
      <c r="AJ60" s="7"/>
      <c r="AK60" s="7"/>
      <c r="AL60" s="7"/>
      <c r="AM60" s="7"/>
      <c r="AN60" s="7"/>
      <c r="AO60" s="72" t="str">
        <f t="shared" si="5"/>
        <v>A</v>
      </c>
      <c r="AP60" s="62">
        <v>3</v>
      </c>
      <c r="AQ60" s="62">
        <v>3</v>
      </c>
      <c r="AR60" s="62">
        <v>3</v>
      </c>
      <c r="AS60" s="7"/>
      <c r="AT60" s="7"/>
      <c r="AU60" s="72">
        <f t="shared" si="6"/>
        <v>3</v>
      </c>
      <c r="AV60" s="7"/>
      <c r="AW60" s="7"/>
      <c r="AX60" s="62">
        <v>5</v>
      </c>
      <c r="AY60" s="62">
        <v>3</v>
      </c>
      <c r="AZ60" s="62">
        <v>3</v>
      </c>
      <c r="BA60" s="72">
        <f t="shared" si="7"/>
        <v>3.6666666666666665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>
        <v>3</v>
      </c>
      <c r="N61" s="62">
        <v>2</v>
      </c>
      <c r="O61" s="62">
        <v>3</v>
      </c>
      <c r="P61" s="62">
        <v>2</v>
      </c>
      <c r="Q61" s="72">
        <f t="shared" si="1"/>
        <v>2.6</v>
      </c>
      <c r="R61" s="62">
        <v>4</v>
      </c>
      <c r="S61" s="62">
        <v>4</v>
      </c>
      <c r="T61" s="62"/>
      <c r="U61" s="62">
        <v>4</v>
      </c>
      <c r="V61" s="62"/>
      <c r="W61" s="72">
        <f t="shared" si="2"/>
        <v>4</v>
      </c>
      <c r="X61" s="62">
        <v>3</v>
      </c>
      <c r="Y61" s="62">
        <v>3</v>
      </c>
      <c r="Z61" s="62"/>
      <c r="AA61" s="62"/>
      <c r="AB61" s="62"/>
      <c r="AC61" s="72">
        <f t="shared" si="3"/>
        <v>3</v>
      </c>
      <c r="AD61" s="62">
        <v>3</v>
      </c>
      <c r="AE61" s="62"/>
      <c r="AF61" s="62">
        <v>1</v>
      </c>
      <c r="AG61" s="62"/>
      <c r="AH61" s="62"/>
      <c r="AI61" s="72">
        <f t="shared" si="4"/>
        <v>2</v>
      </c>
      <c r="AJ61" s="62"/>
      <c r="AK61" s="62"/>
      <c r="AL61" s="62"/>
      <c r="AM61" s="62"/>
      <c r="AN61" s="62"/>
      <c r="AO61" s="72" t="str">
        <f t="shared" si="5"/>
        <v>A</v>
      </c>
      <c r="AP61" s="62">
        <v>1</v>
      </c>
      <c r="AQ61" s="62">
        <v>1</v>
      </c>
      <c r="AR61" s="62">
        <v>1</v>
      </c>
      <c r="AS61" s="62"/>
      <c r="AT61" s="62"/>
      <c r="AU61" s="72">
        <f t="shared" si="6"/>
        <v>1</v>
      </c>
      <c r="AV61" s="62"/>
      <c r="AW61" s="62"/>
      <c r="AX61" s="62">
        <v>2</v>
      </c>
      <c r="AY61" s="62">
        <v>4</v>
      </c>
      <c r="AZ61" s="62">
        <v>4</v>
      </c>
      <c r="BA61" s="72">
        <f t="shared" si="7"/>
        <v>3.3333333333333335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2</v>
      </c>
      <c r="M62" s="62">
        <v>2</v>
      </c>
      <c r="N62" s="62">
        <v>2</v>
      </c>
      <c r="O62" s="62">
        <v>3</v>
      </c>
      <c r="P62" s="62">
        <v>2</v>
      </c>
      <c r="Q62" s="72">
        <f t="shared" si="1"/>
        <v>2.2000000000000002</v>
      </c>
      <c r="R62" s="62">
        <v>1</v>
      </c>
      <c r="S62" s="62">
        <v>1</v>
      </c>
      <c r="T62" s="7"/>
      <c r="U62" s="62">
        <v>1</v>
      </c>
      <c r="V62" s="7"/>
      <c r="W62" s="72">
        <f t="shared" si="2"/>
        <v>1</v>
      </c>
      <c r="X62" s="62">
        <v>1</v>
      </c>
      <c r="Y62" s="62">
        <v>1</v>
      </c>
      <c r="Z62" s="7"/>
      <c r="AA62" s="7"/>
      <c r="AB62" s="7"/>
      <c r="AC62" s="72">
        <f t="shared" si="3"/>
        <v>1</v>
      </c>
      <c r="AD62" s="62">
        <v>1</v>
      </c>
      <c r="AE62" s="7"/>
      <c r="AF62" s="62">
        <v>1</v>
      </c>
      <c r="AG62" s="7"/>
      <c r="AH62" s="7"/>
      <c r="AI62" s="72">
        <f t="shared" si="4"/>
        <v>1</v>
      </c>
      <c r="AJ62" s="7"/>
      <c r="AK62" s="7"/>
      <c r="AL62" s="7"/>
      <c r="AM62" s="7"/>
      <c r="AN62" s="7"/>
      <c r="AO62" s="72" t="str">
        <f t="shared" si="5"/>
        <v>A</v>
      </c>
      <c r="AP62" s="62">
        <v>1</v>
      </c>
      <c r="AQ62" s="62">
        <v>1</v>
      </c>
      <c r="AR62" s="62">
        <v>1</v>
      </c>
      <c r="AS62" s="7"/>
      <c r="AT62" s="7"/>
      <c r="AU62" s="72">
        <f t="shared" si="6"/>
        <v>1</v>
      </c>
      <c r="AV62" s="7"/>
      <c r="AW62" s="7"/>
      <c r="AX62" s="62">
        <v>1</v>
      </c>
      <c r="AY62" s="62">
        <v>1</v>
      </c>
      <c r="AZ62" s="62">
        <v>1</v>
      </c>
      <c r="BA62" s="72">
        <f t="shared" si="7"/>
        <v>1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1</v>
      </c>
      <c r="M63" s="62">
        <v>2</v>
      </c>
      <c r="N63" s="62">
        <v>1</v>
      </c>
      <c r="O63" s="62">
        <v>3</v>
      </c>
      <c r="P63" s="62">
        <v>1</v>
      </c>
      <c r="Q63" s="72">
        <f t="shared" si="1"/>
        <v>1.6</v>
      </c>
      <c r="R63" s="62">
        <v>2</v>
      </c>
      <c r="S63" s="62">
        <v>1</v>
      </c>
      <c r="T63" s="62"/>
      <c r="U63" s="62">
        <v>1</v>
      </c>
      <c r="V63" s="62"/>
      <c r="W63" s="72">
        <f t="shared" si="2"/>
        <v>1.3333333333333333</v>
      </c>
      <c r="X63" s="62">
        <v>2</v>
      </c>
      <c r="Y63" s="62">
        <v>2</v>
      </c>
      <c r="Z63" s="62"/>
      <c r="AA63" s="62"/>
      <c r="AB63" s="62"/>
      <c r="AC63" s="72">
        <f t="shared" si="3"/>
        <v>2</v>
      </c>
      <c r="AD63" s="62">
        <v>2</v>
      </c>
      <c r="AE63" s="62"/>
      <c r="AF63" s="62">
        <v>4</v>
      </c>
      <c r="AG63" s="62"/>
      <c r="AH63" s="62"/>
      <c r="AI63" s="72">
        <f t="shared" si="4"/>
        <v>3</v>
      </c>
      <c r="AJ63" s="62"/>
      <c r="AK63" s="62"/>
      <c r="AL63" s="62"/>
      <c r="AM63" s="62"/>
      <c r="AN63" s="62"/>
      <c r="AO63" s="72" t="str">
        <f t="shared" si="5"/>
        <v>A</v>
      </c>
      <c r="AP63" s="62">
        <v>1</v>
      </c>
      <c r="AQ63" s="62">
        <v>1</v>
      </c>
      <c r="AR63" s="62">
        <v>1</v>
      </c>
      <c r="AS63" s="62"/>
      <c r="AT63" s="62"/>
      <c r="AU63" s="72">
        <f t="shared" si="6"/>
        <v>1</v>
      </c>
      <c r="AV63" s="62"/>
      <c r="AW63" s="62"/>
      <c r="AX63" s="62">
        <v>5</v>
      </c>
      <c r="AY63" s="62">
        <v>2</v>
      </c>
      <c r="AZ63" s="62">
        <v>3</v>
      </c>
      <c r="BA63" s="72">
        <f t="shared" si="7"/>
        <v>3.3333333333333335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>
        <v>3</v>
      </c>
      <c r="N64" s="62">
        <v>3</v>
      </c>
      <c r="O64" s="62">
        <v>3</v>
      </c>
      <c r="P64" s="62">
        <v>3</v>
      </c>
      <c r="Q64" s="72">
        <f t="shared" si="1"/>
        <v>3</v>
      </c>
      <c r="R64" s="62">
        <v>3</v>
      </c>
      <c r="S64" s="62">
        <v>3</v>
      </c>
      <c r="T64" s="7"/>
      <c r="U64" s="62">
        <v>3</v>
      </c>
      <c r="V64" s="7"/>
      <c r="W64" s="72">
        <f t="shared" si="2"/>
        <v>3</v>
      </c>
      <c r="X64" s="62">
        <v>3</v>
      </c>
      <c r="Y64" s="62">
        <v>3</v>
      </c>
      <c r="Z64" s="7"/>
      <c r="AA64" s="7"/>
      <c r="AB64" s="7"/>
      <c r="AC64" s="72">
        <f t="shared" si="3"/>
        <v>3</v>
      </c>
      <c r="AD64" s="62">
        <v>3</v>
      </c>
      <c r="AE64" s="7"/>
      <c r="AF64" s="62">
        <v>3</v>
      </c>
      <c r="AG64" s="7"/>
      <c r="AH64" s="7"/>
      <c r="AI64" s="72">
        <f t="shared" si="4"/>
        <v>3</v>
      </c>
      <c r="AJ64" s="7"/>
      <c r="AK64" s="7"/>
      <c r="AL64" s="7"/>
      <c r="AM64" s="7"/>
      <c r="AN64" s="7"/>
      <c r="AO64" s="72" t="str">
        <f t="shared" si="5"/>
        <v>A</v>
      </c>
      <c r="AP64" s="62">
        <v>3</v>
      </c>
      <c r="AQ64" s="62">
        <v>3</v>
      </c>
      <c r="AR64" s="62">
        <v>3</v>
      </c>
      <c r="AS64" s="7"/>
      <c r="AT64" s="7"/>
      <c r="AU64" s="72">
        <f t="shared" si="6"/>
        <v>3</v>
      </c>
      <c r="AV64" s="7"/>
      <c r="AW64" s="7"/>
      <c r="AX64" s="62">
        <v>3</v>
      </c>
      <c r="AY64" s="62">
        <v>3</v>
      </c>
      <c r="AZ64" s="62">
        <v>2</v>
      </c>
      <c r="BA64" s="72">
        <f t="shared" si="7"/>
        <v>2.6666666666666665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>
        <v>4</v>
      </c>
      <c r="N65" s="62">
        <v>3</v>
      </c>
      <c r="O65" s="62">
        <v>3</v>
      </c>
      <c r="P65" s="62">
        <v>3</v>
      </c>
      <c r="Q65" s="72">
        <f t="shared" si="1"/>
        <v>3.2</v>
      </c>
      <c r="R65" s="62">
        <v>3</v>
      </c>
      <c r="S65" s="62">
        <v>3</v>
      </c>
      <c r="T65" s="62"/>
      <c r="U65" s="62">
        <v>3</v>
      </c>
      <c r="V65" s="62"/>
      <c r="W65" s="72">
        <f t="shared" si="2"/>
        <v>3</v>
      </c>
      <c r="X65" s="62">
        <v>3</v>
      </c>
      <c r="Y65" s="62">
        <v>3</v>
      </c>
      <c r="Z65" s="62"/>
      <c r="AA65" s="62"/>
      <c r="AB65" s="62"/>
      <c r="AC65" s="72">
        <f t="shared" si="3"/>
        <v>3</v>
      </c>
      <c r="AD65" s="62">
        <v>2</v>
      </c>
      <c r="AE65" s="62"/>
      <c r="AF65" s="62">
        <v>3</v>
      </c>
      <c r="AG65" s="62"/>
      <c r="AH65" s="62"/>
      <c r="AI65" s="72">
        <f t="shared" si="4"/>
        <v>2.5</v>
      </c>
      <c r="AJ65" s="62"/>
      <c r="AK65" s="62"/>
      <c r="AL65" s="62"/>
      <c r="AM65" s="62"/>
      <c r="AN65" s="62"/>
      <c r="AO65" s="72" t="str">
        <f t="shared" si="5"/>
        <v>A</v>
      </c>
      <c r="AP65" s="62">
        <v>1</v>
      </c>
      <c r="AQ65" s="62">
        <v>1</v>
      </c>
      <c r="AR65" s="62">
        <v>1</v>
      </c>
      <c r="AS65" s="62"/>
      <c r="AT65" s="62"/>
      <c r="AU65" s="72">
        <f t="shared" si="6"/>
        <v>1</v>
      </c>
      <c r="AV65" s="62"/>
      <c r="AW65" s="62"/>
      <c r="AX65" s="62">
        <v>5</v>
      </c>
      <c r="AY65" s="62">
        <v>3</v>
      </c>
      <c r="AZ65" s="62">
        <v>3</v>
      </c>
      <c r="BA65" s="72">
        <f t="shared" si="7"/>
        <v>3.6666666666666665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3</v>
      </c>
      <c r="M66" s="62">
        <v>3</v>
      </c>
      <c r="N66" s="62">
        <v>2</v>
      </c>
      <c r="O66" s="62">
        <v>3</v>
      </c>
      <c r="P66" s="62">
        <v>3</v>
      </c>
      <c r="Q66" s="72">
        <f t="shared" si="1"/>
        <v>2.8</v>
      </c>
      <c r="R66" s="62">
        <v>2</v>
      </c>
      <c r="S66" s="62">
        <v>2</v>
      </c>
      <c r="T66" s="7"/>
      <c r="U66" s="62">
        <v>2</v>
      </c>
      <c r="V66" s="7"/>
      <c r="W66" s="72">
        <f t="shared" si="2"/>
        <v>2</v>
      </c>
      <c r="X66" s="62">
        <v>2</v>
      </c>
      <c r="Y66" s="62">
        <v>2</v>
      </c>
      <c r="Z66" s="7"/>
      <c r="AA66" s="7"/>
      <c r="AB66" s="7"/>
      <c r="AC66" s="72">
        <f t="shared" si="3"/>
        <v>2</v>
      </c>
      <c r="AD66" s="62">
        <v>3</v>
      </c>
      <c r="AE66" s="7"/>
      <c r="AF66" s="62">
        <v>3</v>
      </c>
      <c r="AG66" s="7"/>
      <c r="AH66" s="7"/>
      <c r="AI66" s="72">
        <f t="shared" si="4"/>
        <v>3</v>
      </c>
      <c r="AJ66" s="7"/>
      <c r="AK66" s="7"/>
      <c r="AL66" s="7"/>
      <c r="AM66" s="7"/>
      <c r="AN66" s="7"/>
      <c r="AO66" s="72" t="str">
        <f t="shared" si="5"/>
        <v>A</v>
      </c>
      <c r="AP66" s="62">
        <v>3</v>
      </c>
      <c r="AQ66" s="62">
        <v>3</v>
      </c>
      <c r="AR66" s="62">
        <v>3</v>
      </c>
      <c r="AS66" s="7"/>
      <c r="AT66" s="7"/>
      <c r="AU66" s="72">
        <f t="shared" si="6"/>
        <v>3</v>
      </c>
      <c r="AV66" s="7"/>
      <c r="AW66" s="7"/>
      <c r="AX66" s="62">
        <v>3</v>
      </c>
      <c r="AY66" s="62">
        <v>3</v>
      </c>
      <c r="AZ66" s="62">
        <v>3</v>
      </c>
      <c r="BA66" s="72">
        <f t="shared" si="7"/>
        <v>3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>
        <v>3</v>
      </c>
      <c r="N67" s="62">
        <v>3</v>
      </c>
      <c r="O67" s="62">
        <v>3</v>
      </c>
      <c r="P67" s="62">
        <v>3</v>
      </c>
      <c r="Q67" s="72">
        <f t="shared" si="1"/>
        <v>3</v>
      </c>
      <c r="R67" s="62">
        <v>1</v>
      </c>
      <c r="S67" s="62">
        <v>1</v>
      </c>
      <c r="T67" s="62"/>
      <c r="U67" s="62">
        <v>1</v>
      </c>
      <c r="V67" s="62"/>
      <c r="W67" s="72">
        <f t="shared" si="2"/>
        <v>1</v>
      </c>
      <c r="X67" s="62">
        <v>1</v>
      </c>
      <c r="Y67" s="62">
        <v>1</v>
      </c>
      <c r="Z67" s="62"/>
      <c r="AA67" s="62"/>
      <c r="AB67" s="62"/>
      <c r="AC67" s="72">
        <f t="shared" si="3"/>
        <v>1</v>
      </c>
      <c r="AD67" s="62">
        <v>1</v>
      </c>
      <c r="AE67" s="62"/>
      <c r="AF67" s="62">
        <v>1</v>
      </c>
      <c r="AG67" s="62"/>
      <c r="AH67" s="62"/>
      <c r="AI67" s="72">
        <f t="shared" si="4"/>
        <v>1</v>
      </c>
      <c r="AJ67" s="62"/>
      <c r="AK67" s="62"/>
      <c r="AL67" s="62"/>
      <c r="AM67" s="62"/>
      <c r="AN67" s="62"/>
      <c r="AO67" s="72" t="str">
        <f t="shared" si="5"/>
        <v>A</v>
      </c>
      <c r="AP67" s="62">
        <v>1</v>
      </c>
      <c r="AQ67" s="62">
        <v>1</v>
      </c>
      <c r="AR67" s="62">
        <v>1</v>
      </c>
      <c r="AS67" s="62"/>
      <c r="AT67" s="62"/>
      <c r="AU67" s="72">
        <f t="shared" si="6"/>
        <v>1</v>
      </c>
      <c r="AV67" s="62"/>
      <c r="AW67" s="62"/>
      <c r="AX67" s="62">
        <v>1</v>
      </c>
      <c r="AY67" s="62">
        <v>1</v>
      </c>
      <c r="AZ67" s="62">
        <v>1</v>
      </c>
      <c r="BA67" s="72">
        <f t="shared" si="7"/>
        <v>1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72">
        <f t="shared" ref="Q68:Q131" si="9">IFERROR(AVERAGE(M68,N68,L68,O68,P68),"A")</f>
        <v>0</v>
      </c>
      <c r="R68" s="62">
        <v>0</v>
      </c>
      <c r="S68" s="62">
        <v>0</v>
      </c>
      <c r="T68" s="7"/>
      <c r="U68" s="62">
        <v>0</v>
      </c>
      <c r="V68" s="7"/>
      <c r="W68" s="72">
        <f t="shared" ref="W68:W131" si="10">IFERROR(AVERAGE(R68,S68,U68),"A")</f>
        <v>0</v>
      </c>
      <c r="X68" s="62">
        <v>0</v>
      </c>
      <c r="Y68" s="62">
        <v>0</v>
      </c>
      <c r="Z68" s="7"/>
      <c r="AA68" s="7"/>
      <c r="AB68" s="7"/>
      <c r="AC68" s="72">
        <f t="shared" ref="AC68:AC131" si="11">IFERROR(AVERAGE(Y68,X68),"A")</f>
        <v>0</v>
      </c>
      <c r="AD68" s="62">
        <v>0</v>
      </c>
      <c r="AE68" s="7"/>
      <c r="AF68" s="62">
        <v>0</v>
      </c>
      <c r="AG68" s="7"/>
      <c r="AH68" s="7"/>
      <c r="AI68" s="72">
        <f t="shared" ref="AI68:AI131" si="12">IFERROR(AVERAGE(AF68,AD68),"A")</f>
        <v>0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62">
        <v>0</v>
      </c>
      <c r="AQ68" s="62">
        <v>0</v>
      </c>
      <c r="AR68" s="62">
        <v>0</v>
      </c>
      <c r="AS68" s="7"/>
      <c r="AT68" s="7"/>
      <c r="AU68" s="72">
        <f t="shared" ref="AU68:AU131" si="14">IFERROR(AVERAGE(AR68,AQ68,AP68),"A")</f>
        <v>0</v>
      </c>
      <c r="AV68" s="7"/>
      <c r="AW68" s="7"/>
      <c r="AX68" s="62">
        <v>0</v>
      </c>
      <c r="AY68" s="62">
        <v>0</v>
      </c>
      <c r="AZ68" s="62">
        <v>1</v>
      </c>
      <c r="BA68" s="72">
        <f t="shared" ref="BA68:BA131" si="15">IFERROR(AVERAGE(AX68,AY68,AZ68),"A")</f>
        <v>0.33333333333333331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1</v>
      </c>
      <c r="M69" s="62">
        <v>1</v>
      </c>
      <c r="N69" s="62">
        <v>2</v>
      </c>
      <c r="O69" s="62">
        <v>1</v>
      </c>
      <c r="P69" s="62">
        <v>1</v>
      </c>
      <c r="Q69" s="72">
        <f t="shared" si="9"/>
        <v>1.2</v>
      </c>
      <c r="R69" s="62">
        <v>1</v>
      </c>
      <c r="S69" s="62">
        <v>1</v>
      </c>
      <c r="T69" s="62"/>
      <c r="U69" s="62">
        <v>1</v>
      </c>
      <c r="V69" s="62"/>
      <c r="W69" s="72">
        <f t="shared" si="10"/>
        <v>1</v>
      </c>
      <c r="X69" s="62">
        <v>2</v>
      </c>
      <c r="Y69" s="62">
        <v>1</v>
      </c>
      <c r="Z69" s="62"/>
      <c r="AA69" s="62"/>
      <c r="AB69" s="62"/>
      <c r="AC69" s="72">
        <f t="shared" si="11"/>
        <v>1.5</v>
      </c>
      <c r="AD69" s="62">
        <v>1</v>
      </c>
      <c r="AE69" s="62"/>
      <c r="AF69" s="62">
        <v>2</v>
      </c>
      <c r="AG69" s="62"/>
      <c r="AH69" s="62"/>
      <c r="AI69" s="72">
        <f t="shared" si="12"/>
        <v>1.5</v>
      </c>
      <c r="AJ69" s="62"/>
      <c r="AK69" s="62"/>
      <c r="AL69" s="62"/>
      <c r="AM69" s="62"/>
      <c r="AN69" s="62"/>
      <c r="AO69" s="72" t="str">
        <f t="shared" si="13"/>
        <v>A</v>
      </c>
      <c r="AP69" s="62">
        <v>1</v>
      </c>
      <c r="AQ69" s="62">
        <v>2</v>
      </c>
      <c r="AR69" s="62">
        <v>1</v>
      </c>
      <c r="AS69" s="62"/>
      <c r="AT69" s="62"/>
      <c r="AU69" s="72">
        <f t="shared" si="14"/>
        <v>1.3333333333333333</v>
      </c>
      <c r="AV69" s="62"/>
      <c r="AW69" s="62"/>
      <c r="AX69" s="62">
        <v>1</v>
      </c>
      <c r="AY69" s="62">
        <v>2</v>
      </c>
      <c r="AZ69" s="62">
        <v>4</v>
      </c>
      <c r="BA69" s="72">
        <f t="shared" si="15"/>
        <v>2.3333333333333335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2</v>
      </c>
      <c r="M70" s="62">
        <v>2</v>
      </c>
      <c r="N70" s="62">
        <v>2</v>
      </c>
      <c r="O70" s="62">
        <v>2</v>
      </c>
      <c r="P70" s="62">
        <v>2</v>
      </c>
      <c r="Q70" s="72">
        <f t="shared" si="9"/>
        <v>2</v>
      </c>
      <c r="R70" s="62">
        <v>2</v>
      </c>
      <c r="S70" s="62">
        <v>2</v>
      </c>
      <c r="T70" s="7"/>
      <c r="U70" s="62">
        <v>2</v>
      </c>
      <c r="V70" s="7"/>
      <c r="W70" s="72">
        <f t="shared" si="10"/>
        <v>2</v>
      </c>
      <c r="X70" s="62">
        <v>2</v>
      </c>
      <c r="Y70" s="62">
        <v>2</v>
      </c>
      <c r="Z70" s="7"/>
      <c r="AA70" s="7"/>
      <c r="AB70" s="7"/>
      <c r="AC70" s="72">
        <f t="shared" si="11"/>
        <v>2</v>
      </c>
      <c r="AD70" s="62">
        <v>2</v>
      </c>
      <c r="AE70" s="7"/>
      <c r="AF70" s="62">
        <v>2</v>
      </c>
      <c r="AG70" s="7"/>
      <c r="AH70" s="7"/>
      <c r="AI70" s="72">
        <f t="shared" si="12"/>
        <v>2</v>
      </c>
      <c r="AJ70" s="7"/>
      <c r="AK70" s="7"/>
      <c r="AL70" s="7"/>
      <c r="AM70" s="7"/>
      <c r="AN70" s="7"/>
      <c r="AO70" s="72" t="str">
        <f t="shared" si="13"/>
        <v>A</v>
      </c>
      <c r="AP70" s="62">
        <v>2</v>
      </c>
      <c r="AQ70" s="62">
        <v>2</v>
      </c>
      <c r="AR70" s="62">
        <v>2</v>
      </c>
      <c r="AS70" s="7"/>
      <c r="AT70" s="7"/>
      <c r="AU70" s="72">
        <f t="shared" si="14"/>
        <v>2</v>
      </c>
      <c r="AV70" s="7"/>
      <c r="AW70" s="7"/>
      <c r="AX70" s="62">
        <v>2</v>
      </c>
      <c r="AY70" s="62">
        <v>2</v>
      </c>
      <c r="AZ70" s="62">
        <v>1</v>
      </c>
      <c r="BA70" s="72">
        <f t="shared" si="15"/>
        <v>1.6666666666666667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72">
        <f t="shared" si="9"/>
        <v>0</v>
      </c>
      <c r="R71" s="62">
        <v>0</v>
      </c>
      <c r="S71" s="62">
        <v>0</v>
      </c>
      <c r="T71" s="62"/>
      <c r="U71" s="62">
        <v>0</v>
      </c>
      <c r="V71" s="62"/>
      <c r="W71" s="72">
        <f t="shared" si="10"/>
        <v>0</v>
      </c>
      <c r="X71" s="62">
        <v>0</v>
      </c>
      <c r="Y71" s="62">
        <v>0</v>
      </c>
      <c r="Z71" s="62"/>
      <c r="AA71" s="62"/>
      <c r="AB71" s="62"/>
      <c r="AC71" s="72">
        <f t="shared" si="11"/>
        <v>0</v>
      </c>
      <c r="AD71" s="62">
        <v>0</v>
      </c>
      <c r="AE71" s="62"/>
      <c r="AF71" s="62">
        <v>0</v>
      </c>
      <c r="AG71" s="62"/>
      <c r="AH71" s="62"/>
      <c r="AI71" s="72">
        <f t="shared" si="12"/>
        <v>0</v>
      </c>
      <c r="AJ71" s="62"/>
      <c r="AK71" s="62"/>
      <c r="AL71" s="62"/>
      <c r="AM71" s="62"/>
      <c r="AN71" s="62"/>
      <c r="AO71" s="72" t="str">
        <f t="shared" si="13"/>
        <v>A</v>
      </c>
      <c r="AP71" s="62">
        <v>0</v>
      </c>
      <c r="AQ71" s="62">
        <v>0</v>
      </c>
      <c r="AR71" s="62">
        <v>0</v>
      </c>
      <c r="AS71" s="62"/>
      <c r="AT71" s="62"/>
      <c r="AU71" s="72">
        <f t="shared" si="14"/>
        <v>0</v>
      </c>
      <c r="AV71" s="62"/>
      <c r="AW71" s="62"/>
      <c r="AX71" s="62">
        <v>0</v>
      </c>
      <c r="AY71" s="62">
        <v>0</v>
      </c>
      <c r="AZ71" s="62">
        <v>0</v>
      </c>
      <c r="BA71" s="72">
        <f t="shared" si="15"/>
        <v>0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3</v>
      </c>
      <c r="M72" s="62">
        <v>2</v>
      </c>
      <c r="N72" s="62">
        <v>2</v>
      </c>
      <c r="O72" s="62">
        <v>3</v>
      </c>
      <c r="P72" s="62">
        <v>3</v>
      </c>
      <c r="Q72" s="72">
        <f t="shared" si="9"/>
        <v>2.6</v>
      </c>
      <c r="R72" s="62">
        <v>3</v>
      </c>
      <c r="S72" s="62">
        <v>3</v>
      </c>
      <c r="T72" s="7"/>
      <c r="U72" s="62">
        <v>3</v>
      </c>
      <c r="V72" s="7"/>
      <c r="W72" s="72">
        <f t="shared" si="10"/>
        <v>3</v>
      </c>
      <c r="X72" s="62">
        <v>3</v>
      </c>
      <c r="Y72" s="62">
        <v>3</v>
      </c>
      <c r="Z72" s="7"/>
      <c r="AA72" s="7"/>
      <c r="AB72" s="7"/>
      <c r="AC72" s="72">
        <f t="shared" si="11"/>
        <v>3</v>
      </c>
      <c r="AD72" s="62">
        <v>3</v>
      </c>
      <c r="AE72" s="7"/>
      <c r="AF72" s="62">
        <v>3</v>
      </c>
      <c r="AG72" s="7"/>
      <c r="AH72" s="7"/>
      <c r="AI72" s="72">
        <f t="shared" si="12"/>
        <v>3</v>
      </c>
      <c r="AJ72" s="7"/>
      <c r="AK72" s="7"/>
      <c r="AL72" s="7"/>
      <c r="AM72" s="7"/>
      <c r="AN72" s="7"/>
      <c r="AO72" s="72" t="str">
        <f t="shared" si="13"/>
        <v>A</v>
      </c>
      <c r="AP72" s="62">
        <v>3</v>
      </c>
      <c r="AQ72" s="62">
        <v>3</v>
      </c>
      <c r="AR72" s="62">
        <v>3</v>
      </c>
      <c r="AS72" s="7"/>
      <c r="AT72" s="7"/>
      <c r="AU72" s="72">
        <f t="shared" si="14"/>
        <v>3</v>
      </c>
      <c r="AV72" s="7"/>
      <c r="AW72" s="7"/>
      <c r="AX72" s="62">
        <v>3</v>
      </c>
      <c r="AY72" s="62">
        <v>3</v>
      </c>
      <c r="AZ72" s="62">
        <v>3</v>
      </c>
      <c r="BA72" s="72">
        <f t="shared" si="15"/>
        <v>3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2</v>
      </c>
      <c r="M73" s="62">
        <v>3</v>
      </c>
      <c r="N73" s="62">
        <v>2</v>
      </c>
      <c r="O73" s="62">
        <v>4</v>
      </c>
      <c r="P73" s="62">
        <v>3</v>
      </c>
      <c r="Q73" s="72">
        <f t="shared" si="9"/>
        <v>2.8</v>
      </c>
      <c r="R73" s="62">
        <v>3</v>
      </c>
      <c r="S73" s="62">
        <v>3</v>
      </c>
      <c r="T73" s="62"/>
      <c r="U73" s="62">
        <v>3</v>
      </c>
      <c r="V73" s="62"/>
      <c r="W73" s="72">
        <f t="shared" si="10"/>
        <v>3</v>
      </c>
      <c r="X73" s="62">
        <v>3</v>
      </c>
      <c r="Y73" s="62">
        <v>3</v>
      </c>
      <c r="Z73" s="62"/>
      <c r="AA73" s="62"/>
      <c r="AB73" s="62"/>
      <c r="AC73" s="72">
        <f t="shared" si="11"/>
        <v>3</v>
      </c>
      <c r="AD73" s="62">
        <v>3</v>
      </c>
      <c r="AE73" s="62"/>
      <c r="AF73" s="62">
        <v>3</v>
      </c>
      <c r="AG73" s="62"/>
      <c r="AH73" s="62"/>
      <c r="AI73" s="72">
        <f t="shared" si="12"/>
        <v>3</v>
      </c>
      <c r="AJ73" s="62"/>
      <c r="AK73" s="62"/>
      <c r="AL73" s="62"/>
      <c r="AM73" s="62"/>
      <c r="AN73" s="62"/>
      <c r="AO73" s="72" t="str">
        <f t="shared" si="13"/>
        <v>A</v>
      </c>
      <c r="AP73" s="62">
        <v>1</v>
      </c>
      <c r="AQ73" s="62">
        <v>1</v>
      </c>
      <c r="AR73" s="62">
        <v>1</v>
      </c>
      <c r="AS73" s="62"/>
      <c r="AT73" s="62"/>
      <c r="AU73" s="72">
        <f t="shared" si="14"/>
        <v>1</v>
      </c>
      <c r="AV73" s="62"/>
      <c r="AW73" s="62"/>
      <c r="AX73" s="62">
        <v>5</v>
      </c>
      <c r="AY73" s="62">
        <v>3</v>
      </c>
      <c r="AZ73" s="62">
        <v>4</v>
      </c>
      <c r="BA73" s="72">
        <f t="shared" si="15"/>
        <v>4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1</v>
      </c>
      <c r="M74" s="62">
        <v>2</v>
      </c>
      <c r="N74" s="62">
        <v>2</v>
      </c>
      <c r="O74" s="62">
        <v>1</v>
      </c>
      <c r="P74" s="62">
        <v>1</v>
      </c>
      <c r="Q74" s="72">
        <f t="shared" si="9"/>
        <v>1.4</v>
      </c>
      <c r="R74" s="62">
        <v>1</v>
      </c>
      <c r="S74" s="62">
        <v>2</v>
      </c>
      <c r="T74" s="7"/>
      <c r="U74" s="62">
        <v>1</v>
      </c>
      <c r="V74" s="7"/>
      <c r="W74" s="72">
        <f t="shared" si="10"/>
        <v>1.3333333333333333</v>
      </c>
      <c r="X74" s="62">
        <v>2</v>
      </c>
      <c r="Y74" s="62">
        <v>1</v>
      </c>
      <c r="Z74" s="7"/>
      <c r="AA74" s="7"/>
      <c r="AB74" s="7"/>
      <c r="AC74" s="72">
        <f t="shared" si="11"/>
        <v>1.5</v>
      </c>
      <c r="AD74" s="62">
        <v>1</v>
      </c>
      <c r="AE74" s="7"/>
      <c r="AF74" s="62">
        <v>2</v>
      </c>
      <c r="AG74" s="7"/>
      <c r="AH74" s="7"/>
      <c r="AI74" s="72">
        <f t="shared" si="12"/>
        <v>1.5</v>
      </c>
      <c r="AJ74" s="7"/>
      <c r="AK74" s="7"/>
      <c r="AL74" s="7"/>
      <c r="AM74" s="7"/>
      <c r="AN74" s="7"/>
      <c r="AO74" s="72" t="str">
        <f t="shared" si="13"/>
        <v>A</v>
      </c>
      <c r="AP74" s="62">
        <v>2</v>
      </c>
      <c r="AQ74" s="62">
        <v>2</v>
      </c>
      <c r="AR74" s="62">
        <v>1</v>
      </c>
      <c r="AS74" s="7"/>
      <c r="AT74" s="7"/>
      <c r="AU74" s="72">
        <f t="shared" si="14"/>
        <v>1.6666666666666667</v>
      </c>
      <c r="AV74" s="7"/>
      <c r="AW74" s="7"/>
      <c r="AX74" s="62">
        <v>2</v>
      </c>
      <c r="AY74" s="62">
        <v>2</v>
      </c>
      <c r="AZ74" s="62">
        <v>1</v>
      </c>
      <c r="BA74" s="72">
        <f t="shared" si="15"/>
        <v>1.6666666666666667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3</v>
      </c>
      <c r="M75" s="62">
        <v>2</v>
      </c>
      <c r="N75" s="62">
        <v>3</v>
      </c>
      <c r="O75" s="62">
        <v>3</v>
      </c>
      <c r="P75" s="62">
        <v>3</v>
      </c>
      <c r="Q75" s="72">
        <f t="shared" si="9"/>
        <v>2.8</v>
      </c>
      <c r="R75" s="62">
        <v>3</v>
      </c>
      <c r="S75" s="62">
        <v>2</v>
      </c>
      <c r="T75" s="62"/>
      <c r="U75" s="62">
        <v>3</v>
      </c>
      <c r="V75" s="62"/>
      <c r="W75" s="72">
        <f t="shared" si="10"/>
        <v>2.6666666666666665</v>
      </c>
      <c r="X75" s="62">
        <v>3</v>
      </c>
      <c r="Y75" s="62">
        <v>3</v>
      </c>
      <c r="Z75" s="62"/>
      <c r="AA75" s="62"/>
      <c r="AB75" s="62"/>
      <c r="AC75" s="72">
        <f t="shared" si="11"/>
        <v>3</v>
      </c>
      <c r="AD75" s="62">
        <v>3</v>
      </c>
      <c r="AE75" s="62"/>
      <c r="AF75" s="62">
        <v>3</v>
      </c>
      <c r="AG75" s="62"/>
      <c r="AH75" s="62"/>
      <c r="AI75" s="72">
        <f t="shared" si="12"/>
        <v>3</v>
      </c>
      <c r="AJ75" s="62"/>
      <c r="AK75" s="62"/>
      <c r="AL75" s="62"/>
      <c r="AM75" s="62"/>
      <c r="AN75" s="62"/>
      <c r="AO75" s="72" t="str">
        <f t="shared" si="13"/>
        <v>A</v>
      </c>
      <c r="AP75" s="62">
        <v>2</v>
      </c>
      <c r="AQ75" s="62">
        <v>3</v>
      </c>
      <c r="AR75" s="62">
        <v>3</v>
      </c>
      <c r="AS75" s="62"/>
      <c r="AT75" s="62"/>
      <c r="AU75" s="72">
        <f t="shared" si="14"/>
        <v>2.6666666666666665</v>
      </c>
      <c r="AV75" s="62"/>
      <c r="AW75" s="62"/>
      <c r="AX75" s="62">
        <v>2</v>
      </c>
      <c r="AY75" s="62">
        <v>3</v>
      </c>
      <c r="AZ75" s="62">
        <v>1</v>
      </c>
      <c r="BA75" s="72">
        <f t="shared" si="15"/>
        <v>2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3</v>
      </c>
      <c r="M76" s="62">
        <v>2</v>
      </c>
      <c r="N76" s="62">
        <v>2</v>
      </c>
      <c r="O76" s="62">
        <v>3</v>
      </c>
      <c r="P76" s="62">
        <v>3</v>
      </c>
      <c r="Q76" s="72">
        <f t="shared" si="9"/>
        <v>2.6</v>
      </c>
      <c r="R76" s="62">
        <v>3</v>
      </c>
      <c r="S76" s="62">
        <v>3</v>
      </c>
      <c r="T76" s="7"/>
      <c r="U76" s="62">
        <v>3</v>
      </c>
      <c r="V76" s="7"/>
      <c r="W76" s="72">
        <f t="shared" si="10"/>
        <v>3</v>
      </c>
      <c r="X76" s="62">
        <v>3</v>
      </c>
      <c r="Y76" s="62">
        <v>3</v>
      </c>
      <c r="Z76" s="7"/>
      <c r="AA76" s="7"/>
      <c r="AB76" s="7"/>
      <c r="AC76" s="72">
        <f t="shared" si="11"/>
        <v>3</v>
      </c>
      <c r="AD76" s="62">
        <v>3</v>
      </c>
      <c r="AE76" s="7"/>
      <c r="AF76" s="62">
        <v>3</v>
      </c>
      <c r="AG76" s="7"/>
      <c r="AH76" s="7"/>
      <c r="AI76" s="72">
        <f t="shared" si="12"/>
        <v>3</v>
      </c>
      <c r="AJ76" s="7"/>
      <c r="AK76" s="7"/>
      <c r="AL76" s="7"/>
      <c r="AM76" s="7"/>
      <c r="AN76" s="7"/>
      <c r="AO76" s="72" t="str">
        <f t="shared" si="13"/>
        <v>A</v>
      </c>
      <c r="AP76" s="62">
        <v>3</v>
      </c>
      <c r="AQ76" s="62">
        <v>3</v>
      </c>
      <c r="AR76" s="62">
        <v>3</v>
      </c>
      <c r="AS76" s="7"/>
      <c r="AT76" s="7"/>
      <c r="AU76" s="72">
        <f t="shared" si="14"/>
        <v>3</v>
      </c>
      <c r="AV76" s="7"/>
      <c r="AW76" s="7"/>
      <c r="AX76" s="62">
        <v>3</v>
      </c>
      <c r="AY76" s="62">
        <v>3</v>
      </c>
      <c r="AZ76" s="62">
        <v>3</v>
      </c>
      <c r="BA76" s="72">
        <f t="shared" si="15"/>
        <v>3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3</v>
      </c>
      <c r="M77" s="62">
        <v>3</v>
      </c>
      <c r="N77" s="62">
        <v>3</v>
      </c>
      <c r="O77" s="62">
        <v>3</v>
      </c>
      <c r="P77" s="62">
        <v>3</v>
      </c>
      <c r="Q77" s="72">
        <f t="shared" si="9"/>
        <v>3</v>
      </c>
      <c r="R77" s="62">
        <v>2</v>
      </c>
      <c r="S77" s="62">
        <v>2</v>
      </c>
      <c r="T77" s="62"/>
      <c r="U77" s="62">
        <v>2</v>
      </c>
      <c r="V77" s="62"/>
      <c r="W77" s="72">
        <f t="shared" si="10"/>
        <v>2</v>
      </c>
      <c r="X77" s="62">
        <v>2</v>
      </c>
      <c r="Y77" s="62">
        <v>2</v>
      </c>
      <c r="Z77" s="62"/>
      <c r="AA77" s="62"/>
      <c r="AB77" s="62"/>
      <c r="AC77" s="72">
        <f t="shared" si="11"/>
        <v>2</v>
      </c>
      <c r="AD77" s="62">
        <v>3</v>
      </c>
      <c r="AE77" s="62"/>
      <c r="AF77" s="62">
        <v>3</v>
      </c>
      <c r="AG77" s="62"/>
      <c r="AH77" s="62"/>
      <c r="AI77" s="72">
        <f t="shared" si="12"/>
        <v>3</v>
      </c>
      <c r="AJ77" s="62"/>
      <c r="AK77" s="62"/>
      <c r="AL77" s="62"/>
      <c r="AM77" s="62"/>
      <c r="AN77" s="62"/>
      <c r="AO77" s="72" t="str">
        <f t="shared" si="13"/>
        <v>A</v>
      </c>
      <c r="AP77" s="62">
        <v>3</v>
      </c>
      <c r="AQ77" s="62">
        <v>3</v>
      </c>
      <c r="AR77" s="62">
        <v>3</v>
      </c>
      <c r="AS77" s="62"/>
      <c r="AT77" s="62"/>
      <c r="AU77" s="72">
        <f t="shared" si="14"/>
        <v>3</v>
      </c>
      <c r="AV77" s="62"/>
      <c r="AW77" s="62"/>
      <c r="AX77" s="62">
        <v>3</v>
      </c>
      <c r="AY77" s="62">
        <v>3</v>
      </c>
      <c r="AZ77" s="62">
        <v>3</v>
      </c>
      <c r="BA77" s="72">
        <f t="shared" si="15"/>
        <v>3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>
        <v>3</v>
      </c>
      <c r="N78" s="62">
        <v>3</v>
      </c>
      <c r="O78" s="62">
        <v>3</v>
      </c>
      <c r="P78" s="62">
        <v>3</v>
      </c>
      <c r="Q78" s="72">
        <f t="shared" si="9"/>
        <v>2.8</v>
      </c>
      <c r="R78" s="62">
        <v>3</v>
      </c>
      <c r="S78" s="62">
        <v>3</v>
      </c>
      <c r="T78" s="7"/>
      <c r="U78" s="62">
        <v>3</v>
      </c>
      <c r="V78" s="7"/>
      <c r="W78" s="72">
        <f t="shared" si="10"/>
        <v>3</v>
      </c>
      <c r="X78" s="62">
        <v>3</v>
      </c>
      <c r="Y78" s="62">
        <v>3</v>
      </c>
      <c r="Z78" s="7"/>
      <c r="AA78" s="7"/>
      <c r="AB78" s="7"/>
      <c r="AC78" s="72">
        <f t="shared" si="11"/>
        <v>3</v>
      </c>
      <c r="AD78" s="62">
        <v>3</v>
      </c>
      <c r="AE78" s="7"/>
      <c r="AF78" s="62">
        <v>3</v>
      </c>
      <c r="AG78" s="7"/>
      <c r="AH78" s="7"/>
      <c r="AI78" s="72">
        <f t="shared" si="12"/>
        <v>3</v>
      </c>
      <c r="AJ78" s="7"/>
      <c r="AK78" s="7"/>
      <c r="AL78" s="7"/>
      <c r="AM78" s="7"/>
      <c r="AN78" s="7"/>
      <c r="AO78" s="72" t="str">
        <f t="shared" si="13"/>
        <v>A</v>
      </c>
      <c r="AP78" s="62">
        <v>3</v>
      </c>
      <c r="AQ78" s="62">
        <v>3</v>
      </c>
      <c r="AR78" s="62">
        <v>3</v>
      </c>
      <c r="AS78" s="7"/>
      <c r="AT78" s="7"/>
      <c r="AU78" s="72">
        <f t="shared" si="14"/>
        <v>3</v>
      </c>
      <c r="AV78" s="7"/>
      <c r="AW78" s="7"/>
      <c r="AX78" s="62">
        <v>3</v>
      </c>
      <c r="AY78" s="62">
        <v>3</v>
      </c>
      <c r="AZ78" s="62">
        <v>3</v>
      </c>
      <c r="BA78" s="72">
        <f t="shared" si="15"/>
        <v>3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2</v>
      </c>
      <c r="M79" s="62">
        <v>2</v>
      </c>
      <c r="N79" s="62">
        <v>3</v>
      </c>
      <c r="O79" s="62">
        <v>3</v>
      </c>
      <c r="P79" s="62">
        <v>2</v>
      </c>
      <c r="Q79" s="72">
        <f t="shared" si="9"/>
        <v>2.4</v>
      </c>
      <c r="R79" s="62">
        <v>3</v>
      </c>
      <c r="S79" s="62">
        <v>3</v>
      </c>
      <c r="T79" s="62"/>
      <c r="U79" s="62">
        <v>3</v>
      </c>
      <c r="V79" s="62"/>
      <c r="W79" s="72">
        <f t="shared" si="10"/>
        <v>3</v>
      </c>
      <c r="X79" s="62">
        <v>3</v>
      </c>
      <c r="Y79" s="62">
        <v>3</v>
      </c>
      <c r="Z79" s="62"/>
      <c r="AA79" s="62"/>
      <c r="AB79" s="62"/>
      <c r="AC79" s="72">
        <f t="shared" si="11"/>
        <v>3</v>
      </c>
      <c r="AD79" s="62">
        <v>3</v>
      </c>
      <c r="AE79" s="62"/>
      <c r="AF79" s="62">
        <v>3</v>
      </c>
      <c r="AG79" s="62"/>
      <c r="AH79" s="62"/>
      <c r="AI79" s="72">
        <f t="shared" si="12"/>
        <v>3</v>
      </c>
      <c r="AJ79" s="62"/>
      <c r="AK79" s="62"/>
      <c r="AL79" s="62"/>
      <c r="AM79" s="62"/>
      <c r="AN79" s="62"/>
      <c r="AO79" s="72" t="str">
        <f t="shared" si="13"/>
        <v>A</v>
      </c>
      <c r="AP79" s="62">
        <v>3</v>
      </c>
      <c r="AQ79" s="62">
        <v>3</v>
      </c>
      <c r="AR79" s="62">
        <v>3</v>
      </c>
      <c r="AS79" s="62"/>
      <c r="AT79" s="62"/>
      <c r="AU79" s="72">
        <f t="shared" si="14"/>
        <v>3</v>
      </c>
      <c r="AV79" s="62"/>
      <c r="AW79" s="62"/>
      <c r="AX79" s="62">
        <v>3</v>
      </c>
      <c r="AY79" s="62">
        <v>3</v>
      </c>
      <c r="AZ79" s="62">
        <v>3</v>
      </c>
      <c r="BA79" s="72">
        <f t="shared" si="15"/>
        <v>3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3</v>
      </c>
      <c r="M80" s="62">
        <v>3</v>
      </c>
      <c r="N80" s="62">
        <v>3</v>
      </c>
      <c r="O80" s="62">
        <v>3</v>
      </c>
      <c r="P80" s="62">
        <v>3</v>
      </c>
      <c r="Q80" s="72">
        <f t="shared" si="9"/>
        <v>3</v>
      </c>
      <c r="R80" s="62">
        <v>2</v>
      </c>
      <c r="S80" s="62">
        <v>2</v>
      </c>
      <c r="T80" s="7"/>
      <c r="U80" s="62">
        <v>2</v>
      </c>
      <c r="V80" s="7"/>
      <c r="W80" s="72">
        <f t="shared" si="10"/>
        <v>2</v>
      </c>
      <c r="X80" s="62">
        <v>2</v>
      </c>
      <c r="Y80" s="62">
        <v>2</v>
      </c>
      <c r="Z80" s="7"/>
      <c r="AA80" s="7"/>
      <c r="AB80" s="7"/>
      <c r="AC80" s="72">
        <f t="shared" si="11"/>
        <v>2</v>
      </c>
      <c r="AD80" s="62">
        <v>2</v>
      </c>
      <c r="AE80" s="7"/>
      <c r="AF80" s="62">
        <v>2</v>
      </c>
      <c r="AG80" s="7"/>
      <c r="AH80" s="7"/>
      <c r="AI80" s="72">
        <f t="shared" si="12"/>
        <v>2</v>
      </c>
      <c r="AJ80" s="7"/>
      <c r="AK80" s="7"/>
      <c r="AL80" s="7"/>
      <c r="AM80" s="7"/>
      <c r="AN80" s="7"/>
      <c r="AO80" s="72" t="str">
        <f t="shared" si="13"/>
        <v>A</v>
      </c>
      <c r="AP80" s="62">
        <v>3</v>
      </c>
      <c r="AQ80" s="62">
        <v>3</v>
      </c>
      <c r="AR80" s="62">
        <v>3</v>
      </c>
      <c r="AS80" s="7"/>
      <c r="AT80" s="7"/>
      <c r="AU80" s="72">
        <f t="shared" si="14"/>
        <v>3</v>
      </c>
      <c r="AV80" s="7"/>
      <c r="AW80" s="7"/>
      <c r="AX80" s="62">
        <v>5</v>
      </c>
      <c r="AY80" s="62">
        <v>3</v>
      </c>
      <c r="AZ80" s="62">
        <v>2</v>
      </c>
      <c r="BA80" s="72">
        <f t="shared" si="15"/>
        <v>3.3333333333333335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2</v>
      </c>
      <c r="M81" s="62">
        <v>3</v>
      </c>
      <c r="N81" s="62">
        <v>2</v>
      </c>
      <c r="O81" s="62">
        <v>2</v>
      </c>
      <c r="P81" s="62">
        <v>2</v>
      </c>
      <c r="Q81" s="72">
        <f t="shared" si="9"/>
        <v>2.2000000000000002</v>
      </c>
      <c r="R81" s="62">
        <v>2</v>
      </c>
      <c r="S81" s="62">
        <v>3</v>
      </c>
      <c r="T81" s="62"/>
      <c r="U81" s="62">
        <v>2</v>
      </c>
      <c r="V81" s="62"/>
      <c r="W81" s="72">
        <f t="shared" si="10"/>
        <v>2.3333333333333335</v>
      </c>
      <c r="X81" s="62">
        <v>2</v>
      </c>
      <c r="Y81" s="62">
        <v>2</v>
      </c>
      <c r="Z81" s="62"/>
      <c r="AA81" s="62"/>
      <c r="AB81" s="62"/>
      <c r="AC81" s="72">
        <f t="shared" si="11"/>
        <v>2</v>
      </c>
      <c r="AD81" s="62">
        <v>2</v>
      </c>
      <c r="AE81" s="62"/>
      <c r="AF81" s="62">
        <v>2</v>
      </c>
      <c r="AG81" s="62"/>
      <c r="AH81" s="62"/>
      <c r="AI81" s="72">
        <f t="shared" si="12"/>
        <v>2</v>
      </c>
      <c r="AJ81" s="62"/>
      <c r="AK81" s="62"/>
      <c r="AL81" s="62"/>
      <c r="AM81" s="62"/>
      <c r="AN81" s="62"/>
      <c r="AO81" s="72" t="str">
        <f t="shared" si="13"/>
        <v>A</v>
      </c>
      <c r="AP81" s="62">
        <v>3</v>
      </c>
      <c r="AQ81" s="62">
        <v>2</v>
      </c>
      <c r="AR81" s="62">
        <v>2</v>
      </c>
      <c r="AS81" s="62"/>
      <c r="AT81" s="62"/>
      <c r="AU81" s="72">
        <f t="shared" si="14"/>
        <v>2.3333333333333335</v>
      </c>
      <c r="AV81" s="62"/>
      <c r="AW81" s="62"/>
      <c r="AX81" s="62">
        <v>3</v>
      </c>
      <c r="AY81" s="62">
        <v>2</v>
      </c>
      <c r="AZ81" s="62">
        <v>3</v>
      </c>
      <c r="BA81" s="72">
        <f t="shared" si="15"/>
        <v>2.6666666666666665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3</v>
      </c>
      <c r="M82" s="62">
        <v>3</v>
      </c>
      <c r="N82" s="62">
        <v>3</v>
      </c>
      <c r="O82" s="62">
        <v>3</v>
      </c>
      <c r="P82" s="62">
        <v>3</v>
      </c>
      <c r="Q82" s="72">
        <f t="shared" si="9"/>
        <v>3</v>
      </c>
      <c r="R82" s="62">
        <v>3</v>
      </c>
      <c r="S82" s="62">
        <v>3</v>
      </c>
      <c r="T82" s="7"/>
      <c r="U82" s="62">
        <v>3</v>
      </c>
      <c r="V82" s="7"/>
      <c r="W82" s="72">
        <f t="shared" si="10"/>
        <v>3</v>
      </c>
      <c r="X82" s="62">
        <v>3</v>
      </c>
      <c r="Y82" s="62">
        <v>3</v>
      </c>
      <c r="Z82" s="7"/>
      <c r="AA82" s="7"/>
      <c r="AB82" s="7"/>
      <c r="AC82" s="72">
        <f t="shared" si="11"/>
        <v>3</v>
      </c>
      <c r="AD82" s="62">
        <v>3</v>
      </c>
      <c r="AE82" s="7"/>
      <c r="AF82" s="62">
        <v>3</v>
      </c>
      <c r="AG82" s="7"/>
      <c r="AH82" s="7"/>
      <c r="AI82" s="72">
        <f t="shared" si="12"/>
        <v>3</v>
      </c>
      <c r="AJ82" s="7"/>
      <c r="AK82" s="7"/>
      <c r="AL82" s="7"/>
      <c r="AM82" s="7"/>
      <c r="AN82" s="7"/>
      <c r="AO82" s="72" t="str">
        <f t="shared" si="13"/>
        <v>A</v>
      </c>
      <c r="AP82" s="62">
        <v>3</v>
      </c>
      <c r="AQ82" s="62">
        <v>3</v>
      </c>
      <c r="AR82" s="62">
        <v>3</v>
      </c>
      <c r="AS82" s="7"/>
      <c r="AT82" s="7"/>
      <c r="AU82" s="72">
        <f t="shared" si="14"/>
        <v>3</v>
      </c>
      <c r="AV82" s="7"/>
      <c r="AW82" s="7"/>
      <c r="AX82" s="62">
        <v>3</v>
      </c>
      <c r="AY82" s="62">
        <v>3</v>
      </c>
      <c r="AZ82" s="62">
        <v>3</v>
      </c>
      <c r="BA82" s="72">
        <f t="shared" si="15"/>
        <v>3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2</v>
      </c>
      <c r="M83" s="62">
        <v>2</v>
      </c>
      <c r="N83" s="62">
        <v>2</v>
      </c>
      <c r="O83" s="62">
        <v>3</v>
      </c>
      <c r="P83" s="62">
        <v>3</v>
      </c>
      <c r="Q83" s="72">
        <f t="shared" si="9"/>
        <v>2.4</v>
      </c>
      <c r="R83" s="62">
        <v>3</v>
      </c>
      <c r="S83" s="62">
        <v>3</v>
      </c>
      <c r="T83" s="62"/>
      <c r="U83" s="62">
        <v>3</v>
      </c>
      <c r="V83" s="62"/>
      <c r="W83" s="72">
        <f t="shared" si="10"/>
        <v>3</v>
      </c>
      <c r="X83" s="62">
        <v>3</v>
      </c>
      <c r="Y83" s="62">
        <v>2</v>
      </c>
      <c r="Z83" s="62"/>
      <c r="AA83" s="62"/>
      <c r="AB83" s="62"/>
      <c r="AC83" s="72">
        <f t="shared" si="11"/>
        <v>2.5</v>
      </c>
      <c r="AD83" s="62">
        <v>3</v>
      </c>
      <c r="AE83" s="62"/>
      <c r="AF83" s="62">
        <v>3</v>
      </c>
      <c r="AG83" s="62"/>
      <c r="AH83" s="62"/>
      <c r="AI83" s="72">
        <f t="shared" si="12"/>
        <v>3</v>
      </c>
      <c r="AJ83" s="62"/>
      <c r="AK83" s="62"/>
      <c r="AL83" s="62"/>
      <c r="AM83" s="62"/>
      <c r="AN83" s="62"/>
      <c r="AO83" s="72" t="str">
        <f t="shared" si="13"/>
        <v>A</v>
      </c>
      <c r="AP83" s="62">
        <v>3</v>
      </c>
      <c r="AQ83" s="62">
        <v>3</v>
      </c>
      <c r="AR83" s="62">
        <v>3</v>
      </c>
      <c r="AS83" s="62"/>
      <c r="AT83" s="62"/>
      <c r="AU83" s="72">
        <f t="shared" si="14"/>
        <v>3</v>
      </c>
      <c r="AV83" s="62"/>
      <c r="AW83" s="62"/>
      <c r="AX83" s="62">
        <v>5</v>
      </c>
      <c r="AY83" s="62">
        <v>4</v>
      </c>
      <c r="AZ83" s="62">
        <v>4</v>
      </c>
      <c r="BA83" s="72">
        <f t="shared" si="15"/>
        <v>4.333333333333333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72">
        <f t="shared" si="9"/>
        <v>0</v>
      </c>
      <c r="R84" s="62">
        <v>0</v>
      </c>
      <c r="S84" s="62">
        <v>0</v>
      </c>
      <c r="T84" s="7"/>
      <c r="U84" s="62">
        <v>0</v>
      </c>
      <c r="V84" s="7"/>
      <c r="W84" s="72">
        <f t="shared" si="10"/>
        <v>0</v>
      </c>
      <c r="X84" s="62">
        <v>0</v>
      </c>
      <c r="Y84" s="62">
        <v>0</v>
      </c>
      <c r="Z84" s="7"/>
      <c r="AA84" s="7"/>
      <c r="AB84" s="7"/>
      <c r="AC84" s="72">
        <f t="shared" si="11"/>
        <v>0</v>
      </c>
      <c r="AD84" s="62">
        <v>0</v>
      </c>
      <c r="AE84" s="7"/>
      <c r="AF84" s="62">
        <v>0</v>
      </c>
      <c r="AG84" s="7"/>
      <c r="AH84" s="7"/>
      <c r="AI84" s="72">
        <f t="shared" si="12"/>
        <v>0</v>
      </c>
      <c r="AJ84" s="7"/>
      <c r="AK84" s="7"/>
      <c r="AL84" s="7"/>
      <c r="AM84" s="7"/>
      <c r="AN84" s="7"/>
      <c r="AO84" s="72" t="str">
        <f t="shared" si="13"/>
        <v>A</v>
      </c>
      <c r="AP84" s="62">
        <v>0</v>
      </c>
      <c r="AQ84" s="62">
        <v>0</v>
      </c>
      <c r="AR84" s="62">
        <v>0</v>
      </c>
      <c r="AS84" s="7"/>
      <c r="AT84" s="7"/>
      <c r="AU84" s="72">
        <f t="shared" si="14"/>
        <v>0</v>
      </c>
      <c r="AV84" s="7"/>
      <c r="AW84" s="7"/>
      <c r="AX84" s="62">
        <v>0</v>
      </c>
      <c r="AY84" s="62">
        <v>0</v>
      </c>
      <c r="AZ84" s="62">
        <v>0</v>
      </c>
      <c r="BA84" s="72">
        <f t="shared" si="15"/>
        <v>0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2</v>
      </c>
      <c r="M85" s="62">
        <v>3</v>
      </c>
      <c r="N85" s="62">
        <v>2</v>
      </c>
      <c r="O85" s="62">
        <v>4</v>
      </c>
      <c r="P85" s="62">
        <v>4</v>
      </c>
      <c r="Q85" s="72">
        <f t="shared" si="9"/>
        <v>3</v>
      </c>
      <c r="R85" s="62">
        <v>2</v>
      </c>
      <c r="S85" s="62">
        <v>2</v>
      </c>
      <c r="T85" s="62"/>
      <c r="U85" s="62">
        <v>2</v>
      </c>
      <c r="V85" s="62"/>
      <c r="W85" s="72">
        <f t="shared" si="10"/>
        <v>2</v>
      </c>
      <c r="X85" s="62">
        <v>2</v>
      </c>
      <c r="Y85" s="62">
        <v>2</v>
      </c>
      <c r="Z85" s="62"/>
      <c r="AA85" s="62"/>
      <c r="AB85" s="62"/>
      <c r="AC85" s="72">
        <f t="shared" si="11"/>
        <v>2</v>
      </c>
      <c r="AD85" s="62">
        <v>2</v>
      </c>
      <c r="AE85" s="62"/>
      <c r="AF85" s="62">
        <v>1</v>
      </c>
      <c r="AG85" s="62"/>
      <c r="AH85" s="62"/>
      <c r="AI85" s="72">
        <f t="shared" si="12"/>
        <v>1.5</v>
      </c>
      <c r="AJ85" s="62"/>
      <c r="AK85" s="62"/>
      <c r="AL85" s="62"/>
      <c r="AM85" s="62"/>
      <c r="AN85" s="62"/>
      <c r="AO85" s="72" t="str">
        <f t="shared" si="13"/>
        <v>A</v>
      </c>
      <c r="AP85" s="62">
        <v>1</v>
      </c>
      <c r="AQ85" s="62">
        <v>1</v>
      </c>
      <c r="AR85" s="62">
        <v>1</v>
      </c>
      <c r="AS85" s="62"/>
      <c r="AT85" s="62"/>
      <c r="AU85" s="72">
        <f t="shared" si="14"/>
        <v>1</v>
      </c>
      <c r="AV85" s="62"/>
      <c r="AW85" s="62"/>
      <c r="AX85" s="62">
        <v>3</v>
      </c>
      <c r="AY85" s="62">
        <v>3</v>
      </c>
      <c r="AZ85" s="62">
        <v>4</v>
      </c>
      <c r="BA85" s="72">
        <f t="shared" si="15"/>
        <v>3.3333333333333335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3</v>
      </c>
      <c r="M86" s="62">
        <v>3</v>
      </c>
      <c r="N86" s="62">
        <v>3</v>
      </c>
      <c r="O86" s="62">
        <v>3</v>
      </c>
      <c r="P86" s="62">
        <v>3</v>
      </c>
      <c r="Q86" s="72">
        <f t="shared" si="9"/>
        <v>3</v>
      </c>
      <c r="R86" s="62">
        <v>3</v>
      </c>
      <c r="S86" s="62">
        <v>3</v>
      </c>
      <c r="T86" s="7"/>
      <c r="U86" s="62">
        <v>3</v>
      </c>
      <c r="V86" s="7"/>
      <c r="W86" s="72">
        <f t="shared" si="10"/>
        <v>3</v>
      </c>
      <c r="X86" s="62">
        <v>3</v>
      </c>
      <c r="Y86" s="62">
        <v>3</v>
      </c>
      <c r="Z86" s="7"/>
      <c r="AA86" s="7"/>
      <c r="AB86" s="7"/>
      <c r="AC86" s="72">
        <f t="shared" si="11"/>
        <v>3</v>
      </c>
      <c r="AD86" s="62">
        <v>3</v>
      </c>
      <c r="AE86" s="7"/>
      <c r="AF86" s="62">
        <v>3</v>
      </c>
      <c r="AG86" s="7"/>
      <c r="AH86" s="7"/>
      <c r="AI86" s="72">
        <f t="shared" si="12"/>
        <v>3</v>
      </c>
      <c r="AJ86" s="7"/>
      <c r="AK86" s="7"/>
      <c r="AL86" s="7"/>
      <c r="AM86" s="7"/>
      <c r="AN86" s="7"/>
      <c r="AO86" s="72" t="str">
        <f t="shared" si="13"/>
        <v>A</v>
      </c>
      <c r="AP86" s="62">
        <v>3</v>
      </c>
      <c r="AQ86" s="62">
        <v>3</v>
      </c>
      <c r="AR86" s="62">
        <v>3</v>
      </c>
      <c r="AS86" s="7"/>
      <c r="AT86" s="7"/>
      <c r="AU86" s="72">
        <f t="shared" si="14"/>
        <v>3</v>
      </c>
      <c r="AV86" s="7"/>
      <c r="AW86" s="7"/>
      <c r="AX86" s="62">
        <v>3</v>
      </c>
      <c r="AY86" s="62">
        <v>3</v>
      </c>
      <c r="AZ86" s="62">
        <v>3</v>
      </c>
      <c r="BA86" s="72">
        <f t="shared" si="15"/>
        <v>3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72">
        <f t="shared" si="9"/>
        <v>0</v>
      </c>
      <c r="R87" s="62">
        <v>0</v>
      </c>
      <c r="S87" s="62">
        <v>0</v>
      </c>
      <c r="T87" s="62"/>
      <c r="U87" s="62">
        <v>0</v>
      </c>
      <c r="V87" s="62"/>
      <c r="W87" s="72">
        <f t="shared" si="10"/>
        <v>0</v>
      </c>
      <c r="X87" s="62">
        <v>0</v>
      </c>
      <c r="Y87" s="62">
        <v>0</v>
      </c>
      <c r="Z87" s="62"/>
      <c r="AA87" s="62"/>
      <c r="AB87" s="62"/>
      <c r="AC87" s="72">
        <f t="shared" si="11"/>
        <v>0</v>
      </c>
      <c r="AD87" s="62">
        <v>0</v>
      </c>
      <c r="AE87" s="62"/>
      <c r="AF87" s="62">
        <v>0</v>
      </c>
      <c r="AG87" s="62"/>
      <c r="AH87" s="62"/>
      <c r="AI87" s="72">
        <f t="shared" si="12"/>
        <v>0</v>
      </c>
      <c r="AJ87" s="62"/>
      <c r="AK87" s="62"/>
      <c r="AL87" s="62"/>
      <c r="AM87" s="62"/>
      <c r="AN87" s="62"/>
      <c r="AO87" s="72" t="str">
        <f t="shared" si="13"/>
        <v>A</v>
      </c>
      <c r="AP87" s="62">
        <v>0</v>
      </c>
      <c r="AQ87" s="62">
        <v>0</v>
      </c>
      <c r="AR87" s="62">
        <v>0</v>
      </c>
      <c r="AS87" s="62"/>
      <c r="AT87" s="62"/>
      <c r="AU87" s="72">
        <f t="shared" si="14"/>
        <v>0</v>
      </c>
      <c r="AV87" s="62"/>
      <c r="AW87" s="62"/>
      <c r="AX87" s="62">
        <v>0</v>
      </c>
      <c r="AY87" s="62">
        <v>0</v>
      </c>
      <c r="AZ87" s="62">
        <v>0</v>
      </c>
      <c r="BA87" s="72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>
        <v>3</v>
      </c>
      <c r="N88" s="62">
        <v>3</v>
      </c>
      <c r="O88" s="62">
        <v>3</v>
      </c>
      <c r="P88" s="62">
        <v>3</v>
      </c>
      <c r="Q88" s="72">
        <f t="shared" si="9"/>
        <v>3</v>
      </c>
      <c r="R88" s="62">
        <v>3</v>
      </c>
      <c r="S88" s="62">
        <v>3</v>
      </c>
      <c r="T88" s="7"/>
      <c r="U88" s="62">
        <v>3</v>
      </c>
      <c r="V88" s="7"/>
      <c r="W88" s="72">
        <f t="shared" si="10"/>
        <v>3</v>
      </c>
      <c r="X88" s="62">
        <v>3</v>
      </c>
      <c r="Y88" s="62">
        <v>3</v>
      </c>
      <c r="Z88" s="7"/>
      <c r="AA88" s="7"/>
      <c r="AB88" s="7"/>
      <c r="AC88" s="72">
        <f t="shared" si="11"/>
        <v>3</v>
      </c>
      <c r="AD88" s="62">
        <v>3</v>
      </c>
      <c r="AE88" s="7"/>
      <c r="AF88" s="62">
        <v>3</v>
      </c>
      <c r="AG88" s="7"/>
      <c r="AH88" s="7"/>
      <c r="AI88" s="72">
        <f t="shared" si="12"/>
        <v>3</v>
      </c>
      <c r="AJ88" s="7"/>
      <c r="AK88" s="7"/>
      <c r="AL88" s="7"/>
      <c r="AM88" s="7"/>
      <c r="AN88" s="7"/>
      <c r="AO88" s="72" t="str">
        <f t="shared" si="13"/>
        <v>A</v>
      </c>
      <c r="AP88" s="62">
        <v>3</v>
      </c>
      <c r="AQ88" s="62">
        <v>3</v>
      </c>
      <c r="AR88" s="62">
        <v>3</v>
      </c>
      <c r="AS88" s="7"/>
      <c r="AT88" s="7"/>
      <c r="AU88" s="72">
        <f t="shared" si="14"/>
        <v>3</v>
      </c>
      <c r="AV88" s="7"/>
      <c r="AW88" s="7"/>
      <c r="AX88" s="62">
        <v>3</v>
      </c>
      <c r="AY88" s="62">
        <v>3</v>
      </c>
      <c r="AZ88" s="62">
        <v>3</v>
      </c>
      <c r="BA88" s="72">
        <f t="shared" si="15"/>
        <v>3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2</v>
      </c>
      <c r="M89" s="62">
        <v>4</v>
      </c>
      <c r="N89" s="62">
        <v>3</v>
      </c>
      <c r="O89" s="62">
        <v>3</v>
      </c>
      <c r="P89" s="62">
        <v>2</v>
      </c>
      <c r="Q89" s="72">
        <f t="shared" si="9"/>
        <v>2.8</v>
      </c>
      <c r="R89" s="62">
        <v>3</v>
      </c>
      <c r="S89" s="62">
        <v>3</v>
      </c>
      <c r="T89" s="62"/>
      <c r="U89" s="62">
        <v>3</v>
      </c>
      <c r="V89" s="62"/>
      <c r="W89" s="72">
        <f t="shared" si="10"/>
        <v>3</v>
      </c>
      <c r="X89" s="62">
        <v>3</v>
      </c>
      <c r="Y89" s="62">
        <v>2</v>
      </c>
      <c r="Z89" s="62"/>
      <c r="AA89" s="62"/>
      <c r="AB89" s="62"/>
      <c r="AC89" s="72">
        <f t="shared" si="11"/>
        <v>2.5</v>
      </c>
      <c r="AD89" s="62">
        <v>3</v>
      </c>
      <c r="AE89" s="62"/>
      <c r="AF89" s="62">
        <v>3</v>
      </c>
      <c r="AG89" s="62"/>
      <c r="AH89" s="62"/>
      <c r="AI89" s="72">
        <f t="shared" si="12"/>
        <v>3</v>
      </c>
      <c r="AJ89" s="62"/>
      <c r="AK89" s="62"/>
      <c r="AL89" s="62"/>
      <c r="AM89" s="62"/>
      <c r="AN89" s="62"/>
      <c r="AO89" s="72" t="str">
        <f t="shared" si="13"/>
        <v>A</v>
      </c>
      <c r="AP89" s="62">
        <v>3</v>
      </c>
      <c r="AQ89" s="62">
        <v>3</v>
      </c>
      <c r="AR89" s="62">
        <v>3</v>
      </c>
      <c r="AS89" s="62"/>
      <c r="AT89" s="62"/>
      <c r="AU89" s="72">
        <f t="shared" si="14"/>
        <v>3</v>
      </c>
      <c r="AV89" s="62"/>
      <c r="AW89" s="62"/>
      <c r="AX89" s="62">
        <v>3</v>
      </c>
      <c r="AY89" s="62">
        <v>3</v>
      </c>
      <c r="AZ89" s="62">
        <v>3</v>
      </c>
      <c r="BA89" s="72">
        <f t="shared" si="15"/>
        <v>3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2</v>
      </c>
      <c r="M90" s="62">
        <v>2</v>
      </c>
      <c r="N90" s="62">
        <v>2</v>
      </c>
      <c r="O90" s="62">
        <v>4</v>
      </c>
      <c r="P90" s="62">
        <v>4</v>
      </c>
      <c r="Q90" s="72">
        <f t="shared" si="9"/>
        <v>2.8</v>
      </c>
      <c r="R90" s="62">
        <v>1</v>
      </c>
      <c r="S90" s="62">
        <v>1</v>
      </c>
      <c r="T90" s="7"/>
      <c r="U90" s="62">
        <v>1</v>
      </c>
      <c r="V90" s="7"/>
      <c r="W90" s="72">
        <f t="shared" si="10"/>
        <v>1</v>
      </c>
      <c r="X90" s="62">
        <v>1</v>
      </c>
      <c r="Y90" s="62">
        <v>1</v>
      </c>
      <c r="Z90" s="7"/>
      <c r="AA90" s="7"/>
      <c r="AB90" s="7"/>
      <c r="AC90" s="72">
        <f t="shared" si="11"/>
        <v>1</v>
      </c>
      <c r="AD90" s="62">
        <v>1</v>
      </c>
      <c r="AE90" s="7"/>
      <c r="AF90" s="62">
        <v>1</v>
      </c>
      <c r="AG90" s="7"/>
      <c r="AH90" s="7"/>
      <c r="AI90" s="72">
        <f t="shared" si="12"/>
        <v>1</v>
      </c>
      <c r="AJ90" s="7"/>
      <c r="AK90" s="7"/>
      <c r="AL90" s="7"/>
      <c r="AM90" s="7"/>
      <c r="AN90" s="7"/>
      <c r="AO90" s="72" t="str">
        <f t="shared" si="13"/>
        <v>A</v>
      </c>
      <c r="AP90" s="62">
        <v>1</v>
      </c>
      <c r="AQ90" s="62">
        <v>1</v>
      </c>
      <c r="AR90" s="62">
        <v>1</v>
      </c>
      <c r="AS90" s="7"/>
      <c r="AT90" s="7"/>
      <c r="AU90" s="72">
        <f t="shared" si="14"/>
        <v>1</v>
      </c>
      <c r="AV90" s="7"/>
      <c r="AW90" s="7"/>
      <c r="AX90" s="62">
        <v>1</v>
      </c>
      <c r="AY90" s="62">
        <v>1</v>
      </c>
      <c r="AZ90" s="62">
        <v>1</v>
      </c>
      <c r="BA90" s="72">
        <f t="shared" si="15"/>
        <v>1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72">
        <f t="shared" si="9"/>
        <v>0</v>
      </c>
      <c r="R91" s="62">
        <v>0</v>
      </c>
      <c r="S91" s="62">
        <v>0</v>
      </c>
      <c r="T91" s="62"/>
      <c r="U91" s="62">
        <v>0</v>
      </c>
      <c r="V91" s="62"/>
      <c r="W91" s="72">
        <f t="shared" si="10"/>
        <v>0</v>
      </c>
      <c r="X91" s="62">
        <v>0</v>
      </c>
      <c r="Y91" s="62">
        <v>0</v>
      </c>
      <c r="Z91" s="62"/>
      <c r="AA91" s="62"/>
      <c r="AB91" s="62"/>
      <c r="AC91" s="72">
        <f t="shared" si="11"/>
        <v>0</v>
      </c>
      <c r="AD91" s="62">
        <v>0</v>
      </c>
      <c r="AE91" s="62"/>
      <c r="AF91" s="62">
        <v>0</v>
      </c>
      <c r="AG91" s="62"/>
      <c r="AH91" s="62"/>
      <c r="AI91" s="72">
        <f t="shared" si="12"/>
        <v>0</v>
      </c>
      <c r="AJ91" s="62"/>
      <c r="AK91" s="62"/>
      <c r="AL91" s="62"/>
      <c r="AM91" s="62"/>
      <c r="AN91" s="62"/>
      <c r="AO91" s="72" t="str">
        <f t="shared" si="13"/>
        <v>A</v>
      </c>
      <c r="AP91" s="62">
        <v>0</v>
      </c>
      <c r="AQ91" s="62">
        <v>0</v>
      </c>
      <c r="AR91" s="62">
        <v>0</v>
      </c>
      <c r="AS91" s="62"/>
      <c r="AT91" s="62"/>
      <c r="AU91" s="72">
        <f t="shared" si="14"/>
        <v>0</v>
      </c>
      <c r="AV91" s="62"/>
      <c r="AW91" s="62"/>
      <c r="AX91" s="62">
        <v>0</v>
      </c>
      <c r="AY91" s="62">
        <v>0</v>
      </c>
      <c r="AZ91" s="62">
        <v>0</v>
      </c>
      <c r="BA91" s="72">
        <f t="shared" si="15"/>
        <v>0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3</v>
      </c>
      <c r="M92" s="62">
        <v>3</v>
      </c>
      <c r="N92" s="62">
        <v>2</v>
      </c>
      <c r="O92" s="62">
        <v>3</v>
      </c>
      <c r="P92" s="62">
        <v>3</v>
      </c>
      <c r="Q92" s="72">
        <f t="shared" si="9"/>
        <v>2.8</v>
      </c>
      <c r="R92" s="62">
        <v>3</v>
      </c>
      <c r="S92" s="62">
        <v>3</v>
      </c>
      <c r="T92" s="7"/>
      <c r="U92" s="62">
        <v>3</v>
      </c>
      <c r="V92" s="7"/>
      <c r="W92" s="72">
        <f t="shared" si="10"/>
        <v>3</v>
      </c>
      <c r="X92" s="62">
        <v>3</v>
      </c>
      <c r="Y92" s="62">
        <v>2</v>
      </c>
      <c r="Z92" s="7"/>
      <c r="AA92" s="7"/>
      <c r="AB92" s="7"/>
      <c r="AC92" s="72">
        <f t="shared" si="11"/>
        <v>2.5</v>
      </c>
      <c r="AD92" s="62">
        <v>2</v>
      </c>
      <c r="AE92" s="7"/>
      <c r="AF92" s="62">
        <v>1</v>
      </c>
      <c r="AG92" s="7"/>
      <c r="AH92" s="7"/>
      <c r="AI92" s="72">
        <f t="shared" si="12"/>
        <v>1.5</v>
      </c>
      <c r="AJ92" s="7"/>
      <c r="AK92" s="7"/>
      <c r="AL92" s="7"/>
      <c r="AM92" s="7"/>
      <c r="AN92" s="7"/>
      <c r="AO92" s="72" t="str">
        <f t="shared" si="13"/>
        <v>A</v>
      </c>
      <c r="AP92" s="62">
        <v>1</v>
      </c>
      <c r="AQ92" s="62">
        <v>1</v>
      </c>
      <c r="AR92" s="62">
        <v>1</v>
      </c>
      <c r="AS92" s="7"/>
      <c r="AT92" s="7"/>
      <c r="AU92" s="72">
        <f t="shared" si="14"/>
        <v>1</v>
      </c>
      <c r="AV92" s="7"/>
      <c r="AW92" s="7"/>
      <c r="AX92" s="62">
        <v>1</v>
      </c>
      <c r="AY92" s="62">
        <v>3</v>
      </c>
      <c r="AZ92" s="62">
        <v>3</v>
      </c>
      <c r="BA92" s="72">
        <f t="shared" si="15"/>
        <v>2.3333333333333335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72">
        <f t="shared" si="9"/>
        <v>0</v>
      </c>
      <c r="R93" s="62">
        <v>0</v>
      </c>
      <c r="S93" s="62">
        <v>0</v>
      </c>
      <c r="T93" s="62"/>
      <c r="U93" s="62">
        <v>0</v>
      </c>
      <c r="V93" s="62"/>
      <c r="W93" s="72">
        <f t="shared" si="10"/>
        <v>0</v>
      </c>
      <c r="X93" s="62">
        <v>0</v>
      </c>
      <c r="Y93" s="62">
        <v>0</v>
      </c>
      <c r="Z93" s="62"/>
      <c r="AA93" s="62"/>
      <c r="AB93" s="62"/>
      <c r="AC93" s="72">
        <f t="shared" si="11"/>
        <v>0</v>
      </c>
      <c r="AD93" s="62">
        <v>0</v>
      </c>
      <c r="AE93" s="62"/>
      <c r="AF93" s="62">
        <v>0</v>
      </c>
      <c r="AG93" s="62"/>
      <c r="AH93" s="62"/>
      <c r="AI93" s="72">
        <f t="shared" si="12"/>
        <v>0</v>
      </c>
      <c r="AJ93" s="62"/>
      <c r="AK93" s="62"/>
      <c r="AL93" s="62"/>
      <c r="AM93" s="62"/>
      <c r="AN93" s="62"/>
      <c r="AO93" s="72" t="str">
        <f t="shared" si="13"/>
        <v>A</v>
      </c>
      <c r="AP93" s="62">
        <v>0</v>
      </c>
      <c r="AQ93" s="62">
        <v>0</v>
      </c>
      <c r="AR93" s="62">
        <v>0</v>
      </c>
      <c r="AS93" s="62"/>
      <c r="AT93" s="62"/>
      <c r="AU93" s="72">
        <f t="shared" si="14"/>
        <v>0</v>
      </c>
      <c r="AV93" s="62"/>
      <c r="AW93" s="62"/>
      <c r="AX93" s="62">
        <v>0</v>
      </c>
      <c r="AY93" s="62">
        <v>0</v>
      </c>
      <c r="AZ93" s="62">
        <v>0</v>
      </c>
      <c r="BA93" s="72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3</v>
      </c>
      <c r="M94" s="62">
        <v>3</v>
      </c>
      <c r="N94" s="62">
        <v>3</v>
      </c>
      <c r="O94" s="62">
        <v>3</v>
      </c>
      <c r="P94" s="62">
        <v>3</v>
      </c>
      <c r="Q94" s="72">
        <f t="shared" si="9"/>
        <v>3</v>
      </c>
      <c r="R94" s="62">
        <v>3</v>
      </c>
      <c r="S94" s="62">
        <v>3</v>
      </c>
      <c r="T94" s="7"/>
      <c r="U94" s="62">
        <v>3</v>
      </c>
      <c r="V94" s="7"/>
      <c r="W94" s="72">
        <f t="shared" si="10"/>
        <v>3</v>
      </c>
      <c r="X94" s="62">
        <v>3</v>
      </c>
      <c r="Y94" s="62">
        <v>3</v>
      </c>
      <c r="Z94" s="7"/>
      <c r="AA94" s="7"/>
      <c r="AB94" s="7"/>
      <c r="AC94" s="72">
        <f t="shared" si="11"/>
        <v>3</v>
      </c>
      <c r="AD94" s="62">
        <v>3</v>
      </c>
      <c r="AE94" s="7"/>
      <c r="AF94" s="62">
        <v>3</v>
      </c>
      <c r="AG94" s="7"/>
      <c r="AH94" s="7"/>
      <c r="AI94" s="72">
        <f t="shared" si="12"/>
        <v>3</v>
      </c>
      <c r="AJ94" s="7"/>
      <c r="AK94" s="7"/>
      <c r="AL94" s="7"/>
      <c r="AM94" s="7"/>
      <c r="AN94" s="7"/>
      <c r="AO94" s="72" t="str">
        <f t="shared" si="13"/>
        <v>A</v>
      </c>
      <c r="AP94" s="62">
        <v>3</v>
      </c>
      <c r="AQ94" s="62">
        <v>3</v>
      </c>
      <c r="AR94" s="62">
        <v>3</v>
      </c>
      <c r="AS94" s="7"/>
      <c r="AT94" s="7"/>
      <c r="AU94" s="72">
        <f t="shared" si="14"/>
        <v>3</v>
      </c>
      <c r="AV94" s="7"/>
      <c r="AW94" s="7"/>
      <c r="AX94" s="62">
        <v>3</v>
      </c>
      <c r="AY94" s="62">
        <v>3</v>
      </c>
      <c r="AZ94" s="62">
        <v>1</v>
      </c>
      <c r="BA94" s="72">
        <f t="shared" si="15"/>
        <v>2.3333333333333335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4</v>
      </c>
      <c r="M95" s="62">
        <v>3</v>
      </c>
      <c r="N95" s="62">
        <v>3</v>
      </c>
      <c r="O95" s="62">
        <v>3</v>
      </c>
      <c r="P95" s="62">
        <v>2</v>
      </c>
      <c r="Q95" s="72">
        <f t="shared" si="9"/>
        <v>3</v>
      </c>
      <c r="R95" s="62">
        <v>3</v>
      </c>
      <c r="S95" s="62">
        <v>3</v>
      </c>
      <c r="T95" s="62"/>
      <c r="U95" s="62">
        <v>3</v>
      </c>
      <c r="V95" s="62"/>
      <c r="W95" s="72">
        <f t="shared" si="10"/>
        <v>3</v>
      </c>
      <c r="X95" s="62">
        <v>2</v>
      </c>
      <c r="Y95" s="62">
        <v>4</v>
      </c>
      <c r="Z95" s="62"/>
      <c r="AA95" s="62"/>
      <c r="AB95" s="62"/>
      <c r="AC95" s="72">
        <f t="shared" si="11"/>
        <v>3</v>
      </c>
      <c r="AD95" s="62">
        <v>2</v>
      </c>
      <c r="AE95" s="62"/>
      <c r="AF95" s="62">
        <v>3</v>
      </c>
      <c r="AG95" s="62"/>
      <c r="AH95" s="62"/>
      <c r="AI95" s="72">
        <f t="shared" si="12"/>
        <v>2.5</v>
      </c>
      <c r="AJ95" s="62"/>
      <c r="AK95" s="62"/>
      <c r="AL95" s="62"/>
      <c r="AM95" s="62"/>
      <c r="AN95" s="62"/>
      <c r="AO95" s="72" t="str">
        <f t="shared" si="13"/>
        <v>A</v>
      </c>
      <c r="AP95" s="62">
        <v>3</v>
      </c>
      <c r="AQ95" s="62">
        <v>3</v>
      </c>
      <c r="AR95" s="62">
        <v>3</v>
      </c>
      <c r="AS95" s="62"/>
      <c r="AT95" s="62"/>
      <c r="AU95" s="72">
        <f t="shared" si="14"/>
        <v>3</v>
      </c>
      <c r="AV95" s="62"/>
      <c r="AW95" s="62"/>
      <c r="AX95" s="62">
        <v>5</v>
      </c>
      <c r="AY95" s="62">
        <v>3</v>
      </c>
      <c r="AZ95" s="62">
        <v>3</v>
      </c>
      <c r="BA95" s="72">
        <f t="shared" si="15"/>
        <v>3.6666666666666665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2</v>
      </c>
      <c r="M96" s="62">
        <v>2</v>
      </c>
      <c r="N96" s="62">
        <v>2</v>
      </c>
      <c r="O96" s="62">
        <v>3</v>
      </c>
      <c r="P96" s="62">
        <v>2</v>
      </c>
      <c r="Q96" s="72">
        <f t="shared" si="9"/>
        <v>2.2000000000000002</v>
      </c>
      <c r="R96" s="62">
        <v>3</v>
      </c>
      <c r="S96" s="62">
        <v>3</v>
      </c>
      <c r="T96" s="7"/>
      <c r="U96" s="62">
        <v>3</v>
      </c>
      <c r="V96" s="7"/>
      <c r="W96" s="72">
        <f t="shared" si="10"/>
        <v>3</v>
      </c>
      <c r="X96" s="62">
        <v>3</v>
      </c>
      <c r="Y96" s="62">
        <v>3</v>
      </c>
      <c r="Z96" s="7"/>
      <c r="AA96" s="7"/>
      <c r="AB96" s="7"/>
      <c r="AC96" s="72">
        <f t="shared" si="11"/>
        <v>3</v>
      </c>
      <c r="AD96" s="62">
        <v>4</v>
      </c>
      <c r="AE96" s="7"/>
      <c r="AF96" s="62">
        <v>4</v>
      </c>
      <c r="AG96" s="7"/>
      <c r="AH96" s="7"/>
      <c r="AI96" s="72">
        <f t="shared" si="12"/>
        <v>4</v>
      </c>
      <c r="AJ96" s="7"/>
      <c r="AK96" s="7"/>
      <c r="AL96" s="7"/>
      <c r="AM96" s="7"/>
      <c r="AN96" s="7"/>
      <c r="AO96" s="72" t="str">
        <f t="shared" si="13"/>
        <v>A</v>
      </c>
      <c r="AP96" s="62">
        <v>1</v>
      </c>
      <c r="AQ96" s="62">
        <v>1</v>
      </c>
      <c r="AR96" s="62">
        <v>1</v>
      </c>
      <c r="AS96" s="7"/>
      <c r="AT96" s="7"/>
      <c r="AU96" s="72">
        <f t="shared" si="14"/>
        <v>1</v>
      </c>
      <c r="AV96" s="7"/>
      <c r="AW96" s="7"/>
      <c r="AX96" s="62">
        <v>5</v>
      </c>
      <c r="AY96" s="62">
        <v>4</v>
      </c>
      <c r="AZ96" s="62">
        <v>3</v>
      </c>
      <c r="BA96" s="72">
        <f t="shared" si="15"/>
        <v>4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4</v>
      </c>
      <c r="M97" s="62">
        <v>3</v>
      </c>
      <c r="N97" s="62">
        <v>3</v>
      </c>
      <c r="O97" s="62">
        <v>4</v>
      </c>
      <c r="P97" s="62">
        <v>4</v>
      </c>
      <c r="Q97" s="72">
        <f t="shared" si="9"/>
        <v>3.6</v>
      </c>
      <c r="R97" s="62">
        <v>4</v>
      </c>
      <c r="S97" s="62">
        <v>3</v>
      </c>
      <c r="T97" s="62"/>
      <c r="U97" s="62">
        <v>4</v>
      </c>
      <c r="V97" s="62"/>
      <c r="W97" s="72">
        <f t="shared" si="10"/>
        <v>3.6666666666666665</v>
      </c>
      <c r="X97" s="62">
        <v>3</v>
      </c>
      <c r="Y97" s="62">
        <v>4</v>
      </c>
      <c r="Z97" s="62"/>
      <c r="AA97" s="62"/>
      <c r="AB97" s="62"/>
      <c r="AC97" s="72">
        <f t="shared" si="11"/>
        <v>3.5</v>
      </c>
      <c r="AD97" s="62">
        <v>4</v>
      </c>
      <c r="AE97" s="62"/>
      <c r="AF97" s="62">
        <v>3</v>
      </c>
      <c r="AG97" s="62"/>
      <c r="AH97" s="62"/>
      <c r="AI97" s="72">
        <f t="shared" si="12"/>
        <v>3.5</v>
      </c>
      <c r="AJ97" s="62"/>
      <c r="AK97" s="62"/>
      <c r="AL97" s="62"/>
      <c r="AM97" s="62"/>
      <c r="AN97" s="62"/>
      <c r="AO97" s="72" t="str">
        <f t="shared" si="13"/>
        <v>A</v>
      </c>
      <c r="AP97" s="62">
        <v>3</v>
      </c>
      <c r="AQ97" s="62">
        <v>3</v>
      </c>
      <c r="AR97" s="62">
        <v>4</v>
      </c>
      <c r="AS97" s="62"/>
      <c r="AT97" s="62"/>
      <c r="AU97" s="72">
        <f t="shared" si="14"/>
        <v>3.3333333333333335</v>
      </c>
      <c r="AV97" s="62"/>
      <c r="AW97" s="62"/>
      <c r="AX97" s="62">
        <v>3</v>
      </c>
      <c r="AY97" s="62">
        <v>3</v>
      </c>
      <c r="AZ97" s="62">
        <v>1</v>
      </c>
      <c r="BA97" s="72">
        <f t="shared" si="15"/>
        <v>2.3333333333333335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4</v>
      </c>
      <c r="M98" s="62">
        <v>4</v>
      </c>
      <c r="N98" s="62">
        <v>3</v>
      </c>
      <c r="O98" s="62">
        <v>3</v>
      </c>
      <c r="P98" s="62">
        <v>3</v>
      </c>
      <c r="Q98" s="72">
        <f t="shared" si="9"/>
        <v>3.4</v>
      </c>
      <c r="R98" s="62">
        <v>3</v>
      </c>
      <c r="S98" s="62">
        <v>3</v>
      </c>
      <c r="T98" s="7"/>
      <c r="U98" s="62">
        <v>3</v>
      </c>
      <c r="V98" s="7"/>
      <c r="W98" s="72">
        <f t="shared" si="10"/>
        <v>3</v>
      </c>
      <c r="X98" s="62">
        <v>3</v>
      </c>
      <c r="Y98" s="62">
        <v>3</v>
      </c>
      <c r="Z98" s="7"/>
      <c r="AA98" s="7"/>
      <c r="AB98" s="7"/>
      <c r="AC98" s="72">
        <f t="shared" si="11"/>
        <v>3</v>
      </c>
      <c r="AD98" s="62">
        <v>2</v>
      </c>
      <c r="AE98" s="7"/>
      <c r="AF98" s="62">
        <v>3</v>
      </c>
      <c r="AG98" s="7"/>
      <c r="AH98" s="7"/>
      <c r="AI98" s="72">
        <f t="shared" si="12"/>
        <v>2.5</v>
      </c>
      <c r="AJ98" s="7"/>
      <c r="AK98" s="7"/>
      <c r="AL98" s="7"/>
      <c r="AM98" s="7"/>
      <c r="AN98" s="7"/>
      <c r="AO98" s="72" t="str">
        <f t="shared" si="13"/>
        <v>A</v>
      </c>
      <c r="AP98" s="62">
        <v>3</v>
      </c>
      <c r="AQ98" s="62">
        <v>3</v>
      </c>
      <c r="AR98" s="62">
        <v>3</v>
      </c>
      <c r="AS98" s="7"/>
      <c r="AT98" s="7"/>
      <c r="AU98" s="72">
        <f t="shared" si="14"/>
        <v>3</v>
      </c>
      <c r="AV98" s="7"/>
      <c r="AW98" s="7"/>
      <c r="AX98" s="62">
        <v>5</v>
      </c>
      <c r="AY98" s="62">
        <v>3</v>
      </c>
      <c r="AZ98" s="62">
        <v>3</v>
      </c>
      <c r="BA98" s="72">
        <f t="shared" si="15"/>
        <v>3.6666666666666665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4</v>
      </c>
      <c r="M99" s="62">
        <v>4</v>
      </c>
      <c r="N99" s="62">
        <v>4</v>
      </c>
      <c r="O99" s="62">
        <v>4</v>
      </c>
      <c r="P99" s="62">
        <v>4</v>
      </c>
      <c r="Q99" s="72">
        <f t="shared" si="9"/>
        <v>4</v>
      </c>
      <c r="R99" s="62">
        <v>4</v>
      </c>
      <c r="S99" s="62">
        <v>4</v>
      </c>
      <c r="T99" s="62"/>
      <c r="U99" s="62">
        <v>4</v>
      </c>
      <c r="V99" s="62"/>
      <c r="W99" s="72">
        <f t="shared" si="10"/>
        <v>4</v>
      </c>
      <c r="X99" s="62">
        <v>4</v>
      </c>
      <c r="Y99" s="62">
        <v>4</v>
      </c>
      <c r="Z99" s="62"/>
      <c r="AA99" s="62"/>
      <c r="AB99" s="62"/>
      <c r="AC99" s="72">
        <f t="shared" si="11"/>
        <v>4</v>
      </c>
      <c r="AD99" s="62">
        <v>4</v>
      </c>
      <c r="AE99" s="62"/>
      <c r="AF99" s="62">
        <v>4</v>
      </c>
      <c r="AG99" s="62"/>
      <c r="AH99" s="62"/>
      <c r="AI99" s="72">
        <f t="shared" si="12"/>
        <v>4</v>
      </c>
      <c r="AJ99" s="62"/>
      <c r="AK99" s="62"/>
      <c r="AL99" s="62"/>
      <c r="AM99" s="62"/>
      <c r="AN99" s="62"/>
      <c r="AO99" s="72" t="str">
        <f t="shared" si="13"/>
        <v>A</v>
      </c>
      <c r="AP99" s="62">
        <v>4</v>
      </c>
      <c r="AQ99" s="62">
        <v>4</v>
      </c>
      <c r="AR99" s="62">
        <v>4</v>
      </c>
      <c r="AS99" s="62"/>
      <c r="AT99" s="62"/>
      <c r="AU99" s="72">
        <f t="shared" si="14"/>
        <v>4</v>
      </c>
      <c r="AV99" s="62"/>
      <c r="AW99" s="62"/>
      <c r="AX99" s="62">
        <v>4</v>
      </c>
      <c r="AY99" s="62">
        <v>4</v>
      </c>
      <c r="AZ99" s="62">
        <v>3</v>
      </c>
      <c r="BA99" s="72">
        <f t="shared" si="15"/>
        <v>3.6666666666666665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3</v>
      </c>
      <c r="M100" s="62">
        <v>3</v>
      </c>
      <c r="N100" s="62">
        <v>2</v>
      </c>
      <c r="O100" s="62">
        <v>3</v>
      </c>
      <c r="P100" s="62">
        <v>3</v>
      </c>
      <c r="Q100" s="72">
        <f t="shared" si="9"/>
        <v>2.8</v>
      </c>
      <c r="R100" s="62">
        <v>3</v>
      </c>
      <c r="S100" s="62">
        <v>3</v>
      </c>
      <c r="T100" s="7"/>
      <c r="U100" s="62">
        <v>3</v>
      </c>
      <c r="V100" s="7"/>
      <c r="W100" s="72">
        <f t="shared" si="10"/>
        <v>3</v>
      </c>
      <c r="X100" s="62">
        <v>3</v>
      </c>
      <c r="Y100" s="62">
        <v>2</v>
      </c>
      <c r="Z100" s="7"/>
      <c r="AA100" s="7"/>
      <c r="AB100" s="7"/>
      <c r="AC100" s="72">
        <f t="shared" si="11"/>
        <v>2.5</v>
      </c>
      <c r="AD100" s="62">
        <v>2</v>
      </c>
      <c r="AE100" s="7"/>
      <c r="AF100" s="62">
        <v>3</v>
      </c>
      <c r="AG100" s="7"/>
      <c r="AH100" s="7"/>
      <c r="AI100" s="72">
        <f t="shared" si="12"/>
        <v>2.5</v>
      </c>
      <c r="AJ100" s="7"/>
      <c r="AK100" s="7"/>
      <c r="AL100" s="7"/>
      <c r="AM100" s="7"/>
      <c r="AN100" s="7"/>
      <c r="AO100" s="72" t="str">
        <f t="shared" si="13"/>
        <v>A</v>
      </c>
      <c r="AP100" s="62">
        <v>3</v>
      </c>
      <c r="AQ100" s="62">
        <v>3</v>
      </c>
      <c r="AR100" s="62">
        <v>3</v>
      </c>
      <c r="AS100" s="7"/>
      <c r="AT100" s="7"/>
      <c r="AU100" s="72">
        <f t="shared" si="14"/>
        <v>3</v>
      </c>
      <c r="AV100" s="7"/>
      <c r="AW100" s="7"/>
      <c r="AX100" s="62">
        <v>3</v>
      </c>
      <c r="AY100" s="62">
        <v>3</v>
      </c>
      <c r="AZ100" s="62">
        <v>3</v>
      </c>
      <c r="BA100" s="72">
        <f t="shared" si="15"/>
        <v>3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1</v>
      </c>
      <c r="M101" s="62">
        <v>2</v>
      </c>
      <c r="N101" s="62">
        <v>1</v>
      </c>
      <c r="O101" s="62">
        <v>1</v>
      </c>
      <c r="P101" s="62">
        <v>2</v>
      </c>
      <c r="Q101" s="72">
        <f t="shared" si="9"/>
        <v>1.4</v>
      </c>
      <c r="R101" s="62">
        <v>1</v>
      </c>
      <c r="S101" s="62">
        <v>2</v>
      </c>
      <c r="T101" s="62"/>
      <c r="U101" s="62">
        <v>2</v>
      </c>
      <c r="V101" s="62"/>
      <c r="W101" s="72">
        <f t="shared" si="10"/>
        <v>1.6666666666666667</v>
      </c>
      <c r="X101" s="62">
        <v>1</v>
      </c>
      <c r="Y101" s="62">
        <v>1</v>
      </c>
      <c r="Z101" s="62"/>
      <c r="AA101" s="62"/>
      <c r="AB101" s="62"/>
      <c r="AC101" s="72">
        <f t="shared" si="11"/>
        <v>1</v>
      </c>
      <c r="AD101" s="62">
        <v>1</v>
      </c>
      <c r="AE101" s="62"/>
      <c r="AF101" s="62">
        <v>1</v>
      </c>
      <c r="AG101" s="62"/>
      <c r="AH101" s="62"/>
      <c r="AI101" s="72">
        <f t="shared" si="12"/>
        <v>1</v>
      </c>
      <c r="AJ101" s="62"/>
      <c r="AK101" s="62"/>
      <c r="AL101" s="62"/>
      <c r="AM101" s="62"/>
      <c r="AN101" s="62"/>
      <c r="AO101" s="72" t="str">
        <f t="shared" si="13"/>
        <v>A</v>
      </c>
      <c r="AP101" s="62">
        <v>2</v>
      </c>
      <c r="AQ101" s="62">
        <v>1</v>
      </c>
      <c r="AR101" s="62">
        <v>1</v>
      </c>
      <c r="AS101" s="62"/>
      <c r="AT101" s="62"/>
      <c r="AU101" s="72">
        <f t="shared" si="14"/>
        <v>1.3333333333333333</v>
      </c>
      <c r="AV101" s="62"/>
      <c r="AW101" s="62"/>
      <c r="AX101" s="62">
        <v>2</v>
      </c>
      <c r="AY101" s="62">
        <v>1</v>
      </c>
      <c r="AZ101" s="62">
        <v>1</v>
      </c>
      <c r="BA101" s="72">
        <f t="shared" si="15"/>
        <v>1.3333333333333333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1</v>
      </c>
      <c r="M102" s="62">
        <v>2</v>
      </c>
      <c r="N102" s="62">
        <v>1</v>
      </c>
      <c r="O102" s="62">
        <v>4</v>
      </c>
      <c r="P102" s="62">
        <v>1</v>
      </c>
      <c r="Q102" s="72">
        <f t="shared" si="9"/>
        <v>1.8</v>
      </c>
      <c r="R102" s="62">
        <v>2</v>
      </c>
      <c r="S102" s="62">
        <v>2</v>
      </c>
      <c r="T102" s="7"/>
      <c r="U102" s="62">
        <v>2</v>
      </c>
      <c r="V102" s="7"/>
      <c r="W102" s="72">
        <f t="shared" si="10"/>
        <v>2</v>
      </c>
      <c r="X102" s="62">
        <v>2</v>
      </c>
      <c r="Y102" s="62">
        <v>1</v>
      </c>
      <c r="Z102" s="7"/>
      <c r="AA102" s="7"/>
      <c r="AB102" s="7"/>
      <c r="AC102" s="72">
        <f t="shared" si="11"/>
        <v>1.5</v>
      </c>
      <c r="AD102" s="62">
        <v>1</v>
      </c>
      <c r="AE102" s="7"/>
      <c r="AF102" s="62">
        <v>1</v>
      </c>
      <c r="AG102" s="7"/>
      <c r="AH102" s="7"/>
      <c r="AI102" s="72">
        <f t="shared" si="12"/>
        <v>1</v>
      </c>
      <c r="AJ102" s="7"/>
      <c r="AK102" s="7"/>
      <c r="AL102" s="7"/>
      <c r="AM102" s="7"/>
      <c r="AN102" s="7"/>
      <c r="AO102" s="72" t="str">
        <f t="shared" si="13"/>
        <v>A</v>
      </c>
      <c r="AP102" s="62">
        <v>1</v>
      </c>
      <c r="AQ102" s="62">
        <v>1</v>
      </c>
      <c r="AR102" s="62">
        <v>1</v>
      </c>
      <c r="AS102" s="7"/>
      <c r="AT102" s="7"/>
      <c r="AU102" s="72">
        <f t="shared" si="14"/>
        <v>1</v>
      </c>
      <c r="AV102" s="7"/>
      <c r="AW102" s="7"/>
      <c r="AX102" s="62">
        <v>1</v>
      </c>
      <c r="AY102" s="62">
        <v>2</v>
      </c>
      <c r="AZ102" s="62">
        <v>2</v>
      </c>
      <c r="BA102" s="72">
        <f t="shared" si="15"/>
        <v>1.6666666666666667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3</v>
      </c>
      <c r="M103" s="62">
        <v>3</v>
      </c>
      <c r="N103" s="62">
        <v>3</v>
      </c>
      <c r="O103" s="62">
        <v>3</v>
      </c>
      <c r="P103" s="62">
        <v>3</v>
      </c>
      <c r="Q103" s="72">
        <f t="shared" si="9"/>
        <v>3</v>
      </c>
      <c r="R103" s="62">
        <v>3</v>
      </c>
      <c r="S103" s="62">
        <v>3</v>
      </c>
      <c r="T103" s="62"/>
      <c r="U103" s="62">
        <v>3</v>
      </c>
      <c r="V103" s="62"/>
      <c r="W103" s="72">
        <f t="shared" si="10"/>
        <v>3</v>
      </c>
      <c r="X103" s="62">
        <v>3</v>
      </c>
      <c r="Y103" s="62">
        <v>3</v>
      </c>
      <c r="Z103" s="62"/>
      <c r="AA103" s="62"/>
      <c r="AB103" s="62"/>
      <c r="AC103" s="72">
        <f t="shared" si="11"/>
        <v>3</v>
      </c>
      <c r="AD103" s="62">
        <v>3</v>
      </c>
      <c r="AE103" s="62"/>
      <c r="AF103" s="62">
        <v>3</v>
      </c>
      <c r="AG103" s="62"/>
      <c r="AH103" s="62"/>
      <c r="AI103" s="72">
        <f t="shared" si="12"/>
        <v>3</v>
      </c>
      <c r="AJ103" s="62"/>
      <c r="AK103" s="62"/>
      <c r="AL103" s="62"/>
      <c r="AM103" s="62"/>
      <c r="AN103" s="62"/>
      <c r="AO103" s="72" t="str">
        <f t="shared" si="13"/>
        <v>A</v>
      </c>
      <c r="AP103" s="62">
        <v>3</v>
      </c>
      <c r="AQ103" s="62">
        <v>3</v>
      </c>
      <c r="AR103" s="62">
        <v>3</v>
      </c>
      <c r="AS103" s="62"/>
      <c r="AT103" s="62"/>
      <c r="AU103" s="72">
        <f t="shared" si="14"/>
        <v>3</v>
      </c>
      <c r="AV103" s="62"/>
      <c r="AW103" s="62"/>
      <c r="AX103" s="62">
        <v>3</v>
      </c>
      <c r="AY103" s="62">
        <v>3</v>
      </c>
      <c r="AZ103" s="62">
        <v>3</v>
      </c>
      <c r="BA103" s="72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3</v>
      </c>
      <c r="M104" s="62">
        <v>3</v>
      </c>
      <c r="N104" s="62">
        <v>2</v>
      </c>
      <c r="O104" s="62">
        <v>3</v>
      </c>
      <c r="P104" s="62">
        <v>3</v>
      </c>
      <c r="Q104" s="72">
        <f t="shared" si="9"/>
        <v>2.8</v>
      </c>
      <c r="R104" s="62">
        <v>2</v>
      </c>
      <c r="S104" s="62">
        <v>2</v>
      </c>
      <c r="T104" s="7"/>
      <c r="U104" s="62">
        <v>2</v>
      </c>
      <c r="V104" s="7"/>
      <c r="W104" s="72">
        <f t="shared" si="10"/>
        <v>2</v>
      </c>
      <c r="X104" s="62">
        <v>3</v>
      </c>
      <c r="Y104" s="62">
        <v>3</v>
      </c>
      <c r="Z104" s="7"/>
      <c r="AA104" s="7"/>
      <c r="AB104" s="7"/>
      <c r="AC104" s="72">
        <f t="shared" si="11"/>
        <v>3</v>
      </c>
      <c r="AD104" s="62">
        <v>3</v>
      </c>
      <c r="AE104" s="7"/>
      <c r="AF104" s="62">
        <v>3</v>
      </c>
      <c r="AG104" s="7"/>
      <c r="AH104" s="7"/>
      <c r="AI104" s="72">
        <f t="shared" si="12"/>
        <v>3</v>
      </c>
      <c r="AJ104" s="7"/>
      <c r="AK104" s="7"/>
      <c r="AL104" s="7"/>
      <c r="AM104" s="7"/>
      <c r="AN104" s="7"/>
      <c r="AO104" s="72" t="str">
        <f t="shared" si="13"/>
        <v>A</v>
      </c>
      <c r="AP104" s="62">
        <v>3</v>
      </c>
      <c r="AQ104" s="62">
        <v>3</v>
      </c>
      <c r="AR104" s="62">
        <v>3</v>
      </c>
      <c r="AS104" s="7"/>
      <c r="AT104" s="7"/>
      <c r="AU104" s="72">
        <f t="shared" si="14"/>
        <v>3</v>
      </c>
      <c r="AV104" s="7"/>
      <c r="AW104" s="7"/>
      <c r="AX104" s="62">
        <v>3</v>
      </c>
      <c r="AY104" s="62">
        <v>3</v>
      </c>
      <c r="AZ104" s="62">
        <v>3</v>
      </c>
      <c r="BA104" s="72">
        <f t="shared" si="15"/>
        <v>3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>
        <v>2</v>
      </c>
      <c r="N105" s="62">
        <v>2</v>
      </c>
      <c r="O105" s="62">
        <v>1</v>
      </c>
      <c r="P105" s="62">
        <v>3</v>
      </c>
      <c r="Q105" s="72">
        <f t="shared" si="9"/>
        <v>2.2000000000000002</v>
      </c>
      <c r="R105" s="62">
        <v>1</v>
      </c>
      <c r="S105" s="62">
        <v>1</v>
      </c>
      <c r="T105" s="62"/>
      <c r="U105" s="62">
        <v>1</v>
      </c>
      <c r="V105" s="62"/>
      <c r="W105" s="72">
        <f t="shared" si="10"/>
        <v>1</v>
      </c>
      <c r="X105" s="62">
        <v>1</v>
      </c>
      <c r="Y105" s="62">
        <v>1</v>
      </c>
      <c r="Z105" s="62"/>
      <c r="AA105" s="62"/>
      <c r="AB105" s="62"/>
      <c r="AC105" s="72">
        <f t="shared" si="11"/>
        <v>1</v>
      </c>
      <c r="AD105" s="62">
        <v>1</v>
      </c>
      <c r="AE105" s="62"/>
      <c r="AF105" s="62">
        <v>1</v>
      </c>
      <c r="AG105" s="62"/>
      <c r="AH105" s="62"/>
      <c r="AI105" s="72">
        <f t="shared" si="12"/>
        <v>1</v>
      </c>
      <c r="AJ105" s="62"/>
      <c r="AK105" s="62"/>
      <c r="AL105" s="62"/>
      <c r="AM105" s="62"/>
      <c r="AN105" s="62"/>
      <c r="AO105" s="72" t="str">
        <f t="shared" si="13"/>
        <v>A</v>
      </c>
      <c r="AP105" s="62">
        <v>1</v>
      </c>
      <c r="AQ105" s="62">
        <v>1</v>
      </c>
      <c r="AR105" s="62">
        <v>1</v>
      </c>
      <c r="AS105" s="62"/>
      <c r="AT105" s="62"/>
      <c r="AU105" s="72">
        <f t="shared" si="14"/>
        <v>1</v>
      </c>
      <c r="AV105" s="62"/>
      <c r="AW105" s="62"/>
      <c r="AX105" s="62">
        <v>1</v>
      </c>
      <c r="AY105" s="62">
        <v>1</v>
      </c>
      <c r="AZ105" s="62">
        <v>1</v>
      </c>
      <c r="BA105" s="72">
        <f t="shared" si="15"/>
        <v>1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0</v>
      </c>
      <c r="M106" s="62">
        <v>0</v>
      </c>
      <c r="N106" s="62">
        <v>0</v>
      </c>
      <c r="O106" s="62">
        <v>0</v>
      </c>
      <c r="P106" s="62">
        <v>0</v>
      </c>
      <c r="Q106" s="72">
        <f t="shared" si="9"/>
        <v>0</v>
      </c>
      <c r="R106" s="62">
        <v>0</v>
      </c>
      <c r="S106" s="62">
        <v>0</v>
      </c>
      <c r="T106" s="7"/>
      <c r="U106" s="62">
        <v>0</v>
      </c>
      <c r="V106" s="7"/>
      <c r="W106" s="72">
        <f t="shared" si="10"/>
        <v>0</v>
      </c>
      <c r="X106" s="62">
        <v>0</v>
      </c>
      <c r="Y106" s="62">
        <v>0</v>
      </c>
      <c r="Z106" s="7"/>
      <c r="AA106" s="7"/>
      <c r="AB106" s="7"/>
      <c r="AC106" s="72">
        <f t="shared" si="11"/>
        <v>0</v>
      </c>
      <c r="AD106" s="62">
        <v>0</v>
      </c>
      <c r="AE106" s="7"/>
      <c r="AF106" s="62">
        <v>0</v>
      </c>
      <c r="AG106" s="7"/>
      <c r="AH106" s="7"/>
      <c r="AI106" s="72">
        <f t="shared" si="12"/>
        <v>0</v>
      </c>
      <c r="AJ106" s="7"/>
      <c r="AK106" s="7"/>
      <c r="AL106" s="7"/>
      <c r="AM106" s="7"/>
      <c r="AN106" s="7"/>
      <c r="AO106" s="72" t="str">
        <f t="shared" si="13"/>
        <v>A</v>
      </c>
      <c r="AP106" s="62">
        <v>0</v>
      </c>
      <c r="AQ106" s="62">
        <v>0</v>
      </c>
      <c r="AR106" s="62">
        <v>0</v>
      </c>
      <c r="AS106" s="7"/>
      <c r="AT106" s="7"/>
      <c r="AU106" s="72">
        <f t="shared" si="14"/>
        <v>0</v>
      </c>
      <c r="AV106" s="7"/>
      <c r="AW106" s="7"/>
      <c r="AX106" s="62">
        <v>0</v>
      </c>
      <c r="AY106" s="62">
        <v>0</v>
      </c>
      <c r="AZ106" s="62">
        <v>0</v>
      </c>
      <c r="BA106" s="72">
        <f t="shared" si="15"/>
        <v>0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72">
        <f t="shared" si="9"/>
        <v>0</v>
      </c>
      <c r="R107" s="62">
        <v>0</v>
      </c>
      <c r="S107" s="62">
        <v>0</v>
      </c>
      <c r="T107" s="62"/>
      <c r="U107" s="62">
        <v>0</v>
      </c>
      <c r="V107" s="62"/>
      <c r="W107" s="72">
        <f t="shared" si="10"/>
        <v>0</v>
      </c>
      <c r="X107" s="62">
        <v>0</v>
      </c>
      <c r="Y107" s="62">
        <v>0</v>
      </c>
      <c r="Z107" s="62"/>
      <c r="AA107" s="62"/>
      <c r="AB107" s="62"/>
      <c r="AC107" s="72">
        <f t="shared" si="11"/>
        <v>0</v>
      </c>
      <c r="AD107" s="62">
        <v>0</v>
      </c>
      <c r="AE107" s="62"/>
      <c r="AF107" s="62">
        <v>0</v>
      </c>
      <c r="AG107" s="62"/>
      <c r="AH107" s="62"/>
      <c r="AI107" s="72">
        <f t="shared" si="12"/>
        <v>0</v>
      </c>
      <c r="AJ107" s="62"/>
      <c r="AK107" s="62"/>
      <c r="AL107" s="62"/>
      <c r="AM107" s="62"/>
      <c r="AN107" s="62"/>
      <c r="AO107" s="72" t="str">
        <f t="shared" si="13"/>
        <v>A</v>
      </c>
      <c r="AP107" s="62">
        <v>0</v>
      </c>
      <c r="AQ107" s="62">
        <v>0</v>
      </c>
      <c r="AR107" s="62">
        <v>0</v>
      </c>
      <c r="AS107" s="62"/>
      <c r="AT107" s="62"/>
      <c r="AU107" s="72">
        <f t="shared" si="14"/>
        <v>0</v>
      </c>
      <c r="AV107" s="62"/>
      <c r="AW107" s="62"/>
      <c r="AX107" s="62">
        <v>0</v>
      </c>
      <c r="AY107" s="62">
        <v>0</v>
      </c>
      <c r="AZ107" s="62">
        <v>0</v>
      </c>
      <c r="BA107" s="72">
        <f t="shared" si="15"/>
        <v>0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3</v>
      </c>
      <c r="M108" s="62">
        <v>4</v>
      </c>
      <c r="N108" s="62">
        <v>3</v>
      </c>
      <c r="O108" s="62">
        <v>3</v>
      </c>
      <c r="P108" s="62">
        <v>3</v>
      </c>
      <c r="Q108" s="72">
        <f t="shared" si="9"/>
        <v>3.2</v>
      </c>
      <c r="R108" s="62">
        <v>3</v>
      </c>
      <c r="S108" s="62">
        <v>3</v>
      </c>
      <c r="T108" s="7"/>
      <c r="U108" s="62">
        <v>3</v>
      </c>
      <c r="V108" s="7"/>
      <c r="W108" s="72">
        <f t="shared" si="10"/>
        <v>3</v>
      </c>
      <c r="X108" s="62">
        <v>3</v>
      </c>
      <c r="Y108" s="62">
        <v>3</v>
      </c>
      <c r="Z108" s="7"/>
      <c r="AA108" s="7"/>
      <c r="AB108" s="7"/>
      <c r="AC108" s="72">
        <f t="shared" si="11"/>
        <v>3</v>
      </c>
      <c r="AD108" s="62">
        <v>2</v>
      </c>
      <c r="AE108" s="7"/>
      <c r="AF108" s="62">
        <v>3</v>
      </c>
      <c r="AG108" s="7"/>
      <c r="AH108" s="7"/>
      <c r="AI108" s="72">
        <f t="shared" si="12"/>
        <v>2.5</v>
      </c>
      <c r="AJ108" s="7"/>
      <c r="AK108" s="7"/>
      <c r="AL108" s="7"/>
      <c r="AM108" s="7"/>
      <c r="AN108" s="7"/>
      <c r="AO108" s="72" t="str">
        <f t="shared" si="13"/>
        <v>A</v>
      </c>
      <c r="AP108" s="62">
        <v>3</v>
      </c>
      <c r="AQ108" s="62">
        <v>3</v>
      </c>
      <c r="AR108" s="62">
        <v>3</v>
      </c>
      <c r="AS108" s="7"/>
      <c r="AT108" s="7"/>
      <c r="AU108" s="72">
        <f t="shared" si="14"/>
        <v>3</v>
      </c>
      <c r="AV108" s="7"/>
      <c r="AW108" s="7"/>
      <c r="AX108" s="62">
        <v>5</v>
      </c>
      <c r="AY108" s="62">
        <v>3</v>
      </c>
      <c r="AZ108" s="62">
        <v>3</v>
      </c>
      <c r="BA108" s="72">
        <f t="shared" si="15"/>
        <v>3.6666666666666665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3</v>
      </c>
      <c r="M109" s="62">
        <v>3</v>
      </c>
      <c r="N109" s="62">
        <v>3</v>
      </c>
      <c r="O109" s="62">
        <v>3</v>
      </c>
      <c r="P109" s="62">
        <v>3</v>
      </c>
      <c r="Q109" s="72">
        <f t="shared" si="9"/>
        <v>3</v>
      </c>
      <c r="R109" s="62">
        <v>3</v>
      </c>
      <c r="S109" s="62">
        <v>3</v>
      </c>
      <c r="T109" s="62"/>
      <c r="U109" s="62">
        <v>3</v>
      </c>
      <c r="V109" s="62"/>
      <c r="W109" s="72">
        <f t="shared" si="10"/>
        <v>3</v>
      </c>
      <c r="X109" s="62">
        <v>3</v>
      </c>
      <c r="Y109" s="62">
        <v>3</v>
      </c>
      <c r="Z109" s="62"/>
      <c r="AA109" s="62"/>
      <c r="AB109" s="62"/>
      <c r="AC109" s="72">
        <f t="shared" si="11"/>
        <v>3</v>
      </c>
      <c r="AD109" s="62">
        <v>3</v>
      </c>
      <c r="AE109" s="62"/>
      <c r="AF109" s="62">
        <v>3</v>
      </c>
      <c r="AG109" s="62"/>
      <c r="AH109" s="62"/>
      <c r="AI109" s="72">
        <f t="shared" si="12"/>
        <v>3</v>
      </c>
      <c r="AJ109" s="62"/>
      <c r="AK109" s="62"/>
      <c r="AL109" s="62"/>
      <c r="AM109" s="62"/>
      <c r="AN109" s="62"/>
      <c r="AO109" s="72" t="str">
        <f t="shared" si="13"/>
        <v>A</v>
      </c>
      <c r="AP109" s="62">
        <v>3</v>
      </c>
      <c r="AQ109" s="62">
        <v>3</v>
      </c>
      <c r="AR109" s="62">
        <v>3</v>
      </c>
      <c r="AS109" s="62"/>
      <c r="AT109" s="62"/>
      <c r="AU109" s="72">
        <f t="shared" si="14"/>
        <v>3</v>
      </c>
      <c r="AV109" s="62"/>
      <c r="AW109" s="62"/>
      <c r="AX109" s="62">
        <v>3</v>
      </c>
      <c r="AY109" s="62">
        <v>3</v>
      </c>
      <c r="AZ109" s="62">
        <v>3</v>
      </c>
      <c r="BA109" s="72">
        <f t="shared" si="15"/>
        <v>3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3</v>
      </c>
      <c r="M110" s="62">
        <v>2</v>
      </c>
      <c r="N110" s="62">
        <v>3</v>
      </c>
      <c r="O110" s="62">
        <v>3</v>
      </c>
      <c r="P110" s="62">
        <v>3</v>
      </c>
      <c r="Q110" s="72">
        <f t="shared" si="9"/>
        <v>2.8</v>
      </c>
      <c r="R110" s="62">
        <v>3</v>
      </c>
      <c r="S110" s="62">
        <v>2</v>
      </c>
      <c r="T110" s="7"/>
      <c r="U110" s="62">
        <v>3</v>
      </c>
      <c r="V110" s="7"/>
      <c r="W110" s="72">
        <f t="shared" si="10"/>
        <v>2.6666666666666665</v>
      </c>
      <c r="X110" s="62">
        <v>3</v>
      </c>
      <c r="Y110" s="62">
        <v>3</v>
      </c>
      <c r="Z110" s="7"/>
      <c r="AA110" s="7"/>
      <c r="AB110" s="7"/>
      <c r="AC110" s="72">
        <f t="shared" si="11"/>
        <v>3</v>
      </c>
      <c r="AD110" s="62">
        <v>3</v>
      </c>
      <c r="AE110" s="7"/>
      <c r="AF110" s="62">
        <v>3</v>
      </c>
      <c r="AG110" s="7"/>
      <c r="AH110" s="7"/>
      <c r="AI110" s="72">
        <f t="shared" si="12"/>
        <v>3</v>
      </c>
      <c r="AJ110" s="7"/>
      <c r="AK110" s="7"/>
      <c r="AL110" s="7"/>
      <c r="AM110" s="7"/>
      <c r="AN110" s="7"/>
      <c r="AO110" s="72" t="str">
        <f t="shared" si="13"/>
        <v>A</v>
      </c>
      <c r="AP110" s="62">
        <v>2</v>
      </c>
      <c r="AQ110" s="62">
        <v>3</v>
      </c>
      <c r="AR110" s="62">
        <v>3</v>
      </c>
      <c r="AS110" s="7"/>
      <c r="AT110" s="7"/>
      <c r="AU110" s="72">
        <f t="shared" si="14"/>
        <v>2.6666666666666665</v>
      </c>
      <c r="AV110" s="7"/>
      <c r="AW110" s="7"/>
      <c r="AX110" s="62">
        <v>2</v>
      </c>
      <c r="AY110" s="62">
        <v>3</v>
      </c>
      <c r="AZ110" s="62">
        <v>2</v>
      </c>
      <c r="BA110" s="72">
        <f t="shared" si="15"/>
        <v>2.3333333333333335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3</v>
      </c>
      <c r="M111" s="62">
        <v>3</v>
      </c>
      <c r="N111" s="62">
        <v>3</v>
      </c>
      <c r="O111" s="62">
        <v>3</v>
      </c>
      <c r="P111" s="62">
        <v>3</v>
      </c>
      <c r="Q111" s="72">
        <f t="shared" si="9"/>
        <v>3</v>
      </c>
      <c r="R111" s="62">
        <v>3</v>
      </c>
      <c r="S111" s="62">
        <v>3</v>
      </c>
      <c r="T111" s="62"/>
      <c r="U111" s="62">
        <v>3</v>
      </c>
      <c r="V111" s="62"/>
      <c r="W111" s="72">
        <f t="shared" si="10"/>
        <v>3</v>
      </c>
      <c r="X111" s="62">
        <v>3</v>
      </c>
      <c r="Y111" s="62">
        <v>3</v>
      </c>
      <c r="Z111" s="62"/>
      <c r="AA111" s="62"/>
      <c r="AB111" s="62"/>
      <c r="AC111" s="72">
        <f t="shared" si="11"/>
        <v>3</v>
      </c>
      <c r="AD111" s="62">
        <v>3</v>
      </c>
      <c r="AE111" s="62"/>
      <c r="AF111" s="62">
        <v>3</v>
      </c>
      <c r="AG111" s="62"/>
      <c r="AH111" s="62"/>
      <c r="AI111" s="72">
        <f t="shared" si="12"/>
        <v>3</v>
      </c>
      <c r="AJ111" s="62"/>
      <c r="AK111" s="62"/>
      <c r="AL111" s="62"/>
      <c r="AM111" s="62"/>
      <c r="AN111" s="62"/>
      <c r="AO111" s="72" t="str">
        <f t="shared" si="13"/>
        <v>A</v>
      </c>
      <c r="AP111" s="62">
        <v>3</v>
      </c>
      <c r="AQ111" s="62">
        <v>3</v>
      </c>
      <c r="AR111" s="62">
        <v>3</v>
      </c>
      <c r="AS111" s="62"/>
      <c r="AT111" s="62"/>
      <c r="AU111" s="72">
        <f t="shared" si="14"/>
        <v>3</v>
      </c>
      <c r="AV111" s="62"/>
      <c r="AW111" s="62"/>
      <c r="AX111" s="62">
        <v>3</v>
      </c>
      <c r="AY111" s="62">
        <v>3</v>
      </c>
      <c r="AZ111" s="62">
        <v>4</v>
      </c>
      <c r="BA111" s="72">
        <f t="shared" si="15"/>
        <v>3.3333333333333335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3</v>
      </c>
      <c r="M112" s="62">
        <v>2</v>
      </c>
      <c r="N112" s="62">
        <v>3</v>
      </c>
      <c r="O112" s="62">
        <v>2</v>
      </c>
      <c r="P112" s="62">
        <v>2</v>
      </c>
      <c r="Q112" s="72">
        <f t="shared" si="9"/>
        <v>2.4</v>
      </c>
      <c r="R112" s="62">
        <v>3</v>
      </c>
      <c r="S112" s="62">
        <v>2</v>
      </c>
      <c r="T112" s="7"/>
      <c r="U112" s="62">
        <v>2</v>
      </c>
      <c r="V112" s="7"/>
      <c r="W112" s="72">
        <f t="shared" si="10"/>
        <v>2.3333333333333335</v>
      </c>
      <c r="X112" s="62">
        <v>3</v>
      </c>
      <c r="Y112" s="62">
        <v>2</v>
      </c>
      <c r="Z112" s="7"/>
      <c r="AA112" s="7"/>
      <c r="AB112" s="7"/>
      <c r="AC112" s="72">
        <f t="shared" si="11"/>
        <v>2.5</v>
      </c>
      <c r="AD112" s="62">
        <v>2</v>
      </c>
      <c r="AE112" s="7"/>
      <c r="AF112" s="62">
        <v>3</v>
      </c>
      <c r="AG112" s="7"/>
      <c r="AH112" s="7"/>
      <c r="AI112" s="72">
        <f t="shared" si="12"/>
        <v>2.5</v>
      </c>
      <c r="AJ112" s="7"/>
      <c r="AK112" s="7"/>
      <c r="AL112" s="7"/>
      <c r="AM112" s="7"/>
      <c r="AN112" s="7"/>
      <c r="AO112" s="72" t="str">
        <f t="shared" si="13"/>
        <v>A</v>
      </c>
      <c r="AP112" s="62">
        <v>2</v>
      </c>
      <c r="AQ112" s="62">
        <v>3</v>
      </c>
      <c r="AR112" s="62">
        <v>2</v>
      </c>
      <c r="AS112" s="7"/>
      <c r="AT112" s="7"/>
      <c r="AU112" s="72">
        <f t="shared" si="14"/>
        <v>2.3333333333333335</v>
      </c>
      <c r="AV112" s="7"/>
      <c r="AW112" s="7"/>
      <c r="AX112" s="62">
        <v>2</v>
      </c>
      <c r="AY112" s="62">
        <v>3</v>
      </c>
      <c r="AZ112" s="62">
        <v>4</v>
      </c>
      <c r="BA112" s="72">
        <f t="shared" si="15"/>
        <v>3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1</v>
      </c>
      <c r="M113" s="62">
        <v>1</v>
      </c>
      <c r="N113" s="62">
        <v>1</v>
      </c>
      <c r="O113" s="62">
        <v>1</v>
      </c>
      <c r="P113" s="62">
        <v>1</v>
      </c>
      <c r="Q113" s="72">
        <f t="shared" si="9"/>
        <v>1</v>
      </c>
      <c r="R113" s="62">
        <v>1</v>
      </c>
      <c r="S113" s="62">
        <v>1</v>
      </c>
      <c r="T113" s="62"/>
      <c r="U113" s="62">
        <v>1</v>
      </c>
      <c r="V113" s="62"/>
      <c r="W113" s="72">
        <f t="shared" si="10"/>
        <v>1</v>
      </c>
      <c r="X113" s="62">
        <v>1</v>
      </c>
      <c r="Y113" s="62">
        <v>1</v>
      </c>
      <c r="Z113" s="62"/>
      <c r="AA113" s="62"/>
      <c r="AB113" s="62"/>
      <c r="AC113" s="72">
        <f t="shared" si="11"/>
        <v>1</v>
      </c>
      <c r="AD113" s="62">
        <v>1</v>
      </c>
      <c r="AE113" s="62"/>
      <c r="AF113" s="62">
        <v>1</v>
      </c>
      <c r="AG113" s="62"/>
      <c r="AH113" s="62"/>
      <c r="AI113" s="72">
        <f t="shared" si="12"/>
        <v>1</v>
      </c>
      <c r="AJ113" s="62"/>
      <c r="AK113" s="62"/>
      <c r="AL113" s="62"/>
      <c r="AM113" s="62"/>
      <c r="AN113" s="62"/>
      <c r="AO113" s="72" t="str">
        <f t="shared" si="13"/>
        <v>A</v>
      </c>
      <c r="AP113" s="62">
        <v>1</v>
      </c>
      <c r="AQ113" s="62">
        <v>1</v>
      </c>
      <c r="AR113" s="62">
        <v>1</v>
      </c>
      <c r="AS113" s="62"/>
      <c r="AT113" s="62"/>
      <c r="AU113" s="72">
        <f t="shared" si="14"/>
        <v>1</v>
      </c>
      <c r="AV113" s="62"/>
      <c r="AW113" s="62"/>
      <c r="AX113" s="62">
        <v>1</v>
      </c>
      <c r="AY113" s="62">
        <v>1</v>
      </c>
      <c r="AZ113" s="62">
        <v>3</v>
      </c>
      <c r="BA113" s="72">
        <f t="shared" si="15"/>
        <v>1.6666666666666667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>
        <v>3</v>
      </c>
      <c r="N114" s="62">
        <v>2</v>
      </c>
      <c r="O114" s="62">
        <v>1</v>
      </c>
      <c r="P114" s="62">
        <v>2</v>
      </c>
      <c r="Q114" s="72">
        <f t="shared" si="9"/>
        <v>2.2000000000000002</v>
      </c>
      <c r="R114" s="62">
        <v>2</v>
      </c>
      <c r="S114" s="62">
        <v>2</v>
      </c>
      <c r="T114" s="7"/>
      <c r="U114" s="62">
        <v>2</v>
      </c>
      <c r="V114" s="7"/>
      <c r="W114" s="72">
        <f t="shared" si="10"/>
        <v>2</v>
      </c>
      <c r="X114" s="62">
        <v>2</v>
      </c>
      <c r="Y114" s="62">
        <v>2</v>
      </c>
      <c r="Z114" s="7"/>
      <c r="AA114" s="7"/>
      <c r="AB114" s="7"/>
      <c r="AC114" s="72">
        <f t="shared" si="11"/>
        <v>2</v>
      </c>
      <c r="AD114" s="62">
        <v>3</v>
      </c>
      <c r="AE114" s="7"/>
      <c r="AF114" s="62">
        <v>3</v>
      </c>
      <c r="AG114" s="7"/>
      <c r="AH114" s="7"/>
      <c r="AI114" s="72">
        <f t="shared" si="12"/>
        <v>3</v>
      </c>
      <c r="AJ114" s="7"/>
      <c r="AK114" s="7"/>
      <c r="AL114" s="7"/>
      <c r="AM114" s="7"/>
      <c r="AN114" s="7"/>
      <c r="AO114" s="72" t="str">
        <f t="shared" si="13"/>
        <v>A</v>
      </c>
      <c r="AP114" s="62">
        <v>1</v>
      </c>
      <c r="AQ114" s="62">
        <v>1</v>
      </c>
      <c r="AR114" s="62">
        <v>1</v>
      </c>
      <c r="AS114" s="7"/>
      <c r="AT114" s="7"/>
      <c r="AU114" s="72">
        <f t="shared" si="14"/>
        <v>1</v>
      </c>
      <c r="AV114" s="7"/>
      <c r="AW114" s="7"/>
      <c r="AX114" s="62">
        <v>5</v>
      </c>
      <c r="AY114" s="62">
        <v>3</v>
      </c>
      <c r="AZ114" s="62">
        <v>3</v>
      </c>
      <c r="BA114" s="72">
        <f t="shared" si="15"/>
        <v>3.6666666666666665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2</v>
      </c>
      <c r="M115" s="62">
        <v>3</v>
      </c>
      <c r="N115" s="62">
        <v>2</v>
      </c>
      <c r="O115" s="62">
        <v>2</v>
      </c>
      <c r="P115" s="62">
        <v>2</v>
      </c>
      <c r="Q115" s="72">
        <f t="shared" si="9"/>
        <v>2.2000000000000002</v>
      </c>
      <c r="R115" s="62">
        <v>2</v>
      </c>
      <c r="S115" s="62">
        <v>3</v>
      </c>
      <c r="T115" s="62"/>
      <c r="U115" s="62">
        <v>2</v>
      </c>
      <c r="V115" s="62"/>
      <c r="W115" s="72">
        <f t="shared" si="10"/>
        <v>2.3333333333333335</v>
      </c>
      <c r="X115" s="62">
        <v>2</v>
      </c>
      <c r="Y115" s="62">
        <v>2</v>
      </c>
      <c r="Z115" s="62"/>
      <c r="AA115" s="62"/>
      <c r="AB115" s="62"/>
      <c r="AC115" s="72">
        <f t="shared" si="11"/>
        <v>2</v>
      </c>
      <c r="AD115" s="62">
        <v>2</v>
      </c>
      <c r="AE115" s="62"/>
      <c r="AF115" s="62">
        <v>2</v>
      </c>
      <c r="AG115" s="62"/>
      <c r="AH115" s="62"/>
      <c r="AI115" s="72">
        <f t="shared" si="12"/>
        <v>2</v>
      </c>
      <c r="AJ115" s="62"/>
      <c r="AK115" s="62"/>
      <c r="AL115" s="62"/>
      <c r="AM115" s="62"/>
      <c r="AN115" s="62"/>
      <c r="AO115" s="72" t="str">
        <f t="shared" si="13"/>
        <v>A</v>
      </c>
      <c r="AP115" s="62">
        <v>3</v>
      </c>
      <c r="AQ115" s="62">
        <v>2</v>
      </c>
      <c r="AR115" s="62">
        <v>2</v>
      </c>
      <c r="AS115" s="62"/>
      <c r="AT115" s="62"/>
      <c r="AU115" s="72">
        <f t="shared" si="14"/>
        <v>2.3333333333333335</v>
      </c>
      <c r="AV115" s="62"/>
      <c r="AW115" s="62"/>
      <c r="AX115" s="62">
        <v>3</v>
      </c>
      <c r="AY115" s="62">
        <v>2</v>
      </c>
      <c r="AZ115" s="62">
        <v>3</v>
      </c>
      <c r="BA115" s="72">
        <f t="shared" si="15"/>
        <v>2.6666666666666665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2</v>
      </c>
      <c r="M116" s="62">
        <v>2</v>
      </c>
      <c r="N116" s="62">
        <v>2</v>
      </c>
      <c r="O116" s="62">
        <v>2</v>
      </c>
      <c r="P116" s="62">
        <v>2</v>
      </c>
      <c r="Q116" s="72">
        <f t="shared" si="9"/>
        <v>2</v>
      </c>
      <c r="R116" s="62">
        <v>2</v>
      </c>
      <c r="S116" s="62">
        <v>2</v>
      </c>
      <c r="T116" s="7"/>
      <c r="U116" s="62">
        <v>2</v>
      </c>
      <c r="V116" s="7"/>
      <c r="W116" s="72">
        <f t="shared" si="10"/>
        <v>2</v>
      </c>
      <c r="X116" s="62">
        <v>2</v>
      </c>
      <c r="Y116" s="62">
        <v>2</v>
      </c>
      <c r="Z116" s="7"/>
      <c r="AA116" s="7"/>
      <c r="AB116" s="7"/>
      <c r="AC116" s="72">
        <f t="shared" si="11"/>
        <v>2</v>
      </c>
      <c r="AD116" s="62">
        <v>2</v>
      </c>
      <c r="AE116" s="7"/>
      <c r="AF116" s="62">
        <v>2</v>
      </c>
      <c r="AG116" s="7"/>
      <c r="AH116" s="7"/>
      <c r="AI116" s="72">
        <f t="shared" si="12"/>
        <v>2</v>
      </c>
      <c r="AJ116" s="7"/>
      <c r="AK116" s="7"/>
      <c r="AL116" s="7"/>
      <c r="AM116" s="7"/>
      <c r="AN116" s="7"/>
      <c r="AO116" s="72" t="str">
        <f t="shared" si="13"/>
        <v>A</v>
      </c>
      <c r="AP116" s="62">
        <v>2</v>
      </c>
      <c r="AQ116" s="62">
        <v>2</v>
      </c>
      <c r="AR116" s="62">
        <v>2</v>
      </c>
      <c r="AS116" s="7"/>
      <c r="AT116" s="7"/>
      <c r="AU116" s="72">
        <f t="shared" si="14"/>
        <v>2</v>
      </c>
      <c r="AV116" s="7"/>
      <c r="AW116" s="7"/>
      <c r="AX116" s="62">
        <v>2</v>
      </c>
      <c r="AY116" s="62">
        <v>2</v>
      </c>
      <c r="AZ116" s="62">
        <v>1</v>
      </c>
      <c r="BA116" s="72">
        <f t="shared" si="15"/>
        <v>1.6666666666666667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2</v>
      </c>
      <c r="M117" s="62">
        <v>2</v>
      </c>
      <c r="N117" s="62">
        <v>2</v>
      </c>
      <c r="O117" s="62">
        <v>2</v>
      </c>
      <c r="P117" s="62">
        <v>2</v>
      </c>
      <c r="Q117" s="72">
        <f t="shared" si="9"/>
        <v>2</v>
      </c>
      <c r="R117" s="62">
        <v>2</v>
      </c>
      <c r="S117" s="62">
        <v>2</v>
      </c>
      <c r="T117" s="62"/>
      <c r="U117" s="62">
        <v>2</v>
      </c>
      <c r="V117" s="62"/>
      <c r="W117" s="72">
        <f t="shared" si="10"/>
        <v>2</v>
      </c>
      <c r="X117" s="62">
        <v>2</v>
      </c>
      <c r="Y117" s="62">
        <v>2</v>
      </c>
      <c r="Z117" s="62"/>
      <c r="AA117" s="62"/>
      <c r="AB117" s="62"/>
      <c r="AC117" s="72">
        <f t="shared" si="11"/>
        <v>2</v>
      </c>
      <c r="AD117" s="62">
        <v>2</v>
      </c>
      <c r="AE117" s="62"/>
      <c r="AF117" s="62">
        <v>2</v>
      </c>
      <c r="AG117" s="62"/>
      <c r="AH117" s="62"/>
      <c r="AI117" s="72">
        <f t="shared" si="12"/>
        <v>2</v>
      </c>
      <c r="AJ117" s="62"/>
      <c r="AK117" s="62"/>
      <c r="AL117" s="62"/>
      <c r="AM117" s="62"/>
      <c r="AN117" s="62"/>
      <c r="AO117" s="72" t="str">
        <f t="shared" si="13"/>
        <v>A</v>
      </c>
      <c r="AP117" s="62">
        <v>2</v>
      </c>
      <c r="AQ117" s="62">
        <v>2</v>
      </c>
      <c r="AR117" s="62">
        <v>2</v>
      </c>
      <c r="AS117" s="62"/>
      <c r="AT117" s="62"/>
      <c r="AU117" s="72">
        <f t="shared" si="14"/>
        <v>2</v>
      </c>
      <c r="AV117" s="62"/>
      <c r="AW117" s="62"/>
      <c r="AX117" s="62">
        <v>2</v>
      </c>
      <c r="AY117" s="62">
        <v>2</v>
      </c>
      <c r="AZ117" s="62">
        <v>1</v>
      </c>
      <c r="BA117" s="72">
        <f t="shared" si="15"/>
        <v>1.6666666666666667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>
        <v>3</v>
      </c>
      <c r="N118" s="62">
        <v>2</v>
      </c>
      <c r="O118" s="62">
        <v>3</v>
      </c>
      <c r="P118" s="62">
        <v>2</v>
      </c>
      <c r="Q118" s="72">
        <f t="shared" si="9"/>
        <v>2.6</v>
      </c>
      <c r="R118" s="62">
        <v>2</v>
      </c>
      <c r="S118" s="62">
        <v>2</v>
      </c>
      <c r="T118" s="7"/>
      <c r="U118" s="62">
        <v>2</v>
      </c>
      <c r="V118" s="7"/>
      <c r="W118" s="72">
        <f t="shared" si="10"/>
        <v>2</v>
      </c>
      <c r="X118" s="62">
        <v>2</v>
      </c>
      <c r="Y118" s="62">
        <v>3</v>
      </c>
      <c r="Z118" s="7"/>
      <c r="AA118" s="7"/>
      <c r="AB118" s="7"/>
      <c r="AC118" s="72">
        <f t="shared" si="11"/>
        <v>2.5</v>
      </c>
      <c r="AD118" s="62">
        <v>2</v>
      </c>
      <c r="AE118" s="7"/>
      <c r="AF118" s="62">
        <v>3</v>
      </c>
      <c r="AG118" s="7"/>
      <c r="AH118" s="7"/>
      <c r="AI118" s="72">
        <f t="shared" si="12"/>
        <v>2.5</v>
      </c>
      <c r="AJ118" s="7"/>
      <c r="AK118" s="7"/>
      <c r="AL118" s="7"/>
      <c r="AM118" s="7"/>
      <c r="AN118" s="7"/>
      <c r="AO118" s="72" t="str">
        <f t="shared" si="13"/>
        <v>A</v>
      </c>
      <c r="AP118" s="62">
        <v>3</v>
      </c>
      <c r="AQ118" s="62">
        <v>3</v>
      </c>
      <c r="AR118" s="62">
        <v>3</v>
      </c>
      <c r="AS118" s="7"/>
      <c r="AT118" s="7"/>
      <c r="AU118" s="72">
        <f t="shared" si="14"/>
        <v>3</v>
      </c>
      <c r="AV118" s="7"/>
      <c r="AW118" s="7"/>
      <c r="AX118" s="62">
        <v>3</v>
      </c>
      <c r="AY118" s="62">
        <v>3</v>
      </c>
      <c r="AZ118" s="62">
        <v>2</v>
      </c>
      <c r="BA118" s="72">
        <f t="shared" si="15"/>
        <v>2.6666666666666665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4</v>
      </c>
      <c r="M119" s="62">
        <v>3</v>
      </c>
      <c r="N119" s="62">
        <v>3</v>
      </c>
      <c r="O119" s="62">
        <v>4</v>
      </c>
      <c r="P119" s="62">
        <v>4</v>
      </c>
      <c r="Q119" s="72">
        <f t="shared" si="9"/>
        <v>3.6</v>
      </c>
      <c r="R119" s="62">
        <v>4</v>
      </c>
      <c r="S119" s="62">
        <v>3</v>
      </c>
      <c r="T119" s="62"/>
      <c r="U119" s="62">
        <v>4</v>
      </c>
      <c r="V119" s="62"/>
      <c r="W119" s="72">
        <f t="shared" si="10"/>
        <v>3.6666666666666665</v>
      </c>
      <c r="X119" s="62">
        <v>3</v>
      </c>
      <c r="Y119" s="62">
        <v>4</v>
      </c>
      <c r="Z119" s="62"/>
      <c r="AA119" s="62"/>
      <c r="AB119" s="62"/>
      <c r="AC119" s="72">
        <f t="shared" si="11"/>
        <v>3.5</v>
      </c>
      <c r="AD119" s="62">
        <v>4</v>
      </c>
      <c r="AE119" s="62"/>
      <c r="AF119" s="62">
        <v>3</v>
      </c>
      <c r="AG119" s="62"/>
      <c r="AH119" s="62"/>
      <c r="AI119" s="72">
        <f t="shared" si="12"/>
        <v>3.5</v>
      </c>
      <c r="AJ119" s="62"/>
      <c r="AK119" s="62"/>
      <c r="AL119" s="62"/>
      <c r="AM119" s="62"/>
      <c r="AN119" s="62"/>
      <c r="AO119" s="72" t="str">
        <f t="shared" si="13"/>
        <v>A</v>
      </c>
      <c r="AP119" s="62">
        <v>3</v>
      </c>
      <c r="AQ119" s="62">
        <v>3</v>
      </c>
      <c r="AR119" s="62">
        <v>4</v>
      </c>
      <c r="AS119" s="62"/>
      <c r="AT119" s="62"/>
      <c r="AU119" s="72">
        <f t="shared" si="14"/>
        <v>3.3333333333333335</v>
      </c>
      <c r="AV119" s="62"/>
      <c r="AW119" s="62"/>
      <c r="AX119" s="62">
        <v>3</v>
      </c>
      <c r="AY119" s="62">
        <v>3</v>
      </c>
      <c r="AZ119" s="62">
        <v>0</v>
      </c>
      <c r="BA119" s="72">
        <f t="shared" si="15"/>
        <v>2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4</v>
      </c>
      <c r="M120" s="62">
        <v>4</v>
      </c>
      <c r="N120" s="62">
        <v>4</v>
      </c>
      <c r="O120" s="62">
        <v>3</v>
      </c>
      <c r="P120" s="62">
        <v>4</v>
      </c>
      <c r="Q120" s="72">
        <f t="shared" si="9"/>
        <v>3.8</v>
      </c>
      <c r="R120" s="62">
        <v>4</v>
      </c>
      <c r="S120" s="62">
        <v>4</v>
      </c>
      <c r="T120" s="7"/>
      <c r="U120" s="62">
        <v>4</v>
      </c>
      <c r="V120" s="7"/>
      <c r="W120" s="72">
        <f t="shared" si="10"/>
        <v>4</v>
      </c>
      <c r="X120" s="62">
        <v>4</v>
      </c>
      <c r="Y120" s="62">
        <v>4</v>
      </c>
      <c r="Z120" s="7"/>
      <c r="AA120" s="7"/>
      <c r="AB120" s="7"/>
      <c r="AC120" s="72">
        <f t="shared" si="11"/>
        <v>4</v>
      </c>
      <c r="AD120" s="62">
        <v>4</v>
      </c>
      <c r="AE120" s="7"/>
      <c r="AF120" s="62">
        <v>3</v>
      </c>
      <c r="AG120" s="7"/>
      <c r="AH120" s="7"/>
      <c r="AI120" s="72">
        <f t="shared" si="12"/>
        <v>3.5</v>
      </c>
      <c r="AJ120" s="7"/>
      <c r="AK120" s="7"/>
      <c r="AL120" s="7"/>
      <c r="AM120" s="7"/>
      <c r="AN120" s="7"/>
      <c r="AO120" s="72" t="str">
        <f t="shared" si="13"/>
        <v>A</v>
      </c>
      <c r="AP120" s="62">
        <v>3</v>
      </c>
      <c r="AQ120" s="62">
        <v>3</v>
      </c>
      <c r="AR120" s="62">
        <v>3</v>
      </c>
      <c r="AS120" s="7"/>
      <c r="AT120" s="7"/>
      <c r="AU120" s="72">
        <f t="shared" si="14"/>
        <v>3</v>
      </c>
      <c r="AV120" s="7"/>
      <c r="AW120" s="7"/>
      <c r="AX120" s="62">
        <v>3</v>
      </c>
      <c r="AY120" s="62">
        <v>3</v>
      </c>
      <c r="AZ120" s="62">
        <v>4</v>
      </c>
      <c r="BA120" s="72">
        <f t="shared" si="15"/>
        <v>3.3333333333333335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4</v>
      </c>
      <c r="M121" s="62">
        <v>4</v>
      </c>
      <c r="N121" s="62">
        <v>4</v>
      </c>
      <c r="O121" s="62">
        <v>3</v>
      </c>
      <c r="P121" s="62">
        <v>4</v>
      </c>
      <c r="Q121" s="72">
        <f t="shared" si="9"/>
        <v>3.8</v>
      </c>
      <c r="R121" s="62">
        <v>4</v>
      </c>
      <c r="S121" s="62">
        <v>4</v>
      </c>
      <c r="T121" s="62"/>
      <c r="U121" s="62">
        <v>4</v>
      </c>
      <c r="V121" s="62"/>
      <c r="W121" s="72">
        <f t="shared" si="10"/>
        <v>4</v>
      </c>
      <c r="X121" s="62">
        <v>4</v>
      </c>
      <c r="Y121" s="62">
        <v>3</v>
      </c>
      <c r="Z121" s="62"/>
      <c r="AA121" s="62"/>
      <c r="AB121" s="62"/>
      <c r="AC121" s="72">
        <f t="shared" si="11"/>
        <v>3.5</v>
      </c>
      <c r="AD121" s="62">
        <v>4</v>
      </c>
      <c r="AE121" s="62"/>
      <c r="AF121" s="62">
        <v>2</v>
      </c>
      <c r="AG121" s="62"/>
      <c r="AH121" s="62"/>
      <c r="AI121" s="72">
        <f t="shared" si="12"/>
        <v>3</v>
      </c>
      <c r="AJ121" s="62"/>
      <c r="AK121" s="62"/>
      <c r="AL121" s="62"/>
      <c r="AM121" s="62"/>
      <c r="AN121" s="62"/>
      <c r="AO121" s="72" t="str">
        <f t="shared" si="13"/>
        <v>A</v>
      </c>
      <c r="AP121" s="62">
        <v>3</v>
      </c>
      <c r="AQ121" s="62">
        <v>3</v>
      </c>
      <c r="AR121" s="62">
        <v>3</v>
      </c>
      <c r="AS121" s="62"/>
      <c r="AT121" s="62"/>
      <c r="AU121" s="72">
        <f t="shared" si="14"/>
        <v>3</v>
      </c>
      <c r="AV121" s="62"/>
      <c r="AW121" s="62"/>
      <c r="AX121" s="62">
        <v>3</v>
      </c>
      <c r="AY121" s="62">
        <v>3</v>
      </c>
      <c r="AZ121" s="62">
        <v>4</v>
      </c>
      <c r="BA121" s="72">
        <f t="shared" si="15"/>
        <v>3.3333333333333335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2</v>
      </c>
      <c r="M122" s="62">
        <v>2</v>
      </c>
      <c r="N122" s="62">
        <v>2</v>
      </c>
      <c r="O122" s="62">
        <v>1</v>
      </c>
      <c r="P122" s="62">
        <v>2</v>
      </c>
      <c r="Q122" s="72">
        <f t="shared" si="9"/>
        <v>1.8</v>
      </c>
      <c r="R122" s="62">
        <v>1</v>
      </c>
      <c r="S122" s="62">
        <v>1</v>
      </c>
      <c r="T122" s="7"/>
      <c r="U122" s="62">
        <v>1</v>
      </c>
      <c r="V122" s="7"/>
      <c r="W122" s="72">
        <f t="shared" si="10"/>
        <v>1</v>
      </c>
      <c r="X122" s="62">
        <v>1</v>
      </c>
      <c r="Y122" s="62">
        <v>1</v>
      </c>
      <c r="Z122" s="7"/>
      <c r="AA122" s="7"/>
      <c r="AB122" s="7"/>
      <c r="AC122" s="72">
        <f t="shared" si="11"/>
        <v>1</v>
      </c>
      <c r="AD122" s="62">
        <v>1</v>
      </c>
      <c r="AE122" s="7"/>
      <c r="AF122" s="62">
        <v>1</v>
      </c>
      <c r="AG122" s="7"/>
      <c r="AH122" s="7"/>
      <c r="AI122" s="72">
        <f t="shared" si="12"/>
        <v>1</v>
      </c>
      <c r="AJ122" s="7"/>
      <c r="AK122" s="7"/>
      <c r="AL122" s="7"/>
      <c r="AM122" s="7"/>
      <c r="AN122" s="7"/>
      <c r="AO122" s="72" t="str">
        <f t="shared" si="13"/>
        <v>A</v>
      </c>
      <c r="AP122" s="62">
        <v>1</v>
      </c>
      <c r="AQ122" s="62">
        <v>1</v>
      </c>
      <c r="AR122" s="62">
        <v>1</v>
      </c>
      <c r="AS122" s="7"/>
      <c r="AT122" s="7"/>
      <c r="AU122" s="72">
        <f t="shared" si="14"/>
        <v>1</v>
      </c>
      <c r="AV122" s="7"/>
      <c r="AW122" s="7"/>
      <c r="AX122" s="62">
        <v>1</v>
      </c>
      <c r="AY122" s="62">
        <v>1</v>
      </c>
      <c r="AZ122" s="62">
        <v>1</v>
      </c>
      <c r="BA122" s="72">
        <f t="shared" si="15"/>
        <v>1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2</v>
      </c>
      <c r="M123" s="62">
        <v>2</v>
      </c>
      <c r="N123" s="62">
        <v>2</v>
      </c>
      <c r="O123" s="62">
        <v>3</v>
      </c>
      <c r="P123" s="62">
        <v>2</v>
      </c>
      <c r="Q123" s="72">
        <f t="shared" si="9"/>
        <v>2.2000000000000002</v>
      </c>
      <c r="R123" s="62">
        <v>3</v>
      </c>
      <c r="S123" s="62">
        <v>3</v>
      </c>
      <c r="T123" s="62"/>
      <c r="U123" s="62">
        <v>3</v>
      </c>
      <c r="V123" s="62"/>
      <c r="W123" s="72">
        <f t="shared" si="10"/>
        <v>3</v>
      </c>
      <c r="X123" s="62">
        <v>3</v>
      </c>
      <c r="Y123" s="62">
        <v>3</v>
      </c>
      <c r="Z123" s="62"/>
      <c r="AA123" s="62"/>
      <c r="AB123" s="62"/>
      <c r="AC123" s="72">
        <f t="shared" si="11"/>
        <v>3</v>
      </c>
      <c r="AD123" s="62">
        <v>4</v>
      </c>
      <c r="AE123" s="62"/>
      <c r="AF123" s="62">
        <v>4</v>
      </c>
      <c r="AG123" s="62"/>
      <c r="AH123" s="62"/>
      <c r="AI123" s="72">
        <f t="shared" si="12"/>
        <v>4</v>
      </c>
      <c r="AJ123" s="62"/>
      <c r="AK123" s="62"/>
      <c r="AL123" s="62"/>
      <c r="AM123" s="62"/>
      <c r="AN123" s="62"/>
      <c r="AO123" s="72" t="str">
        <f t="shared" si="13"/>
        <v>A</v>
      </c>
      <c r="AP123" s="62">
        <v>3</v>
      </c>
      <c r="AQ123" s="62">
        <v>3</v>
      </c>
      <c r="AR123" s="62">
        <v>3</v>
      </c>
      <c r="AS123" s="62"/>
      <c r="AT123" s="62"/>
      <c r="AU123" s="72">
        <f t="shared" si="14"/>
        <v>3</v>
      </c>
      <c r="AV123" s="62"/>
      <c r="AW123" s="62"/>
      <c r="AX123" s="62">
        <v>5</v>
      </c>
      <c r="AY123" s="62">
        <v>4</v>
      </c>
      <c r="AZ123" s="62">
        <v>3</v>
      </c>
      <c r="BA123" s="72">
        <f t="shared" si="15"/>
        <v>4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3</v>
      </c>
      <c r="M124" s="62">
        <v>3</v>
      </c>
      <c r="N124" s="62">
        <v>3</v>
      </c>
      <c r="O124" s="62">
        <v>3</v>
      </c>
      <c r="P124" s="62">
        <v>3</v>
      </c>
      <c r="Q124" s="72">
        <f t="shared" si="9"/>
        <v>3</v>
      </c>
      <c r="R124" s="62">
        <v>4</v>
      </c>
      <c r="S124" s="62">
        <v>4</v>
      </c>
      <c r="T124" s="7"/>
      <c r="U124" s="62">
        <v>4</v>
      </c>
      <c r="V124" s="7"/>
      <c r="W124" s="72">
        <f t="shared" si="10"/>
        <v>4</v>
      </c>
      <c r="X124" s="62">
        <v>3</v>
      </c>
      <c r="Y124" s="62">
        <v>3</v>
      </c>
      <c r="Z124" s="7"/>
      <c r="AA124" s="7"/>
      <c r="AB124" s="7"/>
      <c r="AC124" s="72">
        <f t="shared" si="11"/>
        <v>3</v>
      </c>
      <c r="AD124" s="62">
        <v>4</v>
      </c>
      <c r="AE124" s="7"/>
      <c r="AF124" s="62">
        <v>4</v>
      </c>
      <c r="AG124" s="7"/>
      <c r="AH124" s="7"/>
      <c r="AI124" s="72">
        <f t="shared" si="12"/>
        <v>4</v>
      </c>
      <c r="AJ124" s="7"/>
      <c r="AK124" s="7"/>
      <c r="AL124" s="7"/>
      <c r="AM124" s="7"/>
      <c r="AN124" s="7"/>
      <c r="AO124" s="72" t="str">
        <f t="shared" si="13"/>
        <v>A</v>
      </c>
      <c r="AP124" s="62">
        <v>3</v>
      </c>
      <c r="AQ124" s="62">
        <v>3</v>
      </c>
      <c r="AR124" s="62">
        <v>3</v>
      </c>
      <c r="AS124" s="7"/>
      <c r="AT124" s="7"/>
      <c r="AU124" s="72">
        <f t="shared" si="14"/>
        <v>3</v>
      </c>
      <c r="AV124" s="7"/>
      <c r="AW124" s="7"/>
      <c r="AX124" s="62">
        <v>5</v>
      </c>
      <c r="AY124" s="62">
        <v>4</v>
      </c>
      <c r="AZ124" s="62">
        <v>3</v>
      </c>
      <c r="BA124" s="72">
        <f t="shared" si="15"/>
        <v>4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2</v>
      </c>
      <c r="M125" s="62">
        <v>2</v>
      </c>
      <c r="N125" s="62">
        <v>2</v>
      </c>
      <c r="O125" s="62">
        <v>3</v>
      </c>
      <c r="P125" s="62">
        <v>2</v>
      </c>
      <c r="Q125" s="72">
        <f t="shared" si="9"/>
        <v>2.2000000000000002</v>
      </c>
      <c r="R125" s="62">
        <v>3</v>
      </c>
      <c r="S125" s="62">
        <v>3</v>
      </c>
      <c r="T125" s="62"/>
      <c r="U125" s="62">
        <v>3</v>
      </c>
      <c r="V125" s="62"/>
      <c r="W125" s="72">
        <f t="shared" si="10"/>
        <v>3</v>
      </c>
      <c r="X125" s="62">
        <v>3</v>
      </c>
      <c r="Y125" s="62">
        <v>3</v>
      </c>
      <c r="Z125" s="62"/>
      <c r="AA125" s="62"/>
      <c r="AB125" s="62"/>
      <c r="AC125" s="72">
        <f t="shared" si="11"/>
        <v>3</v>
      </c>
      <c r="AD125" s="62">
        <v>3</v>
      </c>
      <c r="AE125" s="62"/>
      <c r="AF125" s="62">
        <v>3</v>
      </c>
      <c r="AG125" s="62"/>
      <c r="AH125" s="62"/>
      <c r="AI125" s="72">
        <f t="shared" si="12"/>
        <v>3</v>
      </c>
      <c r="AJ125" s="62"/>
      <c r="AK125" s="62"/>
      <c r="AL125" s="62"/>
      <c r="AM125" s="62"/>
      <c r="AN125" s="62"/>
      <c r="AO125" s="72" t="str">
        <f t="shared" si="13"/>
        <v>A</v>
      </c>
      <c r="AP125" s="62">
        <v>3</v>
      </c>
      <c r="AQ125" s="62">
        <v>3</v>
      </c>
      <c r="AR125" s="62">
        <v>3</v>
      </c>
      <c r="AS125" s="62"/>
      <c r="AT125" s="62"/>
      <c r="AU125" s="72">
        <f t="shared" si="14"/>
        <v>3</v>
      </c>
      <c r="AV125" s="62"/>
      <c r="AW125" s="62"/>
      <c r="AX125" s="62">
        <v>3</v>
      </c>
      <c r="AY125" s="62">
        <v>3</v>
      </c>
      <c r="AZ125" s="62">
        <v>3</v>
      </c>
      <c r="BA125" s="72">
        <f t="shared" si="15"/>
        <v>3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0</v>
      </c>
      <c r="M126" s="62">
        <v>0</v>
      </c>
      <c r="N126" s="62">
        <v>0</v>
      </c>
      <c r="O126" s="62">
        <v>0</v>
      </c>
      <c r="P126" s="62">
        <v>0</v>
      </c>
      <c r="Q126" s="72">
        <f t="shared" si="9"/>
        <v>0</v>
      </c>
      <c r="R126" s="62">
        <v>0</v>
      </c>
      <c r="S126" s="62">
        <v>0</v>
      </c>
      <c r="T126" s="7"/>
      <c r="U126" s="62">
        <v>0</v>
      </c>
      <c r="V126" s="7"/>
      <c r="W126" s="72">
        <f t="shared" si="10"/>
        <v>0</v>
      </c>
      <c r="X126" s="62">
        <v>0</v>
      </c>
      <c r="Y126" s="62">
        <v>0</v>
      </c>
      <c r="Z126" s="7"/>
      <c r="AA126" s="7"/>
      <c r="AB126" s="7"/>
      <c r="AC126" s="72">
        <f t="shared" si="11"/>
        <v>0</v>
      </c>
      <c r="AD126" s="62">
        <v>0</v>
      </c>
      <c r="AE126" s="7"/>
      <c r="AF126" s="62">
        <v>0</v>
      </c>
      <c r="AG126" s="7"/>
      <c r="AH126" s="7"/>
      <c r="AI126" s="72">
        <f t="shared" si="12"/>
        <v>0</v>
      </c>
      <c r="AJ126" s="7"/>
      <c r="AK126" s="7"/>
      <c r="AL126" s="7"/>
      <c r="AM126" s="7"/>
      <c r="AN126" s="7"/>
      <c r="AO126" s="72" t="str">
        <f t="shared" si="13"/>
        <v>A</v>
      </c>
      <c r="AP126" s="62">
        <v>0</v>
      </c>
      <c r="AQ126" s="62">
        <v>0</v>
      </c>
      <c r="AR126" s="62">
        <v>0</v>
      </c>
      <c r="AS126" s="7"/>
      <c r="AT126" s="7"/>
      <c r="AU126" s="72">
        <f t="shared" si="14"/>
        <v>0</v>
      </c>
      <c r="AV126" s="7"/>
      <c r="AW126" s="7"/>
      <c r="AX126" s="62">
        <v>0</v>
      </c>
      <c r="AY126" s="62">
        <v>0</v>
      </c>
      <c r="AZ126" s="62">
        <v>0</v>
      </c>
      <c r="BA126" s="72">
        <f t="shared" si="15"/>
        <v>0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4</v>
      </c>
      <c r="M127" s="62">
        <v>4</v>
      </c>
      <c r="N127" s="62">
        <v>4</v>
      </c>
      <c r="O127" s="62">
        <v>4</v>
      </c>
      <c r="P127" s="62">
        <v>4</v>
      </c>
      <c r="Q127" s="72">
        <f t="shared" si="9"/>
        <v>4</v>
      </c>
      <c r="R127" s="62">
        <v>4</v>
      </c>
      <c r="S127" s="62">
        <v>4</v>
      </c>
      <c r="T127" s="62"/>
      <c r="U127" s="62">
        <v>4</v>
      </c>
      <c r="V127" s="62"/>
      <c r="W127" s="72">
        <f t="shared" si="10"/>
        <v>4</v>
      </c>
      <c r="X127" s="62">
        <v>4</v>
      </c>
      <c r="Y127" s="62">
        <v>4</v>
      </c>
      <c r="Z127" s="62"/>
      <c r="AA127" s="62"/>
      <c r="AB127" s="62"/>
      <c r="AC127" s="72">
        <f t="shared" si="11"/>
        <v>4</v>
      </c>
      <c r="AD127" s="62">
        <v>4</v>
      </c>
      <c r="AE127" s="62"/>
      <c r="AF127" s="62">
        <v>4</v>
      </c>
      <c r="AG127" s="62"/>
      <c r="AH127" s="62"/>
      <c r="AI127" s="72">
        <f t="shared" si="12"/>
        <v>4</v>
      </c>
      <c r="AJ127" s="62"/>
      <c r="AK127" s="62"/>
      <c r="AL127" s="62"/>
      <c r="AM127" s="62"/>
      <c r="AN127" s="62"/>
      <c r="AO127" s="72" t="str">
        <f t="shared" si="13"/>
        <v>A</v>
      </c>
      <c r="AP127" s="62">
        <v>4</v>
      </c>
      <c r="AQ127" s="62">
        <v>4</v>
      </c>
      <c r="AR127" s="62">
        <v>4</v>
      </c>
      <c r="AS127" s="62"/>
      <c r="AT127" s="62"/>
      <c r="AU127" s="72">
        <f t="shared" si="14"/>
        <v>4</v>
      </c>
      <c r="AV127" s="62"/>
      <c r="AW127" s="62"/>
      <c r="AX127" s="62">
        <v>4</v>
      </c>
      <c r="AY127" s="62">
        <v>4</v>
      </c>
      <c r="AZ127" s="62">
        <v>0</v>
      </c>
      <c r="BA127" s="72">
        <f t="shared" si="15"/>
        <v>2.6666666666666665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3</v>
      </c>
      <c r="M128" s="62">
        <v>2</v>
      </c>
      <c r="N128" s="62">
        <v>3</v>
      </c>
      <c r="O128" s="62">
        <v>3</v>
      </c>
      <c r="P128" s="62">
        <v>3</v>
      </c>
      <c r="Q128" s="72">
        <f t="shared" si="9"/>
        <v>2.8</v>
      </c>
      <c r="R128" s="62">
        <v>3</v>
      </c>
      <c r="S128" s="62">
        <v>2</v>
      </c>
      <c r="T128" s="7"/>
      <c r="U128" s="62">
        <v>3</v>
      </c>
      <c r="V128" s="7"/>
      <c r="W128" s="72">
        <f t="shared" si="10"/>
        <v>2.6666666666666665</v>
      </c>
      <c r="X128" s="62">
        <v>3</v>
      </c>
      <c r="Y128" s="62">
        <v>3</v>
      </c>
      <c r="Z128" s="7"/>
      <c r="AA128" s="7"/>
      <c r="AB128" s="7"/>
      <c r="AC128" s="72">
        <f t="shared" si="11"/>
        <v>3</v>
      </c>
      <c r="AD128" s="62">
        <v>3</v>
      </c>
      <c r="AE128" s="7"/>
      <c r="AF128" s="62">
        <v>3</v>
      </c>
      <c r="AG128" s="7"/>
      <c r="AH128" s="7"/>
      <c r="AI128" s="72">
        <f t="shared" si="12"/>
        <v>3</v>
      </c>
      <c r="AJ128" s="7"/>
      <c r="AK128" s="7"/>
      <c r="AL128" s="7"/>
      <c r="AM128" s="7"/>
      <c r="AN128" s="7"/>
      <c r="AO128" s="72" t="str">
        <f t="shared" si="13"/>
        <v>A</v>
      </c>
      <c r="AP128" s="62">
        <v>2</v>
      </c>
      <c r="AQ128" s="62">
        <v>3</v>
      </c>
      <c r="AR128" s="62">
        <v>3</v>
      </c>
      <c r="AS128" s="7"/>
      <c r="AT128" s="7"/>
      <c r="AU128" s="72">
        <f t="shared" si="14"/>
        <v>2.6666666666666665</v>
      </c>
      <c r="AV128" s="7"/>
      <c r="AW128" s="7"/>
      <c r="AX128" s="62">
        <v>2</v>
      </c>
      <c r="AY128" s="62">
        <v>3</v>
      </c>
      <c r="AZ128" s="62">
        <v>0</v>
      </c>
      <c r="BA128" s="72">
        <f t="shared" si="15"/>
        <v>1.6666666666666667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3</v>
      </c>
      <c r="M129" s="62">
        <v>3</v>
      </c>
      <c r="N129" s="62">
        <v>2</v>
      </c>
      <c r="O129" s="62">
        <v>3</v>
      </c>
      <c r="P129" s="62">
        <v>3</v>
      </c>
      <c r="Q129" s="72">
        <f t="shared" si="9"/>
        <v>2.8</v>
      </c>
      <c r="R129" s="62">
        <v>3</v>
      </c>
      <c r="S129" s="62">
        <v>3</v>
      </c>
      <c r="T129" s="62"/>
      <c r="U129" s="62">
        <v>3</v>
      </c>
      <c r="V129" s="62"/>
      <c r="W129" s="72">
        <f t="shared" si="10"/>
        <v>3</v>
      </c>
      <c r="X129" s="62">
        <v>3</v>
      </c>
      <c r="Y129" s="62">
        <v>3</v>
      </c>
      <c r="Z129" s="62"/>
      <c r="AA129" s="62"/>
      <c r="AB129" s="62"/>
      <c r="AC129" s="72">
        <f t="shared" si="11"/>
        <v>3</v>
      </c>
      <c r="AD129" s="62">
        <v>3</v>
      </c>
      <c r="AE129" s="62"/>
      <c r="AF129" s="62">
        <v>3</v>
      </c>
      <c r="AG129" s="62"/>
      <c r="AH129" s="62"/>
      <c r="AI129" s="72">
        <f t="shared" si="12"/>
        <v>3</v>
      </c>
      <c r="AJ129" s="62"/>
      <c r="AK129" s="62"/>
      <c r="AL129" s="62"/>
      <c r="AM129" s="62"/>
      <c r="AN129" s="62"/>
      <c r="AO129" s="72" t="str">
        <f t="shared" si="13"/>
        <v>A</v>
      </c>
      <c r="AP129" s="62">
        <v>3</v>
      </c>
      <c r="AQ129" s="62">
        <v>3</v>
      </c>
      <c r="AR129" s="62">
        <v>3</v>
      </c>
      <c r="AS129" s="62"/>
      <c r="AT129" s="62"/>
      <c r="AU129" s="72">
        <f t="shared" si="14"/>
        <v>3</v>
      </c>
      <c r="AV129" s="62"/>
      <c r="AW129" s="62"/>
      <c r="AX129" s="62">
        <v>3</v>
      </c>
      <c r="AY129" s="62">
        <v>3</v>
      </c>
      <c r="AZ129" s="62">
        <v>3</v>
      </c>
      <c r="BA129" s="72">
        <f t="shared" si="15"/>
        <v>3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3</v>
      </c>
      <c r="M130" s="62">
        <v>3</v>
      </c>
      <c r="N130" s="62">
        <v>3</v>
      </c>
      <c r="O130" s="62">
        <v>3</v>
      </c>
      <c r="P130" s="62">
        <v>3</v>
      </c>
      <c r="Q130" s="72">
        <f t="shared" si="9"/>
        <v>3</v>
      </c>
      <c r="R130" s="62">
        <v>2</v>
      </c>
      <c r="S130" s="62">
        <v>2</v>
      </c>
      <c r="T130" s="7"/>
      <c r="U130" s="62">
        <v>2</v>
      </c>
      <c r="V130" s="7"/>
      <c r="W130" s="72">
        <f t="shared" si="10"/>
        <v>2</v>
      </c>
      <c r="X130" s="62">
        <v>2</v>
      </c>
      <c r="Y130" s="62">
        <v>2</v>
      </c>
      <c r="Z130" s="7"/>
      <c r="AA130" s="7"/>
      <c r="AB130" s="7"/>
      <c r="AC130" s="72">
        <f t="shared" si="11"/>
        <v>2</v>
      </c>
      <c r="AD130" s="62">
        <v>2</v>
      </c>
      <c r="AE130" s="7"/>
      <c r="AF130" s="62">
        <v>2</v>
      </c>
      <c r="AG130" s="7"/>
      <c r="AH130" s="7"/>
      <c r="AI130" s="72">
        <f t="shared" si="12"/>
        <v>2</v>
      </c>
      <c r="AJ130" s="7"/>
      <c r="AK130" s="7"/>
      <c r="AL130" s="7"/>
      <c r="AM130" s="7"/>
      <c r="AN130" s="7"/>
      <c r="AO130" s="72" t="str">
        <f t="shared" si="13"/>
        <v>A</v>
      </c>
      <c r="AP130" s="62">
        <v>3</v>
      </c>
      <c r="AQ130" s="62">
        <v>3</v>
      </c>
      <c r="AR130" s="62">
        <v>3</v>
      </c>
      <c r="AS130" s="7"/>
      <c r="AT130" s="7"/>
      <c r="AU130" s="72">
        <f t="shared" si="14"/>
        <v>3</v>
      </c>
      <c r="AV130" s="7"/>
      <c r="AW130" s="7"/>
      <c r="AX130" s="62">
        <v>3</v>
      </c>
      <c r="AY130" s="62">
        <v>3</v>
      </c>
      <c r="AZ130" s="62">
        <v>3</v>
      </c>
      <c r="BA130" s="72">
        <f t="shared" si="15"/>
        <v>3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2</v>
      </c>
      <c r="M131" s="62">
        <v>2</v>
      </c>
      <c r="N131" s="62">
        <v>2</v>
      </c>
      <c r="O131" s="62">
        <v>2</v>
      </c>
      <c r="P131" s="62">
        <v>2</v>
      </c>
      <c r="Q131" s="72">
        <f t="shared" si="9"/>
        <v>2</v>
      </c>
      <c r="R131" s="62">
        <v>2</v>
      </c>
      <c r="S131" s="62">
        <v>2</v>
      </c>
      <c r="T131" s="62"/>
      <c r="U131" s="62">
        <v>2</v>
      </c>
      <c r="V131" s="62"/>
      <c r="W131" s="72">
        <f t="shared" si="10"/>
        <v>2</v>
      </c>
      <c r="X131" s="62">
        <v>2</v>
      </c>
      <c r="Y131" s="62">
        <v>2</v>
      </c>
      <c r="Z131" s="62"/>
      <c r="AA131" s="62"/>
      <c r="AB131" s="62"/>
      <c r="AC131" s="72">
        <f t="shared" si="11"/>
        <v>2</v>
      </c>
      <c r="AD131" s="62">
        <v>2</v>
      </c>
      <c r="AE131" s="62"/>
      <c r="AF131" s="62">
        <v>2</v>
      </c>
      <c r="AG131" s="62"/>
      <c r="AH131" s="62"/>
      <c r="AI131" s="72">
        <f t="shared" si="12"/>
        <v>2</v>
      </c>
      <c r="AJ131" s="62"/>
      <c r="AK131" s="62"/>
      <c r="AL131" s="62"/>
      <c r="AM131" s="62"/>
      <c r="AN131" s="62"/>
      <c r="AO131" s="72" t="str">
        <f t="shared" si="13"/>
        <v>A</v>
      </c>
      <c r="AP131" s="62">
        <v>2</v>
      </c>
      <c r="AQ131" s="62">
        <v>2</v>
      </c>
      <c r="AR131" s="62">
        <v>2</v>
      </c>
      <c r="AS131" s="62"/>
      <c r="AT131" s="62"/>
      <c r="AU131" s="72">
        <f t="shared" si="14"/>
        <v>2</v>
      </c>
      <c r="AV131" s="62"/>
      <c r="AW131" s="62"/>
      <c r="AX131" s="62">
        <v>2</v>
      </c>
      <c r="AY131" s="62">
        <v>2</v>
      </c>
      <c r="AZ131" s="62">
        <v>0</v>
      </c>
      <c r="BA131" s="72">
        <f t="shared" si="15"/>
        <v>1.3333333333333333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0</v>
      </c>
      <c r="M132" s="62">
        <v>0</v>
      </c>
      <c r="N132" s="62">
        <v>0</v>
      </c>
      <c r="O132" s="62">
        <v>0</v>
      </c>
      <c r="P132" s="62">
        <v>0</v>
      </c>
      <c r="Q132" s="72">
        <f t="shared" ref="Q132:Q195" si="17">IFERROR(AVERAGE(M132,N132,L132,O132,P132),"A")</f>
        <v>0</v>
      </c>
      <c r="R132" s="62">
        <v>0</v>
      </c>
      <c r="S132" s="62">
        <v>0</v>
      </c>
      <c r="T132" s="7"/>
      <c r="U132" s="62">
        <v>0</v>
      </c>
      <c r="V132" s="7"/>
      <c r="W132" s="72">
        <f t="shared" ref="W132:W195" si="18">IFERROR(AVERAGE(R132,S132,U132),"A")</f>
        <v>0</v>
      </c>
      <c r="X132" s="62">
        <v>0</v>
      </c>
      <c r="Y132" s="62">
        <v>0</v>
      </c>
      <c r="Z132" s="7"/>
      <c r="AA132" s="7"/>
      <c r="AB132" s="7"/>
      <c r="AC132" s="72">
        <f t="shared" ref="AC132:AC195" si="19">IFERROR(AVERAGE(Y132,X132),"A")</f>
        <v>0</v>
      </c>
      <c r="AD132" s="62">
        <v>0</v>
      </c>
      <c r="AE132" s="7"/>
      <c r="AF132" s="62">
        <v>0</v>
      </c>
      <c r="AG132" s="7"/>
      <c r="AH132" s="7"/>
      <c r="AI132" s="72">
        <f t="shared" ref="AI132:AI195" si="20">IFERROR(AVERAGE(AF132,AD132),"A")</f>
        <v>0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62">
        <v>0</v>
      </c>
      <c r="AQ132" s="62">
        <v>0</v>
      </c>
      <c r="AR132" s="62">
        <v>0</v>
      </c>
      <c r="AS132" s="7"/>
      <c r="AT132" s="7"/>
      <c r="AU132" s="72">
        <f t="shared" ref="AU132:AU195" si="22">IFERROR(AVERAGE(AR132,AQ132,AP132),"A")</f>
        <v>0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4</v>
      </c>
      <c r="M133" s="62">
        <v>4</v>
      </c>
      <c r="N133" s="62">
        <v>4</v>
      </c>
      <c r="O133" s="62">
        <v>4</v>
      </c>
      <c r="P133" s="62">
        <v>4</v>
      </c>
      <c r="Q133" s="72">
        <f t="shared" si="17"/>
        <v>4</v>
      </c>
      <c r="R133" s="62">
        <v>4</v>
      </c>
      <c r="S133" s="62">
        <v>4</v>
      </c>
      <c r="T133" s="62"/>
      <c r="U133" s="62">
        <v>4</v>
      </c>
      <c r="V133" s="62"/>
      <c r="W133" s="72">
        <f t="shared" si="18"/>
        <v>4</v>
      </c>
      <c r="X133" s="62">
        <v>4</v>
      </c>
      <c r="Y133" s="62">
        <v>4</v>
      </c>
      <c r="Z133" s="62"/>
      <c r="AA133" s="62"/>
      <c r="AB133" s="62"/>
      <c r="AC133" s="72">
        <f t="shared" si="19"/>
        <v>4</v>
      </c>
      <c r="AD133" s="62">
        <v>4</v>
      </c>
      <c r="AE133" s="62"/>
      <c r="AF133" s="62">
        <v>4</v>
      </c>
      <c r="AG133" s="62"/>
      <c r="AH133" s="62"/>
      <c r="AI133" s="72">
        <f t="shared" si="20"/>
        <v>4</v>
      </c>
      <c r="AJ133" s="62"/>
      <c r="AK133" s="62"/>
      <c r="AL133" s="62"/>
      <c r="AM133" s="62"/>
      <c r="AN133" s="62"/>
      <c r="AO133" s="72" t="str">
        <f t="shared" si="21"/>
        <v>A</v>
      </c>
      <c r="AP133" s="62">
        <v>4</v>
      </c>
      <c r="AQ133" s="62">
        <v>4</v>
      </c>
      <c r="AR133" s="62">
        <v>4</v>
      </c>
      <c r="AS133" s="62"/>
      <c r="AT133" s="62"/>
      <c r="AU133" s="72">
        <f t="shared" si="22"/>
        <v>4</v>
      </c>
      <c r="AV133" s="62"/>
      <c r="AW133" s="62"/>
      <c r="AX133" s="62">
        <v>4</v>
      </c>
      <c r="AY133" s="62">
        <v>4</v>
      </c>
      <c r="AZ133" s="62">
        <v>0</v>
      </c>
      <c r="BA133" s="72">
        <f t="shared" si="23"/>
        <v>2.6666666666666665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>
        <v>3</v>
      </c>
      <c r="N134" s="62">
        <v>2</v>
      </c>
      <c r="O134" s="62">
        <v>3</v>
      </c>
      <c r="P134" s="62">
        <v>3</v>
      </c>
      <c r="Q134" s="72">
        <f t="shared" si="17"/>
        <v>2.8</v>
      </c>
      <c r="R134" s="62">
        <v>1</v>
      </c>
      <c r="S134" s="62">
        <v>1</v>
      </c>
      <c r="T134" s="7"/>
      <c r="U134" s="62">
        <v>1</v>
      </c>
      <c r="V134" s="7"/>
      <c r="W134" s="72">
        <f t="shared" si="18"/>
        <v>1</v>
      </c>
      <c r="X134" s="62">
        <v>1</v>
      </c>
      <c r="Y134" s="62">
        <v>1</v>
      </c>
      <c r="Z134" s="7"/>
      <c r="AA134" s="7"/>
      <c r="AB134" s="7"/>
      <c r="AC134" s="72">
        <f t="shared" si="19"/>
        <v>1</v>
      </c>
      <c r="AD134" s="62">
        <v>1</v>
      </c>
      <c r="AE134" s="7"/>
      <c r="AF134" s="62">
        <v>1</v>
      </c>
      <c r="AG134" s="7"/>
      <c r="AH134" s="7"/>
      <c r="AI134" s="72">
        <f t="shared" si="20"/>
        <v>1</v>
      </c>
      <c r="AJ134" s="7"/>
      <c r="AK134" s="7"/>
      <c r="AL134" s="7"/>
      <c r="AM134" s="7"/>
      <c r="AN134" s="7"/>
      <c r="AO134" s="72" t="str">
        <f t="shared" si="21"/>
        <v>A</v>
      </c>
      <c r="AP134" s="62">
        <v>1</v>
      </c>
      <c r="AQ134" s="62">
        <v>1</v>
      </c>
      <c r="AR134" s="62">
        <v>1</v>
      </c>
      <c r="AS134" s="7"/>
      <c r="AT134" s="7"/>
      <c r="AU134" s="72">
        <f t="shared" si="22"/>
        <v>1</v>
      </c>
      <c r="AV134" s="7"/>
      <c r="AW134" s="7"/>
      <c r="AX134" s="62">
        <v>1</v>
      </c>
      <c r="AY134" s="62">
        <v>1</v>
      </c>
      <c r="AZ134" s="62">
        <v>1</v>
      </c>
      <c r="BA134" s="72">
        <f t="shared" si="23"/>
        <v>1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2</v>
      </c>
      <c r="M135" s="62">
        <v>2</v>
      </c>
      <c r="N135" s="62">
        <v>1</v>
      </c>
      <c r="O135" s="62">
        <v>3</v>
      </c>
      <c r="P135" s="62">
        <v>2</v>
      </c>
      <c r="Q135" s="72">
        <f t="shared" si="17"/>
        <v>2</v>
      </c>
      <c r="R135" s="62">
        <v>1</v>
      </c>
      <c r="S135" s="62">
        <v>1</v>
      </c>
      <c r="T135" s="62"/>
      <c r="U135" s="62">
        <v>1</v>
      </c>
      <c r="V135" s="62"/>
      <c r="W135" s="72">
        <f t="shared" si="18"/>
        <v>1</v>
      </c>
      <c r="X135" s="62">
        <v>1</v>
      </c>
      <c r="Y135" s="62">
        <v>1</v>
      </c>
      <c r="Z135" s="62"/>
      <c r="AA135" s="62"/>
      <c r="AB135" s="62"/>
      <c r="AC135" s="72">
        <f t="shared" si="19"/>
        <v>1</v>
      </c>
      <c r="AD135" s="62">
        <v>1</v>
      </c>
      <c r="AE135" s="62"/>
      <c r="AF135" s="62">
        <v>1</v>
      </c>
      <c r="AG135" s="62"/>
      <c r="AH135" s="62"/>
      <c r="AI135" s="72">
        <f t="shared" si="20"/>
        <v>1</v>
      </c>
      <c r="AJ135" s="62"/>
      <c r="AK135" s="62"/>
      <c r="AL135" s="62"/>
      <c r="AM135" s="62"/>
      <c r="AN135" s="62"/>
      <c r="AO135" s="72" t="str">
        <f t="shared" si="21"/>
        <v>A</v>
      </c>
      <c r="AP135" s="62">
        <v>1</v>
      </c>
      <c r="AQ135" s="62">
        <v>1</v>
      </c>
      <c r="AR135" s="62">
        <v>1</v>
      </c>
      <c r="AS135" s="62"/>
      <c r="AT135" s="62"/>
      <c r="AU135" s="72">
        <f t="shared" si="22"/>
        <v>1</v>
      </c>
      <c r="AV135" s="62"/>
      <c r="AW135" s="62"/>
      <c r="AX135" s="62">
        <v>1</v>
      </c>
      <c r="AY135" s="62">
        <v>1</v>
      </c>
      <c r="AZ135" s="62">
        <v>1</v>
      </c>
      <c r="BA135" s="72">
        <f t="shared" si="23"/>
        <v>1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1</v>
      </c>
      <c r="M136" s="62">
        <v>2</v>
      </c>
      <c r="N136" s="62">
        <v>2</v>
      </c>
      <c r="O136" s="62">
        <v>1</v>
      </c>
      <c r="P136" s="62">
        <v>1</v>
      </c>
      <c r="Q136" s="72">
        <f t="shared" si="17"/>
        <v>1.4</v>
      </c>
      <c r="R136" s="62">
        <v>1</v>
      </c>
      <c r="S136" s="62">
        <v>2</v>
      </c>
      <c r="T136" s="7"/>
      <c r="U136" s="62">
        <v>1</v>
      </c>
      <c r="V136" s="7"/>
      <c r="W136" s="72">
        <f t="shared" si="18"/>
        <v>1.3333333333333333</v>
      </c>
      <c r="X136" s="62">
        <v>2</v>
      </c>
      <c r="Y136" s="62">
        <v>1</v>
      </c>
      <c r="Z136" s="7"/>
      <c r="AA136" s="7"/>
      <c r="AB136" s="7"/>
      <c r="AC136" s="72">
        <f t="shared" si="19"/>
        <v>1.5</v>
      </c>
      <c r="AD136" s="62">
        <v>1</v>
      </c>
      <c r="AE136" s="7"/>
      <c r="AF136" s="62">
        <v>2</v>
      </c>
      <c r="AG136" s="7"/>
      <c r="AH136" s="7"/>
      <c r="AI136" s="72">
        <f t="shared" si="20"/>
        <v>1.5</v>
      </c>
      <c r="AJ136" s="7"/>
      <c r="AK136" s="7"/>
      <c r="AL136" s="7"/>
      <c r="AM136" s="7"/>
      <c r="AN136" s="7"/>
      <c r="AO136" s="72" t="str">
        <f t="shared" si="21"/>
        <v>A</v>
      </c>
      <c r="AP136" s="62">
        <v>2</v>
      </c>
      <c r="AQ136" s="62">
        <v>2</v>
      </c>
      <c r="AR136" s="62">
        <v>1</v>
      </c>
      <c r="AS136" s="7"/>
      <c r="AT136" s="7"/>
      <c r="AU136" s="72">
        <f t="shared" si="22"/>
        <v>1.6666666666666667</v>
      </c>
      <c r="AV136" s="7"/>
      <c r="AW136" s="7"/>
      <c r="AX136" s="62">
        <v>2</v>
      </c>
      <c r="AY136" s="62">
        <v>2</v>
      </c>
      <c r="AZ136" s="62">
        <v>0</v>
      </c>
      <c r="BA136" s="72">
        <f t="shared" si="23"/>
        <v>1.3333333333333333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3</v>
      </c>
      <c r="M137" s="62">
        <v>4</v>
      </c>
      <c r="N137" s="62">
        <v>3</v>
      </c>
      <c r="O137" s="62">
        <v>3</v>
      </c>
      <c r="P137" s="62">
        <v>3</v>
      </c>
      <c r="Q137" s="72">
        <f t="shared" si="17"/>
        <v>3.2</v>
      </c>
      <c r="R137" s="62">
        <v>3</v>
      </c>
      <c r="S137" s="62">
        <v>3</v>
      </c>
      <c r="T137" s="62"/>
      <c r="U137" s="62">
        <v>3</v>
      </c>
      <c r="V137" s="62"/>
      <c r="W137" s="72">
        <f t="shared" si="18"/>
        <v>3</v>
      </c>
      <c r="X137" s="62">
        <v>3</v>
      </c>
      <c r="Y137" s="62">
        <v>3</v>
      </c>
      <c r="Z137" s="62"/>
      <c r="AA137" s="62"/>
      <c r="AB137" s="62"/>
      <c r="AC137" s="72">
        <f t="shared" si="19"/>
        <v>3</v>
      </c>
      <c r="AD137" s="62">
        <v>3</v>
      </c>
      <c r="AE137" s="62"/>
      <c r="AF137" s="62">
        <v>3</v>
      </c>
      <c r="AG137" s="62"/>
      <c r="AH137" s="62"/>
      <c r="AI137" s="72">
        <f t="shared" si="20"/>
        <v>3</v>
      </c>
      <c r="AJ137" s="62"/>
      <c r="AK137" s="62"/>
      <c r="AL137" s="62"/>
      <c r="AM137" s="62"/>
      <c r="AN137" s="62"/>
      <c r="AO137" s="72" t="str">
        <f t="shared" si="21"/>
        <v>A</v>
      </c>
      <c r="AP137" s="62">
        <v>3</v>
      </c>
      <c r="AQ137" s="62">
        <v>3</v>
      </c>
      <c r="AR137" s="62">
        <v>3</v>
      </c>
      <c r="AS137" s="62"/>
      <c r="AT137" s="62"/>
      <c r="AU137" s="72">
        <f t="shared" si="22"/>
        <v>3</v>
      </c>
      <c r="AV137" s="62"/>
      <c r="AW137" s="62"/>
      <c r="AX137" s="62">
        <v>3</v>
      </c>
      <c r="AY137" s="62">
        <v>3</v>
      </c>
      <c r="AZ137" s="62">
        <v>4</v>
      </c>
      <c r="BA137" s="72">
        <f t="shared" si="23"/>
        <v>3.3333333333333335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3</v>
      </c>
      <c r="M138" s="62">
        <v>2</v>
      </c>
      <c r="N138" s="62">
        <v>3</v>
      </c>
      <c r="O138" s="62">
        <v>3</v>
      </c>
      <c r="P138" s="62">
        <v>3</v>
      </c>
      <c r="Q138" s="72">
        <f t="shared" si="17"/>
        <v>2.8</v>
      </c>
      <c r="R138" s="62">
        <v>2</v>
      </c>
      <c r="S138" s="62">
        <v>3</v>
      </c>
      <c r="T138" s="7"/>
      <c r="U138" s="62">
        <v>3</v>
      </c>
      <c r="V138" s="7"/>
      <c r="W138" s="72">
        <f t="shared" si="18"/>
        <v>2.6666666666666665</v>
      </c>
      <c r="X138" s="62">
        <v>2</v>
      </c>
      <c r="Y138" s="62">
        <v>3</v>
      </c>
      <c r="Z138" s="7"/>
      <c r="AA138" s="7"/>
      <c r="AB138" s="7"/>
      <c r="AC138" s="72">
        <f t="shared" si="19"/>
        <v>2.5</v>
      </c>
      <c r="AD138" s="62">
        <v>2</v>
      </c>
      <c r="AE138" s="7"/>
      <c r="AF138" s="62">
        <v>4</v>
      </c>
      <c r="AG138" s="7"/>
      <c r="AH138" s="7"/>
      <c r="AI138" s="72">
        <f t="shared" si="20"/>
        <v>3</v>
      </c>
      <c r="AJ138" s="7"/>
      <c r="AK138" s="7"/>
      <c r="AL138" s="7"/>
      <c r="AM138" s="7"/>
      <c r="AN138" s="7"/>
      <c r="AO138" s="72" t="str">
        <f t="shared" si="21"/>
        <v>A</v>
      </c>
      <c r="AP138" s="62">
        <v>3</v>
      </c>
      <c r="AQ138" s="62">
        <v>3</v>
      </c>
      <c r="AR138" s="62">
        <v>3</v>
      </c>
      <c r="AS138" s="7"/>
      <c r="AT138" s="7"/>
      <c r="AU138" s="72">
        <f t="shared" si="22"/>
        <v>3</v>
      </c>
      <c r="AV138" s="7"/>
      <c r="AW138" s="7"/>
      <c r="AX138" s="62">
        <v>5</v>
      </c>
      <c r="AY138" s="62">
        <v>2</v>
      </c>
      <c r="AZ138" s="62">
        <v>3</v>
      </c>
      <c r="BA138" s="72">
        <f t="shared" si="23"/>
        <v>3.3333333333333335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2</v>
      </c>
      <c r="M139" s="62">
        <v>3</v>
      </c>
      <c r="N139" s="62">
        <v>2</v>
      </c>
      <c r="O139" s="62">
        <v>2</v>
      </c>
      <c r="P139" s="62">
        <v>2</v>
      </c>
      <c r="Q139" s="72">
        <f t="shared" si="17"/>
        <v>2.2000000000000002</v>
      </c>
      <c r="R139" s="62">
        <v>2</v>
      </c>
      <c r="S139" s="62">
        <v>3</v>
      </c>
      <c r="T139" s="62"/>
      <c r="U139" s="62">
        <v>2</v>
      </c>
      <c r="V139" s="62"/>
      <c r="W139" s="72">
        <f t="shared" si="18"/>
        <v>2.3333333333333335</v>
      </c>
      <c r="X139" s="62">
        <v>2</v>
      </c>
      <c r="Y139" s="62">
        <v>2</v>
      </c>
      <c r="Z139" s="62"/>
      <c r="AA139" s="62"/>
      <c r="AB139" s="62"/>
      <c r="AC139" s="72">
        <f t="shared" si="19"/>
        <v>2</v>
      </c>
      <c r="AD139" s="62">
        <v>2</v>
      </c>
      <c r="AE139" s="62"/>
      <c r="AF139" s="62">
        <v>2</v>
      </c>
      <c r="AG139" s="62"/>
      <c r="AH139" s="62"/>
      <c r="AI139" s="72">
        <f t="shared" si="20"/>
        <v>2</v>
      </c>
      <c r="AJ139" s="62"/>
      <c r="AK139" s="62"/>
      <c r="AL139" s="62"/>
      <c r="AM139" s="62"/>
      <c r="AN139" s="62"/>
      <c r="AO139" s="72" t="str">
        <f t="shared" si="21"/>
        <v>A</v>
      </c>
      <c r="AP139" s="62">
        <v>3</v>
      </c>
      <c r="AQ139" s="62">
        <v>2</v>
      </c>
      <c r="AR139" s="62">
        <v>2</v>
      </c>
      <c r="AS139" s="62"/>
      <c r="AT139" s="62"/>
      <c r="AU139" s="72">
        <f t="shared" si="22"/>
        <v>2.3333333333333335</v>
      </c>
      <c r="AV139" s="62"/>
      <c r="AW139" s="62"/>
      <c r="AX139" s="62">
        <v>3</v>
      </c>
      <c r="AY139" s="62">
        <v>2</v>
      </c>
      <c r="AZ139" s="62">
        <v>0</v>
      </c>
      <c r="BA139" s="72">
        <f t="shared" si="23"/>
        <v>1.6666666666666667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3</v>
      </c>
      <c r="M140" s="62">
        <v>3</v>
      </c>
      <c r="N140" s="62">
        <v>3</v>
      </c>
      <c r="O140" s="62">
        <v>3</v>
      </c>
      <c r="P140" s="62">
        <v>3</v>
      </c>
      <c r="Q140" s="72">
        <f t="shared" si="17"/>
        <v>3</v>
      </c>
      <c r="R140" s="62">
        <v>3</v>
      </c>
      <c r="S140" s="62">
        <v>3</v>
      </c>
      <c r="T140" s="7"/>
      <c r="U140" s="62">
        <v>3</v>
      </c>
      <c r="V140" s="7"/>
      <c r="W140" s="72">
        <f t="shared" si="18"/>
        <v>3</v>
      </c>
      <c r="X140" s="62">
        <v>3</v>
      </c>
      <c r="Y140" s="62">
        <v>3</v>
      </c>
      <c r="Z140" s="7"/>
      <c r="AA140" s="7"/>
      <c r="AB140" s="7"/>
      <c r="AC140" s="72">
        <f t="shared" si="19"/>
        <v>3</v>
      </c>
      <c r="AD140" s="62">
        <v>3</v>
      </c>
      <c r="AE140" s="7"/>
      <c r="AF140" s="62">
        <v>3</v>
      </c>
      <c r="AG140" s="7"/>
      <c r="AH140" s="7"/>
      <c r="AI140" s="72">
        <f t="shared" si="20"/>
        <v>3</v>
      </c>
      <c r="AJ140" s="7"/>
      <c r="AK140" s="7"/>
      <c r="AL140" s="7"/>
      <c r="AM140" s="7"/>
      <c r="AN140" s="7"/>
      <c r="AO140" s="72" t="str">
        <f t="shared" si="21"/>
        <v>A</v>
      </c>
      <c r="AP140" s="62">
        <v>3</v>
      </c>
      <c r="AQ140" s="62">
        <v>3</v>
      </c>
      <c r="AR140" s="62">
        <v>3</v>
      </c>
      <c r="AS140" s="7"/>
      <c r="AT140" s="7"/>
      <c r="AU140" s="72">
        <f t="shared" si="22"/>
        <v>3</v>
      </c>
      <c r="AV140" s="7"/>
      <c r="AW140" s="7"/>
      <c r="AX140" s="62">
        <v>3</v>
      </c>
      <c r="AY140" s="62">
        <v>3</v>
      </c>
      <c r="AZ140" s="62">
        <v>0</v>
      </c>
      <c r="BA140" s="72">
        <f t="shared" si="23"/>
        <v>2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0</v>
      </c>
      <c r="M141" s="62">
        <v>0</v>
      </c>
      <c r="N141" s="62">
        <v>0</v>
      </c>
      <c r="O141" s="62">
        <v>0</v>
      </c>
      <c r="P141" s="62">
        <v>0</v>
      </c>
      <c r="Q141" s="72">
        <f t="shared" si="17"/>
        <v>0</v>
      </c>
      <c r="R141" s="62">
        <v>0</v>
      </c>
      <c r="S141" s="62">
        <v>0</v>
      </c>
      <c r="T141" s="62"/>
      <c r="U141" s="62">
        <v>0</v>
      </c>
      <c r="V141" s="62"/>
      <c r="W141" s="72">
        <f t="shared" si="18"/>
        <v>0</v>
      </c>
      <c r="X141" s="62">
        <v>0</v>
      </c>
      <c r="Y141" s="62">
        <v>0</v>
      </c>
      <c r="Z141" s="62"/>
      <c r="AA141" s="62"/>
      <c r="AB141" s="62"/>
      <c r="AC141" s="72">
        <f t="shared" si="19"/>
        <v>0</v>
      </c>
      <c r="AD141" s="62">
        <v>0</v>
      </c>
      <c r="AE141" s="62"/>
      <c r="AF141" s="62">
        <v>0</v>
      </c>
      <c r="AG141" s="62"/>
      <c r="AH141" s="62"/>
      <c r="AI141" s="72">
        <f t="shared" si="20"/>
        <v>0</v>
      </c>
      <c r="AJ141" s="62"/>
      <c r="AK141" s="62"/>
      <c r="AL141" s="62"/>
      <c r="AM141" s="62"/>
      <c r="AN141" s="62"/>
      <c r="AO141" s="72" t="str">
        <f t="shared" si="21"/>
        <v>A</v>
      </c>
      <c r="AP141" s="62">
        <v>0</v>
      </c>
      <c r="AQ141" s="62">
        <v>0</v>
      </c>
      <c r="AR141" s="62">
        <v>0</v>
      </c>
      <c r="AS141" s="62"/>
      <c r="AT141" s="62"/>
      <c r="AU141" s="72">
        <f t="shared" si="22"/>
        <v>0</v>
      </c>
      <c r="AV141" s="62"/>
      <c r="AW141" s="62"/>
      <c r="AX141" s="62">
        <v>0</v>
      </c>
      <c r="AY141" s="62">
        <v>0</v>
      </c>
      <c r="AZ141" s="62">
        <v>0</v>
      </c>
      <c r="BA141" s="72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3</v>
      </c>
      <c r="M142" s="62">
        <v>3</v>
      </c>
      <c r="N142" s="62">
        <v>2</v>
      </c>
      <c r="O142" s="62">
        <v>3</v>
      </c>
      <c r="P142" s="62">
        <v>2</v>
      </c>
      <c r="Q142" s="72">
        <f t="shared" si="17"/>
        <v>2.6</v>
      </c>
      <c r="R142" s="62">
        <v>4</v>
      </c>
      <c r="S142" s="62">
        <v>4</v>
      </c>
      <c r="T142" s="7"/>
      <c r="U142" s="62">
        <v>4</v>
      </c>
      <c r="V142" s="7"/>
      <c r="W142" s="72">
        <f t="shared" si="18"/>
        <v>4</v>
      </c>
      <c r="X142" s="62">
        <v>4</v>
      </c>
      <c r="Y142" s="62">
        <v>4</v>
      </c>
      <c r="Z142" s="7"/>
      <c r="AA142" s="7"/>
      <c r="AB142" s="7"/>
      <c r="AC142" s="72">
        <f t="shared" si="19"/>
        <v>4</v>
      </c>
      <c r="AD142" s="62">
        <v>3</v>
      </c>
      <c r="AE142" s="7"/>
      <c r="AF142" s="62">
        <v>3</v>
      </c>
      <c r="AG142" s="7"/>
      <c r="AH142" s="7"/>
      <c r="AI142" s="72">
        <f t="shared" si="20"/>
        <v>3</v>
      </c>
      <c r="AJ142" s="7"/>
      <c r="AK142" s="7"/>
      <c r="AL142" s="7"/>
      <c r="AM142" s="7"/>
      <c r="AN142" s="7"/>
      <c r="AO142" s="72" t="str">
        <f t="shared" si="21"/>
        <v>A</v>
      </c>
      <c r="AP142" s="62">
        <v>3</v>
      </c>
      <c r="AQ142" s="62">
        <v>3</v>
      </c>
      <c r="AR142" s="62">
        <v>3</v>
      </c>
      <c r="AS142" s="7"/>
      <c r="AT142" s="7"/>
      <c r="AU142" s="72">
        <f t="shared" si="22"/>
        <v>3</v>
      </c>
      <c r="AV142" s="7"/>
      <c r="AW142" s="7"/>
      <c r="AX142" s="62">
        <v>2</v>
      </c>
      <c r="AY142" s="62">
        <v>4</v>
      </c>
      <c r="AZ142" s="62">
        <v>4</v>
      </c>
      <c r="BA142" s="72">
        <f t="shared" si="23"/>
        <v>3.3333333333333335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3</v>
      </c>
      <c r="M143" s="62">
        <v>3</v>
      </c>
      <c r="N143" s="62">
        <v>3</v>
      </c>
      <c r="O143" s="62">
        <v>3</v>
      </c>
      <c r="P143" s="62">
        <v>3</v>
      </c>
      <c r="Q143" s="72">
        <f t="shared" si="17"/>
        <v>3</v>
      </c>
      <c r="R143" s="62">
        <v>3</v>
      </c>
      <c r="S143" s="62">
        <v>3</v>
      </c>
      <c r="T143" s="62"/>
      <c r="U143" s="62">
        <v>3</v>
      </c>
      <c r="V143" s="62"/>
      <c r="W143" s="72">
        <f t="shared" si="18"/>
        <v>3</v>
      </c>
      <c r="X143" s="62">
        <v>3</v>
      </c>
      <c r="Y143" s="62">
        <v>3</v>
      </c>
      <c r="Z143" s="62"/>
      <c r="AA143" s="62"/>
      <c r="AB143" s="62"/>
      <c r="AC143" s="72">
        <f t="shared" si="19"/>
        <v>3</v>
      </c>
      <c r="AD143" s="62">
        <v>3</v>
      </c>
      <c r="AE143" s="62"/>
      <c r="AF143" s="62">
        <v>3</v>
      </c>
      <c r="AG143" s="62"/>
      <c r="AH143" s="62"/>
      <c r="AI143" s="72">
        <f t="shared" si="20"/>
        <v>3</v>
      </c>
      <c r="AJ143" s="62"/>
      <c r="AK143" s="62"/>
      <c r="AL143" s="62"/>
      <c r="AM143" s="62"/>
      <c r="AN143" s="62"/>
      <c r="AO143" s="72" t="str">
        <f t="shared" si="21"/>
        <v>A</v>
      </c>
      <c r="AP143" s="62">
        <v>3</v>
      </c>
      <c r="AQ143" s="62">
        <v>3</v>
      </c>
      <c r="AR143" s="62">
        <v>3</v>
      </c>
      <c r="AS143" s="62"/>
      <c r="AT143" s="62"/>
      <c r="AU143" s="72">
        <f t="shared" si="22"/>
        <v>3</v>
      </c>
      <c r="AV143" s="62"/>
      <c r="AW143" s="62"/>
      <c r="AX143" s="62">
        <v>3</v>
      </c>
      <c r="AY143" s="62">
        <v>3</v>
      </c>
      <c r="AZ143" s="62">
        <v>0</v>
      </c>
      <c r="BA143" s="72">
        <f t="shared" si="23"/>
        <v>2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3</v>
      </c>
      <c r="M144" s="62">
        <v>3</v>
      </c>
      <c r="N144" s="62">
        <v>3</v>
      </c>
      <c r="O144" s="62">
        <v>3</v>
      </c>
      <c r="P144" s="62">
        <v>3</v>
      </c>
      <c r="Q144" s="72">
        <f t="shared" si="17"/>
        <v>3</v>
      </c>
      <c r="R144" s="62">
        <v>3</v>
      </c>
      <c r="S144" s="62">
        <v>3</v>
      </c>
      <c r="T144" s="7"/>
      <c r="U144" s="62">
        <v>3</v>
      </c>
      <c r="V144" s="7"/>
      <c r="W144" s="72">
        <f t="shared" si="18"/>
        <v>3</v>
      </c>
      <c r="X144" s="62">
        <v>3</v>
      </c>
      <c r="Y144" s="62">
        <v>3</v>
      </c>
      <c r="Z144" s="7"/>
      <c r="AA144" s="7"/>
      <c r="AB144" s="7"/>
      <c r="AC144" s="72">
        <f t="shared" si="19"/>
        <v>3</v>
      </c>
      <c r="AD144" s="62">
        <v>3</v>
      </c>
      <c r="AE144" s="7"/>
      <c r="AF144" s="62">
        <v>3</v>
      </c>
      <c r="AG144" s="7"/>
      <c r="AH144" s="7"/>
      <c r="AI144" s="72">
        <f t="shared" si="20"/>
        <v>3</v>
      </c>
      <c r="AJ144" s="7"/>
      <c r="AK144" s="7"/>
      <c r="AL144" s="7"/>
      <c r="AM144" s="7"/>
      <c r="AN144" s="7"/>
      <c r="AO144" s="72" t="str">
        <f t="shared" si="21"/>
        <v>A</v>
      </c>
      <c r="AP144" s="62">
        <v>3</v>
      </c>
      <c r="AQ144" s="62">
        <v>3</v>
      </c>
      <c r="AR144" s="62">
        <v>3</v>
      </c>
      <c r="AS144" s="7"/>
      <c r="AT144" s="7"/>
      <c r="AU144" s="72">
        <f t="shared" si="22"/>
        <v>3</v>
      </c>
      <c r="AV144" s="7"/>
      <c r="AW144" s="7"/>
      <c r="AX144" s="62">
        <v>3</v>
      </c>
      <c r="AY144" s="62">
        <v>3</v>
      </c>
      <c r="AZ144" s="62">
        <v>0</v>
      </c>
      <c r="BA144" s="72">
        <f t="shared" si="23"/>
        <v>2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2</v>
      </c>
      <c r="M145" s="62">
        <v>2</v>
      </c>
      <c r="N145" s="62">
        <v>2</v>
      </c>
      <c r="O145" s="62">
        <v>2</v>
      </c>
      <c r="P145" s="62">
        <v>2</v>
      </c>
      <c r="Q145" s="72">
        <f t="shared" si="17"/>
        <v>2</v>
      </c>
      <c r="R145" s="62">
        <v>2</v>
      </c>
      <c r="S145" s="62">
        <v>2</v>
      </c>
      <c r="T145" s="62"/>
      <c r="U145" s="62">
        <v>2</v>
      </c>
      <c r="V145" s="62"/>
      <c r="W145" s="72">
        <f t="shared" si="18"/>
        <v>2</v>
      </c>
      <c r="X145" s="62">
        <v>2</v>
      </c>
      <c r="Y145" s="62">
        <v>2</v>
      </c>
      <c r="Z145" s="62"/>
      <c r="AA145" s="62"/>
      <c r="AB145" s="62"/>
      <c r="AC145" s="72">
        <f t="shared" si="19"/>
        <v>2</v>
      </c>
      <c r="AD145" s="62">
        <v>2</v>
      </c>
      <c r="AE145" s="62"/>
      <c r="AF145" s="62">
        <v>2</v>
      </c>
      <c r="AG145" s="62"/>
      <c r="AH145" s="62"/>
      <c r="AI145" s="72">
        <f t="shared" si="20"/>
        <v>2</v>
      </c>
      <c r="AJ145" s="62"/>
      <c r="AK145" s="62"/>
      <c r="AL145" s="62"/>
      <c r="AM145" s="62"/>
      <c r="AN145" s="62"/>
      <c r="AO145" s="72" t="str">
        <f t="shared" si="21"/>
        <v>A</v>
      </c>
      <c r="AP145" s="62">
        <v>2</v>
      </c>
      <c r="AQ145" s="62">
        <v>2</v>
      </c>
      <c r="AR145" s="62">
        <v>2</v>
      </c>
      <c r="AS145" s="62"/>
      <c r="AT145" s="62"/>
      <c r="AU145" s="72">
        <f t="shared" si="22"/>
        <v>2</v>
      </c>
      <c r="AV145" s="62"/>
      <c r="AW145" s="62"/>
      <c r="AX145" s="62">
        <v>2</v>
      </c>
      <c r="AY145" s="62">
        <v>2</v>
      </c>
      <c r="AZ145" s="62">
        <v>0</v>
      </c>
      <c r="BA145" s="72">
        <f t="shared" si="23"/>
        <v>1.3333333333333333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3</v>
      </c>
      <c r="M146" s="62">
        <v>3</v>
      </c>
      <c r="N146" s="62">
        <v>3</v>
      </c>
      <c r="O146" s="62">
        <v>3</v>
      </c>
      <c r="P146" s="62">
        <v>3</v>
      </c>
      <c r="Q146" s="72">
        <f t="shared" si="17"/>
        <v>3</v>
      </c>
      <c r="R146" s="62">
        <v>3</v>
      </c>
      <c r="S146" s="62">
        <v>3</v>
      </c>
      <c r="T146" s="7"/>
      <c r="U146" s="62">
        <v>3</v>
      </c>
      <c r="V146" s="7"/>
      <c r="W146" s="72">
        <f t="shared" si="18"/>
        <v>3</v>
      </c>
      <c r="X146" s="62">
        <v>3</v>
      </c>
      <c r="Y146" s="62">
        <v>3</v>
      </c>
      <c r="Z146" s="7"/>
      <c r="AA146" s="7"/>
      <c r="AB146" s="7"/>
      <c r="AC146" s="72">
        <f t="shared" si="19"/>
        <v>3</v>
      </c>
      <c r="AD146" s="62">
        <v>3</v>
      </c>
      <c r="AE146" s="7"/>
      <c r="AF146" s="62">
        <v>3</v>
      </c>
      <c r="AG146" s="7"/>
      <c r="AH146" s="7"/>
      <c r="AI146" s="72">
        <f t="shared" si="20"/>
        <v>3</v>
      </c>
      <c r="AJ146" s="7"/>
      <c r="AK146" s="7"/>
      <c r="AL146" s="7"/>
      <c r="AM146" s="7"/>
      <c r="AN146" s="7"/>
      <c r="AO146" s="72" t="str">
        <f t="shared" si="21"/>
        <v>A</v>
      </c>
      <c r="AP146" s="62">
        <v>3</v>
      </c>
      <c r="AQ146" s="62">
        <v>3</v>
      </c>
      <c r="AR146" s="62">
        <v>3</v>
      </c>
      <c r="AS146" s="7"/>
      <c r="AT146" s="7"/>
      <c r="AU146" s="72">
        <f t="shared" si="22"/>
        <v>3</v>
      </c>
      <c r="AV146" s="7"/>
      <c r="AW146" s="7"/>
      <c r="AX146" s="62">
        <v>3</v>
      </c>
      <c r="AY146" s="62">
        <v>3</v>
      </c>
      <c r="AZ146" s="62">
        <v>0</v>
      </c>
      <c r="BA146" s="72">
        <f t="shared" si="23"/>
        <v>2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>
        <v>2</v>
      </c>
      <c r="N147" s="62">
        <v>3</v>
      </c>
      <c r="O147" s="62">
        <v>3</v>
      </c>
      <c r="P147" s="62">
        <v>2</v>
      </c>
      <c r="Q147" s="72">
        <f t="shared" si="17"/>
        <v>2.4</v>
      </c>
      <c r="R147" s="62">
        <v>3</v>
      </c>
      <c r="S147" s="62">
        <v>2</v>
      </c>
      <c r="T147" s="62"/>
      <c r="U147" s="62">
        <v>2</v>
      </c>
      <c r="V147" s="62"/>
      <c r="W147" s="72">
        <f t="shared" si="18"/>
        <v>2.3333333333333335</v>
      </c>
      <c r="X147" s="62">
        <v>3</v>
      </c>
      <c r="Y147" s="62">
        <v>2</v>
      </c>
      <c r="Z147" s="62"/>
      <c r="AA147" s="62"/>
      <c r="AB147" s="62"/>
      <c r="AC147" s="72">
        <f t="shared" si="19"/>
        <v>2.5</v>
      </c>
      <c r="AD147" s="62">
        <v>3</v>
      </c>
      <c r="AE147" s="62"/>
      <c r="AF147" s="62">
        <v>3</v>
      </c>
      <c r="AG147" s="62"/>
      <c r="AH147" s="62"/>
      <c r="AI147" s="72">
        <f t="shared" si="20"/>
        <v>3</v>
      </c>
      <c r="AJ147" s="62"/>
      <c r="AK147" s="62"/>
      <c r="AL147" s="62"/>
      <c r="AM147" s="62"/>
      <c r="AN147" s="62"/>
      <c r="AO147" s="72" t="str">
        <f t="shared" si="21"/>
        <v>A</v>
      </c>
      <c r="AP147" s="62">
        <v>3</v>
      </c>
      <c r="AQ147" s="62">
        <v>3</v>
      </c>
      <c r="AR147" s="62">
        <v>3</v>
      </c>
      <c r="AS147" s="62"/>
      <c r="AT147" s="62"/>
      <c r="AU147" s="72">
        <f t="shared" si="22"/>
        <v>3</v>
      </c>
      <c r="AV147" s="62"/>
      <c r="AW147" s="62"/>
      <c r="AX147" s="62">
        <v>3</v>
      </c>
      <c r="AY147" s="62">
        <v>3</v>
      </c>
      <c r="AZ147" s="62">
        <v>2</v>
      </c>
      <c r="BA147" s="72">
        <f t="shared" si="23"/>
        <v>2.6666666666666665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2</v>
      </c>
      <c r="M148" s="62">
        <v>2</v>
      </c>
      <c r="N148" s="62">
        <v>2</v>
      </c>
      <c r="O148" s="62">
        <v>3</v>
      </c>
      <c r="P148" s="62">
        <v>2</v>
      </c>
      <c r="Q148" s="72">
        <f t="shared" si="17"/>
        <v>2.2000000000000002</v>
      </c>
      <c r="R148" s="62">
        <v>2</v>
      </c>
      <c r="S148" s="62">
        <v>3</v>
      </c>
      <c r="T148" s="7"/>
      <c r="U148" s="62">
        <v>3</v>
      </c>
      <c r="V148" s="7"/>
      <c r="W148" s="72">
        <f t="shared" si="18"/>
        <v>2.6666666666666665</v>
      </c>
      <c r="X148" s="62">
        <v>2</v>
      </c>
      <c r="Y148" s="62">
        <v>3</v>
      </c>
      <c r="Z148" s="7"/>
      <c r="AA148" s="7"/>
      <c r="AB148" s="7"/>
      <c r="AC148" s="72">
        <f t="shared" si="19"/>
        <v>2.5</v>
      </c>
      <c r="AD148" s="62">
        <v>3</v>
      </c>
      <c r="AE148" s="7"/>
      <c r="AF148" s="62">
        <v>3</v>
      </c>
      <c r="AG148" s="7"/>
      <c r="AH148" s="7"/>
      <c r="AI148" s="72">
        <f t="shared" si="20"/>
        <v>3</v>
      </c>
      <c r="AJ148" s="7"/>
      <c r="AK148" s="7"/>
      <c r="AL148" s="7"/>
      <c r="AM148" s="7"/>
      <c r="AN148" s="7"/>
      <c r="AO148" s="72" t="str">
        <f t="shared" si="21"/>
        <v>A</v>
      </c>
      <c r="AP148" s="62">
        <v>3</v>
      </c>
      <c r="AQ148" s="62">
        <v>3</v>
      </c>
      <c r="AR148" s="62">
        <v>3</v>
      </c>
      <c r="AS148" s="7"/>
      <c r="AT148" s="7"/>
      <c r="AU148" s="72">
        <f t="shared" si="22"/>
        <v>3</v>
      </c>
      <c r="AV148" s="7"/>
      <c r="AW148" s="7"/>
      <c r="AX148" s="62">
        <v>3</v>
      </c>
      <c r="AY148" s="62">
        <v>3</v>
      </c>
      <c r="AZ148" s="62">
        <v>3</v>
      </c>
      <c r="BA148" s="72">
        <f t="shared" si="23"/>
        <v>3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4</v>
      </c>
      <c r="M149" s="62">
        <v>3</v>
      </c>
      <c r="N149" s="62">
        <v>3</v>
      </c>
      <c r="O149" s="62">
        <v>3</v>
      </c>
      <c r="P149" s="62">
        <v>2</v>
      </c>
      <c r="Q149" s="72">
        <f t="shared" si="17"/>
        <v>3</v>
      </c>
      <c r="R149" s="62">
        <v>3</v>
      </c>
      <c r="S149" s="62">
        <v>3</v>
      </c>
      <c r="T149" s="62"/>
      <c r="U149" s="62">
        <v>3</v>
      </c>
      <c r="V149" s="62"/>
      <c r="W149" s="72">
        <f t="shared" si="18"/>
        <v>3</v>
      </c>
      <c r="X149" s="62">
        <v>2</v>
      </c>
      <c r="Y149" s="62">
        <v>4</v>
      </c>
      <c r="Z149" s="62"/>
      <c r="AA149" s="62"/>
      <c r="AB149" s="62"/>
      <c r="AC149" s="72">
        <f t="shared" si="19"/>
        <v>3</v>
      </c>
      <c r="AD149" s="62">
        <v>2</v>
      </c>
      <c r="AE149" s="62"/>
      <c r="AF149" s="62">
        <v>3</v>
      </c>
      <c r="AG149" s="62"/>
      <c r="AH149" s="62"/>
      <c r="AI149" s="72">
        <f t="shared" si="20"/>
        <v>2.5</v>
      </c>
      <c r="AJ149" s="62"/>
      <c r="AK149" s="62"/>
      <c r="AL149" s="62"/>
      <c r="AM149" s="62"/>
      <c r="AN149" s="62"/>
      <c r="AO149" s="72" t="str">
        <f t="shared" si="21"/>
        <v>A</v>
      </c>
      <c r="AP149" s="62">
        <v>1</v>
      </c>
      <c r="AQ149" s="62">
        <v>1</v>
      </c>
      <c r="AR149" s="62">
        <v>1</v>
      </c>
      <c r="AS149" s="62"/>
      <c r="AT149" s="62"/>
      <c r="AU149" s="72">
        <f t="shared" si="22"/>
        <v>1</v>
      </c>
      <c r="AV149" s="62"/>
      <c r="AW149" s="62"/>
      <c r="AX149" s="62">
        <v>5</v>
      </c>
      <c r="AY149" s="62">
        <v>1</v>
      </c>
      <c r="AZ149" s="62">
        <v>1</v>
      </c>
      <c r="BA149" s="72">
        <f t="shared" si="23"/>
        <v>2.3333333333333335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3</v>
      </c>
      <c r="M150" s="62">
        <v>4</v>
      </c>
      <c r="N150" s="62">
        <v>4</v>
      </c>
      <c r="O150" s="62">
        <v>4</v>
      </c>
      <c r="P150" s="62">
        <v>4</v>
      </c>
      <c r="Q150" s="72">
        <f t="shared" si="17"/>
        <v>3.8</v>
      </c>
      <c r="R150" s="62">
        <v>3</v>
      </c>
      <c r="S150" s="62">
        <v>3</v>
      </c>
      <c r="T150" s="7"/>
      <c r="U150" s="62">
        <v>3</v>
      </c>
      <c r="V150" s="7"/>
      <c r="W150" s="72">
        <f t="shared" si="18"/>
        <v>3</v>
      </c>
      <c r="X150" s="62">
        <v>3</v>
      </c>
      <c r="Y150" s="62">
        <v>3</v>
      </c>
      <c r="Z150" s="7"/>
      <c r="AA150" s="7"/>
      <c r="AB150" s="7"/>
      <c r="AC150" s="72">
        <f t="shared" si="19"/>
        <v>3</v>
      </c>
      <c r="AD150" s="62">
        <v>3</v>
      </c>
      <c r="AE150" s="7"/>
      <c r="AF150" s="62">
        <v>3</v>
      </c>
      <c r="AG150" s="7"/>
      <c r="AH150" s="7"/>
      <c r="AI150" s="72">
        <f t="shared" si="20"/>
        <v>3</v>
      </c>
      <c r="AJ150" s="7"/>
      <c r="AK150" s="7"/>
      <c r="AL150" s="7"/>
      <c r="AM150" s="7"/>
      <c r="AN150" s="7"/>
      <c r="AO150" s="72" t="str">
        <f t="shared" si="21"/>
        <v>A</v>
      </c>
      <c r="AP150" s="62">
        <v>3</v>
      </c>
      <c r="AQ150" s="62">
        <v>3</v>
      </c>
      <c r="AR150" s="62">
        <v>3</v>
      </c>
      <c r="AS150" s="7"/>
      <c r="AT150" s="7"/>
      <c r="AU150" s="72">
        <f t="shared" si="22"/>
        <v>3</v>
      </c>
      <c r="AV150" s="7"/>
      <c r="AW150" s="7"/>
      <c r="AX150" s="62">
        <v>3</v>
      </c>
      <c r="AY150" s="62">
        <v>3</v>
      </c>
      <c r="AZ150" s="62">
        <v>4</v>
      </c>
      <c r="BA150" s="72">
        <f t="shared" si="23"/>
        <v>3.3333333333333335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0</v>
      </c>
      <c r="M151" s="62">
        <v>0</v>
      </c>
      <c r="N151" s="62">
        <v>0</v>
      </c>
      <c r="O151" s="62">
        <v>0</v>
      </c>
      <c r="P151" s="62">
        <v>0</v>
      </c>
      <c r="Q151" s="72">
        <f t="shared" si="17"/>
        <v>0</v>
      </c>
      <c r="R151" s="62">
        <v>0</v>
      </c>
      <c r="S151" s="62">
        <v>0</v>
      </c>
      <c r="T151" s="62"/>
      <c r="U151" s="62">
        <v>0</v>
      </c>
      <c r="V151" s="62"/>
      <c r="W151" s="72">
        <f t="shared" si="18"/>
        <v>0</v>
      </c>
      <c r="X151" s="62">
        <v>0</v>
      </c>
      <c r="Y151" s="62">
        <v>0</v>
      </c>
      <c r="Z151" s="62"/>
      <c r="AA151" s="62"/>
      <c r="AB151" s="62"/>
      <c r="AC151" s="72">
        <f t="shared" si="19"/>
        <v>0</v>
      </c>
      <c r="AD151" s="62">
        <v>0</v>
      </c>
      <c r="AE151" s="62"/>
      <c r="AF151" s="62">
        <v>0</v>
      </c>
      <c r="AG151" s="62"/>
      <c r="AH151" s="62"/>
      <c r="AI151" s="72">
        <f t="shared" si="20"/>
        <v>0</v>
      </c>
      <c r="AJ151" s="62"/>
      <c r="AK151" s="62"/>
      <c r="AL151" s="62"/>
      <c r="AM151" s="62"/>
      <c r="AN151" s="62"/>
      <c r="AO151" s="72" t="str">
        <f t="shared" si="21"/>
        <v>A</v>
      </c>
      <c r="AP151" s="62">
        <v>0</v>
      </c>
      <c r="AQ151" s="62">
        <v>0</v>
      </c>
      <c r="AR151" s="62">
        <v>0</v>
      </c>
      <c r="AS151" s="62"/>
      <c r="AT151" s="62"/>
      <c r="AU151" s="72">
        <f t="shared" si="22"/>
        <v>0</v>
      </c>
      <c r="AV151" s="62"/>
      <c r="AW151" s="62"/>
      <c r="AX151" s="62">
        <v>0</v>
      </c>
      <c r="AY151" s="62">
        <v>0</v>
      </c>
      <c r="AZ151" s="62">
        <v>0</v>
      </c>
      <c r="BA151" s="72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>
        <v>3</v>
      </c>
      <c r="N152" s="62">
        <v>2</v>
      </c>
      <c r="O152" s="62">
        <v>4</v>
      </c>
      <c r="P152" s="62">
        <v>4</v>
      </c>
      <c r="Q152" s="72">
        <f t="shared" si="17"/>
        <v>3</v>
      </c>
      <c r="R152" s="62">
        <v>2</v>
      </c>
      <c r="S152" s="62">
        <v>2</v>
      </c>
      <c r="T152" s="7"/>
      <c r="U152" s="62">
        <v>2</v>
      </c>
      <c r="V152" s="7"/>
      <c r="W152" s="72">
        <f t="shared" si="18"/>
        <v>2</v>
      </c>
      <c r="X152" s="62">
        <v>2</v>
      </c>
      <c r="Y152" s="62">
        <v>2</v>
      </c>
      <c r="Z152" s="7"/>
      <c r="AA152" s="7"/>
      <c r="AB152" s="7"/>
      <c r="AC152" s="72">
        <f t="shared" si="19"/>
        <v>2</v>
      </c>
      <c r="AD152" s="62">
        <v>2</v>
      </c>
      <c r="AE152" s="7"/>
      <c r="AF152" s="62">
        <v>3</v>
      </c>
      <c r="AG152" s="7"/>
      <c r="AH152" s="7"/>
      <c r="AI152" s="72">
        <f t="shared" si="20"/>
        <v>2.5</v>
      </c>
      <c r="AJ152" s="7"/>
      <c r="AK152" s="7"/>
      <c r="AL152" s="7"/>
      <c r="AM152" s="7"/>
      <c r="AN152" s="7"/>
      <c r="AO152" s="72" t="str">
        <f t="shared" si="21"/>
        <v>A</v>
      </c>
      <c r="AP152" s="62">
        <v>3</v>
      </c>
      <c r="AQ152" s="62">
        <v>3</v>
      </c>
      <c r="AR152" s="62">
        <v>3</v>
      </c>
      <c r="AS152" s="7"/>
      <c r="AT152" s="7"/>
      <c r="AU152" s="72">
        <f t="shared" si="22"/>
        <v>3</v>
      </c>
      <c r="AV152" s="7"/>
      <c r="AW152" s="7"/>
      <c r="AX152" s="62">
        <v>3</v>
      </c>
      <c r="AY152" s="62">
        <v>3</v>
      </c>
      <c r="AZ152" s="62">
        <v>4</v>
      </c>
      <c r="BA152" s="72">
        <f t="shared" si="23"/>
        <v>3.3333333333333335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2</v>
      </c>
      <c r="M153" s="62">
        <v>2</v>
      </c>
      <c r="N153" s="62">
        <v>1</v>
      </c>
      <c r="O153" s="62">
        <v>3</v>
      </c>
      <c r="P153" s="62">
        <v>2</v>
      </c>
      <c r="Q153" s="72">
        <f t="shared" si="17"/>
        <v>2</v>
      </c>
      <c r="R153" s="62">
        <v>1</v>
      </c>
      <c r="S153" s="62">
        <v>1</v>
      </c>
      <c r="T153" s="62"/>
      <c r="U153" s="62">
        <v>1</v>
      </c>
      <c r="V153" s="62"/>
      <c r="W153" s="72">
        <f t="shared" si="18"/>
        <v>1</v>
      </c>
      <c r="X153" s="62">
        <v>1</v>
      </c>
      <c r="Y153" s="62">
        <v>1</v>
      </c>
      <c r="Z153" s="62"/>
      <c r="AA153" s="62"/>
      <c r="AB153" s="62"/>
      <c r="AC153" s="72">
        <f t="shared" si="19"/>
        <v>1</v>
      </c>
      <c r="AD153" s="62">
        <v>1</v>
      </c>
      <c r="AE153" s="62"/>
      <c r="AF153" s="62">
        <v>1</v>
      </c>
      <c r="AG153" s="62"/>
      <c r="AH153" s="62"/>
      <c r="AI153" s="72">
        <f t="shared" si="20"/>
        <v>1</v>
      </c>
      <c r="AJ153" s="62"/>
      <c r="AK153" s="62"/>
      <c r="AL153" s="62"/>
      <c r="AM153" s="62"/>
      <c r="AN153" s="62"/>
      <c r="AO153" s="72" t="str">
        <f t="shared" si="21"/>
        <v>A</v>
      </c>
      <c r="AP153" s="62">
        <v>1</v>
      </c>
      <c r="AQ153" s="62">
        <v>1</v>
      </c>
      <c r="AR153" s="62">
        <v>1</v>
      </c>
      <c r="AS153" s="62"/>
      <c r="AT153" s="62"/>
      <c r="AU153" s="72">
        <f t="shared" si="22"/>
        <v>1</v>
      </c>
      <c r="AV153" s="62"/>
      <c r="AW153" s="62"/>
      <c r="AX153" s="62">
        <v>1</v>
      </c>
      <c r="AY153" s="62">
        <v>1</v>
      </c>
      <c r="AZ153" s="62">
        <v>2</v>
      </c>
      <c r="BA153" s="72">
        <f t="shared" si="23"/>
        <v>1.3333333333333333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0</v>
      </c>
      <c r="M154" s="62">
        <v>0</v>
      </c>
      <c r="N154" s="62">
        <v>0</v>
      </c>
      <c r="O154" s="62">
        <v>0</v>
      </c>
      <c r="P154" s="62">
        <v>0</v>
      </c>
      <c r="Q154" s="72">
        <f t="shared" si="17"/>
        <v>0</v>
      </c>
      <c r="R154" s="62">
        <v>0</v>
      </c>
      <c r="S154" s="62">
        <v>0</v>
      </c>
      <c r="T154" s="7"/>
      <c r="U154" s="62">
        <v>0</v>
      </c>
      <c r="V154" s="7"/>
      <c r="W154" s="72">
        <f t="shared" si="18"/>
        <v>0</v>
      </c>
      <c r="X154" s="62">
        <v>0</v>
      </c>
      <c r="Y154" s="62">
        <v>0</v>
      </c>
      <c r="Z154" s="7"/>
      <c r="AA154" s="7"/>
      <c r="AB154" s="7"/>
      <c r="AC154" s="72">
        <f t="shared" si="19"/>
        <v>0</v>
      </c>
      <c r="AD154" s="62">
        <v>0</v>
      </c>
      <c r="AE154" s="7"/>
      <c r="AF154" s="62">
        <v>0</v>
      </c>
      <c r="AG154" s="7"/>
      <c r="AH154" s="7"/>
      <c r="AI154" s="72">
        <f t="shared" si="20"/>
        <v>0</v>
      </c>
      <c r="AJ154" s="7"/>
      <c r="AK154" s="7"/>
      <c r="AL154" s="7"/>
      <c r="AM154" s="7"/>
      <c r="AN154" s="7"/>
      <c r="AO154" s="72" t="str">
        <f t="shared" si="21"/>
        <v>A</v>
      </c>
      <c r="AP154" s="62">
        <v>0</v>
      </c>
      <c r="AQ154" s="62">
        <v>0</v>
      </c>
      <c r="AR154" s="62">
        <v>0</v>
      </c>
      <c r="AS154" s="7"/>
      <c r="AT154" s="7"/>
      <c r="AU154" s="72">
        <f t="shared" si="22"/>
        <v>0</v>
      </c>
      <c r="AV154" s="7"/>
      <c r="AW154" s="7"/>
      <c r="AX154" s="62">
        <v>0</v>
      </c>
      <c r="AY154" s="62">
        <v>0</v>
      </c>
      <c r="AZ154" s="62">
        <v>0</v>
      </c>
      <c r="BA154" s="72">
        <f t="shared" si="23"/>
        <v>0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2</v>
      </c>
      <c r="M155" s="62">
        <v>2</v>
      </c>
      <c r="N155" s="62">
        <v>2</v>
      </c>
      <c r="O155" s="62">
        <v>4</v>
      </c>
      <c r="P155" s="62">
        <v>4</v>
      </c>
      <c r="Q155" s="72">
        <f t="shared" si="17"/>
        <v>2.8</v>
      </c>
      <c r="R155" s="62">
        <v>3</v>
      </c>
      <c r="S155" s="62">
        <v>3</v>
      </c>
      <c r="T155" s="62"/>
      <c r="U155" s="62">
        <v>3</v>
      </c>
      <c r="V155" s="62"/>
      <c r="W155" s="72">
        <f t="shared" si="18"/>
        <v>3</v>
      </c>
      <c r="X155" s="62">
        <v>3</v>
      </c>
      <c r="Y155" s="62">
        <v>3</v>
      </c>
      <c r="Z155" s="62"/>
      <c r="AA155" s="62"/>
      <c r="AB155" s="62"/>
      <c r="AC155" s="72">
        <f t="shared" si="19"/>
        <v>3</v>
      </c>
      <c r="AD155" s="62">
        <v>3</v>
      </c>
      <c r="AE155" s="62"/>
      <c r="AF155" s="62">
        <v>3</v>
      </c>
      <c r="AG155" s="62"/>
      <c r="AH155" s="62"/>
      <c r="AI155" s="72">
        <f t="shared" si="20"/>
        <v>3</v>
      </c>
      <c r="AJ155" s="62"/>
      <c r="AK155" s="62"/>
      <c r="AL155" s="62"/>
      <c r="AM155" s="62"/>
      <c r="AN155" s="62"/>
      <c r="AO155" s="72" t="str">
        <f t="shared" si="21"/>
        <v>A</v>
      </c>
      <c r="AP155" s="62">
        <v>3</v>
      </c>
      <c r="AQ155" s="62">
        <v>3</v>
      </c>
      <c r="AR155" s="62">
        <v>3</v>
      </c>
      <c r="AS155" s="62"/>
      <c r="AT155" s="62"/>
      <c r="AU155" s="72">
        <f t="shared" si="22"/>
        <v>3</v>
      </c>
      <c r="AV155" s="62"/>
      <c r="AW155" s="62"/>
      <c r="AX155" s="62">
        <v>3</v>
      </c>
      <c r="AY155" s="62">
        <v>3</v>
      </c>
      <c r="AZ155" s="62">
        <v>3</v>
      </c>
      <c r="BA155" s="72">
        <f t="shared" si="23"/>
        <v>3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3</v>
      </c>
      <c r="M156" s="62">
        <v>3</v>
      </c>
      <c r="N156" s="62">
        <v>3</v>
      </c>
      <c r="O156" s="62">
        <v>1</v>
      </c>
      <c r="P156" s="62">
        <v>3</v>
      </c>
      <c r="Q156" s="72">
        <f t="shared" si="17"/>
        <v>2.6</v>
      </c>
      <c r="R156" s="62">
        <v>2</v>
      </c>
      <c r="S156" s="62">
        <v>2</v>
      </c>
      <c r="T156" s="7"/>
      <c r="U156" s="62">
        <v>2</v>
      </c>
      <c r="V156" s="7"/>
      <c r="W156" s="72">
        <f t="shared" si="18"/>
        <v>2</v>
      </c>
      <c r="X156" s="62">
        <v>2</v>
      </c>
      <c r="Y156" s="62">
        <v>2</v>
      </c>
      <c r="Z156" s="7"/>
      <c r="AA156" s="7"/>
      <c r="AB156" s="7"/>
      <c r="AC156" s="72">
        <f t="shared" si="19"/>
        <v>2</v>
      </c>
      <c r="AD156" s="62">
        <v>1</v>
      </c>
      <c r="AE156" s="7"/>
      <c r="AF156" s="62">
        <v>1</v>
      </c>
      <c r="AG156" s="7"/>
      <c r="AH156" s="7"/>
      <c r="AI156" s="72">
        <f t="shared" si="20"/>
        <v>1</v>
      </c>
      <c r="AJ156" s="7"/>
      <c r="AK156" s="7"/>
      <c r="AL156" s="7"/>
      <c r="AM156" s="7"/>
      <c r="AN156" s="7"/>
      <c r="AO156" s="72" t="str">
        <f t="shared" si="21"/>
        <v>A</v>
      </c>
      <c r="AP156" s="62">
        <v>1</v>
      </c>
      <c r="AQ156" s="62">
        <v>1</v>
      </c>
      <c r="AR156" s="62">
        <v>1</v>
      </c>
      <c r="AS156" s="7"/>
      <c r="AT156" s="7"/>
      <c r="AU156" s="72">
        <f t="shared" si="22"/>
        <v>1</v>
      </c>
      <c r="AV156" s="7"/>
      <c r="AW156" s="7"/>
      <c r="AX156" s="62">
        <v>1</v>
      </c>
      <c r="AY156" s="62">
        <v>3</v>
      </c>
      <c r="AZ156" s="62">
        <v>3</v>
      </c>
      <c r="BA156" s="72">
        <f t="shared" si="23"/>
        <v>2.3333333333333335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3</v>
      </c>
      <c r="M157" s="62">
        <v>2</v>
      </c>
      <c r="N157" s="62">
        <v>3</v>
      </c>
      <c r="O157" s="62">
        <v>3</v>
      </c>
      <c r="P157" s="62">
        <v>3</v>
      </c>
      <c r="Q157" s="72">
        <f t="shared" si="17"/>
        <v>2.8</v>
      </c>
      <c r="R157" s="62">
        <v>3</v>
      </c>
      <c r="S157" s="62">
        <v>2</v>
      </c>
      <c r="T157" s="62"/>
      <c r="U157" s="62">
        <v>3</v>
      </c>
      <c r="V157" s="62"/>
      <c r="W157" s="72">
        <f t="shared" si="18"/>
        <v>2.6666666666666665</v>
      </c>
      <c r="X157" s="62">
        <v>3</v>
      </c>
      <c r="Y157" s="62">
        <v>3</v>
      </c>
      <c r="Z157" s="62"/>
      <c r="AA157" s="62"/>
      <c r="AB157" s="62"/>
      <c r="AC157" s="72">
        <f t="shared" si="19"/>
        <v>3</v>
      </c>
      <c r="AD157" s="62">
        <v>3</v>
      </c>
      <c r="AE157" s="62"/>
      <c r="AF157" s="62">
        <v>3</v>
      </c>
      <c r="AG157" s="62"/>
      <c r="AH157" s="62"/>
      <c r="AI157" s="72">
        <f t="shared" si="20"/>
        <v>3</v>
      </c>
      <c r="AJ157" s="62"/>
      <c r="AK157" s="62"/>
      <c r="AL157" s="62"/>
      <c r="AM157" s="62"/>
      <c r="AN157" s="62"/>
      <c r="AO157" s="72" t="str">
        <f t="shared" si="21"/>
        <v>A</v>
      </c>
      <c r="AP157" s="62">
        <v>2</v>
      </c>
      <c r="AQ157" s="62">
        <v>3</v>
      </c>
      <c r="AR157" s="62">
        <v>3</v>
      </c>
      <c r="AS157" s="62"/>
      <c r="AT157" s="62"/>
      <c r="AU157" s="72">
        <f t="shared" si="22"/>
        <v>2.6666666666666665</v>
      </c>
      <c r="AV157" s="62"/>
      <c r="AW157" s="62"/>
      <c r="AX157" s="62">
        <v>2</v>
      </c>
      <c r="AY157" s="62">
        <v>3</v>
      </c>
      <c r="AZ157" s="62">
        <v>0</v>
      </c>
      <c r="BA157" s="72">
        <f t="shared" si="23"/>
        <v>1.6666666666666667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1</v>
      </c>
      <c r="M158" s="62">
        <v>1</v>
      </c>
      <c r="N158" s="62">
        <v>1</v>
      </c>
      <c r="O158" s="62">
        <v>1</v>
      </c>
      <c r="P158" s="62">
        <v>1</v>
      </c>
      <c r="Q158" s="72">
        <f t="shared" si="17"/>
        <v>1</v>
      </c>
      <c r="R158" s="62">
        <v>1</v>
      </c>
      <c r="S158" s="62">
        <v>1</v>
      </c>
      <c r="T158" s="7"/>
      <c r="U158" s="62">
        <v>1</v>
      </c>
      <c r="V158" s="7"/>
      <c r="W158" s="72">
        <f t="shared" si="18"/>
        <v>1</v>
      </c>
      <c r="X158" s="62">
        <v>1</v>
      </c>
      <c r="Y158" s="62">
        <v>1</v>
      </c>
      <c r="Z158" s="7"/>
      <c r="AA158" s="7"/>
      <c r="AB158" s="7"/>
      <c r="AC158" s="72">
        <f t="shared" si="19"/>
        <v>1</v>
      </c>
      <c r="AD158" s="62">
        <v>1</v>
      </c>
      <c r="AE158" s="7"/>
      <c r="AF158" s="62">
        <v>1</v>
      </c>
      <c r="AG158" s="7"/>
      <c r="AH158" s="7"/>
      <c r="AI158" s="72">
        <f t="shared" si="20"/>
        <v>1</v>
      </c>
      <c r="AJ158" s="7"/>
      <c r="AK158" s="7"/>
      <c r="AL158" s="7"/>
      <c r="AM158" s="7"/>
      <c r="AN158" s="7"/>
      <c r="AO158" s="72" t="str">
        <f t="shared" si="21"/>
        <v>A</v>
      </c>
      <c r="AP158" s="62">
        <v>1</v>
      </c>
      <c r="AQ158" s="62">
        <v>1</v>
      </c>
      <c r="AR158" s="62">
        <v>1</v>
      </c>
      <c r="AS158" s="7"/>
      <c r="AT158" s="7"/>
      <c r="AU158" s="72">
        <f t="shared" si="22"/>
        <v>1</v>
      </c>
      <c r="AV158" s="7"/>
      <c r="AW158" s="7"/>
      <c r="AX158" s="62">
        <v>1</v>
      </c>
      <c r="AY158" s="62">
        <v>1</v>
      </c>
      <c r="AZ158" s="62">
        <v>0</v>
      </c>
      <c r="BA158" s="72">
        <f t="shared" si="23"/>
        <v>0.66666666666666663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2</v>
      </c>
      <c r="M159" s="62">
        <v>2</v>
      </c>
      <c r="N159" s="62">
        <v>2</v>
      </c>
      <c r="O159" s="62">
        <v>2</v>
      </c>
      <c r="P159" s="62">
        <v>2</v>
      </c>
      <c r="Q159" s="72">
        <f t="shared" si="17"/>
        <v>2</v>
      </c>
      <c r="R159" s="62">
        <v>2</v>
      </c>
      <c r="S159" s="62">
        <v>2</v>
      </c>
      <c r="T159" s="62"/>
      <c r="U159" s="62">
        <v>2</v>
      </c>
      <c r="V159" s="62"/>
      <c r="W159" s="72">
        <f t="shared" si="18"/>
        <v>2</v>
      </c>
      <c r="X159" s="62">
        <v>2</v>
      </c>
      <c r="Y159" s="62">
        <v>2</v>
      </c>
      <c r="Z159" s="62"/>
      <c r="AA159" s="62"/>
      <c r="AB159" s="62"/>
      <c r="AC159" s="72">
        <f t="shared" si="19"/>
        <v>2</v>
      </c>
      <c r="AD159" s="62">
        <v>2</v>
      </c>
      <c r="AE159" s="62"/>
      <c r="AF159" s="62">
        <v>2</v>
      </c>
      <c r="AG159" s="62"/>
      <c r="AH159" s="62"/>
      <c r="AI159" s="72">
        <f t="shared" si="20"/>
        <v>2</v>
      </c>
      <c r="AJ159" s="62"/>
      <c r="AK159" s="62"/>
      <c r="AL159" s="62"/>
      <c r="AM159" s="62"/>
      <c r="AN159" s="62"/>
      <c r="AO159" s="72" t="str">
        <f t="shared" si="21"/>
        <v>A</v>
      </c>
      <c r="AP159" s="62">
        <v>2</v>
      </c>
      <c r="AQ159" s="62">
        <v>2</v>
      </c>
      <c r="AR159" s="62">
        <v>2</v>
      </c>
      <c r="AS159" s="62"/>
      <c r="AT159" s="62"/>
      <c r="AU159" s="72">
        <f t="shared" si="22"/>
        <v>2</v>
      </c>
      <c r="AV159" s="62"/>
      <c r="AW159" s="62"/>
      <c r="AX159" s="62">
        <v>2</v>
      </c>
      <c r="AY159" s="62">
        <v>2</v>
      </c>
      <c r="AZ159" s="62">
        <v>0</v>
      </c>
      <c r="BA159" s="72">
        <f t="shared" si="23"/>
        <v>1.3333333333333333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2</v>
      </c>
      <c r="M160" s="62">
        <v>3</v>
      </c>
      <c r="N160" s="62">
        <v>2</v>
      </c>
      <c r="O160" s="62">
        <v>4</v>
      </c>
      <c r="P160" s="62">
        <v>3</v>
      </c>
      <c r="Q160" s="72">
        <f t="shared" si="17"/>
        <v>2.8</v>
      </c>
      <c r="R160" s="62">
        <v>3</v>
      </c>
      <c r="S160" s="62">
        <v>3</v>
      </c>
      <c r="T160" s="7"/>
      <c r="U160" s="62">
        <v>3</v>
      </c>
      <c r="V160" s="7"/>
      <c r="W160" s="72">
        <f t="shared" si="18"/>
        <v>3</v>
      </c>
      <c r="X160" s="62">
        <v>3</v>
      </c>
      <c r="Y160" s="62">
        <v>3</v>
      </c>
      <c r="Z160" s="7"/>
      <c r="AA160" s="7"/>
      <c r="AB160" s="7"/>
      <c r="AC160" s="72">
        <f t="shared" si="19"/>
        <v>3</v>
      </c>
      <c r="AD160" s="62">
        <v>3</v>
      </c>
      <c r="AE160" s="7"/>
      <c r="AF160" s="62">
        <v>3</v>
      </c>
      <c r="AG160" s="7"/>
      <c r="AH160" s="7"/>
      <c r="AI160" s="72">
        <f t="shared" si="20"/>
        <v>3</v>
      </c>
      <c r="AJ160" s="7"/>
      <c r="AK160" s="7"/>
      <c r="AL160" s="7"/>
      <c r="AM160" s="7"/>
      <c r="AN160" s="7"/>
      <c r="AO160" s="72" t="str">
        <f t="shared" si="21"/>
        <v>A</v>
      </c>
      <c r="AP160" s="62">
        <v>3</v>
      </c>
      <c r="AQ160" s="62">
        <v>3</v>
      </c>
      <c r="AR160" s="62">
        <v>3</v>
      </c>
      <c r="AS160" s="7"/>
      <c r="AT160" s="7"/>
      <c r="AU160" s="72">
        <f t="shared" si="22"/>
        <v>3</v>
      </c>
      <c r="AV160" s="7"/>
      <c r="AW160" s="7"/>
      <c r="AX160" s="62">
        <v>5</v>
      </c>
      <c r="AY160" s="62">
        <v>3</v>
      </c>
      <c r="AZ160" s="62">
        <v>4</v>
      </c>
      <c r="BA160" s="72">
        <f t="shared" si="23"/>
        <v>4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2</v>
      </c>
      <c r="M161" s="62">
        <v>2</v>
      </c>
      <c r="N161" s="62">
        <v>2</v>
      </c>
      <c r="O161" s="62">
        <v>2</v>
      </c>
      <c r="P161" s="62">
        <v>2</v>
      </c>
      <c r="Q161" s="72">
        <f t="shared" si="17"/>
        <v>2</v>
      </c>
      <c r="R161" s="62">
        <v>2</v>
      </c>
      <c r="S161" s="62">
        <v>2</v>
      </c>
      <c r="T161" s="62"/>
      <c r="U161" s="62">
        <v>2</v>
      </c>
      <c r="V161" s="62"/>
      <c r="W161" s="72">
        <f t="shared" si="18"/>
        <v>2</v>
      </c>
      <c r="X161" s="62">
        <v>2</v>
      </c>
      <c r="Y161" s="62">
        <v>2</v>
      </c>
      <c r="Z161" s="62"/>
      <c r="AA161" s="62"/>
      <c r="AB161" s="62"/>
      <c r="AC161" s="72">
        <f t="shared" si="19"/>
        <v>2</v>
      </c>
      <c r="AD161" s="62">
        <v>2</v>
      </c>
      <c r="AE161" s="62"/>
      <c r="AF161" s="62">
        <v>2</v>
      </c>
      <c r="AG161" s="62"/>
      <c r="AH161" s="62"/>
      <c r="AI161" s="72">
        <f t="shared" si="20"/>
        <v>2</v>
      </c>
      <c r="AJ161" s="62"/>
      <c r="AK161" s="62"/>
      <c r="AL161" s="62"/>
      <c r="AM161" s="62"/>
      <c r="AN161" s="62"/>
      <c r="AO161" s="72" t="str">
        <f t="shared" si="21"/>
        <v>A</v>
      </c>
      <c r="AP161" s="62">
        <v>2</v>
      </c>
      <c r="AQ161" s="62">
        <v>2</v>
      </c>
      <c r="AR161" s="62">
        <v>2</v>
      </c>
      <c r="AS161" s="62"/>
      <c r="AT161" s="62"/>
      <c r="AU161" s="72">
        <f t="shared" si="22"/>
        <v>2</v>
      </c>
      <c r="AV161" s="62"/>
      <c r="AW161" s="62"/>
      <c r="AX161" s="62">
        <v>2</v>
      </c>
      <c r="AY161" s="62">
        <v>2</v>
      </c>
      <c r="AZ161" s="62">
        <v>0</v>
      </c>
      <c r="BA161" s="72">
        <f t="shared" si="23"/>
        <v>1.3333333333333333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3</v>
      </c>
      <c r="M162" s="62">
        <v>2</v>
      </c>
      <c r="N162" s="62">
        <v>2</v>
      </c>
      <c r="O162" s="62">
        <v>1</v>
      </c>
      <c r="P162" s="62">
        <v>1</v>
      </c>
      <c r="Q162" s="72">
        <f t="shared" si="17"/>
        <v>1.8</v>
      </c>
      <c r="R162" s="62">
        <v>1</v>
      </c>
      <c r="S162" s="62">
        <v>1</v>
      </c>
      <c r="T162" s="7"/>
      <c r="U162" s="62">
        <v>1</v>
      </c>
      <c r="V162" s="7"/>
      <c r="W162" s="72">
        <f t="shared" si="18"/>
        <v>1</v>
      </c>
      <c r="X162" s="62">
        <v>1</v>
      </c>
      <c r="Y162" s="62">
        <v>1</v>
      </c>
      <c r="Z162" s="7"/>
      <c r="AA162" s="7"/>
      <c r="AB162" s="7"/>
      <c r="AC162" s="72">
        <f t="shared" si="19"/>
        <v>1</v>
      </c>
      <c r="AD162" s="62">
        <v>1</v>
      </c>
      <c r="AE162" s="7"/>
      <c r="AF162" s="62">
        <v>1</v>
      </c>
      <c r="AG162" s="7"/>
      <c r="AH162" s="7"/>
      <c r="AI162" s="72">
        <f t="shared" si="20"/>
        <v>1</v>
      </c>
      <c r="AJ162" s="7"/>
      <c r="AK162" s="7"/>
      <c r="AL162" s="7"/>
      <c r="AM162" s="7"/>
      <c r="AN162" s="7"/>
      <c r="AO162" s="72" t="str">
        <f t="shared" si="21"/>
        <v>A</v>
      </c>
      <c r="AP162" s="62">
        <v>1</v>
      </c>
      <c r="AQ162" s="62">
        <v>1</v>
      </c>
      <c r="AR162" s="62">
        <v>1</v>
      </c>
      <c r="AS162" s="7"/>
      <c r="AT162" s="7"/>
      <c r="AU162" s="72">
        <f t="shared" si="22"/>
        <v>1</v>
      </c>
      <c r="AV162" s="7"/>
      <c r="AW162" s="7"/>
      <c r="AX162" s="62">
        <v>1</v>
      </c>
      <c r="AY162" s="62">
        <v>1</v>
      </c>
      <c r="AZ162" s="62">
        <v>1</v>
      </c>
      <c r="BA162" s="72">
        <f t="shared" si="23"/>
        <v>1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>
        <v>2</v>
      </c>
      <c r="N163" s="62">
        <v>3</v>
      </c>
      <c r="O163" s="62">
        <v>4</v>
      </c>
      <c r="P163" s="62">
        <v>3</v>
      </c>
      <c r="Q163" s="72">
        <f t="shared" si="17"/>
        <v>3</v>
      </c>
      <c r="R163" s="62">
        <v>2</v>
      </c>
      <c r="S163" s="62">
        <v>2</v>
      </c>
      <c r="T163" s="62"/>
      <c r="U163" s="62">
        <v>2</v>
      </c>
      <c r="V163" s="62"/>
      <c r="W163" s="72">
        <f t="shared" si="18"/>
        <v>2</v>
      </c>
      <c r="X163" s="62">
        <v>2</v>
      </c>
      <c r="Y163" s="62">
        <v>2</v>
      </c>
      <c r="Z163" s="62"/>
      <c r="AA163" s="62"/>
      <c r="AB163" s="62"/>
      <c r="AC163" s="72">
        <f t="shared" si="19"/>
        <v>2</v>
      </c>
      <c r="AD163" s="62">
        <v>3</v>
      </c>
      <c r="AE163" s="62"/>
      <c r="AF163" s="62">
        <v>3</v>
      </c>
      <c r="AG163" s="62"/>
      <c r="AH163" s="62"/>
      <c r="AI163" s="72">
        <f t="shared" si="20"/>
        <v>3</v>
      </c>
      <c r="AJ163" s="62"/>
      <c r="AK163" s="62"/>
      <c r="AL163" s="62"/>
      <c r="AM163" s="62"/>
      <c r="AN163" s="62"/>
      <c r="AO163" s="72" t="str">
        <f t="shared" si="21"/>
        <v>A</v>
      </c>
      <c r="AP163" s="62">
        <v>3</v>
      </c>
      <c r="AQ163" s="62">
        <v>3</v>
      </c>
      <c r="AR163" s="62">
        <v>3</v>
      </c>
      <c r="AS163" s="62"/>
      <c r="AT163" s="62"/>
      <c r="AU163" s="72">
        <f t="shared" si="22"/>
        <v>3</v>
      </c>
      <c r="AV163" s="62"/>
      <c r="AW163" s="62"/>
      <c r="AX163" s="62">
        <v>3</v>
      </c>
      <c r="AY163" s="62">
        <v>2</v>
      </c>
      <c r="AZ163" s="62">
        <v>2</v>
      </c>
      <c r="BA163" s="72">
        <f t="shared" si="23"/>
        <v>2.3333333333333335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2</v>
      </c>
      <c r="M164" s="62">
        <v>2</v>
      </c>
      <c r="N164" s="62">
        <v>2</v>
      </c>
      <c r="O164" s="62">
        <v>3</v>
      </c>
      <c r="P164" s="62">
        <v>2</v>
      </c>
      <c r="Q164" s="72">
        <f t="shared" si="17"/>
        <v>2.2000000000000002</v>
      </c>
      <c r="R164" s="62">
        <v>3</v>
      </c>
      <c r="S164" s="62">
        <v>3</v>
      </c>
      <c r="T164" s="7"/>
      <c r="U164" s="62">
        <v>3</v>
      </c>
      <c r="V164" s="7"/>
      <c r="W164" s="72">
        <f t="shared" si="18"/>
        <v>3</v>
      </c>
      <c r="X164" s="62">
        <v>3</v>
      </c>
      <c r="Y164" s="62">
        <v>3</v>
      </c>
      <c r="Z164" s="7"/>
      <c r="AA164" s="7"/>
      <c r="AB164" s="7"/>
      <c r="AC164" s="72">
        <f t="shared" si="19"/>
        <v>3</v>
      </c>
      <c r="AD164" s="62">
        <v>3</v>
      </c>
      <c r="AE164" s="7"/>
      <c r="AF164" s="62">
        <v>3</v>
      </c>
      <c r="AG164" s="7"/>
      <c r="AH164" s="7"/>
      <c r="AI164" s="72">
        <f t="shared" si="20"/>
        <v>3</v>
      </c>
      <c r="AJ164" s="7"/>
      <c r="AK164" s="7"/>
      <c r="AL164" s="7"/>
      <c r="AM164" s="7"/>
      <c r="AN164" s="7"/>
      <c r="AO164" s="72" t="str">
        <f t="shared" si="21"/>
        <v>A</v>
      </c>
      <c r="AP164" s="62">
        <v>3</v>
      </c>
      <c r="AQ164" s="62">
        <v>3</v>
      </c>
      <c r="AR164" s="62">
        <v>3</v>
      </c>
      <c r="AS164" s="7"/>
      <c r="AT164" s="7"/>
      <c r="AU164" s="72">
        <f t="shared" si="22"/>
        <v>3</v>
      </c>
      <c r="AV164" s="7"/>
      <c r="AW164" s="7"/>
      <c r="AX164" s="62">
        <v>3</v>
      </c>
      <c r="AY164" s="62">
        <v>3</v>
      </c>
      <c r="AZ164" s="62">
        <v>3</v>
      </c>
      <c r="BA164" s="72">
        <f t="shared" si="23"/>
        <v>3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2</v>
      </c>
      <c r="M165" s="62">
        <v>2</v>
      </c>
      <c r="N165" s="62">
        <v>2</v>
      </c>
      <c r="O165" s="62">
        <v>2</v>
      </c>
      <c r="P165" s="62">
        <v>2</v>
      </c>
      <c r="Q165" s="72">
        <f t="shared" si="17"/>
        <v>2</v>
      </c>
      <c r="R165" s="62">
        <v>2</v>
      </c>
      <c r="S165" s="62">
        <v>2</v>
      </c>
      <c r="T165" s="62"/>
      <c r="U165" s="62">
        <v>2</v>
      </c>
      <c r="V165" s="62"/>
      <c r="W165" s="72">
        <f t="shared" si="18"/>
        <v>2</v>
      </c>
      <c r="X165" s="62">
        <v>2</v>
      </c>
      <c r="Y165" s="62">
        <v>2</v>
      </c>
      <c r="Z165" s="62"/>
      <c r="AA165" s="62"/>
      <c r="AB165" s="62"/>
      <c r="AC165" s="72">
        <f t="shared" si="19"/>
        <v>2</v>
      </c>
      <c r="AD165" s="62">
        <v>2</v>
      </c>
      <c r="AE165" s="62"/>
      <c r="AF165" s="62">
        <v>2</v>
      </c>
      <c r="AG165" s="62"/>
      <c r="AH165" s="62"/>
      <c r="AI165" s="72">
        <f t="shared" si="20"/>
        <v>2</v>
      </c>
      <c r="AJ165" s="62"/>
      <c r="AK165" s="62"/>
      <c r="AL165" s="62"/>
      <c r="AM165" s="62"/>
      <c r="AN165" s="62"/>
      <c r="AO165" s="72" t="str">
        <f t="shared" si="21"/>
        <v>A</v>
      </c>
      <c r="AP165" s="62">
        <v>2</v>
      </c>
      <c r="AQ165" s="62">
        <v>2</v>
      </c>
      <c r="AR165" s="62">
        <v>2</v>
      </c>
      <c r="AS165" s="62"/>
      <c r="AT165" s="62"/>
      <c r="AU165" s="72">
        <f t="shared" si="22"/>
        <v>2</v>
      </c>
      <c r="AV165" s="62"/>
      <c r="AW165" s="62"/>
      <c r="AX165" s="62">
        <v>2</v>
      </c>
      <c r="AY165" s="62">
        <v>2</v>
      </c>
      <c r="AZ165" s="62">
        <v>0</v>
      </c>
      <c r="BA165" s="72">
        <f t="shared" si="23"/>
        <v>1.3333333333333333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4</v>
      </c>
      <c r="M166" s="62">
        <v>3</v>
      </c>
      <c r="N166" s="62">
        <v>3</v>
      </c>
      <c r="O166" s="62">
        <v>3</v>
      </c>
      <c r="P166" s="62">
        <v>4</v>
      </c>
      <c r="Q166" s="72">
        <f t="shared" si="17"/>
        <v>3.4</v>
      </c>
      <c r="R166" s="62">
        <v>4</v>
      </c>
      <c r="S166" s="62">
        <v>3</v>
      </c>
      <c r="T166" s="7"/>
      <c r="U166" s="62">
        <v>4</v>
      </c>
      <c r="V166" s="7"/>
      <c r="W166" s="72">
        <f t="shared" si="18"/>
        <v>3.6666666666666665</v>
      </c>
      <c r="X166" s="62">
        <v>3</v>
      </c>
      <c r="Y166" s="62">
        <v>3</v>
      </c>
      <c r="Z166" s="7"/>
      <c r="AA166" s="7"/>
      <c r="AB166" s="7"/>
      <c r="AC166" s="72">
        <f t="shared" si="19"/>
        <v>3</v>
      </c>
      <c r="AD166" s="62">
        <v>3</v>
      </c>
      <c r="AE166" s="7"/>
      <c r="AF166" s="62">
        <v>3</v>
      </c>
      <c r="AG166" s="7"/>
      <c r="AH166" s="7"/>
      <c r="AI166" s="72">
        <f t="shared" si="20"/>
        <v>3</v>
      </c>
      <c r="AJ166" s="7"/>
      <c r="AK166" s="7"/>
      <c r="AL166" s="7"/>
      <c r="AM166" s="7"/>
      <c r="AN166" s="7"/>
      <c r="AO166" s="72" t="str">
        <f t="shared" si="21"/>
        <v>A</v>
      </c>
      <c r="AP166" s="62">
        <v>3</v>
      </c>
      <c r="AQ166" s="62">
        <v>3</v>
      </c>
      <c r="AR166" s="62">
        <v>3</v>
      </c>
      <c r="AS166" s="7"/>
      <c r="AT166" s="7"/>
      <c r="AU166" s="72">
        <f t="shared" si="22"/>
        <v>3</v>
      </c>
      <c r="AV166" s="7"/>
      <c r="AW166" s="7"/>
      <c r="AX166" s="62">
        <v>3</v>
      </c>
      <c r="AY166" s="62">
        <v>3</v>
      </c>
      <c r="AZ166" s="62">
        <v>0</v>
      </c>
      <c r="BA166" s="72">
        <f t="shared" si="23"/>
        <v>2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2</v>
      </c>
      <c r="M167" s="62">
        <v>1</v>
      </c>
      <c r="N167" s="62">
        <v>1</v>
      </c>
      <c r="O167" s="62">
        <v>1</v>
      </c>
      <c r="P167" s="62">
        <v>1</v>
      </c>
      <c r="Q167" s="72">
        <f t="shared" si="17"/>
        <v>1.2</v>
      </c>
      <c r="R167" s="62">
        <v>1</v>
      </c>
      <c r="S167" s="62">
        <v>1</v>
      </c>
      <c r="T167" s="62"/>
      <c r="U167" s="62">
        <v>1</v>
      </c>
      <c r="V167" s="62"/>
      <c r="W167" s="72">
        <f t="shared" si="18"/>
        <v>1</v>
      </c>
      <c r="X167" s="62">
        <v>1</v>
      </c>
      <c r="Y167" s="62">
        <v>1</v>
      </c>
      <c r="Z167" s="62"/>
      <c r="AA167" s="62"/>
      <c r="AB167" s="62"/>
      <c r="AC167" s="72">
        <f t="shared" si="19"/>
        <v>1</v>
      </c>
      <c r="AD167" s="62">
        <v>1</v>
      </c>
      <c r="AE167" s="62"/>
      <c r="AF167" s="62">
        <v>1</v>
      </c>
      <c r="AG167" s="62"/>
      <c r="AH167" s="62"/>
      <c r="AI167" s="72">
        <f t="shared" si="20"/>
        <v>1</v>
      </c>
      <c r="AJ167" s="62"/>
      <c r="AK167" s="62"/>
      <c r="AL167" s="62"/>
      <c r="AM167" s="62"/>
      <c r="AN167" s="62"/>
      <c r="AO167" s="72" t="str">
        <f t="shared" si="21"/>
        <v>A</v>
      </c>
      <c r="AP167" s="62">
        <v>1</v>
      </c>
      <c r="AQ167" s="62">
        <v>1</v>
      </c>
      <c r="AR167" s="62">
        <v>1</v>
      </c>
      <c r="AS167" s="62"/>
      <c r="AT167" s="62"/>
      <c r="AU167" s="72">
        <f t="shared" si="22"/>
        <v>1</v>
      </c>
      <c r="AV167" s="62"/>
      <c r="AW167" s="62"/>
      <c r="AX167" s="62">
        <v>1</v>
      </c>
      <c r="AY167" s="62">
        <v>1</v>
      </c>
      <c r="AZ167" s="62">
        <v>1</v>
      </c>
      <c r="BA167" s="72">
        <f t="shared" si="23"/>
        <v>1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3</v>
      </c>
      <c r="M168" s="62">
        <v>3</v>
      </c>
      <c r="N168" s="62">
        <v>2</v>
      </c>
      <c r="O168" s="62">
        <v>3</v>
      </c>
      <c r="P168" s="62">
        <v>3</v>
      </c>
      <c r="Q168" s="72">
        <f t="shared" si="17"/>
        <v>2.8</v>
      </c>
      <c r="R168" s="62">
        <v>2</v>
      </c>
      <c r="S168" s="62">
        <v>2</v>
      </c>
      <c r="T168" s="7"/>
      <c r="U168" s="62">
        <v>2</v>
      </c>
      <c r="V168" s="7"/>
      <c r="W168" s="72">
        <f t="shared" si="18"/>
        <v>2</v>
      </c>
      <c r="X168" s="62">
        <v>1</v>
      </c>
      <c r="Y168" s="62">
        <v>1</v>
      </c>
      <c r="Z168" s="7"/>
      <c r="AA168" s="7"/>
      <c r="AB168" s="7"/>
      <c r="AC168" s="72">
        <f t="shared" si="19"/>
        <v>1</v>
      </c>
      <c r="AD168" s="62">
        <v>1</v>
      </c>
      <c r="AE168" s="7"/>
      <c r="AF168" s="62">
        <v>1</v>
      </c>
      <c r="AG168" s="7"/>
      <c r="AH168" s="7"/>
      <c r="AI168" s="72">
        <f t="shared" si="20"/>
        <v>1</v>
      </c>
      <c r="AJ168" s="7"/>
      <c r="AK168" s="7"/>
      <c r="AL168" s="7"/>
      <c r="AM168" s="7"/>
      <c r="AN168" s="7"/>
      <c r="AO168" s="72" t="str">
        <f t="shared" si="21"/>
        <v>A</v>
      </c>
      <c r="AP168" s="62">
        <v>1</v>
      </c>
      <c r="AQ168" s="62">
        <v>1</v>
      </c>
      <c r="AR168" s="62">
        <v>1</v>
      </c>
      <c r="AS168" s="7"/>
      <c r="AT168" s="7"/>
      <c r="AU168" s="72">
        <f t="shared" si="22"/>
        <v>1</v>
      </c>
      <c r="AV168" s="7"/>
      <c r="AW168" s="7"/>
      <c r="AX168" s="62">
        <v>1</v>
      </c>
      <c r="AY168" s="62">
        <v>1</v>
      </c>
      <c r="AZ168" s="62">
        <v>1</v>
      </c>
      <c r="BA168" s="72">
        <f t="shared" si="23"/>
        <v>1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3</v>
      </c>
      <c r="M169" s="62">
        <v>2</v>
      </c>
      <c r="N169" s="62">
        <v>2</v>
      </c>
      <c r="O169" s="62">
        <v>2</v>
      </c>
      <c r="P169" s="62">
        <v>3</v>
      </c>
      <c r="Q169" s="72">
        <f t="shared" si="17"/>
        <v>2.4</v>
      </c>
      <c r="R169" s="62">
        <v>3</v>
      </c>
      <c r="S169" s="62">
        <v>2</v>
      </c>
      <c r="T169" s="62"/>
      <c r="U169" s="62">
        <v>3</v>
      </c>
      <c r="V169" s="62"/>
      <c r="W169" s="72">
        <f t="shared" si="18"/>
        <v>2.6666666666666665</v>
      </c>
      <c r="X169" s="62">
        <v>2</v>
      </c>
      <c r="Y169" s="62">
        <v>2</v>
      </c>
      <c r="Z169" s="62"/>
      <c r="AA169" s="62"/>
      <c r="AB169" s="62"/>
      <c r="AC169" s="72">
        <f t="shared" si="19"/>
        <v>2</v>
      </c>
      <c r="AD169" s="62">
        <v>2</v>
      </c>
      <c r="AE169" s="62"/>
      <c r="AF169" s="62">
        <v>2</v>
      </c>
      <c r="AG169" s="62"/>
      <c r="AH169" s="62"/>
      <c r="AI169" s="72">
        <f t="shared" si="20"/>
        <v>2</v>
      </c>
      <c r="AJ169" s="62"/>
      <c r="AK169" s="62"/>
      <c r="AL169" s="62"/>
      <c r="AM169" s="62"/>
      <c r="AN169" s="62"/>
      <c r="AO169" s="72" t="str">
        <f t="shared" si="21"/>
        <v>A</v>
      </c>
      <c r="AP169" s="62">
        <v>2</v>
      </c>
      <c r="AQ169" s="62">
        <v>2</v>
      </c>
      <c r="AR169" s="62">
        <v>2</v>
      </c>
      <c r="AS169" s="62"/>
      <c r="AT169" s="62"/>
      <c r="AU169" s="72">
        <f t="shared" si="22"/>
        <v>2</v>
      </c>
      <c r="AV169" s="62"/>
      <c r="AW169" s="62"/>
      <c r="AX169" s="62">
        <v>2</v>
      </c>
      <c r="AY169" s="62">
        <v>2</v>
      </c>
      <c r="AZ169" s="62">
        <v>0</v>
      </c>
      <c r="BA169" s="72">
        <f t="shared" si="23"/>
        <v>1.3333333333333333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3</v>
      </c>
      <c r="M170" s="62">
        <v>3</v>
      </c>
      <c r="N170" s="62">
        <v>3</v>
      </c>
      <c r="O170" s="62">
        <v>3</v>
      </c>
      <c r="P170" s="62">
        <v>3</v>
      </c>
      <c r="Q170" s="72">
        <f t="shared" si="17"/>
        <v>3</v>
      </c>
      <c r="R170" s="62">
        <v>3</v>
      </c>
      <c r="S170" s="62">
        <v>3</v>
      </c>
      <c r="T170" s="7"/>
      <c r="U170" s="62">
        <v>3</v>
      </c>
      <c r="V170" s="7"/>
      <c r="W170" s="72">
        <f t="shared" si="18"/>
        <v>3</v>
      </c>
      <c r="X170" s="62">
        <v>3</v>
      </c>
      <c r="Y170" s="62">
        <v>3</v>
      </c>
      <c r="Z170" s="7"/>
      <c r="AA170" s="7"/>
      <c r="AB170" s="7"/>
      <c r="AC170" s="72">
        <f t="shared" si="19"/>
        <v>3</v>
      </c>
      <c r="AD170" s="62">
        <v>3</v>
      </c>
      <c r="AE170" s="7"/>
      <c r="AF170" s="62">
        <v>3</v>
      </c>
      <c r="AG170" s="7"/>
      <c r="AH170" s="7"/>
      <c r="AI170" s="72">
        <f t="shared" si="20"/>
        <v>3</v>
      </c>
      <c r="AJ170" s="7"/>
      <c r="AK170" s="7"/>
      <c r="AL170" s="7"/>
      <c r="AM170" s="7"/>
      <c r="AN170" s="7"/>
      <c r="AO170" s="72" t="str">
        <f t="shared" si="21"/>
        <v>A</v>
      </c>
      <c r="AP170" s="62">
        <v>3</v>
      </c>
      <c r="AQ170" s="62">
        <v>3</v>
      </c>
      <c r="AR170" s="62">
        <v>3</v>
      </c>
      <c r="AS170" s="7"/>
      <c r="AT170" s="7"/>
      <c r="AU170" s="72">
        <f t="shared" si="22"/>
        <v>3</v>
      </c>
      <c r="AV170" s="7"/>
      <c r="AW170" s="7"/>
      <c r="AX170" s="62">
        <v>3</v>
      </c>
      <c r="AY170" s="62">
        <v>3</v>
      </c>
      <c r="AZ170" s="62">
        <v>0</v>
      </c>
      <c r="BA170" s="72">
        <f t="shared" si="23"/>
        <v>2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3</v>
      </c>
      <c r="M171" s="62">
        <v>3</v>
      </c>
      <c r="N171" s="62">
        <v>2</v>
      </c>
      <c r="O171" s="62">
        <v>3</v>
      </c>
      <c r="P171" s="62">
        <v>2</v>
      </c>
      <c r="Q171" s="72">
        <f t="shared" si="17"/>
        <v>2.6</v>
      </c>
      <c r="R171" s="62">
        <v>2</v>
      </c>
      <c r="S171" s="62">
        <v>2</v>
      </c>
      <c r="T171" s="62"/>
      <c r="U171" s="62">
        <v>2</v>
      </c>
      <c r="V171" s="62"/>
      <c r="W171" s="72">
        <f t="shared" si="18"/>
        <v>2</v>
      </c>
      <c r="X171" s="62">
        <v>2</v>
      </c>
      <c r="Y171" s="62">
        <v>2</v>
      </c>
      <c r="Z171" s="62"/>
      <c r="AA171" s="62"/>
      <c r="AB171" s="62"/>
      <c r="AC171" s="72">
        <f t="shared" si="19"/>
        <v>2</v>
      </c>
      <c r="AD171" s="62">
        <v>3</v>
      </c>
      <c r="AE171" s="62"/>
      <c r="AF171" s="62">
        <v>3</v>
      </c>
      <c r="AG171" s="62"/>
      <c r="AH171" s="62"/>
      <c r="AI171" s="72">
        <f t="shared" si="20"/>
        <v>3</v>
      </c>
      <c r="AJ171" s="62"/>
      <c r="AK171" s="62"/>
      <c r="AL171" s="62"/>
      <c r="AM171" s="62"/>
      <c r="AN171" s="62"/>
      <c r="AO171" s="72" t="str">
        <f t="shared" si="21"/>
        <v>A</v>
      </c>
      <c r="AP171" s="62">
        <v>3</v>
      </c>
      <c r="AQ171" s="62">
        <v>3</v>
      </c>
      <c r="AR171" s="62">
        <v>3</v>
      </c>
      <c r="AS171" s="62"/>
      <c r="AT171" s="62"/>
      <c r="AU171" s="72">
        <f t="shared" si="22"/>
        <v>3</v>
      </c>
      <c r="AV171" s="62"/>
      <c r="AW171" s="62"/>
      <c r="AX171" s="62">
        <v>5</v>
      </c>
      <c r="AY171" s="62">
        <v>3</v>
      </c>
      <c r="AZ171" s="62">
        <v>3</v>
      </c>
      <c r="BA171" s="72">
        <f t="shared" si="23"/>
        <v>3.6666666666666665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3</v>
      </c>
      <c r="M172" s="62">
        <v>3</v>
      </c>
      <c r="N172" s="62">
        <v>2</v>
      </c>
      <c r="O172" s="62">
        <v>3</v>
      </c>
      <c r="P172" s="62">
        <v>3</v>
      </c>
      <c r="Q172" s="72">
        <f t="shared" si="17"/>
        <v>2.8</v>
      </c>
      <c r="R172" s="62">
        <v>2</v>
      </c>
      <c r="S172" s="62">
        <v>2</v>
      </c>
      <c r="T172" s="7"/>
      <c r="U172" s="62">
        <v>2</v>
      </c>
      <c r="V172" s="7"/>
      <c r="W172" s="72">
        <f t="shared" si="18"/>
        <v>2</v>
      </c>
      <c r="X172" s="62">
        <v>2</v>
      </c>
      <c r="Y172" s="62">
        <v>2</v>
      </c>
      <c r="Z172" s="7"/>
      <c r="AA172" s="7"/>
      <c r="AB172" s="7"/>
      <c r="AC172" s="72">
        <f t="shared" si="19"/>
        <v>2</v>
      </c>
      <c r="AD172" s="62">
        <v>3</v>
      </c>
      <c r="AE172" s="7"/>
      <c r="AF172" s="62">
        <v>3</v>
      </c>
      <c r="AG172" s="7"/>
      <c r="AH172" s="7"/>
      <c r="AI172" s="72">
        <f t="shared" si="20"/>
        <v>3</v>
      </c>
      <c r="AJ172" s="7"/>
      <c r="AK172" s="7"/>
      <c r="AL172" s="7"/>
      <c r="AM172" s="7"/>
      <c r="AN172" s="7"/>
      <c r="AO172" s="72" t="str">
        <f t="shared" si="21"/>
        <v>A</v>
      </c>
      <c r="AP172" s="62">
        <v>3</v>
      </c>
      <c r="AQ172" s="62">
        <v>3</v>
      </c>
      <c r="AR172" s="62">
        <v>3</v>
      </c>
      <c r="AS172" s="7"/>
      <c r="AT172" s="7"/>
      <c r="AU172" s="72">
        <f t="shared" si="22"/>
        <v>3</v>
      </c>
      <c r="AV172" s="7"/>
      <c r="AW172" s="7"/>
      <c r="AX172" s="62">
        <v>3</v>
      </c>
      <c r="AY172" s="62">
        <v>3</v>
      </c>
      <c r="AZ172" s="62">
        <v>3</v>
      </c>
      <c r="BA172" s="72">
        <f t="shared" si="23"/>
        <v>3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3</v>
      </c>
      <c r="M173" s="62">
        <v>2</v>
      </c>
      <c r="N173" s="62">
        <v>2</v>
      </c>
      <c r="O173" s="62">
        <v>3</v>
      </c>
      <c r="P173" s="62">
        <v>3</v>
      </c>
      <c r="Q173" s="72">
        <f t="shared" si="17"/>
        <v>2.6</v>
      </c>
      <c r="R173" s="62">
        <v>3</v>
      </c>
      <c r="S173" s="62">
        <v>2</v>
      </c>
      <c r="T173" s="62"/>
      <c r="U173" s="62">
        <v>3</v>
      </c>
      <c r="V173" s="62"/>
      <c r="W173" s="72">
        <f t="shared" si="18"/>
        <v>2.6666666666666665</v>
      </c>
      <c r="X173" s="62">
        <v>2</v>
      </c>
      <c r="Y173" s="62">
        <v>3</v>
      </c>
      <c r="Z173" s="62"/>
      <c r="AA173" s="62"/>
      <c r="AB173" s="62"/>
      <c r="AC173" s="72">
        <f t="shared" si="19"/>
        <v>2.5</v>
      </c>
      <c r="AD173" s="62">
        <v>3</v>
      </c>
      <c r="AE173" s="62"/>
      <c r="AF173" s="62">
        <v>2</v>
      </c>
      <c r="AG173" s="62"/>
      <c r="AH173" s="62"/>
      <c r="AI173" s="72">
        <f t="shared" si="20"/>
        <v>2.5</v>
      </c>
      <c r="AJ173" s="62"/>
      <c r="AK173" s="62"/>
      <c r="AL173" s="62"/>
      <c r="AM173" s="62"/>
      <c r="AN173" s="62"/>
      <c r="AO173" s="72" t="str">
        <f t="shared" si="21"/>
        <v>A</v>
      </c>
      <c r="AP173" s="62">
        <v>2</v>
      </c>
      <c r="AQ173" s="62">
        <v>2</v>
      </c>
      <c r="AR173" s="62">
        <v>3</v>
      </c>
      <c r="AS173" s="62"/>
      <c r="AT173" s="62"/>
      <c r="AU173" s="72">
        <f t="shared" si="22"/>
        <v>2.3333333333333335</v>
      </c>
      <c r="AV173" s="62"/>
      <c r="AW173" s="62"/>
      <c r="AX173" s="62">
        <v>2</v>
      </c>
      <c r="AY173" s="62">
        <v>2</v>
      </c>
      <c r="AZ173" s="62">
        <v>0</v>
      </c>
      <c r="BA173" s="72">
        <f t="shared" si="23"/>
        <v>1.3333333333333333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3</v>
      </c>
      <c r="M174" s="62">
        <v>2</v>
      </c>
      <c r="N174" s="62">
        <v>2</v>
      </c>
      <c r="O174" s="62">
        <v>3</v>
      </c>
      <c r="P174" s="62">
        <v>3</v>
      </c>
      <c r="Q174" s="72">
        <f t="shared" si="17"/>
        <v>2.6</v>
      </c>
      <c r="R174" s="62">
        <v>3</v>
      </c>
      <c r="S174" s="62">
        <v>3</v>
      </c>
      <c r="T174" s="7"/>
      <c r="U174" s="62">
        <v>3</v>
      </c>
      <c r="V174" s="7"/>
      <c r="W174" s="72">
        <f t="shared" si="18"/>
        <v>3</v>
      </c>
      <c r="X174" s="62">
        <v>3</v>
      </c>
      <c r="Y174" s="62">
        <v>3</v>
      </c>
      <c r="Z174" s="7"/>
      <c r="AA174" s="7"/>
      <c r="AB174" s="7"/>
      <c r="AC174" s="72">
        <f t="shared" si="19"/>
        <v>3</v>
      </c>
      <c r="AD174" s="62">
        <v>3</v>
      </c>
      <c r="AE174" s="7"/>
      <c r="AF174" s="62">
        <v>3</v>
      </c>
      <c r="AG174" s="7"/>
      <c r="AH174" s="7"/>
      <c r="AI174" s="72">
        <f t="shared" si="20"/>
        <v>3</v>
      </c>
      <c r="AJ174" s="7"/>
      <c r="AK174" s="7"/>
      <c r="AL174" s="7"/>
      <c r="AM174" s="7"/>
      <c r="AN174" s="7"/>
      <c r="AO174" s="72" t="str">
        <f t="shared" si="21"/>
        <v>A</v>
      </c>
      <c r="AP174" s="62">
        <v>3</v>
      </c>
      <c r="AQ174" s="62">
        <v>3</v>
      </c>
      <c r="AR174" s="62">
        <v>3</v>
      </c>
      <c r="AS174" s="7"/>
      <c r="AT174" s="7"/>
      <c r="AU174" s="72">
        <f t="shared" si="22"/>
        <v>3</v>
      </c>
      <c r="AV174" s="7"/>
      <c r="AW174" s="7"/>
      <c r="AX174" s="62">
        <v>3</v>
      </c>
      <c r="AY174" s="62">
        <v>3</v>
      </c>
      <c r="AZ174" s="62">
        <v>3</v>
      </c>
      <c r="BA174" s="72">
        <f t="shared" si="23"/>
        <v>3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3</v>
      </c>
      <c r="M175" s="62">
        <v>2</v>
      </c>
      <c r="N175" s="62">
        <v>2</v>
      </c>
      <c r="O175" s="62">
        <v>3</v>
      </c>
      <c r="P175" s="62">
        <v>3</v>
      </c>
      <c r="Q175" s="72">
        <f t="shared" si="17"/>
        <v>2.6</v>
      </c>
      <c r="R175" s="62">
        <v>3</v>
      </c>
      <c r="S175" s="62">
        <v>3</v>
      </c>
      <c r="T175" s="62"/>
      <c r="U175" s="62">
        <v>3</v>
      </c>
      <c r="V175" s="62"/>
      <c r="W175" s="72">
        <f t="shared" si="18"/>
        <v>3</v>
      </c>
      <c r="X175" s="62">
        <v>3</v>
      </c>
      <c r="Y175" s="62">
        <v>3</v>
      </c>
      <c r="Z175" s="62"/>
      <c r="AA175" s="62"/>
      <c r="AB175" s="62"/>
      <c r="AC175" s="72">
        <f t="shared" si="19"/>
        <v>3</v>
      </c>
      <c r="AD175" s="62">
        <v>3</v>
      </c>
      <c r="AE175" s="62"/>
      <c r="AF175" s="62">
        <v>3</v>
      </c>
      <c r="AG175" s="62"/>
      <c r="AH175" s="62"/>
      <c r="AI175" s="72">
        <f t="shared" si="20"/>
        <v>3</v>
      </c>
      <c r="AJ175" s="62"/>
      <c r="AK175" s="62"/>
      <c r="AL175" s="62"/>
      <c r="AM175" s="62"/>
      <c r="AN175" s="62"/>
      <c r="AO175" s="72" t="str">
        <f t="shared" si="21"/>
        <v>A</v>
      </c>
      <c r="AP175" s="62">
        <v>3</v>
      </c>
      <c r="AQ175" s="62">
        <v>3</v>
      </c>
      <c r="AR175" s="62">
        <v>3</v>
      </c>
      <c r="AS175" s="62"/>
      <c r="AT175" s="62"/>
      <c r="AU175" s="72">
        <f t="shared" si="22"/>
        <v>3</v>
      </c>
      <c r="AV175" s="62"/>
      <c r="AW175" s="62"/>
      <c r="AX175" s="62">
        <v>3</v>
      </c>
      <c r="AY175" s="62">
        <v>3</v>
      </c>
      <c r="AZ175" s="62">
        <v>3</v>
      </c>
      <c r="BA175" s="72">
        <f t="shared" si="23"/>
        <v>3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3</v>
      </c>
      <c r="M176" s="62">
        <v>3</v>
      </c>
      <c r="N176" s="62">
        <v>3</v>
      </c>
      <c r="O176" s="62">
        <v>3</v>
      </c>
      <c r="P176" s="62">
        <v>3</v>
      </c>
      <c r="Q176" s="72">
        <f t="shared" si="17"/>
        <v>3</v>
      </c>
      <c r="R176" s="62">
        <v>2</v>
      </c>
      <c r="S176" s="62">
        <v>2</v>
      </c>
      <c r="T176" s="7"/>
      <c r="U176" s="62">
        <v>2</v>
      </c>
      <c r="V176" s="7"/>
      <c r="W176" s="72">
        <f t="shared" si="18"/>
        <v>2</v>
      </c>
      <c r="X176" s="62">
        <v>2</v>
      </c>
      <c r="Y176" s="62">
        <v>2</v>
      </c>
      <c r="Z176" s="7"/>
      <c r="AA176" s="7"/>
      <c r="AB176" s="7"/>
      <c r="AC176" s="72">
        <f t="shared" si="19"/>
        <v>2</v>
      </c>
      <c r="AD176" s="62">
        <v>3</v>
      </c>
      <c r="AE176" s="7"/>
      <c r="AF176" s="62">
        <v>3</v>
      </c>
      <c r="AG176" s="7"/>
      <c r="AH176" s="7"/>
      <c r="AI176" s="72">
        <f t="shared" si="20"/>
        <v>3</v>
      </c>
      <c r="AJ176" s="7"/>
      <c r="AK176" s="7"/>
      <c r="AL176" s="7"/>
      <c r="AM176" s="7"/>
      <c r="AN176" s="7"/>
      <c r="AO176" s="72" t="str">
        <f t="shared" si="21"/>
        <v>A</v>
      </c>
      <c r="AP176" s="62">
        <v>3</v>
      </c>
      <c r="AQ176" s="62">
        <v>3</v>
      </c>
      <c r="AR176" s="62">
        <v>3</v>
      </c>
      <c r="AS176" s="7"/>
      <c r="AT176" s="7"/>
      <c r="AU176" s="72">
        <f t="shared" si="22"/>
        <v>3</v>
      </c>
      <c r="AV176" s="7"/>
      <c r="AW176" s="7"/>
      <c r="AX176" s="62">
        <v>3</v>
      </c>
      <c r="AY176" s="62">
        <v>3</v>
      </c>
      <c r="AZ176" s="62">
        <v>3</v>
      </c>
      <c r="BA176" s="72">
        <f t="shared" si="23"/>
        <v>3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1</v>
      </c>
      <c r="M177" s="62">
        <v>1</v>
      </c>
      <c r="N177" s="62">
        <v>1</v>
      </c>
      <c r="O177" s="62">
        <v>3</v>
      </c>
      <c r="P177" s="62">
        <v>1</v>
      </c>
      <c r="Q177" s="72">
        <f t="shared" si="17"/>
        <v>1.4</v>
      </c>
      <c r="R177" s="62">
        <v>1</v>
      </c>
      <c r="S177" s="62">
        <v>1</v>
      </c>
      <c r="T177" s="62"/>
      <c r="U177" s="62">
        <v>1</v>
      </c>
      <c r="V177" s="62"/>
      <c r="W177" s="72">
        <f t="shared" si="18"/>
        <v>1</v>
      </c>
      <c r="X177" s="62">
        <v>1</v>
      </c>
      <c r="Y177" s="62">
        <v>1</v>
      </c>
      <c r="Z177" s="62"/>
      <c r="AA177" s="62"/>
      <c r="AB177" s="62"/>
      <c r="AC177" s="72">
        <f t="shared" si="19"/>
        <v>1</v>
      </c>
      <c r="AD177" s="62">
        <v>1</v>
      </c>
      <c r="AE177" s="62"/>
      <c r="AF177" s="62">
        <v>1</v>
      </c>
      <c r="AG177" s="62"/>
      <c r="AH177" s="62"/>
      <c r="AI177" s="72">
        <f t="shared" si="20"/>
        <v>1</v>
      </c>
      <c r="AJ177" s="62"/>
      <c r="AK177" s="62"/>
      <c r="AL177" s="62"/>
      <c r="AM177" s="62"/>
      <c r="AN177" s="62"/>
      <c r="AO177" s="72" t="str">
        <f t="shared" si="21"/>
        <v>A</v>
      </c>
      <c r="AP177" s="62">
        <v>1</v>
      </c>
      <c r="AQ177" s="62">
        <v>1</v>
      </c>
      <c r="AR177" s="62">
        <v>1</v>
      </c>
      <c r="AS177" s="62"/>
      <c r="AT177" s="62"/>
      <c r="AU177" s="72">
        <f t="shared" si="22"/>
        <v>1</v>
      </c>
      <c r="AV177" s="62"/>
      <c r="AW177" s="62"/>
      <c r="AX177" s="62">
        <v>1</v>
      </c>
      <c r="AY177" s="62">
        <v>1</v>
      </c>
      <c r="AZ177" s="62">
        <v>1</v>
      </c>
      <c r="BA177" s="72">
        <f t="shared" si="23"/>
        <v>1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72">
        <f t="shared" si="17"/>
        <v>0</v>
      </c>
      <c r="R178" s="62">
        <v>0</v>
      </c>
      <c r="S178" s="62">
        <v>0</v>
      </c>
      <c r="T178" s="7"/>
      <c r="U178" s="62">
        <v>0</v>
      </c>
      <c r="V178" s="7"/>
      <c r="W178" s="72">
        <f t="shared" si="18"/>
        <v>0</v>
      </c>
      <c r="X178" s="62">
        <v>0</v>
      </c>
      <c r="Y178" s="62">
        <v>0</v>
      </c>
      <c r="Z178" s="7"/>
      <c r="AA178" s="7"/>
      <c r="AB178" s="7"/>
      <c r="AC178" s="72">
        <f t="shared" si="19"/>
        <v>0</v>
      </c>
      <c r="AD178" s="62">
        <v>0</v>
      </c>
      <c r="AE178" s="7"/>
      <c r="AF178" s="62">
        <v>0</v>
      </c>
      <c r="AG178" s="7"/>
      <c r="AH178" s="7"/>
      <c r="AI178" s="72">
        <f t="shared" si="20"/>
        <v>0</v>
      </c>
      <c r="AJ178" s="7"/>
      <c r="AK178" s="7"/>
      <c r="AL178" s="7"/>
      <c r="AM178" s="7"/>
      <c r="AN178" s="7"/>
      <c r="AO178" s="72" t="str">
        <f t="shared" si="21"/>
        <v>A</v>
      </c>
      <c r="AP178" s="62">
        <v>0</v>
      </c>
      <c r="AQ178" s="62">
        <v>0</v>
      </c>
      <c r="AR178" s="62">
        <v>0</v>
      </c>
      <c r="AS178" s="7"/>
      <c r="AT178" s="7"/>
      <c r="AU178" s="72">
        <f t="shared" si="22"/>
        <v>0</v>
      </c>
      <c r="AV178" s="7"/>
      <c r="AW178" s="7"/>
      <c r="AX178" s="62">
        <v>0</v>
      </c>
      <c r="AY178" s="62">
        <v>0</v>
      </c>
      <c r="AZ178" s="62">
        <v>0</v>
      </c>
      <c r="BA178" s="72">
        <f t="shared" si="23"/>
        <v>0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2</v>
      </c>
      <c r="M179" s="62">
        <v>2</v>
      </c>
      <c r="N179" s="62">
        <v>2</v>
      </c>
      <c r="O179" s="62">
        <v>2</v>
      </c>
      <c r="P179" s="62">
        <v>2</v>
      </c>
      <c r="Q179" s="72">
        <f t="shared" si="17"/>
        <v>2</v>
      </c>
      <c r="R179" s="62">
        <v>2</v>
      </c>
      <c r="S179" s="62">
        <v>2</v>
      </c>
      <c r="T179" s="62"/>
      <c r="U179" s="62">
        <v>2</v>
      </c>
      <c r="V179" s="62"/>
      <c r="W179" s="72">
        <f t="shared" si="18"/>
        <v>2</v>
      </c>
      <c r="X179" s="62">
        <v>2</v>
      </c>
      <c r="Y179" s="62">
        <v>2</v>
      </c>
      <c r="Z179" s="62"/>
      <c r="AA179" s="62"/>
      <c r="AB179" s="62"/>
      <c r="AC179" s="72">
        <f t="shared" si="19"/>
        <v>2</v>
      </c>
      <c r="AD179" s="62">
        <v>2</v>
      </c>
      <c r="AE179" s="62"/>
      <c r="AF179" s="62">
        <v>2</v>
      </c>
      <c r="AG179" s="62"/>
      <c r="AH179" s="62"/>
      <c r="AI179" s="72">
        <f t="shared" si="20"/>
        <v>2</v>
      </c>
      <c r="AJ179" s="62"/>
      <c r="AK179" s="62"/>
      <c r="AL179" s="62"/>
      <c r="AM179" s="62"/>
      <c r="AN179" s="62"/>
      <c r="AO179" s="72" t="str">
        <f t="shared" si="21"/>
        <v>A</v>
      </c>
      <c r="AP179" s="62">
        <v>2</v>
      </c>
      <c r="AQ179" s="62">
        <v>2</v>
      </c>
      <c r="AR179" s="62">
        <v>2</v>
      </c>
      <c r="AS179" s="62"/>
      <c r="AT179" s="62"/>
      <c r="AU179" s="72">
        <f t="shared" si="22"/>
        <v>2</v>
      </c>
      <c r="AV179" s="62"/>
      <c r="AW179" s="62"/>
      <c r="AX179" s="62">
        <v>2</v>
      </c>
      <c r="AY179" s="62">
        <v>2</v>
      </c>
      <c r="AZ179" s="62">
        <v>0</v>
      </c>
      <c r="BA179" s="72">
        <f t="shared" si="23"/>
        <v>1.3333333333333333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4</v>
      </c>
      <c r="M180" s="62">
        <v>4</v>
      </c>
      <c r="N180" s="62">
        <v>4</v>
      </c>
      <c r="O180" s="62">
        <v>3</v>
      </c>
      <c r="P180" s="62">
        <v>4</v>
      </c>
      <c r="Q180" s="72">
        <f t="shared" si="17"/>
        <v>3.8</v>
      </c>
      <c r="R180" s="62">
        <v>4</v>
      </c>
      <c r="S180" s="62">
        <v>4</v>
      </c>
      <c r="T180" s="7"/>
      <c r="U180" s="62">
        <v>4</v>
      </c>
      <c r="V180" s="7"/>
      <c r="W180" s="72">
        <f t="shared" si="18"/>
        <v>4</v>
      </c>
      <c r="X180" s="62">
        <v>4</v>
      </c>
      <c r="Y180" s="62">
        <v>4</v>
      </c>
      <c r="Z180" s="7"/>
      <c r="AA180" s="7"/>
      <c r="AB180" s="7"/>
      <c r="AC180" s="72">
        <f t="shared" si="19"/>
        <v>4</v>
      </c>
      <c r="AD180" s="62">
        <v>4</v>
      </c>
      <c r="AE180" s="7"/>
      <c r="AF180" s="62">
        <v>1</v>
      </c>
      <c r="AG180" s="7"/>
      <c r="AH180" s="7"/>
      <c r="AI180" s="72">
        <f t="shared" si="20"/>
        <v>2.5</v>
      </c>
      <c r="AJ180" s="7"/>
      <c r="AK180" s="7"/>
      <c r="AL180" s="7"/>
      <c r="AM180" s="7"/>
      <c r="AN180" s="7"/>
      <c r="AO180" s="72" t="str">
        <f t="shared" si="21"/>
        <v>A</v>
      </c>
      <c r="AP180" s="62">
        <v>1</v>
      </c>
      <c r="AQ180" s="62">
        <v>1</v>
      </c>
      <c r="AR180" s="62">
        <v>1</v>
      </c>
      <c r="AS180" s="7"/>
      <c r="AT180" s="7"/>
      <c r="AU180" s="72">
        <f t="shared" si="22"/>
        <v>1</v>
      </c>
      <c r="AV180" s="7"/>
      <c r="AW180" s="7"/>
      <c r="AX180" s="62">
        <v>1</v>
      </c>
      <c r="AY180" s="62">
        <v>1</v>
      </c>
      <c r="AZ180" s="62">
        <v>4</v>
      </c>
      <c r="BA180" s="72">
        <f t="shared" si="23"/>
        <v>2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3</v>
      </c>
      <c r="M181" s="62">
        <v>3</v>
      </c>
      <c r="N181" s="62">
        <v>3</v>
      </c>
      <c r="O181" s="62">
        <v>3</v>
      </c>
      <c r="P181" s="62">
        <v>3</v>
      </c>
      <c r="Q181" s="72">
        <f t="shared" si="17"/>
        <v>3</v>
      </c>
      <c r="R181" s="62">
        <v>3</v>
      </c>
      <c r="S181" s="62">
        <v>3</v>
      </c>
      <c r="T181" s="62"/>
      <c r="U181" s="62">
        <v>3</v>
      </c>
      <c r="V181" s="62"/>
      <c r="W181" s="72">
        <f t="shared" si="18"/>
        <v>3</v>
      </c>
      <c r="X181" s="62">
        <v>3</v>
      </c>
      <c r="Y181" s="62">
        <v>3</v>
      </c>
      <c r="Z181" s="62"/>
      <c r="AA181" s="62"/>
      <c r="AB181" s="62"/>
      <c r="AC181" s="72">
        <f t="shared" si="19"/>
        <v>3</v>
      </c>
      <c r="AD181" s="62">
        <v>3</v>
      </c>
      <c r="AE181" s="62"/>
      <c r="AF181" s="62">
        <v>3</v>
      </c>
      <c r="AG181" s="62"/>
      <c r="AH181" s="62"/>
      <c r="AI181" s="72">
        <f t="shared" si="20"/>
        <v>3</v>
      </c>
      <c r="AJ181" s="62"/>
      <c r="AK181" s="62"/>
      <c r="AL181" s="62"/>
      <c r="AM181" s="62"/>
      <c r="AN181" s="62"/>
      <c r="AO181" s="72" t="str">
        <f t="shared" si="21"/>
        <v>A</v>
      </c>
      <c r="AP181" s="62">
        <v>3</v>
      </c>
      <c r="AQ181" s="62">
        <v>3</v>
      </c>
      <c r="AR181" s="62">
        <v>3</v>
      </c>
      <c r="AS181" s="62"/>
      <c r="AT181" s="62"/>
      <c r="AU181" s="72">
        <f t="shared" si="22"/>
        <v>3</v>
      </c>
      <c r="AV181" s="62"/>
      <c r="AW181" s="62"/>
      <c r="AX181" s="62">
        <v>3</v>
      </c>
      <c r="AY181" s="62">
        <v>3</v>
      </c>
      <c r="AZ181" s="62">
        <v>0</v>
      </c>
      <c r="BA181" s="72">
        <f t="shared" si="23"/>
        <v>2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3</v>
      </c>
      <c r="M182" s="62">
        <v>3</v>
      </c>
      <c r="N182" s="62">
        <v>3</v>
      </c>
      <c r="O182" s="62">
        <v>3</v>
      </c>
      <c r="P182" s="62">
        <v>3</v>
      </c>
      <c r="Q182" s="72">
        <f t="shared" si="17"/>
        <v>3</v>
      </c>
      <c r="R182" s="62">
        <v>3</v>
      </c>
      <c r="S182" s="62">
        <v>3</v>
      </c>
      <c r="T182" s="7"/>
      <c r="U182" s="62">
        <v>3</v>
      </c>
      <c r="V182" s="7"/>
      <c r="W182" s="72">
        <f t="shared" si="18"/>
        <v>3</v>
      </c>
      <c r="X182" s="62">
        <v>3</v>
      </c>
      <c r="Y182" s="62">
        <v>3</v>
      </c>
      <c r="Z182" s="7"/>
      <c r="AA182" s="7"/>
      <c r="AB182" s="7"/>
      <c r="AC182" s="72">
        <f t="shared" si="19"/>
        <v>3</v>
      </c>
      <c r="AD182" s="62">
        <v>3</v>
      </c>
      <c r="AE182" s="7"/>
      <c r="AF182" s="62">
        <v>3</v>
      </c>
      <c r="AG182" s="7"/>
      <c r="AH182" s="7"/>
      <c r="AI182" s="72">
        <f t="shared" si="20"/>
        <v>3</v>
      </c>
      <c r="AJ182" s="7"/>
      <c r="AK182" s="7"/>
      <c r="AL182" s="7"/>
      <c r="AM182" s="7"/>
      <c r="AN182" s="7"/>
      <c r="AO182" s="72" t="str">
        <f t="shared" si="21"/>
        <v>A</v>
      </c>
      <c r="AP182" s="62">
        <v>3</v>
      </c>
      <c r="AQ182" s="62">
        <v>3</v>
      </c>
      <c r="AR182" s="62">
        <v>3</v>
      </c>
      <c r="AS182" s="7"/>
      <c r="AT182" s="7"/>
      <c r="AU182" s="72">
        <f t="shared" si="22"/>
        <v>3</v>
      </c>
      <c r="AV182" s="7"/>
      <c r="AW182" s="7"/>
      <c r="AX182" s="62">
        <v>3</v>
      </c>
      <c r="AY182" s="62">
        <v>3</v>
      </c>
      <c r="AZ182" s="62">
        <v>0</v>
      </c>
      <c r="BA182" s="72">
        <f t="shared" si="23"/>
        <v>2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3</v>
      </c>
      <c r="M183" s="62">
        <v>2</v>
      </c>
      <c r="N183" s="62">
        <v>3</v>
      </c>
      <c r="O183" s="62">
        <v>3</v>
      </c>
      <c r="P183" s="62">
        <v>3</v>
      </c>
      <c r="Q183" s="72">
        <f t="shared" si="17"/>
        <v>2.8</v>
      </c>
      <c r="R183" s="62">
        <v>3</v>
      </c>
      <c r="S183" s="62">
        <v>3</v>
      </c>
      <c r="T183" s="62"/>
      <c r="U183" s="62">
        <v>3</v>
      </c>
      <c r="V183" s="62"/>
      <c r="W183" s="72">
        <f t="shared" si="18"/>
        <v>3</v>
      </c>
      <c r="X183" s="62">
        <v>3</v>
      </c>
      <c r="Y183" s="62">
        <v>3</v>
      </c>
      <c r="Z183" s="62"/>
      <c r="AA183" s="62"/>
      <c r="AB183" s="62"/>
      <c r="AC183" s="72">
        <f t="shared" si="19"/>
        <v>3</v>
      </c>
      <c r="AD183" s="62">
        <v>3</v>
      </c>
      <c r="AE183" s="62"/>
      <c r="AF183" s="62">
        <v>3</v>
      </c>
      <c r="AG183" s="62"/>
      <c r="AH183" s="62"/>
      <c r="AI183" s="72">
        <f t="shared" si="20"/>
        <v>3</v>
      </c>
      <c r="AJ183" s="62"/>
      <c r="AK183" s="62"/>
      <c r="AL183" s="62"/>
      <c r="AM183" s="62"/>
      <c r="AN183" s="62"/>
      <c r="AO183" s="72" t="str">
        <f t="shared" si="21"/>
        <v>A</v>
      </c>
      <c r="AP183" s="62">
        <v>3</v>
      </c>
      <c r="AQ183" s="62">
        <v>3</v>
      </c>
      <c r="AR183" s="62">
        <v>3</v>
      </c>
      <c r="AS183" s="62"/>
      <c r="AT183" s="62"/>
      <c r="AU183" s="72">
        <f t="shared" si="22"/>
        <v>3</v>
      </c>
      <c r="AV183" s="62"/>
      <c r="AW183" s="62"/>
      <c r="AX183" s="62">
        <v>3</v>
      </c>
      <c r="AY183" s="62">
        <v>3</v>
      </c>
      <c r="AZ183" s="62">
        <v>3</v>
      </c>
      <c r="BA183" s="72">
        <f t="shared" si="23"/>
        <v>3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>
        <v>4</v>
      </c>
      <c r="N184" s="62">
        <v>4</v>
      </c>
      <c r="O184" s="62">
        <v>3</v>
      </c>
      <c r="P184" s="62">
        <v>4</v>
      </c>
      <c r="Q184" s="72">
        <f t="shared" si="17"/>
        <v>3.8</v>
      </c>
      <c r="R184" s="62">
        <v>4</v>
      </c>
      <c r="S184" s="62">
        <v>4</v>
      </c>
      <c r="T184" s="7"/>
      <c r="U184" s="62">
        <v>4</v>
      </c>
      <c r="V184" s="7"/>
      <c r="W184" s="72">
        <f t="shared" si="18"/>
        <v>4</v>
      </c>
      <c r="X184" s="62">
        <v>4</v>
      </c>
      <c r="Y184" s="62">
        <v>3</v>
      </c>
      <c r="Z184" s="7"/>
      <c r="AA184" s="7"/>
      <c r="AB184" s="7"/>
      <c r="AC184" s="72">
        <f t="shared" si="19"/>
        <v>3.5</v>
      </c>
      <c r="AD184" s="62">
        <v>4</v>
      </c>
      <c r="AE184" s="7"/>
      <c r="AF184" s="62">
        <v>2</v>
      </c>
      <c r="AG184" s="7"/>
      <c r="AH184" s="7"/>
      <c r="AI184" s="72">
        <f t="shared" si="20"/>
        <v>3</v>
      </c>
      <c r="AJ184" s="7"/>
      <c r="AK184" s="7"/>
      <c r="AL184" s="7"/>
      <c r="AM184" s="7"/>
      <c r="AN184" s="7"/>
      <c r="AO184" s="72" t="str">
        <f t="shared" si="21"/>
        <v>A</v>
      </c>
      <c r="AP184" s="62">
        <v>1</v>
      </c>
      <c r="AQ184" s="62">
        <v>1</v>
      </c>
      <c r="AR184" s="62">
        <v>1</v>
      </c>
      <c r="AS184" s="7"/>
      <c r="AT184" s="7"/>
      <c r="AU184" s="72">
        <f t="shared" si="22"/>
        <v>1</v>
      </c>
      <c r="AV184" s="7"/>
      <c r="AW184" s="7"/>
      <c r="AX184" s="62">
        <v>1</v>
      </c>
      <c r="AY184" s="62">
        <v>1</v>
      </c>
      <c r="AZ184" s="62">
        <v>4</v>
      </c>
      <c r="BA184" s="72">
        <f t="shared" si="23"/>
        <v>2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3</v>
      </c>
      <c r="M185" s="62">
        <v>3</v>
      </c>
      <c r="N185" s="62">
        <v>2</v>
      </c>
      <c r="O185" s="62">
        <v>3</v>
      </c>
      <c r="P185" s="62">
        <v>2</v>
      </c>
      <c r="Q185" s="72">
        <f t="shared" si="17"/>
        <v>2.6</v>
      </c>
      <c r="R185" s="62">
        <v>2</v>
      </c>
      <c r="S185" s="62">
        <v>2</v>
      </c>
      <c r="T185" s="62"/>
      <c r="U185" s="62">
        <v>2</v>
      </c>
      <c r="V185" s="62"/>
      <c r="W185" s="72">
        <f t="shared" si="18"/>
        <v>2</v>
      </c>
      <c r="X185" s="62">
        <v>2</v>
      </c>
      <c r="Y185" s="62">
        <v>2</v>
      </c>
      <c r="Z185" s="62"/>
      <c r="AA185" s="62"/>
      <c r="AB185" s="62"/>
      <c r="AC185" s="72">
        <f t="shared" si="19"/>
        <v>2</v>
      </c>
      <c r="AD185" s="62">
        <v>2</v>
      </c>
      <c r="AE185" s="62"/>
      <c r="AF185" s="62">
        <v>2</v>
      </c>
      <c r="AG185" s="62"/>
      <c r="AH185" s="62"/>
      <c r="AI185" s="72">
        <f t="shared" si="20"/>
        <v>2</v>
      </c>
      <c r="AJ185" s="62"/>
      <c r="AK185" s="62"/>
      <c r="AL185" s="62"/>
      <c r="AM185" s="62"/>
      <c r="AN185" s="62"/>
      <c r="AO185" s="72" t="str">
        <f t="shared" si="21"/>
        <v>A</v>
      </c>
      <c r="AP185" s="62">
        <v>3</v>
      </c>
      <c r="AQ185" s="62">
        <v>3</v>
      </c>
      <c r="AR185" s="62">
        <v>3</v>
      </c>
      <c r="AS185" s="62"/>
      <c r="AT185" s="62"/>
      <c r="AU185" s="72">
        <f t="shared" si="22"/>
        <v>3</v>
      </c>
      <c r="AV185" s="62"/>
      <c r="AW185" s="62"/>
      <c r="AX185" s="62">
        <v>5</v>
      </c>
      <c r="AY185" s="62">
        <v>3</v>
      </c>
      <c r="AZ185" s="62">
        <v>2</v>
      </c>
      <c r="BA185" s="72">
        <f t="shared" si="23"/>
        <v>3.3333333333333335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3</v>
      </c>
      <c r="M186" s="62">
        <v>3</v>
      </c>
      <c r="N186" s="62">
        <v>3</v>
      </c>
      <c r="O186" s="62">
        <v>3</v>
      </c>
      <c r="P186" s="62">
        <v>3</v>
      </c>
      <c r="Q186" s="72">
        <f t="shared" si="17"/>
        <v>3</v>
      </c>
      <c r="R186" s="62">
        <v>3</v>
      </c>
      <c r="S186" s="62">
        <v>3</v>
      </c>
      <c r="T186" s="7"/>
      <c r="U186" s="62">
        <v>3</v>
      </c>
      <c r="V186" s="7"/>
      <c r="W186" s="72">
        <f t="shared" si="18"/>
        <v>3</v>
      </c>
      <c r="X186" s="62">
        <v>3</v>
      </c>
      <c r="Y186" s="62">
        <v>3</v>
      </c>
      <c r="Z186" s="7"/>
      <c r="AA186" s="7"/>
      <c r="AB186" s="7"/>
      <c r="AC186" s="72">
        <f t="shared" si="19"/>
        <v>3</v>
      </c>
      <c r="AD186" s="62">
        <v>3</v>
      </c>
      <c r="AE186" s="7"/>
      <c r="AF186" s="62">
        <v>3</v>
      </c>
      <c r="AG186" s="7"/>
      <c r="AH186" s="7"/>
      <c r="AI186" s="72">
        <f t="shared" si="20"/>
        <v>3</v>
      </c>
      <c r="AJ186" s="7"/>
      <c r="AK186" s="7"/>
      <c r="AL186" s="7"/>
      <c r="AM186" s="7"/>
      <c r="AN186" s="7"/>
      <c r="AO186" s="72" t="str">
        <f t="shared" si="21"/>
        <v>A</v>
      </c>
      <c r="AP186" s="62">
        <v>3</v>
      </c>
      <c r="AQ186" s="62">
        <v>3</v>
      </c>
      <c r="AR186" s="62">
        <v>3</v>
      </c>
      <c r="AS186" s="7"/>
      <c r="AT186" s="7"/>
      <c r="AU186" s="72">
        <f t="shared" si="22"/>
        <v>3</v>
      </c>
      <c r="AV186" s="7"/>
      <c r="AW186" s="7"/>
      <c r="AX186" s="62">
        <v>3</v>
      </c>
      <c r="AY186" s="62">
        <v>3</v>
      </c>
      <c r="AZ186" s="62">
        <v>0</v>
      </c>
      <c r="BA186" s="72">
        <f t="shared" si="23"/>
        <v>2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2</v>
      </c>
      <c r="M187" s="62">
        <v>2</v>
      </c>
      <c r="N187" s="62">
        <v>3</v>
      </c>
      <c r="O187" s="62">
        <v>3</v>
      </c>
      <c r="P187" s="62">
        <v>2</v>
      </c>
      <c r="Q187" s="72">
        <f t="shared" si="17"/>
        <v>2.4</v>
      </c>
      <c r="R187" s="62">
        <v>3</v>
      </c>
      <c r="S187" s="62">
        <v>3</v>
      </c>
      <c r="T187" s="62"/>
      <c r="U187" s="62">
        <v>3</v>
      </c>
      <c r="V187" s="62"/>
      <c r="W187" s="72">
        <f t="shared" si="18"/>
        <v>3</v>
      </c>
      <c r="X187" s="62">
        <v>3</v>
      </c>
      <c r="Y187" s="62">
        <v>3</v>
      </c>
      <c r="Z187" s="62"/>
      <c r="AA187" s="62"/>
      <c r="AB187" s="62"/>
      <c r="AC187" s="72">
        <f t="shared" si="19"/>
        <v>3</v>
      </c>
      <c r="AD187" s="62">
        <v>3</v>
      </c>
      <c r="AE187" s="62"/>
      <c r="AF187" s="62">
        <v>3</v>
      </c>
      <c r="AG187" s="62"/>
      <c r="AH187" s="62"/>
      <c r="AI187" s="72">
        <f t="shared" si="20"/>
        <v>3</v>
      </c>
      <c r="AJ187" s="62"/>
      <c r="AK187" s="62"/>
      <c r="AL187" s="62"/>
      <c r="AM187" s="62"/>
      <c r="AN187" s="62"/>
      <c r="AO187" s="72" t="str">
        <f t="shared" si="21"/>
        <v>A</v>
      </c>
      <c r="AP187" s="62">
        <v>3</v>
      </c>
      <c r="AQ187" s="62">
        <v>3</v>
      </c>
      <c r="AR187" s="62">
        <v>3</v>
      </c>
      <c r="AS187" s="62"/>
      <c r="AT187" s="62"/>
      <c r="AU187" s="72">
        <f t="shared" si="22"/>
        <v>3</v>
      </c>
      <c r="AV187" s="62"/>
      <c r="AW187" s="62"/>
      <c r="AX187" s="62">
        <v>3</v>
      </c>
      <c r="AY187" s="62">
        <v>3</v>
      </c>
      <c r="AZ187" s="62">
        <v>3</v>
      </c>
      <c r="BA187" s="72">
        <f t="shared" si="23"/>
        <v>3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2</v>
      </c>
      <c r="M188" s="62">
        <v>2</v>
      </c>
      <c r="N188" s="62">
        <v>2</v>
      </c>
      <c r="O188" s="62">
        <v>3</v>
      </c>
      <c r="P188" s="62">
        <v>2</v>
      </c>
      <c r="Q188" s="72">
        <f t="shared" si="17"/>
        <v>2.2000000000000002</v>
      </c>
      <c r="R188" s="62">
        <v>3</v>
      </c>
      <c r="S188" s="62">
        <v>3</v>
      </c>
      <c r="T188" s="7"/>
      <c r="U188" s="62">
        <v>3</v>
      </c>
      <c r="V188" s="7"/>
      <c r="W188" s="72">
        <f t="shared" si="18"/>
        <v>3</v>
      </c>
      <c r="X188" s="62">
        <v>3</v>
      </c>
      <c r="Y188" s="62">
        <v>3</v>
      </c>
      <c r="Z188" s="7"/>
      <c r="AA188" s="7"/>
      <c r="AB188" s="7"/>
      <c r="AC188" s="72">
        <f t="shared" si="19"/>
        <v>3</v>
      </c>
      <c r="AD188" s="62">
        <v>3</v>
      </c>
      <c r="AE188" s="7"/>
      <c r="AF188" s="62">
        <v>3</v>
      </c>
      <c r="AG188" s="7"/>
      <c r="AH188" s="7"/>
      <c r="AI188" s="72">
        <f t="shared" si="20"/>
        <v>3</v>
      </c>
      <c r="AJ188" s="7"/>
      <c r="AK188" s="7"/>
      <c r="AL188" s="7"/>
      <c r="AM188" s="7"/>
      <c r="AN188" s="7"/>
      <c r="AO188" s="72" t="str">
        <f t="shared" si="21"/>
        <v>A</v>
      </c>
      <c r="AP188" s="62">
        <v>3</v>
      </c>
      <c r="AQ188" s="62">
        <v>3</v>
      </c>
      <c r="AR188" s="62">
        <v>3</v>
      </c>
      <c r="AS188" s="7"/>
      <c r="AT188" s="7"/>
      <c r="AU188" s="72">
        <f t="shared" si="22"/>
        <v>3</v>
      </c>
      <c r="AV188" s="7"/>
      <c r="AW188" s="7"/>
      <c r="AX188" s="62">
        <v>5</v>
      </c>
      <c r="AY188" s="62">
        <v>4</v>
      </c>
      <c r="AZ188" s="62">
        <v>4</v>
      </c>
      <c r="BA188" s="72">
        <f t="shared" si="23"/>
        <v>4.333333333333333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3</v>
      </c>
      <c r="M189" s="62">
        <v>4</v>
      </c>
      <c r="N189" s="62">
        <v>4</v>
      </c>
      <c r="O189" s="62">
        <v>4</v>
      </c>
      <c r="P189" s="62">
        <v>4</v>
      </c>
      <c r="Q189" s="72">
        <f t="shared" si="17"/>
        <v>3.8</v>
      </c>
      <c r="R189" s="62">
        <v>3</v>
      </c>
      <c r="S189" s="62">
        <v>3</v>
      </c>
      <c r="T189" s="62"/>
      <c r="U189" s="62">
        <v>3</v>
      </c>
      <c r="V189" s="62"/>
      <c r="W189" s="72">
        <f t="shared" si="18"/>
        <v>3</v>
      </c>
      <c r="X189" s="62">
        <v>3</v>
      </c>
      <c r="Y189" s="62">
        <v>3</v>
      </c>
      <c r="Z189" s="62"/>
      <c r="AA189" s="62"/>
      <c r="AB189" s="62"/>
      <c r="AC189" s="72">
        <f t="shared" si="19"/>
        <v>3</v>
      </c>
      <c r="AD189" s="62">
        <v>3</v>
      </c>
      <c r="AE189" s="62"/>
      <c r="AF189" s="62">
        <v>3</v>
      </c>
      <c r="AG189" s="62"/>
      <c r="AH189" s="62"/>
      <c r="AI189" s="72">
        <f t="shared" si="20"/>
        <v>3</v>
      </c>
      <c r="AJ189" s="62"/>
      <c r="AK189" s="62"/>
      <c r="AL189" s="62"/>
      <c r="AM189" s="62"/>
      <c r="AN189" s="62"/>
      <c r="AO189" s="72" t="str">
        <f t="shared" si="21"/>
        <v>A</v>
      </c>
      <c r="AP189" s="62">
        <v>3</v>
      </c>
      <c r="AQ189" s="62">
        <v>3</v>
      </c>
      <c r="AR189" s="62">
        <v>3</v>
      </c>
      <c r="AS189" s="62"/>
      <c r="AT189" s="62"/>
      <c r="AU189" s="72">
        <f t="shared" si="22"/>
        <v>3</v>
      </c>
      <c r="AV189" s="62"/>
      <c r="AW189" s="62"/>
      <c r="AX189" s="62">
        <v>3</v>
      </c>
      <c r="AY189" s="62">
        <v>3</v>
      </c>
      <c r="AZ189" s="62">
        <v>3</v>
      </c>
      <c r="BA189" s="72">
        <f t="shared" si="23"/>
        <v>3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>
        <v>3</v>
      </c>
      <c r="N190" s="62">
        <v>3</v>
      </c>
      <c r="O190" s="62">
        <v>3</v>
      </c>
      <c r="P190" s="62">
        <v>3</v>
      </c>
      <c r="Q190" s="72">
        <f t="shared" si="17"/>
        <v>3</v>
      </c>
      <c r="R190" s="62">
        <v>4</v>
      </c>
      <c r="S190" s="62">
        <v>4</v>
      </c>
      <c r="T190" s="7"/>
      <c r="U190" s="62">
        <v>4</v>
      </c>
      <c r="V190" s="7"/>
      <c r="W190" s="72">
        <f t="shared" si="18"/>
        <v>4</v>
      </c>
      <c r="X190" s="62">
        <v>3</v>
      </c>
      <c r="Y190" s="62">
        <v>3</v>
      </c>
      <c r="Z190" s="7"/>
      <c r="AA190" s="7"/>
      <c r="AB190" s="7"/>
      <c r="AC190" s="72">
        <f t="shared" si="19"/>
        <v>3</v>
      </c>
      <c r="AD190" s="62">
        <v>4</v>
      </c>
      <c r="AE190" s="7"/>
      <c r="AF190" s="62">
        <v>4</v>
      </c>
      <c r="AG190" s="7"/>
      <c r="AH190" s="7"/>
      <c r="AI190" s="72">
        <f t="shared" si="20"/>
        <v>4</v>
      </c>
      <c r="AJ190" s="7"/>
      <c r="AK190" s="7"/>
      <c r="AL190" s="7"/>
      <c r="AM190" s="7"/>
      <c r="AN190" s="7"/>
      <c r="AO190" s="72" t="str">
        <f t="shared" si="21"/>
        <v>A</v>
      </c>
      <c r="AP190" s="62">
        <v>1</v>
      </c>
      <c r="AQ190" s="62">
        <v>1</v>
      </c>
      <c r="AR190" s="62">
        <v>1</v>
      </c>
      <c r="AS190" s="7"/>
      <c r="AT190" s="7"/>
      <c r="AU190" s="72">
        <f t="shared" si="22"/>
        <v>1</v>
      </c>
      <c r="AV190" s="7"/>
      <c r="AW190" s="7"/>
      <c r="AX190" s="62">
        <v>5</v>
      </c>
      <c r="AY190" s="62">
        <v>4</v>
      </c>
      <c r="AZ190" s="62">
        <v>3</v>
      </c>
      <c r="BA190" s="72">
        <f t="shared" si="23"/>
        <v>4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2</v>
      </c>
      <c r="M191" s="62">
        <v>3</v>
      </c>
      <c r="N191" s="62">
        <v>2</v>
      </c>
      <c r="O191" s="62">
        <v>4</v>
      </c>
      <c r="P191" s="62">
        <v>4</v>
      </c>
      <c r="Q191" s="72">
        <f t="shared" si="17"/>
        <v>3</v>
      </c>
      <c r="R191" s="62">
        <v>3</v>
      </c>
      <c r="S191" s="62">
        <v>3</v>
      </c>
      <c r="T191" s="62"/>
      <c r="U191" s="62">
        <v>3</v>
      </c>
      <c r="V191" s="62"/>
      <c r="W191" s="72">
        <f t="shared" si="18"/>
        <v>3</v>
      </c>
      <c r="X191" s="62">
        <v>3</v>
      </c>
      <c r="Y191" s="62">
        <v>3</v>
      </c>
      <c r="Z191" s="62"/>
      <c r="AA191" s="62"/>
      <c r="AB191" s="62"/>
      <c r="AC191" s="72">
        <f t="shared" si="19"/>
        <v>3</v>
      </c>
      <c r="AD191" s="62">
        <v>3</v>
      </c>
      <c r="AE191" s="62"/>
      <c r="AF191" s="62">
        <v>3</v>
      </c>
      <c r="AG191" s="62"/>
      <c r="AH191" s="62"/>
      <c r="AI191" s="72">
        <f t="shared" si="20"/>
        <v>3</v>
      </c>
      <c r="AJ191" s="62"/>
      <c r="AK191" s="62"/>
      <c r="AL191" s="62"/>
      <c r="AM191" s="62"/>
      <c r="AN191" s="62"/>
      <c r="AO191" s="72" t="str">
        <f t="shared" si="21"/>
        <v>A</v>
      </c>
      <c r="AP191" s="62">
        <v>3</v>
      </c>
      <c r="AQ191" s="62">
        <v>3</v>
      </c>
      <c r="AR191" s="62">
        <v>3</v>
      </c>
      <c r="AS191" s="62"/>
      <c r="AT191" s="62"/>
      <c r="AU191" s="72">
        <f t="shared" si="22"/>
        <v>3</v>
      </c>
      <c r="AV191" s="62"/>
      <c r="AW191" s="62"/>
      <c r="AX191" s="62">
        <v>3</v>
      </c>
      <c r="AY191" s="62">
        <v>3</v>
      </c>
      <c r="AZ191" s="62">
        <v>3</v>
      </c>
      <c r="BA191" s="72">
        <f t="shared" si="23"/>
        <v>3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3</v>
      </c>
      <c r="M192" s="62">
        <v>4</v>
      </c>
      <c r="N192" s="62">
        <v>3</v>
      </c>
      <c r="O192" s="62">
        <v>3</v>
      </c>
      <c r="P192" s="62">
        <v>3</v>
      </c>
      <c r="Q192" s="72">
        <f t="shared" si="17"/>
        <v>3.2</v>
      </c>
      <c r="R192" s="62">
        <v>3</v>
      </c>
      <c r="S192" s="62">
        <v>3</v>
      </c>
      <c r="T192" s="7"/>
      <c r="U192" s="62">
        <v>3</v>
      </c>
      <c r="V192" s="7"/>
      <c r="W192" s="72">
        <f t="shared" si="18"/>
        <v>3</v>
      </c>
      <c r="X192" s="62">
        <v>3</v>
      </c>
      <c r="Y192" s="62">
        <v>2</v>
      </c>
      <c r="Z192" s="7"/>
      <c r="AA192" s="7"/>
      <c r="AB192" s="7"/>
      <c r="AC192" s="72">
        <f t="shared" si="19"/>
        <v>2.5</v>
      </c>
      <c r="AD192" s="62">
        <v>3</v>
      </c>
      <c r="AE192" s="7"/>
      <c r="AF192" s="62">
        <v>3</v>
      </c>
      <c r="AG192" s="7"/>
      <c r="AH192" s="7"/>
      <c r="AI192" s="72">
        <f t="shared" si="20"/>
        <v>3</v>
      </c>
      <c r="AJ192" s="7"/>
      <c r="AK192" s="7"/>
      <c r="AL192" s="7"/>
      <c r="AM192" s="7"/>
      <c r="AN192" s="7"/>
      <c r="AO192" s="72" t="str">
        <f t="shared" si="21"/>
        <v>A</v>
      </c>
      <c r="AP192" s="62">
        <v>3</v>
      </c>
      <c r="AQ192" s="62">
        <v>3</v>
      </c>
      <c r="AR192" s="62">
        <v>3</v>
      </c>
      <c r="AS192" s="7"/>
      <c r="AT192" s="7"/>
      <c r="AU192" s="72">
        <f t="shared" si="22"/>
        <v>3</v>
      </c>
      <c r="AV192" s="7"/>
      <c r="AW192" s="7"/>
      <c r="AX192" s="62">
        <v>3</v>
      </c>
      <c r="AY192" s="62">
        <v>3</v>
      </c>
      <c r="AZ192" s="62">
        <v>4</v>
      </c>
      <c r="BA192" s="72">
        <f t="shared" si="23"/>
        <v>3.3333333333333335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2</v>
      </c>
      <c r="M193" s="62">
        <v>2</v>
      </c>
      <c r="N193" s="62">
        <v>2</v>
      </c>
      <c r="O193" s="62">
        <v>4</v>
      </c>
      <c r="P193" s="62">
        <v>4</v>
      </c>
      <c r="Q193" s="72">
        <f t="shared" si="17"/>
        <v>2.8</v>
      </c>
      <c r="R193" s="62">
        <v>3</v>
      </c>
      <c r="S193" s="62">
        <v>3</v>
      </c>
      <c r="T193" s="62"/>
      <c r="U193" s="62">
        <v>3</v>
      </c>
      <c r="V193" s="62"/>
      <c r="W193" s="72">
        <f t="shared" si="18"/>
        <v>3</v>
      </c>
      <c r="X193" s="62">
        <v>3</v>
      </c>
      <c r="Y193" s="62">
        <v>3</v>
      </c>
      <c r="Z193" s="62"/>
      <c r="AA193" s="62"/>
      <c r="AB193" s="62"/>
      <c r="AC193" s="72">
        <f t="shared" si="19"/>
        <v>3</v>
      </c>
      <c r="AD193" s="62">
        <v>2</v>
      </c>
      <c r="AE193" s="62"/>
      <c r="AF193" s="62">
        <v>3</v>
      </c>
      <c r="AG193" s="62"/>
      <c r="AH193" s="62"/>
      <c r="AI193" s="72">
        <f t="shared" si="20"/>
        <v>2.5</v>
      </c>
      <c r="AJ193" s="62"/>
      <c r="AK193" s="62"/>
      <c r="AL193" s="62"/>
      <c r="AM193" s="62"/>
      <c r="AN193" s="62"/>
      <c r="AO193" s="72" t="str">
        <f t="shared" si="21"/>
        <v>A</v>
      </c>
      <c r="AP193" s="62">
        <v>3</v>
      </c>
      <c r="AQ193" s="62">
        <v>3</v>
      </c>
      <c r="AR193" s="62">
        <v>3</v>
      </c>
      <c r="AS193" s="62"/>
      <c r="AT193" s="62"/>
      <c r="AU193" s="72">
        <f t="shared" si="22"/>
        <v>3</v>
      </c>
      <c r="AV193" s="62"/>
      <c r="AW193" s="62"/>
      <c r="AX193" s="62">
        <v>5</v>
      </c>
      <c r="AY193" s="62">
        <v>3</v>
      </c>
      <c r="AZ193" s="62">
        <v>3</v>
      </c>
      <c r="BA193" s="72">
        <f t="shared" si="23"/>
        <v>3.6666666666666665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2</v>
      </c>
      <c r="M194" s="62">
        <v>3</v>
      </c>
      <c r="N194" s="62">
        <v>2</v>
      </c>
      <c r="O194" s="62">
        <v>4</v>
      </c>
      <c r="P194" s="62">
        <v>3</v>
      </c>
      <c r="Q194" s="72">
        <f t="shared" si="17"/>
        <v>2.8</v>
      </c>
      <c r="R194" s="62">
        <v>3</v>
      </c>
      <c r="S194" s="62">
        <v>3</v>
      </c>
      <c r="T194" s="7"/>
      <c r="U194" s="62">
        <v>3</v>
      </c>
      <c r="V194" s="7"/>
      <c r="W194" s="72">
        <f t="shared" si="18"/>
        <v>3</v>
      </c>
      <c r="X194" s="62">
        <v>3</v>
      </c>
      <c r="Y194" s="62">
        <v>3</v>
      </c>
      <c r="Z194" s="7"/>
      <c r="AA194" s="7"/>
      <c r="AB194" s="7"/>
      <c r="AC194" s="72">
        <f t="shared" si="19"/>
        <v>3</v>
      </c>
      <c r="AD194" s="62">
        <v>2</v>
      </c>
      <c r="AE194" s="7"/>
      <c r="AF194" s="62">
        <v>3</v>
      </c>
      <c r="AG194" s="7"/>
      <c r="AH194" s="7"/>
      <c r="AI194" s="72">
        <f t="shared" si="20"/>
        <v>2.5</v>
      </c>
      <c r="AJ194" s="7"/>
      <c r="AK194" s="7"/>
      <c r="AL194" s="7"/>
      <c r="AM194" s="7"/>
      <c r="AN194" s="7"/>
      <c r="AO194" s="72" t="str">
        <f t="shared" si="21"/>
        <v>A</v>
      </c>
      <c r="AP194" s="62">
        <v>3</v>
      </c>
      <c r="AQ194" s="62">
        <v>3</v>
      </c>
      <c r="AR194" s="62">
        <v>3</v>
      </c>
      <c r="AS194" s="7"/>
      <c r="AT194" s="7"/>
      <c r="AU194" s="72">
        <f t="shared" si="22"/>
        <v>3</v>
      </c>
      <c r="AV194" s="7"/>
      <c r="AW194" s="7"/>
      <c r="AX194" s="62">
        <v>5</v>
      </c>
      <c r="AY194" s="62">
        <v>3</v>
      </c>
      <c r="AZ194" s="62">
        <v>3</v>
      </c>
      <c r="BA194" s="72">
        <f t="shared" si="23"/>
        <v>3.6666666666666665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>
        <v>2</v>
      </c>
      <c r="N195" s="62">
        <v>3</v>
      </c>
      <c r="O195" s="62">
        <v>4</v>
      </c>
      <c r="P195" s="62">
        <v>3</v>
      </c>
      <c r="Q195" s="72">
        <f t="shared" si="17"/>
        <v>3</v>
      </c>
      <c r="R195" s="62">
        <v>3</v>
      </c>
      <c r="S195" s="62">
        <v>3</v>
      </c>
      <c r="T195" s="62"/>
      <c r="U195" s="62">
        <v>3</v>
      </c>
      <c r="V195" s="62"/>
      <c r="W195" s="72">
        <f t="shared" si="18"/>
        <v>3</v>
      </c>
      <c r="X195" s="62">
        <v>3</v>
      </c>
      <c r="Y195" s="62">
        <v>3</v>
      </c>
      <c r="Z195" s="62"/>
      <c r="AA195" s="62"/>
      <c r="AB195" s="62"/>
      <c r="AC195" s="72">
        <f t="shared" si="19"/>
        <v>3</v>
      </c>
      <c r="AD195" s="62">
        <v>2</v>
      </c>
      <c r="AE195" s="62"/>
      <c r="AF195" s="62">
        <v>3</v>
      </c>
      <c r="AG195" s="62"/>
      <c r="AH195" s="62"/>
      <c r="AI195" s="72">
        <f t="shared" si="20"/>
        <v>2.5</v>
      </c>
      <c r="AJ195" s="62"/>
      <c r="AK195" s="62"/>
      <c r="AL195" s="62"/>
      <c r="AM195" s="62"/>
      <c r="AN195" s="62"/>
      <c r="AO195" s="72" t="str">
        <f t="shared" si="21"/>
        <v>A</v>
      </c>
      <c r="AP195" s="62">
        <v>3</v>
      </c>
      <c r="AQ195" s="62">
        <v>3</v>
      </c>
      <c r="AR195" s="62">
        <v>3</v>
      </c>
      <c r="AS195" s="62"/>
      <c r="AT195" s="62"/>
      <c r="AU195" s="72">
        <f t="shared" si="22"/>
        <v>3</v>
      </c>
      <c r="AV195" s="62"/>
      <c r="AW195" s="62"/>
      <c r="AX195" s="62">
        <v>3</v>
      </c>
      <c r="AY195" s="62">
        <v>3</v>
      </c>
      <c r="AZ195" s="62">
        <v>3</v>
      </c>
      <c r="BA195" s="72">
        <f t="shared" si="23"/>
        <v>3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2</v>
      </c>
      <c r="M196" s="62">
        <v>2</v>
      </c>
      <c r="N196" s="62">
        <v>2</v>
      </c>
      <c r="O196" s="62">
        <v>3</v>
      </c>
      <c r="P196" s="62">
        <v>2</v>
      </c>
      <c r="Q196" s="72">
        <f t="shared" ref="Q196:Q230" si="25">IFERROR(AVERAGE(M196,N196,L196,O196,P196),"A")</f>
        <v>2.2000000000000002</v>
      </c>
      <c r="R196" s="62">
        <v>3</v>
      </c>
      <c r="S196" s="62">
        <v>3</v>
      </c>
      <c r="T196" s="7"/>
      <c r="U196" s="62">
        <v>3</v>
      </c>
      <c r="V196" s="7"/>
      <c r="W196" s="72">
        <f t="shared" ref="W196:W230" si="26">IFERROR(AVERAGE(R196,S196,U196),"A")</f>
        <v>3</v>
      </c>
      <c r="X196" s="62">
        <v>3</v>
      </c>
      <c r="Y196" s="62">
        <v>3</v>
      </c>
      <c r="Z196" s="7"/>
      <c r="AA196" s="7"/>
      <c r="AB196" s="7"/>
      <c r="AC196" s="72">
        <f t="shared" ref="AC196:AC230" si="27">IFERROR(AVERAGE(Y196,X196),"A")</f>
        <v>3</v>
      </c>
      <c r="AD196" s="62">
        <v>3</v>
      </c>
      <c r="AE196" s="7"/>
      <c r="AF196" s="62">
        <v>3</v>
      </c>
      <c r="AG196" s="7"/>
      <c r="AH196" s="7"/>
      <c r="AI196" s="72">
        <f t="shared" ref="AI196:AI230" si="28">IFERROR(AVERAGE(AF196,AD196),"A")</f>
        <v>3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62">
        <v>3</v>
      </c>
      <c r="AQ196" s="62">
        <v>3</v>
      </c>
      <c r="AR196" s="62">
        <v>3</v>
      </c>
      <c r="AS196" s="7"/>
      <c r="AT196" s="7"/>
      <c r="AU196" s="72">
        <f t="shared" ref="AU196:AU230" si="30">IFERROR(AVERAGE(AR196,AQ196,AP196),"A")</f>
        <v>3</v>
      </c>
      <c r="AV196" s="7"/>
      <c r="AW196" s="7"/>
      <c r="AX196" s="62">
        <v>3</v>
      </c>
      <c r="AY196" s="62">
        <v>3</v>
      </c>
      <c r="AZ196" s="62">
        <v>3</v>
      </c>
      <c r="BA196" s="72">
        <f t="shared" ref="BA196:BA230" si="31">IFERROR(AVERAGE(AX196,AY196,AZ196),"A")</f>
        <v>3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3</v>
      </c>
      <c r="M197" s="62">
        <v>2</v>
      </c>
      <c r="N197" s="62">
        <v>3</v>
      </c>
      <c r="O197" s="62">
        <v>3</v>
      </c>
      <c r="P197" s="62">
        <v>3</v>
      </c>
      <c r="Q197" s="72">
        <f t="shared" si="25"/>
        <v>2.8</v>
      </c>
      <c r="R197" s="62">
        <v>2</v>
      </c>
      <c r="S197" s="62">
        <v>3</v>
      </c>
      <c r="T197" s="62"/>
      <c r="U197" s="62">
        <v>2</v>
      </c>
      <c r="V197" s="62"/>
      <c r="W197" s="72">
        <f t="shared" si="26"/>
        <v>2.3333333333333335</v>
      </c>
      <c r="X197" s="62">
        <v>2</v>
      </c>
      <c r="Y197" s="62">
        <v>2</v>
      </c>
      <c r="Z197" s="62"/>
      <c r="AA197" s="62"/>
      <c r="AB197" s="62"/>
      <c r="AC197" s="72">
        <f t="shared" si="27"/>
        <v>2</v>
      </c>
      <c r="AD197" s="62">
        <v>2</v>
      </c>
      <c r="AE197" s="62"/>
      <c r="AF197" s="62">
        <v>4</v>
      </c>
      <c r="AG197" s="62"/>
      <c r="AH197" s="62"/>
      <c r="AI197" s="72">
        <f t="shared" si="28"/>
        <v>3</v>
      </c>
      <c r="AJ197" s="62"/>
      <c r="AK197" s="62"/>
      <c r="AL197" s="62"/>
      <c r="AM197" s="62"/>
      <c r="AN197" s="62"/>
      <c r="AO197" s="72" t="str">
        <f t="shared" si="29"/>
        <v>A</v>
      </c>
      <c r="AP197" s="62">
        <v>3</v>
      </c>
      <c r="AQ197" s="62">
        <v>3</v>
      </c>
      <c r="AR197" s="62">
        <v>3</v>
      </c>
      <c r="AS197" s="62"/>
      <c r="AT197" s="62"/>
      <c r="AU197" s="72">
        <f t="shared" si="30"/>
        <v>3</v>
      </c>
      <c r="AV197" s="62"/>
      <c r="AW197" s="62"/>
      <c r="AX197" s="62">
        <v>5</v>
      </c>
      <c r="AY197" s="62">
        <v>2</v>
      </c>
      <c r="AZ197" s="62">
        <v>3</v>
      </c>
      <c r="BA197" s="72">
        <f t="shared" si="31"/>
        <v>3.3333333333333335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3</v>
      </c>
      <c r="M198" s="62">
        <v>3</v>
      </c>
      <c r="N198" s="62">
        <v>2</v>
      </c>
      <c r="O198" s="62">
        <v>3</v>
      </c>
      <c r="P198" s="62">
        <v>2</v>
      </c>
      <c r="Q198" s="72">
        <f t="shared" si="25"/>
        <v>2.6</v>
      </c>
      <c r="R198" s="62">
        <v>2</v>
      </c>
      <c r="S198" s="62">
        <v>2</v>
      </c>
      <c r="T198" s="7"/>
      <c r="U198" s="62">
        <v>2</v>
      </c>
      <c r="V198" s="7"/>
      <c r="W198" s="72">
        <f t="shared" si="26"/>
        <v>2</v>
      </c>
      <c r="X198" s="62">
        <v>2</v>
      </c>
      <c r="Y198" s="62">
        <v>2</v>
      </c>
      <c r="Z198" s="7"/>
      <c r="AA198" s="7"/>
      <c r="AB198" s="7"/>
      <c r="AC198" s="72">
        <f t="shared" si="27"/>
        <v>2</v>
      </c>
      <c r="AD198" s="62">
        <v>3</v>
      </c>
      <c r="AE198" s="7"/>
      <c r="AF198" s="62">
        <v>3</v>
      </c>
      <c r="AG198" s="7"/>
      <c r="AH198" s="7"/>
      <c r="AI198" s="72">
        <f t="shared" si="28"/>
        <v>3</v>
      </c>
      <c r="AJ198" s="7"/>
      <c r="AK198" s="7"/>
      <c r="AL198" s="7"/>
      <c r="AM198" s="7"/>
      <c r="AN198" s="7"/>
      <c r="AO198" s="72" t="str">
        <f t="shared" si="29"/>
        <v>A</v>
      </c>
      <c r="AP198" s="62">
        <v>3</v>
      </c>
      <c r="AQ198" s="62">
        <v>3</v>
      </c>
      <c r="AR198" s="62">
        <v>3</v>
      </c>
      <c r="AS198" s="7"/>
      <c r="AT198" s="7"/>
      <c r="AU198" s="72">
        <f t="shared" si="30"/>
        <v>3</v>
      </c>
      <c r="AV198" s="7"/>
      <c r="AW198" s="7"/>
      <c r="AX198" s="62">
        <v>3</v>
      </c>
      <c r="AY198" s="62">
        <v>3</v>
      </c>
      <c r="AZ198" s="62">
        <v>3</v>
      </c>
      <c r="BA198" s="72">
        <f t="shared" si="31"/>
        <v>3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>
        <v>3</v>
      </c>
      <c r="N199" s="62">
        <v>2</v>
      </c>
      <c r="O199" s="62">
        <v>3</v>
      </c>
      <c r="P199" s="62">
        <v>3</v>
      </c>
      <c r="Q199" s="72">
        <f t="shared" si="25"/>
        <v>2.8</v>
      </c>
      <c r="R199" s="62">
        <v>3</v>
      </c>
      <c r="S199" s="62">
        <v>3</v>
      </c>
      <c r="T199" s="62"/>
      <c r="U199" s="62">
        <v>3</v>
      </c>
      <c r="V199" s="62"/>
      <c r="W199" s="72">
        <f t="shared" si="26"/>
        <v>3</v>
      </c>
      <c r="X199" s="62">
        <v>3</v>
      </c>
      <c r="Y199" s="62">
        <v>3</v>
      </c>
      <c r="Z199" s="62"/>
      <c r="AA199" s="62"/>
      <c r="AB199" s="62"/>
      <c r="AC199" s="72">
        <f t="shared" si="27"/>
        <v>3</v>
      </c>
      <c r="AD199" s="62">
        <v>2</v>
      </c>
      <c r="AE199" s="62"/>
      <c r="AF199" s="62">
        <v>3</v>
      </c>
      <c r="AG199" s="62"/>
      <c r="AH199" s="62"/>
      <c r="AI199" s="72">
        <f t="shared" si="28"/>
        <v>2.5</v>
      </c>
      <c r="AJ199" s="62"/>
      <c r="AK199" s="62"/>
      <c r="AL199" s="62"/>
      <c r="AM199" s="62"/>
      <c r="AN199" s="62"/>
      <c r="AO199" s="72" t="str">
        <f t="shared" si="29"/>
        <v>A</v>
      </c>
      <c r="AP199" s="62">
        <v>3</v>
      </c>
      <c r="AQ199" s="62">
        <v>3</v>
      </c>
      <c r="AR199" s="62">
        <v>3</v>
      </c>
      <c r="AS199" s="62"/>
      <c r="AT199" s="62"/>
      <c r="AU199" s="72">
        <f t="shared" si="30"/>
        <v>3</v>
      </c>
      <c r="AV199" s="62"/>
      <c r="AW199" s="62"/>
      <c r="AX199" s="62">
        <v>5</v>
      </c>
      <c r="AY199" s="62">
        <v>3</v>
      </c>
      <c r="AZ199" s="62">
        <v>3</v>
      </c>
      <c r="BA199" s="72">
        <f t="shared" si="31"/>
        <v>3.6666666666666665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3</v>
      </c>
      <c r="M200" s="62">
        <v>3</v>
      </c>
      <c r="N200" s="62">
        <v>3</v>
      </c>
      <c r="O200" s="62">
        <v>3</v>
      </c>
      <c r="P200" s="62">
        <v>3</v>
      </c>
      <c r="Q200" s="72">
        <f t="shared" si="25"/>
        <v>3</v>
      </c>
      <c r="R200" s="62">
        <v>3</v>
      </c>
      <c r="S200" s="62">
        <v>3</v>
      </c>
      <c r="T200" s="7"/>
      <c r="U200" s="62">
        <v>3</v>
      </c>
      <c r="V200" s="7"/>
      <c r="W200" s="72">
        <f t="shared" si="26"/>
        <v>3</v>
      </c>
      <c r="X200" s="62">
        <v>3</v>
      </c>
      <c r="Y200" s="62">
        <v>3</v>
      </c>
      <c r="Z200" s="7"/>
      <c r="AA200" s="7"/>
      <c r="AB200" s="7"/>
      <c r="AC200" s="72">
        <f t="shared" si="27"/>
        <v>3</v>
      </c>
      <c r="AD200" s="62">
        <v>3</v>
      </c>
      <c r="AE200" s="7"/>
      <c r="AF200" s="62">
        <v>3</v>
      </c>
      <c r="AG200" s="7"/>
      <c r="AH200" s="7"/>
      <c r="AI200" s="72">
        <f t="shared" si="28"/>
        <v>3</v>
      </c>
      <c r="AJ200" s="7"/>
      <c r="AK200" s="7"/>
      <c r="AL200" s="7"/>
      <c r="AM200" s="7"/>
      <c r="AN200" s="7"/>
      <c r="AO200" s="72" t="str">
        <f t="shared" si="29"/>
        <v>A</v>
      </c>
      <c r="AP200" s="62">
        <v>3</v>
      </c>
      <c r="AQ200" s="62">
        <v>3</v>
      </c>
      <c r="AR200" s="62">
        <v>3</v>
      </c>
      <c r="AS200" s="7"/>
      <c r="AT200" s="7"/>
      <c r="AU200" s="72">
        <f t="shared" si="30"/>
        <v>3</v>
      </c>
      <c r="AV200" s="7"/>
      <c r="AW200" s="7"/>
      <c r="AX200" s="62">
        <v>3</v>
      </c>
      <c r="AY200" s="62">
        <v>3</v>
      </c>
      <c r="AZ200" s="62">
        <v>0</v>
      </c>
      <c r="BA200" s="72">
        <f t="shared" si="31"/>
        <v>2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3</v>
      </c>
      <c r="M201" s="62">
        <v>3</v>
      </c>
      <c r="N201" s="62">
        <v>2</v>
      </c>
      <c r="O201" s="62">
        <v>3</v>
      </c>
      <c r="P201" s="62">
        <v>2</v>
      </c>
      <c r="Q201" s="72">
        <f t="shared" si="25"/>
        <v>2.6</v>
      </c>
      <c r="R201" s="62">
        <v>4</v>
      </c>
      <c r="S201" s="62">
        <v>4</v>
      </c>
      <c r="T201" s="62"/>
      <c r="U201" s="62">
        <v>4</v>
      </c>
      <c r="V201" s="62"/>
      <c r="W201" s="72">
        <f t="shared" si="26"/>
        <v>4</v>
      </c>
      <c r="X201" s="62">
        <v>3</v>
      </c>
      <c r="Y201" s="62">
        <v>3</v>
      </c>
      <c r="Z201" s="62"/>
      <c r="AA201" s="62"/>
      <c r="AB201" s="62"/>
      <c r="AC201" s="72">
        <f t="shared" si="27"/>
        <v>3</v>
      </c>
      <c r="AD201" s="62">
        <v>3</v>
      </c>
      <c r="AE201" s="62"/>
      <c r="AF201" s="62">
        <v>3</v>
      </c>
      <c r="AG201" s="62"/>
      <c r="AH201" s="62"/>
      <c r="AI201" s="72">
        <f t="shared" si="28"/>
        <v>3</v>
      </c>
      <c r="AJ201" s="62"/>
      <c r="AK201" s="62"/>
      <c r="AL201" s="62"/>
      <c r="AM201" s="62"/>
      <c r="AN201" s="62"/>
      <c r="AO201" s="72" t="str">
        <f t="shared" si="29"/>
        <v>A</v>
      </c>
      <c r="AP201" s="62">
        <v>3</v>
      </c>
      <c r="AQ201" s="62">
        <v>3</v>
      </c>
      <c r="AR201" s="62">
        <v>3</v>
      </c>
      <c r="AS201" s="62"/>
      <c r="AT201" s="62"/>
      <c r="AU201" s="72">
        <f t="shared" si="30"/>
        <v>3</v>
      </c>
      <c r="AV201" s="62"/>
      <c r="AW201" s="62"/>
      <c r="AX201" s="62">
        <v>2</v>
      </c>
      <c r="AY201" s="62">
        <v>4</v>
      </c>
      <c r="AZ201" s="62">
        <v>4</v>
      </c>
      <c r="BA201" s="72">
        <f t="shared" si="31"/>
        <v>3.3333333333333335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3</v>
      </c>
      <c r="M202" s="62">
        <v>2</v>
      </c>
      <c r="N202" s="62">
        <v>2</v>
      </c>
      <c r="O202" s="62">
        <v>3</v>
      </c>
      <c r="P202" s="62">
        <v>3</v>
      </c>
      <c r="Q202" s="72">
        <f t="shared" si="25"/>
        <v>2.6</v>
      </c>
      <c r="R202" s="62">
        <v>3</v>
      </c>
      <c r="S202" s="62">
        <v>3</v>
      </c>
      <c r="T202" s="7"/>
      <c r="U202" s="62">
        <v>3</v>
      </c>
      <c r="V202" s="7"/>
      <c r="W202" s="72">
        <f t="shared" si="26"/>
        <v>3</v>
      </c>
      <c r="X202" s="62">
        <v>3</v>
      </c>
      <c r="Y202" s="62">
        <v>3</v>
      </c>
      <c r="Z202" s="7"/>
      <c r="AA202" s="7"/>
      <c r="AB202" s="7"/>
      <c r="AC202" s="72">
        <f t="shared" si="27"/>
        <v>3</v>
      </c>
      <c r="AD202" s="62">
        <v>3</v>
      </c>
      <c r="AE202" s="7"/>
      <c r="AF202" s="62">
        <v>3</v>
      </c>
      <c r="AG202" s="7"/>
      <c r="AH202" s="7"/>
      <c r="AI202" s="72">
        <f t="shared" si="28"/>
        <v>3</v>
      </c>
      <c r="AJ202" s="7"/>
      <c r="AK202" s="7"/>
      <c r="AL202" s="7"/>
      <c r="AM202" s="7"/>
      <c r="AN202" s="7"/>
      <c r="AO202" s="72" t="str">
        <f t="shared" si="29"/>
        <v>A</v>
      </c>
      <c r="AP202" s="62">
        <v>3</v>
      </c>
      <c r="AQ202" s="62">
        <v>3</v>
      </c>
      <c r="AR202" s="62">
        <v>3</v>
      </c>
      <c r="AS202" s="7"/>
      <c r="AT202" s="7"/>
      <c r="AU202" s="72">
        <f t="shared" si="30"/>
        <v>3</v>
      </c>
      <c r="AV202" s="7"/>
      <c r="AW202" s="7"/>
      <c r="AX202" s="62">
        <v>3</v>
      </c>
      <c r="AY202" s="62">
        <v>3</v>
      </c>
      <c r="AZ202" s="62">
        <v>3</v>
      </c>
      <c r="BA202" s="72">
        <f t="shared" si="31"/>
        <v>3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3</v>
      </c>
      <c r="M203" s="62">
        <v>2</v>
      </c>
      <c r="N203" s="62">
        <v>2</v>
      </c>
      <c r="O203" s="62">
        <v>3</v>
      </c>
      <c r="P203" s="62">
        <v>3</v>
      </c>
      <c r="Q203" s="72">
        <f t="shared" si="25"/>
        <v>2.6</v>
      </c>
      <c r="R203" s="62">
        <v>2</v>
      </c>
      <c r="S203" s="62">
        <v>2</v>
      </c>
      <c r="T203" s="62"/>
      <c r="U203" s="62">
        <v>2</v>
      </c>
      <c r="V203" s="62"/>
      <c r="W203" s="72">
        <f t="shared" si="26"/>
        <v>2</v>
      </c>
      <c r="X203" s="62">
        <v>2</v>
      </c>
      <c r="Y203" s="62">
        <v>2</v>
      </c>
      <c r="Z203" s="62"/>
      <c r="AA203" s="62"/>
      <c r="AB203" s="62"/>
      <c r="AC203" s="72">
        <f t="shared" si="27"/>
        <v>2</v>
      </c>
      <c r="AD203" s="62">
        <v>2</v>
      </c>
      <c r="AE203" s="62"/>
      <c r="AF203" s="62">
        <v>3</v>
      </c>
      <c r="AG203" s="62"/>
      <c r="AH203" s="62"/>
      <c r="AI203" s="72">
        <f t="shared" si="28"/>
        <v>2.5</v>
      </c>
      <c r="AJ203" s="62"/>
      <c r="AK203" s="62"/>
      <c r="AL203" s="62"/>
      <c r="AM203" s="62"/>
      <c r="AN203" s="62"/>
      <c r="AO203" s="72" t="str">
        <f t="shared" si="29"/>
        <v>A</v>
      </c>
      <c r="AP203" s="62">
        <v>3</v>
      </c>
      <c r="AQ203" s="62">
        <v>3</v>
      </c>
      <c r="AR203" s="62">
        <v>3</v>
      </c>
      <c r="AS203" s="62"/>
      <c r="AT203" s="62"/>
      <c r="AU203" s="72">
        <f t="shared" si="30"/>
        <v>3</v>
      </c>
      <c r="AV203" s="62"/>
      <c r="AW203" s="62"/>
      <c r="AX203" s="62">
        <v>3</v>
      </c>
      <c r="AY203" s="62">
        <v>3</v>
      </c>
      <c r="AZ203" s="62">
        <v>2</v>
      </c>
      <c r="BA203" s="72">
        <f t="shared" si="31"/>
        <v>2.6666666666666665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2</v>
      </c>
      <c r="M204" s="62">
        <v>2</v>
      </c>
      <c r="N204" s="62">
        <v>3</v>
      </c>
      <c r="O204" s="62">
        <v>3</v>
      </c>
      <c r="P204" s="62">
        <v>2</v>
      </c>
      <c r="Q204" s="72">
        <f t="shared" si="25"/>
        <v>2.4</v>
      </c>
      <c r="R204" s="62">
        <v>3</v>
      </c>
      <c r="S204" s="62">
        <v>2</v>
      </c>
      <c r="T204" s="7"/>
      <c r="U204" s="62">
        <v>3</v>
      </c>
      <c r="V204" s="7"/>
      <c r="W204" s="72">
        <f t="shared" si="26"/>
        <v>2.6666666666666665</v>
      </c>
      <c r="X204" s="62">
        <v>3</v>
      </c>
      <c r="Y204" s="62">
        <v>3</v>
      </c>
      <c r="Z204" s="7"/>
      <c r="AA204" s="7"/>
      <c r="AB204" s="7"/>
      <c r="AC204" s="72">
        <f t="shared" si="27"/>
        <v>3</v>
      </c>
      <c r="AD204" s="62">
        <v>3</v>
      </c>
      <c r="AE204" s="7"/>
      <c r="AF204" s="62">
        <v>3</v>
      </c>
      <c r="AG204" s="7"/>
      <c r="AH204" s="7"/>
      <c r="AI204" s="72">
        <f t="shared" si="28"/>
        <v>3</v>
      </c>
      <c r="AJ204" s="7"/>
      <c r="AK204" s="7"/>
      <c r="AL204" s="7"/>
      <c r="AM204" s="7"/>
      <c r="AN204" s="7"/>
      <c r="AO204" s="72" t="str">
        <f t="shared" si="29"/>
        <v>A</v>
      </c>
      <c r="AP204" s="62">
        <v>3</v>
      </c>
      <c r="AQ204" s="62">
        <v>3</v>
      </c>
      <c r="AR204" s="62">
        <v>3</v>
      </c>
      <c r="AS204" s="7"/>
      <c r="AT204" s="7"/>
      <c r="AU204" s="72">
        <f t="shared" si="30"/>
        <v>3</v>
      </c>
      <c r="AV204" s="7"/>
      <c r="AW204" s="7"/>
      <c r="AX204" s="62">
        <v>3</v>
      </c>
      <c r="AY204" s="62">
        <v>3</v>
      </c>
      <c r="AZ204" s="62">
        <v>2</v>
      </c>
      <c r="BA204" s="72">
        <f t="shared" si="31"/>
        <v>2.6666666666666665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>
        <v>2</v>
      </c>
      <c r="N205" s="62">
        <v>2</v>
      </c>
      <c r="O205" s="62">
        <v>3</v>
      </c>
      <c r="P205" s="62">
        <v>2</v>
      </c>
      <c r="Q205" s="72">
        <f t="shared" si="25"/>
        <v>2.2000000000000002</v>
      </c>
      <c r="R205" s="62">
        <v>2</v>
      </c>
      <c r="S205" s="62">
        <v>3</v>
      </c>
      <c r="T205" s="62"/>
      <c r="U205" s="62">
        <v>3</v>
      </c>
      <c r="V205" s="62"/>
      <c r="W205" s="72">
        <f t="shared" si="26"/>
        <v>2.6666666666666665</v>
      </c>
      <c r="X205" s="62">
        <v>3</v>
      </c>
      <c r="Y205" s="62">
        <v>3</v>
      </c>
      <c r="Z205" s="62"/>
      <c r="AA205" s="62"/>
      <c r="AB205" s="62"/>
      <c r="AC205" s="72">
        <f t="shared" si="27"/>
        <v>3</v>
      </c>
      <c r="AD205" s="62">
        <v>3</v>
      </c>
      <c r="AE205" s="62"/>
      <c r="AF205" s="62">
        <v>3</v>
      </c>
      <c r="AG205" s="62"/>
      <c r="AH205" s="62"/>
      <c r="AI205" s="72">
        <f t="shared" si="28"/>
        <v>3</v>
      </c>
      <c r="AJ205" s="62"/>
      <c r="AK205" s="62"/>
      <c r="AL205" s="62"/>
      <c r="AM205" s="62"/>
      <c r="AN205" s="62"/>
      <c r="AO205" s="72" t="str">
        <f t="shared" si="29"/>
        <v>A</v>
      </c>
      <c r="AP205" s="62">
        <v>3</v>
      </c>
      <c r="AQ205" s="62">
        <v>3</v>
      </c>
      <c r="AR205" s="62">
        <v>3</v>
      </c>
      <c r="AS205" s="62"/>
      <c r="AT205" s="62"/>
      <c r="AU205" s="72">
        <f t="shared" si="30"/>
        <v>3</v>
      </c>
      <c r="AV205" s="62"/>
      <c r="AW205" s="62"/>
      <c r="AX205" s="62">
        <v>3</v>
      </c>
      <c r="AY205" s="62">
        <v>3</v>
      </c>
      <c r="AZ205" s="62">
        <v>3</v>
      </c>
      <c r="BA205" s="72">
        <f t="shared" si="31"/>
        <v>3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>
        <v>4</v>
      </c>
      <c r="N206" s="62">
        <v>4</v>
      </c>
      <c r="O206" s="62">
        <v>4</v>
      </c>
      <c r="P206" s="62">
        <v>4</v>
      </c>
      <c r="Q206" s="72">
        <f t="shared" si="25"/>
        <v>3.8</v>
      </c>
      <c r="R206" s="62">
        <v>3</v>
      </c>
      <c r="S206" s="62">
        <v>3</v>
      </c>
      <c r="T206" s="7"/>
      <c r="U206" s="62">
        <v>3</v>
      </c>
      <c r="V206" s="7"/>
      <c r="W206" s="72">
        <f t="shared" si="26"/>
        <v>3</v>
      </c>
      <c r="X206" s="62">
        <v>3</v>
      </c>
      <c r="Y206" s="62">
        <v>3</v>
      </c>
      <c r="Z206" s="7"/>
      <c r="AA206" s="7"/>
      <c r="AB206" s="7"/>
      <c r="AC206" s="72">
        <f t="shared" si="27"/>
        <v>3</v>
      </c>
      <c r="AD206" s="62">
        <v>3</v>
      </c>
      <c r="AE206" s="7"/>
      <c r="AF206" s="62">
        <v>3</v>
      </c>
      <c r="AG206" s="7"/>
      <c r="AH206" s="7"/>
      <c r="AI206" s="72">
        <f t="shared" si="28"/>
        <v>3</v>
      </c>
      <c r="AJ206" s="7"/>
      <c r="AK206" s="7"/>
      <c r="AL206" s="7"/>
      <c r="AM206" s="7"/>
      <c r="AN206" s="7"/>
      <c r="AO206" s="72" t="str">
        <f t="shared" si="29"/>
        <v>A</v>
      </c>
      <c r="AP206" s="62">
        <v>3</v>
      </c>
      <c r="AQ206" s="62">
        <v>3</v>
      </c>
      <c r="AR206" s="62">
        <v>3</v>
      </c>
      <c r="AS206" s="7"/>
      <c r="AT206" s="7"/>
      <c r="AU206" s="72">
        <f t="shared" si="30"/>
        <v>3</v>
      </c>
      <c r="AV206" s="7"/>
      <c r="AW206" s="7"/>
      <c r="AX206" s="62">
        <v>3</v>
      </c>
      <c r="AY206" s="62">
        <v>3</v>
      </c>
      <c r="AZ206" s="62">
        <v>4</v>
      </c>
      <c r="BA206" s="72">
        <f t="shared" si="31"/>
        <v>3.3333333333333335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2</v>
      </c>
      <c r="M207" s="62">
        <v>3</v>
      </c>
      <c r="N207" s="62">
        <v>2</v>
      </c>
      <c r="O207" s="62">
        <v>4</v>
      </c>
      <c r="P207" s="62">
        <v>4</v>
      </c>
      <c r="Q207" s="72">
        <f t="shared" si="25"/>
        <v>3</v>
      </c>
      <c r="R207" s="62">
        <v>2</v>
      </c>
      <c r="S207" s="62">
        <v>2</v>
      </c>
      <c r="T207" s="62"/>
      <c r="U207" s="62">
        <v>2</v>
      </c>
      <c r="V207" s="62"/>
      <c r="W207" s="72">
        <f t="shared" si="26"/>
        <v>2</v>
      </c>
      <c r="X207" s="62">
        <v>2</v>
      </c>
      <c r="Y207" s="62">
        <v>2</v>
      </c>
      <c r="Z207" s="62"/>
      <c r="AA207" s="62"/>
      <c r="AB207" s="62"/>
      <c r="AC207" s="72">
        <f t="shared" si="27"/>
        <v>2</v>
      </c>
      <c r="AD207" s="62">
        <v>2</v>
      </c>
      <c r="AE207" s="62"/>
      <c r="AF207" s="62">
        <v>3</v>
      </c>
      <c r="AG207" s="62"/>
      <c r="AH207" s="62"/>
      <c r="AI207" s="72">
        <f t="shared" si="28"/>
        <v>2.5</v>
      </c>
      <c r="AJ207" s="62"/>
      <c r="AK207" s="62"/>
      <c r="AL207" s="62"/>
      <c r="AM207" s="62"/>
      <c r="AN207" s="62"/>
      <c r="AO207" s="72" t="str">
        <f t="shared" si="29"/>
        <v>A</v>
      </c>
      <c r="AP207" s="62">
        <v>3</v>
      </c>
      <c r="AQ207" s="62">
        <v>3</v>
      </c>
      <c r="AR207" s="62">
        <v>3</v>
      </c>
      <c r="AS207" s="62"/>
      <c r="AT207" s="62"/>
      <c r="AU207" s="72">
        <f t="shared" si="30"/>
        <v>3</v>
      </c>
      <c r="AV207" s="62"/>
      <c r="AW207" s="62"/>
      <c r="AX207" s="62">
        <v>3</v>
      </c>
      <c r="AY207" s="62">
        <v>3</v>
      </c>
      <c r="AZ207" s="62">
        <v>4</v>
      </c>
      <c r="BA207" s="72">
        <f t="shared" si="31"/>
        <v>3.3333333333333335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2</v>
      </c>
      <c r="M208" s="62">
        <v>2</v>
      </c>
      <c r="N208" s="62">
        <v>2</v>
      </c>
      <c r="O208" s="62">
        <v>4</v>
      </c>
      <c r="P208" s="62">
        <v>4</v>
      </c>
      <c r="Q208" s="72">
        <f t="shared" si="25"/>
        <v>2.8</v>
      </c>
      <c r="R208" s="62">
        <v>3</v>
      </c>
      <c r="S208" s="62">
        <v>3</v>
      </c>
      <c r="T208" s="7"/>
      <c r="U208" s="62">
        <v>3</v>
      </c>
      <c r="V208" s="7"/>
      <c r="W208" s="72">
        <f t="shared" si="26"/>
        <v>3</v>
      </c>
      <c r="X208" s="62">
        <v>3</v>
      </c>
      <c r="Y208" s="62">
        <v>3</v>
      </c>
      <c r="Z208" s="7"/>
      <c r="AA208" s="7"/>
      <c r="AB208" s="7"/>
      <c r="AC208" s="72">
        <f t="shared" si="27"/>
        <v>3</v>
      </c>
      <c r="AD208" s="62">
        <v>3</v>
      </c>
      <c r="AE208" s="7"/>
      <c r="AF208" s="62">
        <v>3</v>
      </c>
      <c r="AG208" s="7"/>
      <c r="AH208" s="7"/>
      <c r="AI208" s="72">
        <f t="shared" si="28"/>
        <v>3</v>
      </c>
      <c r="AJ208" s="7"/>
      <c r="AK208" s="7"/>
      <c r="AL208" s="7"/>
      <c r="AM208" s="7"/>
      <c r="AN208" s="7"/>
      <c r="AO208" s="72" t="str">
        <f t="shared" si="29"/>
        <v>A</v>
      </c>
      <c r="AP208" s="62">
        <v>3</v>
      </c>
      <c r="AQ208" s="62">
        <v>3</v>
      </c>
      <c r="AR208" s="62">
        <v>3</v>
      </c>
      <c r="AS208" s="7"/>
      <c r="AT208" s="7"/>
      <c r="AU208" s="72">
        <f t="shared" si="30"/>
        <v>3</v>
      </c>
      <c r="AV208" s="7"/>
      <c r="AW208" s="7"/>
      <c r="AX208" s="62">
        <v>3</v>
      </c>
      <c r="AY208" s="62">
        <v>3</v>
      </c>
      <c r="AZ208" s="62">
        <v>3</v>
      </c>
      <c r="BA208" s="72">
        <f t="shared" si="31"/>
        <v>3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2</v>
      </c>
      <c r="M209" s="62">
        <v>3</v>
      </c>
      <c r="N209" s="62">
        <v>2</v>
      </c>
      <c r="O209" s="62">
        <v>4</v>
      </c>
      <c r="P209" s="62">
        <v>3</v>
      </c>
      <c r="Q209" s="72">
        <f t="shared" si="25"/>
        <v>2.8</v>
      </c>
      <c r="R209" s="62">
        <v>3</v>
      </c>
      <c r="S209" s="62">
        <v>3</v>
      </c>
      <c r="T209" s="62"/>
      <c r="U209" s="62">
        <v>3</v>
      </c>
      <c r="V209" s="62"/>
      <c r="W209" s="72">
        <f t="shared" si="26"/>
        <v>3</v>
      </c>
      <c r="X209" s="62">
        <v>3</v>
      </c>
      <c r="Y209" s="62">
        <v>3</v>
      </c>
      <c r="Z209" s="62"/>
      <c r="AA209" s="62"/>
      <c r="AB209" s="62"/>
      <c r="AC209" s="72">
        <f t="shared" si="27"/>
        <v>3</v>
      </c>
      <c r="AD209" s="62">
        <v>3</v>
      </c>
      <c r="AE209" s="62"/>
      <c r="AF209" s="62">
        <v>3</v>
      </c>
      <c r="AG209" s="62"/>
      <c r="AH209" s="62"/>
      <c r="AI209" s="72">
        <f t="shared" si="28"/>
        <v>3</v>
      </c>
      <c r="AJ209" s="62"/>
      <c r="AK209" s="62"/>
      <c r="AL209" s="62"/>
      <c r="AM209" s="62"/>
      <c r="AN209" s="62"/>
      <c r="AO209" s="72" t="str">
        <f t="shared" si="29"/>
        <v>A</v>
      </c>
      <c r="AP209" s="62">
        <v>3</v>
      </c>
      <c r="AQ209" s="62">
        <v>3</v>
      </c>
      <c r="AR209" s="62">
        <v>3</v>
      </c>
      <c r="AS209" s="62"/>
      <c r="AT209" s="62"/>
      <c r="AU209" s="72">
        <f t="shared" si="30"/>
        <v>3</v>
      </c>
      <c r="AV209" s="62"/>
      <c r="AW209" s="62"/>
      <c r="AX209" s="62">
        <v>5</v>
      </c>
      <c r="AY209" s="62">
        <v>3</v>
      </c>
      <c r="AZ209" s="62">
        <v>4</v>
      </c>
      <c r="BA209" s="72">
        <f t="shared" si="31"/>
        <v>4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2</v>
      </c>
      <c r="M210" s="62">
        <v>4</v>
      </c>
      <c r="N210" s="62">
        <v>3</v>
      </c>
      <c r="O210" s="62">
        <v>3</v>
      </c>
      <c r="P210" s="62">
        <v>2</v>
      </c>
      <c r="Q210" s="72">
        <f t="shared" si="25"/>
        <v>2.8</v>
      </c>
      <c r="R210" s="62">
        <v>3</v>
      </c>
      <c r="S210" s="62">
        <v>3</v>
      </c>
      <c r="T210" s="7"/>
      <c r="U210" s="62">
        <v>3</v>
      </c>
      <c r="V210" s="7"/>
      <c r="W210" s="72">
        <f t="shared" si="26"/>
        <v>3</v>
      </c>
      <c r="X210" s="62">
        <v>3</v>
      </c>
      <c r="Y210" s="62">
        <v>2</v>
      </c>
      <c r="Z210" s="7"/>
      <c r="AA210" s="7"/>
      <c r="AB210" s="7"/>
      <c r="AC210" s="72">
        <f t="shared" si="27"/>
        <v>2.5</v>
      </c>
      <c r="AD210" s="62">
        <v>1</v>
      </c>
      <c r="AE210" s="7"/>
      <c r="AF210" s="62">
        <v>1</v>
      </c>
      <c r="AG210" s="7"/>
      <c r="AH210" s="7"/>
      <c r="AI210" s="72">
        <f t="shared" si="28"/>
        <v>1</v>
      </c>
      <c r="AJ210" s="7"/>
      <c r="AK210" s="7"/>
      <c r="AL210" s="7"/>
      <c r="AM210" s="7"/>
      <c r="AN210" s="7"/>
      <c r="AO210" s="72" t="str">
        <f t="shared" si="29"/>
        <v>A</v>
      </c>
      <c r="AP210" s="62">
        <v>1</v>
      </c>
      <c r="AQ210" s="62">
        <v>1</v>
      </c>
      <c r="AR210" s="62">
        <v>1</v>
      </c>
      <c r="AS210" s="7"/>
      <c r="AT210" s="7"/>
      <c r="AU210" s="72">
        <f t="shared" si="30"/>
        <v>1</v>
      </c>
      <c r="AV210" s="7"/>
      <c r="AW210" s="7"/>
      <c r="AX210" s="62">
        <v>1</v>
      </c>
      <c r="AY210" s="62">
        <v>1</v>
      </c>
      <c r="AZ210" s="62">
        <v>1</v>
      </c>
      <c r="BA210" s="72">
        <f t="shared" si="31"/>
        <v>1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3</v>
      </c>
      <c r="M211" s="62">
        <v>2</v>
      </c>
      <c r="N211" s="62">
        <v>2</v>
      </c>
      <c r="O211" s="62">
        <v>2</v>
      </c>
      <c r="P211" s="62">
        <v>0</v>
      </c>
      <c r="Q211" s="72">
        <f t="shared" si="25"/>
        <v>1.8</v>
      </c>
      <c r="R211" s="62">
        <v>4</v>
      </c>
      <c r="S211" s="62">
        <v>4</v>
      </c>
      <c r="T211" s="62"/>
      <c r="U211" s="62">
        <v>4</v>
      </c>
      <c r="V211" s="62"/>
      <c r="W211" s="72">
        <f t="shared" si="26"/>
        <v>4</v>
      </c>
      <c r="X211" s="62">
        <v>4</v>
      </c>
      <c r="Y211" s="62">
        <v>4</v>
      </c>
      <c r="Z211" s="62"/>
      <c r="AA211" s="62"/>
      <c r="AB211" s="62"/>
      <c r="AC211" s="72">
        <f t="shared" si="27"/>
        <v>4</v>
      </c>
      <c r="AD211" s="62">
        <v>4</v>
      </c>
      <c r="AE211" s="62"/>
      <c r="AF211" s="62">
        <v>3</v>
      </c>
      <c r="AG211" s="62"/>
      <c r="AH211" s="62"/>
      <c r="AI211" s="72">
        <f t="shared" si="28"/>
        <v>3.5</v>
      </c>
      <c r="AJ211" s="62"/>
      <c r="AK211" s="62"/>
      <c r="AL211" s="62"/>
      <c r="AM211" s="62"/>
      <c r="AN211" s="62"/>
      <c r="AO211" s="72" t="str">
        <f t="shared" si="29"/>
        <v>A</v>
      </c>
      <c r="AP211" s="62">
        <v>3</v>
      </c>
      <c r="AQ211" s="62">
        <v>3</v>
      </c>
      <c r="AR211" s="62">
        <v>3</v>
      </c>
      <c r="AS211" s="62"/>
      <c r="AT211" s="62"/>
      <c r="AU211" s="72">
        <f t="shared" si="30"/>
        <v>3</v>
      </c>
      <c r="AV211" s="62"/>
      <c r="AW211" s="62"/>
      <c r="AX211" s="62">
        <v>3</v>
      </c>
      <c r="AY211" s="62">
        <v>3</v>
      </c>
      <c r="AZ211" s="62">
        <v>4</v>
      </c>
      <c r="BA211" s="72">
        <f t="shared" si="31"/>
        <v>3.3333333333333335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>
        <v>2</v>
      </c>
      <c r="N212" s="62">
        <v>3</v>
      </c>
      <c r="O212" s="62">
        <v>4</v>
      </c>
      <c r="P212" s="62">
        <v>3</v>
      </c>
      <c r="Q212" s="72">
        <f t="shared" si="25"/>
        <v>3</v>
      </c>
      <c r="R212" s="62">
        <v>2</v>
      </c>
      <c r="S212" s="62">
        <v>2</v>
      </c>
      <c r="T212" s="7"/>
      <c r="U212" s="62">
        <v>2</v>
      </c>
      <c r="V212" s="7"/>
      <c r="W212" s="72">
        <f t="shared" si="26"/>
        <v>2</v>
      </c>
      <c r="X212" s="62">
        <v>2</v>
      </c>
      <c r="Y212" s="62">
        <v>3</v>
      </c>
      <c r="Z212" s="7"/>
      <c r="AA212" s="7"/>
      <c r="AB212" s="7"/>
      <c r="AC212" s="72">
        <f t="shared" si="27"/>
        <v>2.5</v>
      </c>
      <c r="AD212" s="62">
        <v>3</v>
      </c>
      <c r="AE212" s="7"/>
      <c r="AF212" s="62">
        <v>3</v>
      </c>
      <c r="AG212" s="7"/>
      <c r="AH212" s="7"/>
      <c r="AI212" s="72">
        <f t="shared" si="28"/>
        <v>3</v>
      </c>
      <c r="AJ212" s="7"/>
      <c r="AK212" s="7"/>
      <c r="AL212" s="7"/>
      <c r="AM212" s="7"/>
      <c r="AN212" s="7"/>
      <c r="AO212" s="72" t="str">
        <f t="shared" si="29"/>
        <v>A</v>
      </c>
      <c r="AP212" s="62">
        <v>3</v>
      </c>
      <c r="AQ212" s="62">
        <v>3</v>
      </c>
      <c r="AR212" s="62">
        <v>3</v>
      </c>
      <c r="AS212" s="7"/>
      <c r="AT212" s="7"/>
      <c r="AU212" s="72">
        <f t="shared" si="30"/>
        <v>3</v>
      </c>
      <c r="AV212" s="7"/>
      <c r="AW212" s="7"/>
      <c r="AX212" s="62">
        <v>3</v>
      </c>
      <c r="AY212" s="62">
        <v>2</v>
      </c>
      <c r="AZ212" s="62">
        <v>2</v>
      </c>
      <c r="BA212" s="72">
        <f t="shared" si="31"/>
        <v>2.3333333333333335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>
        <v>2</v>
      </c>
      <c r="M213" s="62">
        <v>2</v>
      </c>
      <c r="N213" s="62">
        <v>2</v>
      </c>
      <c r="O213" s="62">
        <v>3</v>
      </c>
      <c r="P213" s="62">
        <v>2</v>
      </c>
      <c r="Q213" s="72">
        <f t="shared" si="25"/>
        <v>2.2000000000000002</v>
      </c>
      <c r="R213" s="62">
        <v>3</v>
      </c>
      <c r="S213" s="62">
        <v>3</v>
      </c>
      <c r="T213" s="62"/>
      <c r="U213" s="62">
        <v>3</v>
      </c>
      <c r="V213" s="62"/>
      <c r="W213" s="72">
        <f t="shared" si="26"/>
        <v>3</v>
      </c>
      <c r="X213" s="62">
        <v>3</v>
      </c>
      <c r="Y213" s="62">
        <v>3</v>
      </c>
      <c r="Z213" s="62"/>
      <c r="AA213" s="62"/>
      <c r="AB213" s="62"/>
      <c r="AC213" s="72">
        <f t="shared" si="27"/>
        <v>3</v>
      </c>
      <c r="AD213" s="62">
        <v>3</v>
      </c>
      <c r="AE213" s="62"/>
      <c r="AF213" s="62">
        <v>3</v>
      </c>
      <c r="AG213" s="62"/>
      <c r="AH213" s="62"/>
      <c r="AI213" s="72">
        <f t="shared" si="28"/>
        <v>3</v>
      </c>
      <c r="AJ213" s="62"/>
      <c r="AK213" s="62"/>
      <c r="AL213" s="62"/>
      <c r="AM213" s="62"/>
      <c r="AN213" s="62"/>
      <c r="AO213" s="72" t="str">
        <f t="shared" si="29"/>
        <v>A</v>
      </c>
      <c r="AP213" s="62">
        <v>3</v>
      </c>
      <c r="AQ213" s="62">
        <v>3</v>
      </c>
      <c r="AR213" s="62">
        <v>3</v>
      </c>
      <c r="AS213" s="62"/>
      <c r="AT213" s="62"/>
      <c r="AU213" s="72">
        <f t="shared" si="30"/>
        <v>3</v>
      </c>
      <c r="AV213" s="62"/>
      <c r="AW213" s="62"/>
      <c r="AX213" s="62">
        <v>3</v>
      </c>
      <c r="AY213" s="62">
        <v>3</v>
      </c>
      <c r="AZ213" s="62">
        <v>3</v>
      </c>
      <c r="BA213" s="72">
        <f t="shared" si="31"/>
        <v>3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3</v>
      </c>
      <c r="M214" s="62">
        <v>3</v>
      </c>
      <c r="N214" s="62">
        <v>2</v>
      </c>
      <c r="O214" s="62">
        <v>3</v>
      </c>
      <c r="P214" s="62">
        <v>2</v>
      </c>
      <c r="Q214" s="72">
        <f t="shared" si="25"/>
        <v>2.6</v>
      </c>
      <c r="R214" s="62">
        <v>2</v>
      </c>
      <c r="S214" s="62">
        <v>2</v>
      </c>
      <c r="T214" s="7"/>
      <c r="U214" s="62">
        <v>2</v>
      </c>
      <c r="V214" s="7"/>
      <c r="W214" s="72">
        <f t="shared" si="26"/>
        <v>2</v>
      </c>
      <c r="X214" s="62">
        <v>2</v>
      </c>
      <c r="Y214" s="62">
        <v>2</v>
      </c>
      <c r="Z214" s="7"/>
      <c r="AA214" s="7"/>
      <c r="AB214" s="7"/>
      <c r="AC214" s="72">
        <f t="shared" si="27"/>
        <v>2</v>
      </c>
      <c r="AD214" s="62">
        <v>3</v>
      </c>
      <c r="AE214" s="7"/>
      <c r="AF214" s="62">
        <v>3</v>
      </c>
      <c r="AG214" s="7"/>
      <c r="AH214" s="7"/>
      <c r="AI214" s="72">
        <f t="shared" si="28"/>
        <v>3</v>
      </c>
      <c r="AJ214" s="7"/>
      <c r="AK214" s="7"/>
      <c r="AL214" s="7"/>
      <c r="AM214" s="7"/>
      <c r="AN214" s="7"/>
      <c r="AO214" s="72" t="str">
        <f t="shared" si="29"/>
        <v>A</v>
      </c>
      <c r="AP214" s="62">
        <v>3</v>
      </c>
      <c r="AQ214" s="62">
        <v>3</v>
      </c>
      <c r="AR214" s="62">
        <v>3</v>
      </c>
      <c r="AS214" s="7"/>
      <c r="AT214" s="7"/>
      <c r="AU214" s="72">
        <f t="shared" si="30"/>
        <v>3</v>
      </c>
      <c r="AV214" s="7"/>
      <c r="AW214" s="7"/>
      <c r="AX214" s="62">
        <v>5</v>
      </c>
      <c r="AY214" s="62">
        <v>3</v>
      </c>
      <c r="AZ214" s="62">
        <v>3</v>
      </c>
      <c r="BA214" s="72">
        <f t="shared" si="31"/>
        <v>3.6666666666666665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3</v>
      </c>
      <c r="M215" s="62">
        <v>3</v>
      </c>
      <c r="N215" s="62">
        <v>2</v>
      </c>
      <c r="O215" s="62">
        <v>3</v>
      </c>
      <c r="P215" s="62">
        <v>3</v>
      </c>
      <c r="Q215" s="72">
        <f t="shared" si="25"/>
        <v>2.8</v>
      </c>
      <c r="R215" s="62">
        <v>2</v>
      </c>
      <c r="S215" s="62">
        <v>2</v>
      </c>
      <c r="T215" s="62"/>
      <c r="U215" s="62">
        <v>2</v>
      </c>
      <c r="V215" s="62"/>
      <c r="W215" s="72">
        <f t="shared" si="26"/>
        <v>2</v>
      </c>
      <c r="X215" s="62">
        <v>2</v>
      </c>
      <c r="Y215" s="62">
        <v>2</v>
      </c>
      <c r="Z215" s="62"/>
      <c r="AA215" s="62"/>
      <c r="AB215" s="62"/>
      <c r="AC215" s="72">
        <f t="shared" si="27"/>
        <v>2</v>
      </c>
      <c r="AD215" s="62">
        <v>3</v>
      </c>
      <c r="AE215" s="62"/>
      <c r="AF215" s="62">
        <v>3</v>
      </c>
      <c r="AG215" s="62"/>
      <c r="AH215" s="62"/>
      <c r="AI215" s="72">
        <f t="shared" si="28"/>
        <v>3</v>
      </c>
      <c r="AJ215" s="62"/>
      <c r="AK215" s="62"/>
      <c r="AL215" s="62"/>
      <c r="AM215" s="62"/>
      <c r="AN215" s="62"/>
      <c r="AO215" s="72" t="str">
        <f t="shared" si="29"/>
        <v>A</v>
      </c>
      <c r="AP215" s="62">
        <v>3</v>
      </c>
      <c r="AQ215" s="62">
        <v>3</v>
      </c>
      <c r="AR215" s="62">
        <v>3</v>
      </c>
      <c r="AS215" s="62"/>
      <c r="AT215" s="62"/>
      <c r="AU215" s="72">
        <f t="shared" si="30"/>
        <v>3</v>
      </c>
      <c r="AV215" s="62"/>
      <c r="AW215" s="62"/>
      <c r="AX215" s="62">
        <v>3</v>
      </c>
      <c r="AY215" s="62">
        <v>3</v>
      </c>
      <c r="AZ215" s="62">
        <v>3</v>
      </c>
      <c r="BA215" s="72">
        <f t="shared" si="31"/>
        <v>3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3</v>
      </c>
      <c r="M216" s="62">
        <v>2</v>
      </c>
      <c r="N216" s="62">
        <v>2</v>
      </c>
      <c r="O216" s="62">
        <v>3</v>
      </c>
      <c r="P216" s="62">
        <v>3</v>
      </c>
      <c r="Q216" s="72">
        <f t="shared" si="25"/>
        <v>2.6</v>
      </c>
      <c r="R216" s="62">
        <v>3</v>
      </c>
      <c r="S216" s="62">
        <v>3</v>
      </c>
      <c r="T216" s="7"/>
      <c r="U216" s="62">
        <v>3</v>
      </c>
      <c r="V216" s="7"/>
      <c r="W216" s="72">
        <f t="shared" si="26"/>
        <v>3</v>
      </c>
      <c r="X216" s="62">
        <v>3</v>
      </c>
      <c r="Y216" s="62">
        <v>3</v>
      </c>
      <c r="Z216" s="7"/>
      <c r="AA216" s="7"/>
      <c r="AB216" s="7"/>
      <c r="AC216" s="72">
        <f t="shared" si="27"/>
        <v>3</v>
      </c>
      <c r="AD216" s="62">
        <v>3</v>
      </c>
      <c r="AE216" s="7"/>
      <c r="AF216" s="62">
        <v>3</v>
      </c>
      <c r="AG216" s="7"/>
      <c r="AH216" s="7"/>
      <c r="AI216" s="72">
        <f t="shared" si="28"/>
        <v>3</v>
      </c>
      <c r="AJ216" s="7"/>
      <c r="AK216" s="7"/>
      <c r="AL216" s="7"/>
      <c r="AM216" s="7"/>
      <c r="AN216" s="7"/>
      <c r="AO216" s="72" t="str">
        <f t="shared" si="29"/>
        <v>A</v>
      </c>
      <c r="AP216" s="62">
        <v>3</v>
      </c>
      <c r="AQ216" s="62">
        <v>3</v>
      </c>
      <c r="AR216" s="62">
        <v>3</v>
      </c>
      <c r="AS216" s="7"/>
      <c r="AT216" s="7"/>
      <c r="AU216" s="72">
        <f t="shared" si="30"/>
        <v>3</v>
      </c>
      <c r="AV216" s="7"/>
      <c r="AW216" s="7"/>
      <c r="AX216" s="62">
        <v>3</v>
      </c>
      <c r="AY216" s="62">
        <v>3</v>
      </c>
      <c r="AZ216" s="62">
        <v>3</v>
      </c>
      <c r="BA216" s="72">
        <f t="shared" si="31"/>
        <v>3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3</v>
      </c>
      <c r="M217" s="62">
        <v>2</v>
      </c>
      <c r="N217" s="62">
        <v>2</v>
      </c>
      <c r="O217" s="62">
        <v>3</v>
      </c>
      <c r="P217" s="62">
        <v>3</v>
      </c>
      <c r="Q217" s="72">
        <f t="shared" si="25"/>
        <v>2.6</v>
      </c>
      <c r="R217" s="62">
        <v>3</v>
      </c>
      <c r="S217" s="62">
        <v>3</v>
      </c>
      <c r="T217" s="62"/>
      <c r="U217" s="62">
        <v>3</v>
      </c>
      <c r="V217" s="62"/>
      <c r="W217" s="72">
        <f t="shared" si="26"/>
        <v>3</v>
      </c>
      <c r="X217" s="62">
        <v>3</v>
      </c>
      <c r="Y217" s="62">
        <v>3</v>
      </c>
      <c r="Z217" s="62"/>
      <c r="AA217" s="62"/>
      <c r="AB217" s="62"/>
      <c r="AC217" s="72">
        <f t="shared" si="27"/>
        <v>3</v>
      </c>
      <c r="AD217" s="62">
        <v>3</v>
      </c>
      <c r="AE217" s="62"/>
      <c r="AF217" s="62">
        <v>3</v>
      </c>
      <c r="AG217" s="62"/>
      <c r="AH217" s="62"/>
      <c r="AI217" s="72">
        <f t="shared" si="28"/>
        <v>3</v>
      </c>
      <c r="AJ217" s="62"/>
      <c r="AK217" s="62"/>
      <c r="AL217" s="62"/>
      <c r="AM217" s="62"/>
      <c r="AN217" s="62"/>
      <c r="AO217" s="72" t="str">
        <f t="shared" si="29"/>
        <v>A</v>
      </c>
      <c r="AP217" s="62">
        <v>3</v>
      </c>
      <c r="AQ217" s="62">
        <v>3</v>
      </c>
      <c r="AR217" s="62">
        <v>3</v>
      </c>
      <c r="AS217" s="62"/>
      <c r="AT217" s="62"/>
      <c r="AU217" s="72">
        <f t="shared" si="30"/>
        <v>3</v>
      </c>
      <c r="AV217" s="62"/>
      <c r="AW217" s="62"/>
      <c r="AX217" s="62">
        <v>3</v>
      </c>
      <c r="AY217" s="62">
        <v>3</v>
      </c>
      <c r="AZ217" s="62">
        <v>3</v>
      </c>
      <c r="BA217" s="72">
        <f t="shared" si="31"/>
        <v>3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3</v>
      </c>
      <c r="M218" s="62">
        <v>3</v>
      </c>
      <c r="N218" s="62">
        <v>3</v>
      </c>
      <c r="O218" s="62">
        <v>3</v>
      </c>
      <c r="P218" s="62">
        <v>3</v>
      </c>
      <c r="Q218" s="72">
        <f t="shared" si="25"/>
        <v>3</v>
      </c>
      <c r="R218" s="62">
        <v>2</v>
      </c>
      <c r="S218" s="62">
        <v>2</v>
      </c>
      <c r="T218" s="7"/>
      <c r="U218" s="62">
        <v>2</v>
      </c>
      <c r="V218" s="7"/>
      <c r="W218" s="72">
        <f t="shared" si="26"/>
        <v>2</v>
      </c>
      <c r="X218" s="62">
        <v>2</v>
      </c>
      <c r="Y218" s="62">
        <v>2</v>
      </c>
      <c r="Z218" s="7"/>
      <c r="AA218" s="7"/>
      <c r="AB218" s="7"/>
      <c r="AC218" s="72">
        <f t="shared" si="27"/>
        <v>2</v>
      </c>
      <c r="AD218" s="62">
        <v>3</v>
      </c>
      <c r="AE218" s="7"/>
      <c r="AF218" s="62">
        <v>3</v>
      </c>
      <c r="AG218" s="7"/>
      <c r="AH218" s="7"/>
      <c r="AI218" s="72">
        <f t="shared" si="28"/>
        <v>3</v>
      </c>
      <c r="AJ218" s="7"/>
      <c r="AK218" s="7"/>
      <c r="AL218" s="7"/>
      <c r="AM218" s="7"/>
      <c r="AN218" s="7"/>
      <c r="AO218" s="72" t="str">
        <f t="shared" si="29"/>
        <v>A</v>
      </c>
      <c r="AP218" s="62">
        <v>3</v>
      </c>
      <c r="AQ218" s="62">
        <v>3</v>
      </c>
      <c r="AR218" s="62">
        <v>3</v>
      </c>
      <c r="AS218" s="7"/>
      <c r="AT218" s="7"/>
      <c r="AU218" s="72">
        <f t="shared" si="30"/>
        <v>3</v>
      </c>
      <c r="AV218" s="7"/>
      <c r="AW218" s="7"/>
      <c r="AX218" s="62">
        <v>3</v>
      </c>
      <c r="AY218" s="62">
        <v>3</v>
      </c>
      <c r="AZ218" s="62">
        <v>3</v>
      </c>
      <c r="BA218" s="72">
        <f t="shared" si="31"/>
        <v>3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>
        <v>3</v>
      </c>
      <c r="N219" s="62">
        <v>3</v>
      </c>
      <c r="O219" s="62">
        <v>3</v>
      </c>
      <c r="P219" s="62">
        <v>3</v>
      </c>
      <c r="Q219" s="72">
        <f t="shared" si="25"/>
        <v>2.8</v>
      </c>
      <c r="R219" s="62">
        <v>3</v>
      </c>
      <c r="S219" s="62">
        <v>3</v>
      </c>
      <c r="T219" s="62"/>
      <c r="U219" s="62">
        <v>3</v>
      </c>
      <c r="V219" s="62"/>
      <c r="W219" s="72">
        <f t="shared" si="26"/>
        <v>3</v>
      </c>
      <c r="X219" s="62">
        <v>3</v>
      </c>
      <c r="Y219" s="62">
        <v>3</v>
      </c>
      <c r="Z219" s="62"/>
      <c r="AA219" s="62"/>
      <c r="AB219" s="62"/>
      <c r="AC219" s="72">
        <f t="shared" si="27"/>
        <v>3</v>
      </c>
      <c r="AD219" s="62">
        <v>3</v>
      </c>
      <c r="AE219" s="62"/>
      <c r="AF219" s="62">
        <v>3</v>
      </c>
      <c r="AG219" s="62"/>
      <c r="AH219" s="62"/>
      <c r="AI219" s="72">
        <f t="shared" si="28"/>
        <v>3</v>
      </c>
      <c r="AJ219" s="62"/>
      <c r="AK219" s="62"/>
      <c r="AL219" s="62"/>
      <c r="AM219" s="62"/>
      <c r="AN219" s="62"/>
      <c r="AO219" s="72" t="str">
        <f t="shared" si="29"/>
        <v>A</v>
      </c>
      <c r="AP219" s="62">
        <v>3</v>
      </c>
      <c r="AQ219" s="62">
        <v>3</v>
      </c>
      <c r="AR219" s="62">
        <v>3</v>
      </c>
      <c r="AS219" s="62"/>
      <c r="AT219" s="62"/>
      <c r="AU219" s="72">
        <f t="shared" si="30"/>
        <v>3</v>
      </c>
      <c r="AV219" s="62"/>
      <c r="AW219" s="62"/>
      <c r="AX219" s="62">
        <v>3</v>
      </c>
      <c r="AY219" s="62">
        <v>3</v>
      </c>
      <c r="AZ219" s="62">
        <v>3</v>
      </c>
      <c r="BA219" s="72">
        <f t="shared" si="31"/>
        <v>3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2</v>
      </c>
      <c r="M220" s="62">
        <v>2</v>
      </c>
      <c r="N220" s="62">
        <v>3</v>
      </c>
      <c r="O220" s="62">
        <v>3</v>
      </c>
      <c r="P220" s="62">
        <v>2</v>
      </c>
      <c r="Q220" s="72">
        <f t="shared" si="25"/>
        <v>2.4</v>
      </c>
      <c r="R220" s="62">
        <v>3</v>
      </c>
      <c r="S220" s="62">
        <v>3</v>
      </c>
      <c r="T220" s="7"/>
      <c r="U220" s="62">
        <v>3</v>
      </c>
      <c r="V220" s="7"/>
      <c r="W220" s="72">
        <f t="shared" si="26"/>
        <v>3</v>
      </c>
      <c r="X220" s="62">
        <v>3</v>
      </c>
      <c r="Y220" s="62">
        <v>3</v>
      </c>
      <c r="Z220" s="7"/>
      <c r="AA220" s="7"/>
      <c r="AB220" s="7"/>
      <c r="AC220" s="72">
        <f t="shared" si="27"/>
        <v>3</v>
      </c>
      <c r="AD220" s="62">
        <v>3</v>
      </c>
      <c r="AE220" s="7"/>
      <c r="AF220" s="62">
        <v>3</v>
      </c>
      <c r="AG220" s="7"/>
      <c r="AH220" s="7"/>
      <c r="AI220" s="72">
        <f t="shared" si="28"/>
        <v>3</v>
      </c>
      <c r="AJ220" s="7"/>
      <c r="AK220" s="7"/>
      <c r="AL220" s="7"/>
      <c r="AM220" s="7"/>
      <c r="AN220" s="7"/>
      <c r="AO220" s="72" t="str">
        <f t="shared" si="29"/>
        <v>A</v>
      </c>
      <c r="AP220" s="62">
        <v>3</v>
      </c>
      <c r="AQ220" s="62">
        <v>3</v>
      </c>
      <c r="AR220" s="62">
        <v>3</v>
      </c>
      <c r="AS220" s="7"/>
      <c r="AT220" s="7"/>
      <c r="AU220" s="72">
        <f t="shared" si="30"/>
        <v>3</v>
      </c>
      <c r="AV220" s="7"/>
      <c r="AW220" s="7"/>
      <c r="AX220" s="62">
        <v>3</v>
      </c>
      <c r="AY220" s="62">
        <v>3</v>
      </c>
      <c r="AZ220" s="62">
        <v>3</v>
      </c>
      <c r="BA220" s="72">
        <f t="shared" si="31"/>
        <v>3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3</v>
      </c>
      <c r="M221" s="62">
        <v>3</v>
      </c>
      <c r="N221" s="62">
        <v>3</v>
      </c>
      <c r="O221" s="62">
        <v>3</v>
      </c>
      <c r="P221" s="62">
        <v>3</v>
      </c>
      <c r="Q221" s="72">
        <f t="shared" si="25"/>
        <v>3</v>
      </c>
      <c r="R221" s="62">
        <v>2</v>
      </c>
      <c r="S221" s="62">
        <v>2</v>
      </c>
      <c r="T221" s="62"/>
      <c r="U221" s="62">
        <v>2</v>
      </c>
      <c r="V221" s="62"/>
      <c r="W221" s="72">
        <f t="shared" si="26"/>
        <v>2</v>
      </c>
      <c r="X221" s="62">
        <v>2</v>
      </c>
      <c r="Y221" s="62">
        <v>2</v>
      </c>
      <c r="Z221" s="62"/>
      <c r="AA221" s="62"/>
      <c r="AB221" s="62"/>
      <c r="AC221" s="72">
        <f t="shared" si="27"/>
        <v>2</v>
      </c>
      <c r="AD221" s="62">
        <v>2</v>
      </c>
      <c r="AE221" s="62"/>
      <c r="AF221" s="62">
        <v>2</v>
      </c>
      <c r="AG221" s="62"/>
      <c r="AH221" s="62"/>
      <c r="AI221" s="72">
        <f t="shared" si="28"/>
        <v>2</v>
      </c>
      <c r="AJ221" s="62"/>
      <c r="AK221" s="62"/>
      <c r="AL221" s="62"/>
      <c r="AM221" s="62"/>
      <c r="AN221" s="62"/>
      <c r="AO221" s="72" t="str">
        <f t="shared" si="29"/>
        <v>A</v>
      </c>
      <c r="AP221" s="62">
        <v>3</v>
      </c>
      <c r="AQ221" s="62">
        <v>3</v>
      </c>
      <c r="AR221" s="62">
        <v>3</v>
      </c>
      <c r="AS221" s="62"/>
      <c r="AT221" s="62"/>
      <c r="AU221" s="72">
        <f t="shared" si="30"/>
        <v>3</v>
      </c>
      <c r="AV221" s="62"/>
      <c r="AW221" s="62"/>
      <c r="AX221" s="62">
        <v>5</v>
      </c>
      <c r="AY221" s="62">
        <v>3</v>
      </c>
      <c r="AZ221" s="62">
        <v>2</v>
      </c>
      <c r="BA221" s="72">
        <f t="shared" si="31"/>
        <v>3.3333333333333335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>
        <v>3</v>
      </c>
      <c r="M222" s="62">
        <v>3</v>
      </c>
      <c r="N222" s="62">
        <v>3</v>
      </c>
      <c r="O222" s="62">
        <v>3</v>
      </c>
      <c r="P222" s="62">
        <v>3</v>
      </c>
      <c r="Q222" s="72">
        <f t="shared" si="25"/>
        <v>3</v>
      </c>
      <c r="R222" s="62">
        <v>3</v>
      </c>
      <c r="S222" s="62">
        <v>3</v>
      </c>
      <c r="T222" s="7"/>
      <c r="U222" s="62">
        <v>3</v>
      </c>
      <c r="V222" s="7"/>
      <c r="W222" s="72">
        <f t="shared" si="26"/>
        <v>3</v>
      </c>
      <c r="X222" s="62">
        <v>3</v>
      </c>
      <c r="Y222" s="62">
        <v>3</v>
      </c>
      <c r="Z222" s="7"/>
      <c r="AA222" s="7"/>
      <c r="AB222" s="7"/>
      <c r="AC222" s="72">
        <f t="shared" si="27"/>
        <v>3</v>
      </c>
      <c r="AD222" s="62">
        <v>3</v>
      </c>
      <c r="AE222" s="7"/>
      <c r="AF222" s="62">
        <v>3</v>
      </c>
      <c r="AG222" s="7"/>
      <c r="AH222" s="7"/>
      <c r="AI222" s="72">
        <f t="shared" si="28"/>
        <v>3</v>
      </c>
      <c r="AJ222" s="7"/>
      <c r="AK222" s="7"/>
      <c r="AL222" s="7"/>
      <c r="AM222" s="7"/>
      <c r="AN222" s="7"/>
      <c r="AO222" s="72" t="str">
        <f t="shared" si="29"/>
        <v>A</v>
      </c>
      <c r="AP222" s="62">
        <v>3</v>
      </c>
      <c r="AQ222" s="62">
        <v>3</v>
      </c>
      <c r="AR222" s="62">
        <v>3</v>
      </c>
      <c r="AS222" s="7"/>
      <c r="AT222" s="7"/>
      <c r="AU222" s="72">
        <f t="shared" si="30"/>
        <v>3</v>
      </c>
      <c r="AV222" s="7"/>
      <c r="AW222" s="7"/>
      <c r="AX222" s="62">
        <v>3</v>
      </c>
      <c r="AY222" s="62">
        <v>3</v>
      </c>
      <c r="AZ222" s="62">
        <v>3</v>
      </c>
      <c r="BA222" s="72">
        <f t="shared" si="31"/>
        <v>3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2</v>
      </c>
      <c r="M223" s="62">
        <v>2</v>
      </c>
      <c r="N223" s="62">
        <v>2</v>
      </c>
      <c r="O223" s="62">
        <v>3</v>
      </c>
      <c r="P223" s="62">
        <v>3</v>
      </c>
      <c r="Q223" s="72">
        <f t="shared" si="25"/>
        <v>2.4</v>
      </c>
      <c r="R223" s="62">
        <v>3</v>
      </c>
      <c r="S223" s="62">
        <v>3</v>
      </c>
      <c r="T223" s="62"/>
      <c r="U223" s="62">
        <v>3</v>
      </c>
      <c r="V223" s="62"/>
      <c r="W223" s="72">
        <f t="shared" si="26"/>
        <v>3</v>
      </c>
      <c r="X223" s="62">
        <v>3</v>
      </c>
      <c r="Y223" s="62">
        <v>2</v>
      </c>
      <c r="Z223" s="62"/>
      <c r="AA223" s="62"/>
      <c r="AB223" s="62"/>
      <c r="AC223" s="72">
        <f t="shared" si="27"/>
        <v>2.5</v>
      </c>
      <c r="AD223" s="62">
        <v>3</v>
      </c>
      <c r="AE223" s="62"/>
      <c r="AF223" s="62">
        <v>3</v>
      </c>
      <c r="AG223" s="62"/>
      <c r="AH223" s="62"/>
      <c r="AI223" s="72">
        <f t="shared" si="28"/>
        <v>3</v>
      </c>
      <c r="AJ223" s="62"/>
      <c r="AK223" s="62"/>
      <c r="AL223" s="62"/>
      <c r="AM223" s="62"/>
      <c r="AN223" s="62"/>
      <c r="AO223" s="72" t="str">
        <f t="shared" si="29"/>
        <v>A</v>
      </c>
      <c r="AP223" s="62">
        <v>3</v>
      </c>
      <c r="AQ223" s="62">
        <v>3</v>
      </c>
      <c r="AR223" s="62">
        <v>3</v>
      </c>
      <c r="AS223" s="62"/>
      <c r="AT223" s="62"/>
      <c r="AU223" s="72">
        <f t="shared" si="30"/>
        <v>3</v>
      </c>
      <c r="AV223" s="62"/>
      <c r="AW223" s="62"/>
      <c r="AX223" s="62">
        <v>5</v>
      </c>
      <c r="AY223" s="62">
        <v>4</v>
      </c>
      <c r="AZ223" s="62">
        <v>4</v>
      </c>
      <c r="BA223" s="72">
        <f t="shared" si="31"/>
        <v>4.333333333333333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3</v>
      </c>
      <c r="M224" s="62">
        <v>3</v>
      </c>
      <c r="N224" s="62">
        <v>3</v>
      </c>
      <c r="O224" s="62">
        <v>3</v>
      </c>
      <c r="P224" s="62">
        <v>3</v>
      </c>
      <c r="Q224" s="72">
        <f t="shared" si="25"/>
        <v>3</v>
      </c>
      <c r="R224" s="62">
        <v>3</v>
      </c>
      <c r="S224" s="62">
        <v>3</v>
      </c>
      <c r="T224" s="7"/>
      <c r="U224" s="62">
        <v>3</v>
      </c>
      <c r="V224" s="7"/>
      <c r="W224" s="72">
        <f t="shared" si="26"/>
        <v>3</v>
      </c>
      <c r="X224" s="62">
        <v>3</v>
      </c>
      <c r="Y224" s="62">
        <v>3</v>
      </c>
      <c r="Z224" s="7"/>
      <c r="AA224" s="7"/>
      <c r="AB224" s="7"/>
      <c r="AC224" s="72">
        <f t="shared" si="27"/>
        <v>3</v>
      </c>
      <c r="AD224" s="62">
        <v>3</v>
      </c>
      <c r="AE224" s="7"/>
      <c r="AF224" s="62">
        <v>3</v>
      </c>
      <c r="AG224" s="7"/>
      <c r="AH224" s="7"/>
      <c r="AI224" s="72">
        <f t="shared" si="28"/>
        <v>3</v>
      </c>
      <c r="AJ224" s="7"/>
      <c r="AK224" s="7"/>
      <c r="AL224" s="7"/>
      <c r="AM224" s="7"/>
      <c r="AN224" s="7"/>
      <c r="AO224" s="72" t="str">
        <f t="shared" si="29"/>
        <v>A</v>
      </c>
      <c r="AP224" s="62">
        <v>3</v>
      </c>
      <c r="AQ224" s="62">
        <v>3</v>
      </c>
      <c r="AR224" s="62">
        <v>3</v>
      </c>
      <c r="AS224" s="7"/>
      <c r="AT224" s="7"/>
      <c r="AU224" s="72">
        <f t="shared" si="30"/>
        <v>3</v>
      </c>
      <c r="AV224" s="7"/>
      <c r="AW224" s="7"/>
      <c r="AX224" s="62">
        <v>3</v>
      </c>
      <c r="AY224" s="62">
        <v>3</v>
      </c>
      <c r="AZ224" s="62">
        <v>3</v>
      </c>
      <c r="BA224" s="72">
        <f t="shared" si="31"/>
        <v>3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2</v>
      </c>
      <c r="M225" s="62">
        <v>4</v>
      </c>
      <c r="N225" s="62">
        <v>3</v>
      </c>
      <c r="O225" s="62">
        <v>3</v>
      </c>
      <c r="P225" s="62">
        <v>2</v>
      </c>
      <c r="Q225" s="72">
        <f t="shared" si="25"/>
        <v>2.8</v>
      </c>
      <c r="R225" s="62">
        <v>3</v>
      </c>
      <c r="S225" s="62">
        <v>3</v>
      </c>
      <c r="T225" s="62"/>
      <c r="U225" s="62">
        <v>3</v>
      </c>
      <c r="V225" s="62"/>
      <c r="W225" s="72">
        <f t="shared" si="26"/>
        <v>3</v>
      </c>
      <c r="X225" s="62">
        <v>3</v>
      </c>
      <c r="Y225" s="62">
        <v>2</v>
      </c>
      <c r="Z225" s="62"/>
      <c r="AA225" s="62"/>
      <c r="AB225" s="62"/>
      <c r="AC225" s="72">
        <f t="shared" si="27"/>
        <v>2.5</v>
      </c>
      <c r="AD225" s="62">
        <v>3</v>
      </c>
      <c r="AE225" s="62"/>
      <c r="AF225" s="62">
        <v>3</v>
      </c>
      <c r="AG225" s="62"/>
      <c r="AH225" s="62"/>
      <c r="AI225" s="72">
        <f t="shared" si="28"/>
        <v>3</v>
      </c>
      <c r="AJ225" s="62"/>
      <c r="AK225" s="62"/>
      <c r="AL225" s="62"/>
      <c r="AM225" s="62"/>
      <c r="AN225" s="62"/>
      <c r="AO225" s="72" t="str">
        <f t="shared" si="29"/>
        <v>A</v>
      </c>
      <c r="AP225" s="62">
        <v>3</v>
      </c>
      <c r="AQ225" s="62">
        <v>3</v>
      </c>
      <c r="AR225" s="62">
        <v>3</v>
      </c>
      <c r="AS225" s="62"/>
      <c r="AT225" s="62"/>
      <c r="AU225" s="72">
        <f t="shared" si="30"/>
        <v>3</v>
      </c>
      <c r="AV225" s="62"/>
      <c r="AW225" s="62"/>
      <c r="AX225" s="62">
        <v>3</v>
      </c>
      <c r="AY225" s="62">
        <v>3</v>
      </c>
      <c r="AZ225" s="62">
        <v>3</v>
      </c>
      <c r="BA225" s="72">
        <f t="shared" si="31"/>
        <v>3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4</v>
      </c>
      <c r="M226" s="62">
        <v>3</v>
      </c>
      <c r="N226" s="62">
        <v>3</v>
      </c>
      <c r="O226" s="62">
        <v>3</v>
      </c>
      <c r="P226" s="62">
        <v>2</v>
      </c>
      <c r="Q226" s="72">
        <f t="shared" si="25"/>
        <v>3</v>
      </c>
      <c r="R226" s="62">
        <v>3</v>
      </c>
      <c r="S226" s="62">
        <v>3</v>
      </c>
      <c r="T226" s="7"/>
      <c r="U226" s="62">
        <v>3</v>
      </c>
      <c r="V226" s="7"/>
      <c r="W226" s="72">
        <f t="shared" si="26"/>
        <v>3</v>
      </c>
      <c r="X226" s="62">
        <v>2</v>
      </c>
      <c r="Y226" s="62">
        <v>4</v>
      </c>
      <c r="Z226" s="7"/>
      <c r="AA226" s="7"/>
      <c r="AB226" s="7"/>
      <c r="AC226" s="72">
        <f t="shared" si="27"/>
        <v>3</v>
      </c>
      <c r="AD226" s="62">
        <v>2</v>
      </c>
      <c r="AE226" s="7"/>
      <c r="AF226" s="62">
        <v>3</v>
      </c>
      <c r="AG226" s="7"/>
      <c r="AH226" s="7"/>
      <c r="AI226" s="72">
        <f t="shared" si="28"/>
        <v>2.5</v>
      </c>
      <c r="AJ226" s="7"/>
      <c r="AK226" s="7"/>
      <c r="AL226" s="7"/>
      <c r="AM226" s="7"/>
      <c r="AN226" s="7"/>
      <c r="AO226" s="72" t="str">
        <f t="shared" si="29"/>
        <v>A</v>
      </c>
      <c r="AP226" s="62">
        <v>3</v>
      </c>
      <c r="AQ226" s="62">
        <v>3</v>
      </c>
      <c r="AR226" s="62">
        <v>3</v>
      </c>
      <c r="AS226" s="7"/>
      <c r="AT226" s="7"/>
      <c r="AU226" s="72">
        <f t="shared" si="30"/>
        <v>3</v>
      </c>
      <c r="AV226" s="7"/>
      <c r="AW226" s="7"/>
      <c r="AX226" s="62">
        <v>5</v>
      </c>
      <c r="AY226" s="62">
        <v>3</v>
      </c>
      <c r="AZ226" s="62">
        <v>3</v>
      </c>
      <c r="BA226" s="72">
        <f t="shared" si="31"/>
        <v>3.6666666666666665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4</v>
      </c>
      <c r="M227" s="62">
        <v>4</v>
      </c>
      <c r="N227" s="62">
        <v>3</v>
      </c>
      <c r="O227" s="62">
        <v>3</v>
      </c>
      <c r="P227" s="62">
        <v>3</v>
      </c>
      <c r="Q227" s="72">
        <f t="shared" si="25"/>
        <v>3.4</v>
      </c>
      <c r="R227" s="62">
        <v>3</v>
      </c>
      <c r="S227" s="62">
        <v>3</v>
      </c>
      <c r="T227" s="62"/>
      <c r="U227" s="62">
        <v>3</v>
      </c>
      <c r="V227" s="62"/>
      <c r="W227" s="72">
        <f t="shared" si="26"/>
        <v>3</v>
      </c>
      <c r="X227" s="62">
        <v>3</v>
      </c>
      <c r="Y227" s="62">
        <v>3</v>
      </c>
      <c r="Z227" s="62"/>
      <c r="AA227" s="62"/>
      <c r="AB227" s="62"/>
      <c r="AC227" s="72">
        <f t="shared" si="27"/>
        <v>3</v>
      </c>
      <c r="AD227" s="62">
        <v>2</v>
      </c>
      <c r="AE227" s="62"/>
      <c r="AF227" s="62">
        <v>3</v>
      </c>
      <c r="AG227" s="62"/>
      <c r="AH227" s="62"/>
      <c r="AI227" s="72">
        <f t="shared" si="28"/>
        <v>2.5</v>
      </c>
      <c r="AJ227" s="62"/>
      <c r="AK227" s="62"/>
      <c r="AL227" s="62"/>
      <c r="AM227" s="62"/>
      <c r="AN227" s="62"/>
      <c r="AO227" s="72" t="str">
        <f t="shared" si="29"/>
        <v>A</v>
      </c>
      <c r="AP227" s="62">
        <v>3</v>
      </c>
      <c r="AQ227" s="62">
        <v>3</v>
      </c>
      <c r="AR227" s="62">
        <v>3</v>
      </c>
      <c r="AS227" s="62"/>
      <c r="AT227" s="62"/>
      <c r="AU227" s="72">
        <f t="shared" si="30"/>
        <v>3</v>
      </c>
      <c r="AV227" s="62"/>
      <c r="AW227" s="62"/>
      <c r="AX227" s="62">
        <v>5</v>
      </c>
      <c r="AY227" s="62">
        <v>3</v>
      </c>
      <c r="AZ227" s="62">
        <v>3</v>
      </c>
      <c r="BA227" s="72">
        <f t="shared" si="31"/>
        <v>3.6666666666666665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3</v>
      </c>
      <c r="M228" s="62">
        <v>3</v>
      </c>
      <c r="N228" s="62">
        <v>2</v>
      </c>
      <c r="O228" s="62">
        <v>3</v>
      </c>
      <c r="P228" s="62">
        <v>3</v>
      </c>
      <c r="Q228" s="72">
        <f t="shared" si="25"/>
        <v>2.8</v>
      </c>
      <c r="R228" s="62">
        <v>3</v>
      </c>
      <c r="S228" s="62">
        <v>3</v>
      </c>
      <c r="T228" s="7"/>
      <c r="U228" s="62">
        <v>3</v>
      </c>
      <c r="V228" s="7"/>
      <c r="W228" s="72">
        <f t="shared" si="26"/>
        <v>3</v>
      </c>
      <c r="X228" s="62">
        <v>3</v>
      </c>
      <c r="Y228" s="62">
        <v>2</v>
      </c>
      <c r="Z228" s="7"/>
      <c r="AA228" s="7"/>
      <c r="AB228" s="7"/>
      <c r="AC228" s="72">
        <f t="shared" si="27"/>
        <v>2.5</v>
      </c>
      <c r="AD228" s="62">
        <v>2</v>
      </c>
      <c r="AE228" s="7"/>
      <c r="AF228" s="62">
        <v>3</v>
      </c>
      <c r="AG228" s="7"/>
      <c r="AH228" s="7"/>
      <c r="AI228" s="72">
        <f t="shared" si="28"/>
        <v>2.5</v>
      </c>
      <c r="AJ228" s="7"/>
      <c r="AK228" s="7"/>
      <c r="AL228" s="7"/>
      <c r="AM228" s="7"/>
      <c r="AN228" s="7"/>
      <c r="AO228" s="72" t="str">
        <f t="shared" si="29"/>
        <v>A</v>
      </c>
      <c r="AP228" s="62">
        <v>3</v>
      </c>
      <c r="AQ228" s="62">
        <v>3</v>
      </c>
      <c r="AR228" s="62">
        <v>3</v>
      </c>
      <c r="AS228" s="7"/>
      <c r="AT228" s="7"/>
      <c r="AU228" s="72">
        <f t="shared" si="30"/>
        <v>3</v>
      </c>
      <c r="AV228" s="7"/>
      <c r="AW228" s="7"/>
      <c r="AX228" s="62">
        <v>3</v>
      </c>
      <c r="AY228" s="62">
        <v>3</v>
      </c>
      <c r="AZ228" s="62">
        <v>3</v>
      </c>
      <c r="BA228" s="72">
        <f t="shared" si="31"/>
        <v>3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3</v>
      </c>
      <c r="M229" s="62">
        <v>3</v>
      </c>
      <c r="N229" s="62">
        <v>3</v>
      </c>
      <c r="O229" s="62">
        <v>3</v>
      </c>
      <c r="P229" s="62">
        <v>3</v>
      </c>
      <c r="Q229" s="72">
        <f t="shared" si="25"/>
        <v>3</v>
      </c>
      <c r="R229" s="62">
        <v>3</v>
      </c>
      <c r="S229" s="62">
        <v>3</v>
      </c>
      <c r="T229" s="62"/>
      <c r="U229" s="62">
        <v>3</v>
      </c>
      <c r="V229" s="62"/>
      <c r="W229" s="72">
        <f t="shared" si="26"/>
        <v>3</v>
      </c>
      <c r="X229" s="62">
        <v>3</v>
      </c>
      <c r="Y229" s="62">
        <v>3</v>
      </c>
      <c r="Z229" s="62"/>
      <c r="AA229" s="62"/>
      <c r="AB229" s="62"/>
      <c r="AC229" s="72">
        <f t="shared" si="27"/>
        <v>3</v>
      </c>
      <c r="AD229" s="62">
        <v>3</v>
      </c>
      <c r="AE229" s="62"/>
      <c r="AF229" s="62">
        <v>3</v>
      </c>
      <c r="AG229" s="62"/>
      <c r="AH229" s="62"/>
      <c r="AI229" s="72">
        <f t="shared" si="28"/>
        <v>3</v>
      </c>
      <c r="AJ229" s="62"/>
      <c r="AK229" s="62"/>
      <c r="AL229" s="62"/>
      <c r="AM229" s="62"/>
      <c r="AN229" s="62"/>
      <c r="AO229" s="72" t="str">
        <f t="shared" si="29"/>
        <v>A</v>
      </c>
      <c r="AP229" s="62">
        <v>3</v>
      </c>
      <c r="AQ229" s="62">
        <v>3</v>
      </c>
      <c r="AR229" s="62">
        <v>3</v>
      </c>
      <c r="AS229" s="62"/>
      <c r="AT229" s="62"/>
      <c r="AU229" s="72">
        <f t="shared" si="30"/>
        <v>3</v>
      </c>
      <c r="AV229" s="62"/>
      <c r="AW229" s="62"/>
      <c r="AX229" s="62">
        <v>3</v>
      </c>
      <c r="AY229" s="62">
        <v>3</v>
      </c>
      <c r="AZ229" s="62">
        <v>3</v>
      </c>
      <c r="BA229" s="72">
        <f t="shared" si="31"/>
        <v>3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3</v>
      </c>
      <c r="M230" s="62">
        <v>3</v>
      </c>
      <c r="N230" s="62">
        <v>2</v>
      </c>
      <c r="O230" s="62">
        <v>3</v>
      </c>
      <c r="P230" s="62">
        <v>3</v>
      </c>
      <c r="Q230" s="72">
        <f t="shared" si="25"/>
        <v>2.8</v>
      </c>
      <c r="R230" s="62">
        <v>2</v>
      </c>
      <c r="S230" s="62">
        <v>2</v>
      </c>
      <c r="T230" s="7"/>
      <c r="U230" s="62">
        <v>2</v>
      </c>
      <c r="V230" s="7"/>
      <c r="W230" s="72">
        <f t="shared" si="26"/>
        <v>2</v>
      </c>
      <c r="X230" s="62">
        <v>3</v>
      </c>
      <c r="Y230" s="62">
        <v>3</v>
      </c>
      <c r="Z230" s="7"/>
      <c r="AA230" s="7"/>
      <c r="AB230" s="7"/>
      <c r="AC230" s="72">
        <f t="shared" si="27"/>
        <v>3</v>
      </c>
      <c r="AD230" s="62">
        <v>3</v>
      </c>
      <c r="AE230" s="7"/>
      <c r="AF230" s="62">
        <v>3</v>
      </c>
      <c r="AG230" s="7"/>
      <c r="AH230" s="7"/>
      <c r="AI230" s="72">
        <f t="shared" si="28"/>
        <v>3</v>
      </c>
      <c r="AJ230" s="7"/>
      <c r="AK230" s="7"/>
      <c r="AL230" s="7"/>
      <c r="AM230" s="7"/>
      <c r="AN230" s="7"/>
      <c r="AO230" s="72" t="str">
        <f t="shared" si="29"/>
        <v>A</v>
      </c>
      <c r="AP230" s="62">
        <v>3</v>
      </c>
      <c r="AQ230" s="62">
        <v>3</v>
      </c>
      <c r="AR230" s="62">
        <v>3</v>
      </c>
      <c r="AS230" s="7"/>
      <c r="AT230" s="7"/>
      <c r="AU230" s="72">
        <f t="shared" si="30"/>
        <v>3</v>
      </c>
      <c r="AV230" s="7"/>
      <c r="AW230" s="7"/>
      <c r="AX230" s="62">
        <v>3</v>
      </c>
      <c r="AY230" s="62">
        <v>3</v>
      </c>
      <c r="AZ230" s="62">
        <v>3</v>
      </c>
      <c r="BA230" s="72">
        <f t="shared" si="31"/>
        <v>3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Q1:Q2"/>
    <mergeCell ref="A1:A2"/>
    <mergeCell ref="B1:B2"/>
    <mergeCell ref="C1:C2"/>
    <mergeCell ref="D1:D2"/>
    <mergeCell ref="E1:E2"/>
    <mergeCell ref="F1:J1"/>
    <mergeCell ref="K1:K2"/>
    <mergeCell ref="L1:P1"/>
    <mergeCell ref="BA1:BA2"/>
    <mergeCell ref="R1:V1"/>
    <mergeCell ref="W1:W2"/>
    <mergeCell ref="X1:AB1"/>
    <mergeCell ref="AC1:AC2"/>
    <mergeCell ref="AD1:AH1"/>
    <mergeCell ref="AI1:AI2"/>
    <mergeCell ref="AJ1:AN1"/>
    <mergeCell ref="AO1:AO2"/>
    <mergeCell ref="AP1:AT1"/>
    <mergeCell ref="AU1:AU2"/>
    <mergeCell ref="AV1:AZ1"/>
  </mergeCells>
  <conditionalFormatting sqref="K3:K230">
    <cfRule type="containsText" dxfId="68" priority="26" operator="containsText" text="A">
      <formula>NOT(ISERROR(SEARCH("A",K3)))</formula>
    </cfRule>
  </conditionalFormatting>
  <conditionalFormatting sqref="Q3:Q230">
    <cfRule type="containsText" dxfId="67" priority="1" operator="containsText" text="A">
      <formula>NOT(ISERROR(SEARCH("A",Q3)))</formula>
    </cfRule>
  </conditionalFormatting>
  <conditionalFormatting sqref="W3:W230">
    <cfRule type="containsText" dxfId="66" priority="11" operator="containsText" text="A">
      <formula>NOT(ISERROR(SEARCH("A",W3)))</formula>
    </cfRule>
  </conditionalFormatting>
  <conditionalFormatting sqref="AC3:AC230">
    <cfRule type="containsText" dxfId="65" priority="2" operator="containsText" text="A">
      <formula>NOT(ISERROR(SEARCH("A",AC3)))</formula>
    </cfRule>
  </conditionalFormatting>
  <conditionalFormatting sqref="AI3:AI230">
    <cfRule type="containsText" dxfId="64" priority="3" operator="containsText" text="A">
      <formula>NOT(ISERROR(SEARCH("A",AI3)))</formula>
    </cfRule>
  </conditionalFormatting>
  <conditionalFormatting sqref="AO3:AO230">
    <cfRule type="containsText" dxfId="63" priority="8" operator="containsText" text="A">
      <formula>NOT(ISERROR(SEARCH("A",AO3)))</formula>
    </cfRule>
  </conditionalFormatting>
  <conditionalFormatting sqref="AU3:AU230">
    <cfRule type="containsText" dxfId="62" priority="4" operator="containsText" text="A">
      <formula>NOT(ISERROR(SEARCH("A",AU3)))</formula>
    </cfRule>
  </conditionalFormatting>
  <conditionalFormatting sqref="BA3:BA230">
    <cfRule type="containsText" dxfId="61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A074-E156-431D-B03F-DF885CC9BBA9}">
  <dimension ref="A1:BC232"/>
  <sheetViews>
    <sheetView topLeftCell="AS1" workbookViewId="0">
      <selection activeCell="AX3" sqref="AX3:AZ230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3</v>
      </c>
      <c r="M3" s="62">
        <v>3</v>
      </c>
      <c r="N3" s="62">
        <v>3</v>
      </c>
      <c r="O3" s="62">
        <v>3</v>
      </c>
      <c r="P3" s="62">
        <v>3</v>
      </c>
      <c r="Q3" s="72">
        <f>IFERROR(AVERAGE(M3,N3,L3,O3,P3),"A")</f>
        <v>3</v>
      </c>
      <c r="R3" s="62">
        <v>2</v>
      </c>
      <c r="S3" s="62">
        <v>2</v>
      </c>
      <c r="T3" s="62"/>
      <c r="U3" s="62">
        <v>2</v>
      </c>
      <c r="V3" s="62"/>
      <c r="W3" s="72">
        <f>IFERROR(AVERAGE(R3,S3,U3),"A")</f>
        <v>2</v>
      </c>
      <c r="X3" s="62">
        <v>3</v>
      </c>
      <c r="Y3" s="62">
        <v>2</v>
      </c>
      <c r="Z3" s="62"/>
      <c r="AA3" s="62"/>
      <c r="AB3" s="62"/>
      <c r="AC3" s="72">
        <f>IFERROR(AVERAGE(Y3,X3),"A")</f>
        <v>2.5</v>
      </c>
      <c r="AD3" s="62">
        <v>2</v>
      </c>
      <c r="AE3" s="62"/>
      <c r="AF3" s="62">
        <v>2</v>
      </c>
      <c r="AG3" s="62"/>
      <c r="AH3" s="62"/>
      <c r="AI3" s="72">
        <f>IFERROR(AVERAGE(AF3,AD3),"A")</f>
        <v>2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>
        <v>2</v>
      </c>
      <c r="AQ3" s="62">
        <v>2</v>
      </c>
      <c r="AR3" s="62">
        <v>2</v>
      </c>
      <c r="AS3" s="62"/>
      <c r="AT3" s="62"/>
      <c r="AU3" s="72">
        <f>IFERROR(AVERAGE(AR3,AQ3,AP3),"A")</f>
        <v>2</v>
      </c>
      <c r="AV3" s="62"/>
      <c r="AW3" s="62"/>
      <c r="AX3" s="62">
        <v>2</v>
      </c>
      <c r="AY3" s="62">
        <v>3</v>
      </c>
      <c r="AZ3" s="62">
        <v>3</v>
      </c>
      <c r="BA3" s="72">
        <f>IFERROR(AVERAGE(AX3,AY3,AZ3),"A")</f>
        <v>2.6666666666666665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3</v>
      </c>
      <c r="M4" s="62">
        <v>3</v>
      </c>
      <c r="N4" s="62">
        <v>3</v>
      </c>
      <c r="O4" s="62">
        <v>3</v>
      </c>
      <c r="P4" s="62">
        <v>3</v>
      </c>
      <c r="Q4" s="72">
        <f t="shared" ref="Q4:Q67" si="1">IFERROR(AVERAGE(M4,N4,L4,O4,P4),"A")</f>
        <v>3</v>
      </c>
      <c r="R4" s="62">
        <v>3</v>
      </c>
      <c r="S4" s="62">
        <v>3</v>
      </c>
      <c r="T4" s="7"/>
      <c r="U4" s="62">
        <v>2</v>
      </c>
      <c r="V4" s="7"/>
      <c r="W4" s="72">
        <f t="shared" ref="W4:W67" si="2">IFERROR(AVERAGE(R4,S4,U4),"A")</f>
        <v>2.6666666666666665</v>
      </c>
      <c r="X4" s="62">
        <v>1</v>
      </c>
      <c r="Y4" s="62">
        <v>2</v>
      </c>
      <c r="Z4" s="7"/>
      <c r="AA4" s="7"/>
      <c r="AB4" s="7"/>
      <c r="AC4" s="72">
        <f t="shared" ref="AC4:AC67" si="3">IFERROR(AVERAGE(Y4,X4),"A")</f>
        <v>1.5</v>
      </c>
      <c r="AD4" s="62">
        <v>3</v>
      </c>
      <c r="AE4" s="7"/>
      <c r="AF4" s="62">
        <v>2</v>
      </c>
      <c r="AG4" s="7"/>
      <c r="AH4" s="7"/>
      <c r="AI4" s="72">
        <f t="shared" ref="AI4:AI67" si="4">IFERROR(AVERAGE(AF4,AD4),"A")</f>
        <v>2.5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62">
        <v>2</v>
      </c>
      <c r="AQ4" s="62">
        <v>2</v>
      </c>
      <c r="AR4" s="62">
        <v>2</v>
      </c>
      <c r="AS4" s="7"/>
      <c r="AT4" s="7"/>
      <c r="AU4" s="72">
        <f t="shared" ref="AU4:AU67" si="6">IFERROR(AVERAGE(AR4,AQ4,AP4),"A")</f>
        <v>2</v>
      </c>
      <c r="AV4" s="7"/>
      <c r="AW4" s="7"/>
      <c r="AX4" s="62">
        <v>1</v>
      </c>
      <c r="AY4" s="62">
        <v>3</v>
      </c>
      <c r="AZ4" s="62">
        <v>4</v>
      </c>
      <c r="BA4" s="72">
        <f t="shared" ref="BA4:BA67" si="7">IFERROR(AVERAGE(AX4,AY4,AZ4),"A")</f>
        <v>2.6666666666666665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3</v>
      </c>
      <c r="M5" s="62">
        <v>3</v>
      </c>
      <c r="N5" s="62">
        <v>4</v>
      </c>
      <c r="O5" s="62">
        <v>3</v>
      </c>
      <c r="P5" s="62">
        <v>4</v>
      </c>
      <c r="Q5" s="72">
        <f t="shared" si="1"/>
        <v>3.4</v>
      </c>
      <c r="R5" s="62">
        <v>4</v>
      </c>
      <c r="S5" s="62">
        <v>3</v>
      </c>
      <c r="T5" s="62"/>
      <c r="U5" s="62">
        <v>3</v>
      </c>
      <c r="V5" s="62"/>
      <c r="W5" s="72">
        <f t="shared" si="2"/>
        <v>3.3333333333333335</v>
      </c>
      <c r="X5" s="62">
        <v>2</v>
      </c>
      <c r="Y5" s="62">
        <v>1</v>
      </c>
      <c r="Z5" s="62"/>
      <c r="AA5" s="62"/>
      <c r="AB5" s="62"/>
      <c r="AC5" s="72">
        <f t="shared" si="3"/>
        <v>1.5</v>
      </c>
      <c r="AD5" s="62">
        <v>2</v>
      </c>
      <c r="AE5" s="62"/>
      <c r="AF5" s="62">
        <v>1</v>
      </c>
      <c r="AG5" s="62"/>
      <c r="AH5" s="62"/>
      <c r="AI5" s="72">
        <f t="shared" si="4"/>
        <v>1.5</v>
      </c>
      <c r="AJ5" s="62"/>
      <c r="AK5" s="62"/>
      <c r="AL5" s="62"/>
      <c r="AM5" s="62"/>
      <c r="AN5" s="62"/>
      <c r="AO5" s="72" t="str">
        <f t="shared" si="5"/>
        <v>A</v>
      </c>
      <c r="AP5" s="62">
        <v>2</v>
      </c>
      <c r="AQ5" s="62">
        <v>2</v>
      </c>
      <c r="AR5" s="62">
        <v>2</v>
      </c>
      <c r="AS5" s="62"/>
      <c r="AT5" s="62"/>
      <c r="AU5" s="72">
        <f t="shared" si="6"/>
        <v>2</v>
      </c>
      <c r="AV5" s="62"/>
      <c r="AW5" s="62"/>
      <c r="AX5" s="62">
        <v>1</v>
      </c>
      <c r="AY5" s="62">
        <v>3</v>
      </c>
      <c r="AZ5" s="62">
        <v>3</v>
      </c>
      <c r="BA5" s="72">
        <f t="shared" si="7"/>
        <v>2.3333333333333335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2</v>
      </c>
      <c r="M6" s="62">
        <v>2</v>
      </c>
      <c r="N6" s="62">
        <v>2</v>
      </c>
      <c r="O6" s="62">
        <v>3</v>
      </c>
      <c r="P6" s="62">
        <v>1</v>
      </c>
      <c r="Q6" s="72">
        <f t="shared" si="1"/>
        <v>2</v>
      </c>
      <c r="R6" s="62">
        <v>2</v>
      </c>
      <c r="S6" s="62">
        <v>2</v>
      </c>
      <c r="T6" s="7"/>
      <c r="U6" s="62">
        <v>2</v>
      </c>
      <c r="V6" s="7"/>
      <c r="W6" s="72">
        <f t="shared" si="2"/>
        <v>2</v>
      </c>
      <c r="X6" s="62">
        <v>2</v>
      </c>
      <c r="Y6" s="62">
        <v>2</v>
      </c>
      <c r="Z6" s="7"/>
      <c r="AA6" s="7"/>
      <c r="AB6" s="7"/>
      <c r="AC6" s="72">
        <f t="shared" si="3"/>
        <v>2</v>
      </c>
      <c r="AD6" s="62">
        <v>1</v>
      </c>
      <c r="AE6" s="7"/>
      <c r="AF6" s="62">
        <v>1</v>
      </c>
      <c r="AG6" s="7"/>
      <c r="AH6" s="7"/>
      <c r="AI6" s="72">
        <f t="shared" si="4"/>
        <v>1</v>
      </c>
      <c r="AJ6" s="7"/>
      <c r="AK6" s="7"/>
      <c r="AL6" s="7"/>
      <c r="AM6" s="7"/>
      <c r="AN6" s="7"/>
      <c r="AO6" s="72" t="str">
        <f t="shared" si="5"/>
        <v>A</v>
      </c>
      <c r="AP6" s="62">
        <v>3</v>
      </c>
      <c r="AQ6" s="62">
        <v>3</v>
      </c>
      <c r="AR6" s="62">
        <v>3</v>
      </c>
      <c r="AS6" s="7"/>
      <c r="AT6" s="7"/>
      <c r="AU6" s="72">
        <f t="shared" si="6"/>
        <v>3</v>
      </c>
      <c r="AV6" s="7"/>
      <c r="AW6" s="7"/>
      <c r="AX6" s="62">
        <v>2</v>
      </c>
      <c r="AY6" s="62">
        <v>2</v>
      </c>
      <c r="AZ6" s="62">
        <v>2</v>
      </c>
      <c r="BA6" s="72">
        <f t="shared" si="7"/>
        <v>2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3</v>
      </c>
      <c r="M7" s="62">
        <v>3</v>
      </c>
      <c r="N7" s="62">
        <v>3</v>
      </c>
      <c r="O7" s="62">
        <v>3</v>
      </c>
      <c r="P7" s="62">
        <v>3</v>
      </c>
      <c r="Q7" s="72">
        <f t="shared" si="1"/>
        <v>3</v>
      </c>
      <c r="R7" s="62">
        <v>3</v>
      </c>
      <c r="S7" s="62">
        <v>3</v>
      </c>
      <c r="T7" s="62"/>
      <c r="U7" s="62">
        <v>2</v>
      </c>
      <c r="V7" s="62"/>
      <c r="W7" s="72">
        <f t="shared" si="2"/>
        <v>2.6666666666666665</v>
      </c>
      <c r="X7" s="62">
        <v>2</v>
      </c>
      <c r="Y7" s="62">
        <v>2</v>
      </c>
      <c r="Z7" s="62"/>
      <c r="AA7" s="62"/>
      <c r="AB7" s="62"/>
      <c r="AC7" s="72">
        <f t="shared" si="3"/>
        <v>2</v>
      </c>
      <c r="AD7" s="62">
        <v>3</v>
      </c>
      <c r="AE7" s="62"/>
      <c r="AF7" s="62">
        <v>0</v>
      </c>
      <c r="AG7" s="62"/>
      <c r="AH7" s="62"/>
      <c r="AI7" s="72">
        <f t="shared" si="4"/>
        <v>1.5</v>
      </c>
      <c r="AJ7" s="62"/>
      <c r="AK7" s="62"/>
      <c r="AL7" s="62"/>
      <c r="AM7" s="62"/>
      <c r="AN7" s="62"/>
      <c r="AO7" s="72" t="str">
        <f t="shared" si="5"/>
        <v>A</v>
      </c>
      <c r="AP7" s="62">
        <v>4</v>
      </c>
      <c r="AQ7" s="62">
        <v>2</v>
      </c>
      <c r="AR7" s="62">
        <v>2</v>
      </c>
      <c r="AS7" s="62"/>
      <c r="AT7" s="62"/>
      <c r="AU7" s="72">
        <f t="shared" si="6"/>
        <v>2.6666666666666665</v>
      </c>
      <c r="AV7" s="62"/>
      <c r="AW7" s="62"/>
      <c r="AX7" s="62">
        <v>2</v>
      </c>
      <c r="AY7" s="62">
        <v>5</v>
      </c>
      <c r="AZ7" s="62">
        <v>4</v>
      </c>
      <c r="BA7" s="72">
        <f t="shared" si="7"/>
        <v>3.6666666666666665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2</v>
      </c>
      <c r="M8" s="62">
        <v>3</v>
      </c>
      <c r="N8" s="62">
        <v>3</v>
      </c>
      <c r="O8" s="62">
        <v>3</v>
      </c>
      <c r="P8" s="62">
        <v>2</v>
      </c>
      <c r="Q8" s="72">
        <f t="shared" si="1"/>
        <v>2.6</v>
      </c>
      <c r="R8" s="62">
        <v>2</v>
      </c>
      <c r="S8" s="62">
        <v>2</v>
      </c>
      <c r="T8" s="7"/>
      <c r="U8" s="62">
        <v>2</v>
      </c>
      <c r="V8" s="7"/>
      <c r="W8" s="72">
        <f t="shared" si="2"/>
        <v>2</v>
      </c>
      <c r="X8" s="62">
        <v>2</v>
      </c>
      <c r="Y8" s="62">
        <v>2</v>
      </c>
      <c r="Z8" s="7"/>
      <c r="AA8" s="7"/>
      <c r="AB8" s="7"/>
      <c r="AC8" s="72">
        <f t="shared" si="3"/>
        <v>2</v>
      </c>
      <c r="AD8" s="62">
        <v>2</v>
      </c>
      <c r="AE8" s="7"/>
      <c r="AF8" s="62">
        <v>2</v>
      </c>
      <c r="AG8" s="7"/>
      <c r="AH8" s="7"/>
      <c r="AI8" s="72">
        <f t="shared" si="4"/>
        <v>2</v>
      </c>
      <c r="AJ8" s="7"/>
      <c r="AK8" s="7"/>
      <c r="AL8" s="7"/>
      <c r="AM8" s="7"/>
      <c r="AN8" s="7"/>
      <c r="AO8" s="72" t="str">
        <f t="shared" si="5"/>
        <v>A</v>
      </c>
      <c r="AP8" s="62">
        <v>2</v>
      </c>
      <c r="AQ8" s="62">
        <v>2</v>
      </c>
      <c r="AR8" s="62">
        <v>2</v>
      </c>
      <c r="AS8" s="7"/>
      <c r="AT8" s="7"/>
      <c r="AU8" s="72">
        <f t="shared" si="6"/>
        <v>2</v>
      </c>
      <c r="AV8" s="7"/>
      <c r="AW8" s="7"/>
      <c r="AX8" s="62">
        <v>2</v>
      </c>
      <c r="AY8" s="62">
        <v>2</v>
      </c>
      <c r="AZ8" s="62">
        <v>2</v>
      </c>
      <c r="BA8" s="72">
        <f t="shared" si="7"/>
        <v>2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2</v>
      </c>
      <c r="M9" s="62">
        <v>3</v>
      </c>
      <c r="N9" s="62">
        <v>3</v>
      </c>
      <c r="O9" s="62">
        <v>3</v>
      </c>
      <c r="P9" s="62">
        <v>2</v>
      </c>
      <c r="Q9" s="72">
        <f t="shared" si="1"/>
        <v>2.6</v>
      </c>
      <c r="R9" s="62">
        <v>2</v>
      </c>
      <c r="S9" s="62">
        <v>3</v>
      </c>
      <c r="T9" s="62"/>
      <c r="U9" s="62">
        <v>3</v>
      </c>
      <c r="V9" s="62"/>
      <c r="W9" s="72">
        <f t="shared" si="2"/>
        <v>2.6666666666666665</v>
      </c>
      <c r="X9" s="62">
        <v>3</v>
      </c>
      <c r="Y9" s="62">
        <v>3</v>
      </c>
      <c r="Z9" s="62"/>
      <c r="AA9" s="62"/>
      <c r="AB9" s="62"/>
      <c r="AC9" s="72">
        <f t="shared" si="3"/>
        <v>3</v>
      </c>
      <c r="AD9" s="62">
        <v>3</v>
      </c>
      <c r="AE9" s="62"/>
      <c r="AF9" s="62">
        <v>3</v>
      </c>
      <c r="AG9" s="62"/>
      <c r="AH9" s="62"/>
      <c r="AI9" s="72">
        <f t="shared" si="4"/>
        <v>3</v>
      </c>
      <c r="AJ9" s="62"/>
      <c r="AK9" s="62"/>
      <c r="AL9" s="62"/>
      <c r="AM9" s="62"/>
      <c r="AN9" s="62"/>
      <c r="AO9" s="72" t="str">
        <f t="shared" si="5"/>
        <v>A</v>
      </c>
      <c r="AP9" s="62">
        <v>1</v>
      </c>
      <c r="AQ9" s="62">
        <v>1</v>
      </c>
      <c r="AR9" s="62">
        <v>1</v>
      </c>
      <c r="AS9" s="62"/>
      <c r="AT9" s="62"/>
      <c r="AU9" s="72">
        <f t="shared" si="6"/>
        <v>1</v>
      </c>
      <c r="AV9" s="62"/>
      <c r="AW9" s="62"/>
      <c r="AX9" s="62">
        <v>2</v>
      </c>
      <c r="AY9" s="62">
        <v>3</v>
      </c>
      <c r="AZ9" s="62">
        <v>3</v>
      </c>
      <c r="BA9" s="72">
        <f t="shared" si="7"/>
        <v>2.6666666666666665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3</v>
      </c>
      <c r="M10" s="62">
        <v>3</v>
      </c>
      <c r="N10" s="62">
        <v>3</v>
      </c>
      <c r="O10" s="62">
        <v>3</v>
      </c>
      <c r="P10" s="62">
        <v>3</v>
      </c>
      <c r="Q10" s="72">
        <f t="shared" si="1"/>
        <v>3</v>
      </c>
      <c r="R10" s="62">
        <v>3</v>
      </c>
      <c r="S10" s="62">
        <v>3</v>
      </c>
      <c r="T10" s="7"/>
      <c r="U10" s="62">
        <v>2</v>
      </c>
      <c r="V10" s="7"/>
      <c r="W10" s="72">
        <f t="shared" si="2"/>
        <v>2.6666666666666665</v>
      </c>
      <c r="X10" s="62">
        <v>2</v>
      </c>
      <c r="Y10" s="62">
        <v>2</v>
      </c>
      <c r="Z10" s="7"/>
      <c r="AA10" s="7"/>
      <c r="AB10" s="7"/>
      <c r="AC10" s="72">
        <f t="shared" si="3"/>
        <v>2</v>
      </c>
      <c r="AD10" s="62">
        <v>3</v>
      </c>
      <c r="AE10" s="7"/>
      <c r="AF10" s="62">
        <v>0</v>
      </c>
      <c r="AG10" s="7"/>
      <c r="AH10" s="7"/>
      <c r="AI10" s="72">
        <f t="shared" si="4"/>
        <v>1.5</v>
      </c>
      <c r="AJ10" s="7"/>
      <c r="AK10" s="7"/>
      <c r="AL10" s="7"/>
      <c r="AM10" s="7"/>
      <c r="AN10" s="7"/>
      <c r="AO10" s="72" t="str">
        <f t="shared" si="5"/>
        <v>A</v>
      </c>
      <c r="AP10" s="62">
        <v>4</v>
      </c>
      <c r="AQ10" s="62">
        <v>2</v>
      </c>
      <c r="AR10" s="62">
        <v>2</v>
      </c>
      <c r="AS10" s="7"/>
      <c r="AT10" s="7"/>
      <c r="AU10" s="72">
        <f t="shared" si="6"/>
        <v>2.6666666666666665</v>
      </c>
      <c r="AV10" s="7"/>
      <c r="AW10" s="7"/>
      <c r="AX10" s="62">
        <v>2</v>
      </c>
      <c r="AY10" s="62">
        <v>5</v>
      </c>
      <c r="AZ10" s="62">
        <v>4</v>
      </c>
      <c r="BA10" s="72">
        <f t="shared" si="7"/>
        <v>3.6666666666666665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2</v>
      </c>
      <c r="M11" s="62">
        <v>3</v>
      </c>
      <c r="N11" s="62">
        <v>3</v>
      </c>
      <c r="O11" s="62">
        <v>3</v>
      </c>
      <c r="P11" s="62">
        <v>3</v>
      </c>
      <c r="Q11" s="72">
        <f t="shared" si="1"/>
        <v>2.8</v>
      </c>
      <c r="R11" s="62">
        <v>2</v>
      </c>
      <c r="S11" s="62">
        <v>2</v>
      </c>
      <c r="T11" s="62"/>
      <c r="U11" s="62">
        <v>3</v>
      </c>
      <c r="V11" s="62"/>
      <c r="W11" s="72">
        <f t="shared" si="2"/>
        <v>2.3333333333333335</v>
      </c>
      <c r="X11" s="62">
        <v>4</v>
      </c>
      <c r="Y11" s="62">
        <v>4</v>
      </c>
      <c r="Z11" s="62"/>
      <c r="AA11" s="62"/>
      <c r="AB11" s="62"/>
      <c r="AC11" s="72">
        <f t="shared" si="3"/>
        <v>4</v>
      </c>
      <c r="AD11" s="62">
        <v>2</v>
      </c>
      <c r="AE11" s="62"/>
      <c r="AF11" s="62">
        <v>3</v>
      </c>
      <c r="AG11" s="62"/>
      <c r="AH11" s="62"/>
      <c r="AI11" s="72">
        <f t="shared" si="4"/>
        <v>2.5</v>
      </c>
      <c r="AJ11" s="62"/>
      <c r="AK11" s="62"/>
      <c r="AL11" s="62"/>
      <c r="AM11" s="62"/>
      <c r="AN11" s="62"/>
      <c r="AO11" s="72" t="str">
        <f t="shared" si="5"/>
        <v>A</v>
      </c>
      <c r="AP11" s="62">
        <v>3</v>
      </c>
      <c r="AQ11" s="62">
        <v>3</v>
      </c>
      <c r="AR11" s="62">
        <v>4</v>
      </c>
      <c r="AS11" s="62"/>
      <c r="AT11" s="62"/>
      <c r="AU11" s="72">
        <f t="shared" si="6"/>
        <v>3.3333333333333335</v>
      </c>
      <c r="AV11" s="62"/>
      <c r="AW11" s="62"/>
      <c r="AX11" s="62">
        <v>2</v>
      </c>
      <c r="AY11" s="62">
        <v>3</v>
      </c>
      <c r="AZ11" s="62">
        <v>3</v>
      </c>
      <c r="BA11" s="72">
        <f t="shared" si="7"/>
        <v>2.6666666666666665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3</v>
      </c>
      <c r="M12" s="62">
        <v>4</v>
      </c>
      <c r="N12" s="62">
        <v>4</v>
      </c>
      <c r="O12" s="62">
        <v>3</v>
      </c>
      <c r="P12" s="62">
        <v>4</v>
      </c>
      <c r="Q12" s="72">
        <f t="shared" si="1"/>
        <v>3.6</v>
      </c>
      <c r="R12" s="62">
        <v>3</v>
      </c>
      <c r="S12" s="62">
        <v>3</v>
      </c>
      <c r="T12" s="7"/>
      <c r="U12" s="62">
        <v>3</v>
      </c>
      <c r="V12" s="7"/>
      <c r="W12" s="72">
        <f t="shared" si="2"/>
        <v>3</v>
      </c>
      <c r="X12" s="62">
        <v>2</v>
      </c>
      <c r="Y12" s="62">
        <v>2</v>
      </c>
      <c r="Z12" s="7"/>
      <c r="AA12" s="7"/>
      <c r="AB12" s="7"/>
      <c r="AC12" s="72">
        <f t="shared" si="3"/>
        <v>2</v>
      </c>
      <c r="AD12" s="62">
        <v>3</v>
      </c>
      <c r="AE12" s="7"/>
      <c r="AF12" s="62">
        <v>2</v>
      </c>
      <c r="AG12" s="7"/>
      <c r="AH12" s="7"/>
      <c r="AI12" s="72">
        <f t="shared" si="4"/>
        <v>2.5</v>
      </c>
      <c r="AJ12" s="7"/>
      <c r="AK12" s="7"/>
      <c r="AL12" s="7"/>
      <c r="AM12" s="7"/>
      <c r="AN12" s="7"/>
      <c r="AO12" s="72" t="str">
        <f t="shared" si="5"/>
        <v>A</v>
      </c>
      <c r="AP12" s="62">
        <v>1</v>
      </c>
      <c r="AQ12" s="62">
        <v>1</v>
      </c>
      <c r="AR12" s="62">
        <v>2</v>
      </c>
      <c r="AS12" s="7"/>
      <c r="AT12" s="7"/>
      <c r="AU12" s="72">
        <f t="shared" si="6"/>
        <v>1.3333333333333333</v>
      </c>
      <c r="AV12" s="7"/>
      <c r="AW12" s="7"/>
      <c r="AX12" s="62">
        <v>2</v>
      </c>
      <c r="AY12" s="62">
        <v>2</v>
      </c>
      <c r="AZ12" s="62">
        <v>2</v>
      </c>
      <c r="BA12" s="72">
        <f t="shared" si="7"/>
        <v>2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2</v>
      </c>
      <c r="M13" s="62">
        <v>2</v>
      </c>
      <c r="N13" s="62">
        <v>2</v>
      </c>
      <c r="O13" s="62">
        <v>2</v>
      </c>
      <c r="P13" s="62">
        <v>2</v>
      </c>
      <c r="Q13" s="72">
        <f t="shared" si="1"/>
        <v>2</v>
      </c>
      <c r="R13" s="62">
        <v>2</v>
      </c>
      <c r="S13" s="62">
        <v>2</v>
      </c>
      <c r="T13" s="62"/>
      <c r="U13" s="62">
        <v>2</v>
      </c>
      <c r="V13" s="62"/>
      <c r="W13" s="72">
        <f t="shared" si="2"/>
        <v>2</v>
      </c>
      <c r="X13" s="62">
        <v>2</v>
      </c>
      <c r="Y13" s="62">
        <v>2</v>
      </c>
      <c r="Z13" s="62"/>
      <c r="AA13" s="62"/>
      <c r="AB13" s="62"/>
      <c r="AC13" s="72">
        <f t="shared" si="3"/>
        <v>2</v>
      </c>
      <c r="AD13" s="62">
        <v>2</v>
      </c>
      <c r="AE13" s="62"/>
      <c r="AF13" s="62">
        <v>2</v>
      </c>
      <c r="AG13" s="62"/>
      <c r="AH13" s="62"/>
      <c r="AI13" s="72">
        <f t="shared" si="4"/>
        <v>2</v>
      </c>
      <c r="AJ13" s="62"/>
      <c r="AK13" s="62"/>
      <c r="AL13" s="62"/>
      <c r="AM13" s="62"/>
      <c r="AN13" s="62"/>
      <c r="AO13" s="72" t="str">
        <f t="shared" si="5"/>
        <v>A</v>
      </c>
      <c r="AP13" s="62">
        <v>2</v>
      </c>
      <c r="AQ13" s="62">
        <v>2</v>
      </c>
      <c r="AR13" s="62">
        <v>2</v>
      </c>
      <c r="AS13" s="62"/>
      <c r="AT13" s="62"/>
      <c r="AU13" s="72">
        <f t="shared" si="6"/>
        <v>2</v>
      </c>
      <c r="AV13" s="62"/>
      <c r="AW13" s="62"/>
      <c r="AX13" s="62">
        <v>2</v>
      </c>
      <c r="AY13" s="62">
        <v>2</v>
      </c>
      <c r="AZ13" s="62">
        <v>2</v>
      </c>
      <c r="BA13" s="72">
        <f t="shared" si="7"/>
        <v>2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3</v>
      </c>
      <c r="M14" s="62">
        <v>3</v>
      </c>
      <c r="N14" s="62">
        <v>3</v>
      </c>
      <c r="O14" s="62">
        <v>3</v>
      </c>
      <c r="P14" s="62">
        <v>3</v>
      </c>
      <c r="Q14" s="72">
        <f t="shared" si="1"/>
        <v>3</v>
      </c>
      <c r="R14" s="62">
        <v>3</v>
      </c>
      <c r="S14" s="62">
        <v>3</v>
      </c>
      <c r="T14" s="7"/>
      <c r="U14" s="62">
        <v>3</v>
      </c>
      <c r="V14" s="7"/>
      <c r="W14" s="72">
        <f t="shared" si="2"/>
        <v>3</v>
      </c>
      <c r="X14" s="62">
        <v>3</v>
      </c>
      <c r="Y14" s="62">
        <v>3</v>
      </c>
      <c r="Z14" s="7"/>
      <c r="AA14" s="7"/>
      <c r="AB14" s="7"/>
      <c r="AC14" s="72">
        <f t="shared" si="3"/>
        <v>3</v>
      </c>
      <c r="AD14" s="62">
        <v>3</v>
      </c>
      <c r="AE14" s="7"/>
      <c r="AF14" s="62">
        <v>3</v>
      </c>
      <c r="AG14" s="7"/>
      <c r="AH14" s="7"/>
      <c r="AI14" s="72">
        <f t="shared" si="4"/>
        <v>3</v>
      </c>
      <c r="AJ14" s="7"/>
      <c r="AK14" s="7"/>
      <c r="AL14" s="7"/>
      <c r="AM14" s="7"/>
      <c r="AN14" s="7"/>
      <c r="AO14" s="72" t="str">
        <f t="shared" si="5"/>
        <v>A</v>
      </c>
      <c r="AP14" s="62">
        <v>3</v>
      </c>
      <c r="AQ14" s="62">
        <v>3</v>
      </c>
      <c r="AR14" s="62">
        <v>3</v>
      </c>
      <c r="AS14" s="7"/>
      <c r="AT14" s="7"/>
      <c r="AU14" s="72">
        <f t="shared" si="6"/>
        <v>3</v>
      </c>
      <c r="AV14" s="7"/>
      <c r="AW14" s="7"/>
      <c r="AX14" s="62">
        <v>3</v>
      </c>
      <c r="AY14" s="62">
        <v>3</v>
      </c>
      <c r="AZ14" s="62">
        <v>3</v>
      </c>
      <c r="BA14" s="72">
        <f t="shared" si="7"/>
        <v>3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2</v>
      </c>
      <c r="M15" s="62">
        <v>2</v>
      </c>
      <c r="N15" s="62">
        <v>2</v>
      </c>
      <c r="O15" s="62">
        <v>3</v>
      </c>
      <c r="P15" s="62">
        <v>1</v>
      </c>
      <c r="Q15" s="72">
        <f t="shared" si="1"/>
        <v>2</v>
      </c>
      <c r="R15" s="62">
        <v>3</v>
      </c>
      <c r="S15" s="62">
        <v>3</v>
      </c>
      <c r="T15" s="62"/>
      <c r="U15" s="62">
        <v>3</v>
      </c>
      <c r="V15" s="62"/>
      <c r="W15" s="72">
        <f t="shared" si="2"/>
        <v>3</v>
      </c>
      <c r="X15" s="62">
        <v>3</v>
      </c>
      <c r="Y15" s="62">
        <v>2</v>
      </c>
      <c r="Z15" s="62"/>
      <c r="AA15" s="62"/>
      <c r="AB15" s="62"/>
      <c r="AC15" s="72">
        <f t="shared" si="3"/>
        <v>2.5</v>
      </c>
      <c r="AD15" s="62">
        <v>3</v>
      </c>
      <c r="AE15" s="62"/>
      <c r="AF15" s="62">
        <v>3</v>
      </c>
      <c r="AG15" s="62"/>
      <c r="AH15" s="62"/>
      <c r="AI15" s="72">
        <f t="shared" si="4"/>
        <v>3</v>
      </c>
      <c r="AJ15" s="62"/>
      <c r="AK15" s="62"/>
      <c r="AL15" s="62"/>
      <c r="AM15" s="62"/>
      <c r="AN15" s="62"/>
      <c r="AO15" s="72" t="str">
        <f t="shared" si="5"/>
        <v>A</v>
      </c>
      <c r="AP15" s="62">
        <v>1</v>
      </c>
      <c r="AQ15" s="62">
        <v>1</v>
      </c>
      <c r="AR15" s="62">
        <v>1</v>
      </c>
      <c r="AS15" s="62"/>
      <c r="AT15" s="62"/>
      <c r="AU15" s="72">
        <f t="shared" si="6"/>
        <v>1</v>
      </c>
      <c r="AV15" s="62"/>
      <c r="AW15" s="62"/>
      <c r="AX15" s="62">
        <v>5</v>
      </c>
      <c r="AY15" s="62">
        <v>4</v>
      </c>
      <c r="AZ15" s="62">
        <v>4</v>
      </c>
      <c r="BA15" s="72">
        <f t="shared" si="7"/>
        <v>4.333333333333333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2</v>
      </c>
      <c r="M16" s="62">
        <v>2</v>
      </c>
      <c r="N16" s="62">
        <v>2</v>
      </c>
      <c r="O16" s="62">
        <v>2</v>
      </c>
      <c r="P16" s="62">
        <v>2</v>
      </c>
      <c r="Q16" s="72">
        <f t="shared" si="1"/>
        <v>2</v>
      </c>
      <c r="R16" s="62">
        <v>3</v>
      </c>
      <c r="S16" s="62">
        <v>2</v>
      </c>
      <c r="T16" s="7"/>
      <c r="U16" s="62">
        <v>3</v>
      </c>
      <c r="V16" s="7"/>
      <c r="W16" s="72">
        <f t="shared" si="2"/>
        <v>2.6666666666666665</v>
      </c>
      <c r="X16" s="62">
        <v>3</v>
      </c>
      <c r="Y16" s="62">
        <v>2</v>
      </c>
      <c r="Z16" s="7"/>
      <c r="AA16" s="7"/>
      <c r="AB16" s="7"/>
      <c r="AC16" s="72">
        <f t="shared" si="3"/>
        <v>2.5</v>
      </c>
      <c r="AD16" s="62">
        <v>3</v>
      </c>
      <c r="AE16" s="7"/>
      <c r="AF16" s="62">
        <v>2</v>
      </c>
      <c r="AG16" s="7"/>
      <c r="AH16" s="7"/>
      <c r="AI16" s="72">
        <f t="shared" si="4"/>
        <v>2.5</v>
      </c>
      <c r="AJ16" s="7"/>
      <c r="AK16" s="7"/>
      <c r="AL16" s="7"/>
      <c r="AM16" s="7"/>
      <c r="AN16" s="7"/>
      <c r="AO16" s="72" t="str">
        <f t="shared" si="5"/>
        <v>A</v>
      </c>
      <c r="AP16" s="62">
        <v>2</v>
      </c>
      <c r="AQ16" s="62">
        <v>2</v>
      </c>
      <c r="AR16" s="62">
        <v>2</v>
      </c>
      <c r="AS16" s="7"/>
      <c r="AT16" s="7"/>
      <c r="AU16" s="72">
        <f t="shared" si="6"/>
        <v>2</v>
      </c>
      <c r="AV16" s="7"/>
      <c r="AW16" s="7"/>
      <c r="AX16" s="62">
        <v>2</v>
      </c>
      <c r="AY16" s="62">
        <v>2</v>
      </c>
      <c r="AZ16" s="62">
        <v>2</v>
      </c>
      <c r="BA16" s="72">
        <f t="shared" si="7"/>
        <v>2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3</v>
      </c>
      <c r="M17" s="62">
        <v>3</v>
      </c>
      <c r="N17" s="62">
        <v>3</v>
      </c>
      <c r="O17" s="62">
        <v>3</v>
      </c>
      <c r="P17" s="62">
        <v>3</v>
      </c>
      <c r="Q17" s="72">
        <f t="shared" si="1"/>
        <v>3</v>
      </c>
      <c r="R17" s="62">
        <v>3</v>
      </c>
      <c r="S17" s="62">
        <v>3</v>
      </c>
      <c r="T17" s="62"/>
      <c r="U17" s="62">
        <v>2</v>
      </c>
      <c r="V17" s="62"/>
      <c r="W17" s="72">
        <f t="shared" si="2"/>
        <v>2.6666666666666665</v>
      </c>
      <c r="X17" s="62">
        <v>2</v>
      </c>
      <c r="Y17" s="62">
        <v>2</v>
      </c>
      <c r="Z17" s="62"/>
      <c r="AA17" s="62"/>
      <c r="AB17" s="62"/>
      <c r="AC17" s="72">
        <f t="shared" si="3"/>
        <v>2</v>
      </c>
      <c r="AD17" s="62">
        <v>3</v>
      </c>
      <c r="AE17" s="62"/>
      <c r="AF17" s="62">
        <v>0</v>
      </c>
      <c r="AG17" s="62"/>
      <c r="AH17" s="62"/>
      <c r="AI17" s="72">
        <f t="shared" si="4"/>
        <v>1.5</v>
      </c>
      <c r="AJ17" s="62"/>
      <c r="AK17" s="62"/>
      <c r="AL17" s="62"/>
      <c r="AM17" s="62"/>
      <c r="AN17" s="62"/>
      <c r="AO17" s="72" t="str">
        <f t="shared" si="5"/>
        <v>A</v>
      </c>
      <c r="AP17" s="62">
        <v>2</v>
      </c>
      <c r="AQ17" s="62">
        <v>2</v>
      </c>
      <c r="AR17" s="62">
        <v>2</v>
      </c>
      <c r="AS17" s="62"/>
      <c r="AT17" s="62"/>
      <c r="AU17" s="72">
        <f t="shared" si="6"/>
        <v>2</v>
      </c>
      <c r="AV17" s="62"/>
      <c r="AW17" s="62"/>
      <c r="AX17" s="62">
        <v>2</v>
      </c>
      <c r="AY17" s="62">
        <v>2</v>
      </c>
      <c r="AZ17" s="62">
        <v>3</v>
      </c>
      <c r="BA17" s="72">
        <f t="shared" si="7"/>
        <v>2.3333333333333335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1</v>
      </c>
      <c r="M18" s="62">
        <v>1</v>
      </c>
      <c r="N18" s="62">
        <v>1</v>
      </c>
      <c r="O18" s="62">
        <v>3</v>
      </c>
      <c r="P18" s="62">
        <v>1</v>
      </c>
      <c r="Q18" s="72">
        <f t="shared" si="1"/>
        <v>1.4</v>
      </c>
      <c r="R18" s="62">
        <v>1</v>
      </c>
      <c r="S18" s="62">
        <v>1</v>
      </c>
      <c r="T18" s="7"/>
      <c r="U18" s="62">
        <v>1</v>
      </c>
      <c r="V18" s="7"/>
      <c r="W18" s="72">
        <f t="shared" si="2"/>
        <v>1</v>
      </c>
      <c r="X18" s="62">
        <v>1</v>
      </c>
      <c r="Y18" s="62">
        <v>1</v>
      </c>
      <c r="Z18" s="7"/>
      <c r="AA18" s="7"/>
      <c r="AB18" s="7"/>
      <c r="AC18" s="72">
        <f t="shared" si="3"/>
        <v>1</v>
      </c>
      <c r="AD18" s="62">
        <v>1</v>
      </c>
      <c r="AE18" s="7"/>
      <c r="AF18" s="62">
        <v>1</v>
      </c>
      <c r="AG18" s="7"/>
      <c r="AH18" s="7"/>
      <c r="AI18" s="72">
        <f t="shared" si="4"/>
        <v>1</v>
      </c>
      <c r="AJ18" s="7"/>
      <c r="AK18" s="7"/>
      <c r="AL18" s="7"/>
      <c r="AM18" s="7"/>
      <c r="AN18" s="7"/>
      <c r="AO18" s="72" t="str">
        <f t="shared" si="5"/>
        <v>A</v>
      </c>
      <c r="AP18" s="62">
        <v>1</v>
      </c>
      <c r="AQ18" s="62">
        <v>1</v>
      </c>
      <c r="AR18" s="62">
        <v>1</v>
      </c>
      <c r="AS18" s="7"/>
      <c r="AT18" s="7"/>
      <c r="AU18" s="72">
        <f t="shared" si="6"/>
        <v>1</v>
      </c>
      <c r="AV18" s="7"/>
      <c r="AW18" s="7"/>
      <c r="AX18" s="62">
        <v>1</v>
      </c>
      <c r="AY18" s="62">
        <v>1</v>
      </c>
      <c r="AZ18" s="62">
        <v>1</v>
      </c>
      <c r="BA18" s="72">
        <f t="shared" si="7"/>
        <v>1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3</v>
      </c>
      <c r="M19" s="62">
        <v>3</v>
      </c>
      <c r="N19" s="62">
        <v>2</v>
      </c>
      <c r="O19" s="62">
        <v>3</v>
      </c>
      <c r="P19" s="62">
        <v>3</v>
      </c>
      <c r="Q19" s="72">
        <f t="shared" si="1"/>
        <v>2.8</v>
      </c>
      <c r="R19" s="62">
        <v>3</v>
      </c>
      <c r="S19" s="62">
        <v>3</v>
      </c>
      <c r="T19" s="62"/>
      <c r="U19" s="62">
        <v>2</v>
      </c>
      <c r="V19" s="62"/>
      <c r="W19" s="72">
        <f t="shared" si="2"/>
        <v>2.6666666666666665</v>
      </c>
      <c r="X19" s="62">
        <v>2</v>
      </c>
      <c r="Y19" s="62">
        <v>2</v>
      </c>
      <c r="Z19" s="62"/>
      <c r="AA19" s="62"/>
      <c r="AB19" s="62"/>
      <c r="AC19" s="72">
        <f t="shared" si="3"/>
        <v>2</v>
      </c>
      <c r="AD19" s="62">
        <v>3</v>
      </c>
      <c r="AE19" s="62"/>
      <c r="AF19" s="62">
        <v>0</v>
      </c>
      <c r="AG19" s="62"/>
      <c r="AH19" s="62"/>
      <c r="AI19" s="72">
        <f t="shared" si="4"/>
        <v>1.5</v>
      </c>
      <c r="AJ19" s="62"/>
      <c r="AK19" s="62"/>
      <c r="AL19" s="62"/>
      <c r="AM19" s="62"/>
      <c r="AN19" s="62"/>
      <c r="AO19" s="72" t="str">
        <f t="shared" si="5"/>
        <v>A</v>
      </c>
      <c r="AP19" s="62">
        <v>3</v>
      </c>
      <c r="AQ19" s="62">
        <v>2</v>
      </c>
      <c r="AR19" s="62">
        <v>2</v>
      </c>
      <c r="AS19" s="62"/>
      <c r="AT19" s="62"/>
      <c r="AU19" s="72">
        <f t="shared" si="6"/>
        <v>2.3333333333333335</v>
      </c>
      <c r="AV19" s="62"/>
      <c r="AW19" s="62"/>
      <c r="AX19" s="62">
        <v>2</v>
      </c>
      <c r="AY19" s="62">
        <v>5</v>
      </c>
      <c r="AZ19" s="62">
        <v>3</v>
      </c>
      <c r="BA19" s="72">
        <f t="shared" si="7"/>
        <v>3.3333333333333335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>
        <v>3</v>
      </c>
      <c r="N20" s="62">
        <v>3</v>
      </c>
      <c r="O20" s="62">
        <v>3</v>
      </c>
      <c r="P20" s="62">
        <v>3</v>
      </c>
      <c r="Q20" s="72">
        <f t="shared" si="1"/>
        <v>3</v>
      </c>
      <c r="R20" s="62">
        <v>3</v>
      </c>
      <c r="S20" s="62">
        <v>3</v>
      </c>
      <c r="T20" s="7"/>
      <c r="U20" s="62">
        <v>2</v>
      </c>
      <c r="V20" s="7"/>
      <c r="W20" s="72">
        <f t="shared" si="2"/>
        <v>2.6666666666666665</v>
      </c>
      <c r="X20" s="62">
        <v>1</v>
      </c>
      <c r="Y20" s="62">
        <v>2</v>
      </c>
      <c r="Z20" s="7"/>
      <c r="AA20" s="7"/>
      <c r="AB20" s="7"/>
      <c r="AC20" s="72">
        <f t="shared" si="3"/>
        <v>1.5</v>
      </c>
      <c r="AD20" s="62">
        <v>3</v>
      </c>
      <c r="AE20" s="7"/>
      <c r="AF20" s="62">
        <v>4</v>
      </c>
      <c r="AG20" s="7"/>
      <c r="AH20" s="7"/>
      <c r="AI20" s="72">
        <f t="shared" si="4"/>
        <v>3.5</v>
      </c>
      <c r="AJ20" s="7"/>
      <c r="AK20" s="7"/>
      <c r="AL20" s="7"/>
      <c r="AM20" s="7"/>
      <c r="AN20" s="7"/>
      <c r="AO20" s="72" t="str">
        <f t="shared" si="5"/>
        <v>A</v>
      </c>
      <c r="AP20" s="62">
        <v>2</v>
      </c>
      <c r="AQ20" s="62">
        <v>2</v>
      </c>
      <c r="AR20" s="62">
        <v>2</v>
      </c>
      <c r="AS20" s="7"/>
      <c r="AT20" s="7"/>
      <c r="AU20" s="72">
        <f t="shared" si="6"/>
        <v>2</v>
      </c>
      <c r="AV20" s="7"/>
      <c r="AW20" s="7"/>
      <c r="AX20" s="62">
        <v>5</v>
      </c>
      <c r="AY20" s="62">
        <v>4</v>
      </c>
      <c r="AZ20" s="62">
        <v>4</v>
      </c>
      <c r="BA20" s="72">
        <f t="shared" si="7"/>
        <v>4.333333333333333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4</v>
      </c>
      <c r="M21" s="62">
        <v>4</v>
      </c>
      <c r="N21" s="62">
        <v>4</v>
      </c>
      <c r="O21" s="62">
        <v>3</v>
      </c>
      <c r="P21" s="62">
        <v>3</v>
      </c>
      <c r="Q21" s="72">
        <f t="shared" si="1"/>
        <v>3.6</v>
      </c>
      <c r="R21" s="62">
        <v>2</v>
      </c>
      <c r="S21" s="62">
        <v>1</v>
      </c>
      <c r="T21" s="62"/>
      <c r="U21" s="62">
        <v>2</v>
      </c>
      <c r="V21" s="62"/>
      <c r="W21" s="72">
        <f t="shared" si="2"/>
        <v>1.6666666666666667</v>
      </c>
      <c r="X21" s="62">
        <v>3</v>
      </c>
      <c r="Y21" s="62">
        <v>1</v>
      </c>
      <c r="Z21" s="62"/>
      <c r="AA21" s="62"/>
      <c r="AB21" s="62"/>
      <c r="AC21" s="72">
        <f t="shared" si="3"/>
        <v>2</v>
      </c>
      <c r="AD21" s="62">
        <v>1</v>
      </c>
      <c r="AE21" s="62"/>
      <c r="AF21" s="62">
        <v>1</v>
      </c>
      <c r="AG21" s="62"/>
      <c r="AH21" s="62"/>
      <c r="AI21" s="72">
        <f t="shared" si="4"/>
        <v>1</v>
      </c>
      <c r="AJ21" s="62"/>
      <c r="AK21" s="62"/>
      <c r="AL21" s="62"/>
      <c r="AM21" s="62"/>
      <c r="AN21" s="62"/>
      <c r="AO21" s="72" t="str">
        <f t="shared" si="5"/>
        <v>A</v>
      </c>
      <c r="AP21" s="62">
        <v>3</v>
      </c>
      <c r="AQ21" s="62">
        <v>3</v>
      </c>
      <c r="AR21" s="62">
        <v>3</v>
      </c>
      <c r="AS21" s="62"/>
      <c r="AT21" s="62"/>
      <c r="AU21" s="72">
        <f t="shared" si="6"/>
        <v>3</v>
      </c>
      <c r="AV21" s="62"/>
      <c r="AW21" s="62"/>
      <c r="AX21" s="62">
        <v>1</v>
      </c>
      <c r="AY21" s="62">
        <v>1</v>
      </c>
      <c r="AZ21" s="62">
        <v>2</v>
      </c>
      <c r="BA21" s="72">
        <f t="shared" si="7"/>
        <v>1.3333333333333333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>
        <v>3</v>
      </c>
      <c r="N22" s="62">
        <v>3</v>
      </c>
      <c r="O22" s="62">
        <v>3</v>
      </c>
      <c r="P22" s="62">
        <v>3</v>
      </c>
      <c r="Q22" s="72">
        <f t="shared" si="1"/>
        <v>3</v>
      </c>
      <c r="R22" s="62">
        <v>3</v>
      </c>
      <c r="S22" s="62">
        <v>3</v>
      </c>
      <c r="T22" s="7"/>
      <c r="U22" s="62">
        <v>3</v>
      </c>
      <c r="V22" s="7"/>
      <c r="W22" s="72">
        <f t="shared" si="2"/>
        <v>3</v>
      </c>
      <c r="X22" s="62">
        <v>3</v>
      </c>
      <c r="Y22" s="62">
        <v>3</v>
      </c>
      <c r="Z22" s="7"/>
      <c r="AA22" s="7"/>
      <c r="AB22" s="7"/>
      <c r="AC22" s="72">
        <f t="shared" si="3"/>
        <v>3</v>
      </c>
      <c r="AD22" s="62">
        <v>3</v>
      </c>
      <c r="AE22" s="7"/>
      <c r="AF22" s="62">
        <v>3</v>
      </c>
      <c r="AG22" s="7"/>
      <c r="AH22" s="7"/>
      <c r="AI22" s="72">
        <f t="shared" si="4"/>
        <v>3</v>
      </c>
      <c r="AJ22" s="7"/>
      <c r="AK22" s="7"/>
      <c r="AL22" s="7"/>
      <c r="AM22" s="7"/>
      <c r="AN22" s="7"/>
      <c r="AO22" s="72" t="str">
        <f t="shared" si="5"/>
        <v>A</v>
      </c>
      <c r="AP22" s="62">
        <v>3</v>
      </c>
      <c r="AQ22" s="62">
        <v>3</v>
      </c>
      <c r="AR22" s="62">
        <v>3</v>
      </c>
      <c r="AS22" s="7"/>
      <c r="AT22" s="7"/>
      <c r="AU22" s="72">
        <f t="shared" si="6"/>
        <v>3</v>
      </c>
      <c r="AV22" s="7"/>
      <c r="AW22" s="7"/>
      <c r="AX22" s="62">
        <v>3</v>
      </c>
      <c r="AY22" s="62">
        <v>3</v>
      </c>
      <c r="AZ22" s="62">
        <v>3</v>
      </c>
      <c r="BA22" s="72">
        <f t="shared" si="7"/>
        <v>3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2</v>
      </c>
      <c r="M23" s="62">
        <v>2</v>
      </c>
      <c r="N23" s="62">
        <v>2</v>
      </c>
      <c r="O23" s="62">
        <v>2</v>
      </c>
      <c r="P23" s="62">
        <v>2</v>
      </c>
      <c r="Q23" s="72">
        <f t="shared" si="1"/>
        <v>2</v>
      </c>
      <c r="R23" s="62">
        <v>2</v>
      </c>
      <c r="S23" s="62">
        <v>2</v>
      </c>
      <c r="T23" s="62"/>
      <c r="U23" s="62">
        <v>2</v>
      </c>
      <c r="V23" s="62"/>
      <c r="W23" s="72">
        <f t="shared" si="2"/>
        <v>2</v>
      </c>
      <c r="X23" s="62">
        <v>2</v>
      </c>
      <c r="Y23" s="62">
        <v>2</v>
      </c>
      <c r="Z23" s="62"/>
      <c r="AA23" s="62"/>
      <c r="AB23" s="62"/>
      <c r="AC23" s="72">
        <f t="shared" si="3"/>
        <v>2</v>
      </c>
      <c r="AD23" s="62">
        <v>2</v>
      </c>
      <c r="AE23" s="62"/>
      <c r="AF23" s="62">
        <v>2</v>
      </c>
      <c r="AG23" s="62"/>
      <c r="AH23" s="62"/>
      <c r="AI23" s="72">
        <f t="shared" si="4"/>
        <v>2</v>
      </c>
      <c r="AJ23" s="62"/>
      <c r="AK23" s="62"/>
      <c r="AL23" s="62"/>
      <c r="AM23" s="62"/>
      <c r="AN23" s="62"/>
      <c r="AO23" s="72" t="str">
        <f t="shared" si="5"/>
        <v>A</v>
      </c>
      <c r="AP23" s="62">
        <v>2</v>
      </c>
      <c r="AQ23" s="62">
        <v>2</v>
      </c>
      <c r="AR23" s="62">
        <v>2</v>
      </c>
      <c r="AS23" s="62"/>
      <c r="AT23" s="62"/>
      <c r="AU23" s="72">
        <f t="shared" si="6"/>
        <v>2</v>
      </c>
      <c r="AV23" s="62"/>
      <c r="AW23" s="62"/>
      <c r="AX23" s="62">
        <v>2</v>
      </c>
      <c r="AY23" s="62">
        <v>2</v>
      </c>
      <c r="AZ23" s="62">
        <v>2</v>
      </c>
      <c r="BA23" s="72">
        <f t="shared" si="7"/>
        <v>2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3</v>
      </c>
      <c r="M24" s="62">
        <v>3</v>
      </c>
      <c r="N24" s="62">
        <v>2</v>
      </c>
      <c r="O24" s="62">
        <v>1</v>
      </c>
      <c r="P24" s="62">
        <v>3</v>
      </c>
      <c r="Q24" s="72">
        <f t="shared" si="1"/>
        <v>2.4</v>
      </c>
      <c r="R24" s="62">
        <v>2</v>
      </c>
      <c r="S24" s="62">
        <v>2</v>
      </c>
      <c r="T24" s="7"/>
      <c r="U24" s="62">
        <v>2</v>
      </c>
      <c r="V24" s="7"/>
      <c r="W24" s="72">
        <f t="shared" si="2"/>
        <v>2</v>
      </c>
      <c r="X24" s="62">
        <v>2</v>
      </c>
      <c r="Y24" s="62">
        <v>2</v>
      </c>
      <c r="Z24" s="7"/>
      <c r="AA24" s="7"/>
      <c r="AB24" s="7"/>
      <c r="AC24" s="72">
        <f t="shared" si="3"/>
        <v>2</v>
      </c>
      <c r="AD24" s="62">
        <v>1</v>
      </c>
      <c r="AE24" s="7"/>
      <c r="AF24" s="62">
        <v>1</v>
      </c>
      <c r="AG24" s="7"/>
      <c r="AH24" s="7"/>
      <c r="AI24" s="72">
        <f t="shared" si="4"/>
        <v>1</v>
      </c>
      <c r="AJ24" s="7"/>
      <c r="AK24" s="7"/>
      <c r="AL24" s="7"/>
      <c r="AM24" s="7"/>
      <c r="AN24" s="7"/>
      <c r="AO24" s="72" t="str">
        <f t="shared" si="5"/>
        <v>A</v>
      </c>
      <c r="AP24" s="62">
        <v>1</v>
      </c>
      <c r="AQ24" s="62">
        <v>1</v>
      </c>
      <c r="AR24" s="62">
        <v>1</v>
      </c>
      <c r="AS24" s="7"/>
      <c r="AT24" s="7"/>
      <c r="AU24" s="72">
        <f t="shared" si="6"/>
        <v>1</v>
      </c>
      <c r="AV24" s="7"/>
      <c r="AW24" s="7"/>
      <c r="AX24" s="62">
        <v>1</v>
      </c>
      <c r="AY24" s="62">
        <v>3</v>
      </c>
      <c r="AZ24" s="62">
        <v>3</v>
      </c>
      <c r="BA24" s="72">
        <f t="shared" si="7"/>
        <v>2.3333333333333335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2</v>
      </c>
      <c r="M25" s="62">
        <v>3</v>
      </c>
      <c r="N25" s="62">
        <v>2</v>
      </c>
      <c r="O25" s="62">
        <v>3</v>
      </c>
      <c r="P25" s="62">
        <v>3</v>
      </c>
      <c r="Q25" s="72">
        <f t="shared" si="1"/>
        <v>2.6</v>
      </c>
      <c r="R25" s="62">
        <v>3</v>
      </c>
      <c r="S25" s="62">
        <v>2</v>
      </c>
      <c r="T25" s="62"/>
      <c r="U25" s="62">
        <v>3</v>
      </c>
      <c r="V25" s="62"/>
      <c r="W25" s="72">
        <f t="shared" si="2"/>
        <v>2.6666666666666665</v>
      </c>
      <c r="X25" s="62">
        <v>3</v>
      </c>
      <c r="Y25" s="62">
        <v>2</v>
      </c>
      <c r="Z25" s="62"/>
      <c r="AA25" s="62"/>
      <c r="AB25" s="62"/>
      <c r="AC25" s="72">
        <f t="shared" si="3"/>
        <v>2.5</v>
      </c>
      <c r="AD25" s="62">
        <v>3</v>
      </c>
      <c r="AE25" s="62"/>
      <c r="AF25" s="62">
        <v>2</v>
      </c>
      <c r="AG25" s="62"/>
      <c r="AH25" s="62"/>
      <c r="AI25" s="72">
        <f t="shared" si="4"/>
        <v>2.5</v>
      </c>
      <c r="AJ25" s="62"/>
      <c r="AK25" s="62"/>
      <c r="AL25" s="62"/>
      <c r="AM25" s="62"/>
      <c r="AN25" s="62"/>
      <c r="AO25" s="72" t="str">
        <f t="shared" si="5"/>
        <v>A</v>
      </c>
      <c r="AP25" s="62">
        <v>2</v>
      </c>
      <c r="AQ25" s="62">
        <v>3</v>
      </c>
      <c r="AR25" s="62">
        <v>3</v>
      </c>
      <c r="AS25" s="62"/>
      <c r="AT25" s="62"/>
      <c r="AU25" s="72">
        <f t="shared" si="6"/>
        <v>2.6666666666666665</v>
      </c>
      <c r="AV25" s="62"/>
      <c r="AW25" s="62"/>
      <c r="AX25" s="62">
        <v>2</v>
      </c>
      <c r="AY25" s="62">
        <v>3</v>
      </c>
      <c r="AZ25" s="62">
        <v>3</v>
      </c>
      <c r="BA25" s="72">
        <f t="shared" si="7"/>
        <v>2.6666666666666665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4</v>
      </c>
      <c r="M26" s="62">
        <v>4</v>
      </c>
      <c r="N26" s="62">
        <v>4</v>
      </c>
      <c r="O26" s="62">
        <v>3</v>
      </c>
      <c r="P26" s="62">
        <v>3</v>
      </c>
      <c r="Q26" s="72">
        <f t="shared" si="1"/>
        <v>3.6</v>
      </c>
      <c r="R26" s="62">
        <v>2</v>
      </c>
      <c r="S26" s="62">
        <v>2</v>
      </c>
      <c r="T26" s="7"/>
      <c r="U26" s="62">
        <v>2</v>
      </c>
      <c r="V26" s="7"/>
      <c r="W26" s="72">
        <f t="shared" si="2"/>
        <v>2</v>
      </c>
      <c r="X26" s="62">
        <v>3</v>
      </c>
      <c r="Y26" s="62">
        <v>1</v>
      </c>
      <c r="Z26" s="7"/>
      <c r="AA26" s="7"/>
      <c r="AB26" s="7"/>
      <c r="AC26" s="72">
        <f t="shared" si="3"/>
        <v>2</v>
      </c>
      <c r="AD26" s="62">
        <v>2</v>
      </c>
      <c r="AE26" s="7"/>
      <c r="AF26" s="62">
        <v>2</v>
      </c>
      <c r="AG26" s="7"/>
      <c r="AH26" s="7"/>
      <c r="AI26" s="72">
        <f t="shared" si="4"/>
        <v>2</v>
      </c>
      <c r="AJ26" s="7"/>
      <c r="AK26" s="7"/>
      <c r="AL26" s="7"/>
      <c r="AM26" s="7"/>
      <c r="AN26" s="7"/>
      <c r="AO26" s="72" t="str">
        <f t="shared" si="5"/>
        <v>A</v>
      </c>
      <c r="AP26" s="62">
        <v>2</v>
      </c>
      <c r="AQ26" s="62">
        <v>2</v>
      </c>
      <c r="AR26" s="62">
        <v>2</v>
      </c>
      <c r="AS26" s="7"/>
      <c r="AT26" s="7"/>
      <c r="AU26" s="72">
        <f t="shared" si="6"/>
        <v>2</v>
      </c>
      <c r="AV26" s="7"/>
      <c r="AW26" s="7"/>
      <c r="AX26" s="62">
        <v>2</v>
      </c>
      <c r="AY26" s="62">
        <v>2</v>
      </c>
      <c r="AZ26" s="62">
        <v>2</v>
      </c>
      <c r="BA26" s="72">
        <f t="shared" si="7"/>
        <v>2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>
        <v>3</v>
      </c>
      <c r="N27" s="62">
        <v>3</v>
      </c>
      <c r="O27" s="62">
        <v>3</v>
      </c>
      <c r="P27" s="62">
        <v>3</v>
      </c>
      <c r="Q27" s="72">
        <f t="shared" si="1"/>
        <v>3</v>
      </c>
      <c r="R27" s="62">
        <v>3</v>
      </c>
      <c r="S27" s="62">
        <v>3</v>
      </c>
      <c r="T27" s="62"/>
      <c r="U27" s="62">
        <v>3</v>
      </c>
      <c r="V27" s="62"/>
      <c r="W27" s="72">
        <f t="shared" si="2"/>
        <v>3</v>
      </c>
      <c r="X27" s="62">
        <v>3</v>
      </c>
      <c r="Y27" s="62">
        <v>3</v>
      </c>
      <c r="Z27" s="62"/>
      <c r="AA27" s="62"/>
      <c r="AB27" s="62"/>
      <c r="AC27" s="72">
        <f t="shared" si="3"/>
        <v>3</v>
      </c>
      <c r="AD27" s="62">
        <v>3</v>
      </c>
      <c r="AE27" s="62"/>
      <c r="AF27" s="62">
        <v>3</v>
      </c>
      <c r="AG27" s="62"/>
      <c r="AH27" s="62"/>
      <c r="AI27" s="72">
        <f t="shared" si="4"/>
        <v>3</v>
      </c>
      <c r="AJ27" s="62"/>
      <c r="AK27" s="62"/>
      <c r="AL27" s="62"/>
      <c r="AM27" s="62"/>
      <c r="AN27" s="62"/>
      <c r="AO27" s="72" t="str">
        <f t="shared" si="5"/>
        <v>A</v>
      </c>
      <c r="AP27" s="62">
        <v>3</v>
      </c>
      <c r="AQ27" s="62">
        <v>3</v>
      </c>
      <c r="AR27" s="62">
        <v>3</v>
      </c>
      <c r="AS27" s="62"/>
      <c r="AT27" s="62"/>
      <c r="AU27" s="72">
        <f t="shared" si="6"/>
        <v>3</v>
      </c>
      <c r="AV27" s="62"/>
      <c r="AW27" s="62"/>
      <c r="AX27" s="62">
        <v>3</v>
      </c>
      <c r="AY27" s="62">
        <v>3</v>
      </c>
      <c r="AZ27" s="62">
        <v>3</v>
      </c>
      <c r="BA27" s="72">
        <f t="shared" si="7"/>
        <v>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2</v>
      </c>
      <c r="M28" s="62">
        <v>2</v>
      </c>
      <c r="N28" s="62">
        <v>2</v>
      </c>
      <c r="O28" s="62">
        <v>3</v>
      </c>
      <c r="P28" s="62">
        <v>2</v>
      </c>
      <c r="Q28" s="72">
        <f t="shared" si="1"/>
        <v>2.2000000000000002</v>
      </c>
      <c r="R28" s="62">
        <v>2</v>
      </c>
      <c r="S28" s="62">
        <v>2</v>
      </c>
      <c r="T28" s="7"/>
      <c r="U28" s="62">
        <v>2</v>
      </c>
      <c r="V28" s="7"/>
      <c r="W28" s="72">
        <f t="shared" si="2"/>
        <v>2</v>
      </c>
      <c r="X28" s="62">
        <v>2</v>
      </c>
      <c r="Y28" s="62">
        <v>2</v>
      </c>
      <c r="Z28" s="7"/>
      <c r="AA28" s="7"/>
      <c r="AB28" s="7"/>
      <c r="AC28" s="72">
        <f t="shared" si="3"/>
        <v>2</v>
      </c>
      <c r="AD28" s="62">
        <v>2</v>
      </c>
      <c r="AE28" s="7"/>
      <c r="AF28" s="62">
        <v>0</v>
      </c>
      <c r="AG28" s="7"/>
      <c r="AH28" s="7"/>
      <c r="AI28" s="72">
        <f t="shared" si="4"/>
        <v>1</v>
      </c>
      <c r="AJ28" s="7"/>
      <c r="AK28" s="7"/>
      <c r="AL28" s="7"/>
      <c r="AM28" s="7"/>
      <c r="AN28" s="7"/>
      <c r="AO28" s="72" t="str">
        <f t="shared" si="5"/>
        <v>A</v>
      </c>
      <c r="AP28" s="62">
        <v>2</v>
      </c>
      <c r="AQ28" s="62">
        <v>2</v>
      </c>
      <c r="AR28" s="62">
        <v>2</v>
      </c>
      <c r="AS28" s="7"/>
      <c r="AT28" s="7"/>
      <c r="AU28" s="72">
        <f t="shared" si="6"/>
        <v>2</v>
      </c>
      <c r="AV28" s="7"/>
      <c r="AW28" s="7"/>
      <c r="AX28" s="62">
        <v>2</v>
      </c>
      <c r="AY28" s="62">
        <v>2</v>
      </c>
      <c r="AZ28" s="62">
        <v>2</v>
      </c>
      <c r="BA28" s="72">
        <f t="shared" si="7"/>
        <v>2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3</v>
      </c>
      <c r="M29" s="62">
        <v>3</v>
      </c>
      <c r="N29" s="62">
        <v>3</v>
      </c>
      <c r="O29" s="62">
        <v>3</v>
      </c>
      <c r="P29" s="62">
        <v>3</v>
      </c>
      <c r="Q29" s="72">
        <f t="shared" si="1"/>
        <v>3</v>
      </c>
      <c r="R29" s="62">
        <v>4</v>
      </c>
      <c r="S29" s="62">
        <v>3</v>
      </c>
      <c r="T29" s="62"/>
      <c r="U29" s="62">
        <v>3</v>
      </c>
      <c r="V29" s="62"/>
      <c r="W29" s="72">
        <f t="shared" si="2"/>
        <v>3.3333333333333335</v>
      </c>
      <c r="X29" s="62">
        <v>4</v>
      </c>
      <c r="Y29" s="62">
        <v>3</v>
      </c>
      <c r="Z29" s="62"/>
      <c r="AA29" s="62"/>
      <c r="AB29" s="62"/>
      <c r="AC29" s="72">
        <f t="shared" si="3"/>
        <v>3.5</v>
      </c>
      <c r="AD29" s="62">
        <v>3</v>
      </c>
      <c r="AE29" s="62"/>
      <c r="AF29" s="62">
        <v>3</v>
      </c>
      <c r="AG29" s="62"/>
      <c r="AH29" s="62"/>
      <c r="AI29" s="72">
        <f t="shared" si="4"/>
        <v>3</v>
      </c>
      <c r="AJ29" s="62"/>
      <c r="AK29" s="62"/>
      <c r="AL29" s="62"/>
      <c r="AM29" s="62"/>
      <c r="AN29" s="62"/>
      <c r="AO29" s="72" t="str">
        <f t="shared" si="5"/>
        <v>A</v>
      </c>
      <c r="AP29" s="62">
        <v>3</v>
      </c>
      <c r="AQ29" s="62">
        <v>3</v>
      </c>
      <c r="AR29" s="62">
        <v>3</v>
      </c>
      <c r="AS29" s="62"/>
      <c r="AT29" s="62"/>
      <c r="AU29" s="72">
        <f t="shared" si="6"/>
        <v>3</v>
      </c>
      <c r="AV29" s="62"/>
      <c r="AW29" s="62"/>
      <c r="AX29" s="62">
        <v>3</v>
      </c>
      <c r="AY29" s="62">
        <v>3</v>
      </c>
      <c r="AZ29" s="62">
        <v>3</v>
      </c>
      <c r="BA29" s="72">
        <f t="shared" si="7"/>
        <v>3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1</v>
      </c>
      <c r="M30" s="62">
        <v>1</v>
      </c>
      <c r="N30" s="62">
        <v>1</v>
      </c>
      <c r="O30" s="62">
        <v>1</v>
      </c>
      <c r="P30" s="62">
        <v>1</v>
      </c>
      <c r="Q30" s="72">
        <f t="shared" si="1"/>
        <v>1</v>
      </c>
      <c r="R30" s="62">
        <v>1</v>
      </c>
      <c r="S30" s="62">
        <v>1</v>
      </c>
      <c r="T30" s="7"/>
      <c r="U30" s="62">
        <v>1</v>
      </c>
      <c r="V30" s="7"/>
      <c r="W30" s="72">
        <f t="shared" si="2"/>
        <v>1</v>
      </c>
      <c r="X30" s="62">
        <v>1</v>
      </c>
      <c r="Y30" s="62">
        <v>1</v>
      </c>
      <c r="Z30" s="7"/>
      <c r="AA30" s="7"/>
      <c r="AB30" s="7"/>
      <c r="AC30" s="72">
        <f t="shared" si="3"/>
        <v>1</v>
      </c>
      <c r="AD30" s="62">
        <v>1</v>
      </c>
      <c r="AE30" s="7"/>
      <c r="AF30" s="62">
        <v>1</v>
      </c>
      <c r="AG30" s="7"/>
      <c r="AH30" s="7"/>
      <c r="AI30" s="72">
        <f t="shared" si="4"/>
        <v>1</v>
      </c>
      <c r="AJ30" s="7"/>
      <c r="AK30" s="7"/>
      <c r="AL30" s="7"/>
      <c r="AM30" s="7"/>
      <c r="AN30" s="7"/>
      <c r="AO30" s="72" t="str">
        <f t="shared" si="5"/>
        <v>A</v>
      </c>
      <c r="AP30" s="62">
        <v>1</v>
      </c>
      <c r="AQ30" s="62">
        <v>1</v>
      </c>
      <c r="AR30" s="62">
        <v>1</v>
      </c>
      <c r="AS30" s="7"/>
      <c r="AT30" s="7"/>
      <c r="AU30" s="72">
        <f t="shared" si="6"/>
        <v>1</v>
      </c>
      <c r="AV30" s="7"/>
      <c r="AW30" s="7"/>
      <c r="AX30" s="62">
        <v>1</v>
      </c>
      <c r="AY30" s="62">
        <v>1</v>
      </c>
      <c r="AZ30" s="62">
        <v>1</v>
      </c>
      <c r="BA30" s="72">
        <f t="shared" si="7"/>
        <v>1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3</v>
      </c>
      <c r="M31" s="62">
        <v>2</v>
      </c>
      <c r="N31" s="62">
        <v>2</v>
      </c>
      <c r="O31" s="62">
        <v>3</v>
      </c>
      <c r="P31" s="62">
        <v>2</v>
      </c>
      <c r="Q31" s="72">
        <f t="shared" si="1"/>
        <v>2.4</v>
      </c>
      <c r="R31" s="62">
        <v>2</v>
      </c>
      <c r="S31" s="62">
        <v>2</v>
      </c>
      <c r="T31" s="62"/>
      <c r="U31" s="62">
        <v>2</v>
      </c>
      <c r="V31" s="62"/>
      <c r="W31" s="72">
        <f t="shared" si="2"/>
        <v>2</v>
      </c>
      <c r="X31" s="62">
        <v>2</v>
      </c>
      <c r="Y31" s="62">
        <v>2</v>
      </c>
      <c r="Z31" s="62"/>
      <c r="AA31" s="62"/>
      <c r="AB31" s="62"/>
      <c r="AC31" s="72">
        <f t="shared" si="3"/>
        <v>2</v>
      </c>
      <c r="AD31" s="62">
        <v>2</v>
      </c>
      <c r="AE31" s="62"/>
      <c r="AF31" s="62">
        <v>0</v>
      </c>
      <c r="AG31" s="62"/>
      <c r="AH31" s="62"/>
      <c r="AI31" s="72">
        <f t="shared" si="4"/>
        <v>1</v>
      </c>
      <c r="AJ31" s="62"/>
      <c r="AK31" s="62"/>
      <c r="AL31" s="62"/>
      <c r="AM31" s="62"/>
      <c r="AN31" s="62"/>
      <c r="AO31" s="72" t="str">
        <f t="shared" si="5"/>
        <v>A</v>
      </c>
      <c r="AP31" s="62">
        <v>2</v>
      </c>
      <c r="AQ31" s="62">
        <v>2</v>
      </c>
      <c r="AR31" s="62">
        <v>2</v>
      </c>
      <c r="AS31" s="62"/>
      <c r="AT31" s="62"/>
      <c r="AU31" s="72">
        <f t="shared" si="6"/>
        <v>2</v>
      </c>
      <c r="AV31" s="62"/>
      <c r="AW31" s="62"/>
      <c r="AX31" s="62">
        <v>2</v>
      </c>
      <c r="AY31" s="62">
        <v>2</v>
      </c>
      <c r="AZ31" s="62">
        <v>2</v>
      </c>
      <c r="BA31" s="72">
        <f t="shared" si="7"/>
        <v>2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3</v>
      </c>
      <c r="M32" s="62">
        <v>2</v>
      </c>
      <c r="N32" s="62">
        <v>2</v>
      </c>
      <c r="O32" s="62">
        <v>3</v>
      </c>
      <c r="P32" s="62">
        <v>2</v>
      </c>
      <c r="Q32" s="72">
        <f t="shared" si="1"/>
        <v>2.4</v>
      </c>
      <c r="R32" s="62">
        <v>1</v>
      </c>
      <c r="S32" s="62">
        <v>1</v>
      </c>
      <c r="T32" s="7"/>
      <c r="U32" s="62">
        <v>1</v>
      </c>
      <c r="V32" s="7"/>
      <c r="W32" s="72">
        <f t="shared" si="2"/>
        <v>1</v>
      </c>
      <c r="X32" s="62">
        <v>1</v>
      </c>
      <c r="Y32" s="62">
        <v>1</v>
      </c>
      <c r="Z32" s="7"/>
      <c r="AA32" s="7"/>
      <c r="AB32" s="7"/>
      <c r="AC32" s="72">
        <f t="shared" si="3"/>
        <v>1</v>
      </c>
      <c r="AD32" s="62">
        <v>1</v>
      </c>
      <c r="AE32" s="7"/>
      <c r="AF32" s="62">
        <v>1</v>
      </c>
      <c r="AG32" s="7"/>
      <c r="AH32" s="7"/>
      <c r="AI32" s="72">
        <f t="shared" si="4"/>
        <v>1</v>
      </c>
      <c r="AJ32" s="7"/>
      <c r="AK32" s="7"/>
      <c r="AL32" s="7"/>
      <c r="AM32" s="7"/>
      <c r="AN32" s="7"/>
      <c r="AO32" s="72" t="str">
        <f t="shared" si="5"/>
        <v>A</v>
      </c>
      <c r="AP32" s="62">
        <v>1</v>
      </c>
      <c r="AQ32" s="62">
        <v>1</v>
      </c>
      <c r="AR32" s="62">
        <v>1</v>
      </c>
      <c r="AS32" s="7"/>
      <c r="AT32" s="7"/>
      <c r="AU32" s="72">
        <f t="shared" si="6"/>
        <v>1</v>
      </c>
      <c r="AV32" s="7"/>
      <c r="AW32" s="7"/>
      <c r="AX32" s="62">
        <v>1</v>
      </c>
      <c r="AY32" s="62">
        <v>1</v>
      </c>
      <c r="AZ32" s="62">
        <v>1</v>
      </c>
      <c r="BA32" s="72">
        <f t="shared" si="7"/>
        <v>1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72">
        <f t="shared" si="1"/>
        <v>0</v>
      </c>
      <c r="R33" s="62">
        <v>0</v>
      </c>
      <c r="S33" s="62">
        <v>0</v>
      </c>
      <c r="T33" s="62"/>
      <c r="U33" s="62">
        <v>0</v>
      </c>
      <c r="V33" s="62"/>
      <c r="W33" s="72">
        <f t="shared" si="2"/>
        <v>0</v>
      </c>
      <c r="X33" s="62">
        <v>0</v>
      </c>
      <c r="Y33" s="62">
        <v>0</v>
      </c>
      <c r="Z33" s="62"/>
      <c r="AA33" s="62"/>
      <c r="AB33" s="62"/>
      <c r="AC33" s="72">
        <f t="shared" si="3"/>
        <v>0</v>
      </c>
      <c r="AD33" s="62">
        <v>0</v>
      </c>
      <c r="AE33" s="62"/>
      <c r="AF33" s="62">
        <v>0</v>
      </c>
      <c r="AG33" s="62"/>
      <c r="AH33" s="62"/>
      <c r="AI33" s="72">
        <f t="shared" si="4"/>
        <v>0</v>
      </c>
      <c r="AJ33" s="62"/>
      <c r="AK33" s="62"/>
      <c r="AL33" s="62"/>
      <c r="AM33" s="62"/>
      <c r="AN33" s="62"/>
      <c r="AO33" s="72" t="str">
        <f t="shared" si="5"/>
        <v>A</v>
      </c>
      <c r="AP33" s="62">
        <v>0</v>
      </c>
      <c r="AQ33" s="62">
        <v>0</v>
      </c>
      <c r="AR33" s="62">
        <v>0</v>
      </c>
      <c r="AS33" s="62"/>
      <c r="AT33" s="62"/>
      <c r="AU33" s="72">
        <f t="shared" si="6"/>
        <v>0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2</v>
      </c>
      <c r="M34" s="62">
        <v>3</v>
      </c>
      <c r="N34" s="62">
        <v>2</v>
      </c>
      <c r="O34" s="62">
        <v>3</v>
      </c>
      <c r="P34" s="62">
        <v>3</v>
      </c>
      <c r="Q34" s="72">
        <f t="shared" si="1"/>
        <v>2.6</v>
      </c>
      <c r="R34" s="62">
        <v>3</v>
      </c>
      <c r="S34" s="62">
        <v>2</v>
      </c>
      <c r="T34" s="7"/>
      <c r="U34" s="62">
        <v>3</v>
      </c>
      <c r="V34" s="7"/>
      <c r="W34" s="72">
        <f t="shared" si="2"/>
        <v>2.6666666666666665</v>
      </c>
      <c r="X34" s="62">
        <v>3</v>
      </c>
      <c r="Y34" s="62">
        <v>2</v>
      </c>
      <c r="Z34" s="7"/>
      <c r="AA34" s="7"/>
      <c r="AB34" s="7"/>
      <c r="AC34" s="72">
        <f t="shared" si="3"/>
        <v>2.5</v>
      </c>
      <c r="AD34" s="62">
        <v>3</v>
      </c>
      <c r="AE34" s="7"/>
      <c r="AF34" s="62">
        <v>2</v>
      </c>
      <c r="AG34" s="7"/>
      <c r="AH34" s="7"/>
      <c r="AI34" s="72">
        <f t="shared" si="4"/>
        <v>2.5</v>
      </c>
      <c r="AJ34" s="7"/>
      <c r="AK34" s="7"/>
      <c r="AL34" s="7"/>
      <c r="AM34" s="7"/>
      <c r="AN34" s="7"/>
      <c r="AO34" s="72" t="str">
        <f t="shared" si="5"/>
        <v>A</v>
      </c>
      <c r="AP34" s="62">
        <v>2</v>
      </c>
      <c r="AQ34" s="62">
        <v>3</v>
      </c>
      <c r="AR34" s="62">
        <v>3</v>
      </c>
      <c r="AS34" s="7"/>
      <c r="AT34" s="7"/>
      <c r="AU34" s="72">
        <f t="shared" si="6"/>
        <v>2.6666666666666665</v>
      </c>
      <c r="AV34" s="7"/>
      <c r="AW34" s="7"/>
      <c r="AX34" s="62">
        <v>2</v>
      </c>
      <c r="AY34" s="62">
        <v>3</v>
      </c>
      <c r="AZ34" s="62">
        <v>3</v>
      </c>
      <c r="BA34" s="72">
        <f t="shared" si="7"/>
        <v>2.6666666666666665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4</v>
      </c>
      <c r="M35" s="62">
        <v>3</v>
      </c>
      <c r="N35" s="62">
        <v>4</v>
      </c>
      <c r="O35" s="62">
        <v>3</v>
      </c>
      <c r="P35" s="62">
        <v>3</v>
      </c>
      <c r="Q35" s="72">
        <f t="shared" si="1"/>
        <v>3.4</v>
      </c>
      <c r="R35" s="62">
        <v>3</v>
      </c>
      <c r="S35" s="62">
        <v>4</v>
      </c>
      <c r="T35" s="62"/>
      <c r="U35" s="62">
        <v>3</v>
      </c>
      <c r="V35" s="62"/>
      <c r="W35" s="72">
        <f t="shared" si="2"/>
        <v>3.3333333333333335</v>
      </c>
      <c r="X35" s="62">
        <v>3</v>
      </c>
      <c r="Y35" s="62">
        <v>4</v>
      </c>
      <c r="Z35" s="62"/>
      <c r="AA35" s="62"/>
      <c r="AB35" s="62"/>
      <c r="AC35" s="72">
        <f t="shared" si="3"/>
        <v>3.5</v>
      </c>
      <c r="AD35" s="62">
        <v>3</v>
      </c>
      <c r="AE35" s="62"/>
      <c r="AF35" s="62">
        <v>4</v>
      </c>
      <c r="AG35" s="62"/>
      <c r="AH35" s="62"/>
      <c r="AI35" s="72">
        <f t="shared" si="4"/>
        <v>3.5</v>
      </c>
      <c r="AJ35" s="62"/>
      <c r="AK35" s="62"/>
      <c r="AL35" s="62"/>
      <c r="AM35" s="62"/>
      <c r="AN35" s="62"/>
      <c r="AO35" s="72" t="str">
        <f t="shared" si="5"/>
        <v>A</v>
      </c>
      <c r="AP35" s="62">
        <v>4</v>
      </c>
      <c r="AQ35" s="62">
        <v>3</v>
      </c>
      <c r="AR35" s="62">
        <v>3</v>
      </c>
      <c r="AS35" s="62"/>
      <c r="AT35" s="62"/>
      <c r="AU35" s="72">
        <f t="shared" si="6"/>
        <v>3.3333333333333335</v>
      </c>
      <c r="AV35" s="62"/>
      <c r="AW35" s="62"/>
      <c r="AX35" s="62">
        <v>4</v>
      </c>
      <c r="AY35" s="62">
        <v>3</v>
      </c>
      <c r="AZ35" s="62">
        <v>3</v>
      </c>
      <c r="BA35" s="72">
        <f t="shared" si="7"/>
        <v>3.3333333333333335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3</v>
      </c>
      <c r="M36" s="62">
        <v>4</v>
      </c>
      <c r="N36" s="62">
        <v>4</v>
      </c>
      <c r="O36" s="62">
        <v>4</v>
      </c>
      <c r="P36" s="62">
        <v>4</v>
      </c>
      <c r="Q36" s="72">
        <f t="shared" si="1"/>
        <v>3.8</v>
      </c>
      <c r="R36" s="62">
        <v>3</v>
      </c>
      <c r="S36" s="62">
        <v>3</v>
      </c>
      <c r="T36" s="7"/>
      <c r="U36" s="62">
        <v>3</v>
      </c>
      <c r="V36" s="7"/>
      <c r="W36" s="72">
        <f t="shared" si="2"/>
        <v>3</v>
      </c>
      <c r="X36" s="62">
        <v>3</v>
      </c>
      <c r="Y36" s="62">
        <v>3</v>
      </c>
      <c r="Z36" s="7"/>
      <c r="AA36" s="7"/>
      <c r="AB36" s="7"/>
      <c r="AC36" s="72">
        <f t="shared" si="3"/>
        <v>3</v>
      </c>
      <c r="AD36" s="62">
        <v>3</v>
      </c>
      <c r="AE36" s="7"/>
      <c r="AF36" s="62">
        <v>1</v>
      </c>
      <c r="AG36" s="7"/>
      <c r="AH36" s="7"/>
      <c r="AI36" s="72">
        <f t="shared" si="4"/>
        <v>2</v>
      </c>
      <c r="AJ36" s="7"/>
      <c r="AK36" s="7"/>
      <c r="AL36" s="7"/>
      <c r="AM36" s="7"/>
      <c r="AN36" s="7"/>
      <c r="AO36" s="72" t="str">
        <f t="shared" si="5"/>
        <v>A</v>
      </c>
      <c r="AP36" s="62">
        <v>1</v>
      </c>
      <c r="AQ36" s="62">
        <v>1</v>
      </c>
      <c r="AR36" s="62">
        <v>1</v>
      </c>
      <c r="AS36" s="7"/>
      <c r="AT36" s="7"/>
      <c r="AU36" s="72">
        <f t="shared" si="6"/>
        <v>1</v>
      </c>
      <c r="AV36" s="7"/>
      <c r="AW36" s="7"/>
      <c r="AX36" s="62">
        <v>1</v>
      </c>
      <c r="AY36" s="62">
        <v>3</v>
      </c>
      <c r="AZ36" s="62">
        <v>4</v>
      </c>
      <c r="BA36" s="72">
        <f t="shared" si="7"/>
        <v>2.6666666666666665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2</v>
      </c>
      <c r="M37" s="62">
        <v>3</v>
      </c>
      <c r="N37" s="62">
        <v>2</v>
      </c>
      <c r="O37" s="62">
        <v>3</v>
      </c>
      <c r="P37" s="62">
        <v>2</v>
      </c>
      <c r="Q37" s="72">
        <f t="shared" si="1"/>
        <v>2.4</v>
      </c>
      <c r="R37" s="62">
        <v>2</v>
      </c>
      <c r="S37" s="62">
        <v>2</v>
      </c>
      <c r="T37" s="62"/>
      <c r="U37" s="62">
        <v>2</v>
      </c>
      <c r="V37" s="62"/>
      <c r="W37" s="72">
        <f t="shared" si="2"/>
        <v>2</v>
      </c>
      <c r="X37" s="62">
        <v>2</v>
      </c>
      <c r="Y37" s="62">
        <v>2</v>
      </c>
      <c r="Z37" s="62"/>
      <c r="AA37" s="62"/>
      <c r="AB37" s="62"/>
      <c r="AC37" s="72">
        <f t="shared" si="3"/>
        <v>2</v>
      </c>
      <c r="AD37" s="62">
        <v>2</v>
      </c>
      <c r="AE37" s="62"/>
      <c r="AF37" s="62">
        <v>2</v>
      </c>
      <c r="AG37" s="62"/>
      <c r="AH37" s="62"/>
      <c r="AI37" s="72">
        <f t="shared" si="4"/>
        <v>2</v>
      </c>
      <c r="AJ37" s="62"/>
      <c r="AK37" s="62"/>
      <c r="AL37" s="62"/>
      <c r="AM37" s="62"/>
      <c r="AN37" s="62"/>
      <c r="AO37" s="72" t="str">
        <f t="shared" si="5"/>
        <v>A</v>
      </c>
      <c r="AP37" s="62">
        <v>2</v>
      </c>
      <c r="AQ37" s="62">
        <v>3</v>
      </c>
      <c r="AR37" s="62">
        <v>2</v>
      </c>
      <c r="AS37" s="62"/>
      <c r="AT37" s="62"/>
      <c r="AU37" s="72">
        <f t="shared" si="6"/>
        <v>2.3333333333333335</v>
      </c>
      <c r="AV37" s="62"/>
      <c r="AW37" s="62"/>
      <c r="AX37" s="62">
        <v>2</v>
      </c>
      <c r="AY37" s="62">
        <v>3</v>
      </c>
      <c r="AZ37" s="62">
        <v>2</v>
      </c>
      <c r="BA37" s="72">
        <f t="shared" si="7"/>
        <v>2.3333333333333335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2</v>
      </c>
      <c r="M38" s="62">
        <v>2</v>
      </c>
      <c r="N38" s="62">
        <v>3</v>
      </c>
      <c r="O38" s="62">
        <v>3</v>
      </c>
      <c r="P38" s="62">
        <v>2</v>
      </c>
      <c r="Q38" s="72">
        <f t="shared" si="1"/>
        <v>2.4</v>
      </c>
      <c r="R38" s="62">
        <v>2</v>
      </c>
      <c r="S38" s="62">
        <v>3</v>
      </c>
      <c r="T38" s="7"/>
      <c r="U38" s="62">
        <v>2</v>
      </c>
      <c r="V38" s="7"/>
      <c r="W38" s="72">
        <f t="shared" si="2"/>
        <v>2.3333333333333335</v>
      </c>
      <c r="X38" s="62">
        <v>2</v>
      </c>
      <c r="Y38" s="62">
        <v>2</v>
      </c>
      <c r="Z38" s="7"/>
      <c r="AA38" s="7"/>
      <c r="AB38" s="7"/>
      <c r="AC38" s="72">
        <f t="shared" si="3"/>
        <v>2</v>
      </c>
      <c r="AD38" s="62">
        <v>3</v>
      </c>
      <c r="AE38" s="7"/>
      <c r="AF38" s="62">
        <v>4</v>
      </c>
      <c r="AG38" s="7"/>
      <c r="AH38" s="7"/>
      <c r="AI38" s="72">
        <f t="shared" si="4"/>
        <v>3.5</v>
      </c>
      <c r="AJ38" s="7"/>
      <c r="AK38" s="7"/>
      <c r="AL38" s="7"/>
      <c r="AM38" s="7"/>
      <c r="AN38" s="7"/>
      <c r="AO38" s="72" t="str">
        <f t="shared" si="5"/>
        <v>A</v>
      </c>
      <c r="AP38" s="62">
        <v>3</v>
      </c>
      <c r="AQ38" s="62">
        <v>3</v>
      </c>
      <c r="AR38" s="62">
        <v>3</v>
      </c>
      <c r="AS38" s="7"/>
      <c r="AT38" s="7"/>
      <c r="AU38" s="72">
        <f t="shared" si="6"/>
        <v>3</v>
      </c>
      <c r="AV38" s="7"/>
      <c r="AW38" s="7"/>
      <c r="AX38" s="62">
        <v>2</v>
      </c>
      <c r="AY38" s="62">
        <v>3</v>
      </c>
      <c r="AZ38" s="62">
        <v>2</v>
      </c>
      <c r="BA38" s="72">
        <f t="shared" si="7"/>
        <v>2.3333333333333335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3</v>
      </c>
      <c r="M39" s="62">
        <v>4</v>
      </c>
      <c r="N39" s="62">
        <v>4</v>
      </c>
      <c r="O39" s="62">
        <v>4</v>
      </c>
      <c r="P39" s="62">
        <v>4</v>
      </c>
      <c r="Q39" s="72">
        <f t="shared" si="1"/>
        <v>3.8</v>
      </c>
      <c r="R39" s="62">
        <v>3</v>
      </c>
      <c r="S39" s="62">
        <v>3</v>
      </c>
      <c r="T39" s="62"/>
      <c r="U39" s="62">
        <v>3</v>
      </c>
      <c r="V39" s="62"/>
      <c r="W39" s="72">
        <f t="shared" si="2"/>
        <v>3</v>
      </c>
      <c r="X39" s="62">
        <v>3</v>
      </c>
      <c r="Y39" s="62">
        <v>3</v>
      </c>
      <c r="Z39" s="62"/>
      <c r="AA39" s="62"/>
      <c r="AB39" s="62"/>
      <c r="AC39" s="72">
        <f t="shared" si="3"/>
        <v>3</v>
      </c>
      <c r="AD39" s="62">
        <v>3</v>
      </c>
      <c r="AE39" s="62"/>
      <c r="AF39" s="62">
        <v>0</v>
      </c>
      <c r="AG39" s="62"/>
      <c r="AH39" s="62"/>
      <c r="AI39" s="72">
        <f t="shared" si="4"/>
        <v>1.5</v>
      </c>
      <c r="AJ39" s="62"/>
      <c r="AK39" s="62"/>
      <c r="AL39" s="62"/>
      <c r="AM39" s="62"/>
      <c r="AN39" s="62"/>
      <c r="AO39" s="72" t="str">
        <f t="shared" si="5"/>
        <v>A</v>
      </c>
      <c r="AP39" s="62">
        <v>2</v>
      </c>
      <c r="AQ39" s="62">
        <v>2</v>
      </c>
      <c r="AR39" s="62">
        <v>2</v>
      </c>
      <c r="AS39" s="62"/>
      <c r="AT39" s="62"/>
      <c r="AU39" s="72">
        <f t="shared" si="6"/>
        <v>2</v>
      </c>
      <c r="AV39" s="62"/>
      <c r="AW39" s="62"/>
      <c r="AX39" s="62">
        <v>2</v>
      </c>
      <c r="AY39" s="62">
        <v>2</v>
      </c>
      <c r="AZ39" s="62">
        <v>3</v>
      </c>
      <c r="BA39" s="72">
        <f t="shared" si="7"/>
        <v>2.3333333333333335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2</v>
      </c>
      <c r="M40" s="62">
        <v>3</v>
      </c>
      <c r="N40" s="62">
        <v>2</v>
      </c>
      <c r="O40" s="62">
        <v>3</v>
      </c>
      <c r="P40" s="62">
        <v>3</v>
      </c>
      <c r="Q40" s="72">
        <f t="shared" si="1"/>
        <v>2.6</v>
      </c>
      <c r="R40" s="62">
        <v>3</v>
      </c>
      <c r="S40" s="62">
        <v>2</v>
      </c>
      <c r="T40" s="7"/>
      <c r="U40" s="62">
        <v>3</v>
      </c>
      <c r="V40" s="7"/>
      <c r="W40" s="72">
        <f t="shared" si="2"/>
        <v>2.6666666666666665</v>
      </c>
      <c r="X40" s="62">
        <v>3</v>
      </c>
      <c r="Y40" s="62">
        <v>2</v>
      </c>
      <c r="Z40" s="7"/>
      <c r="AA40" s="7"/>
      <c r="AB40" s="7"/>
      <c r="AC40" s="72">
        <f t="shared" si="3"/>
        <v>2.5</v>
      </c>
      <c r="AD40" s="62">
        <v>3</v>
      </c>
      <c r="AE40" s="7"/>
      <c r="AF40" s="62">
        <v>2</v>
      </c>
      <c r="AG40" s="7"/>
      <c r="AH40" s="7"/>
      <c r="AI40" s="72">
        <f t="shared" si="4"/>
        <v>2.5</v>
      </c>
      <c r="AJ40" s="7"/>
      <c r="AK40" s="7"/>
      <c r="AL40" s="7"/>
      <c r="AM40" s="7"/>
      <c r="AN40" s="7"/>
      <c r="AO40" s="72" t="str">
        <f t="shared" si="5"/>
        <v>A</v>
      </c>
      <c r="AP40" s="62">
        <v>2</v>
      </c>
      <c r="AQ40" s="62">
        <v>3</v>
      </c>
      <c r="AR40" s="62">
        <v>3</v>
      </c>
      <c r="AS40" s="7"/>
      <c r="AT40" s="7"/>
      <c r="AU40" s="72">
        <f t="shared" si="6"/>
        <v>2.6666666666666665</v>
      </c>
      <c r="AV40" s="7"/>
      <c r="AW40" s="7"/>
      <c r="AX40" s="62">
        <v>2</v>
      </c>
      <c r="AY40" s="62">
        <v>3</v>
      </c>
      <c r="AZ40" s="62">
        <v>3</v>
      </c>
      <c r="BA40" s="72">
        <f t="shared" si="7"/>
        <v>2.6666666666666665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2</v>
      </c>
      <c r="M41" s="62">
        <v>3</v>
      </c>
      <c r="N41" s="62">
        <v>2</v>
      </c>
      <c r="O41" s="62">
        <v>4</v>
      </c>
      <c r="P41" s="62">
        <v>4</v>
      </c>
      <c r="Q41" s="72">
        <f t="shared" si="1"/>
        <v>3</v>
      </c>
      <c r="R41" s="62">
        <v>2</v>
      </c>
      <c r="S41" s="62">
        <v>2</v>
      </c>
      <c r="T41" s="62"/>
      <c r="U41" s="62">
        <v>2</v>
      </c>
      <c r="V41" s="62"/>
      <c r="W41" s="72">
        <f t="shared" si="2"/>
        <v>2</v>
      </c>
      <c r="X41" s="62">
        <v>2</v>
      </c>
      <c r="Y41" s="62">
        <v>2</v>
      </c>
      <c r="Z41" s="62"/>
      <c r="AA41" s="62"/>
      <c r="AB41" s="62"/>
      <c r="AC41" s="72">
        <f t="shared" si="3"/>
        <v>2</v>
      </c>
      <c r="AD41" s="62">
        <v>2</v>
      </c>
      <c r="AE41" s="62"/>
      <c r="AF41" s="62">
        <v>0</v>
      </c>
      <c r="AG41" s="62"/>
      <c r="AH41" s="62"/>
      <c r="AI41" s="72">
        <f t="shared" si="4"/>
        <v>1</v>
      </c>
      <c r="AJ41" s="62"/>
      <c r="AK41" s="62"/>
      <c r="AL41" s="62"/>
      <c r="AM41" s="62"/>
      <c r="AN41" s="62"/>
      <c r="AO41" s="72" t="str">
        <f t="shared" si="5"/>
        <v>A</v>
      </c>
      <c r="AP41" s="62">
        <v>2</v>
      </c>
      <c r="AQ41" s="62">
        <v>2</v>
      </c>
      <c r="AR41" s="62">
        <v>2</v>
      </c>
      <c r="AS41" s="62"/>
      <c r="AT41" s="62"/>
      <c r="AU41" s="72">
        <f t="shared" si="6"/>
        <v>2</v>
      </c>
      <c r="AV41" s="62"/>
      <c r="AW41" s="62"/>
      <c r="AX41" s="62">
        <v>2</v>
      </c>
      <c r="AY41" s="62">
        <v>3</v>
      </c>
      <c r="AZ41" s="62">
        <v>3</v>
      </c>
      <c r="BA41" s="72">
        <f t="shared" si="7"/>
        <v>2.6666666666666665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3</v>
      </c>
      <c r="M42" s="62">
        <v>2</v>
      </c>
      <c r="N42" s="62">
        <v>2</v>
      </c>
      <c r="O42" s="62">
        <v>3</v>
      </c>
      <c r="P42" s="62">
        <v>2</v>
      </c>
      <c r="Q42" s="72">
        <f t="shared" si="1"/>
        <v>2.4</v>
      </c>
      <c r="R42" s="62">
        <v>1</v>
      </c>
      <c r="S42" s="62">
        <v>1</v>
      </c>
      <c r="T42" s="7"/>
      <c r="U42" s="62">
        <v>1</v>
      </c>
      <c r="V42" s="7"/>
      <c r="W42" s="72">
        <f t="shared" si="2"/>
        <v>1</v>
      </c>
      <c r="X42" s="62">
        <v>1</v>
      </c>
      <c r="Y42" s="62">
        <v>1</v>
      </c>
      <c r="Z42" s="7"/>
      <c r="AA42" s="7"/>
      <c r="AB42" s="7"/>
      <c r="AC42" s="72">
        <f t="shared" si="3"/>
        <v>1</v>
      </c>
      <c r="AD42" s="62">
        <v>1</v>
      </c>
      <c r="AE42" s="7"/>
      <c r="AF42" s="62">
        <v>1</v>
      </c>
      <c r="AG42" s="7"/>
      <c r="AH42" s="7"/>
      <c r="AI42" s="72">
        <f t="shared" si="4"/>
        <v>1</v>
      </c>
      <c r="AJ42" s="7"/>
      <c r="AK42" s="7"/>
      <c r="AL42" s="7"/>
      <c r="AM42" s="7"/>
      <c r="AN42" s="7"/>
      <c r="AO42" s="72" t="str">
        <f t="shared" si="5"/>
        <v>A</v>
      </c>
      <c r="AP42" s="62">
        <v>2</v>
      </c>
      <c r="AQ42" s="62">
        <v>2</v>
      </c>
      <c r="AR42" s="62">
        <v>2</v>
      </c>
      <c r="AS42" s="7"/>
      <c r="AT42" s="7"/>
      <c r="AU42" s="72">
        <f t="shared" si="6"/>
        <v>2</v>
      </c>
      <c r="AV42" s="7"/>
      <c r="AW42" s="7"/>
      <c r="AX42" s="62">
        <v>1</v>
      </c>
      <c r="AY42" s="62">
        <v>1</v>
      </c>
      <c r="AZ42" s="62">
        <v>1</v>
      </c>
      <c r="BA42" s="72">
        <f t="shared" si="7"/>
        <v>1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2</v>
      </c>
      <c r="M43" s="62">
        <v>2</v>
      </c>
      <c r="N43" s="62">
        <v>2</v>
      </c>
      <c r="O43" s="62">
        <v>4</v>
      </c>
      <c r="P43" s="62">
        <v>4</v>
      </c>
      <c r="Q43" s="72">
        <f t="shared" si="1"/>
        <v>2.8</v>
      </c>
      <c r="R43" s="62">
        <v>2</v>
      </c>
      <c r="S43" s="62">
        <v>2</v>
      </c>
      <c r="T43" s="62"/>
      <c r="U43" s="62">
        <v>2</v>
      </c>
      <c r="V43" s="62"/>
      <c r="W43" s="72">
        <f t="shared" si="2"/>
        <v>2</v>
      </c>
      <c r="X43" s="62">
        <v>2</v>
      </c>
      <c r="Y43" s="62">
        <v>2</v>
      </c>
      <c r="Z43" s="62"/>
      <c r="AA43" s="62"/>
      <c r="AB43" s="62"/>
      <c r="AC43" s="72">
        <f t="shared" si="3"/>
        <v>2</v>
      </c>
      <c r="AD43" s="62">
        <v>2</v>
      </c>
      <c r="AE43" s="62"/>
      <c r="AF43" s="62">
        <v>0</v>
      </c>
      <c r="AG43" s="62"/>
      <c r="AH43" s="62"/>
      <c r="AI43" s="72">
        <f t="shared" si="4"/>
        <v>1</v>
      </c>
      <c r="AJ43" s="62"/>
      <c r="AK43" s="62"/>
      <c r="AL43" s="62"/>
      <c r="AM43" s="62"/>
      <c r="AN43" s="62"/>
      <c r="AO43" s="72" t="str">
        <f t="shared" si="5"/>
        <v>A</v>
      </c>
      <c r="AP43" s="62">
        <v>2</v>
      </c>
      <c r="AQ43" s="62">
        <v>2</v>
      </c>
      <c r="AR43" s="62">
        <v>2</v>
      </c>
      <c r="AS43" s="62"/>
      <c r="AT43" s="62"/>
      <c r="AU43" s="72">
        <f t="shared" si="6"/>
        <v>2</v>
      </c>
      <c r="AV43" s="62"/>
      <c r="AW43" s="62"/>
      <c r="AX43" s="62">
        <v>2</v>
      </c>
      <c r="AY43" s="62">
        <v>2</v>
      </c>
      <c r="AZ43" s="62">
        <v>2</v>
      </c>
      <c r="BA43" s="72">
        <f t="shared" si="7"/>
        <v>2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3</v>
      </c>
      <c r="M44" s="62">
        <v>3</v>
      </c>
      <c r="N44" s="62">
        <v>3</v>
      </c>
      <c r="O44" s="62">
        <v>3</v>
      </c>
      <c r="P44" s="62">
        <v>2</v>
      </c>
      <c r="Q44" s="72">
        <f t="shared" si="1"/>
        <v>2.8</v>
      </c>
      <c r="R44" s="62">
        <v>2</v>
      </c>
      <c r="S44" s="62">
        <v>3</v>
      </c>
      <c r="T44" s="7"/>
      <c r="U44" s="62">
        <v>2</v>
      </c>
      <c r="V44" s="7"/>
      <c r="W44" s="72">
        <f t="shared" si="2"/>
        <v>2.3333333333333335</v>
      </c>
      <c r="X44" s="62">
        <v>2</v>
      </c>
      <c r="Y44" s="62">
        <v>3</v>
      </c>
      <c r="Z44" s="7"/>
      <c r="AA44" s="7"/>
      <c r="AB44" s="7"/>
      <c r="AC44" s="72">
        <f t="shared" si="3"/>
        <v>2.5</v>
      </c>
      <c r="AD44" s="62">
        <v>2</v>
      </c>
      <c r="AE44" s="7"/>
      <c r="AF44" s="62">
        <v>3</v>
      </c>
      <c r="AG44" s="7"/>
      <c r="AH44" s="7"/>
      <c r="AI44" s="72">
        <f t="shared" si="4"/>
        <v>2.5</v>
      </c>
      <c r="AJ44" s="7"/>
      <c r="AK44" s="7"/>
      <c r="AL44" s="7"/>
      <c r="AM44" s="7"/>
      <c r="AN44" s="7"/>
      <c r="AO44" s="72" t="str">
        <f t="shared" si="5"/>
        <v>A</v>
      </c>
      <c r="AP44" s="62">
        <v>3</v>
      </c>
      <c r="AQ44" s="62">
        <v>3</v>
      </c>
      <c r="AR44" s="62">
        <v>2</v>
      </c>
      <c r="AS44" s="7"/>
      <c r="AT44" s="7"/>
      <c r="AU44" s="72">
        <f t="shared" si="6"/>
        <v>2.6666666666666665</v>
      </c>
      <c r="AV44" s="7"/>
      <c r="AW44" s="7"/>
      <c r="AX44" s="62">
        <v>3</v>
      </c>
      <c r="AY44" s="62">
        <v>3</v>
      </c>
      <c r="AZ44" s="62">
        <v>2</v>
      </c>
      <c r="BA44" s="72">
        <f t="shared" si="7"/>
        <v>2.6666666666666665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3</v>
      </c>
      <c r="M45" s="62">
        <v>3</v>
      </c>
      <c r="N45" s="62">
        <v>2</v>
      </c>
      <c r="O45" s="62">
        <v>3</v>
      </c>
      <c r="P45" s="62">
        <v>2</v>
      </c>
      <c r="Q45" s="72">
        <f t="shared" si="1"/>
        <v>2.6</v>
      </c>
      <c r="R45" s="62">
        <v>2</v>
      </c>
      <c r="S45" s="62">
        <v>2</v>
      </c>
      <c r="T45" s="62"/>
      <c r="U45" s="62">
        <v>2</v>
      </c>
      <c r="V45" s="62"/>
      <c r="W45" s="72">
        <f t="shared" si="2"/>
        <v>2</v>
      </c>
      <c r="X45" s="62">
        <v>2</v>
      </c>
      <c r="Y45" s="62">
        <v>1</v>
      </c>
      <c r="Z45" s="62"/>
      <c r="AA45" s="62"/>
      <c r="AB45" s="62"/>
      <c r="AC45" s="72">
        <f t="shared" si="3"/>
        <v>1.5</v>
      </c>
      <c r="AD45" s="62">
        <v>2</v>
      </c>
      <c r="AE45" s="62"/>
      <c r="AF45" s="62">
        <v>1</v>
      </c>
      <c r="AG45" s="62"/>
      <c r="AH45" s="62"/>
      <c r="AI45" s="72">
        <f t="shared" si="4"/>
        <v>1.5</v>
      </c>
      <c r="AJ45" s="62"/>
      <c r="AK45" s="62"/>
      <c r="AL45" s="62"/>
      <c r="AM45" s="62"/>
      <c r="AN45" s="62"/>
      <c r="AO45" s="72" t="str">
        <f t="shared" si="5"/>
        <v>A</v>
      </c>
      <c r="AP45" s="62">
        <v>1</v>
      </c>
      <c r="AQ45" s="62">
        <v>1</v>
      </c>
      <c r="AR45" s="62">
        <v>1</v>
      </c>
      <c r="AS45" s="62"/>
      <c r="AT45" s="62"/>
      <c r="AU45" s="72">
        <f t="shared" si="6"/>
        <v>1</v>
      </c>
      <c r="AV45" s="62"/>
      <c r="AW45" s="62"/>
      <c r="AX45" s="62">
        <v>1</v>
      </c>
      <c r="AY45" s="62">
        <v>1</v>
      </c>
      <c r="AZ45" s="62">
        <v>2</v>
      </c>
      <c r="BA45" s="72">
        <f t="shared" si="7"/>
        <v>1.3333333333333333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4</v>
      </c>
      <c r="M46" s="62">
        <v>4</v>
      </c>
      <c r="N46" s="62">
        <v>3</v>
      </c>
      <c r="O46" s="62">
        <v>3</v>
      </c>
      <c r="P46" s="62">
        <v>3</v>
      </c>
      <c r="Q46" s="72">
        <f t="shared" si="1"/>
        <v>3.4</v>
      </c>
      <c r="R46" s="62">
        <v>3</v>
      </c>
      <c r="S46" s="62">
        <v>3</v>
      </c>
      <c r="T46" s="7"/>
      <c r="U46" s="62">
        <v>3</v>
      </c>
      <c r="V46" s="7"/>
      <c r="W46" s="72">
        <f t="shared" si="2"/>
        <v>3</v>
      </c>
      <c r="X46" s="62">
        <v>3</v>
      </c>
      <c r="Y46" s="62">
        <v>3</v>
      </c>
      <c r="Z46" s="7"/>
      <c r="AA46" s="7"/>
      <c r="AB46" s="7"/>
      <c r="AC46" s="72">
        <f t="shared" si="3"/>
        <v>3</v>
      </c>
      <c r="AD46" s="62">
        <v>2</v>
      </c>
      <c r="AE46" s="7"/>
      <c r="AF46" s="62">
        <v>3</v>
      </c>
      <c r="AG46" s="7"/>
      <c r="AH46" s="7"/>
      <c r="AI46" s="72">
        <f t="shared" si="4"/>
        <v>2.5</v>
      </c>
      <c r="AJ46" s="7"/>
      <c r="AK46" s="7"/>
      <c r="AL46" s="7"/>
      <c r="AM46" s="7"/>
      <c r="AN46" s="7"/>
      <c r="AO46" s="72" t="str">
        <f t="shared" si="5"/>
        <v>A</v>
      </c>
      <c r="AP46" s="62">
        <v>1</v>
      </c>
      <c r="AQ46" s="62">
        <v>1</v>
      </c>
      <c r="AR46" s="62">
        <v>1</v>
      </c>
      <c r="AS46" s="7"/>
      <c r="AT46" s="7"/>
      <c r="AU46" s="72">
        <f t="shared" si="6"/>
        <v>1</v>
      </c>
      <c r="AV46" s="7"/>
      <c r="AW46" s="7"/>
      <c r="AX46" s="62">
        <v>5</v>
      </c>
      <c r="AY46" s="62">
        <v>3</v>
      </c>
      <c r="AZ46" s="62">
        <v>3</v>
      </c>
      <c r="BA46" s="72">
        <f t="shared" si="7"/>
        <v>3.6666666666666665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2</v>
      </c>
      <c r="M47" s="62">
        <v>2</v>
      </c>
      <c r="N47" s="62">
        <v>2</v>
      </c>
      <c r="O47" s="62">
        <v>2</v>
      </c>
      <c r="P47" s="62">
        <v>2</v>
      </c>
      <c r="Q47" s="72">
        <f t="shared" si="1"/>
        <v>2</v>
      </c>
      <c r="R47" s="62">
        <v>2</v>
      </c>
      <c r="S47" s="62">
        <v>2</v>
      </c>
      <c r="T47" s="62"/>
      <c r="U47" s="62">
        <v>2</v>
      </c>
      <c r="V47" s="62"/>
      <c r="W47" s="72">
        <f t="shared" si="2"/>
        <v>2</v>
      </c>
      <c r="X47" s="62">
        <v>2</v>
      </c>
      <c r="Y47" s="62">
        <v>2</v>
      </c>
      <c r="Z47" s="62"/>
      <c r="AA47" s="62"/>
      <c r="AB47" s="62"/>
      <c r="AC47" s="72">
        <f t="shared" si="3"/>
        <v>2</v>
      </c>
      <c r="AD47" s="62">
        <v>2</v>
      </c>
      <c r="AE47" s="62"/>
      <c r="AF47" s="62">
        <v>2</v>
      </c>
      <c r="AG47" s="62"/>
      <c r="AH47" s="62"/>
      <c r="AI47" s="72">
        <f t="shared" si="4"/>
        <v>2</v>
      </c>
      <c r="AJ47" s="62"/>
      <c r="AK47" s="62"/>
      <c r="AL47" s="62"/>
      <c r="AM47" s="62"/>
      <c r="AN47" s="62"/>
      <c r="AO47" s="72" t="str">
        <f t="shared" si="5"/>
        <v>A</v>
      </c>
      <c r="AP47" s="62">
        <v>2</v>
      </c>
      <c r="AQ47" s="62">
        <v>2</v>
      </c>
      <c r="AR47" s="62">
        <v>2</v>
      </c>
      <c r="AS47" s="62"/>
      <c r="AT47" s="62"/>
      <c r="AU47" s="72">
        <f t="shared" si="6"/>
        <v>2</v>
      </c>
      <c r="AV47" s="62"/>
      <c r="AW47" s="62"/>
      <c r="AX47" s="62">
        <v>2</v>
      </c>
      <c r="AY47" s="62">
        <v>2</v>
      </c>
      <c r="AZ47" s="62">
        <v>2</v>
      </c>
      <c r="BA47" s="72">
        <f t="shared" si="7"/>
        <v>2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2</v>
      </c>
      <c r="M48" s="62">
        <v>2</v>
      </c>
      <c r="N48" s="62">
        <v>2</v>
      </c>
      <c r="O48" s="62">
        <v>4</v>
      </c>
      <c r="P48" s="62">
        <v>4</v>
      </c>
      <c r="Q48" s="72">
        <f t="shared" si="1"/>
        <v>2.8</v>
      </c>
      <c r="R48" s="62">
        <v>2</v>
      </c>
      <c r="S48" s="62">
        <v>2</v>
      </c>
      <c r="T48" s="7"/>
      <c r="U48" s="62">
        <v>2</v>
      </c>
      <c r="V48" s="7"/>
      <c r="W48" s="72">
        <f t="shared" si="2"/>
        <v>2</v>
      </c>
      <c r="X48" s="62">
        <v>2</v>
      </c>
      <c r="Y48" s="62">
        <v>2</v>
      </c>
      <c r="Z48" s="7"/>
      <c r="AA48" s="7"/>
      <c r="AB48" s="7"/>
      <c r="AC48" s="72">
        <f t="shared" si="3"/>
        <v>2</v>
      </c>
      <c r="AD48" s="62">
        <v>2</v>
      </c>
      <c r="AE48" s="7"/>
      <c r="AF48" s="62">
        <v>0</v>
      </c>
      <c r="AG48" s="7"/>
      <c r="AH48" s="7"/>
      <c r="AI48" s="72">
        <f t="shared" si="4"/>
        <v>1</v>
      </c>
      <c r="AJ48" s="7"/>
      <c r="AK48" s="7"/>
      <c r="AL48" s="7"/>
      <c r="AM48" s="7"/>
      <c r="AN48" s="7"/>
      <c r="AO48" s="72" t="str">
        <f t="shared" si="5"/>
        <v>A</v>
      </c>
      <c r="AP48" s="62">
        <v>2</v>
      </c>
      <c r="AQ48" s="62">
        <v>2</v>
      </c>
      <c r="AR48" s="62">
        <v>2</v>
      </c>
      <c r="AS48" s="7"/>
      <c r="AT48" s="7"/>
      <c r="AU48" s="72">
        <f t="shared" si="6"/>
        <v>2</v>
      </c>
      <c r="AV48" s="7"/>
      <c r="AW48" s="7"/>
      <c r="AX48" s="62">
        <v>2</v>
      </c>
      <c r="AY48" s="62">
        <v>2</v>
      </c>
      <c r="AZ48" s="62">
        <v>2</v>
      </c>
      <c r="BA48" s="72">
        <f t="shared" si="7"/>
        <v>2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1</v>
      </c>
      <c r="M49" s="62">
        <v>1</v>
      </c>
      <c r="N49" s="62">
        <v>1</v>
      </c>
      <c r="O49" s="62">
        <v>3</v>
      </c>
      <c r="P49" s="62">
        <v>1</v>
      </c>
      <c r="Q49" s="72">
        <f t="shared" si="1"/>
        <v>1.4</v>
      </c>
      <c r="R49" s="62">
        <v>2</v>
      </c>
      <c r="S49" s="62">
        <v>2</v>
      </c>
      <c r="T49" s="62"/>
      <c r="U49" s="62">
        <v>2</v>
      </c>
      <c r="V49" s="62"/>
      <c r="W49" s="72">
        <f t="shared" si="2"/>
        <v>2</v>
      </c>
      <c r="X49" s="62">
        <v>2</v>
      </c>
      <c r="Y49" s="62">
        <v>2</v>
      </c>
      <c r="Z49" s="62"/>
      <c r="AA49" s="62"/>
      <c r="AB49" s="62"/>
      <c r="AC49" s="72">
        <f t="shared" si="3"/>
        <v>2</v>
      </c>
      <c r="AD49" s="62">
        <v>2</v>
      </c>
      <c r="AE49" s="62"/>
      <c r="AF49" s="62">
        <v>2</v>
      </c>
      <c r="AG49" s="62"/>
      <c r="AH49" s="62"/>
      <c r="AI49" s="72">
        <f t="shared" si="4"/>
        <v>2</v>
      </c>
      <c r="AJ49" s="62"/>
      <c r="AK49" s="62"/>
      <c r="AL49" s="62"/>
      <c r="AM49" s="62"/>
      <c r="AN49" s="62"/>
      <c r="AO49" s="72" t="str">
        <f t="shared" si="5"/>
        <v>A</v>
      </c>
      <c r="AP49" s="62">
        <v>1</v>
      </c>
      <c r="AQ49" s="62">
        <v>1</v>
      </c>
      <c r="AR49" s="62">
        <v>1</v>
      </c>
      <c r="AS49" s="62"/>
      <c r="AT49" s="62"/>
      <c r="AU49" s="72">
        <f t="shared" si="6"/>
        <v>1</v>
      </c>
      <c r="AV49" s="62"/>
      <c r="AW49" s="62"/>
      <c r="AX49" s="62">
        <v>5</v>
      </c>
      <c r="AY49" s="62">
        <v>3</v>
      </c>
      <c r="AZ49" s="62">
        <v>2</v>
      </c>
      <c r="BA49" s="72">
        <f t="shared" si="7"/>
        <v>3.3333333333333335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2</v>
      </c>
      <c r="M50" s="62">
        <v>2</v>
      </c>
      <c r="N50" s="62">
        <v>2</v>
      </c>
      <c r="O50" s="62">
        <v>2</v>
      </c>
      <c r="P50" s="62">
        <v>2</v>
      </c>
      <c r="Q50" s="72">
        <f t="shared" si="1"/>
        <v>2</v>
      </c>
      <c r="R50" s="62">
        <v>2</v>
      </c>
      <c r="S50" s="62">
        <v>2</v>
      </c>
      <c r="T50" s="7"/>
      <c r="U50" s="62">
        <v>2</v>
      </c>
      <c r="V50" s="7"/>
      <c r="W50" s="72">
        <f t="shared" si="2"/>
        <v>2</v>
      </c>
      <c r="X50" s="62">
        <v>2</v>
      </c>
      <c r="Y50" s="62">
        <v>2</v>
      </c>
      <c r="Z50" s="7"/>
      <c r="AA50" s="7"/>
      <c r="AB50" s="7"/>
      <c r="AC50" s="72">
        <f t="shared" si="3"/>
        <v>2</v>
      </c>
      <c r="AD50" s="62">
        <v>2</v>
      </c>
      <c r="AE50" s="7"/>
      <c r="AF50" s="62">
        <v>2</v>
      </c>
      <c r="AG50" s="7"/>
      <c r="AH50" s="7"/>
      <c r="AI50" s="72">
        <f t="shared" si="4"/>
        <v>2</v>
      </c>
      <c r="AJ50" s="7"/>
      <c r="AK50" s="7"/>
      <c r="AL50" s="7"/>
      <c r="AM50" s="7"/>
      <c r="AN50" s="7"/>
      <c r="AO50" s="72" t="str">
        <f t="shared" si="5"/>
        <v>A</v>
      </c>
      <c r="AP50" s="62">
        <v>2</v>
      </c>
      <c r="AQ50" s="62">
        <v>2</v>
      </c>
      <c r="AR50" s="62">
        <v>2</v>
      </c>
      <c r="AS50" s="7"/>
      <c r="AT50" s="7"/>
      <c r="AU50" s="72">
        <f t="shared" si="6"/>
        <v>2</v>
      </c>
      <c r="AV50" s="7"/>
      <c r="AW50" s="7"/>
      <c r="AX50" s="62">
        <v>2</v>
      </c>
      <c r="AY50" s="62">
        <v>2</v>
      </c>
      <c r="AZ50" s="62">
        <v>2</v>
      </c>
      <c r="BA50" s="72">
        <f t="shared" si="7"/>
        <v>2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2</v>
      </c>
      <c r="M51" s="62">
        <v>3</v>
      </c>
      <c r="N51" s="62">
        <v>2</v>
      </c>
      <c r="O51" s="62">
        <v>4</v>
      </c>
      <c r="P51" s="62">
        <v>3</v>
      </c>
      <c r="Q51" s="72">
        <f t="shared" si="1"/>
        <v>2.8</v>
      </c>
      <c r="R51" s="62">
        <v>3</v>
      </c>
      <c r="S51" s="62">
        <v>3</v>
      </c>
      <c r="T51" s="62"/>
      <c r="U51" s="62">
        <v>3</v>
      </c>
      <c r="V51" s="62"/>
      <c r="W51" s="72">
        <f t="shared" si="2"/>
        <v>3</v>
      </c>
      <c r="X51" s="62">
        <v>3</v>
      </c>
      <c r="Y51" s="62">
        <v>3</v>
      </c>
      <c r="Z51" s="62"/>
      <c r="AA51" s="62"/>
      <c r="AB51" s="62"/>
      <c r="AC51" s="72">
        <f t="shared" si="3"/>
        <v>3</v>
      </c>
      <c r="AD51" s="62">
        <v>3</v>
      </c>
      <c r="AE51" s="62"/>
      <c r="AF51" s="62">
        <v>0</v>
      </c>
      <c r="AG51" s="62"/>
      <c r="AH51" s="62"/>
      <c r="AI51" s="72">
        <f t="shared" si="4"/>
        <v>1.5</v>
      </c>
      <c r="AJ51" s="62"/>
      <c r="AK51" s="62"/>
      <c r="AL51" s="62"/>
      <c r="AM51" s="62"/>
      <c r="AN51" s="62"/>
      <c r="AO51" s="72" t="str">
        <f t="shared" si="5"/>
        <v>A</v>
      </c>
      <c r="AP51" s="62">
        <v>3</v>
      </c>
      <c r="AQ51" s="62">
        <v>2</v>
      </c>
      <c r="AR51" s="62">
        <v>2</v>
      </c>
      <c r="AS51" s="62"/>
      <c r="AT51" s="62"/>
      <c r="AU51" s="72">
        <f t="shared" si="6"/>
        <v>2.3333333333333335</v>
      </c>
      <c r="AV51" s="62"/>
      <c r="AW51" s="62"/>
      <c r="AX51" s="62">
        <v>2</v>
      </c>
      <c r="AY51" s="62">
        <v>5</v>
      </c>
      <c r="AZ51" s="62">
        <v>3</v>
      </c>
      <c r="BA51" s="72">
        <f t="shared" si="7"/>
        <v>3.3333333333333335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1</v>
      </c>
      <c r="M52" s="62">
        <v>1</v>
      </c>
      <c r="N52" s="62">
        <v>1</v>
      </c>
      <c r="O52" s="62">
        <v>3</v>
      </c>
      <c r="P52" s="62">
        <v>1</v>
      </c>
      <c r="Q52" s="72">
        <f t="shared" si="1"/>
        <v>1.4</v>
      </c>
      <c r="R52" s="62">
        <v>1</v>
      </c>
      <c r="S52" s="62">
        <v>1</v>
      </c>
      <c r="T52" s="7"/>
      <c r="U52" s="62">
        <v>1</v>
      </c>
      <c r="V52" s="7"/>
      <c r="W52" s="72">
        <f t="shared" si="2"/>
        <v>1</v>
      </c>
      <c r="X52" s="62">
        <v>1</v>
      </c>
      <c r="Y52" s="62">
        <v>1</v>
      </c>
      <c r="Z52" s="7"/>
      <c r="AA52" s="7"/>
      <c r="AB52" s="7"/>
      <c r="AC52" s="72">
        <f t="shared" si="3"/>
        <v>1</v>
      </c>
      <c r="AD52" s="62">
        <v>1</v>
      </c>
      <c r="AE52" s="7"/>
      <c r="AF52" s="62">
        <v>1</v>
      </c>
      <c r="AG52" s="7"/>
      <c r="AH52" s="7"/>
      <c r="AI52" s="72">
        <f t="shared" si="4"/>
        <v>1</v>
      </c>
      <c r="AJ52" s="7"/>
      <c r="AK52" s="7"/>
      <c r="AL52" s="7"/>
      <c r="AM52" s="7"/>
      <c r="AN52" s="7"/>
      <c r="AO52" s="72" t="str">
        <f t="shared" si="5"/>
        <v>A</v>
      </c>
      <c r="AP52" s="62">
        <v>1</v>
      </c>
      <c r="AQ52" s="62">
        <v>1</v>
      </c>
      <c r="AR52" s="62">
        <v>1</v>
      </c>
      <c r="AS52" s="7"/>
      <c r="AT52" s="7"/>
      <c r="AU52" s="72">
        <f t="shared" si="6"/>
        <v>1</v>
      </c>
      <c r="AV52" s="7"/>
      <c r="AW52" s="7"/>
      <c r="AX52" s="62">
        <v>1</v>
      </c>
      <c r="AY52" s="62">
        <v>1</v>
      </c>
      <c r="AZ52" s="62">
        <v>1</v>
      </c>
      <c r="BA52" s="72">
        <f t="shared" si="7"/>
        <v>1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2</v>
      </c>
      <c r="M53" s="62">
        <v>3</v>
      </c>
      <c r="N53" s="62">
        <v>2</v>
      </c>
      <c r="O53" s="62">
        <v>3</v>
      </c>
      <c r="P53" s="62">
        <v>3</v>
      </c>
      <c r="Q53" s="72">
        <f t="shared" si="1"/>
        <v>2.6</v>
      </c>
      <c r="R53" s="62">
        <v>3</v>
      </c>
      <c r="S53" s="62">
        <v>2</v>
      </c>
      <c r="T53" s="62"/>
      <c r="U53" s="62">
        <v>3</v>
      </c>
      <c r="V53" s="62"/>
      <c r="W53" s="72">
        <f t="shared" si="2"/>
        <v>2.6666666666666665</v>
      </c>
      <c r="X53" s="62">
        <v>3</v>
      </c>
      <c r="Y53" s="62">
        <v>2</v>
      </c>
      <c r="Z53" s="62"/>
      <c r="AA53" s="62"/>
      <c r="AB53" s="62"/>
      <c r="AC53" s="72">
        <f t="shared" si="3"/>
        <v>2.5</v>
      </c>
      <c r="AD53" s="62">
        <v>3</v>
      </c>
      <c r="AE53" s="62"/>
      <c r="AF53" s="62">
        <v>2</v>
      </c>
      <c r="AG53" s="62"/>
      <c r="AH53" s="62"/>
      <c r="AI53" s="72">
        <f t="shared" si="4"/>
        <v>2.5</v>
      </c>
      <c r="AJ53" s="62"/>
      <c r="AK53" s="62"/>
      <c r="AL53" s="62"/>
      <c r="AM53" s="62"/>
      <c r="AN53" s="62"/>
      <c r="AO53" s="72" t="str">
        <f t="shared" si="5"/>
        <v>A</v>
      </c>
      <c r="AP53" s="62">
        <v>2</v>
      </c>
      <c r="AQ53" s="62">
        <v>3</v>
      </c>
      <c r="AR53" s="62">
        <v>3</v>
      </c>
      <c r="AS53" s="62"/>
      <c r="AT53" s="62"/>
      <c r="AU53" s="72">
        <f t="shared" si="6"/>
        <v>2.6666666666666665</v>
      </c>
      <c r="AV53" s="62"/>
      <c r="AW53" s="62"/>
      <c r="AX53" s="62">
        <v>2</v>
      </c>
      <c r="AY53" s="62">
        <v>3</v>
      </c>
      <c r="AZ53" s="62">
        <v>3</v>
      </c>
      <c r="BA53" s="72">
        <f t="shared" si="7"/>
        <v>2.6666666666666665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3</v>
      </c>
      <c r="M54" s="62">
        <v>3</v>
      </c>
      <c r="N54" s="62">
        <v>3</v>
      </c>
      <c r="O54" s="62">
        <v>3</v>
      </c>
      <c r="P54" s="62">
        <v>2</v>
      </c>
      <c r="Q54" s="72">
        <f t="shared" si="1"/>
        <v>2.8</v>
      </c>
      <c r="R54" s="62">
        <v>2</v>
      </c>
      <c r="S54" s="62">
        <v>3</v>
      </c>
      <c r="T54" s="7"/>
      <c r="U54" s="62">
        <v>3</v>
      </c>
      <c r="V54" s="7"/>
      <c r="W54" s="72">
        <f t="shared" si="2"/>
        <v>2.6666666666666665</v>
      </c>
      <c r="X54" s="62">
        <v>2</v>
      </c>
      <c r="Y54" s="62">
        <v>3</v>
      </c>
      <c r="Z54" s="7"/>
      <c r="AA54" s="7"/>
      <c r="AB54" s="7"/>
      <c r="AC54" s="72">
        <f t="shared" si="3"/>
        <v>2.5</v>
      </c>
      <c r="AD54" s="62">
        <v>3</v>
      </c>
      <c r="AE54" s="7"/>
      <c r="AF54" s="62">
        <v>3</v>
      </c>
      <c r="AG54" s="7"/>
      <c r="AH54" s="7"/>
      <c r="AI54" s="72">
        <f t="shared" si="4"/>
        <v>3</v>
      </c>
      <c r="AJ54" s="7"/>
      <c r="AK54" s="7"/>
      <c r="AL54" s="7"/>
      <c r="AM54" s="7"/>
      <c r="AN54" s="7"/>
      <c r="AO54" s="72" t="str">
        <f t="shared" si="5"/>
        <v>A</v>
      </c>
      <c r="AP54" s="62">
        <v>3</v>
      </c>
      <c r="AQ54" s="62">
        <v>3</v>
      </c>
      <c r="AR54" s="62">
        <v>2</v>
      </c>
      <c r="AS54" s="7"/>
      <c r="AT54" s="7"/>
      <c r="AU54" s="72">
        <f t="shared" si="6"/>
        <v>2.6666666666666665</v>
      </c>
      <c r="AV54" s="7"/>
      <c r="AW54" s="7"/>
      <c r="AX54" s="62">
        <v>3</v>
      </c>
      <c r="AY54" s="62">
        <v>3</v>
      </c>
      <c r="AZ54" s="62">
        <v>2</v>
      </c>
      <c r="BA54" s="72">
        <f t="shared" si="7"/>
        <v>2.6666666666666665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2</v>
      </c>
      <c r="M55" s="62">
        <v>2</v>
      </c>
      <c r="N55" s="62">
        <v>2</v>
      </c>
      <c r="O55" s="62">
        <v>2</v>
      </c>
      <c r="P55" s="62">
        <v>2</v>
      </c>
      <c r="Q55" s="72">
        <f t="shared" si="1"/>
        <v>2</v>
      </c>
      <c r="R55" s="62">
        <v>2</v>
      </c>
      <c r="S55" s="62">
        <v>2</v>
      </c>
      <c r="T55" s="62"/>
      <c r="U55" s="62">
        <v>2</v>
      </c>
      <c r="V55" s="62"/>
      <c r="W55" s="72">
        <f t="shared" si="2"/>
        <v>2</v>
      </c>
      <c r="X55" s="62">
        <v>2</v>
      </c>
      <c r="Y55" s="62">
        <v>2</v>
      </c>
      <c r="Z55" s="62"/>
      <c r="AA55" s="62"/>
      <c r="AB55" s="62"/>
      <c r="AC55" s="72">
        <f t="shared" si="3"/>
        <v>2</v>
      </c>
      <c r="AD55" s="62">
        <v>2</v>
      </c>
      <c r="AE55" s="62"/>
      <c r="AF55" s="62">
        <v>2</v>
      </c>
      <c r="AG55" s="62"/>
      <c r="AH55" s="62"/>
      <c r="AI55" s="72">
        <f t="shared" si="4"/>
        <v>2</v>
      </c>
      <c r="AJ55" s="62"/>
      <c r="AK55" s="62"/>
      <c r="AL55" s="62"/>
      <c r="AM55" s="62"/>
      <c r="AN55" s="62"/>
      <c r="AO55" s="72" t="str">
        <f t="shared" si="5"/>
        <v>A</v>
      </c>
      <c r="AP55" s="62">
        <v>2</v>
      </c>
      <c r="AQ55" s="62">
        <v>2</v>
      </c>
      <c r="AR55" s="62">
        <v>2</v>
      </c>
      <c r="AS55" s="62"/>
      <c r="AT55" s="62"/>
      <c r="AU55" s="72">
        <f t="shared" si="6"/>
        <v>2</v>
      </c>
      <c r="AV55" s="62"/>
      <c r="AW55" s="62"/>
      <c r="AX55" s="62">
        <v>2</v>
      </c>
      <c r="AY55" s="62">
        <v>2</v>
      </c>
      <c r="AZ55" s="62">
        <v>2</v>
      </c>
      <c r="BA55" s="72">
        <f t="shared" si="7"/>
        <v>2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2</v>
      </c>
      <c r="M56" s="62">
        <v>2</v>
      </c>
      <c r="N56" s="62">
        <v>2</v>
      </c>
      <c r="O56" s="62">
        <v>4</v>
      </c>
      <c r="P56" s="62">
        <v>2</v>
      </c>
      <c r="Q56" s="72">
        <f t="shared" si="1"/>
        <v>2.4</v>
      </c>
      <c r="R56" s="62">
        <v>2</v>
      </c>
      <c r="S56" s="62">
        <v>2</v>
      </c>
      <c r="T56" s="7"/>
      <c r="U56" s="62">
        <v>2</v>
      </c>
      <c r="V56" s="7"/>
      <c r="W56" s="72">
        <f t="shared" si="2"/>
        <v>2</v>
      </c>
      <c r="X56" s="62">
        <v>2</v>
      </c>
      <c r="Y56" s="62">
        <v>2</v>
      </c>
      <c r="Z56" s="7"/>
      <c r="AA56" s="7"/>
      <c r="AB56" s="7"/>
      <c r="AC56" s="72">
        <f t="shared" si="3"/>
        <v>2</v>
      </c>
      <c r="AD56" s="62">
        <v>2</v>
      </c>
      <c r="AE56" s="7"/>
      <c r="AF56" s="62">
        <v>0</v>
      </c>
      <c r="AG56" s="7"/>
      <c r="AH56" s="7"/>
      <c r="AI56" s="72">
        <f t="shared" si="4"/>
        <v>1</v>
      </c>
      <c r="AJ56" s="7"/>
      <c r="AK56" s="7"/>
      <c r="AL56" s="7"/>
      <c r="AM56" s="7"/>
      <c r="AN56" s="7"/>
      <c r="AO56" s="72" t="str">
        <f t="shared" si="5"/>
        <v>A</v>
      </c>
      <c r="AP56" s="62">
        <v>2</v>
      </c>
      <c r="AQ56" s="62">
        <v>2</v>
      </c>
      <c r="AR56" s="62">
        <v>2</v>
      </c>
      <c r="AS56" s="7"/>
      <c r="AT56" s="7"/>
      <c r="AU56" s="72">
        <f t="shared" si="6"/>
        <v>2</v>
      </c>
      <c r="AV56" s="7"/>
      <c r="AW56" s="7"/>
      <c r="AX56" s="62">
        <v>2</v>
      </c>
      <c r="AY56" s="62">
        <v>2</v>
      </c>
      <c r="AZ56" s="62">
        <v>2</v>
      </c>
      <c r="BA56" s="72">
        <f t="shared" si="7"/>
        <v>2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3</v>
      </c>
      <c r="M57" s="62">
        <v>3</v>
      </c>
      <c r="N57" s="62">
        <v>3</v>
      </c>
      <c r="O57" s="62">
        <v>3</v>
      </c>
      <c r="P57" s="62">
        <v>3</v>
      </c>
      <c r="Q57" s="72">
        <f t="shared" si="1"/>
        <v>3</v>
      </c>
      <c r="R57" s="62">
        <v>3</v>
      </c>
      <c r="S57" s="62">
        <v>3</v>
      </c>
      <c r="T57" s="62"/>
      <c r="U57" s="62">
        <v>3</v>
      </c>
      <c r="V57" s="62"/>
      <c r="W57" s="72">
        <f t="shared" si="2"/>
        <v>3</v>
      </c>
      <c r="X57" s="62">
        <v>3</v>
      </c>
      <c r="Y57" s="62">
        <v>3</v>
      </c>
      <c r="Z57" s="62"/>
      <c r="AA57" s="62"/>
      <c r="AB57" s="62"/>
      <c r="AC57" s="72">
        <f t="shared" si="3"/>
        <v>3</v>
      </c>
      <c r="AD57" s="62">
        <v>3</v>
      </c>
      <c r="AE57" s="62"/>
      <c r="AF57" s="62">
        <v>3</v>
      </c>
      <c r="AG57" s="62"/>
      <c r="AH57" s="62"/>
      <c r="AI57" s="72">
        <f t="shared" si="4"/>
        <v>3</v>
      </c>
      <c r="AJ57" s="62"/>
      <c r="AK57" s="62"/>
      <c r="AL57" s="62"/>
      <c r="AM57" s="62"/>
      <c r="AN57" s="62"/>
      <c r="AO57" s="72" t="str">
        <f t="shared" si="5"/>
        <v>A</v>
      </c>
      <c r="AP57" s="62">
        <v>3</v>
      </c>
      <c r="AQ57" s="62">
        <v>3</v>
      </c>
      <c r="AR57" s="62">
        <v>3</v>
      </c>
      <c r="AS57" s="62"/>
      <c r="AT57" s="62"/>
      <c r="AU57" s="72">
        <f t="shared" si="6"/>
        <v>3</v>
      </c>
      <c r="AV57" s="62"/>
      <c r="AW57" s="62"/>
      <c r="AX57" s="62">
        <v>3</v>
      </c>
      <c r="AY57" s="62">
        <v>3</v>
      </c>
      <c r="AZ57" s="62">
        <v>3</v>
      </c>
      <c r="BA57" s="72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4</v>
      </c>
      <c r="M58" s="62">
        <v>3</v>
      </c>
      <c r="N58" s="62">
        <v>2</v>
      </c>
      <c r="O58" s="62">
        <v>3</v>
      </c>
      <c r="P58" s="62">
        <v>2</v>
      </c>
      <c r="Q58" s="72">
        <f t="shared" si="1"/>
        <v>2.8</v>
      </c>
      <c r="R58" s="62">
        <v>2</v>
      </c>
      <c r="S58" s="62">
        <v>2</v>
      </c>
      <c r="T58" s="7"/>
      <c r="U58" s="62">
        <v>2</v>
      </c>
      <c r="V58" s="7"/>
      <c r="W58" s="72">
        <f t="shared" si="2"/>
        <v>2</v>
      </c>
      <c r="X58" s="62">
        <v>2</v>
      </c>
      <c r="Y58" s="62">
        <v>2</v>
      </c>
      <c r="Z58" s="7"/>
      <c r="AA58" s="7"/>
      <c r="AB58" s="7"/>
      <c r="AC58" s="72">
        <f t="shared" si="3"/>
        <v>2</v>
      </c>
      <c r="AD58" s="62">
        <v>2</v>
      </c>
      <c r="AE58" s="7"/>
      <c r="AF58" s="62">
        <v>2</v>
      </c>
      <c r="AG58" s="7"/>
      <c r="AH58" s="7"/>
      <c r="AI58" s="72">
        <f t="shared" si="4"/>
        <v>2</v>
      </c>
      <c r="AJ58" s="7"/>
      <c r="AK58" s="7"/>
      <c r="AL58" s="7"/>
      <c r="AM58" s="7"/>
      <c r="AN58" s="7"/>
      <c r="AO58" s="72" t="str">
        <f t="shared" si="5"/>
        <v>A</v>
      </c>
      <c r="AP58" s="62">
        <v>3</v>
      </c>
      <c r="AQ58" s="62">
        <v>3</v>
      </c>
      <c r="AR58" s="62">
        <v>3</v>
      </c>
      <c r="AS58" s="7"/>
      <c r="AT58" s="7"/>
      <c r="AU58" s="72">
        <f t="shared" si="6"/>
        <v>3</v>
      </c>
      <c r="AV58" s="7"/>
      <c r="AW58" s="7"/>
      <c r="AX58" s="62">
        <v>2</v>
      </c>
      <c r="AY58" s="62">
        <v>2</v>
      </c>
      <c r="AZ58" s="62">
        <v>2</v>
      </c>
      <c r="BA58" s="72">
        <f t="shared" si="7"/>
        <v>2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2</v>
      </c>
      <c r="M59" s="62">
        <v>2</v>
      </c>
      <c r="N59" s="62">
        <v>2</v>
      </c>
      <c r="O59" s="62">
        <v>2</v>
      </c>
      <c r="P59" s="62">
        <v>2</v>
      </c>
      <c r="Q59" s="72">
        <f t="shared" si="1"/>
        <v>2</v>
      </c>
      <c r="R59" s="62">
        <v>2</v>
      </c>
      <c r="S59" s="62">
        <v>2</v>
      </c>
      <c r="T59" s="62"/>
      <c r="U59" s="62">
        <v>2</v>
      </c>
      <c r="V59" s="62"/>
      <c r="W59" s="72">
        <f t="shared" si="2"/>
        <v>2</v>
      </c>
      <c r="X59" s="62">
        <v>2</v>
      </c>
      <c r="Y59" s="62">
        <v>2</v>
      </c>
      <c r="Z59" s="62"/>
      <c r="AA59" s="62"/>
      <c r="AB59" s="62"/>
      <c r="AC59" s="72">
        <f t="shared" si="3"/>
        <v>2</v>
      </c>
      <c r="AD59" s="62">
        <v>2</v>
      </c>
      <c r="AE59" s="62"/>
      <c r="AF59" s="62">
        <v>0</v>
      </c>
      <c r="AG59" s="62"/>
      <c r="AH59" s="62"/>
      <c r="AI59" s="72">
        <f t="shared" si="4"/>
        <v>1</v>
      </c>
      <c r="AJ59" s="62"/>
      <c r="AK59" s="62"/>
      <c r="AL59" s="62"/>
      <c r="AM59" s="62"/>
      <c r="AN59" s="62"/>
      <c r="AO59" s="72" t="str">
        <f t="shared" si="5"/>
        <v>A</v>
      </c>
      <c r="AP59" s="62">
        <v>2</v>
      </c>
      <c r="AQ59" s="62">
        <v>2</v>
      </c>
      <c r="AR59" s="62">
        <v>2</v>
      </c>
      <c r="AS59" s="62"/>
      <c r="AT59" s="62"/>
      <c r="AU59" s="72">
        <f t="shared" si="6"/>
        <v>2</v>
      </c>
      <c r="AV59" s="62"/>
      <c r="AW59" s="62"/>
      <c r="AX59" s="62">
        <v>2</v>
      </c>
      <c r="AY59" s="62">
        <v>2</v>
      </c>
      <c r="AZ59" s="62">
        <v>2</v>
      </c>
      <c r="BA59" s="72">
        <f t="shared" si="7"/>
        <v>2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2</v>
      </c>
      <c r="M60" s="62">
        <v>2</v>
      </c>
      <c r="N60" s="62">
        <v>2</v>
      </c>
      <c r="O60" s="62">
        <v>2</v>
      </c>
      <c r="P60" s="62">
        <v>2</v>
      </c>
      <c r="Q60" s="72">
        <f t="shared" si="1"/>
        <v>2</v>
      </c>
      <c r="R60" s="62">
        <v>2</v>
      </c>
      <c r="S60" s="62">
        <v>2</v>
      </c>
      <c r="T60" s="7"/>
      <c r="U60" s="62">
        <v>2</v>
      </c>
      <c r="V60" s="7"/>
      <c r="W60" s="72">
        <f t="shared" si="2"/>
        <v>2</v>
      </c>
      <c r="X60" s="62">
        <v>2</v>
      </c>
      <c r="Y60" s="62">
        <v>2</v>
      </c>
      <c r="Z60" s="7"/>
      <c r="AA60" s="7"/>
      <c r="AB60" s="7"/>
      <c r="AC60" s="72">
        <f t="shared" si="3"/>
        <v>2</v>
      </c>
      <c r="AD60" s="62">
        <v>2</v>
      </c>
      <c r="AE60" s="7"/>
      <c r="AF60" s="62">
        <v>0</v>
      </c>
      <c r="AG60" s="7"/>
      <c r="AH60" s="7"/>
      <c r="AI60" s="72">
        <f t="shared" si="4"/>
        <v>1</v>
      </c>
      <c r="AJ60" s="7"/>
      <c r="AK60" s="7"/>
      <c r="AL60" s="7"/>
      <c r="AM60" s="7"/>
      <c r="AN60" s="7"/>
      <c r="AO60" s="72" t="str">
        <f t="shared" si="5"/>
        <v>A</v>
      </c>
      <c r="AP60" s="62">
        <v>2</v>
      </c>
      <c r="AQ60" s="62">
        <v>2</v>
      </c>
      <c r="AR60" s="62">
        <v>2</v>
      </c>
      <c r="AS60" s="7"/>
      <c r="AT60" s="7"/>
      <c r="AU60" s="72">
        <f t="shared" si="6"/>
        <v>2</v>
      </c>
      <c r="AV60" s="7"/>
      <c r="AW60" s="7"/>
      <c r="AX60" s="62">
        <v>2</v>
      </c>
      <c r="AY60" s="62">
        <v>2</v>
      </c>
      <c r="AZ60" s="62">
        <v>2</v>
      </c>
      <c r="BA60" s="72">
        <f t="shared" si="7"/>
        <v>2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>
        <v>3</v>
      </c>
      <c r="N61" s="62">
        <v>2</v>
      </c>
      <c r="O61" s="62">
        <v>3</v>
      </c>
      <c r="P61" s="62">
        <v>3</v>
      </c>
      <c r="Q61" s="72">
        <f t="shared" si="1"/>
        <v>2.8</v>
      </c>
      <c r="R61" s="62">
        <v>3</v>
      </c>
      <c r="S61" s="62">
        <v>3</v>
      </c>
      <c r="T61" s="62"/>
      <c r="U61" s="62">
        <v>2</v>
      </c>
      <c r="V61" s="62"/>
      <c r="W61" s="72">
        <f t="shared" si="2"/>
        <v>2.6666666666666665</v>
      </c>
      <c r="X61" s="62">
        <v>1</v>
      </c>
      <c r="Y61" s="62">
        <v>2</v>
      </c>
      <c r="Z61" s="62"/>
      <c r="AA61" s="62"/>
      <c r="AB61" s="62"/>
      <c r="AC61" s="72">
        <f t="shared" si="3"/>
        <v>1.5</v>
      </c>
      <c r="AD61" s="62">
        <v>3</v>
      </c>
      <c r="AE61" s="62"/>
      <c r="AF61" s="62">
        <v>3</v>
      </c>
      <c r="AG61" s="62"/>
      <c r="AH61" s="62"/>
      <c r="AI61" s="72">
        <f t="shared" si="4"/>
        <v>3</v>
      </c>
      <c r="AJ61" s="62"/>
      <c r="AK61" s="62"/>
      <c r="AL61" s="62"/>
      <c r="AM61" s="62"/>
      <c r="AN61" s="62"/>
      <c r="AO61" s="72" t="str">
        <f t="shared" si="5"/>
        <v>A</v>
      </c>
      <c r="AP61" s="62">
        <v>2</v>
      </c>
      <c r="AQ61" s="62">
        <v>2</v>
      </c>
      <c r="AR61" s="62">
        <v>2</v>
      </c>
      <c r="AS61" s="62"/>
      <c r="AT61" s="62"/>
      <c r="AU61" s="72">
        <f t="shared" si="6"/>
        <v>2</v>
      </c>
      <c r="AV61" s="62"/>
      <c r="AW61" s="62"/>
      <c r="AX61" s="62">
        <v>5</v>
      </c>
      <c r="AY61" s="62">
        <v>3</v>
      </c>
      <c r="AZ61" s="62">
        <v>4</v>
      </c>
      <c r="BA61" s="72">
        <f t="shared" si="7"/>
        <v>4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2</v>
      </c>
      <c r="M62" s="62">
        <v>2</v>
      </c>
      <c r="N62" s="62">
        <v>2</v>
      </c>
      <c r="O62" s="62">
        <v>3</v>
      </c>
      <c r="P62" s="62">
        <v>2</v>
      </c>
      <c r="Q62" s="72">
        <f t="shared" si="1"/>
        <v>2.2000000000000002</v>
      </c>
      <c r="R62" s="62">
        <v>1</v>
      </c>
      <c r="S62" s="62">
        <v>1</v>
      </c>
      <c r="T62" s="7"/>
      <c r="U62" s="62">
        <v>1</v>
      </c>
      <c r="V62" s="7"/>
      <c r="W62" s="72">
        <f t="shared" si="2"/>
        <v>1</v>
      </c>
      <c r="X62" s="62">
        <v>1</v>
      </c>
      <c r="Y62" s="62">
        <v>1</v>
      </c>
      <c r="Z62" s="7"/>
      <c r="AA62" s="7"/>
      <c r="AB62" s="7"/>
      <c r="AC62" s="72">
        <f t="shared" si="3"/>
        <v>1</v>
      </c>
      <c r="AD62" s="62">
        <v>1</v>
      </c>
      <c r="AE62" s="7"/>
      <c r="AF62" s="62">
        <v>1</v>
      </c>
      <c r="AG62" s="7"/>
      <c r="AH62" s="7"/>
      <c r="AI62" s="72">
        <f t="shared" si="4"/>
        <v>1</v>
      </c>
      <c r="AJ62" s="7"/>
      <c r="AK62" s="7"/>
      <c r="AL62" s="7"/>
      <c r="AM62" s="7"/>
      <c r="AN62" s="7"/>
      <c r="AO62" s="72" t="str">
        <f t="shared" si="5"/>
        <v>A</v>
      </c>
      <c r="AP62" s="62">
        <v>1</v>
      </c>
      <c r="AQ62" s="62">
        <v>1</v>
      </c>
      <c r="AR62" s="62">
        <v>1</v>
      </c>
      <c r="AS62" s="7"/>
      <c r="AT62" s="7"/>
      <c r="AU62" s="72">
        <f t="shared" si="6"/>
        <v>1</v>
      </c>
      <c r="AV62" s="7"/>
      <c r="AW62" s="7"/>
      <c r="AX62" s="62">
        <v>1</v>
      </c>
      <c r="AY62" s="62">
        <v>1</v>
      </c>
      <c r="AZ62" s="62">
        <v>1</v>
      </c>
      <c r="BA62" s="72">
        <f t="shared" si="7"/>
        <v>1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3</v>
      </c>
      <c r="M63" s="62">
        <v>2</v>
      </c>
      <c r="N63" s="62">
        <v>2</v>
      </c>
      <c r="O63" s="62">
        <v>3</v>
      </c>
      <c r="P63" s="62">
        <v>2</v>
      </c>
      <c r="Q63" s="72">
        <f t="shared" si="1"/>
        <v>2.4</v>
      </c>
      <c r="R63" s="62">
        <v>4</v>
      </c>
      <c r="S63" s="62">
        <v>3</v>
      </c>
      <c r="T63" s="62"/>
      <c r="U63" s="62">
        <v>4</v>
      </c>
      <c r="V63" s="62"/>
      <c r="W63" s="72">
        <f t="shared" si="2"/>
        <v>3.6666666666666665</v>
      </c>
      <c r="X63" s="62">
        <v>3</v>
      </c>
      <c r="Y63" s="62">
        <v>2</v>
      </c>
      <c r="Z63" s="62"/>
      <c r="AA63" s="62"/>
      <c r="AB63" s="62"/>
      <c r="AC63" s="72">
        <f t="shared" si="3"/>
        <v>2.5</v>
      </c>
      <c r="AD63" s="62">
        <v>3</v>
      </c>
      <c r="AE63" s="62"/>
      <c r="AF63" s="62">
        <v>4</v>
      </c>
      <c r="AG63" s="62"/>
      <c r="AH63" s="62"/>
      <c r="AI63" s="72">
        <f t="shared" si="4"/>
        <v>3.5</v>
      </c>
      <c r="AJ63" s="62"/>
      <c r="AK63" s="62"/>
      <c r="AL63" s="62"/>
      <c r="AM63" s="62"/>
      <c r="AN63" s="62"/>
      <c r="AO63" s="72" t="str">
        <f t="shared" si="5"/>
        <v>A</v>
      </c>
      <c r="AP63" s="62">
        <v>3</v>
      </c>
      <c r="AQ63" s="62">
        <v>3</v>
      </c>
      <c r="AR63" s="62">
        <v>2</v>
      </c>
      <c r="AS63" s="62"/>
      <c r="AT63" s="62"/>
      <c r="AU63" s="72">
        <f t="shared" si="6"/>
        <v>2.6666666666666665</v>
      </c>
      <c r="AV63" s="62"/>
      <c r="AW63" s="62"/>
      <c r="AX63" s="62">
        <v>4</v>
      </c>
      <c r="AY63" s="62">
        <v>3</v>
      </c>
      <c r="AZ63" s="62">
        <v>3</v>
      </c>
      <c r="BA63" s="72">
        <f t="shared" si="7"/>
        <v>3.3333333333333335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>
        <v>3</v>
      </c>
      <c r="N64" s="62">
        <v>3</v>
      </c>
      <c r="O64" s="62">
        <v>3</v>
      </c>
      <c r="P64" s="62">
        <v>3</v>
      </c>
      <c r="Q64" s="72">
        <f t="shared" si="1"/>
        <v>3</v>
      </c>
      <c r="R64" s="62">
        <v>3</v>
      </c>
      <c r="S64" s="62">
        <v>3</v>
      </c>
      <c r="T64" s="7"/>
      <c r="U64" s="62">
        <v>3</v>
      </c>
      <c r="V64" s="7"/>
      <c r="W64" s="72">
        <f t="shared" si="2"/>
        <v>3</v>
      </c>
      <c r="X64" s="62">
        <v>3</v>
      </c>
      <c r="Y64" s="62">
        <v>3</v>
      </c>
      <c r="Z64" s="7"/>
      <c r="AA64" s="7"/>
      <c r="AB64" s="7"/>
      <c r="AC64" s="72">
        <f t="shared" si="3"/>
        <v>3</v>
      </c>
      <c r="AD64" s="62">
        <v>3</v>
      </c>
      <c r="AE64" s="7"/>
      <c r="AF64" s="62">
        <v>3</v>
      </c>
      <c r="AG64" s="7"/>
      <c r="AH64" s="7"/>
      <c r="AI64" s="72">
        <f t="shared" si="4"/>
        <v>3</v>
      </c>
      <c r="AJ64" s="7"/>
      <c r="AK64" s="7"/>
      <c r="AL64" s="7"/>
      <c r="AM64" s="7"/>
      <c r="AN64" s="7"/>
      <c r="AO64" s="72" t="str">
        <f t="shared" si="5"/>
        <v>A</v>
      </c>
      <c r="AP64" s="62">
        <v>3</v>
      </c>
      <c r="AQ64" s="62">
        <v>3</v>
      </c>
      <c r="AR64" s="62">
        <v>3</v>
      </c>
      <c r="AS64" s="7"/>
      <c r="AT64" s="7"/>
      <c r="AU64" s="72">
        <f t="shared" si="6"/>
        <v>3</v>
      </c>
      <c r="AV64" s="7"/>
      <c r="AW64" s="7"/>
      <c r="AX64" s="62">
        <v>3</v>
      </c>
      <c r="AY64" s="62">
        <v>3</v>
      </c>
      <c r="AZ64" s="62">
        <v>3</v>
      </c>
      <c r="BA64" s="72">
        <f t="shared" si="7"/>
        <v>3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>
        <v>4</v>
      </c>
      <c r="N65" s="62">
        <v>3</v>
      </c>
      <c r="O65" s="62">
        <v>3</v>
      </c>
      <c r="P65" s="62">
        <v>3</v>
      </c>
      <c r="Q65" s="72">
        <f t="shared" si="1"/>
        <v>3.2</v>
      </c>
      <c r="R65" s="62">
        <v>3</v>
      </c>
      <c r="S65" s="62">
        <v>3</v>
      </c>
      <c r="T65" s="62"/>
      <c r="U65" s="62">
        <v>3</v>
      </c>
      <c r="V65" s="62"/>
      <c r="W65" s="72">
        <f t="shared" si="2"/>
        <v>3</v>
      </c>
      <c r="X65" s="62">
        <v>3</v>
      </c>
      <c r="Y65" s="62">
        <v>3</v>
      </c>
      <c r="Z65" s="62"/>
      <c r="AA65" s="62"/>
      <c r="AB65" s="62"/>
      <c r="AC65" s="72">
        <f t="shared" si="3"/>
        <v>3</v>
      </c>
      <c r="AD65" s="62">
        <v>2</v>
      </c>
      <c r="AE65" s="62"/>
      <c r="AF65" s="62">
        <v>3</v>
      </c>
      <c r="AG65" s="62"/>
      <c r="AH65" s="62"/>
      <c r="AI65" s="72">
        <f t="shared" si="4"/>
        <v>2.5</v>
      </c>
      <c r="AJ65" s="62"/>
      <c r="AK65" s="62"/>
      <c r="AL65" s="62"/>
      <c r="AM65" s="62"/>
      <c r="AN65" s="62"/>
      <c r="AO65" s="72" t="str">
        <f t="shared" si="5"/>
        <v>A</v>
      </c>
      <c r="AP65" s="62">
        <v>1</v>
      </c>
      <c r="AQ65" s="62">
        <v>1</v>
      </c>
      <c r="AR65" s="62">
        <v>1</v>
      </c>
      <c r="AS65" s="62"/>
      <c r="AT65" s="62"/>
      <c r="AU65" s="72">
        <f t="shared" si="6"/>
        <v>1</v>
      </c>
      <c r="AV65" s="62"/>
      <c r="AW65" s="62"/>
      <c r="AX65" s="62">
        <v>5</v>
      </c>
      <c r="AY65" s="62">
        <v>3</v>
      </c>
      <c r="AZ65" s="62">
        <v>3</v>
      </c>
      <c r="BA65" s="72">
        <f t="shared" si="7"/>
        <v>3.6666666666666665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3</v>
      </c>
      <c r="M66" s="62">
        <v>3</v>
      </c>
      <c r="N66" s="62">
        <v>2</v>
      </c>
      <c r="O66" s="62">
        <v>2</v>
      </c>
      <c r="P66" s="62">
        <v>2</v>
      </c>
      <c r="Q66" s="72">
        <f t="shared" si="1"/>
        <v>2.4</v>
      </c>
      <c r="R66" s="62">
        <v>2</v>
      </c>
      <c r="S66" s="62">
        <v>2</v>
      </c>
      <c r="T66" s="7"/>
      <c r="U66" s="62">
        <v>2</v>
      </c>
      <c r="V66" s="7"/>
      <c r="W66" s="72">
        <f t="shared" si="2"/>
        <v>2</v>
      </c>
      <c r="X66" s="62">
        <v>2</v>
      </c>
      <c r="Y66" s="62">
        <v>2</v>
      </c>
      <c r="Z66" s="7"/>
      <c r="AA66" s="7"/>
      <c r="AB66" s="7"/>
      <c r="AC66" s="72">
        <f t="shared" si="3"/>
        <v>2</v>
      </c>
      <c r="AD66" s="62">
        <v>3</v>
      </c>
      <c r="AE66" s="7"/>
      <c r="AF66" s="62">
        <v>0</v>
      </c>
      <c r="AG66" s="7"/>
      <c r="AH66" s="7"/>
      <c r="AI66" s="72">
        <f t="shared" si="4"/>
        <v>1.5</v>
      </c>
      <c r="AJ66" s="7"/>
      <c r="AK66" s="7"/>
      <c r="AL66" s="7"/>
      <c r="AM66" s="7"/>
      <c r="AN66" s="7"/>
      <c r="AO66" s="72" t="str">
        <f t="shared" si="5"/>
        <v>A</v>
      </c>
      <c r="AP66" s="62">
        <v>3</v>
      </c>
      <c r="AQ66" s="62">
        <v>2</v>
      </c>
      <c r="AR66" s="62">
        <v>2</v>
      </c>
      <c r="AS66" s="7"/>
      <c r="AT66" s="7"/>
      <c r="AU66" s="72">
        <f t="shared" si="6"/>
        <v>2.3333333333333335</v>
      </c>
      <c r="AV66" s="7"/>
      <c r="AW66" s="7"/>
      <c r="AX66" s="62">
        <v>2</v>
      </c>
      <c r="AY66" s="62">
        <v>5</v>
      </c>
      <c r="AZ66" s="62">
        <v>3</v>
      </c>
      <c r="BA66" s="72">
        <f t="shared" si="7"/>
        <v>3.3333333333333335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>
        <v>3</v>
      </c>
      <c r="N67" s="62">
        <v>3</v>
      </c>
      <c r="O67" s="62">
        <v>3</v>
      </c>
      <c r="P67" s="62">
        <v>3</v>
      </c>
      <c r="Q67" s="72">
        <f t="shared" si="1"/>
        <v>3</v>
      </c>
      <c r="R67" s="62">
        <v>1</v>
      </c>
      <c r="S67" s="62">
        <v>1</v>
      </c>
      <c r="T67" s="62"/>
      <c r="U67" s="62">
        <v>1</v>
      </c>
      <c r="V67" s="62"/>
      <c r="W67" s="72">
        <f t="shared" si="2"/>
        <v>1</v>
      </c>
      <c r="X67" s="62">
        <v>1</v>
      </c>
      <c r="Y67" s="62">
        <v>1</v>
      </c>
      <c r="Z67" s="62"/>
      <c r="AA67" s="62"/>
      <c r="AB67" s="62"/>
      <c r="AC67" s="72">
        <f t="shared" si="3"/>
        <v>1</v>
      </c>
      <c r="AD67" s="62">
        <v>1</v>
      </c>
      <c r="AE67" s="62"/>
      <c r="AF67" s="62">
        <v>1</v>
      </c>
      <c r="AG67" s="62"/>
      <c r="AH67" s="62"/>
      <c r="AI67" s="72">
        <f t="shared" si="4"/>
        <v>1</v>
      </c>
      <c r="AJ67" s="62"/>
      <c r="AK67" s="62"/>
      <c r="AL67" s="62"/>
      <c r="AM67" s="62"/>
      <c r="AN67" s="62"/>
      <c r="AO67" s="72" t="str">
        <f t="shared" si="5"/>
        <v>A</v>
      </c>
      <c r="AP67" s="62">
        <v>1</v>
      </c>
      <c r="AQ67" s="62">
        <v>1</v>
      </c>
      <c r="AR67" s="62">
        <v>1</v>
      </c>
      <c r="AS67" s="62"/>
      <c r="AT67" s="62"/>
      <c r="AU67" s="72">
        <f t="shared" si="6"/>
        <v>1</v>
      </c>
      <c r="AV67" s="62"/>
      <c r="AW67" s="62"/>
      <c r="AX67" s="62">
        <v>1</v>
      </c>
      <c r="AY67" s="62">
        <v>1</v>
      </c>
      <c r="AZ67" s="62">
        <v>1</v>
      </c>
      <c r="BA67" s="72">
        <f t="shared" si="7"/>
        <v>1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72">
        <f t="shared" ref="Q68:Q131" si="9">IFERROR(AVERAGE(M68,N68,L68,O68,P68),"A")</f>
        <v>0</v>
      </c>
      <c r="R68" s="62">
        <v>0</v>
      </c>
      <c r="S68" s="62">
        <v>0</v>
      </c>
      <c r="T68" s="7"/>
      <c r="U68" s="62">
        <v>0</v>
      </c>
      <c r="V68" s="7"/>
      <c r="W68" s="72">
        <f t="shared" ref="W68:W131" si="10">IFERROR(AVERAGE(R68,S68,U68),"A")</f>
        <v>0</v>
      </c>
      <c r="X68" s="62">
        <v>0</v>
      </c>
      <c r="Y68" s="62">
        <v>0</v>
      </c>
      <c r="Z68" s="7"/>
      <c r="AA68" s="7"/>
      <c r="AB68" s="7"/>
      <c r="AC68" s="72">
        <f t="shared" ref="AC68:AC131" si="11">IFERROR(AVERAGE(Y68,X68),"A")</f>
        <v>0</v>
      </c>
      <c r="AD68" s="62">
        <v>0</v>
      </c>
      <c r="AE68" s="7"/>
      <c r="AF68" s="62">
        <v>0</v>
      </c>
      <c r="AG68" s="7"/>
      <c r="AH68" s="7"/>
      <c r="AI68" s="72">
        <f t="shared" ref="AI68:AI131" si="12">IFERROR(AVERAGE(AF68,AD68),"A")</f>
        <v>0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62">
        <v>0</v>
      </c>
      <c r="AQ68" s="62">
        <v>0</v>
      </c>
      <c r="AR68" s="62">
        <v>0</v>
      </c>
      <c r="AS68" s="7"/>
      <c r="AT68" s="7"/>
      <c r="AU68" s="72">
        <f t="shared" ref="AU68:AU131" si="14">IFERROR(AVERAGE(AR68,AQ68,AP68),"A")</f>
        <v>0</v>
      </c>
      <c r="AV68" s="7"/>
      <c r="AW68" s="7"/>
      <c r="AX68" s="62">
        <v>0</v>
      </c>
      <c r="AY68" s="62">
        <v>0</v>
      </c>
      <c r="AZ68" s="62">
        <v>0</v>
      </c>
      <c r="BA68" s="72">
        <f t="shared" ref="BA68:BA131" si="15">IFERROR(AVERAGE(AX68,AY68,AZ68),"A")</f>
        <v>0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1</v>
      </c>
      <c r="M69" s="62">
        <v>2</v>
      </c>
      <c r="N69" s="62">
        <v>1</v>
      </c>
      <c r="O69" s="62">
        <v>2</v>
      </c>
      <c r="P69" s="62">
        <v>1</v>
      </c>
      <c r="Q69" s="72">
        <f t="shared" si="9"/>
        <v>1.4</v>
      </c>
      <c r="R69" s="62">
        <v>1</v>
      </c>
      <c r="S69" s="62">
        <v>1</v>
      </c>
      <c r="T69" s="62"/>
      <c r="U69" s="62">
        <v>1</v>
      </c>
      <c r="V69" s="62"/>
      <c r="W69" s="72">
        <f t="shared" si="10"/>
        <v>1</v>
      </c>
      <c r="X69" s="62">
        <v>1</v>
      </c>
      <c r="Y69" s="62">
        <v>1</v>
      </c>
      <c r="Z69" s="62"/>
      <c r="AA69" s="62"/>
      <c r="AB69" s="62"/>
      <c r="AC69" s="72">
        <f t="shared" si="11"/>
        <v>1</v>
      </c>
      <c r="AD69" s="62">
        <v>1</v>
      </c>
      <c r="AE69" s="62"/>
      <c r="AF69" s="62">
        <v>1</v>
      </c>
      <c r="AG69" s="62"/>
      <c r="AH69" s="62"/>
      <c r="AI69" s="72">
        <f t="shared" si="12"/>
        <v>1</v>
      </c>
      <c r="AJ69" s="62"/>
      <c r="AK69" s="62"/>
      <c r="AL69" s="62"/>
      <c r="AM69" s="62"/>
      <c r="AN69" s="62"/>
      <c r="AO69" s="72" t="str">
        <f t="shared" si="13"/>
        <v>A</v>
      </c>
      <c r="AP69" s="62">
        <v>1</v>
      </c>
      <c r="AQ69" s="62">
        <v>2</v>
      </c>
      <c r="AR69" s="62">
        <v>1</v>
      </c>
      <c r="AS69" s="62"/>
      <c r="AT69" s="62"/>
      <c r="AU69" s="72">
        <f t="shared" si="14"/>
        <v>1.3333333333333333</v>
      </c>
      <c r="AV69" s="62"/>
      <c r="AW69" s="62"/>
      <c r="AX69" s="62">
        <v>1</v>
      </c>
      <c r="AY69" s="62">
        <v>2</v>
      </c>
      <c r="AZ69" s="62">
        <v>1</v>
      </c>
      <c r="BA69" s="72">
        <f t="shared" si="15"/>
        <v>1.3333333333333333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2</v>
      </c>
      <c r="M70" s="62">
        <v>2</v>
      </c>
      <c r="N70" s="62">
        <v>2</v>
      </c>
      <c r="O70" s="62">
        <v>2</v>
      </c>
      <c r="P70" s="62">
        <v>2</v>
      </c>
      <c r="Q70" s="72">
        <f t="shared" si="9"/>
        <v>2</v>
      </c>
      <c r="R70" s="62">
        <v>2</v>
      </c>
      <c r="S70" s="62">
        <v>2</v>
      </c>
      <c r="T70" s="7"/>
      <c r="U70" s="62">
        <v>2</v>
      </c>
      <c r="V70" s="7"/>
      <c r="W70" s="72">
        <f t="shared" si="10"/>
        <v>2</v>
      </c>
      <c r="X70" s="62">
        <v>2</v>
      </c>
      <c r="Y70" s="62">
        <v>2</v>
      </c>
      <c r="Z70" s="7"/>
      <c r="AA70" s="7"/>
      <c r="AB70" s="7"/>
      <c r="AC70" s="72">
        <f t="shared" si="11"/>
        <v>2</v>
      </c>
      <c r="AD70" s="62">
        <v>2</v>
      </c>
      <c r="AE70" s="7"/>
      <c r="AF70" s="62">
        <v>2</v>
      </c>
      <c r="AG70" s="7"/>
      <c r="AH70" s="7"/>
      <c r="AI70" s="72">
        <f t="shared" si="12"/>
        <v>2</v>
      </c>
      <c r="AJ70" s="7"/>
      <c r="AK70" s="7"/>
      <c r="AL70" s="7"/>
      <c r="AM70" s="7"/>
      <c r="AN70" s="7"/>
      <c r="AO70" s="72" t="str">
        <f t="shared" si="13"/>
        <v>A</v>
      </c>
      <c r="AP70" s="62">
        <v>2</v>
      </c>
      <c r="AQ70" s="62">
        <v>2</v>
      </c>
      <c r="AR70" s="62">
        <v>2</v>
      </c>
      <c r="AS70" s="7"/>
      <c r="AT70" s="7"/>
      <c r="AU70" s="72">
        <f t="shared" si="14"/>
        <v>2</v>
      </c>
      <c r="AV70" s="7"/>
      <c r="AW70" s="7"/>
      <c r="AX70" s="62">
        <v>2</v>
      </c>
      <c r="AY70" s="62">
        <v>2</v>
      </c>
      <c r="AZ70" s="62">
        <v>2</v>
      </c>
      <c r="BA70" s="72">
        <f t="shared" si="15"/>
        <v>2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1</v>
      </c>
      <c r="M71" s="62">
        <v>1</v>
      </c>
      <c r="N71" s="62">
        <v>1</v>
      </c>
      <c r="O71" s="62">
        <v>4</v>
      </c>
      <c r="P71" s="62">
        <v>4</v>
      </c>
      <c r="Q71" s="72">
        <f t="shared" si="9"/>
        <v>2.2000000000000002</v>
      </c>
      <c r="R71" s="62">
        <v>1</v>
      </c>
      <c r="S71" s="62">
        <v>1</v>
      </c>
      <c r="T71" s="62"/>
      <c r="U71" s="62">
        <v>1</v>
      </c>
      <c r="V71" s="62"/>
      <c r="W71" s="72">
        <f t="shared" si="10"/>
        <v>1</v>
      </c>
      <c r="X71" s="62">
        <v>1</v>
      </c>
      <c r="Y71" s="62">
        <v>1</v>
      </c>
      <c r="Z71" s="62"/>
      <c r="AA71" s="62"/>
      <c r="AB71" s="62"/>
      <c r="AC71" s="72">
        <f t="shared" si="11"/>
        <v>1</v>
      </c>
      <c r="AD71" s="62">
        <v>1</v>
      </c>
      <c r="AE71" s="62"/>
      <c r="AF71" s="62">
        <v>1</v>
      </c>
      <c r="AG71" s="62"/>
      <c r="AH71" s="62"/>
      <c r="AI71" s="72">
        <f t="shared" si="12"/>
        <v>1</v>
      </c>
      <c r="AJ71" s="62"/>
      <c r="AK71" s="62"/>
      <c r="AL71" s="62"/>
      <c r="AM71" s="62"/>
      <c r="AN71" s="62"/>
      <c r="AO71" s="72" t="str">
        <f t="shared" si="13"/>
        <v>A</v>
      </c>
      <c r="AP71" s="62">
        <v>1</v>
      </c>
      <c r="AQ71" s="62">
        <v>1</v>
      </c>
      <c r="AR71" s="62">
        <v>1</v>
      </c>
      <c r="AS71" s="62"/>
      <c r="AT71" s="62"/>
      <c r="AU71" s="72">
        <f t="shared" si="14"/>
        <v>1</v>
      </c>
      <c r="AV71" s="62"/>
      <c r="AW71" s="62"/>
      <c r="AX71" s="62">
        <v>1</v>
      </c>
      <c r="AY71" s="62">
        <v>1</v>
      </c>
      <c r="AZ71" s="62">
        <v>1</v>
      </c>
      <c r="BA71" s="72">
        <f t="shared" si="15"/>
        <v>1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3</v>
      </c>
      <c r="M72" s="62">
        <v>3</v>
      </c>
      <c r="N72" s="62">
        <v>2</v>
      </c>
      <c r="O72" s="62">
        <v>2</v>
      </c>
      <c r="P72" s="62">
        <v>3</v>
      </c>
      <c r="Q72" s="72">
        <f t="shared" si="9"/>
        <v>2.6</v>
      </c>
      <c r="R72" s="62">
        <v>2</v>
      </c>
      <c r="S72" s="62">
        <v>2</v>
      </c>
      <c r="T72" s="7"/>
      <c r="U72" s="62">
        <v>2</v>
      </c>
      <c r="V72" s="7"/>
      <c r="W72" s="72">
        <f t="shared" si="10"/>
        <v>2</v>
      </c>
      <c r="X72" s="62">
        <v>2</v>
      </c>
      <c r="Y72" s="62">
        <v>2</v>
      </c>
      <c r="Z72" s="7"/>
      <c r="AA72" s="7"/>
      <c r="AB72" s="7"/>
      <c r="AC72" s="72">
        <f t="shared" si="11"/>
        <v>2</v>
      </c>
      <c r="AD72" s="62">
        <v>2</v>
      </c>
      <c r="AE72" s="7"/>
      <c r="AF72" s="62">
        <v>0</v>
      </c>
      <c r="AG72" s="7"/>
      <c r="AH72" s="7"/>
      <c r="AI72" s="72">
        <f t="shared" si="12"/>
        <v>1</v>
      </c>
      <c r="AJ72" s="7"/>
      <c r="AK72" s="7"/>
      <c r="AL72" s="7"/>
      <c r="AM72" s="7"/>
      <c r="AN72" s="7"/>
      <c r="AO72" s="72" t="str">
        <f t="shared" si="13"/>
        <v>A</v>
      </c>
      <c r="AP72" s="62">
        <v>2</v>
      </c>
      <c r="AQ72" s="62">
        <v>2</v>
      </c>
      <c r="AR72" s="62">
        <v>2</v>
      </c>
      <c r="AS72" s="7"/>
      <c r="AT72" s="7"/>
      <c r="AU72" s="72">
        <f t="shared" si="14"/>
        <v>2</v>
      </c>
      <c r="AV72" s="7"/>
      <c r="AW72" s="7"/>
      <c r="AX72" s="62">
        <v>2</v>
      </c>
      <c r="AY72" s="62">
        <v>2</v>
      </c>
      <c r="AZ72" s="62">
        <v>3</v>
      </c>
      <c r="BA72" s="72">
        <f t="shared" si="15"/>
        <v>2.3333333333333335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2</v>
      </c>
      <c r="M73" s="62">
        <v>3</v>
      </c>
      <c r="N73" s="62">
        <v>2</v>
      </c>
      <c r="O73" s="62">
        <v>4</v>
      </c>
      <c r="P73" s="62">
        <v>3</v>
      </c>
      <c r="Q73" s="72">
        <f t="shared" si="9"/>
        <v>2.8</v>
      </c>
      <c r="R73" s="62">
        <v>3</v>
      </c>
      <c r="S73" s="62">
        <v>3</v>
      </c>
      <c r="T73" s="62"/>
      <c r="U73" s="62">
        <v>3</v>
      </c>
      <c r="V73" s="62"/>
      <c r="W73" s="72">
        <f t="shared" si="10"/>
        <v>3</v>
      </c>
      <c r="X73" s="62">
        <v>3</v>
      </c>
      <c r="Y73" s="62">
        <v>3</v>
      </c>
      <c r="Z73" s="62"/>
      <c r="AA73" s="62"/>
      <c r="AB73" s="62"/>
      <c r="AC73" s="72">
        <f t="shared" si="11"/>
        <v>3</v>
      </c>
      <c r="AD73" s="62">
        <v>3</v>
      </c>
      <c r="AE73" s="62"/>
      <c r="AF73" s="62">
        <v>3</v>
      </c>
      <c r="AG73" s="62"/>
      <c r="AH73" s="62"/>
      <c r="AI73" s="72">
        <f t="shared" si="12"/>
        <v>3</v>
      </c>
      <c r="AJ73" s="62"/>
      <c r="AK73" s="62"/>
      <c r="AL73" s="62"/>
      <c r="AM73" s="62"/>
      <c r="AN73" s="62"/>
      <c r="AO73" s="72" t="str">
        <f t="shared" si="13"/>
        <v>A</v>
      </c>
      <c r="AP73" s="62">
        <v>1</v>
      </c>
      <c r="AQ73" s="62">
        <v>1</v>
      </c>
      <c r="AR73" s="62">
        <v>1</v>
      </c>
      <c r="AS73" s="62"/>
      <c r="AT73" s="62"/>
      <c r="AU73" s="72">
        <f t="shared" si="14"/>
        <v>1</v>
      </c>
      <c r="AV73" s="62"/>
      <c r="AW73" s="62"/>
      <c r="AX73" s="62">
        <v>5</v>
      </c>
      <c r="AY73" s="62">
        <v>3</v>
      </c>
      <c r="AZ73" s="62">
        <v>4</v>
      </c>
      <c r="BA73" s="72">
        <f t="shared" si="15"/>
        <v>4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2</v>
      </c>
      <c r="M74" s="62">
        <v>2</v>
      </c>
      <c r="N74" s="62">
        <v>2</v>
      </c>
      <c r="O74" s="62">
        <v>2</v>
      </c>
      <c r="P74" s="62">
        <v>1</v>
      </c>
      <c r="Q74" s="72">
        <f t="shared" si="9"/>
        <v>1.8</v>
      </c>
      <c r="R74" s="62">
        <v>1</v>
      </c>
      <c r="S74" s="62">
        <v>2</v>
      </c>
      <c r="T74" s="7"/>
      <c r="U74" s="62">
        <v>1</v>
      </c>
      <c r="V74" s="7"/>
      <c r="W74" s="72">
        <f t="shared" si="10"/>
        <v>1.3333333333333333</v>
      </c>
      <c r="X74" s="62">
        <v>1</v>
      </c>
      <c r="Y74" s="62">
        <v>2</v>
      </c>
      <c r="Z74" s="7"/>
      <c r="AA74" s="7"/>
      <c r="AB74" s="7"/>
      <c r="AC74" s="72">
        <f t="shared" si="11"/>
        <v>1.5</v>
      </c>
      <c r="AD74" s="62">
        <v>1</v>
      </c>
      <c r="AE74" s="7"/>
      <c r="AF74" s="62">
        <v>2</v>
      </c>
      <c r="AG74" s="7"/>
      <c r="AH74" s="7"/>
      <c r="AI74" s="72">
        <f t="shared" si="12"/>
        <v>1.5</v>
      </c>
      <c r="AJ74" s="7"/>
      <c r="AK74" s="7"/>
      <c r="AL74" s="7"/>
      <c r="AM74" s="7"/>
      <c r="AN74" s="7"/>
      <c r="AO74" s="72" t="str">
        <f t="shared" si="13"/>
        <v>A</v>
      </c>
      <c r="AP74" s="62">
        <v>2</v>
      </c>
      <c r="AQ74" s="62">
        <v>2</v>
      </c>
      <c r="AR74" s="62">
        <v>1</v>
      </c>
      <c r="AS74" s="7"/>
      <c r="AT74" s="7"/>
      <c r="AU74" s="72">
        <f t="shared" si="14"/>
        <v>1.6666666666666667</v>
      </c>
      <c r="AV74" s="7"/>
      <c r="AW74" s="7"/>
      <c r="AX74" s="62">
        <v>2</v>
      </c>
      <c r="AY74" s="62">
        <v>2</v>
      </c>
      <c r="AZ74" s="62">
        <v>1</v>
      </c>
      <c r="BA74" s="72">
        <f t="shared" si="15"/>
        <v>1.6666666666666667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2</v>
      </c>
      <c r="M75" s="62">
        <v>3</v>
      </c>
      <c r="N75" s="62">
        <v>2</v>
      </c>
      <c r="O75" s="62">
        <v>3</v>
      </c>
      <c r="P75" s="62">
        <v>3</v>
      </c>
      <c r="Q75" s="72">
        <f t="shared" si="9"/>
        <v>2.6</v>
      </c>
      <c r="R75" s="62">
        <v>3</v>
      </c>
      <c r="S75" s="62">
        <v>2</v>
      </c>
      <c r="T75" s="62"/>
      <c r="U75" s="62">
        <v>3</v>
      </c>
      <c r="V75" s="62"/>
      <c r="W75" s="72">
        <f t="shared" si="10"/>
        <v>2.6666666666666665</v>
      </c>
      <c r="X75" s="62">
        <v>3</v>
      </c>
      <c r="Y75" s="62">
        <v>2</v>
      </c>
      <c r="Z75" s="62"/>
      <c r="AA75" s="62"/>
      <c r="AB75" s="62"/>
      <c r="AC75" s="72">
        <f t="shared" si="11"/>
        <v>2.5</v>
      </c>
      <c r="AD75" s="62">
        <v>3</v>
      </c>
      <c r="AE75" s="62"/>
      <c r="AF75" s="62">
        <v>2</v>
      </c>
      <c r="AG75" s="62"/>
      <c r="AH75" s="62"/>
      <c r="AI75" s="72">
        <f t="shared" si="12"/>
        <v>2.5</v>
      </c>
      <c r="AJ75" s="62"/>
      <c r="AK75" s="62"/>
      <c r="AL75" s="62"/>
      <c r="AM75" s="62"/>
      <c r="AN75" s="62"/>
      <c r="AO75" s="72" t="str">
        <f t="shared" si="13"/>
        <v>A</v>
      </c>
      <c r="AP75" s="62">
        <v>2</v>
      </c>
      <c r="AQ75" s="62">
        <v>3</v>
      </c>
      <c r="AR75" s="62">
        <v>3</v>
      </c>
      <c r="AS75" s="62"/>
      <c r="AT75" s="62"/>
      <c r="AU75" s="72">
        <f t="shared" si="14"/>
        <v>2.6666666666666665</v>
      </c>
      <c r="AV75" s="62"/>
      <c r="AW75" s="62"/>
      <c r="AX75" s="62">
        <v>2</v>
      </c>
      <c r="AY75" s="62">
        <v>3</v>
      </c>
      <c r="AZ75" s="62">
        <v>3</v>
      </c>
      <c r="BA75" s="72">
        <f t="shared" si="15"/>
        <v>2.6666666666666665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3</v>
      </c>
      <c r="M76" s="62">
        <v>2</v>
      </c>
      <c r="N76" s="62">
        <v>2</v>
      </c>
      <c r="O76" s="62">
        <v>2</v>
      </c>
      <c r="P76" s="62">
        <v>3</v>
      </c>
      <c r="Q76" s="72">
        <f t="shared" si="9"/>
        <v>2.4</v>
      </c>
      <c r="R76" s="62">
        <v>2</v>
      </c>
      <c r="S76" s="62">
        <v>2</v>
      </c>
      <c r="T76" s="7"/>
      <c r="U76" s="62">
        <v>2</v>
      </c>
      <c r="V76" s="7"/>
      <c r="W76" s="72">
        <f t="shared" si="10"/>
        <v>2</v>
      </c>
      <c r="X76" s="62">
        <v>2</v>
      </c>
      <c r="Y76" s="62">
        <v>2</v>
      </c>
      <c r="Z76" s="7"/>
      <c r="AA76" s="7"/>
      <c r="AB76" s="7"/>
      <c r="AC76" s="72">
        <f t="shared" si="11"/>
        <v>2</v>
      </c>
      <c r="AD76" s="62">
        <v>2</v>
      </c>
      <c r="AE76" s="7"/>
      <c r="AF76" s="62">
        <v>0</v>
      </c>
      <c r="AG76" s="7"/>
      <c r="AH76" s="7"/>
      <c r="AI76" s="72">
        <f t="shared" si="12"/>
        <v>1</v>
      </c>
      <c r="AJ76" s="7"/>
      <c r="AK76" s="7"/>
      <c r="AL76" s="7"/>
      <c r="AM76" s="7"/>
      <c r="AN76" s="7"/>
      <c r="AO76" s="72" t="str">
        <f t="shared" si="13"/>
        <v>A</v>
      </c>
      <c r="AP76" s="62">
        <v>2</v>
      </c>
      <c r="AQ76" s="62">
        <v>2</v>
      </c>
      <c r="AR76" s="62">
        <v>2</v>
      </c>
      <c r="AS76" s="7"/>
      <c r="AT76" s="7"/>
      <c r="AU76" s="72">
        <f t="shared" si="14"/>
        <v>2</v>
      </c>
      <c r="AV76" s="7"/>
      <c r="AW76" s="7"/>
      <c r="AX76" s="62">
        <v>2</v>
      </c>
      <c r="AY76" s="62">
        <v>2</v>
      </c>
      <c r="AZ76" s="62">
        <v>2</v>
      </c>
      <c r="BA76" s="72">
        <f t="shared" si="15"/>
        <v>2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2</v>
      </c>
      <c r="M77" s="62">
        <v>2</v>
      </c>
      <c r="N77" s="62">
        <v>2</v>
      </c>
      <c r="O77" s="62">
        <v>2</v>
      </c>
      <c r="P77" s="62">
        <v>2</v>
      </c>
      <c r="Q77" s="72">
        <f t="shared" si="9"/>
        <v>2</v>
      </c>
      <c r="R77" s="62">
        <v>2</v>
      </c>
      <c r="S77" s="62">
        <v>2</v>
      </c>
      <c r="T77" s="62"/>
      <c r="U77" s="62">
        <v>2</v>
      </c>
      <c r="V77" s="62"/>
      <c r="W77" s="72">
        <f t="shared" si="10"/>
        <v>2</v>
      </c>
      <c r="X77" s="62">
        <v>2</v>
      </c>
      <c r="Y77" s="62">
        <v>2</v>
      </c>
      <c r="Z77" s="62"/>
      <c r="AA77" s="62"/>
      <c r="AB77" s="62"/>
      <c r="AC77" s="72">
        <f t="shared" si="11"/>
        <v>2</v>
      </c>
      <c r="AD77" s="62">
        <v>2</v>
      </c>
      <c r="AE77" s="62"/>
      <c r="AF77" s="62">
        <v>0</v>
      </c>
      <c r="AG77" s="62"/>
      <c r="AH77" s="62"/>
      <c r="AI77" s="72">
        <f t="shared" si="12"/>
        <v>1</v>
      </c>
      <c r="AJ77" s="62"/>
      <c r="AK77" s="62"/>
      <c r="AL77" s="62"/>
      <c r="AM77" s="62"/>
      <c r="AN77" s="62"/>
      <c r="AO77" s="72" t="str">
        <f t="shared" si="13"/>
        <v>A</v>
      </c>
      <c r="AP77" s="62">
        <v>2</v>
      </c>
      <c r="AQ77" s="62">
        <v>2</v>
      </c>
      <c r="AR77" s="62">
        <v>2</v>
      </c>
      <c r="AS77" s="62"/>
      <c r="AT77" s="62"/>
      <c r="AU77" s="72">
        <f t="shared" si="14"/>
        <v>2</v>
      </c>
      <c r="AV77" s="62"/>
      <c r="AW77" s="62"/>
      <c r="AX77" s="62">
        <v>2</v>
      </c>
      <c r="AY77" s="62">
        <v>2</v>
      </c>
      <c r="AZ77" s="62">
        <v>2</v>
      </c>
      <c r="BA77" s="72">
        <f t="shared" si="15"/>
        <v>2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3</v>
      </c>
      <c r="M78" s="62">
        <v>2</v>
      </c>
      <c r="N78" s="62">
        <v>2</v>
      </c>
      <c r="O78" s="62">
        <v>2</v>
      </c>
      <c r="P78" s="62">
        <v>2</v>
      </c>
      <c r="Q78" s="72">
        <f t="shared" si="9"/>
        <v>2.2000000000000002</v>
      </c>
      <c r="R78" s="62">
        <v>2</v>
      </c>
      <c r="S78" s="62">
        <v>2</v>
      </c>
      <c r="T78" s="7"/>
      <c r="U78" s="62">
        <v>2</v>
      </c>
      <c r="V78" s="7"/>
      <c r="W78" s="72">
        <f t="shared" si="10"/>
        <v>2</v>
      </c>
      <c r="X78" s="62">
        <v>2</v>
      </c>
      <c r="Y78" s="62">
        <v>2</v>
      </c>
      <c r="Z78" s="7"/>
      <c r="AA78" s="7"/>
      <c r="AB78" s="7"/>
      <c r="AC78" s="72">
        <f t="shared" si="11"/>
        <v>2</v>
      </c>
      <c r="AD78" s="62">
        <v>2</v>
      </c>
      <c r="AE78" s="7"/>
      <c r="AF78" s="62">
        <v>0</v>
      </c>
      <c r="AG78" s="7"/>
      <c r="AH78" s="7"/>
      <c r="AI78" s="72">
        <f t="shared" si="12"/>
        <v>1</v>
      </c>
      <c r="AJ78" s="7"/>
      <c r="AK78" s="7"/>
      <c r="AL78" s="7"/>
      <c r="AM78" s="7"/>
      <c r="AN78" s="7"/>
      <c r="AO78" s="72" t="str">
        <f t="shared" si="13"/>
        <v>A</v>
      </c>
      <c r="AP78" s="62">
        <v>2</v>
      </c>
      <c r="AQ78" s="62">
        <v>2</v>
      </c>
      <c r="AR78" s="62">
        <v>2</v>
      </c>
      <c r="AS78" s="7"/>
      <c r="AT78" s="7"/>
      <c r="AU78" s="72">
        <f t="shared" si="14"/>
        <v>2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3</v>
      </c>
      <c r="M79" s="62">
        <v>3</v>
      </c>
      <c r="N79" s="62">
        <v>3</v>
      </c>
      <c r="O79" s="62">
        <v>2</v>
      </c>
      <c r="P79" s="62">
        <v>3</v>
      </c>
      <c r="Q79" s="72">
        <f t="shared" si="9"/>
        <v>2.8</v>
      </c>
      <c r="R79" s="62">
        <v>2</v>
      </c>
      <c r="S79" s="62">
        <v>2</v>
      </c>
      <c r="T79" s="62"/>
      <c r="U79" s="62">
        <v>2</v>
      </c>
      <c r="V79" s="62"/>
      <c r="W79" s="72">
        <f t="shared" si="10"/>
        <v>2</v>
      </c>
      <c r="X79" s="62">
        <v>2</v>
      </c>
      <c r="Y79" s="62">
        <v>2</v>
      </c>
      <c r="Z79" s="62"/>
      <c r="AA79" s="62"/>
      <c r="AB79" s="62"/>
      <c r="AC79" s="72">
        <f t="shared" si="11"/>
        <v>2</v>
      </c>
      <c r="AD79" s="62">
        <v>2</v>
      </c>
      <c r="AE79" s="62"/>
      <c r="AF79" s="62">
        <v>0</v>
      </c>
      <c r="AG79" s="62"/>
      <c r="AH79" s="62"/>
      <c r="AI79" s="72">
        <f t="shared" si="12"/>
        <v>1</v>
      </c>
      <c r="AJ79" s="62"/>
      <c r="AK79" s="62"/>
      <c r="AL79" s="62"/>
      <c r="AM79" s="62"/>
      <c r="AN79" s="62"/>
      <c r="AO79" s="72" t="str">
        <f t="shared" si="13"/>
        <v>A</v>
      </c>
      <c r="AP79" s="62">
        <v>2</v>
      </c>
      <c r="AQ79" s="62">
        <v>2</v>
      </c>
      <c r="AR79" s="62">
        <v>2</v>
      </c>
      <c r="AS79" s="62"/>
      <c r="AT79" s="62"/>
      <c r="AU79" s="72">
        <f t="shared" si="14"/>
        <v>2</v>
      </c>
      <c r="AV79" s="62"/>
      <c r="AW79" s="62"/>
      <c r="AX79" s="62">
        <v>2</v>
      </c>
      <c r="AY79" s="62">
        <v>2</v>
      </c>
      <c r="AZ79" s="62">
        <v>3</v>
      </c>
      <c r="BA79" s="72">
        <f t="shared" si="15"/>
        <v>2.3333333333333335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2</v>
      </c>
      <c r="M80" s="62">
        <v>2</v>
      </c>
      <c r="N80" s="62">
        <v>2</v>
      </c>
      <c r="O80" s="62">
        <v>2</v>
      </c>
      <c r="P80" s="62">
        <v>2</v>
      </c>
      <c r="Q80" s="72">
        <f t="shared" si="9"/>
        <v>2</v>
      </c>
      <c r="R80" s="62">
        <v>2</v>
      </c>
      <c r="S80" s="62">
        <v>2</v>
      </c>
      <c r="T80" s="7"/>
      <c r="U80" s="62">
        <v>2</v>
      </c>
      <c r="V80" s="7"/>
      <c r="W80" s="72">
        <f t="shared" si="10"/>
        <v>2</v>
      </c>
      <c r="X80" s="62">
        <v>2</v>
      </c>
      <c r="Y80" s="62">
        <v>2</v>
      </c>
      <c r="Z80" s="7"/>
      <c r="AA80" s="7"/>
      <c r="AB80" s="7"/>
      <c r="AC80" s="72">
        <f t="shared" si="11"/>
        <v>2</v>
      </c>
      <c r="AD80" s="62">
        <v>2</v>
      </c>
      <c r="AE80" s="7"/>
      <c r="AF80" s="62">
        <v>0</v>
      </c>
      <c r="AG80" s="7"/>
      <c r="AH80" s="7"/>
      <c r="AI80" s="72">
        <f t="shared" si="12"/>
        <v>1</v>
      </c>
      <c r="AJ80" s="7"/>
      <c r="AK80" s="7"/>
      <c r="AL80" s="7"/>
      <c r="AM80" s="7"/>
      <c r="AN80" s="7"/>
      <c r="AO80" s="72" t="str">
        <f t="shared" si="13"/>
        <v>A</v>
      </c>
      <c r="AP80" s="62">
        <v>2</v>
      </c>
      <c r="AQ80" s="62">
        <v>2</v>
      </c>
      <c r="AR80" s="62">
        <v>2</v>
      </c>
      <c r="AS80" s="7"/>
      <c r="AT80" s="7"/>
      <c r="AU80" s="72">
        <f t="shared" si="14"/>
        <v>2</v>
      </c>
      <c r="AV80" s="7"/>
      <c r="AW80" s="7"/>
      <c r="AX80" s="62">
        <v>2</v>
      </c>
      <c r="AY80" s="62">
        <v>2</v>
      </c>
      <c r="AZ80" s="62">
        <v>2</v>
      </c>
      <c r="BA80" s="72">
        <f t="shared" si="15"/>
        <v>2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3</v>
      </c>
      <c r="M81" s="62">
        <v>2</v>
      </c>
      <c r="N81" s="62">
        <v>3</v>
      </c>
      <c r="O81" s="62">
        <v>2</v>
      </c>
      <c r="P81" s="62">
        <v>2</v>
      </c>
      <c r="Q81" s="72">
        <f t="shared" si="9"/>
        <v>2.4</v>
      </c>
      <c r="R81" s="62">
        <v>2</v>
      </c>
      <c r="S81" s="62">
        <v>3</v>
      </c>
      <c r="T81" s="62"/>
      <c r="U81" s="62">
        <v>2</v>
      </c>
      <c r="V81" s="62"/>
      <c r="W81" s="72">
        <f t="shared" si="10"/>
        <v>2.3333333333333335</v>
      </c>
      <c r="X81" s="62">
        <v>2</v>
      </c>
      <c r="Y81" s="62">
        <v>3</v>
      </c>
      <c r="Z81" s="62"/>
      <c r="AA81" s="62"/>
      <c r="AB81" s="62"/>
      <c r="AC81" s="72">
        <f t="shared" si="11"/>
        <v>2.5</v>
      </c>
      <c r="AD81" s="62">
        <v>2</v>
      </c>
      <c r="AE81" s="62"/>
      <c r="AF81" s="62">
        <v>3</v>
      </c>
      <c r="AG81" s="62"/>
      <c r="AH81" s="62"/>
      <c r="AI81" s="72">
        <f t="shared" si="12"/>
        <v>2.5</v>
      </c>
      <c r="AJ81" s="62"/>
      <c r="AK81" s="62"/>
      <c r="AL81" s="62"/>
      <c r="AM81" s="62"/>
      <c r="AN81" s="62"/>
      <c r="AO81" s="72" t="str">
        <f t="shared" si="13"/>
        <v>A</v>
      </c>
      <c r="AP81" s="62">
        <v>3</v>
      </c>
      <c r="AQ81" s="62">
        <v>2</v>
      </c>
      <c r="AR81" s="62">
        <v>2</v>
      </c>
      <c r="AS81" s="62"/>
      <c r="AT81" s="62"/>
      <c r="AU81" s="72">
        <f t="shared" si="14"/>
        <v>2.3333333333333335</v>
      </c>
      <c r="AV81" s="62"/>
      <c r="AW81" s="62"/>
      <c r="AX81" s="62">
        <v>3</v>
      </c>
      <c r="AY81" s="62">
        <v>2</v>
      </c>
      <c r="AZ81" s="62">
        <v>2</v>
      </c>
      <c r="BA81" s="72">
        <f t="shared" si="15"/>
        <v>2.3333333333333335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2</v>
      </c>
      <c r="M82" s="62">
        <v>2</v>
      </c>
      <c r="N82" s="62">
        <v>2</v>
      </c>
      <c r="O82" s="62">
        <v>3</v>
      </c>
      <c r="P82" s="62">
        <v>2</v>
      </c>
      <c r="Q82" s="72">
        <f t="shared" si="9"/>
        <v>2.2000000000000002</v>
      </c>
      <c r="R82" s="62">
        <v>2</v>
      </c>
      <c r="S82" s="62">
        <v>2</v>
      </c>
      <c r="T82" s="7"/>
      <c r="U82" s="62">
        <v>2</v>
      </c>
      <c r="V82" s="7"/>
      <c r="W82" s="72">
        <f t="shared" si="10"/>
        <v>2</v>
      </c>
      <c r="X82" s="62">
        <v>2</v>
      </c>
      <c r="Y82" s="62">
        <v>2</v>
      </c>
      <c r="Z82" s="7"/>
      <c r="AA82" s="7"/>
      <c r="AB82" s="7"/>
      <c r="AC82" s="72">
        <f t="shared" si="11"/>
        <v>2</v>
      </c>
      <c r="AD82" s="62">
        <v>2</v>
      </c>
      <c r="AE82" s="7"/>
      <c r="AF82" s="62">
        <v>0</v>
      </c>
      <c r="AG82" s="7"/>
      <c r="AH82" s="7"/>
      <c r="AI82" s="72">
        <f t="shared" si="12"/>
        <v>1</v>
      </c>
      <c r="AJ82" s="7"/>
      <c r="AK82" s="7"/>
      <c r="AL82" s="7"/>
      <c r="AM82" s="7"/>
      <c r="AN82" s="7"/>
      <c r="AO82" s="72" t="str">
        <f t="shared" si="13"/>
        <v>A</v>
      </c>
      <c r="AP82" s="62">
        <v>2</v>
      </c>
      <c r="AQ82" s="62">
        <v>2</v>
      </c>
      <c r="AR82" s="62">
        <v>2</v>
      </c>
      <c r="AS82" s="7"/>
      <c r="AT82" s="7"/>
      <c r="AU82" s="72">
        <f t="shared" si="14"/>
        <v>2</v>
      </c>
      <c r="AV82" s="7"/>
      <c r="AW82" s="7"/>
      <c r="AX82" s="62">
        <v>2</v>
      </c>
      <c r="AY82" s="62">
        <v>2</v>
      </c>
      <c r="AZ82" s="62">
        <v>2</v>
      </c>
      <c r="BA82" s="72">
        <f t="shared" si="15"/>
        <v>2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2</v>
      </c>
      <c r="M83" s="62">
        <v>2</v>
      </c>
      <c r="N83" s="62">
        <v>2</v>
      </c>
      <c r="O83" s="62">
        <v>3</v>
      </c>
      <c r="P83" s="62">
        <v>2</v>
      </c>
      <c r="Q83" s="72">
        <f t="shared" si="9"/>
        <v>2.2000000000000002</v>
      </c>
      <c r="R83" s="62">
        <v>2</v>
      </c>
      <c r="S83" s="62">
        <v>2</v>
      </c>
      <c r="T83" s="62"/>
      <c r="U83" s="62">
        <v>2</v>
      </c>
      <c r="V83" s="62"/>
      <c r="W83" s="72">
        <f t="shared" si="10"/>
        <v>2</v>
      </c>
      <c r="X83" s="62">
        <v>2</v>
      </c>
      <c r="Y83" s="62">
        <v>2</v>
      </c>
      <c r="Z83" s="62"/>
      <c r="AA83" s="62"/>
      <c r="AB83" s="62"/>
      <c r="AC83" s="72">
        <f t="shared" si="11"/>
        <v>2</v>
      </c>
      <c r="AD83" s="62">
        <v>2</v>
      </c>
      <c r="AE83" s="62"/>
      <c r="AF83" s="62">
        <v>0</v>
      </c>
      <c r="AG83" s="62"/>
      <c r="AH83" s="62"/>
      <c r="AI83" s="72">
        <f t="shared" si="12"/>
        <v>1</v>
      </c>
      <c r="AJ83" s="62"/>
      <c r="AK83" s="62"/>
      <c r="AL83" s="62"/>
      <c r="AM83" s="62"/>
      <c r="AN83" s="62"/>
      <c r="AO83" s="72" t="str">
        <f t="shared" si="13"/>
        <v>A</v>
      </c>
      <c r="AP83" s="62">
        <v>2</v>
      </c>
      <c r="AQ83" s="62">
        <v>2</v>
      </c>
      <c r="AR83" s="62">
        <v>2</v>
      </c>
      <c r="AS83" s="62"/>
      <c r="AT83" s="62"/>
      <c r="AU83" s="72">
        <f t="shared" si="14"/>
        <v>2</v>
      </c>
      <c r="AV83" s="62"/>
      <c r="AW83" s="62"/>
      <c r="AX83" s="62">
        <v>2</v>
      </c>
      <c r="AY83" s="62">
        <v>2</v>
      </c>
      <c r="AZ83" s="62">
        <v>2</v>
      </c>
      <c r="BA83" s="72">
        <f t="shared" si="15"/>
        <v>2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4</v>
      </c>
      <c r="M84" s="62">
        <v>4</v>
      </c>
      <c r="N84" s="62">
        <v>4</v>
      </c>
      <c r="O84" s="62">
        <v>3</v>
      </c>
      <c r="P84" s="62">
        <v>4</v>
      </c>
      <c r="Q84" s="72">
        <f t="shared" si="9"/>
        <v>3.8</v>
      </c>
      <c r="R84" s="62">
        <v>3</v>
      </c>
      <c r="S84" s="62">
        <v>4</v>
      </c>
      <c r="T84" s="7"/>
      <c r="U84" s="62">
        <v>3</v>
      </c>
      <c r="V84" s="7"/>
      <c r="W84" s="72">
        <f t="shared" si="10"/>
        <v>3.3333333333333335</v>
      </c>
      <c r="X84" s="62">
        <v>4</v>
      </c>
      <c r="Y84" s="62">
        <v>3</v>
      </c>
      <c r="Z84" s="7"/>
      <c r="AA84" s="7"/>
      <c r="AB84" s="7"/>
      <c r="AC84" s="72">
        <f t="shared" si="11"/>
        <v>3.5</v>
      </c>
      <c r="AD84" s="62">
        <v>2</v>
      </c>
      <c r="AE84" s="7"/>
      <c r="AF84" s="62">
        <v>1</v>
      </c>
      <c r="AG84" s="7"/>
      <c r="AH84" s="7"/>
      <c r="AI84" s="72">
        <f t="shared" si="12"/>
        <v>1.5</v>
      </c>
      <c r="AJ84" s="7"/>
      <c r="AK84" s="7"/>
      <c r="AL84" s="7"/>
      <c r="AM84" s="7"/>
      <c r="AN84" s="7"/>
      <c r="AO84" s="72" t="str">
        <f t="shared" si="13"/>
        <v>A</v>
      </c>
      <c r="AP84" s="62">
        <v>2</v>
      </c>
      <c r="AQ84" s="62">
        <v>2</v>
      </c>
      <c r="AR84" s="62">
        <v>2</v>
      </c>
      <c r="AS84" s="7"/>
      <c r="AT84" s="7"/>
      <c r="AU84" s="72">
        <f t="shared" si="14"/>
        <v>2</v>
      </c>
      <c r="AV84" s="7"/>
      <c r="AW84" s="7"/>
      <c r="AX84" s="62">
        <v>2</v>
      </c>
      <c r="AY84" s="62">
        <v>3</v>
      </c>
      <c r="AZ84" s="62">
        <v>3</v>
      </c>
      <c r="BA84" s="72">
        <f t="shared" si="15"/>
        <v>2.6666666666666665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2</v>
      </c>
      <c r="M85" s="62">
        <v>3</v>
      </c>
      <c r="N85" s="62">
        <v>2</v>
      </c>
      <c r="O85" s="62">
        <v>4</v>
      </c>
      <c r="P85" s="62">
        <v>4</v>
      </c>
      <c r="Q85" s="72">
        <f t="shared" si="9"/>
        <v>3</v>
      </c>
      <c r="R85" s="62">
        <v>2</v>
      </c>
      <c r="S85" s="62">
        <v>2</v>
      </c>
      <c r="T85" s="62"/>
      <c r="U85" s="62">
        <v>2</v>
      </c>
      <c r="V85" s="62"/>
      <c r="W85" s="72">
        <f t="shared" si="10"/>
        <v>2</v>
      </c>
      <c r="X85" s="62">
        <v>2</v>
      </c>
      <c r="Y85" s="62">
        <v>2</v>
      </c>
      <c r="Z85" s="62"/>
      <c r="AA85" s="62"/>
      <c r="AB85" s="62"/>
      <c r="AC85" s="72">
        <f t="shared" si="11"/>
        <v>2</v>
      </c>
      <c r="AD85" s="62">
        <v>2</v>
      </c>
      <c r="AE85" s="62"/>
      <c r="AF85" s="62">
        <v>1</v>
      </c>
      <c r="AG85" s="62"/>
      <c r="AH85" s="62"/>
      <c r="AI85" s="72">
        <f t="shared" si="12"/>
        <v>1.5</v>
      </c>
      <c r="AJ85" s="62"/>
      <c r="AK85" s="62"/>
      <c r="AL85" s="62"/>
      <c r="AM85" s="62"/>
      <c r="AN85" s="62"/>
      <c r="AO85" s="72" t="str">
        <f t="shared" si="13"/>
        <v>A</v>
      </c>
      <c r="AP85" s="62">
        <v>1</v>
      </c>
      <c r="AQ85" s="62">
        <v>1</v>
      </c>
      <c r="AR85" s="62">
        <v>1</v>
      </c>
      <c r="AS85" s="62"/>
      <c r="AT85" s="62"/>
      <c r="AU85" s="72">
        <f t="shared" si="14"/>
        <v>1</v>
      </c>
      <c r="AV85" s="62"/>
      <c r="AW85" s="62"/>
      <c r="AX85" s="62">
        <v>3</v>
      </c>
      <c r="AY85" s="62">
        <v>3</v>
      </c>
      <c r="AZ85" s="62">
        <v>4</v>
      </c>
      <c r="BA85" s="72">
        <f t="shared" si="15"/>
        <v>3.3333333333333335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2</v>
      </c>
      <c r="M86" s="62">
        <v>2</v>
      </c>
      <c r="N86" s="62">
        <v>2</v>
      </c>
      <c r="O86" s="62">
        <v>3</v>
      </c>
      <c r="P86" s="62">
        <v>2</v>
      </c>
      <c r="Q86" s="72">
        <f t="shared" si="9"/>
        <v>2.2000000000000002</v>
      </c>
      <c r="R86" s="62">
        <v>2</v>
      </c>
      <c r="S86" s="62">
        <v>2</v>
      </c>
      <c r="T86" s="7"/>
      <c r="U86" s="62">
        <v>2</v>
      </c>
      <c r="V86" s="7"/>
      <c r="W86" s="72">
        <f t="shared" si="10"/>
        <v>2</v>
      </c>
      <c r="X86" s="62">
        <v>2</v>
      </c>
      <c r="Y86" s="62">
        <v>2</v>
      </c>
      <c r="Z86" s="7"/>
      <c r="AA86" s="7"/>
      <c r="AB86" s="7"/>
      <c r="AC86" s="72">
        <f t="shared" si="11"/>
        <v>2</v>
      </c>
      <c r="AD86" s="62">
        <v>2</v>
      </c>
      <c r="AE86" s="7"/>
      <c r="AF86" s="62">
        <v>0</v>
      </c>
      <c r="AG86" s="7"/>
      <c r="AH86" s="7"/>
      <c r="AI86" s="72">
        <f t="shared" si="12"/>
        <v>1</v>
      </c>
      <c r="AJ86" s="7"/>
      <c r="AK86" s="7"/>
      <c r="AL86" s="7"/>
      <c r="AM86" s="7"/>
      <c r="AN86" s="7"/>
      <c r="AO86" s="72" t="str">
        <f t="shared" si="13"/>
        <v>A</v>
      </c>
      <c r="AP86" s="62">
        <v>2</v>
      </c>
      <c r="AQ86" s="62">
        <v>2</v>
      </c>
      <c r="AR86" s="62">
        <v>2</v>
      </c>
      <c r="AS86" s="7"/>
      <c r="AT86" s="7"/>
      <c r="AU86" s="72">
        <f t="shared" si="14"/>
        <v>2</v>
      </c>
      <c r="AV86" s="7"/>
      <c r="AW86" s="7"/>
      <c r="AX86" s="62">
        <v>2</v>
      </c>
      <c r="AY86" s="62">
        <v>5</v>
      </c>
      <c r="AZ86" s="62">
        <v>3</v>
      </c>
      <c r="BA86" s="72">
        <f t="shared" si="15"/>
        <v>3.3333333333333335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1</v>
      </c>
      <c r="M87" s="62">
        <v>1</v>
      </c>
      <c r="N87" s="62">
        <v>1</v>
      </c>
      <c r="O87" s="62">
        <v>3</v>
      </c>
      <c r="P87" s="62">
        <v>1</v>
      </c>
      <c r="Q87" s="72">
        <f t="shared" si="9"/>
        <v>1.4</v>
      </c>
      <c r="R87" s="62">
        <v>1</v>
      </c>
      <c r="S87" s="62">
        <v>1</v>
      </c>
      <c r="T87" s="62"/>
      <c r="U87" s="62">
        <v>1</v>
      </c>
      <c r="V87" s="62"/>
      <c r="W87" s="72">
        <f t="shared" si="10"/>
        <v>1</v>
      </c>
      <c r="X87" s="62">
        <v>1</v>
      </c>
      <c r="Y87" s="62">
        <v>1</v>
      </c>
      <c r="Z87" s="62"/>
      <c r="AA87" s="62"/>
      <c r="AB87" s="62"/>
      <c r="AC87" s="72">
        <f t="shared" si="11"/>
        <v>1</v>
      </c>
      <c r="AD87" s="62">
        <v>1</v>
      </c>
      <c r="AE87" s="62"/>
      <c r="AF87" s="62">
        <v>1</v>
      </c>
      <c r="AG87" s="62"/>
      <c r="AH87" s="62"/>
      <c r="AI87" s="72">
        <f t="shared" si="12"/>
        <v>1</v>
      </c>
      <c r="AJ87" s="62"/>
      <c r="AK87" s="62"/>
      <c r="AL87" s="62"/>
      <c r="AM87" s="62"/>
      <c r="AN87" s="62"/>
      <c r="AO87" s="72" t="str">
        <f t="shared" si="13"/>
        <v>A</v>
      </c>
      <c r="AP87" s="62">
        <v>1</v>
      </c>
      <c r="AQ87" s="62">
        <v>1</v>
      </c>
      <c r="AR87" s="62">
        <v>1</v>
      </c>
      <c r="AS87" s="62"/>
      <c r="AT87" s="62"/>
      <c r="AU87" s="72">
        <f t="shared" si="14"/>
        <v>1</v>
      </c>
      <c r="AV87" s="62"/>
      <c r="AW87" s="62"/>
      <c r="AX87" s="62">
        <v>1</v>
      </c>
      <c r="AY87" s="62">
        <v>1</v>
      </c>
      <c r="AZ87" s="62">
        <v>1</v>
      </c>
      <c r="BA87" s="72">
        <f t="shared" si="15"/>
        <v>1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>
        <v>3</v>
      </c>
      <c r="N88" s="62">
        <v>3</v>
      </c>
      <c r="O88" s="62">
        <v>3</v>
      </c>
      <c r="P88" s="62">
        <v>3</v>
      </c>
      <c r="Q88" s="72">
        <f t="shared" si="9"/>
        <v>3</v>
      </c>
      <c r="R88" s="62">
        <v>3</v>
      </c>
      <c r="S88" s="62">
        <v>3</v>
      </c>
      <c r="T88" s="7"/>
      <c r="U88" s="62">
        <v>3</v>
      </c>
      <c r="V88" s="7"/>
      <c r="W88" s="72">
        <f t="shared" si="10"/>
        <v>3</v>
      </c>
      <c r="X88" s="62">
        <v>3</v>
      </c>
      <c r="Y88" s="62">
        <v>3</v>
      </c>
      <c r="Z88" s="7"/>
      <c r="AA88" s="7"/>
      <c r="AB88" s="7"/>
      <c r="AC88" s="72">
        <f t="shared" si="11"/>
        <v>3</v>
      </c>
      <c r="AD88" s="62">
        <v>3</v>
      </c>
      <c r="AE88" s="7"/>
      <c r="AF88" s="62">
        <v>3</v>
      </c>
      <c r="AG88" s="7"/>
      <c r="AH88" s="7"/>
      <c r="AI88" s="72">
        <f t="shared" si="12"/>
        <v>3</v>
      </c>
      <c r="AJ88" s="7"/>
      <c r="AK88" s="7"/>
      <c r="AL88" s="7"/>
      <c r="AM88" s="7"/>
      <c r="AN88" s="7"/>
      <c r="AO88" s="72" t="str">
        <f t="shared" si="13"/>
        <v>A</v>
      </c>
      <c r="AP88" s="62">
        <v>3</v>
      </c>
      <c r="AQ88" s="62">
        <v>3</v>
      </c>
      <c r="AR88" s="62">
        <v>3</v>
      </c>
      <c r="AS88" s="7"/>
      <c r="AT88" s="7"/>
      <c r="AU88" s="72">
        <f t="shared" si="14"/>
        <v>3</v>
      </c>
      <c r="AV88" s="7"/>
      <c r="AW88" s="7"/>
      <c r="AX88" s="62">
        <v>3</v>
      </c>
      <c r="AY88" s="62">
        <v>3</v>
      </c>
      <c r="AZ88" s="62">
        <v>3</v>
      </c>
      <c r="BA88" s="72">
        <f t="shared" si="15"/>
        <v>3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2</v>
      </c>
      <c r="M89" s="62">
        <v>2</v>
      </c>
      <c r="N89" s="62">
        <v>2</v>
      </c>
      <c r="O89" s="62">
        <v>3</v>
      </c>
      <c r="P89" s="62">
        <v>2</v>
      </c>
      <c r="Q89" s="72">
        <f t="shared" si="9"/>
        <v>2.2000000000000002</v>
      </c>
      <c r="R89" s="62">
        <v>2</v>
      </c>
      <c r="S89" s="62">
        <v>2</v>
      </c>
      <c r="T89" s="62"/>
      <c r="U89" s="62">
        <v>2</v>
      </c>
      <c r="V89" s="62"/>
      <c r="W89" s="72">
        <f t="shared" si="10"/>
        <v>2</v>
      </c>
      <c r="X89" s="62">
        <v>2</v>
      </c>
      <c r="Y89" s="62">
        <v>2</v>
      </c>
      <c r="Z89" s="62"/>
      <c r="AA89" s="62"/>
      <c r="AB89" s="62"/>
      <c r="AC89" s="72">
        <f t="shared" si="11"/>
        <v>2</v>
      </c>
      <c r="AD89" s="62">
        <v>2</v>
      </c>
      <c r="AE89" s="62"/>
      <c r="AF89" s="62">
        <v>0</v>
      </c>
      <c r="AG89" s="62"/>
      <c r="AH89" s="62"/>
      <c r="AI89" s="72">
        <f t="shared" si="12"/>
        <v>1</v>
      </c>
      <c r="AJ89" s="62"/>
      <c r="AK89" s="62"/>
      <c r="AL89" s="62"/>
      <c r="AM89" s="62"/>
      <c r="AN89" s="62"/>
      <c r="AO89" s="72" t="str">
        <f t="shared" si="13"/>
        <v>A</v>
      </c>
      <c r="AP89" s="62">
        <v>2</v>
      </c>
      <c r="AQ89" s="62">
        <v>2</v>
      </c>
      <c r="AR89" s="62">
        <v>2</v>
      </c>
      <c r="AS89" s="62"/>
      <c r="AT89" s="62"/>
      <c r="AU89" s="72">
        <f t="shared" si="14"/>
        <v>2</v>
      </c>
      <c r="AV89" s="62"/>
      <c r="AW89" s="62"/>
      <c r="AX89" s="62">
        <v>2</v>
      </c>
      <c r="AY89" s="62">
        <v>2</v>
      </c>
      <c r="AZ89" s="62">
        <v>2</v>
      </c>
      <c r="BA89" s="72">
        <f t="shared" si="15"/>
        <v>2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2</v>
      </c>
      <c r="M90" s="62">
        <v>2</v>
      </c>
      <c r="N90" s="62">
        <v>2</v>
      </c>
      <c r="O90" s="62">
        <v>4</v>
      </c>
      <c r="P90" s="62">
        <v>4</v>
      </c>
      <c r="Q90" s="72">
        <f t="shared" si="9"/>
        <v>2.8</v>
      </c>
      <c r="R90" s="62">
        <v>1</v>
      </c>
      <c r="S90" s="62">
        <v>1</v>
      </c>
      <c r="T90" s="7"/>
      <c r="U90" s="62">
        <v>1</v>
      </c>
      <c r="V90" s="7"/>
      <c r="W90" s="72">
        <f t="shared" si="10"/>
        <v>1</v>
      </c>
      <c r="X90" s="62">
        <v>1</v>
      </c>
      <c r="Y90" s="62">
        <v>1</v>
      </c>
      <c r="Z90" s="7"/>
      <c r="AA90" s="7"/>
      <c r="AB90" s="7"/>
      <c r="AC90" s="72">
        <f t="shared" si="11"/>
        <v>1</v>
      </c>
      <c r="AD90" s="62">
        <v>1</v>
      </c>
      <c r="AE90" s="7"/>
      <c r="AF90" s="62">
        <v>1</v>
      </c>
      <c r="AG90" s="7"/>
      <c r="AH90" s="7"/>
      <c r="AI90" s="72">
        <f t="shared" si="12"/>
        <v>1</v>
      </c>
      <c r="AJ90" s="7"/>
      <c r="AK90" s="7"/>
      <c r="AL90" s="7"/>
      <c r="AM90" s="7"/>
      <c r="AN90" s="7"/>
      <c r="AO90" s="72" t="str">
        <f t="shared" si="13"/>
        <v>A</v>
      </c>
      <c r="AP90" s="62">
        <v>1</v>
      </c>
      <c r="AQ90" s="62">
        <v>1</v>
      </c>
      <c r="AR90" s="62">
        <v>1</v>
      </c>
      <c r="AS90" s="7"/>
      <c r="AT90" s="7"/>
      <c r="AU90" s="72">
        <f t="shared" si="14"/>
        <v>1</v>
      </c>
      <c r="AV90" s="7"/>
      <c r="AW90" s="7"/>
      <c r="AX90" s="62">
        <v>1</v>
      </c>
      <c r="AY90" s="62">
        <v>1</v>
      </c>
      <c r="AZ90" s="62">
        <v>1</v>
      </c>
      <c r="BA90" s="72">
        <f t="shared" si="15"/>
        <v>1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4</v>
      </c>
      <c r="M91" s="62">
        <v>3</v>
      </c>
      <c r="N91" s="62">
        <v>4</v>
      </c>
      <c r="O91" s="62">
        <v>3</v>
      </c>
      <c r="P91" s="62">
        <v>3</v>
      </c>
      <c r="Q91" s="72">
        <f t="shared" si="9"/>
        <v>3.4</v>
      </c>
      <c r="R91" s="62">
        <v>3</v>
      </c>
      <c r="S91" s="62">
        <v>3</v>
      </c>
      <c r="T91" s="62"/>
      <c r="U91" s="62">
        <v>3</v>
      </c>
      <c r="V91" s="62"/>
      <c r="W91" s="72">
        <f t="shared" si="10"/>
        <v>3</v>
      </c>
      <c r="X91" s="62">
        <v>3</v>
      </c>
      <c r="Y91" s="62">
        <v>1</v>
      </c>
      <c r="Z91" s="62"/>
      <c r="AA91" s="62"/>
      <c r="AB91" s="62"/>
      <c r="AC91" s="72">
        <f t="shared" si="11"/>
        <v>2</v>
      </c>
      <c r="AD91" s="62">
        <v>1</v>
      </c>
      <c r="AE91" s="62"/>
      <c r="AF91" s="62">
        <v>1</v>
      </c>
      <c r="AG91" s="62"/>
      <c r="AH91" s="62"/>
      <c r="AI91" s="72">
        <f t="shared" si="12"/>
        <v>1</v>
      </c>
      <c r="AJ91" s="62"/>
      <c r="AK91" s="62"/>
      <c r="AL91" s="62"/>
      <c r="AM91" s="62"/>
      <c r="AN91" s="62"/>
      <c r="AO91" s="72" t="str">
        <f t="shared" si="13"/>
        <v>A</v>
      </c>
      <c r="AP91" s="62">
        <v>3</v>
      </c>
      <c r="AQ91" s="62">
        <v>3</v>
      </c>
      <c r="AR91" s="62">
        <v>3</v>
      </c>
      <c r="AS91" s="62"/>
      <c r="AT91" s="62"/>
      <c r="AU91" s="72">
        <f t="shared" si="14"/>
        <v>3</v>
      </c>
      <c r="AV91" s="62"/>
      <c r="AW91" s="62"/>
      <c r="AX91" s="62">
        <v>1</v>
      </c>
      <c r="AY91" s="62">
        <v>1</v>
      </c>
      <c r="AZ91" s="62">
        <v>2</v>
      </c>
      <c r="BA91" s="72">
        <f t="shared" si="15"/>
        <v>1.3333333333333333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3</v>
      </c>
      <c r="M92" s="62">
        <v>3</v>
      </c>
      <c r="N92" s="62">
        <v>2</v>
      </c>
      <c r="O92" s="62">
        <v>3</v>
      </c>
      <c r="P92" s="62">
        <v>3</v>
      </c>
      <c r="Q92" s="72">
        <f t="shared" si="9"/>
        <v>2.8</v>
      </c>
      <c r="R92" s="62">
        <v>3</v>
      </c>
      <c r="S92" s="62">
        <v>3</v>
      </c>
      <c r="T92" s="7"/>
      <c r="U92" s="62">
        <v>3</v>
      </c>
      <c r="V92" s="7"/>
      <c r="W92" s="72">
        <f t="shared" si="10"/>
        <v>3</v>
      </c>
      <c r="X92" s="62">
        <v>3</v>
      </c>
      <c r="Y92" s="62">
        <v>2</v>
      </c>
      <c r="Z92" s="7"/>
      <c r="AA92" s="7"/>
      <c r="AB92" s="7"/>
      <c r="AC92" s="72">
        <f t="shared" si="11"/>
        <v>2.5</v>
      </c>
      <c r="AD92" s="62">
        <v>2</v>
      </c>
      <c r="AE92" s="7"/>
      <c r="AF92" s="62">
        <v>1</v>
      </c>
      <c r="AG92" s="7"/>
      <c r="AH92" s="7"/>
      <c r="AI92" s="72">
        <f t="shared" si="12"/>
        <v>1.5</v>
      </c>
      <c r="AJ92" s="7"/>
      <c r="AK92" s="7"/>
      <c r="AL92" s="7"/>
      <c r="AM92" s="7"/>
      <c r="AN92" s="7"/>
      <c r="AO92" s="72" t="str">
        <f t="shared" si="13"/>
        <v>A</v>
      </c>
      <c r="AP92" s="62">
        <v>1</v>
      </c>
      <c r="AQ92" s="62">
        <v>1</v>
      </c>
      <c r="AR92" s="62">
        <v>1</v>
      </c>
      <c r="AS92" s="7"/>
      <c r="AT92" s="7"/>
      <c r="AU92" s="72">
        <f t="shared" si="14"/>
        <v>1</v>
      </c>
      <c r="AV92" s="7"/>
      <c r="AW92" s="7"/>
      <c r="AX92" s="62">
        <v>1</v>
      </c>
      <c r="AY92" s="62">
        <v>3</v>
      </c>
      <c r="AZ92" s="62">
        <v>3</v>
      </c>
      <c r="BA92" s="72">
        <f t="shared" si="15"/>
        <v>2.3333333333333335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2</v>
      </c>
      <c r="M93" s="62">
        <v>2</v>
      </c>
      <c r="N93" s="62">
        <v>2</v>
      </c>
      <c r="O93" s="62">
        <v>3</v>
      </c>
      <c r="P93" s="62">
        <v>2</v>
      </c>
      <c r="Q93" s="72">
        <f t="shared" si="9"/>
        <v>2.2000000000000002</v>
      </c>
      <c r="R93" s="62">
        <v>3</v>
      </c>
      <c r="S93" s="62">
        <v>3</v>
      </c>
      <c r="T93" s="62"/>
      <c r="U93" s="62">
        <v>3</v>
      </c>
      <c r="V93" s="62"/>
      <c r="W93" s="72">
        <f t="shared" si="10"/>
        <v>3</v>
      </c>
      <c r="X93" s="62">
        <v>3</v>
      </c>
      <c r="Y93" s="62">
        <v>3</v>
      </c>
      <c r="Z93" s="62"/>
      <c r="AA93" s="62"/>
      <c r="AB93" s="62"/>
      <c r="AC93" s="72">
        <f t="shared" si="11"/>
        <v>3</v>
      </c>
      <c r="AD93" s="62">
        <v>4</v>
      </c>
      <c r="AE93" s="62"/>
      <c r="AF93" s="62">
        <v>4</v>
      </c>
      <c r="AG93" s="62"/>
      <c r="AH93" s="62"/>
      <c r="AI93" s="72">
        <f t="shared" si="12"/>
        <v>4</v>
      </c>
      <c r="AJ93" s="62"/>
      <c r="AK93" s="62"/>
      <c r="AL93" s="62"/>
      <c r="AM93" s="62"/>
      <c r="AN93" s="62"/>
      <c r="AO93" s="72" t="str">
        <f t="shared" si="13"/>
        <v>A</v>
      </c>
      <c r="AP93" s="62">
        <v>4</v>
      </c>
      <c r="AQ93" s="62">
        <v>4</v>
      </c>
      <c r="AR93" s="62">
        <v>4</v>
      </c>
      <c r="AS93" s="62"/>
      <c r="AT93" s="62"/>
      <c r="AU93" s="72">
        <f t="shared" si="14"/>
        <v>4</v>
      </c>
      <c r="AV93" s="62"/>
      <c r="AW93" s="62"/>
      <c r="AX93" s="62">
        <v>4</v>
      </c>
      <c r="AY93" s="62">
        <v>3</v>
      </c>
      <c r="AZ93" s="62">
        <v>3</v>
      </c>
      <c r="BA93" s="72">
        <f t="shared" si="15"/>
        <v>3.3333333333333335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3</v>
      </c>
      <c r="M94" s="62">
        <v>3</v>
      </c>
      <c r="N94" s="62">
        <v>3</v>
      </c>
      <c r="O94" s="62">
        <v>3</v>
      </c>
      <c r="P94" s="62">
        <v>3</v>
      </c>
      <c r="Q94" s="72">
        <f t="shared" si="9"/>
        <v>3</v>
      </c>
      <c r="R94" s="62">
        <v>3</v>
      </c>
      <c r="S94" s="62">
        <v>3</v>
      </c>
      <c r="T94" s="7"/>
      <c r="U94" s="62">
        <v>3</v>
      </c>
      <c r="V94" s="7"/>
      <c r="W94" s="72">
        <f t="shared" si="10"/>
        <v>3</v>
      </c>
      <c r="X94" s="62">
        <v>3</v>
      </c>
      <c r="Y94" s="62">
        <v>3</v>
      </c>
      <c r="Z94" s="7"/>
      <c r="AA94" s="7"/>
      <c r="AB94" s="7"/>
      <c r="AC94" s="72">
        <f t="shared" si="11"/>
        <v>3</v>
      </c>
      <c r="AD94" s="62">
        <v>3</v>
      </c>
      <c r="AE94" s="7"/>
      <c r="AF94" s="62">
        <v>3</v>
      </c>
      <c r="AG94" s="7"/>
      <c r="AH94" s="7"/>
      <c r="AI94" s="72">
        <f t="shared" si="12"/>
        <v>3</v>
      </c>
      <c r="AJ94" s="7"/>
      <c r="AK94" s="7"/>
      <c r="AL94" s="7"/>
      <c r="AM94" s="7"/>
      <c r="AN94" s="7"/>
      <c r="AO94" s="72" t="str">
        <f t="shared" si="13"/>
        <v>A</v>
      </c>
      <c r="AP94" s="62">
        <v>3</v>
      </c>
      <c r="AQ94" s="62">
        <v>3</v>
      </c>
      <c r="AR94" s="62">
        <v>3</v>
      </c>
      <c r="AS94" s="7"/>
      <c r="AT94" s="7"/>
      <c r="AU94" s="72">
        <f t="shared" si="14"/>
        <v>3</v>
      </c>
      <c r="AV94" s="7"/>
      <c r="AW94" s="7"/>
      <c r="AX94" s="62">
        <v>3</v>
      </c>
      <c r="AY94" s="62">
        <v>3</v>
      </c>
      <c r="AZ94" s="62">
        <v>3</v>
      </c>
      <c r="BA94" s="72">
        <f t="shared" si="15"/>
        <v>3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2</v>
      </c>
      <c r="M95" s="62">
        <v>2</v>
      </c>
      <c r="N95" s="62">
        <v>2</v>
      </c>
      <c r="O95" s="62">
        <v>3</v>
      </c>
      <c r="P95" s="62">
        <v>2</v>
      </c>
      <c r="Q95" s="72">
        <f t="shared" si="9"/>
        <v>2.2000000000000002</v>
      </c>
      <c r="R95" s="62">
        <v>3</v>
      </c>
      <c r="S95" s="62">
        <v>3</v>
      </c>
      <c r="T95" s="62"/>
      <c r="U95" s="62">
        <v>3</v>
      </c>
      <c r="V95" s="62"/>
      <c r="W95" s="72">
        <f t="shared" si="10"/>
        <v>3</v>
      </c>
      <c r="X95" s="62">
        <v>3</v>
      </c>
      <c r="Y95" s="62">
        <v>2</v>
      </c>
      <c r="Z95" s="62"/>
      <c r="AA95" s="62"/>
      <c r="AB95" s="62"/>
      <c r="AC95" s="72">
        <f t="shared" si="11"/>
        <v>2.5</v>
      </c>
      <c r="AD95" s="62">
        <v>3</v>
      </c>
      <c r="AE95" s="62"/>
      <c r="AF95" s="62">
        <v>0</v>
      </c>
      <c r="AG95" s="62"/>
      <c r="AH95" s="62"/>
      <c r="AI95" s="72">
        <f t="shared" si="12"/>
        <v>1.5</v>
      </c>
      <c r="AJ95" s="62"/>
      <c r="AK95" s="62"/>
      <c r="AL95" s="62"/>
      <c r="AM95" s="62"/>
      <c r="AN95" s="62"/>
      <c r="AO95" s="72" t="str">
        <f t="shared" si="13"/>
        <v>A</v>
      </c>
      <c r="AP95" s="62">
        <v>3</v>
      </c>
      <c r="AQ95" s="62">
        <v>2</v>
      </c>
      <c r="AR95" s="62">
        <v>2</v>
      </c>
      <c r="AS95" s="62"/>
      <c r="AT95" s="62"/>
      <c r="AU95" s="72">
        <f t="shared" si="14"/>
        <v>2.3333333333333335</v>
      </c>
      <c r="AV95" s="62"/>
      <c r="AW95" s="62"/>
      <c r="AX95" s="62">
        <v>2</v>
      </c>
      <c r="AY95" s="62">
        <v>5</v>
      </c>
      <c r="AZ95" s="62">
        <v>4</v>
      </c>
      <c r="BA95" s="72">
        <f t="shared" si="15"/>
        <v>3.6666666666666665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2</v>
      </c>
      <c r="M96" s="62">
        <v>2</v>
      </c>
      <c r="N96" s="62">
        <v>2</v>
      </c>
      <c r="O96" s="62">
        <v>3</v>
      </c>
      <c r="P96" s="62">
        <v>2</v>
      </c>
      <c r="Q96" s="72">
        <f t="shared" si="9"/>
        <v>2.2000000000000002</v>
      </c>
      <c r="R96" s="62">
        <v>3</v>
      </c>
      <c r="S96" s="62">
        <v>3</v>
      </c>
      <c r="T96" s="7"/>
      <c r="U96" s="62">
        <v>3</v>
      </c>
      <c r="V96" s="7"/>
      <c r="W96" s="72">
        <f t="shared" si="10"/>
        <v>3</v>
      </c>
      <c r="X96" s="62">
        <v>3</v>
      </c>
      <c r="Y96" s="62">
        <v>3</v>
      </c>
      <c r="Z96" s="7"/>
      <c r="AA96" s="7"/>
      <c r="AB96" s="7"/>
      <c r="AC96" s="72">
        <f t="shared" si="11"/>
        <v>3</v>
      </c>
      <c r="AD96" s="62">
        <v>4</v>
      </c>
      <c r="AE96" s="7"/>
      <c r="AF96" s="62">
        <v>4</v>
      </c>
      <c r="AG96" s="7"/>
      <c r="AH96" s="7"/>
      <c r="AI96" s="72">
        <f t="shared" si="12"/>
        <v>4</v>
      </c>
      <c r="AJ96" s="7"/>
      <c r="AK96" s="7"/>
      <c r="AL96" s="7"/>
      <c r="AM96" s="7"/>
      <c r="AN96" s="7"/>
      <c r="AO96" s="72" t="str">
        <f t="shared" si="13"/>
        <v>A</v>
      </c>
      <c r="AP96" s="62">
        <v>1</v>
      </c>
      <c r="AQ96" s="62">
        <v>1</v>
      </c>
      <c r="AR96" s="62">
        <v>1</v>
      </c>
      <c r="AS96" s="7"/>
      <c r="AT96" s="7"/>
      <c r="AU96" s="72">
        <f t="shared" si="14"/>
        <v>1</v>
      </c>
      <c r="AV96" s="7"/>
      <c r="AW96" s="7"/>
      <c r="AX96" s="62">
        <v>5</v>
      </c>
      <c r="AY96" s="62">
        <v>4</v>
      </c>
      <c r="AZ96" s="62">
        <v>3</v>
      </c>
      <c r="BA96" s="72">
        <f t="shared" si="15"/>
        <v>4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3</v>
      </c>
      <c r="M97" s="62">
        <v>3</v>
      </c>
      <c r="N97" s="62">
        <v>3</v>
      </c>
      <c r="O97" s="62">
        <v>3</v>
      </c>
      <c r="P97" s="62">
        <v>4</v>
      </c>
      <c r="Q97" s="72">
        <f t="shared" si="9"/>
        <v>3.2</v>
      </c>
      <c r="R97" s="62">
        <v>4</v>
      </c>
      <c r="S97" s="62">
        <v>3</v>
      </c>
      <c r="T97" s="62"/>
      <c r="U97" s="62">
        <v>4</v>
      </c>
      <c r="V97" s="62"/>
      <c r="W97" s="72">
        <f t="shared" si="10"/>
        <v>3.6666666666666665</v>
      </c>
      <c r="X97" s="62">
        <v>4</v>
      </c>
      <c r="Y97" s="62">
        <v>3</v>
      </c>
      <c r="Z97" s="62"/>
      <c r="AA97" s="62"/>
      <c r="AB97" s="62"/>
      <c r="AC97" s="72">
        <f t="shared" si="11"/>
        <v>3.5</v>
      </c>
      <c r="AD97" s="62">
        <v>4</v>
      </c>
      <c r="AE97" s="62"/>
      <c r="AF97" s="62">
        <v>3</v>
      </c>
      <c r="AG97" s="62"/>
      <c r="AH97" s="62"/>
      <c r="AI97" s="72">
        <f t="shared" si="12"/>
        <v>3.5</v>
      </c>
      <c r="AJ97" s="62"/>
      <c r="AK97" s="62"/>
      <c r="AL97" s="62"/>
      <c r="AM97" s="62"/>
      <c r="AN97" s="62"/>
      <c r="AO97" s="72" t="str">
        <f t="shared" si="13"/>
        <v>A</v>
      </c>
      <c r="AP97" s="62">
        <v>3</v>
      </c>
      <c r="AQ97" s="62">
        <v>3</v>
      </c>
      <c r="AR97" s="62">
        <v>4</v>
      </c>
      <c r="AS97" s="62"/>
      <c r="AT97" s="62"/>
      <c r="AU97" s="72">
        <f t="shared" si="14"/>
        <v>3.3333333333333335</v>
      </c>
      <c r="AV97" s="62"/>
      <c r="AW97" s="62"/>
      <c r="AX97" s="62">
        <v>3</v>
      </c>
      <c r="AY97" s="62">
        <v>3</v>
      </c>
      <c r="AZ97" s="62">
        <v>4</v>
      </c>
      <c r="BA97" s="72">
        <f t="shared" si="15"/>
        <v>3.3333333333333335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2</v>
      </c>
      <c r="M98" s="62">
        <v>2</v>
      </c>
      <c r="N98" s="62">
        <v>2</v>
      </c>
      <c r="O98" s="62">
        <v>3</v>
      </c>
      <c r="P98" s="62">
        <v>2</v>
      </c>
      <c r="Q98" s="72">
        <f t="shared" si="9"/>
        <v>2.2000000000000002</v>
      </c>
      <c r="R98" s="62">
        <v>2</v>
      </c>
      <c r="S98" s="62">
        <v>2</v>
      </c>
      <c r="T98" s="7"/>
      <c r="U98" s="62">
        <v>2</v>
      </c>
      <c r="V98" s="7"/>
      <c r="W98" s="72">
        <f t="shared" si="10"/>
        <v>2</v>
      </c>
      <c r="X98" s="62">
        <v>2</v>
      </c>
      <c r="Y98" s="62">
        <v>2</v>
      </c>
      <c r="Z98" s="7"/>
      <c r="AA98" s="7"/>
      <c r="AB98" s="7"/>
      <c r="AC98" s="72">
        <f t="shared" si="11"/>
        <v>2</v>
      </c>
      <c r="AD98" s="62">
        <v>2</v>
      </c>
      <c r="AE98" s="7"/>
      <c r="AF98" s="62">
        <v>0</v>
      </c>
      <c r="AG98" s="7"/>
      <c r="AH98" s="7"/>
      <c r="AI98" s="72">
        <f t="shared" si="12"/>
        <v>1</v>
      </c>
      <c r="AJ98" s="7"/>
      <c r="AK98" s="7"/>
      <c r="AL98" s="7"/>
      <c r="AM98" s="7"/>
      <c r="AN98" s="7"/>
      <c r="AO98" s="72" t="str">
        <f t="shared" si="13"/>
        <v>A</v>
      </c>
      <c r="AP98" s="62">
        <v>2</v>
      </c>
      <c r="AQ98" s="62">
        <v>2</v>
      </c>
      <c r="AR98" s="62">
        <v>2</v>
      </c>
      <c r="AS98" s="7"/>
      <c r="AT98" s="7"/>
      <c r="AU98" s="72">
        <f t="shared" si="14"/>
        <v>2</v>
      </c>
      <c r="AV98" s="7"/>
      <c r="AW98" s="7"/>
      <c r="AX98" s="62">
        <v>2</v>
      </c>
      <c r="AY98" s="62">
        <v>2</v>
      </c>
      <c r="AZ98" s="62">
        <v>2</v>
      </c>
      <c r="BA98" s="72">
        <f t="shared" si="15"/>
        <v>2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4</v>
      </c>
      <c r="M99" s="62">
        <v>4</v>
      </c>
      <c r="N99" s="62">
        <v>4</v>
      </c>
      <c r="O99" s="62">
        <v>4</v>
      </c>
      <c r="P99" s="62">
        <v>4</v>
      </c>
      <c r="Q99" s="72">
        <f t="shared" si="9"/>
        <v>4</v>
      </c>
      <c r="R99" s="62">
        <v>4</v>
      </c>
      <c r="S99" s="62">
        <v>4</v>
      </c>
      <c r="T99" s="62"/>
      <c r="U99" s="62">
        <v>4</v>
      </c>
      <c r="V99" s="62"/>
      <c r="W99" s="72">
        <f t="shared" si="10"/>
        <v>4</v>
      </c>
      <c r="X99" s="62">
        <v>4</v>
      </c>
      <c r="Y99" s="62">
        <v>4</v>
      </c>
      <c r="Z99" s="62"/>
      <c r="AA99" s="62"/>
      <c r="AB99" s="62"/>
      <c r="AC99" s="72">
        <f t="shared" si="11"/>
        <v>4</v>
      </c>
      <c r="AD99" s="62">
        <v>4</v>
      </c>
      <c r="AE99" s="62"/>
      <c r="AF99" s="62">
        <v>4</v>
      </c>
      <c r="AG99" s="62"/>
      <c r="AH99" s="62"/>
      <c r="AI99" s="72">
        <f t="shared" si="12"/>
        <v>4</v>
      </c>
      <c r="AJ99" s="62"/>
      <c r="AK99" s="62"/>
      <c r="AL99" s="62"/>
      <c r="AM99" s="62"/>
      <c r="AN99" s="62"/>
      <c r="AO99" s="72" t="str">
        <f t="shared" si="13"/>
        <v>A</v>
      </c>
      <c r="AP99" s="62">
        <v>4</v>
      </c>
      <c r="AQ99" s="62">
        <v>4</v>
      </c>
      <c r="AR99" s="62">
        <v>4</v>
      </c>
      <c r="AS99" s="62"/>
      <c r="AT99" s="62"/>
      <c r="AU99" s="72">
        <f t="shared" si="14"/>
        <v>4</v>
      </c>
      <c r="AV99" s="62"/>
      <c r="AW99" s="62"/>
      <c r="AX99" s="62">
        <v>4</v>
      </c>
      <c r="AY99" s="62">
        <v>4</v>
      </c>
      <c r="AZ99" s="62">
        <v>4</v>
      </c>
      <c r="BA99" s="72">
        <f t="shared" si="15"/>
        <v>4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2</v>
      </c>
      <c r="M100" s="62">
        <v>4</v>
      </c>
      <c r="N100" s="62">
        <v>3</v>
      </c>
      <c r="O100" s="62">
        <v>3</v>
      </c>
      <c r="P100" s="62">
        <v>2</v>
      </c>
      <c r="Q100" s="72">
        <f t="shared" si="9"/>
        <v>2.8</v>
      </c>
      <c r="R100" s="62">
        <v>3</v>
      </c>
      <c r="S100" s="62">
        <v>3</v>
      </c>
      <c r="T100" s="7"/>
      <c r="U100" s="62">
        <v>3</v>
      </c>
      <c r="V100" s="7"/>
      <c r="W100" s="72">
        <f t="shared" si="10"/>
        <v>3</v>
      </c>
      <c r="X100" s="62">
        <v>3</v>
      </c>
      <c r="Y100" s="62">
        <v>2</v>
      </c>
      <c r="Z100" s="7"/>
      <c r="AA100" s="7"/>
      <c r="AB100" s="7"/>
      <c r="AC100" s="72">
        <f t="shared" si="11"/>
        <v>2.5</v>
      </c>
      <c r="AD100" s="62">
        <v>2</v>
      </c>
      <c r="AE100" s="7"/>
      <c r="AF100" s="62">
        <v>0</v>
      </c>
      <c r="AG100" s="7"/>
      <c r="AH100" s="7"/>
      <c r="AI100" s="72">
        <f t="shared" si="12"/>
        <v>1</v>
      </c>
      <c r="AJ100" s="7"/>
      <c r="AK100" s="7"/>
      <c r="AL100" s="7"/>
      <c r="AM100" s="7"/>
      <c r="AN100" s="7"/>
      <c r="AO100" s="72" t="str">
        <f t="shared" si="13"/>
        <v>A</v>
      </c>
      <c r="AP100" s="62">
        <v>2</v>
      </c>
      <c r="AQ100" s="62">
        <v>2</v>
      </c>
      <c r="AR100" s="62">
        <v>2</v>
      </c>
      <c r="AS100" s="7"/>
      <c r="AT100" s="7"/>
      <c r="AU100" s="72">
        <f t="shared" si="14"/>
        <v>2</v>
      </c>
      <c r="AV100" s="7"/>
      <c r="AW100" s="7"/>
      <c r="AX100" s="62">
        <v>2</v>
      </c>
      <c r="AY100" s="62">
        <v>2</v>
      </c>
      <c r="AZ100" s="62">
        <v>2</v>
      </c>
      <c r="BA100" s="72">
        <f t="shared" si="15"/>
        <v>2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2</v>
      </c>
      <c r="M101" s="62">
        <v>1</v>
      </c>
      <c r="N101" s="62">
        <v>2</v>
      </c>
      <c r="O101" s="62">
        <v>1</v>
      </c>
      <c r="P101" s="62">
        <v>1</v>
      </c>
      <c r="Q101" s="72">
        <f t="shared" si="9"/>
        <v>1.4</v>
      </c>
      <c r="R101" s="62">
        <v>1</v>
      </c>
      <c r="S101" s="62">
        <v>2</v>
      </c>
      <c r="T101" s="62"/>
      <c r="U101" s="62">
        <v>2</v>
      </c>
      <c r="V101" s="62"/>
      <c r="W101" s="72">
        <f t="shared" si="10"/>
        <v>1.6666666666666667</v>
      </c>
      <c r="X101" s="62">
        <v>1</v>
      </c>
      <c r="Y101" s="62">
        <v>2</v>
      </c>
      <c r="Z101" s="62"/>
      <c r="AA101" s="62"/>
      <c r="AB101" s="62"/>
      <c r="AC101" s="72">
        <f t="shared" si="11"/>
        <v>1.5</v>
      </c>
      <c r="AD101" s="62">
        <v>2</v>
      </c>
      <c r="AE101" s="62"/>
      <c r="AF101" s="62">
        <v>2</v>
      </c>
      <c r="AG101" s="62"/>
      <c r="AH101" s="62"/>
      <c r="AI101" s="72">
        <f t="shared" si="12"/>
        <v>2</v>
      </c>
      <c r="AJ101" s="62"/>
      <c r="AK101" s="62"/>
      <c r="AL101" s="62"/>
      <c r="AM101" s="62"/>
      <c r="AN101" s="62"/>
      <c r="AO101" s="72" t="str">
        <f t="shared" si="13"/>
        <v>A</v>
      </c>
      <c r="AP101" s="62">
        <v>2</v>
      </c>
      <c r="AQ101" s="62">
        <v>1</v>
      </c>
      <c r="AR101" s="62">
        <v>1</v>
      </c>
      <c r="AS101" s="62"/>
      <c r="AT101" s="62"/>
      <c r="AU101" s="72">
        <f t="shared" si="14"/>
        <v>1.3333333333333333</v>
      </c>
      <c r="AV101" s="62"/>
      <c r="AW101" s="62"/>
      <c r="AX101" s="62">
        <v>2</v>
      </c>
      <c r="AY101" s="62">
        <v>1</v>
      </c>
      <c r="AZ101" s="62">
        <v>1</v>
      </c>
      <c r="BA101" s="72">
        <f t="shared" si="15"/>
        <v>1.3333333333333333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1</v>
      </c>
      <c r="M102" s="62">
        <v>2</v>
      </c>
      <c r="N102" s="62">
        <v>1</v>
      </c>
      <c r="O102" s="62">
        <v>4</v>
      </c>
      <c r="P102" s="62">
        <v>1</v>
      </c>
      <c r="Q102" s="72">
        <f t="shared" si="9"/>
        <v>1.8</v>
      </c>
      <c r="R102" s="62">
        <v>2</v>
      </c>
      <c r="S102" s="62">
        <v>2</v>
      </c>
      <c r="T102" s="7"/>
      <c r="U102" s="62">
        <v>2</v>
      </c>
      <c r="V102" s="7"/>
      <c r="W102" s="72">
        <f t="shared" si="10"/>
        <v>2</v>
      </c>
      <c r="X102" s="62">
        <v>2</v>
      </c>
      <c r="Y102" s="62">
        <v>1</v>
      </c>
      <c r="Z102" s="7"/>
      <c r="AA102" s="7"/>
      <c r="AB102" s="7"/>
      <c r="AC102" s="72">
        <f t="shared" si="11"/>
        <v>1.5</v>
      </c>
      <c r="AD102" s="62">
        <v>1</v>
      </c>
      <c r="AE102" s="7"/>
      <c r="AF102" s="62">
        <v>1</v>
      </c>
      <c r="AG102" s="7"/>
      <c r="AH102" s="7"/>
      <c r="AI102" s="72">
        <f t="shared" si="12"/>
        <v>1</v>
      </c>
      <c r="AJ102" s="7"/>
      <c r="AK102" s="7"/>
      <c r="AL102" s="7"/>
      <c r="AM102" s="7"/>
      <c r="AN102" s="7"/>
      <c r="AO102" s="72" t="str">
        <f t="shared" si="13"/>
        <v>A</v>
      </c>
      <c r="AP102" s="62">
        <v>1</v>
      </c>
      <c r="AQ102" s="62">
        <v>1</v>
      </c>
      <c r="AR102" s="62">
        <v>1</v>
      </c>
      <c r="AS102" s="7"/>
      <c r="AT102" s="7"/>
      <c r="AU102" s="72">
        <f t="shared" si="14"/>
        <v>1</v>
      </c>
      <c r="AV102" s="7"/>
      <c r="AW102" s="7"/>
      <c r="AX102" s="62">
        <v>1</v>
      </c>
      <c r="AY102" s="62">
        <v>2</v>
      </c>
      <c r="AZ102" s="62">
        <v>2</v>
      </c>
      <c r="BA102" s="72">
        <f t="shared" si="15"/>
        <v>1.6666666666666667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4</v>
      </c>
      <c r="M103" s="62">
        <v>3</v>
      </c>
      <c r="N103" s="62">
        <v>3</v>
      </c>
      <c r="O103" s="62">
        <v>3</v>
      </c>
      <c r="P103" s="62">
        <v>2</v>
      </c>
      <c r="Q103" s="72">
        <f t="shared" si="9"/>
        <v>3</v>
      </c>
      <c r="R103" s="62">
        <v>3</v>
      </c>
      <c r="S103" s="62">
        <v>3</v>
      </c>
      <c r="T103" s="62"/>
      <c r="U103" s="62">
        <v>3</v>
      </c>
      <c r="V103" s="62"/>
      <c r="W103" s="72">
        <f t="shared" si="10"/>
        <v>3</v>
      </c>
      <c r="X103" s="62">
        <v>2</v>
      </c>
      <c r="Y103" s="62">
        <v>4</v>
      </c>
      <c r="Z103" s="62"/>
      <c r="AA103" s="62"/>
      <c r="AB103" s="62"/>
      <c r="AC103" s="72">
        <f t="shared" si="11"/>
        <v>3</v>
      </c>
      <c r="AD103" s="62">
        <v>2</v>
      </c>
      <c r="AE103" s="62"/>
      <c r="AF103" s="62">
        <v>0</v>
      </c>
      <c r="AG103" s="62"/>
      <c r="AH103" s="62"/>
      <c r="AI103" s="72">
        <f t="shared" si="12"/>
        <v>1</v>
      </c>
      <c r="AJ103" s="62"/>
      <c r="AK103" s="62"/>
      <c r="AL103" s="62"/>
      <c r="AM103" s="62"/>
      <c r="AN103" s="62"/>
      <c r="AO103" s="72" t="str">
        <f t="shared" si="13"/>
        <v>A</v>
      </c>
      <c r="AP103" s="62">
        <v>3</v>
      </c>
      <c r="AQ103" s="62">
        <v>2</v>
      </c>
      <c r="AR103" s="62">
        <v>2</v>
      </c>
      <c r="AS103" s="62"/>
      <c r="AT103" s="62"/>
      <c r="AU103" s="72">
        <f t="shared" si="14"/>
        <v>2.3333333333333335</v>
      </c>
      <c r="AV103" s="62"/>
      <c r="AW103" s="62"/>
      <c r="AX103" s="62">
        <v>2</v>
      </c>
      <c r="AY103" s="62">
        <v>5</v>
      </c>
      <c r="AZ103" s="62">
        <v>2</v>
      </c>
      <c r="BA103" s="72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4</v>
      </c>
      <c r="M104" s="62">
        <v>4</v>
      </c>
      <c r="N104" s="62">
        <v>3</v>
      </c>
      <c r="O104" s="62">
        <v>3</v>
      </c>
      <c r="P104" s="62">
        <v>3</v>
      </c>
      <c r="Q104" s="72">
        <f t="shared" si="9"/>
        <v>3.4</v>
      </c>
      <c r="R104" s="62">
        <v>3</v>
      </c>
      <c r="S104" s="62">
        <v>3</v>
      </c>
      <c r="T104" s="7"/>
      <c r="U104" s="62">
        <v>3</v>
      </c>
      <c r="V104" s="7"/>
      <c r="W104" s="72">
        <f t="shared" si="10"/>
        <v>3</v>
      </c>
      <c r="X104" s="62">
        <v>3</v>
      </c>
      <c r="Y104" s="62">
        <v>3</v>
      </c>
      <c r="Z104" s="7"/>
      <c r="AA104" s="7"/>
      <c r="AB104" s="7"/>
      <c r="AC104" s="72">
        <f t="shared" si="11"/>
        <v>3</v>
      </c>
      <c r="AD104" s="62">
        <v>2</v>
      </c>
      <c r="AE104" s="7"/>
      <c r="AF104" s="62">
        <v>0</v>
      </c>
      <c r="AG104" s="7"/>
      <c r="AH104" s="7"/>
      <c r="AI104" s="72">
        <f t="shared" si="12"/>
        <v>1</v>
      </c>
      <c r="AJ104" s="7"/>
      <c r="AK104" s="7"/>
      <c r="AL104" s="7"/>
      <c r="AM104" s="7"/>
      <c r="AN104" s="7"/>
      <c r="AO104" s="72" t="str">
        <f t="shared" si="13"/>
        <v>A</v>
      </c>
      <c r="AP104" s="62">
        <v>3</v>
      </c>
      <c r="AQ104" s="62">
        <v>2</v>
      </c>
      <c r="AR104" s="62">
        <v>2</v>
      </c>
      <c r="AS104" s="7"/>
      <c r="AT104" s="7"/>
      <c r="AU104" s="72">
        <f t="shared" si="14"/>
        <v>2.3333333333333335</v>
      </c>
      <c r="AV104" s="7"/>
      <c r="AW104" s="7"/>
      <c r="AX104" s="62">
        <v>2</v>
      </c>
      <c r="AY104" s="62">
        <v>5</v>
      </c>
      <c r="AZ104" s="62">
        <v>3</v>
      </c>
      <c r="BA104" s="72">
        <f t="shared" si="15"/>
        <v>3.3333333333333335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>
        <v>2</v>
      </c>
      <c r="N105" s="62">
        <v>2</v>
      </c>
      <c r="O105" s="62">
        <v>1</v>
      </c>
      <c r="P105" s="62">
        <v>3</v>
      </c>
      <c r="Q105" s="72">
        <f t="shared" si="9"/>
        <v>2.2000000000000002</v>
      </c>
      <c r="R105" s="62">
        <v>1</v>
      </c>
      <c r="S105" s="62">
        <v>1</v>
      </c>
      <c r="T105" s="62"/>
      <c r="U105" s="62">
        <v>1</v>
      </c>
      <c r="V105" s="62"/>
      <c r="W105" s="72">
        <f t="shared" si="10"/>
        <v>1</v>
      </c>
      <c r="X105" s="62">
        <v>1</v>
      </c>
      <c r="Y105" s="62">
        <v>1</v>
      </c>
      <c r="Z105" s="62"/>
      <c r="AA105" s="62"/>
      <c r="AB105" s="62"/>
      <c r="AC105" s="72">
        <f t="shared" si="11"/>
        <v>1</v>
      </c>
      <c r="AD105" s="62">
        <v>1</v>
      </c>
      <c r="AE105" s="62"/>
      <c r="AF105" s="62">
        <v>1</v>
      </c>
      <c r="AG105" s="62"/>
      <c r="AH105" s="62"/>
      <c r="AI105" s="72">
        <f t="shared" si="12"/>
        <v>1</v>
      </c>
      <c r="AJ105" s="62"/>
      <c r="AK105" s="62"/>
      <c r="AL105" s="62"/>
      <c r="AM105" s="62"/>
      <c r="AN105" s="62"/>
      <c r="AO105" s="72" t="str">
        <f t="shared" si="13"/>
        <v>A</v>
      </c>
      <c r="AP105" s="62">
        <v>1</v>
      </c>
      <c r="AQ105" s="62">
        <v>1</v>
      </c>
      <c r="AR105" s="62">
        <v>1</v>
      </c>
      <c r="AS105" s="62"/>
      <c r="AT105" s="62"/>
      <c r="AU105" s="72">
        <f t="shared" si="14"/>
        <v>1</v>
      </c>
      <c r="AV105" s="62"/>
      <c r="AW105" s="62"/>
      <c r="AX105" s="62">
        <v>1</v>
      </c>
      <c r="AY105" s="62">
        <v>1</v>
      </c>
      <c r="AZ105" s="62">
        <v>1</v>
      </c>
      <c r="BA105" s="72">
        <f t="shared" si="15"/>
        <v>1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4</v>
      </c>
      <c r="M106" s="62">
        <v>4</v>
      </c>
      <c r="N106" s="62">
        <v>3</v>
      </c>
      <c r="O106" s="62">
        <v>3</v>
      </c>
      <c r="P106" s="62">
        <v>4</v>
      </c>
      <c r="Q106" s="72">
        <f t="shared" si="9"/>
        <v>3.6</v>
      </c>
      <c r="R106" s="62">
        <v>4</v>
      </c>
      <c r="S106" s="62">
        <v>3</v>
      </c>
      <c r="T106" s="7"/>
      <c r="U106" s="62">
        <v>4</v>
      </c>
      <c r="V106" s="7"/>
      <c r="W106" s="72">
        <f t="shared" si="10"/>
        <v>3.6666666666666665</v>
      </c>
      <c r="X106" s="62">
        <v>3</v>
      </c>
      <c r="Y106" s="62">
        <v>2</v>
      </c>
      <c r="Z106" s="7"/>
      <c r="AA106" s="7"/>
      <c r="AB106" s="7"/>
      <c r="AC106" s="72">
        <f t="shared" si="11"/>
        <v>2.5</v>
      </c>
      <c r="AD106" s="62">
        <v>3</v>
      </c>
      <c r="AE106" s="7"/>
      <c r="AF106" s="62">
        <v>3</v>
      </c>
      <c r="AG106" s="7"/>
      <c r="AH106" s="7"/>
      <c r="AI106" s="72">
        <f t="shared" si="12"/>
        <v>3</v>
      </c>
      <c r="AJ106" s="7"/>
      <c r="AK106" s="7"/>
      <c r="AL106" s="7"/>
      <c r="AM106" s="7"/>
      <c r="AN106" s="7"/>
      <c r="AO106" s="72" t="str">
        <f t="shared" si="13"/>
        <v>A</v>
      </c>
      <c r="AP106" s="62">
        <v>1</v>
      </c>
      <c r="AQ106" s="62">
        <v>1</v>
      </c>
      <c r="AR106" s="62">
        <v>1</v>
      </c>
      <c r="AS106" s="7"/>
      <c r="AT106" s="7"/>
      <c r="AU106" s="72">
        <f t="shared" si="14"/>
        <v>1</v>
      </c>
      <c r="AV106" s="7"/>
      <c r="AW106" s="7"/>
      <c r="AX106" s="62">
        <v>3</v>
      </c>
      <c r="AY106" s="62">
        <v>3</v>
      </c>
      <c r="AZ106" s="62">
        <v>2</v>
      </c>
      <c r="BA106" s="72">
        <f t="shared" si="15"/>
        <v>2.6666666666666665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2</v>
      </c>
      <c r="M107" s="62">
        <v>3</v>
      </c>
      <c r="N107" s="62">
        <v>3</v>
      </c>
      <c r="O107" s="62">
        <v>3</v>
      </c>
      <c r="P107" s="62">
        <v>2</v>
      </c>
      <c r="Q107" s="72">
        <f t="shared" si="9"/>
        <v>2.6</v>
      </c>
      <c r="R107" s="62">
        <v>3</v>
      </c>
      <c r="S107" s="62">
        <v>4</v>
      </c>
      <c r="T107" s="62"/>
      <c r="U107" s="62">
        <v>4</v>
      </c>
      <c r="V107" s="62"/>
      <c r="W107" s="72">
        <f t="shared" si="10"/>
        <v>3.6666666666666665</v>
      </c>
      <c r="X107" s="62">
        <v>4</v>
      </c>
      <c r="Y107" s="62">
        <v>5</v>
      </c>
      <c r="Z107" s="62"/>
      <c r="AA107" s="62"/>
      <c r="AB107" s="62"/>
      <c r="AC107" s="72">
        <f t="shared" si="11"/>
        <v>4.5</v>
      </c>
      <c r="AD107" s="62">
        <v>4</v>
      </c>
      <c r="AE107" s="62"/>
      <c r="AF107" s="62">
        <v>4</v>
      </c>
      <c r="AG107" s="62"/>
      <c r="AH107" s="62"/>
      <c r="AI107" s="72">
        <f t="shared" si="12"/>
        <v>4</v>
      </c>
      <c r="AJ107" s="62"/>
      <c r="AK107" s="62"/>
      <c r="AL107" s="62"/>
      <c r="AM107" s="62"/>
      <c r="AN107" s="62"/>
      <c r="AO107" s="72" t="str">
        <f t="shared" si="13"/>
        <v>A</v>
      </c>
      <c r="AP107" s="62">
        <v>4</v>
      </c>
      <c r="AQ107" s="62">
        <v>5</v>
      </c>
      <c r="AR107" s="62">
        <v>5</v>
      </c>
      <c r="AS107" s="62"/>
      <c r="AT107" s="62"/>
      <c r="AU107" s="72">
        <f t="shared" si="14"/>
        <v>4.666666666666667</v>
      </c>
      <c r="AV107" s="62"/>
      <c r="AW107" s="62"/>
      <c r="AX107" s="62">
        <v>5</v>
      </c>
      <c r="AY107" s="62">
        <v>5</v>
      </c>
      <c r="AZ107" s="62">
        <v>5</v>
      </c>
      <c r="BA107" s="72">
        <f t="shared" si="15"/>
        <v>5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3</v>
      </c>
      <c r="M108" s="62">
        <v>3</v>
      </c>
      <c r="N108" s="62">
        <v>2</v>
      </c>
      <c r="O108" s="62">
        <v>3</v>
      </c>
      <c r="P108" s="62">
        <v>3</v>
      </c>
      <c r="Q108" s="72">
        <f t="shared" si="9"/>
        <v>2.8</v>
      </c>
      <c r="R108" s="62">
        <v>3</v>
      </c>
      <c r="S108" s="62">
        <v>3</v>
      </c>
      <c r="T108" s="7"/>
      <c r="U108" s="62">
        <v>3</v>
      </c>
      <c r="V108" s="7"/>
      <c r="W108" s="72">
        <f t="shared" si="10"/>
        <v>3</v>
      </c>
      <c r="X108" s="62">
        <v>3</v>
      </c>
      <c r="Y108" s="62">
        <v>2</v>
      </c>
      <c r="Z108" s="7"/>
      <c r="AA108" s="7"/>
      <c r="AB108" s="7"/>
      <c r="AC108" s="72">
        <f t="shared" si="11"/>
        <v>2.5</v>
      </c>
      <c r="AD108" s="62">
        <v>2</v>
      </c>
      <c r="AE108" s="7"/>
      <c r="AF108" s="62">
        <v>0</v>
      </c>
      <c r="AG108" s="7"/>
      <c r="AH108" s="7"/>
      <c r="AI108" s="72">
        <f t="shared" si="12"/>
        <v>1</v>
      </c>
      <c r="AJ108" s="7"/>
      <c r="AK108" s="7"/>
      <c r="AL108" s="7"/>
      <c r="AM108" s="7"/>
      <c r="AN108" s="7"/>
      <c r="AO108" s="72" t="str">
        <f t="shared" si="13"/>
        <v>A</v>
      </c>
      <c r="AP108" s="62">
        <v>2</v>
      </c>
      <c r="AQ108" s="62">
        <v>2</v>
      </c>
      <c r="AR108" s="62">
        <v>2</v>
      </c>
      <c r="AS108" s="7"/>
      <c r="AT108" s="7"/>
      <c r="AU108" s="72">
        <f t="shared" si="14"/>
        <v>2</v>
      </c>
      <c r="AV108" s="7"/>
      <c r="AW108" s="7"/>
      <c r="AX108" s="62">
        <v>2</v>
      </c>
      <c r="AY108" s="62">
        <v>2</v>
      </c>
      <c r="AZ108" s="62">
        <v>3</v>
      </c>
      <c r="BA108" s="72">
        <f t="shared" si="15"/>
        <v>2.3333333333333335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3</v>
      </c>
      <c r="M109" s="62">
        <v>3</v>
      </c>
      <c r="N109" s="62">
        <v>3</v>
      </c>
      <c r="O109" s="62">
        <v>3</v>
      </c>
      <c r="P109" s="62">
        <v>3</v>
      </c>
      <c r="Q109" s="72">
        <f t="shared" si="9"/>
        <v>3</v>
      </c>
      <c r="R109" s="62">
        <v>2</v>
      </c>
      <c r="S109" s="62">
        <v>2</v>
      </c>
      <c r="T109" s="62"/>
      <c r="U109" s="62">
        <v>2</v>
      </c>
      <c r="V109" s="62"/>
      <c r="W109" s="72">
        <f t="shared" si="10"/>
        <v>2</v>
      </c>
      <c r="X109" s="62">
        <v>2</v>
      </c>
      <c r="Y109" s="62">
        <v>2</v>
      </c>
      <c r="Z109" s="62"/>
      <c r="AA109" s="62"/>
      <c r="AB109" s="62"/>
      <c r="AC109" s="72">
        <f t="shared" si="11"/>
        <v>2</v>
      </c>
      <c r="AD109" s="62">
        <v>2</v>
      </c>
      <c r="AE109" s="62"/>
      <c r="AF109" s="62">
        <v>0</v>
      </c>
      <c r="AG109" s="62"/>
      <c r="AH109" s="62"/>
      <c r="AI109" s="72">
        <f t="shared" si="12"/>
        <v>1</v>
      </c>
      <c r="AJ109" s="62"/>
      <c r="AK109" s="62"/>
      <c r="AL109" s="62"/>
      <c r="AM109" s="62"/>
      <c r="AN109" s="62"/>
      <c r="AO109" s="72" t="str">
        <f t="shared" si="13"/>
        <v>A</v>
      </c>
      <c r="AP109" s="62">
        <v>2</v>
      </c>
      <c r="AQ109" s="62">
        <v>2</v>
      </c>
      <c r="AR109" s="62">
        <v>2</v>
      </c>
      <c r="AS109" s="62"/>
      <c r="AT109" s="62"/>
      <c r="AU109" s="72">
        <f t="shared" si="14"/>
        <v>2</v>
      </c>
      <c r="AV109" s="62"/>
      <c r="AW109" s="62"/>
      <c r="AX109" s="62">
        <v>2</v>
      </c>
      <c r="AY109" s="62">
        <v>2</v>
      </c>
      <c r="AZ109" s="62">
        <v>2</v>
      </c>
      <c r="BA109" s="72">
        <f t="shared" si="15"/>
        <v>2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2</v>
      </c>
      <c r="M110" s="62">
        <v>3</v>
      </c>
      <c r="N110" s="62">
        <v>2</v>
      </c>
      <c r="O110" s="62">
        <v>3</v>
      </c>
      <c r="P110" s="62">
        <v>3</v>
      </c>
      <c r="Q110" s="72">
        <f t="shared" si="9"/>
        <v>2.6</v>
      </c>
      <c r="R110" s="62">
        <v>3</v>
      </c>
      <c r="S110" s="62">
        <v>2</v>
      </c>
      <c r="T110" s="7"/>
      <c r="U110" s="62">
        <v>3</v>
      </c>
      <c r="V110" s="7"/>
      <c r="W110" s="72">
        <f t="shared" si="10"/>
        <v>2.6666666666666665</v>
      </c>
      <c r="X110" s="62">
        <v>3</v>
      </c>
      <c r="Y110" s="62">
        <v>2</v>
      </c>
      <c r="Z110" s="7"/>
      <c r="AA110" s="7"/>
      <c r="AB110" s="7"/>
      <c r="AC110" s="72">
        <f t="shared" si="11"/>
        <v>2.5</v>
      </c>
      <c r="AD110" s="62">
        <v>3</v>
      </c>
      <c r="AE110" s="7"/>
      <c r="AF110" s="62">
        <v>2</v>
      </c>
      <c r="AG110" s="7"/>
      <c r="AH110" s="7"/>
      <c r="AI110" s="72">
        <f t="shared" si="12"/>
        <v>2.5</v>
      </c>
      <c r="AJ110" s="7"/>
      <c r="AK110" s="7"/>
      <c r="AL110" s="7"/>
      <c r="AM110" s="7"/>
      <c r="AN110" s="7"/>
      <c r="AO110" s="72" t="str">
        <f t="shared" si="13"/>
        <v>A</v>
      </c>
      <c r="AP110" s="62">
        <v>2</v>
      </c>
      <c r="AQ110" s="62">
        <v>3</v>
      </c>
      <c r="AR110" s="62">
        <v>3</v>
      </c>
      <c r="AS110" s="7"/>
      <c r="AT110" s="7"/>
      <c r="AU110" s="72">
        <f t="shared" si="14"/>
        <v>2.6666666666666665</v>
      </c>
      <c r="AV110" s="7"/>
      <c r="AW110" s="7"/>
      <c r="AX110" s="62">
        <v>2</v>
      </c>
      <c r="AY110" s="62">
        <v>3</v>
      </c>
      <c r="AZ110" s="62">
        <v>3</v>
      </c>
      <c r="BA110" s="72">
        <f t="shared" si="15"/>
        <v>2.6666666666666665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3</v>
      </c>
      <c r="M111" s="62">
        <v>3</v>
      </c>
      <c r="N111" s="62">
        <v>3</v>
      </c>
      <c r="O111" s="62">
        <v>3</v>
      </c>
      <c r="P111" s="62">
        <v>3</v>
      </c>
      <c r="Q111" s="72">
        <f t="shared" si="9"/>
        <v>3</v>
      </c>
      <c r="R111" s="62">
        <v>3</v>
      </c>
      <c r="S111" s="62">
        <v>3</v>
      </c>
      <c r="T111" s="62"/>
      <c r="U111" s="62">
        <v>3</v>
      </c>
      <c r="V111" s="62"/>
      <c r="W111" s="72">
        <f t="shared" si="10"/>
        <v>3</v>
      </c>
      <c r="X111" s="62">
        <v>3</v>
      </c>
      <c r="Y111" s="62">
        <v>3</v>
      </c>
      <c r="Z111" s="62"/>
      <c r="AA111" s="62"/>
      <c r="AB111" s="62"/>
      <c r="AC111" s="72">
        <f t="shared" si="11"/>
        <v>3</v>
      </c>
      <c r="AD111" s="62">
        <v>3</v>
      </c>
      <c r="AE111" s="62"/>
      <c r="AF111" s="62">
        <v>3</v>
      </c>
      <c r="AG111" s="62"/>
      <c r="AH111" s="62"/>
      <c r="AI111" s="72">
        <f t="shared" si="12"/>
        <v>3</v>
      </c>
      <c r="AJ111" s="62"/>
      <c r="AK111" s="62"/>
      <c r="AL111" s="62"/>
      <c r="AM111" s="62"/>
      <c r="AN111" s="62"/>
      <c r="AO111" s="72" t="str">
        <f t="shared" si="13"/>
        <v>A</v>
      </c>
      <c r="AP111" s="62">
        <v>3</v>
      </c>
      <c r="AQ111" s="62">
        <v>3</v>
      </c>
      <c r="AR111" s="62">
        <v>3</v>
      </c>
      <c r="AS111" s="62"/>
      <c r="AT111" s="62"/>
      <c r="AU111" s="72">
        <f t="shared" si="14"/>
        <v>3</v>
      </c>
      <c r="AV111" s="62"/>
      <c r="AW111" s="62"/>
      <c r="AX111" s="62">
        <v>3</v>
      </c>
      <c r="AY111" s="62">
        <v>3</v>
      </c>
      <c r="AZ111" s="62">
        <v>3</v>
      </c>
      <c r="BA111" s="72">
        <f t="shared" si="15"/>
        <v>3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2</v>
      </c>
      <c r="M112" s="62">
        <v>3</v>
      </c>
      <c r="N112" s="62">
        <v>2</v>
      </c>
      <c r="O112" s="62">
        <v>3</v>
      </c>
      <c r="P112" s="62">
        <v>2</v>
      </c>
      <c r="Q112" s="72">
        <f t="shared" si="9"/>
        <v>2.4</v>
      </c>
      <c r="R112" s="62">
        <v>3</v>
      </c>
      <c r="S112" s="62">
        <v>2</v>
      </c>
      <c r="T112" s="7"/>
      <c r="U112" s="62">
        <v>2</v>
      </c>
      <c r="V112" s="7"/>
      <c r="W112" s="72">
        <f t="shared" si="10"/>
        <v>2.3333333333333335</v>
      </c>
      <c r="X112" s="62">
        <v>3</v>
      </c>
      <c r="Y112" s="62">
        <v>2</v>
      </c>
      <c r="Z112" s="7"/>
      <c r="AA112" s="7"/>
      <c r="AB112" s="7"/>
      <c r="AC112" s="72">
        <f t="shared" si="11"/>
        <v>2.5</v>
      </c>
      <c r="AD112" s="62">
        <v>2</v>
      </c>
      <c r="AE112" s="7"/>
      <c r="AF112" s="62">
        <v>2</v>
      </c>
      <c r="AG112" s="7"/>
      <c r="AH112" s="7"/>
      <c r="AI112" s="72">
        <f t="shared" si="12"/>
        <v>2</v>
      </c>
      <c r="AJ112" s="7"/>
      <c r="AK112" s="7"/>
      <c r="AL112" s="7"/>
      <c r="AM112" s="7"/>
      <c r="AN112" s="7"/>
      <c r="AO112" s="72" t="str">
        <f t="shared" si="13"/>
        <v>A</v>
      </c>
      <c r="AP112" s="62">
        <v>2</v>
      </c>
      <c r="AQ112" s="62">
        <v>3</v>
      </c>
      <c r="AR112" s="62">
        <v>2</v>
      </c>
      <c r="AS112" s="7"/>
      <c r="AT112" s="7"/>
      <c r="AU112" s="72">
        <f t="shared" si="14"/>
        <v>2.3333333333333335</v>
      </c>
      <c r="AV112" s="7"/>
      <c r="AW112" s="7"/>
      <c r="AX112" s="62">
        <v>2</v>
      </c>
      <c r="AY112" s="62">
        <v>3</v>
      </c>
      <c r="AZ112" s="62">
        <v>2</v>
      </c>
      <c r="BA112" s="72">
        <f t="shared" si="15"/>
        <v>2.3333333333333335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1</v>
      </c>
      <c r="M113" s="62">
        <v>1</v>
      </c>
      <c r="N113" s="62">
        <v>1</v>
      </c>
      <c r="O113" s="62">
        <v>1</v>
      </c>
      <c r="P113" s="62">
        <v>1</v>
      </c>
      <c r="Q113" s="72">
        <f t="shared" si="9"/>
        <v>1</v>
      </c>
      <c r="R113" s="62">
        <v>1</v>
      </c>
      <c r="S113" s="62">
        <v>1</v>
      </c>
      <c r="T113" s="62"/>
      <c r="U113" s="62">
        <v>1</v>
      </c>
      <c r="V113" s="62"/>
      <c r="W113" s="72">
        <f t="shared" si="10"/>
        <v>1</v>
      </c>
      <c r="X113" s="62">
        <v>1</v>
      </c>
      <c r="Y113" s="62">
        <v>1</v>
      </c>
      <c r="Z113" s="62"/>
      <c r="AA113" s="62"/>
      <c r="AB113" s="62"/>
      <c r="AC113" s="72">
        <f t="shared" si="11"/>
        <v>1</v>
      </c>
      <c r="AD113" s="62">
        <v>1</v>
      </c>
      <c r="AE113" s="62"/>
      <c r="AF113" s="62">
        <v>1</v>
      </c>
      <c r="AG113" s="62"/>
      <c r="AH113" s="62"/>
      <c r="AI113" s="72">
        <f t="shared" si="12"/>
        <v>1</v>
      </c>
      <c r="AJ113" s="62"/>
      <c r="AK113" s="62"/>
      <c r="AL113" s="62"/>
      <c r="AM113" s="62"/>
      <c r="AN113" s="62"/>
      <c r="AO113" s="72" t="str">
        <f t="shared" si="13"/>
        <v>A</v>
      </c>
      <c r="AP113" s="62">
        <v>1</v>
      </c>
      <c r="AQ113" s="62">
        <v>1</v>
      </c>
      <c r="AR113" s="62">
        <v>1</v>
      </c>
      <c r="AS113" s="62"/>
      <c r="AT113" s="62"/>
      <c r="AU113" s="72">
        <f t="shared" si="14"/>
        <v>1</v>
      </c>
      <c r="AV113" s="62"/>
      <c r="AW113" s="62"/>
      <c r="AX113" s="62">
        <v>1</v>
      </c>
      <c r="AY113" s="62">
        <v>1</v>
      </c>
      <c r="AZ113" s="62">
        <v>1</v>
      </c>
      <c r="BA113" s="72">
        <f t="shared" si="15"/>
        <v>1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>
        <v>3</v>
      </c>
      <c r="N114" s="62">
        <v>2</v>
      </c>
      <c r="O114" s="62">
        <v>1</v>
      </c>
      <c r="P114" s="62">
        <v>2</v>
      </c>
      <c r="Q114" s="72">
        <f t="shared" si="9"/>
        <v>2.2000000000000002</v>
      </c>
      <c r="R114" s="62">
        <v>2</v>
      </c>
      <c r="S114" s="62">
        <v>2</v>
      </c>
      <c r="T114" s="7"/>
      <c r="U114" s="62">
        <v>2</v>
      </c>
      <c r="V114" s="7"/>
      <c r="W114" s="72">
        <f t="shared" si="10"/>
        <v>2</v>
      </c>
      <c r="X114" s="62">
        <v>2</v>
      </c>
      <c r="Y114" s="62">
        <v>2</v>
      </c>
      <c r="Z114" s="7"/>
      <c r="AA114" s="7"/>
      <c r="AB114" s="7"/>
      <c r="AC114" s="72">
        <f t="shared" si="11"/>
        <v>2</v>
      </c>
      <c r="AD114" s="62">
        <v>3</v>
      </c>
      <c r="AE114" s="7"/>
      <c r="AF114" s="62">
        <v>3</v>
      </c>
      <c r="AG114" s="7"/>
      <c r="AH114" s="7"/>
      <c r="AI114" s="72">
        <f t="shared" si="12"/>
        <v>3</v>
      </c>
      <c r="AJ114" s="7"/>
      <c r="AK114" s="7"/>
      <c r="AL114" s="7"/>
      <c r="AM114" s="7"/>
      <c r="AN114" s="7"/>
      <c r="AO114" s="72" t="str">
        <f t="shared" si="13"/>
        <v>A</v>
      </c>
      <c r="AP114" s="62">
        <v>1</v>
      </c>
      <c r="AQ114" s="62">
        <v>1</v>
      </c>
      <c r="AR114" s="62">
        <v>1</v>
      </c>
      <c r="AS114" s="7"/>
      <c r="AT114" s="7"/>
      <c r="AU114" s="72">
        <f t="shared" si="14"/>
        <v>1</v>
      </c>
      <c r="AV114" s="7"/>
      <c r="AW114" s="7"/>
      <c r="AX114" s="62">
        <v>5</v>
      </c>
      <c r="AY114" s="62">
        <v>3</v>
      </c>
      <c r="AZ114" s="62">
        <v>3</v>
      </c>
      <c r="BA114" s="72">
        <f t="shared" si="15"/>
        <v>3.6666666666666665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3</v>
      </c>
      <c r="M115" s="62">
        <v>2</v>
      </c>
      <c r="N115" s="62">
        <v>3</v>
      </c>
      <c r="O115" s="62">
        <v>2</v>
      </c>
      <c r="P115" s="62">
        <v>2</v>
      </c>
      <c r="Q115" s="72">
        <f t="shared" si="9"/>
        <v>2.4</v>
      </c>
      <c r="R115" s="62">
        <v>2</v>
      </c>
      <c r="S115" s="62">
        <v>3</v>
      </c>
      <c r="T115" s="62"/>
      <c r="U115" s="62">
        <v>2</v>
      </c>
      <c r="V115" s="62"/>
      <c r="W115" s="72">
        <f t="shared" si="10"/>
        <v>2.3333333333333335</v>
      </c>
      <c r="X115" s="62">
        <v>2</v>
      </c>
      <c r="Y115" s="62">
        <v>3</v>
      </c>
      <c r="Z115" s="62"/>
      <c r="AA115" s="62"/>
      <c r="AB115" s="62"/>
      <c r="AC115" s="72">
        <f t="shared" si="11"/>
        <v>2.5</v>
      </c>
      <c r="AD115" s="62">
        <v>2</v>
      </c>
      <c r="AE115" s="62"/>
      <c r="AF115" s="62">
        <v>3</v>
      </c>
      <c r="AG115" s="62"/>
      <c r="AH115" s="62"/>
      <c r="AI115" s="72">
        <f t="shared" si="12"/>
        <v>2.5</v>
      </c>
      <c r="AJ115" s="62"/>
      <c r="AK115" s="62"/>
      <c r="AL115" s="62"/>
      <c r="AM115" s="62"/>
      <c r="AN115" s="62"/>
      <c r="AO115" s="72" t="str">
        <f t="shared" si="13"/>
        <v>A</v>
      </c>
      <c r="AP115" s="62">
        <v>3</v>
      </c>
      <c r="AQ115" s="62">
        <v>2</v>
      </c>
      <c r="AR115" s="62">
        <v>2</v>
      </c>
      <c r="AS115" s="62"/>
      <c r="AT115" s="62"/>
      <c r="AU115" s="72">
        <f t="shared" si="14"/>
        <v>2.3333333333333335</v>
      </c>
      <c r="AV115" s="62"/>
      <c r="AW115" s="62"/>
      <c r="AX115" s="62">
        <v>3</v>
      </c>
      <c r="AY115" s="62">
        <v>2</v>
      </c>
      <c r="AZ115" s="62">
        <v>2</v>
      </c>
      <c r="BA115" s="72">
        <f t="shared" si="15"/>
        <v>2.3333333333333335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2</v>
      </c>
      <c r="M116" s="62">
        <v>2</v>
      </c>
      <c r="N116" s="62">
        <v>2</v>
      </c>
      <c r="O116" s="62">
        <v>2</v>
      </c>
      <c r="P116" s="62">
        <v>2</v>
      </c>
      <c r="Q116" s="72">
        <f t="shared" si="9"/>
        <v>2</v>
      </c>
      <c r="R116" s="62">
        <v>2</v>
      </c>
      <c r="S116" s="62">
        <v>2</v>
      </c>
      <c r="T116" s="7"/>
      <c r="U116" s="62">
        <v>2</v>
      </c>
      <c r="V116" s="7"/>
      <c r="W116" s="72">
        <f t="shared" si="10"/>
        <v>2</v>
      </c>
      <c r="X116" s="62">
        <v>2</v>
      </c>
      <c r="Y116" s="62">
        <v>2</v>
      </c>
      <c r="Z116" s="7"/>
      <c r="AA116" s="7"/>
      <c r="AB116" s="7"/>
      <c r="AC116" s="72">
        <f t="shared" si="11"/>
        <v>2</v>
      </c>
      <c r="AD116" s="62">
        <v>2</v>
      </c>
      <c r="AE116" s="7"/>
      <c r="AF116" s="62">
        <v>2</v>
      </c>
      <c r="AG116" s="7"/>
      <c r="AH116" s="7"/>
      <c r="AI116" s="72">
        <f t="shared" si="12"/>
        <v>2</v>
      </c>
      <c r="AJ116" s="7"/>
      <c r="AK116" s="7"/>
      <c r="AL116" s="7"/>
      <c r="AM116" s="7"/>
      <c r="AN116" s="7"/>
      <c r="AO116" s="72" t="str">
        <f t="shared" si="13"/>
        <v>A</v>
      </c>
      <c r="AP116" s="62">
        <v>2</v>
      </c>
      <c r="AQ116" s="62">
        <v>2</v>
      </c>
      <c r="AR116" s="62">
        <v>2</v>
      </c>
      <c r="AS116" s="7"/>
      <c r="AT116" s="7"/>
      <c r="AU116" s="72">
        <f t="shared" si="14"/>
        <v>2</v>
      </c>
      <c r="AV116" s="7"/>
      <c r="AW116" s="7"/>
      <c r="AX116" s="62">
        <v>2</v>
      </c>
      <c r="AY116" s="62">
        <v>2</v>
      </c>
      <c r="AZ116" s="62">
        <v>2</v>
      </c>
      <c r="BA116" s="72">
        <f t="shared" si="15"/>
        <v>2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2</v>
      </c>
      <c r="M117" s="62">
        <v>2</v>
      </c>
      <c r="N117" s="62">
        <v>2</v>
      </c>
      <c r="O117" s="62">
        <v>2</v>
      </c>
      <c r="P117" s="62">
        <v>2</v>
      </c>
      <c r="Q117" s="72">
        <f t="shared" si="9"/>
        <v>2</v>
      </c>
      <c r="R117" s="62">
        <v>2</v>
      </c>
      <c r="S117" s="62">
        <v>2</v>
      </c>
      <c r="T117" s="62"/>
      <c r="U117" s="62">
        <v>2</v>
      </c>
      <c r="V117" s="62"/>
      <c r="W117" s="72">
        <f t="shared" si="10"/>
        <v>2</v>
      </c>
      <c r="X117" s="62">
        <v>2</v>
      </c>
      <c r="Y117" s="62">
        <v>2</v>
      </c>
      <c r="Z117" s="62"/>
      <c r="AA117" s="62"/>
      <c r="AB117" s="62"/>
      <c r="AC117" s="72">
        <f t="shared" si="11"/>
        <v>2</v>
      </c>
      <c r="AD117" s="62">
        <v>2</v>
      </c>
      <c r="AE117" s="62"/>
      <c r="AF117" s="62">
        <v>2</v>
      </c>
      <c r="AG117" s="62"/>
      <c r="AH117" s="62"/>
      <c r="AI117" s="72">
        <f t="shared" si="12"/>
        <v>2</v>
      </c>
      <c r="AJ117" s="62"/>
      <c r="AK117" s="62"/>
      <c r="AL117" s="62"/>
      <c r="AM117" s="62"/>
      <c r="AN117" s="62"/>
      <c r="AO117" s="72" t="str">
        <f t="shared" si="13"/>
        <v>A</v>
      </c>
      <c r="AP117" s="62">
        <v>2</v>
      </c>
      <c r="AQ117" s="62">
        <v>2</v>
      </c>
      <c r="AR117" s="62">
        <v>2</v>
      </c>
      <c r="AS117" s="62"/>
      <c r="AT117" s="62"/>
      <c r="AU117" s="72">
        <f t="shared" si="14"/>
        <v>2</v>
      </c>
      <c r="AV117" s="62"/>
      <c r="AW117" s="62"/>
      <c r="AX117" s="62">
        <v>2</v>
      </c>
      <c r="AY117" s="62">
        <v>2</v>
      </c>
      <c r="AZ117" s="62">
        <v>2</v>
      </c>
      <c r="BA117" s="72">
        <f t="shared" si="15"/>
        <v>2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>
        <v>3</v>
      </c>
      <c r="N118" s="62">
        <v>2</v>
      </c>
      <c r="O118" s="62">
        <v>3</v>
      </c>
      <c r="P118" s="62">
        <v>3</v>
      </c>
      <c r="Q118" s="72">
        <f t="shared" si="9"/>
        <v>2.8</v>
      </c>
      <c r="R118" s="62">
        <v>2</v>
      </c>
      <c r="S118" s="62">
        <v>2</v>
      </c>
      <c r="T118" s="7"/>
      <c r="U118" s="62">
        <v>2</v>
      </c>
      <c r="V118" s="7"/>
      <c r="W118" s="72">
        <f t="shared" si="10"/>
        <v>2</v>
      </c>
      <c r="X118" s="62">
        <v>2</v>
      </c>
      <c r="Y118" s="62">
        <v>2</v>
      </c>
      <c r="Z118" s="7"/>
      <c r="AA118" s="7"/>
      <c r="AB118" s="7"/>
      <c r="AC118" s="72">
        <f t="shared" si="11"/>
        <v>2</v>
      </c>
      <c r="AD118" s="62">
        <v>2</v>
      </c>
      <c r="AE118" s="7"/>
      <c r="AF118" s="62">
        <v>0</v>
      </c>
      <c r="AG118" s="7"/>
      <c r="AH118" s="7"/>
      <c r="AI118" s="72">
        <f t="shared" si="12"/>
        <v>1</v>
      </c>
      <c r="AJ118" s="7"/>
      <c r="AK118" s="7"/>
      <c r="AL118" s="7"/>
      <c r="AM118" s="7"/>
      <c r="AN118" s="7"/>
      <c r="AO118" s="72" t="str">
        <f t="shared" si="13"/>
        <v>A</v>
      </c>
      <c r="AP118" s="62">
        <v>2</v>
      </c>
      <c r="AQ118" s="62">
        <v>2</v>
      </c>
      <c r="AR118" s="62">
        <v>2</v>
      </c>
      <c r="AS118" s="7"/>
      <c r="AT118" s="7"/>
      <c r="AU118" s="72">
        <f t="shared" si="14"/>
        <v>2</v>
      </c>
      <c r="AV118" s="7"/>
      <c r="AW118" s="7"/>
      <c r="AX118" s="62">
        <v>2</v>
      </c>
      <c r="AY118" s="62">
        <v>2</v>
      </c>
      <c r="AZ118" s="62">
        <v>2</v>
      </c>
      <c r="BA118" s="72">
        <f t="shared" si="15"/>
        <v>2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3</v>
      </c>
      <c r="M119" s="62">
        <v>3</v>
      </c>
      <c r="N119" s="62">
        <v>3</v>
      </c>
      <c r="O119" s="62">
        <v>3</v>
      </c>
      <c r="P119" s="62">
        <v>4</v>
      </c>
      <c r="Q119" s="72">
        <f t="shared" si="9"/>
        <v>3.2</v>
      </c>
      <c r="R119" s="62">
        <v>4</v>
      </c>
      <c r="S119" s="62">
        <v>3</v>
      </c>
      <c r="T119" s="62"/>
      <c r="U119" s="62">
        <v>4</v>
      </c>
      <c r="V119" s="62"/>
      <c r="W119" s="72">
        <f t="shared" si="10"/>
        <v>3.6666666666666665</v>
      </c>
      <c r="X119" s="62">
        <v>4</v>
      </c>
      <c r="Y119" s="62">
        <v>3</v>
      </c>
      <c r="Z119" s="62"/>
      <c r="AA119" s="62"/>
      <c r="AB119" s="62"/>
      <c r="AC119" s="72">
        <f t="shared" si="11"/>
        <v>3.5</v>
      </c>
      <c r="AD119" s="62">
        <v>4</v>
      </c>
      <c r="AE119" s="62"/>
      <c r="AF119" s="62">
        <v>3</v>
      </c>
      <c r="AG119" s="62"/>
      <c r="AH119" s="62"/>
      <c r="AI119" s="72">
        <f t="shared" si="12"/>
        <v>3.5</v>
      </c>
      <c r="AJ119" s="62"/>
      <c r="AK119" s="62"/>
      <c r="AL119" s="62"/>
      <c r="AM119" s="62"/>
      <c r="AN119" s="62"/>
      <c r="AO119" s="72" t="str">
        <f t="shared" si="13"/>
        <v>A</v>
      </c>
      <c r="AP119" s="62">
        <v>3</v>
      </c>
      <c r="AQ119" s="62">
        <v>3</v>
      </c>
      <c r="AR119" s="62">
        <v>4</v>
      </c>
      <c r="AS119" s="62"/>
      <c r="AT119" s="62"/>
      <c r="AU119" s="72">
        <f t="shared" si="14"/>
        <v>3.3333333333333335</v>
      </c>
      <c r="AV119" s="62"/>
      <c r="AW119" s="62"/>
      <c r="AX119" s="62">
        <v>3</v>
      </c>
      <c r="AY119" s="62">
        <v>3</v>
      </c>
      <c r="AZ119" s="62">
        <v>4</v>
      </c>
      <c r="BA119" s="72">
        <f t="shared" si="15"/>
        <v>3.3333333333333335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3</v>
      </c>
      <c r="M120" s="62">
        <v>4</v>
      </c>
      <c r="N120" s="62">
        <v>3</v>
      </c>
      <c r="O120" s="62">
        <v>3</v>
      </c>
      <c r="P120" s="62">
        <v>3</v>
      </c>
      <c r="Q120" s="72">
        <f t="shared" si="9"/>
        <v>3.2</v>
      </c>
      <c r="R120" s="62">
        <v>3</v>
      </c>
      <c r="S120" s="62">
        <v>3</v>
      </c>
      <c r="T120" s="7"/>
      <c r="U120" s="62">
        <v>3</v>
      </c>
      <c r="V120" s="7"/>
      <c r="W120" s="72">
        <f t="shared" si="10"/>
        <v>3</v>
      </c>
      <c r="X120" s="62">
        <v>3</v>
      </c>
      <c r="Y120" s="62">
        <v>3</v>
      </c>
      <c r="Z120" s="7"/>
      <c r="AA120" s="7"/>
      <c r="AB120" s="7"/>
      <c r="AC120" s="72">
        <f t="shared" si="11"/>
        <v>3</v>
      </c>
      <c r="AD120" s="62">
        <v>2</v>
      </c>
      <c r="AE120" s="7"/>
      <c r="AF120" s="62">
        <v>0</v>
      </c>
      <c r="AG120" s="7"/>
      <c r="AH120" s="7"/>
      <c r="AI120" s="72">
        <f t="shared" si="12"/>
        <v>1</v>
      </c>
      <c r="AJ120" s="7"/>
      <c r="AK120" s="7"/>
      <c r="AL120" s="7"/>
      <c r="AM120" s="7"/>
      <c r="AN120" s="7"/>
      <c r="AO120" s="72" t="str">
        <f t="shared" si="13"/>
        <v>A</v>
      </c>
      <c r="AP120" s="62">
        <v>3</v>
      </c>
      <c r="AQ120" s="62">
        <v>2</v>
      </c>
      <c r="AR120" s="62">
        <v>2</v>
      </c>
      <c r="AS120" s="7"/>
      <c r="AT120" s="7"/>
      <c r="AU120" s="72">
        <f t="shared" si="14"/>
        <v>2.3333333333333335</v>
      </c>
      <c r="AV120" s="7"/>
      <c r="AW120" s="7"/>
      <c r="AX120" s="62">
        <v>2</v>
      </c>
      <c r="AY120" s="62">
        <v>5</v>
      </c>
      <c r="AZ120" s="62">
        <v>3</v>
      </c>
      <c r="BA120" s="72">
        <f t="shared" si="15"/>
        <v>3.3333333333333335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>
        <v>2</v>
      </c>
      <c r="N121" s="62">
        <v>2</v>
      </c>
      <c r="O121" s="62">
        <v>3</v>
      </c>
      <c r="P121" s="62">
        <v>2</v>
      </c>
      <c r="Q121" s="72">
        <f t="shared" si="9"/>
        <v>2.2000000000000002</v>
      </c>
      <c r="R121" s="62">
        <v>2</v>
      </c>
      <c r="S121" s="62">
        <v>2</v>
      </c>
      <c r="T121" s="62"/>
      <c r="U121" s="62">
        <v>2</v>
      </c>
      <c r="V121" s="62"/>
      <c r="W121" s="72">
        <f t="shared" si="10"/>
        <v>2</v>
      </c>
      <c r="X121" s="62">
        <v>2</v>
      </c>
      <c r="Y121" s="62">
        <v>2</v>
      </c>
      <c r="Z121" s="62"/>
      <c r="AA121" s="62"/>
      <c r="AB121" s="62"/>
      <c r="AC121" s="72">
        <f t="shared" si="11"/>
        <v>2</v>
      </c>
      <c r="AD121" s="62">
        <v>2</v>
      </c>
      <c r="AE121" s="62"/>
      <c r="AF121" s="62">
        <v>0</v>
      </c>
      <c r="AG121" s="62"/>
      <c r="AH121" s="62"/>
      <c r="AI121" s="72">
        <f t="shared" si="12"/>
        <v>1</v>
      </c>
      <c r="AJ121" s="62"/>
      <c r="AK121" s="62"/>
      <c r="AL121" s="62"/>
      <c r="AM121" s="62"/>
      <c r="AN121" s="62"/>
      <c r="AO121" s="72" t="str">
        <f t="shared" si="13"/>
        <v>A</v>
      </c>
      <c r="AP121" s="62">
        <v>2</v>
      </c>
      <c r="AQ121" s="62">
        <v>2</v>
      </c>
      <c r="AR121" s="62">
        <v>2</v>
      </c>
      <c r="AS121" s="62"/>
      <c r="AT121" s="62"/>
      <c r="AU121" s="72">
        <f t="shared" si="14"/>
        <v>2</v>
      </c>
      <c r="AV121" s="62"/>
      <c r="AW121" s="62"/>
      <c r="AX121" s="62">
        <v>2</v>
      </c>
      <c r="AY121" s="62">
        <v>2</v>
      </c>
      <c r="AZ121" s="62">
        <v>2</v>
      </c>
      <c r="BA121" s="72">
        <f t="shared" si="15"/>
        <v>2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2</v>
      </c>
      <c r="M122" s="62">
        <v>2</v>
      </c>
      <c r="N122" s="62">
        <v>2</v>
      </c>
      <c r="O122" s="62">
        <v>1</v>
      </c>
      <c r="P122" s="62">
        <v>2</v>
      </c>
      <c r="Q122" s="72">
        <f t="shared" si="9"/>
        <v>1.8</v>
      </c>
      <c r="R122" s="62">
        <v>1</v>
      </c>
      <c r="S122" s="62">
        <v>1</v>
      </c>
      <c r="T122" s="7"/>
      <c r="U122" s="62">
        <v>1</v>
      </c>
      <c r="V122" s="7"/>
      <c r="W122" s="72">
        <f t="shared" si="10"/>
        <v>1</v>
      </c>
      <c r="X122" s="62">
        <v>1</v>
      </c>
      <c r="Y122" s="62">
        <v>1</v>
      </c>
      <c r="Z122" s="7"/>
      <c r="AA122" s="7"/>
      <c r="AB122" s="7"/>
      <c r="AC122" s="72">
        <f t="shared" si="11"/>
        <v>1</v>
      </c>
      <c r="AD122" s="62">
        <v>1</v>
      </c>
      <c r="AE122" s="7"/>
      <c r="AF122" s="62">
        <v>1</v>
      </c>
      <c r="AG122" s="7"/>
      <c r="AH122" s="7"/>
      <c r="AI122" s="72">
        <f t="shared" si="12"/>
        <v>1</v>
      </c>
      <c r="AJ122" s="7"/>
      <c r="AK122" s="7"/>
      <c r="AL122" s="7"/>
      <c r="AM122" s="7"/>
      <c r="AN122" s="7"/>
      <c r="AO122" s="72" t="str">
        <f t="shared" si="13"/>
        <v>A</v>
      </c>
      <c r="AP122" s="62">
        <v>1</v>
      </c>
      <c r="AQ122" s="62">
        <v>1</v>
      </c>
      <c r="AR122" s="62">
        <v>1</v>
      </c>
      <c r="AS122" s="7"/>
      <c r="AT122" s="7"/>
      <c r="AU122" s="72">
        <f t="shared" si="14"/>
        <v>1</v>
      </c>
      <c r="AV122" s="7"/>
      <c r="AW122" s="7"/>
      <c r="AX122" s="62">
        <v>1</v>
      </c>
      <c r="AY122" s="62">
        <v>1</v>
      </c>
      <c r="AZ122" s="62">
        <v>1</v>
      </c>
      <c r="BA122" s="72">
        <f t="shared" si="15"/>
        <v>1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3</v>
      </c>
      <c r="M123" s="62">
        <v>3</v>
      </c>
      <c r="N123" s="62">
        <v>2</v>
      </c>
      <c r="O123" s="62">
        <v>3</v>
      </c>
      <c r="P123" s="62">
        <v>2</v>
      </c>
      <c r="Q123" s="72">
        <f t="shared" si="9"/>
        <v>2.6</v>
      </c>
      <c r="R123" s="62">
        <v>2</v>
      </c>
      <c r="S123" s="62">
        <v>2</v>
      </c>
      <c r="T123" s="62"/>
      <c r="U123" s="62">
        <v>2</v>
      </c>
      <c r="V123" s="62"/>
      <c r="W123" s="72">
        <f t="shared" si="10"/>
        <v>2</v>
      </c>
      <c r="X123" s="62">
        <v>2</v>
      </c>
      <c r="Y123" s="62">
        <v>2</v>
      </c>
      <c r="Z123" s="62"/>
      <c r="AA123" s="62"/>
      <c r="AB123" s="62"/>
      <c r="AC123" s="72">
        <f t="shared" si="11"/>
        <v>2</v>
      </c>
      <c r="AD123" s="62">
        <v>2</v>
      </c>
      <c r="AE123" s="62"/>
      <c r="AF123" s="62">
        <v>0</v>
      </c>
      <c r="AG123" s="62"/>
      <c r="AH123" s="62"/>
      <c r="AI123" s="72">
        <f t="shared" si="12"/>
        <v>1</v>
      </c>
      <c r="AJ123" s="62"/>
      <c r="AK123" s="62"/>
      <c r="AL123" s="62"/>
      <c r="AM123" s="62"/>
      <c r="AN123" s="62"/>
      <c r="AO123" s="72" t="str">
        <f t="shared" si="13"/>
        <v>A</v>
      </c>
      <c r="AP123" s="62">
        <v>2</v>
      </c>
      <c r="AQ123" s="62">
        <v>2</v>
      </c>
      <c r="AR123" s="62">
        <v>2</v>
      </c>
      <c r="AS123" s="62"/>
      <c r="AT123" s="62"/>
      <c r="AU123" s="72">
        <f t="shared" si="14"/>
        <v>2</v>
      </c>
      <c r="AV123" s="62"/>
      <c r="AW123" s="62"/>
      <c r="AX123" s="62">
        <v>2</v>
      </c>
      <c r="AY123" s="62">
        <v>2</v>
      </c>
      <c r="AZ123" s="62">
        <v>2</v>
      </c>
      <c r="BA123" s="72">
        <f t="shared" si="15"/>
        <v>2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4</v>
      </c>
      <c r="M124" s="62">
        <v>4</v>
      </c>
      <c r="N124" s="62">
        <v>4</v>
      </c>
      <c r="O124" s="62">
        <v>3</v>
      </c>
      <c r="P124" s="62">
        <v>4</v>
      </c>
      <c r="Q124" s="72">
        <f t="shared" si="9"/>
        <v>3.8</v>
      </c>
      <c r="R124" s="62">
        <v>4</v>
      </c>
      <c r="S124" s="62">
        <v>4</v>
      </c>
      <c r="T124" s="7"/>
      <c r="U124" s="62">
        <v>4</v>
      </c>
      <c r="V124" s="7"/>
      <c r="W124" s="72">
        <f t="shared" si="10"/>
        <v>4</v>
      </c>
      <c r="X124" s="62">
        <v>4</v>
      </c>
      <c r="Y124" s="62">
        <v>4</v>
      </c>
      <c r="Z124" s="7"/>
      <c r="AA124" s="7"/>
      <c r="AB124" s="7"/>
      <c r="AC124" s="72">
        <f t="shared" si="11"/>
        <v>4</v>
      </c>
      <c r="AD124" s="62">
        <v>4</v>
      </c>
      <c r="AE124" s="7"/>
      <c r="AF124" s="62">
        <v>0</v>
      </c>
      <c r="AG124" s="7"/>
      <c r="AH124" s="7"/>
      <c r="AI124" s="72">
        <f t="shared" si="12"/>
        <v>2</v>
      </c>
      <c r="AJ124" s="7"/>
      <c r="AK124" s="7"/>
      <c r="AL124" s="7"/>
      <c r="AM124" s="7"/>
      <c r="AN124" s="7"/>
      <c r="AO124" s="72" t="str">
        <f t="shared" si="13"/>
        <v>A</v>
      </c>
      <c r="AP124" s="62">
        <v>2</v>
      </c>
      <c r="AQ124" s="62">
        <v>2</v>
      </c>
      <c r="AR124" s="62">
        <v>2</v>
      </c>
      <c r="AS124" s="7"/>
      <c r="AT124" s="7"/>
      <c r="AU124" s="72">
        <f t="shared" si="14"/>
        <v>2</v>
      </c>
      <c r="AV124" s="7"/>
      <c r="AW124" s="7"/>
      <c r="AX124" s="62">
        <v>2</v>
      </c>
      <c r="AY124" s="62">
        <v>2</v>
      </c>
      <c r="AZ124" s="62">
        <v>2</v>
      </c>
      <c r="BA124" s="72">
        <f t="shared" si="15"/>
        <v>2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4</v>
      </c>
      <c r="M125" s="62">
        <v>4</v>
      </c>
      <c r="N125" s="62">
        <v>4</v>
      </c>
      <c r="O125" s="62">
        <v>3</v>
      </c>
      <c r="P125" s="62">
        <v>4</v>
      </c>
      <c r="Q125" s="72">
        <f t="shared" si="9"/>
        <v>3.8</v>
      </c>
      <c r="R125" s="62">
        <v>4</v>
      </c>
      <c r="S125" s="62">
        <v>4</v>
      </c>
      <c r="T125" s="62"/>
      <c r="U125" s="62">
        <v>4</v>
      </c>
      <c r="V125" s="62"/>
      <c r="W125" s="72">
        <f t="shared" si="10"/>
        <v>4</v>
      </c>
      <c r="X125" s="62">
        <v>4</v>
      </c>
      <c r="Y125" s="62">
        <v>3</v>
      </c>
      <c r="Z125" s="62"/>
      <c r="AA125" s="62"/>
      <c r="AB125" s="62"/>
      <c r="AC125" s="72">
        <f t="shared" si="11"/>
        <v>3.5</v>
      </c>
      <c r="AD125" s="62">
        <v>4</v>
      </c>
      <c r="AE125" s="62"/>
      <c r="AF125" s="62">
        <v>0</v>
      </c>
      <c r="AG125" s="62"/>
      <c r="AH125" s="62"/>
      <c r="AI125" s="72">
        <f t="shared" si="12"/>
        <v>2</v>
      </c>
      <c r="AJ125" s="62"/>
      <c r="AK125" s="62"/>
      <c r="AL125" s="62"/>
      <c r="AM125" s="62"/>
      <c r="AN125" s="62"/>
      <c r="AO125" s="72" t="str">
        <f t="shared" si="13"/>
        <v>A</v>
      </c>
      <c r="AP125" s="62">
        <v>2</v>
      </c>
      <c r="AQ125" s="62">
        <v>2</v>
      </c>
      <c r="AR125" s="62">
        <v>2</v>
      </c>
      <c r="AS125" s="62"/>
      <c r="AT125" s="62"/>
      <c r="AU125" s="72">
        <f t="shared" si="14"/>
        <v>2</v>
      </c>
      <c r="AV125" s="62"/>
      <c r="AW125" s="62"/>
      <c r="AX125" s="62">
        <v>2</v>
      </c>
      <c r="AY125" s="62">
        <v>2</v>
      </c>
      <c r="AZ125" s="62">
        <v>2</v>
      </c>
      <c r="BA125" s="72">
        <f t="shared" si="15"/>
        <v>2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2</v>
      </c>
      <c r="M126" s="62">
        <v>2</v>
      </c>
      <c r="N126" s="62">
        <v>2</v>
      </c>
      <c r="O126" s="62">
        <v>3</v>
      </c>
      <c r="P126" s="62">
        <v>2</v>
      </c>
      <c r="Q126" s="72">
        <f t="shared" si="9"/>
        <v>2.2000000000000002</v>
      </c>
      <c r="R126" s="62">
        <v>3</v>
      </c>
      <c r="S126" s="62">
        <v>4</v>
      </c>
      <c r="T126" s="7"/>
      <c r="U126" s="62">
        <v>4</v>
      </c>
      <c r="V126" s="7"/>
      <c r="W126" s="72">
        <f t="shared" si="10"/>
        <v>3.6666666666666665</v>
      </c>
      <c r="X126" s="62">
        <v>3</v>
      </c>
      <c r="Y126" s="62">
        <v>2</v>
      </c>
      <c r="Z126" s="7"/>
      <c r="AA126" s="7"/>
      <c r="AB126" s="7"/>
      <c r="AC126" s="72">
        <f t="shared" si="11"/>
        <v>2.5</v>
      </c>
      <c r="AD126" s="62">
        <v>3</v>
      </c>
      <c r="AE126" s="7"/>
      <c r="AF126" s="62">
        <v>3</v>
      </c>
      <c r="AG126" s="7"/>
      <c r="AH126" s="7"/>
      <c r="AI126" s="72">
        <f t="shared" si="12"/>
        <v>3</v>
      </c>
      <c r="AJ126" s="7"/>
      <c r="AK126" s="7"/>
      <c r="AL126" s="7"/>
      <c r="AM126" s="7"/>
      <c r="AN126" s="7"/>
      <c r="AO126" s="72" t="str">
        <f t="shared" si="13"/>
        <v>A</v>
      </c>
      <c r="AP126" s="62">
        <v>4</v>
      </c>
      <c r="AQ126" s="62">
        <v>4</v>
      </c>
      <c r="AR126" s="62">
        <v>4</v>
      </c>
      <c r="AS126" s="7"/>
      <c r="AT126" s="7"/>
      <c r="AU126" s="72">
        <f t="shared" si="14"/>
        <v>4</v>
      </c>
      <c r="AV126" s="7"/>
      <c r="AW126" s="7"/>
      <c r="AX126" s="62">
        <v>2</v>
      </c>
      <c r="AY126" s="62">
        <v>3</v>
      </c>
      <c r="AZ126" s="62">
        <v>3</v>
      </c>
      <c r="BA126" s="72">
        <f t="shared" si="15"/>
        <v>2.6666666666666665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4</v>
      </c>
      <c r="M127" s="62">
        <v>4</v>
      </c>
      <c r="N127" s="62">
        <v>4</v>
      </c>
      <c r="O127" s="62">
        <v>4</v>
      </c>
      <c r="P127" s="62">
        <v>4</v>
      </c>
      <c r="Q127" s="72">
        <f t="shared" si="9"/>
        <v>4</v>
      </c>
      <c r="R127" s="62">
        <v>4</v>
      </c>
      <c r="S127" s="62">
        <v>4</v>
      </c>
      <c r="T127" s="62"/>
      <c r="U127" s="62">
        <v>4</v>
      </c>
      <c r="V127" s="62"/>
      <c r="W127" s="72">
        <f t="shared" si="10"/>
        <v>4</v>
      </c>
      <c r="X127" s="62">
        <v>4</v>
      </c>
      <c r="Y127" s="62">
        <v>4</v>
      </c>
      <c r="Z127" s="62"/>
      <c r="AA127" s="62"/>
      <c r="AB127" s="62"/>
      <c r="AC127" s="72">
        <f t="shared" si="11"/>
        <v>4</v>
      </c>
      <c r="AD127" s="62">
        <v>4</v>
      </c>
      <c r="AE127" s="62"/>
      <c r="AF127" s="62">
        <v>4</v>
      </c>
      <c r="AG127" s="62"/>
      <c r="AH127" s="62"/>
      <c r="AI127" s="72">
        <f t="shared" si="12"/>
        <v>4</v>
      </c>
      <c r="AJ127" s="62"/>
      <c r="AK127" s="62"/>
      <c r="AL127" s="62"/>
      <c r="AM127" s="62"/>
      <c r="AN127" s="62"/>
      <c r="AO127" s="72" t="str">
        <f t="shared" si="13"/>
        <v>A</v>
      </c>
      <c r="AP127" s="62">
        <v>4</v>
      </c>
      <c r="AQ127" s="62">
        <v>4</v>
      </c>
      <c r="AR127" s="62">
        <v>4</v>
      </c>
      <c r="AS127" s="62"/>
      <c r="AT127" s="62"/>
      <c r="AU127" s="72">
        <f t="shared" si="14"/>
        <v>4</v>
      </c>
      <c r="AV127" s="62"/>
      <c r="AW127" s="62"/>
      <c r="AX127" s="62">
        <v>4</v>
      </c>
      <c r="AY127" s="62">
        <v>4</v>
      </c>
      <c r="AZ127" s="62">
        <v>4</v>
      </c>
      <c r="BA127" s="72">
        <f t="shared" si="15"/>
        <v>4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2</v>
      </c>
      <c r="M128" s="62">
        <v>3</v>
      </c>
      <c r="N128" s="62">
        <v>2</v>
      </c>
      <c r="O128" s="62">
        <v>3</v>
      </c>
      <c r="P128" s="62">
        <v>3</v>
      </c>
      <c r="Q128" s="72">
        <f t="shared" si="9"/>
        <v>2.6</v>
      </c>
      <c r="R128" s="62">
        <v>3</v>
      </c>
      <c r="S128" s="62">
        <v>2</v>
      </c>
      <c r="T128" s="7"/>
      <c r="U128" s="62">
        <v>3</v>
      </c>
      <c r="V128" s="7"/>
      <c r="W128" s="72">
        <f t="shared" si="10"/>
        <v>2.6666666666666665</v>
      </c>
      <c r="X128" s="62">
        <v>3</v>
      </c>
      <c r="Y128" s="62">
        <v>2</v>
      </c>
      <c r="Z128" s="7"/>
      <c r="AA128" s="7"/>
      <c r="AB128" s="7"/>
      <c r="AC128" s="72">
        <f t="shared" si="11"/>
        <v>2.5</v>
      </c>
      <c r="AD128" s="62">
        <v>3</v>
      </c>
      <c r="AE128" s="7"/>
      <c r="AF128" s="62">
        <v>2</v>
      </c>
      <c r="AG128" s="7"/>
      <c r="AH128" s="7"/>
      <c r="AI128" s="72">
        <f t="shared" si="12"/>
        <v>2.5</v>
      </c>
      <c r="AJ128" s="7"/>
      <c r="AK128" s="7"/>
      <c r="AL128" s="7"/>
      <c r="AM128" s="7"/>
      <c r="AN128" s="7"/>
      <c r="AO128" s="72" t="str">
        <f t="shared" si="13"/>
        <v>A</v>
      </c>
      <c r="AP128" s="62">
        <v>2</v>
      </c>
      <c r="AQ128" s="62">
        <v>3</v>
      </c>
      <c r="AR128" s="62">
        <v>3</v>
      </c>
      <c r="AS128" s="7"/>
      <c r="AT128" s="7"/>
      <c r="AU128" s="72">
        <f t="shared" si="14"/>
        <v>2.6666666666666665</v>
      </c>
      <c r="AV128" s="7"/>
      <c r="AW128" s="7"/>
      <c r="AX128" s="62">
        <v>2</v>
      </c>
      <c r="AY128" s="62">
        <v>3</v>
      </c>
      <c r="AZ128" s="62">
        <v>3</v>
      </c>
      <c r="BA128" s="72">
        <f t="shared" si="15"/>
        <v>2.6666666666666665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2</v>
      </c>
      <c r="M129" s="62">
        <v>2</v>
      </c>
      <c r="N129" s="62">
        <v>2</v>
      </c>
      <c r="O129" s="62">
        <v>3</v>
      </c>
      <c r="P129" s="62">
        <v>2</v>
      </c>
      <c r="Q129" s="72">
        <f t="shared" si="9"/>
        <v>2.2000000000000002</v>
      </c>
      <c r="R129" s="62">
        <v>3</v>
      </c>
      <c r="S129" s="62">
        <v>3</v>
      </c>
      <c r="T129" s="62"/>
      <c r="U129" s="62">
        <v>3</v>
      </c>
      <c r="V129" s="62"/>
      <c r="W129" s="72">
        <f t="shared" si="10"/>
        <v>3</v>
      </c>
      <c r="X129" s="62">
        <v>3</v>
      </c>
      <c r="Y129" s="62">
        <v>3</v>
      </c>
      <c r="Z129" s="62"/>
      <c r="AA129" s="62"/>
      <c r="AB129" s="62"/>
      <c r="AC129" s="72">
        <f t="shared" si="11"/>
        <v>3</v>
      </c>
      <c r="AD129" s="62">
        <v>4</v>
      </c>
      <c r="AE129" s="62"/>
      <c r="AF129" s="62">
        <v>0</v>
      </c>
      <c r="AG129" s="62"/>
      <c r="AH129" s="62"/>
      <c r="AI129" s="72">
        <f t="shared" si="12"/>
        <v>2</v>
      </c>
      <c r="AJ129" s="62"/>
      <c r="AK129" s="62"/>
      <c r="AL129" s="62"/>
      <c r="AM129" s="62"/>
      <c r="AN129" s="62"/>
      <c r="AO129" s="72" t="str">
        <f t="shared" si="13"/>
        <v>A</v>
      </c>
      <c r="AP129" s="62">
        <v>4</v>
      </c>
      <c r="AQ129" s="62">
        <v>2</v>
      </c>
      <c r="AR129" s="62">
        <v>2</v>
      </c>
      <c r="AS129" s="62"/>
      <c r="AT129" s="62"/>
      <c r="AU129" s="72">
        <f t="shared" si="14"/>
        <v>2.6666666666666665</v>
      </c>
      <c r="AV129" s="62"/>
      <c r="AW129" s="62"/>
      <c r="AX129" s="62">
        <v>2</v>
      </c>
      <c r="AY129" s="62">
        <v>5</v>
      </c>
      <c r="AZ129" s="62">
        <v>4</v>
      </c>
      <c r="BA129" s="72">
        <f t="shared" si="15"/>
        <v>3.6666666666666665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3</v>
      </c>
      <c r="M130" s="62">
        <v>3</v>
      </c>
      <c r="N130" s="62">
        <v>3</v>
      </c>
      <c r="O130" s="62">
        <v>3</v>
      </c>
      <c r="P130" s="62">
        <v>3</v>
      </c>
      <c r="Q130" s="72">
        <f t="shared" si="9"/>
        <v>3</v>
      </c>
      <c r="R130" s="62">
        <v>4</v>
      </c>
      <c r="S130" s="62">
        <v>4</v>
      </c>
      <c r="T130" s="7"/>
      <c r="U130" s="62">
        <v>4</v>
      </c>
      <c r="V130" s="7"/>
      <c r="W130" s="72">
        <f t="shared" si="10"/>
        <v>4</v>
      </c>
      <c r="X130" s="62">
        <v>3</v>
      </c>
      <c r="Y130" s="62">
        <v>3</v>
      </c>
      <c r="Z130" s="7"/>
      <c r="AA130" s="7"/>
      <c r="AB130" s="7"/>
      <c r="AC130" s="72">
        <f t="shared" si="11"/>
        <v>3</v>
      </c>
      <c r="AD130" s="62">
        <v>4</v>
      </c>
      <c r="AE130" s="7"/>
      <c r="AF130" s="62">
        <v>0</v>
      </c>
      <c r="AG130" s="7"/>
      <c r="AH130" s="7"/>
      <c r="AI130" s="72">
        <f t="shared" si="12"/>
        <v>2</v>
      </c>
      <c r="AJ130" s="7"/>
      <c r="AK130" s="7"/>
      <c r="AL130" s="7"/>
      <c r="AM130" s="7"/>
      <c r="AN130" s="7"/>
      <c r="AO130" s="72" t="str">
        <f t="shared" si="13"/>
        <v>A</v>
      </c>
      <c r="AP130" s="62">
        <v>4</v>
      </c>
      <c r="AQ130" s="62">
        <v>2</v>
      </c>
      <c r="AR130" s="62">
        <v>2</v>
      </c>
      <c r="AS130" s="7"/>
      <c r="AT130" s="7"/>
      <c r="AU130" s="72">
        <f t="shared" si="14"/>
        <v>2.6666666666666665</v>
      </c>
      <c r="AV130" s="7"/>
      <c r="AW130" s="7"/>
      <c r="AX130" s="62">
        <v>2</v>
      </c>
      <c r="AY130" s="62">
        <v>5</v>
      </c>
      <c r="AZ130" s="62">
        <v>4</v>
      </c>
      <c r="BA130" s="72">
        <f t="shared" si="15"/>
        <v>3.6666666666666665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2</v>
      </c>
      <c r="M131" s="62">
        <v>2</v>
      </c>
      <c r="N131" s="62">
        <v>2</v>
      </c>
      <c r="O131" s="62">
        <v>2</v>
      </c>
      <c r="P131" s="62">
        <v>2</v>
      </c>
      <c r="Q131" s="72">
        <f t="shared" si="9"/>
        <v>2</v>
      </c>
      <c r="R131" s="62">
        <v>2</v>
      </c>
      <c r="S131" s="62">
        <v>2</v>
      </c>
      <c r="T131" s="62"/>
      <c r="U131" s="62">
        <v>2</v>
      </c>
      <c r="V131" s="62"/>
      <c r="W131" s="72">
        <f t="shared" si="10"/>
        <v>2</v>
      </c>
      <c r="X131" s="62">
        <v>2</v>
      </c>
      <c r="Y131" s="62">
        <v>2</v>
      </c>
      <c r="Z131" s="62"/>
      <c r="AA131" s="62"/>
      <c r="AB131" s="62"/>
      <c r="AC131" s="72">
        <f t="shared" si="11"/>
        <v>2</v>
      </c>
      <c r="AD131" s="62">
        <v>2</v>
      </c>
      <c r="AE131" s="62"/>
      <c r="AF131" s="62">
        <v>2</v>
      </c>
      <c r="AG131" s="62"/>
      <c r="AH131" s="62"/>
      <c r="AI131" s="72">
        <f t="shared" si="12"/>
        <v>2</v>
      </c>
      <c r="AJ131" s="62"/>
      <c r="AK131" s="62"/>
      <c r="AL131" s="62"/>
      <c r="AM131" s="62"/>
      <c r="AN131" s="62"/>
      <c r="AO131" s="72" t="str">
        <f t="shared" si="13"/>
        <v>A</v>
      </c>
      <c r="AP131" s="62">
        <v>2</v>
      </c>
      <c r="AQ131" s="62">
        <v>2</v>
      </c>
      <c r="AR131" s="62">
        <v>2</v>
      </c>
      <c r="AS131" s="62"/>
      <c r="AT131" s="62"/>
      <c r="AU131" s="72">
        <f t="shared" si="14"/>
        <v>2</v>
      </c>
      <c r="AV131" s="62"/>
      <c r="AW131" s="62"/>
      <c r="AX131" s="62">
        <v>2</v>
      </c>
      <c r="AY131" s="62">
        <v>2</v>
      </c>
      <c r="AZ131" s="62">
        <v>2</v>
      </c>
      <c r="BA131" s="72">
        <f t="shared" si="15"/>
        <v>2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0</v>
      </c>
      <c r="M132" s="62">
        <v>0</v>
      </c>
      <c r="N132" s="62">
        <v>0</v>
      </c>
      <c r="O132" s="62">
        <v>0</v>
      </c>
      <c r="P132" s="62">
        <v>0</v>
      </c>
      <c r="Q132" s="72">
        <f t="shared" ref="Q132:Q195" si="17">IFERROR(AVERAGE(M132,N132,L132,O132,P132),"A")</f>
        <v>0</v>
      </c>
      <c r="R132" s="62">
        <v>0</v>
      </c>
      <c r="S132" s="62">
        <v>0</v>
      </c>
      <c r="T132" s="7"/>
      <c r="U132" s="62">
        <v>0</v>
      </c>
      <c r="V132" s="7"/>
      <c r="W132" s="72">
        <f t="shared" ref="W132:W195" si="18">IFERROR(AVERAGE(R132,S132,U132),"A")</f>
        <v>0</v>
      </c>
      <c r="X132" s="62">
        <v>0</v>
      </c>
      <c r="Y132" s="62">
        <v>0</v>
      </c>
      <c r="Z132" s="7"/>
      <c r="AA132" s="7"/>
      <c r="AB132" s="7"/>
      <c r="AC132" s="72">
        <f t="shared" ref="AC132:AC195" si="19">IFERROR(AVERAGE(Y132,X132),"A")</f>
        <v>0</v>
      </c>
      <c r="AD132" s="62">
        <v>0</v>
      </c>
      <c r="AE132" s="7"/>
      <c r="AF132" s="62">
        <v>0</v>
      </c>
      <c r="AG132" s="7"/>
      <c r="AH132" s="7"/>
      <c r="AI132" s="72">
        <f t="shared" ref="AI132:AI195" si="20">IFERROR(AVERAGE(AF132,AD132),"A")</f>
        <v>0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62">
        <v>0</v>
      </c>
      <c r="AQ132" s="62">
        <v>0</v>
      </c>
      <c r="AR132" s="62">
        <v>0</v>
      </c>
      <c r="AS132" s="7"/>
      <c r="AT132" s="7"/>
      <c r="AU132" s="72">
        <f t="shared" ref="AU132:AU195" si="22">IFERROR(AVERAGE(AR132,AQ132,AP132),"A")</f>
        <v>0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4</v>
      </c>
      <c r="M133" s="62">
        <v>4</v>
      </c>
      <c r="N133" s="62">
        <v>4</v>
      </c>
      <c r="O133" s="62">
        <v>4</v>
      </c>
      <c r="P133" s="62">
        <v>4</v>
      </c>
      <c r="Q133" s="72">
        <f t="shared" si="17"/>
        <v>4</v>
      </c>
      <c r="R133" s="62">
        <v>4</v>
      </c>
      <c r="S133" s="62">
        <v>4</v>
      </c>
      <c r="T133" s="62"/>
      <c r="U133" s="62">
        <v>4</v>
      </c>
      <c r="V133" s="62"/>
      <c r="W133" s="72">
        <f t="shared" si="18"/>
        <v>4</v>
      </c>
      <c r="X133" s="62">
        <v>4</v>
      </c>
      <c r="Y133" s="62">
        <v>4</v>
      </c>
      <c r="Z133" s="62"/>
      <c r="AA133" s="62"/>
      <c r="AB133" s="62"/>
      <c r="AC133" s="72">
        <f t="shared" si="19"/>
        <v>4</v>
      </c>
      <c r="AD133" s="62">
        <v>4</v>
      </c>
      <c r="AE133" s="62"/>
      <c r="AF133" s="62">
        <v>4</v>
      </c>
      <c r="AG133" s="62"/>
      <c r="AH133" s="62"/>
      <c r="AI133" s="72">
        <f t="shared" si="20"/>
        <v>4</v>
      </c>
      <c r="AJ133" s="62"/>
      <c r="AK133" s="62"/>
      <c r="AL133" s="62"/>
      <c r="AM133" s="62"/>
      <c r="AN133" s="62"/>
      <c r="AO133" s="72" t="str">
        <f t="shared" si="21"/>
        <v>A</v>
      </c>
      <c r="AP133" s="62">
        <v>4</v>
      </c>
      <c r="AQ133" s="62">
        <v>4</v>
      </c>
      <c r="AR133" s="62">
        <v>4</v>
      </c>
      <c r="AS133" s="62"/>
      <c r="AT133" s="62"/>
      <c r="AU133" s="72">
        <f t="shared" si="22"/>
        <v>4</v>
      </c>
      <c r="AV133" s="62"/>
      <c r="AW133" s="62"/>
      <c r="AX133" s="62">
        <v>4</v>
      </c>
      <c r="AY133" s="62">
        <v>4</v>
      </c>
      <c r="AZ133" s="62">
        <v>4</v>
      </c>
      <c r="BA133" s="72">
        <f t="shared" si="23"/>
        <v>4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>
        <v>3</v>
      </c>
      <c r="N134" s="62">
        <v>2</v>
      </c>
      <c r="O134" s="62">
        <v>3</v>
      </c>
      <c r="P134" s="62">
        <v>3</v>
      </c>
      <c r="Q134" s="72">
        <f t="shared" si="17"/>
        <v>2.8</v>
      </c>
      <c r="R134" s="62">
        <v>1</v>
      </c>
      <c r="S134" s="62">
        <v>1</v>
      </c>
      <c r="T134" s="7"/>
      <c r="U134" s="62">
        <v>1</v>
      </c>
      <c r="V134" s="7"/>
      <c r="W134" s="72">
        <f t="shared" si="18"/>
        <v>1</v>
      </c>
      <c r="X134" s="62">
        <v>1</v>
      </c>
      <c r="Y134" s="62">
        <v>1</v>
      </c>
      <c r="Z134" s="7"/>
      <c r="AA134" s="7"/>
      <c r="AB134" s="7"/>
      <c r="AC134" s="72">
        <f t="shared" si="19"/>
        <v>1</v>
      </c>
      <c r="AD134" s="62">
        <v>1</v>
      </c>
      <c r="AE134" s="7"/>
      <c r="AF134" s="62">
        <v>1</v>
      </c>
      <c r="AG134" s="7"/>
      <c r="AH134" s="7"/>
      <c r="AI134" s="72">
        <f t="shared" si="20"/>
        <v>1</v>
      </c>
      <c r="AJ134" s="7"/>
      <c r="AK134" s="7"/>
      <c r="AL134" s="7"/>
      <c r="AM134" s="7"/>
      <c r="AN134" s="7"/>
      <c r="AO134" s="72" t="str">
        <f t="shared" si="21"/>
        <v>A</v>
      </c>
      <c r="AP134" s="62">
        <v>1</v>
      </c>
      <c r="AQ134" s="62">
        <v>1</v>
      </c>
      <c r="AR134" s="62">
        <v>1</v>
      </c>
      <c r="AS134" s="7"/>
      <c r="AT134" s="7"/>
      <c r="AU134" s="72">
        <f t="shared" si="22"/>
        <v>1</v>
      </c>
      <c r="AV134" s="7"/>
      <c r="AW134" s="7"/>
      <c r="AX134" s="62">
        <v>1</v>
      </c>
      <c r="AY134" s="62">
        <v>1</v>
      </c>
      <c r="AZ134" s="62">
        <v>1</v>
      </c>
      <c r="BA134" s="72">
        <f t="shared" si="23"/>
        <v>1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2</v>
      </c>
      <c r="M135" s="62">
        <v>2</v>
      </c>
      <c r="N135" s="62">
        <v>1</v>
      </c>
      <c r="O135" s="62">
        <v>3</v>
      </c>
      <c r="P135" s="62">
        <v>2</v>
      </c>
      <c r="Q135" s="72">
        <f t="shared" si="17"/>
        <v>2</v>
      </c>
      <c r="R135" s="62">
        <v>1</v>
      </c>
      <c r="S135" s="62">
        <v>1</v>
      </c>
      <c r="T135" s="62"/>
      <c r="U135" s="62">
        <v>1</v>
      </c>
      <c r="V135" s="62"/>
      <c r="W135" s="72">
        <f t="shared" si="18"/>
        <v>1</v>
      </c>
      <c r="X135" s="62">
        <v>1</v>
      </c>
      <c r="Y135" s="62">
        <v>1</v>
      </c>
      <c r="Z135" s="62"/>
      <c r="AA135" s="62"/>
      <c r="AB135" s="62"/>
      <c r="AC135" s="72">
        <f t="shared" si="19"/>
        <v>1</v>
      </c>
      <c r="AD135" s="62">
        <v>1</v>
      </c>
      <c r="AE135" s="62"/>
      <c r="AF135" s="62">
        <v>1</v>
      </c>
      <c r="AG135" s="62"/>
      <c r="AH135" s="62"/>
      <c r="AI135" s="72">
        <f t="shared" si="20"/>
        <v>1</v>
      </c>
      <c r="AJ135" s="62"/>
      <c r="AK135" s="62"/>
      <c r="AL135" s="62"/>
      <c r="AM135" s="62"/>
      <c r="AN135" s="62"/>
      <c r="AO135" s="72" t="str">
        <f t="shared" si="21"/>
        <v>A</v>
      </c>
      <c r="AP135" s="62">
        <v>1</v>
      </c>
      <c r="AQ135" s="62">
        <v>1</v>
      </c>
      <c r="AR135" s="62">
        <v>1</v>
      </c>
      <c r="AS135" s="62"/>
      <c r="AT135" s="62"/>
      <c r="AU135" s="72">
        <f t="shared" si="22"/>
        <v>1</v>
      </c>
      <c r="AV135" s="62"/>
      <c r="AW135" s="62"/>
      <c r="AX135" s="62">
        <v>1</v>
      </c>
      <c r="AY135" s="62">
        <v>1</v>
      </c>
      <c r="AZ135" s="62">
        <v>1</v>
      </c>
      <c r="BA135" s="72">
        <f t="shared" si="23"/>
        <v>1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2</v>
      </c>
      <c r="M136" s="62">
        <v>2</v>
      </c>
      <c r="N136" s="62">
        <v>2</v>
      </c>
      <c r="O136" s="62">
        <v>2</v>
      </c>
      <c r="P136" s="62">
        <v>1</v>
      </c>
      <c r="Q136" s="72">
        <f t="shared" si="17"/>
        <v>1.8</v>
      </c>
      <c r="R136" s="62">
        <v>1</v>
      </c>
      <c r="S136" s="62">
        <v>2</v>
      </c>
      <c r="T136" s="7"/>
      <c r="U136" s="62">
        <v>1</v>
      </c>
      <c r="V136" s="7"/>
      <c r="W136" s="72">
        <f t="shared" si="18"/>
        <v>1.3333333333333333</v>
      </c>
      <c r="X136" s="62">
        <v>1</v>
      </c>
      <c r="Y136" s="62">
        <v>2</v>
      </c>
      <c r="Z136" s="7"/>
      <c r="AA136" s="7"/>
      <c r="AB136" s="7"/>
      <c r="AC136" s="72">
        <f t="shared" si="19"/>
        <v>1.5</v>
      </c>
      <c r="AD136" s="62">
        <v>1</v>
      </c>
      <c r="AE136" s="7"/>
      <c r="AF136" s="62">
        <v>2</v>
      </c>
      <c r="AG136" s="7"/>
      <c r="AH136" s="7"/>
      <c r="AI136" s="72">
        <f t="shared" si="20"/>
        <v>1.5</v>
      </c>
      <c r="AJ136" s="7"/>
      <c r="AK136" s="7"/>
      <c r="AL136" s="7"/>
      <c r="AM136" s="7"/>
      <c r="AN136" s="7"/>
      <c r="AO136" s="72" t="str">
        <f t="shared" si="21"/>
        <v>A</v>
      </c>
      <c r="AP136" s="62">
        <v>2</v>
      </c>
      <c r="AQ136" s="62">
        <v>2</v>
      </c>
      <c r="AR136" s="62">
        <v>1</v>
      </c>
      <c r="AS136" s="7"/>
      <c r="AT136" s="7"/>
      <c r="AU136" s="72">
        <f t="shared" si="22"/>
        <v>1.6666666666666667</v>
      </c>
      <c r="AV136" s="7"/>
      <c r="AW136" s="7"/>
      <c r="AX136" s="62">
        <v>2</v>
      </c>
      <c r="AY136" s="62">
        <v>2</v>
      </c>
      <c r="AZ136" s="62">
        <v>1</v>
      </c>
      <c r="BA136" s="72">
        <f t="shared" si="23"/>
        <v>1.6666666666666667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2</v>
      </c>
      <c r="M137" s="62">
        <v>2</v>
      </c>
      <c r="N137" s="62">
        <v>2</v>
      </c>
      <c r="O137" s="62">
        <v>3</v>
      </c>
      <c r="P137" s="62">
        <v>2</v>
      </c>
      <c r="Q137" s="72">
        <f t="shared" si="17"/>
        <v>2.2000000000000002</v>
      </c>
      <c r="R137" s="62">
        <v>2</v>
      </c>
      <c r="S137" s="62">
        <v>2</v>
      </c>
      <c r="T137" s="62"/>
      <c r="U137" s="62">
        <v>2</v>
      </c>
      <c r="V137" s="62"/>
      <c r="W137" s="72">
        <f t="shared" si="18"/>
        <v>2</v>
      </c>
      <c r="X137" s="62">
        <v>2</v>
      </c>
      <c r="Y137" s="62">
        <v>2</v>
      </c>
      <c r="Z137" s="62"/>
      <c r="AA137" s="62"/>
      <c r="AB137" s="62"/>
      <c r="AC137" s="72">
        <f t="shared" si="19"/>
        <v>2</v>
      </c>
      <c r="AD137" s="62">
        <v>2</v>
      </c>
      <c r="AE137" s="62"/>
      <c r="AF137" s="62">
        <v>0</v>
      </c>
      <c r="AG137" s="62"/>
      <c r="AH137" s="62"/>
      <c r="AI137" s="72">
        <f t="shared" si="20"/>
        <v>1</v>
      </c>
      <c r="AJ137" s="62"/>
      <c r="AK137" s="62"/>
      <c r="AL137" s="62"/>
      <c r="AM137" s="62"/>
      <c r="AN137" s="62"/>
      <c r="AO137" s="72" t="str">
        <f t="shared" si="21"/>
        <v>A</v>
      </c>
      <c r="AP137" s="62">
        <v>2</v>
      </c>
      <c r="AQ137" s="62">
        <v>2</v>
      </c>
      <c r="AR137" s="62">
        <v>2</v>
      </c>
      <c r="AS137" s="62"/>
      <c r="AT137" s="62"/>
      <c r="AU137" s="72">
        <f t="shared" si="22"/>
        <v>2</v>
      </c>
      <c r="AV137" s="62"/>
      <c r="AW137" s="62"/>
      <c r="AX137" s="62">
        <v>2</v>
      </c>
      <c r="AY137" s="62">
        <v>2</v>
      </c>
      <c r="AZ137" s="62">
        <v>2</v>
      </c>
      <c r="BA137" s="72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3</v>
      </c>
      <c r="M138" s="62">
        <v>3</v>
      </c>
      <c r="N138" s="62">
        <v>2</v>
      </c>
      <c r="O138" s="62">
        <v>3</v>
      </c>
      <c r="P138" s="62">
        <v>3</v>
      </c>
      <c r="Q138" s="72">
        <f t="shared" si="17"/>
        <v>2.8</v>
      </c>
      <c r="R138" s="62">
        <v>2</v>
      </c>
      <c r="S138" s="62">
        <v>2</v>
      </c>
      <c r="T138" s="7"/>
      <c r="U138" s="62">
        <v>2</v>
      </c>
      <c r="V138" s="7"/>
      <c r="W138" s="72">
        <f t="shared" si="18"/>
        <v>2</v>
      </c>
      <c r="X138" s="62">
        <v>2</v>
      </c>
      <c r="Y138" s="62">
        <v>2</v>
      </c>
      <c r="Z138" s="7"/>
      <c r="AA138" s="7"/>
      <c r="AB138" s="7"/>
      <c r="AC138" s="72">
        <f t="shared" si="19"/>
        <v>2</v>
      </c>
      <c r="AD138" s="62">
        <v>2</v>
      </c>
      <c r="AE138" s="7"/>
      <c r="AF138" s="62">
        <v>0</v>
      </c>
      <c r="AG138" s="7"/>
      <c r="AH138" s="7"/>
      <c r="AI138" s="72">
        <f t="shared" si="20"/>
        <v>1</v>
      </c>
      <c r="AJ138" s="7"/>
      <c r="AK138" s="7"/>
      <c r="AL138" s="7"/>
      <c r="AM138" s="7"/>
      <c r="AN138" s="7"/>
      <c r="AO138" s="72" t="str">
        <f t="shared" si="21"/>
        <v>A</v>
      </c>
      <c r="AP138" s="62">
        <v>2</v>
      </c>
      <c r="AQ138" s="62">
        <v>2</v>
      </c>
      <c r="AR138" s="62">
        <v>2</v>
      </c>
      <c r="AS138" s="7"/>
      <c r="AT138" s="7"/>
      <c r="AU138" s="72">
        <f t="shared" si="22"/>
        <v>2</v>
      </c>
      <c r="AV138" s="7"/>
      <c r="AW138" s="7"/>
      <c r="AX138" s="62">
        <v>2</v>
      </c>
      <c r="AY138" s="62">
        <v>2</v>
      </c>
      <c r="AZ138" s="62">
        <v>2</v>
      </c>
      <c r="BA138" s="72">
        <f t="shared" si="23"/>
        <v>2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3</v>
      </c>
      <c r="M139" s="62">
        <v>2</v>
      </c>
      <c r="N139" s="62">
        <v>3</v>
      </c>
      <c r="O139" s="62">
        <v>2</v>
      </c>
      <c r="P139" s="62">
        <v>2</v>
      </c>
      <c r="Q139" s="72">
        <f t="shared" si="17"/>
        <v>2.4</v>
      </c>
      <c r="R139" s="62">
        <v>2</v>
      </c>
      <c r="S139" s="62">
        <v>3</v>
      </c>
      <c r="T139" s="62"/>
      <c r="U139" s="62">
        <v>2</v>
      </c>
      <c r="V139" s="62"/>
      <c r="W139" s="72">
        <f t="shared" si="18"/>
        <v>2.3333333333333335</v>
      </c>
      <c r="X139" s="62">
        <v>2</v>
      </c>
      <c r="Y139" s="62">
        <v>3</v>
      </c>
      <c r="Z139" s="62"/>
      <c r="AA139" s="62"/>
      <c r="AB139" s="62"/>
      <c r="AC139" s="72">
        <f t="shared" si="19"/>
        <v>2.5</v>
      </c>
      <c r="AD139" s="62">
        <v>2</v>
      </c>
      <c r="AE139" s="62"/>
      <c r="AF139" s="62">
        <v>3</v>
      </c>
      <c r="AG139" s="62"/>
      <c r="AH139" s="62"/>
      <c r="AI139" s="72">
        <f t="shared" si="20"/>
        <v>2.5</v>
      </c>
      <c r="AJ139" s="62"/>
      <c r="AK139" s="62"/>
      <c r="AL139" s="62"/>
      <c r="AM139" s="62"/>
      <c r="AN139" s="62"/>
      <c r="AO139" s="72" t="str">
        <f t="shared" si="21"/>
        <v>A</v>
      </c>
      <c r="AP139" s="62">
        <v>3</v>
      </c>
      <c r="AQ139" s="62">
        <v>2</v>
      </c>
      <c r="AR139" s="62">
        <v>2</v>
      </c>
      <c r="AS139" s="62"/>
      <c r="AT139" s="62"/>
      <c r="AU139" s="72">
        <f t="shared" si="22"/>
        <v>2.3333333333333335</v>
      </c>
      <c r="AV139" s="62"/>
      <c r="AW139" s="62"/>
      <c r="AX139" s="62">
        <v>3</v>
      </c>
      <c r="AY139" s="62">
        <v>2</v>
      </c>
      <c r="AZ139" s="62">
        <v>2</v>
      </c>
      <c r="BA139" s="72">
        <f t="shared" si="23"/>
        <v>2.3333333333333335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3</v>
      </c>
      <c r="M140" s="62">
        <v>3</v>
      </c>
      <c r="N140" s="62">
        <v>3</v>
      </c>
      <c r="O140" s="62">
        <v>3</v>
      </c>
      <c r="P140" s="62">
        <v>3</v>
      </c>
      <c r="Q140" s="72">
        <f t="shared" si="17"/>
        <v>3</v>
      </c>
      <c r="R140" s="62">
        <v>3</v>
      </c>
      <c r="S140" s="62">
        <v>3</v>
      </c>
      <c r="T140" s="7"/>
      <c r="U140" s="62">
        <v>3</v>
      </c>
      <c r="V140" s="7"/>
      <c r="W140" s="72">
        <f t="shared" si="18"/>
        <v>3</v>
      </c>
      <c r="X140" s="62">
        <v>3</v>
      </c>
      <c r="Y140" s="62">
        <v>3</v>
      </c>
      <c r="Z140" s="7"/>
      <c r="AA140" s="7"/>
      <c r="AB140" s="7"/>
      <c r="AC140" s="72">
        <f t="shared" si="19"/>
        <v>3</v>
      </c>
      <c r="AD140" s="62">
        <v>3</v>
      </c>
      <c r="AE140" s="7"/>
      <c r="AF140" s="62">
        <v>3</v>
      </c>
      <c r="AG140" s="7"/>
      <c r="AH140" s="7"/>
      <c r="AI140" s="72">
        <f t="shared" si="20"/>
        <v>3</v>
      </c>
      <c r="AJ140" s="7"/>
      <c r="AK140" s="7"/>
      <c r="AL140" s="7"/>
      <c r="AM140" s="7"/>
      <c r="AN140" s="7"/>
      <c r="AO140" s="72" t="str">
        <f t="shared" si="21"/>
        <v>A</v>
      </c>
      <c r="AP140" s="62">
        <v>3</v>
      </c>
      <c r="AQ140" s="62">
        <v>3</v>
      </c>
      <c r="AR140" s="62">
        <v>3</v>
      </c>
      <c r="AS140" s="7"/>
      <c r="AT140" s="7"/>
      <c r="AU140" s="72">
        <f t="shared" si="22"/>
        <v>3</v>
      </c>
      <c r="AV140" s="7"/>
      <c r="AW140" s="7"/>
      <c r="AX140" s="62">
        <v>3</v>
      </c>
      <c r="AY140" s="62">
        <v>3</v>
      </c>
      <c r="AZ140" s="62">
        <v>3</v>
      </c>
      <c r="BA140" s="72">
        <f t="shared" si="23"/>
        <v>3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2</v>
      </c>
      <c r="M141" s="62">
        <v>3</v>
      </c>
      <c r="N141" s="62">
        <v>3</v>
      </c>
      <c r="O141" s="62">
        <v>3</v>
      </c>
      <c r="P141" s="62">
        <v>2</v>
      </c>
      <c r="Q141" s="72">
        <f t="shared" si="17"/>
        <v>2.6</v>
      </c>
      <c r="R141" s="62">
        <v>2</v>
      </c>
      <c r="S141" s="62">
        <v>2</v>
      </c>
      <c r="T141" s="62"/>
      <c r="U141" s="62">
        <v>2</v>
      </c>
      <c r="V141" s="62"/>
      <c r="W141" s="72">
        <f t="shared" si="18"/>
        <v>2</v>
      </c>
      <c r="X141" s="62">
        <v>2</v>
      </c>
      <c r="Y141" s="62">
        <v>2</v>
      </c>
      <c r="Z141" s="62"/>
      <c r="AA141" s="62"/>
      <c r="AB141" s="62"/>
      <c r="AC141" s="72">
        <f t="shared" si="19"/>
        <v>2</v>
      </c>
      <c r="AD141" s="62">
        <v>3</v>
      </c>
      <c r="AE141" s="62"/>
      <c r="AF141" s="62">
        <v>2</v>
      </c>
      <c r="AG141" s="62"/>
      <c r="AH141" s="62"/>
      <c r="AI141" s="72">
        <f t="shared" si="20"/>
        <v>2.5</v>
      </c>
      <c r="AJ141" s="62"/>
      <c r="AK141" s="62"/>
      <c r="AL141" s="62"/>
      <c r="AM141" s="62"/>
      <c r="AN141" s="62"/>
      <c r="AO141" s="72" t="str">
        <f t="shared" si="21"/>
        <v>A</v>
      </c>
      <c r="AP141" s="62">
        <v>2</v>
      </c>
      <c r="AQ141" s="62">
        <v>2</v>
      </c>
      <c r="AR141" s="62">
        <v>2</v>
      </c>
      <c r="AS141" s="62"/>
      <c r="AT141" s="62"/>
      <c r="AU141" s="72">
        <f t="shared" si="22"/>
        <v>2</v>
      </c>
      <c r="AV141" s="62"/>
      <c r="AW141" s="62"/>
      <c r="AX141" s="62">
        <v>2</v>
      </c>
      <c r="AY141" s="62">
        <v>3</v>
      </c>
      <c r="AZ141" s="62">
        <v>3</v>
      </c>
      <c r="BA141" s="72">
        <f t="shared" si="23"/>
        <v>2.6666666666666665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2</v>
      </c>
      <c r="M142" s="62">
        <v>2</v>
      </c>
      <c r="N142" s="62">
        <v>2</v>
      </c>
      <c r="O142" s="62">
        <v>3</v>
      </c>
      <c r="P142" s="62">
        <v>2</v>
      </c>
      <c r="Q142" s="72">
        <f t="shared" si="17"/>
        <v>2.2000000000000002</v>
      </c>
      <c r="R142" s="62">
        <v>3</v>
      </c>
      <c r="S142" s="62">
        <v>4</v>
      </c>
      <c r="T142" s="7"/>
      <c r="U142" s="62">
        <v>4</v>
      </c>
      <c r="V142" s="7"/>
      <c r="W142" s="72">
        <f t="shared" si="18"/>
        <v>3.6666666666666665</v>
      </c>
      <c r="X142" s="62">
        <v>3</v>
      </c>
      <c r="Y142" s="62">
        <v>2</v>
      </c>
      <c r="Z142" s="7"/>
      <c r="AA142" s="7"/>
      <c r="AB142" s="7"/>
      <c r="AC142" s="72">
        <f t="shared" si="19"/>
        <v>2.5</v>
      </c>
      <c r="AD142" s="62">
        <v>3</v>
      </c>
      <c r="AE142" s="7"/>
      <c r="AF142" s="62">
        <v>0</v>
      </c>
      <c r="AG142" s="7"/>
      <c r="AH142" s="7"/>
      <c r="AI142" s="72">
        <f t="shared" si="20"/>
        <v>1.5</v>
      </c>
      <c r="AJ142" s="7"/>
      <c r="AK142" s="7"/>
      <c r="AL142" s="7"/>
      <c r="AM142" s="7"/>
      <c r="AN142" s="7"/>
      <c r="AO142" s="72" t="str">
        <f t="shared" si="21"/>
        <v>A</v>
      </c>
      <c r="AP142" s="62">
        <v>3</v>
      </c>
      <c r="AQ142" s="62">
        <v>4</v>
      </c>
      <c r="AR142" s="62">
        <v>4</v>
      </c>
      <c r="AS142" s="7"/>
      <c r="AT142" s="7"/>
      <c r="AU142" s="72">
        <f t="shared" si="22"/>
        <v>3.6666666666666665</v>
      </c>
      <c r="AV142" s="7"/>
      <c r="AW142" s="7"/>
      <c r="AX142" s="62">
        <v>4</v>
      </c>
      <c r="AY142" s="62">
        <v>2</v>
      </c>
      <c r="AZ142" s="62">
        <v>3</v>
      </c>
      <c r="BA142" s="72">
        <f t="shared" si="23"/>
        <v>3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3</v>
      </c>
      <c r="M143" s="62">
        <v>3</v>
      </c>
      <c r="N143" s="62">
        <v>3</v>
      </c>
      <c r="O143" s="62">
        <v>3</v>
      </c>
      <c r="P143" s="62">
        <v>3</v>
      </c>
      <c r="Q143" s="72">
        <f t="shared" si="17"/>
        <v>3</v>
      </c>
      <c r="R143" s="62">
        <v>3</v>
      </c>
      <c r="S143" s="62">
        <v>3</v>
      </c>
      <c r="T143" s="62"/>
      <c r="U143" s="62">
        <v>3</v>
      </c>
      <c r="V143" s="62"/>
      <c r="W143" s="72">
        <f t="shared" si="18"/>
        <v>3</v>
      </c>
      <c r="X143" s="62">
        <v>3</v>
      </c>
      <c r="Y143" s="62">
        <v>3</v>
      </c>
      <c r="Z143" s="62"/>
      <c r="AA143" s="62"/>
      <c r="AB143" s="62"/>
      <c r="AC143" s="72">
        <f t="shared" si="19"/>
        <v>3</v>
      </c>
      <c r="AD143" s="62">
        <v>3</v>
      </c>
      <c r="AE143" s="62"/>
      <c r="AF143" s="62">
        <v>3</v>
      </c>
      <c r="AG143" s="62"/>
      <c r="AH143" s="62"/>
      <c r="AI143" s="72">
        <f t="shared" si="20"/>
        <v>3</v>
      </c>
      <c r="AJ143" s="62"/>
      <c r="AK143" s="62"/>
      <c r="AL143" s="62"/>
      <c r="AM143" s="62"/>
      <c r="AN143" s="62"/>
      <c r="AO143" s="72" t="str">
        <f t="shared" si="21"/>
        <v>A</v>
      </c>
      <c r="AP143" s="62">
        <v>3</v>
      </c>
      <c r="AQ143" s="62">
        <v>3</v>
      </c>
      <c r="AR143" s="62">
        <v>3</v>
      </c>
      <c r="AS143" s="62"/>
      <c r="AT143" s="62"/>
      <c r="AU143" s="72">
        <f t="shared" si="22"/>
        <v>3</v>
      </c>
      <c r="AV143" s="62"/>
      <c r="AW143" s="62"/>
      <c r="AX143" s="62">
        <v>3</v>
      </c>
      <c r="AY143" s="62">
        <v>3</v>
      </c>
      <c r="AZ143" s="62">
        <v>3</v>
      </c>
      <c r="BA143" s="72">
        <f t="shared" si="23"/>
        <v>3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3</v>
      </c>
      <c r="M144" s="62">
        <v>3</v>
      </c>
      <c r="N144" s="62">
        <v>3</v>
      </c>
      <c r="O144" s="62">
        <v>3</v>
      </c>
      <c r="P144" s="62">
        <v>3</v>
      </c>
      <c r="Q144" s="72">
        <f t="shared" si="17"/>
        <v>3</v>
      </c>
      <c r="R144" s="62">
        <v>3</v>
      </c>
      <c r="S144" s="62">
        <v>3</v>
      </c>
      <c r="T144" s="7"/>
      <c r="U144" s="62">
        <v>3</v>
      </c>
      <c r="V144" s="7"/>
      <c r="W144" s="72">
        <f t="shared" si="18"/>
        <v>3</v>
      </c>
      <c r="X144" s="62">
        <v>3</v>
      </c>
      <c r="Y144" s="62">
        <v>3</v>
      </c>
      <c r="Z144" s="7"/>
      <c r="AA144" s="7"/>
      <c r="AB144" s="7"/>
      <c r="AC144" s="72">
        <f t="shared" si="19"/>
        <v>3</v>
      </c>
      <c r="AD144" s="62">
        <v>3</v>
      </c>
      <c r="AE144" s="7"/>
      <c r="AF144" s="62">
        <v>3</v>
      </c>
      <c r="AG144" s="7"/>
      <c r="AH144" s="7"/>
      <c r="AI144" s="72">
        <f t="shared" si="20"/>
        <v>3</v>
      </c>
      <c r="AJ144" s="7"/>
      <c r="AK144" s="7"/>
      <c r="AL144" s="7"/>
      <c r="AM144" s="7"/>
      <c r="AN144" s="7"/>
      <c r="AO144" s="72" t="str">
        <f t="shared" si="21"/>
        <v>A</v>
      </c>
      <c r="AP144" s="62">
        <v>3</v>
      </c>
      <c r="AQ144" s="62">
        <v>3</v>
      </c>
      <c r="AR144" s="62">
        <v>3</v>
      </c>
      <c r="AS144" s="7"/>
      <c r="AT144" s="7"/>
      <c r="AU144" s="72">
        <f t="shared" si="22"/>
        <v>3</v>
      </c>
      <c r="AV144" s="7"/>
      <c r="AW144" s="7"/>
      <c r="AX144" s="62">
        <v>3</v>
      </c>
      <c r="AY144" s="62">
        <v>3</v>
      </c>
      <c r="AZ144" s="62">
        <v>3</v>
      </c>
      <c r="BA144" s="72">
        <f t="shared" si="23"/>
        <v>3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2</v>
      </c>
      <c r="M145" s="62">
        <v>2</v>
      </c>
      <c r="N145" s="62">
        <v>2</v>
      </c>
      <c r="O145" s="62">
        <v>2</v>
      </c>
      <c r="P145" s="62">
        <v>2</v>
      </c>
      <c r="Q145" s="72">
        <f t="shared" si="17"/>
        <v>2</v>
      </c>
      <c r="R145" s="62">
        <v>2</v>
      </c>
      <c r="S145" s="62">
        <v>2</v>
      </c>
      <c r="T145" s="62"/>
      <c r="U145" s="62">
        <v>2</v>
      </c>
      <c r="V145" s="62"/>
      <c r="W145" s="72">
        <f t="shared" si="18"/>
        <v>2</v>
      </c>
      <c r="X145" s="62">
        <v>2</v>
      </c>
      <c r="Y145" s="62">
        <v>2</v>
      </c>
      <c r="Z145" s="62"/>
      <c r="AA145" s="62"/>
      <c r="AB145" s="62"/>
      <c r="AC145" s="72">
        <f t="shared" si="19"/>
        <v>2</v>
      </c>
      <c r="AD145" s="62">
        <v>2</v>
      </c>
      <c r="AE145" s="62"/>
      <c r="AF145" s="62">
        <v>2</v>
      </c>
      <c r="AG145" s="62"/>
      <c r="AH145" s="62"/>
      <c r="AI145" s="72">
        <f t="shared" si="20"/>
        <v>2</v>
      </c>
      <c r="AJ145" s="62"/>
      <c r="AK145" s="62"/>
      <c r="AL145" s="62"/>
      <c r="AM145" s="62"/>
      <c r="AN145" s="62"/>
      <c r="AO145" s="72" t="str">
        <f t="shared" si="21"/>
        <v>A</v>
      </c>
      <c r="AP145" s="62">
        <v>2</v>
      </c>
      <c r="AQ145" s="62">
        <v>2</v>
      </c>
      <c r="AR145" s="62">
        <v>2</v>
      </c>
      <c r="AS145" s="62"/>
      <c r="AT145" s="62"/>
      <c r="AU145" s="72">
        <f t="shared" si="22"/>
        <v>2</v>
      </c>
      <c r="AV145" s="62"/>
      <c r="AW145" s="62"/>
      <c r="AX145" s="62">
        <v>2</v>
      </c>
      <c r="AY145" s="62">
        <v>2</v>
      </c>
      <c r="AZ145" s="62">
        <v>2</v>
      </c>
      <c r="BA145" s="72">
        <f t="shared" si="23"/>
        <v>2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3</v>
      </c>
      <c r="M146" s="62">
        <v>3</v>
      </c>
      <c r="N146" s="62">
        <v>3</v>
      </c>
      <c r="O146" s="62">
        <v>3</v>
      </c>
      <c r="P146" s="62">
        <v>3</v>
      </c>
      <c r="Q146" s="72">
        <f t="shared" si="17"/>
        <v>3</v>
      </c>
      <c r="R146" s="62">
        <v>3</v>
      </c>
      <c r="S146" s="62">
        <v>3</v>
      </c>
      <c r="T146" s="7"/>
      <c r="U146" s="62">
        <v>3</v>
      </c>
      <c r="V146" s="7"/>
      <c r="W146" s="72">
        <f t="shared" si="18"/>
        <v>3</v>
      </c>
      <c r="X146" s="62">
        <v>3</v>
      </c>
      <c r="Y146" s="62">
        <v>3</v>
      </c>
      <c r="Z146" s="7"/>
      <c r="AA146" s="7"/>
      <c r="AB146" s="7"/>
      <c r="AC146" s="72">
        <f t="shared" si="19"/>
        <v>3</v>
      </c>
      <c r="AD146" s="62">
        <v>3</v>
      </c>
      <c r="AE146" s="7"/>
      <c r="AF146" s="62">
        <v>3</v>
      </c>
      <c r="AG146" s="7"/>
      <c r="AH146" s="7"/>
      <c r="AI146" s="72">
        <f t="shared" si="20"/>
        <v>3</v>
      </c>
      <c r="AJ146" s="7"/>
      <c r="AK146" s="7"/>
      <c r="AL146" s="7"/>
      <c r="AM146" s="7"/>
      <c r="AN146" s="7"/>
      <c r="AO146" s="72" t="str">
        <f t="shared" si="21"/>
        <v>A</v>
      </c>
      <c r="AP146" s="62">
        <v>3</v>
      </c>
      <c r="AQ146" s="62">
        <v>3</v>
      </c>
      <c r="AR146" s="62">
        <v>3</v>
      </c>
      <c r="AS146" s="7"/>
      <c r="AT146" s="7"/>
      <c r="AU146" s="72">
        <f t="shared" si="22"/>
        <v>3</v>
      </c>
      <c r="AV146" s="7"/>
      <c r="AW146" s="7"/>
      <c r="AX146" s="62">
        <v>3</v>
      </c>
      <c r="AY146" s="62">
        <v>3</v>
      </c>
      <c r="AZ146" s="62">
        <v>3</v>
      </c>
      <c r="BA146" s="72">
        <f t="shared" si="23"/>
        <v>3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4</v>
      </c>
      <c r="M147" s="62">
        <v>4</v>
      </c>
      <c r="N147" s="62">
        <v>3</v>
      </c>
      <c r="O147" s="62">
        <v>3</v>
      </c>
      <c r="P147" s="62">
        <v>4</v>
      </c>
      <c r="Q147" s="72">
        <f t="shared" si="17"/>
        <v>3.6</v>
      </c>
      <c r="R147" s="62">
        <v>4</v>
      </c>
      <c r="S147" s="62">
        <v>3</v>
      </c>
      <c r="T147" s="62"/>
      <c r="U147" s="62">
        <v>4</v>
      </c>
      <c r="V147" s="62"/>
      <c r="W147" s="72">
        <f t="shared" si="18"/>
        <v>3.6666666666666665</v>
      </c>
      <c r="X147" s="62">
        <v>3</v>
      </c>
      <c r="Y147" s="62">
        <v>2</v>
      </c>
      <c r="Z147" s="62"/>
      <c r="AA147" s="62"/>
      <c r="AB147" s="62"/>
      <c r="AC147" s="72">
        <f t="shared" si="19"/>
        <v>2.5</v>
      </c>
      <c r="AD147" s="62">
        <v>3</v>
      </c>
      <c r="AE147" s="62"/>
      <c r="AF147" s="62">
        <v>0</v>
      </c>
      <c r="AG147" s="62"/>
      <c r="AH147" s="62"/>
      <c r="AI147" s="72">
        <f t="shared" si="20"/>
        <v>1.5</v>
      </c>
      <c r="AJ147" s="62"/>
      <c r="AK147" s="62"/>
      <c r="AL147" s="62"/>
      <c r="AM147" s="62"/>
      <c r="AN147" s="62"/>
      <c r="AO147" s="72" t="str">
        <f t="shared" si="21"/>
        <v>A</v>
      </c>
      <c r="AP147" s="62">
        <v>3</v>
      </c>
      <c r="AQ147" s="62">
        <v>2</v>
      </c>
      <c r="AR147" s="62">
        <v>2</v>
      </c>
      <c r="AS147" s="62"/>
      <c r="AT147" s="62"/>
      <c r="AU147" s="72">
        <f t="shared" si="22"/>
        <v>2.3333333333333335</v>
      </c>
      <c r="AV147" s="62"/>
      <c r="AW147" s="62"/>
      <c r="AX147" s="62">
        <v>2</v>
      </c>
      <c r="AY147" s="62">
        <v>3</v>
      </c>
      <c r="AZ147" s="62">
        <v>3</v>
      </c>
      <c r="BA147" s="72">
        <f t="shared" si="23"/>
        <v>2.6666666666666665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4</v>
      </c>
      <c r="M148" s="62">
        <v>4</v>
      </c>
      <c r="N148" s="62">
        <v>4</v>
      </c>
      <c r="O148" s="62">
        <v>3</v>
      </c>
      <c r="P148" s="62">
        <v>4</v>
      </c>
      <c r="Q148" s="72">
        <f t="shared" si="17"/>
        <v>3.8</v>
      </c>
      <c r="R148" s="62">
        <v>3</v>
      </c>
      <c r="S148" s="62">
        <v>4</v>
      </c>
      <c r="T148" s="7"/>
      <c r="U148" s="62">
        <v>3</v>
      </c>
      <c r="V148" s="7"/>
      <c r="W148" s="72">
        <f t="shared" si="18"/>
        <v>3.3333333333333335</v>
      </c>
      <c r="X148" s="62">
        <v>4</v>
      </c>
      <c r="Y148" s="62">
        <v>3</v>
      </c>
      <c r="Z148" s="7"/>
      <c r="AA148" s="7"/>
      <c r="AB148" s="7"/>
      <c r="AC148" s="72">
        <f t="shared" si="19"/>
        <v>3.5</v>
      </c>
      <c r="AD148" s="62">
        <v>2</v>
      </c>
      <c r="AE148" s="7"/>
      <c r="AF148" s="62">
        <v>0</v>
      </c>
      <c r="AG148" s="7"/>
      <c r="AH148" s="7"/>
      <c r="AI148" s="72">
        <f t="shared" si="20"/>
        <v>1</v>
      </c>
      <c r="AJ148" s="7"/>
      <c r="AK148" s="7"/>
      <c r="AL148" s="7"/>
      <c r="AM148" s="7"/>
      <c r="AN148" s="7"/>
      <c r="AO148" s="72" t="str">
        <f t="shared" si="21"/>
        <v>A</v>
      </c>
      <c r="AP148" s="62">
        <v>2</v>
      </c>
      <c r="AQ148" s="62">
        <v>2</v>
      </c>
      <c r="AR148" s="62">
        <v>2</v>
      </c>
      <c r="AS148" s="7"/>
      <c r="AT148" s="7"/>
      <c r="AU148" s="72">
        <f t="shared" si="22"/>
        <v>2</v>
      </c>
      <c r="AV148" s="7"/>
      <c r="AW148" s="7"/>
      <c r="AX148" s="62">
        <v>2</v>
      </c>
      <c r="AY148" s="62">
        <v>2</v>
      </c>
      <c r="AZ148" s="62">
        <v>3</v>
      </c>
      <c r="BA148" s="72">
        <f t="shared" si="23"/>
        <v>2.3333333333333335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4</v>
      </c>
      <c r="M149" s="62">
        <v>3</v>
      </c>
      <c r="N149" s="62">
        <v>3</v>
      </c>
      <c r="O149" s="62">
        <v>3</v>
      </c>
      <c r="P149" s="62">
        <v>2</v>
      </c>
      <c r="Q149" s="72">
        <f t="shared" si="17"/>
        <v>3</v>
      </c>
      <c r="R149" s="62">
        <v>3</v>
      </c>
      <c r="S149" s="62">
        <v>3</v>
      </c>
      <c r="T149" s="62"/>
      <c r="U149" s="62">
        <v>3</v>
      </c>
      <c r="V149" s="62"/>
      <c r="W149" s="72">
        <f t="shared" si="18"/>
        <v>3</v>
      </c>
      <c r="X149" s="62">
        <v>2</v>
      </c>
      <c r="Y149" s="62">
        <v>4</v>
      </c>
      <c r="Z149" s="62"/>
      <c r="AA149" s="62"/>
      <c r="AB149" s="62"/>
      <c r="AC149" s="72">
        <f t="shared" si="19"/>
        <v>3</v>
      </c>
      <c r="AD149" s="62">
        <v>2</v>
      </c>
      <c r="AE149" s="62"/>
      <c r="AF149" s="62">
        <v>3</v>
      </c>
      <c r="AG149" s="62"/>
      <c r="AH149" s="62"/>
      <c r="AI149" s="72">
        <f t="shared" si="20"/>
        <v>2.5</v>
      </c>
      <c r="AJ149" s="62"/>
      <c r="AK149" s="62"/>
      <c r="AL149" s="62"/>
      <c r="AM149" s="62"/>
      <c r="AN149" s="62"/>
      <c r="AO149" s="72" t="str">
        <f t="shared" si="21"/>
        <v>A</v>
      </c>
      <c r="AP149" s="62">
        <v>1</v>
      </c>
      <c r="AQ149" s="62">
        <v>1</v>
      </c>
      <c r="AR149" s="62">
        <v>1</v>
      </c>
      <c r="AS149" s="62"/>
      <c r="AT149" s="62"/>
      <c r="AU149" s="72">
        <f t="shared" si="22"/>
        <v>1</v>
      </c>
      <c r="AV149" s="62"/>
      <c r="AW149" s="62"/>
      <c r="AX149" s="62">
        <v>5</v>
      </c>
      <c r="AY149" s="62">
        <v>1</v>
      </c>
      <c r="AZ149" s="62">
        <v>1</v>
      </c>
      <c r="BA149" s="72">
        <f t="shared" si="23"/>
        <v>2.3333333333333335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2</v>
      </c>
      <c r="M150" s="62">
        <v>3</v>
      </c>
      <c r="N150" s="62">
        <v>3</v>
      </c>
      <c r="O150" s="62">
        <v>3</v>
      </c>
      <c r="P150" s="62">
        <v>2</v>
      </c>
      <c r="Q150" s="72">
        <f t="shared" si="17"/>
        <v>2.6</v>
      </c>
      <c r="R150" s="62">
        <v>2</v>
      </c>
      <c r="S150" s="62">
        <v>3</v>
      </c>
      <c r="T150" s="7"/>
      <c r="U150" s="62">
        <v>3</v>
      </c>
      <c r="V150" s="7"/>
      <c r="W150" s="72">
        <f t="shared" si="18"/>
        <v>2.6666666666666665</v>
      </c>
      <c r="X150" s="62">
        <v>3</v>
      </c>
      <c r="Y150" s="62">
        <v>3</v>
      </c>
      <c r="Z150" s="7"/>
      <c r="AA150" s="7"/>
      <c r="AB150" s="7"/>
      <c r="AC150" s="72">
        <f t="shared" si="19"/>
        <v>3</v>
      </c>
      <c r="AD150" s="62">
        <v>3</v>
      </c>
      <c r="AE150" s="7"/>
      <c r="AF150" s="62">
        <v>0</v>
      </c>
      <c r="AG150" s="7"/>
      <c r="AH150" s="7"/>
      <c r="AI150" s="72">
        <f t="shared" si="20"/>
        <v>1.5</v>
      </c>
      <c r="AJ150" s="7"/>
      <c r="AK150" s="7"/>
      <c r="AL150" s="7"/>
      <c r="AM150" s="7"/>
      <c r="AN150" s="7"/>
      <c r="AO150" s="72" t="str">
        <f t="shared" si="21"/>
        <v>A</v>
      </c>
      <c r="AP150" s="62">
        <v>3</v>
      </c>
      <c r="AQ150" s="62">
        <v>2</v>
      </c>
      <c r="AR150" s="62">
        <v>2</v>
      </c>
      <c r="AS150" s="7"/>
      <c r="AT150" s="7"/>
      <c r="AU150" s="72">
        <f t="shared" si="22"/>
        <v>2.3333333333333335</v>
      </c>
      <c r="AV150" s="7"/>
      <c r="AW150" s="7"/>
      <c r="AX150" s="62">
        <v>2</v>
      </c>
      <c r="AY150" s="62">
        <v>2</v>
      </c>
      <c r="AZ150" s="62">
        <v>3</v>
      </c>
      <c r="BA150" s="72">
        <f t="shared" si="23"/>
        <v>2.3333333333333335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1</v>
      </c>
      <c r="M151" s="62">
        <v>1</v>
      </c>
      <c r="N151" s="62">
        <v>1</v>
      </c>
      <c r="O151" s="62">
        <v>1</v>
      </c>
      <c r="P151" s="62">
        <v>1</v>
      </c>
      <c r="Q151" s="72">
        <f t="shared" si="17"/>
        <v>1</v>
      </c>
      <c r="R151" s="62">
        <v>1</v>
      </c>
      <c r="S151" s="62">
        <v>1</v>
      </c>
      <c r="T151" s="62"/>
      <c r="U151" s="62">
        <v>1</v>
      </c>
      <c r="V151" s="62"/>
      <c r="W151" s="72">
        <f t="shared" si="18"/>
        <v>1</v>
      </c>
      <c r="X151" s="62">
        <v>1</v>
      </c>
      <c r="Y151" s="62">
        <v>1</v>
      </c>
      <c r="Z151" s="62"/>
      <c r="AA151" s="62"/>
      <c r="AB151" s="62"/>
      <c r="AC151" s="72">
        <f t="shared" si="19"/>
        <v>1</v>
      </c>
      <c r="AD151" s="62">
        <v>1</v>
      </c>
      <c r="AE151" s="62"/>
      <c r="AF151" s="62">
        <v>1</v>
      </c>
      <c r="AG151" s="62"/>
      <c r="AH151" s="62"/>
      <c r="AI151" s="72">
        <f t="shared" si="20"/>
        <v>1</v>
      </c>
      <c r="AJ151" s="62"/>
      <c r="AK151" s="62"/>
      <c r="AL151" s="62"/>
      <c r="AM151" s="62"/>
      <c r="AN151" s="62"/>
      <c r="AO151" s="72" t="str">
        <f t="shared" si="21"/>
        <v>A</v>
      </c>
      <c r="AP151" s="62">
        <v>1</v>
      </c>
      <c r="AQ151" s="62">
        <v>1</v>
      </c>
      <c r="AR151" s="62">
        <v>1</v>
      </c>
      <c r="AS151" s="62"/>
      <c r="AT151" s="62"/>
      <c r="AU151" s="72">
        <f t="shared" si="22"/>
        <v>1</v>
      </c>
      <c r="AV151" s="62"/>
      <c r="AW151" s="62"/>
      <c r="AX151" s="62">
        <v>1</v>
      </c>
      <c r="AY151" s="62">
        <v>1</v>
      </c>
      <c r="AZ151" s="62">
        <v>1</v>
      </c>
      <c r="BA151" s="72">
        <f t="shared" si="23"/>
        <v>1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>
        <v>3</v>
      </c>
      <c r="N152" s="62">
        <v>3</v>
      </c>
      <c r="O152" s="62">
        <v>3</v>
      </c>
      <c r="P152" s="62">
        <v>2</v>
      </c>
      <c r="Q152" s="72">
        <f t="shared" si="17"/>
        <v>2.6</v>
      </c>
      <c r="R152" s="62">
        <v>3</v>
      </c>
      <c r="S152" s="62">
        <v>4</v>
      </c>
      <c r="T152" s="7"/>
      <c r="U152" s="62">
        <v>4</v>
      </c>
      <c r="V152" s="7"/>
      <c r="W152" s="72">
        <f t="shared" si="18"/>
        <v>3.6666666666666665</v>
      </c>
      <c r="X152" s="62">
        <v>4</v>
      </c>
      <c r="Y152" s="62">
        <v>5</v>
      </c>
      <c r="Z152" s="7"/>
      <c r="AA152" s="7"/>
      <c r="AB152" s="7"/>
      <c r="AC152" s="72">
        <f t="shared" si="19"/>
        <v>4.5</v>
      </c>
      <c r="AD152" s="62">
        <v>4</v>
      </c>
      <c r="AE152" s="7"/>
      <c r="AF152" s="62">
        <v>0</v>
      </c>
      <c r="AG152" s="7"/>
      <c r="AH152" s="7"/>
      <c r="AI152" s="72">
        <f t="shared" si="20"/>
        <v>2</v>
      </c>
      <c r="AJ152" s="7"/>
      <c r="AK152" s="7"/>
      <c r="AL152" s="7"/>
      <c r="AM152" s="7"/>
      <c r="AN152" s="7"/>
      <c r="AO152" s="72" t="str">
        <f t="shared" si="21"/>
        <v>A</v>
      </c>
      <c r="AP152" s="62">
        <v>4</v>
      </c>
      <c r="AQ152" s="62">
        <v>4</v>
      </c>
      <c r="AR152" s="62">
        <v>5</v>
      </c>
      <c r="AS152" s="7"/>
      <c r="AT152" s="7"/>
      <c r="AU152" s="72">
        <f t="shared" si="22"/>
        <v>4.333333333333333</v>
      </c>
      <c r="AV152" s="7"/>
      <c r="AW152" s="7"/>
      <c r="AX152" s="62">
        <v>5</v>
      </c>
      <c r="AY152" s="62">
        <v>5</v>
      </c>
      <c r="AZ152" s="62">
        <v>5</v>
      </c>
      <c r="BA152" s="72">
        <f t="shared" si="23"/>
        <v>5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2</v>
      </c>
      <c r="M153" s="62">
        <v>2</v>
      </c>
      <c r="N153" s="62">
        <v>1</v>
      </c>
      <c r="O153" s="62">
        <v>3</v>
      </c>
      <c r="P153" s="62">
        <v>1</v>
      </c>
      <c r="Q153" s="72">
        <f t="shared" si="17"/>
        <v>1.8</v>
      </c>
      <c r="R153" s="62">
        <v>1</v>
      </c>
      <c r="S153" s="62">
        <v>1</v>
      </c>
      <c r="T153" s="62"/>
      <c r="U153" s="62">
        <v>1</v>
      </c>
      <c r="V153" s="62"/>
      <c r="W153" s="72">
        <f t="shared" si="18"/>
        <v>1</v>
      </c>
      <c r="X153" s="62">
        <v>1</v>
      </c>
      <c r="Y153" s="62">
        <v>2</v>
      </c>
      <c r="Z153" s="62"/>
      <c r="AA153" s="62"/>
      <c r="AB153" s="62"/>
      <c r="AC153" s="72">
        <f t="shared" si="19"/>
        <v>1.5</v>
      </c>
      <c r="AD153" s="62">
        <v>1</v>
      </c>
      <c r="AE153" s="62"/>
      <c r="AF153" s="62">
        <v>1</v>
      </c>
      <c r="AG153" s="62"/>
      <c r="AH153" s="62"/>
      <c r="AI153" s="72">
        <f t="shared" si="20"/>
        <v>1</v>
      </c>
      <c r="AJ153" s="62"/>
      <c r="AK153" s="62"/>
      <c r="AL153" s="62"/>
      <c r="AM153" s="62"/>
      <c r="AN153" s="62"/>
      <c r="AO153" s="72" t="str">
        <f t="shared" si="21"/>
        <v>A</v>
      </c>
      <c r="AP153" s="62">
        <v>2</v>
      </c>
      <c r="AQ153" s="62">
        <v>2</v>
      </c>
      <c r="AR153" s="62">
        <v>2</v>
      </c>
      <c r="AS153" s="62"/>
      <c r="AT153" s="62"/>
      <c r="AU153" s="72">
        <f t="shared" si="22"/>
        <v>2</v>
      </c>
      <c r="AV153" s="62"/>
      <c r="AW153" s="62"/>
      <c r="AX153" s="62">
        <v>1</v>
      </c>
      <c r="AY153" s="62">
        <v>1</v>
      </c>
      <c r="AZ153" s="62">
        <v>1</v>
      </c>
      <c r="BA153" s="72">
        <f t="shared" si="23"/>
        <v>1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>
        <v>1</v>
      </c>
      <c r="N154" s="62">
        <v>1</v>
      </c>
      <c r="O154" s="62">
        <v>3</v>
      </c>
      <c r="P154" s="62">
        <v>2</v>
      </c>
      <c r="Q154" s="72">
        <f t="shared" si="17"/>
        <v>2</v>
      </c>
      <c r="R154" s="62">
        <v>1</v>
      </c>
      <c r="S154" s="62">
        <v>1</v>
      </c>
      <c r="T154" s="7"/>
      <c r="U154" s="62">
        <v>1</v>
      </c>
      <c r="V154" s="7"/>
      <c r="W154" s="72">
        <f t="shared" si="18"/>
        <v>1</v>
      </c>
      <c r="X154" s="62">
        <v>1</v>
      </c>
      <c r="Y154" s="62">
        <v>1</v>
      </c>
      <c r="Z154" s="7"/>
      <c r="AA154" s="7"/>
      <c r="AB154" s="7"/>
      <c r="AC154" s="72">
        <f t="shared" si="19"/>
        <v>1</v>
      </c>
      <c r="AD154" s="62">
        <v>1</v>
      </c>
      <c r="AE154" s="7"/>
      <c r="AF154" s="62">
        <v>1</v>
      </c>
      <c r="AG154" s="7"/>
      <c r="AH154" s="7"/>
      <c r="AI154" s="72">
        <f t="shared" si="20"/>
        <v>1</v>
      </c>
      <c r="AJ154" s="7"/>
      <c r="AK154" s="7"/>
      <c r="AL154" s="7"/>
      <c r="AM154" s="7"/>
      <c r="AN154" s="7"/>
      <c r="AO154" s="72" t="str">
        <f t="shared" si="21"/>
        <v>A</v>
      </c>
      <c r="AP154" s="62">
        <v>1</v>
      </c>
      <c r="AQ154" s="62">
        <v>1</v>
      </c>
      <c r="AR154" s="62">
        <v>1</v>
      </c>
      <c r="AS154" s="7"/>
      <c r="AT154" s="7"/>
      <c r="AU154" s="72">
        <f t="shared" si="22"/>
        <v>1</v>
      </c>
      <c r="AV154" s="7"/>
      <c r="AW154" s="7"/>
      <c r="AX154" s="62">
        <v>1</v>
      </c>
      <c r="AY154" s="62">
        <v>1</v>
      </c>
      <c r="AZ154" s="62">
        <v>1</v>
      </c>
      <c r="BA154" s="72">
        <f t="shared" si="23"/>
        <v>1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3</v>
      </c>
      <c r="M155" s="62">
        <v>4</v>
      </c>
      <c r="N155" s="62">
        <v>4</v>
      </c>
      <c r="O155" s="62">
        <v>3</v>
      </c>
      <c r="P155" s="62">
        <v>4</v>
      </c>
      <c r="Q155" s="72">
        <f t="shared" si="17"/>
        <v>3.6</v>
      </c>
      <c r="R155" s="62">
        <v>3</v>
      </c>
      <c r="S155" s="62">
        <v>3</v>
      </c>
      <c r="T155" s="62"/>
      <c r="U155" s="62">
        <v>3</v>
      </c>
      <c r="V155" s="62"/>
      <c r="W155" s="72">
        <f t="shared" si="18"/>
        <v>3</v>
      </c>
      <c r="X155" s="62">
        <v>2</v>
      </c>
      <c r="Y155" s="62">
        <v>2</v>
      </c>
      <c r="Z155" s="62"/>
      <c r="AA155" s="62"/>
      <c r="AB155" s="62"/>
      <c r="AC155" s="72">
        <f t="shared" si="19"/>
        <v>2</v>
      </c>
      <c r="AD155" s="62">
        <v>3</v>
      </c>
      <c r="AE155" s="62"/>
      <c r="AF155" s="62">
        <v>0</v>
      </c>
      <c r="AG155" s="62"/>
      <c r="AH155" s="62"/>
      <c r="AI155" s="72">
        <f t="shared" si="20"/>
        <v>1.5</v>
      </c>
      <c r="AJ155" s="62"/>
      <c r="AK155" s="62"/>
      <c r="AL155" s="62"/>
      <c r="AM155" s="62"/>
      <c r="AN155" s="62"/>
      <c r="AO155" s="72" t="str">
        <f t="shared" si="21"/>
        <v>A</v>
      </c>
      <c r="AP155" s="62">
        <v>2</v>
      </c>
      <c r="AQ155" s="62">
        <v>2</v>
      </c>
      <c r="AR155" s="62">
        <v>2</v>
      </c>
      <c r="AS155" s="62"/>
      <c r="AT155" s="62"/>
      <c r="AU155" s="72">
        <f t="shared" si="22"/>
        <v>2</v>
      </c>
      <c r="AV155" s="62"/>
      <c r="AW155" s="62"/>
      <c r="AX155" s="62">
        <v>2</v>
      </c>
      <c r="AY155" s="62">
        <v>2</v>
      </c>
      <c r="AZ155" s="62">
        <v>2</v>
      </c>
      <c r="BA155" s="72">
        <f t="shared" si="23"/>
        <v>2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3</v>
      </c>
      <c r="M156" s="62">
        <v>3</v>
      </c>
      <c r="N156" s="62">
        <v>3</v>
      </c>
      <c r="O156" s="62">
        <v>1</v>
      </c>
      <c r="P156" s="62">
        <v>3</v>
      </c>
      <c r="Q156" s="72">
        <f t="shared" si="17"/>
        <v>2.6</v>
      </c>
      <c r="R156" s="62">
        <v>2</v>
      </c>
      <c r="S156" s="62">
        <v>2</v>
      </c>
      <c r="T156" s="7"/>
      <c r="U156" s="62">
        <v>2</v>
      </c>
      <c r="V156" s="7"/>
      <c r="W156" s="72">
        <f t="shared" si="18"/>
        <v>2</v>
      </c>
      <c r="X156" s="62">
        <v>2</v>
      </c>
      <c r="Y156" s="62">
        <v>2</v>
      </c>
      <c r="Z156" s="7"/>
      <c r="AA156" s="7"/>
      <c r="AB156" s="7"/>
      <c r="AC156" s="72">
        <f t="shared" si="19"/>
        <v>2</v>
      </c>
      <c r="AD156" s="62">
        <v>1</v>
      </c>
      <c r="AE156" s="7"/>
      <c r="AF156" s="62">
        <v>1</v>
      </c>
      <c r="AG156" s="7"/>
      <c r="AH156" s="7"/>
      <c r="AI156" s="72">
        <f t="shared" si="20"/>
        <v>1</v>
      </c>
      <c r="AJ156" s="7"/>
      <c r="AK156" s="7"/>
      <c r="AL156" s="7"/>
      <c r="AM156" s="7"/>
      <c r="AN156" s="7"/>
      <c r="AO156" s="72" t="str">
        <f t="shared" si="21"/>
        <v>A</v>
      </c>
      <c r="AP156" s="62">
        <v>1</v>
      </c>
      <c r="AQ156" s="62">
        <v>1</v>
      </c>
      <c r="AR156" s="62">
        <v>1</v>
      </c>
      <c r="AS156" s="7"/>
      <c r="AT156" s="7"/>
      <c r="AU156" s="72">
        <f t="shared" si="22"/>
        <v>1</v>
      </c>
      <c r="AV156" s="7"/>
      <c r="AW156" s="7"/>
      <c r="AX156" s="62">
        <v>1</v>
      </c>
      <c r="AY156" s="62">
        <v>3</v>
      </c>
      <c r="AZ156" s="62">
        <v>3</v>
      </c>
      <c r="BA156" s="72">
        <f t="shared" si="23"/>
        <v>2.3333333333333335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2</v>
      </c>
      <c r="M157" s="62">
        <v>3</v>
      </c>
      <c r="N157" s="62">
        <v>2</v>
      </c>
      <c r="O157" s="62">
        <v>3</v>
      </c>
      <c r="P157" s="62">
        <v>3</v>
      </c>
      <c r="Q157" s="72">
        <f t="shared" si="17"/>
        <v>2.6</v>
      </c>
      <c r="R157" s="62">
        <v>3</v>
      </c>
      <c r="S157" s="62">
        <v>2</v>
      </c>
      <c r="T157" s="62"/>
      <c r="U157" s="62">
        <v>3</v>
      </c>
      <c r="V157" s="62"/>
      <c r="W157" s="72">
        <f t="shared" si="18"/>
        <v>2.6666666666666665</v>
      </c>
      <c r="X157" s="62">
        <v>3</v>
      </c>
      <c r="Y157" s="62">
        <v>2</v>
      </c>
      <c r="Z157" s="62"/>
      <c r="AA157" s="62"/>
      <c r="AB157" s="62"/>
      <c r="AC157" s="72">
        <f t="shared" si="19"/>
        <v>2.5</v>
      </c>
      <c r="AD157" s="62">
        <v>3</v>
      </c>
      <c r="AE157" s="62"/>
      <c r="AF157" s="62">
        <v>2</v>
      </c>
      <c r="AG157" s="62"/>
      <c r="AH157" s="62"/>
      <c r="AI157" s="72">
        <f t="shared" si="20"/>
        <v>2.5</v>
      </c>
      <c r="AJ157" s="62"/>
      <c r="AK157" s="62"/>
      <c r="AL157" s="62"/>
      <c r="AM157" s="62"/>
      <c r="AN157" s="62"/>
      <c r="AO157" s="72" t="str">
        <f t="shared" si="21"/>
        <v>A</v>
      </c>
      <c r="AP157" s="62">
        <v>2</v>
      </c>
      <c r="AQ157" s="62">
        <v>3</v>
      </c>
      <c r="AR157" s="62">
        <v>3</v>
      </c>
      <c r="AS157" s="62"/>
      <c r="AT157" s="62"/>
      <c r="AU157" s="72">
        <f t="shared" si="22"/>
        <v>2.6666666666666665</v>
      </c>
      <c r="AV157" s="62"/>
      <c r="AW157" s="62"/>
      <c r="AX157" s="62">
        <v>2</v>
      </c>
      <c r="AY157" s="62">
        <v>3</v>
      </c>
      <c r="AZ157" s="62">
        <v>3</v>
      </c>
      <c r="BA157" s="72">
        <f t="shared" si="23"/>
        <v>2.6666666666666665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1</v>
      </c>
      <c r="M158" s="62">
        <v>1</v>
      </c>
      <c r="N158" s="62">
        <v>1</v>
      </c>
      <c r="O158" s="62">
        <v>1</v>
      </c>
      <c r="P158" s="62">
        <v>1</v>
      </c>
      <c r="Q158" s="72">
        <f t="shared" si="17"/>
        <v>1</v>
      </c>
      <c r="R158" s="62">
        <v>1</v>
      </c>
      <c r="S158" s="62">
        <v>1</v>
      </c>
      <c r="T158" s="7"/>
      <c r="U158" s="62">
        <v>1</v>
      </c>
      <c r="V158" s="7"/>
      <c r="W158" s="72">
        <f t="shared" si="18"/>
        <v>1</v>
      </c>
      <c r="X158" s="62">
        <v>1</v>
      </c>
      <c r="Y158" s="62">
        <v>1</v>
      </c>
      <c r="Z158" s="7"/>
      <c r="AA158" s="7"/>
      <c r="AB158" s="7"/>
      <c r="AC158" s="72">
        <f t="shared" si="19"/>
        <v>1</v>
      </c>
      <c r="AD158" s="62">
        <v>1</v>
      </c>
      <c r="AE158" s="7"/>
      <c r="AF158" s="62">
        <v>1</v>
      </c>
      <c r="AG158" s="7"/>
      <c r="AH158" s="7"/>
      <c r="AI158" s="72">
        <f t="shared" si="20"/>
        <v>1</v>
      </c>
      <c r="AJ158" s="7"/>
      <c r="AK158" s="7"/>
      <c r="AL158" s="7"/>
      <c r="AM158" s="7"/>
      <c r="AN158" s="7"/>
      <c r="AO158" s="72" t="str">
        <f t="shared" si="21"/>
        <v>A</v>
      </c>
      <c r="AP158" s="62">
        <v>1</v>
      </c>
      <c r="AQ158" s="62">
        <v>1</v>
      </c>
      <c r="AR158" s="62">
        <v>1</v>
      </c>
      <c r="AS158" s="7"/>
      <c r="AT158" s="7"/>
      <c r="AU158" s="72">
        <f t="shared" si="22"/>
        <v>1</v>
      </c>
      <c r="AV158" s="7"/>
      <c r="AW158" s="7"/>
      <c r="AX158" s="62">
        <v>1</v>
      </c>
      <c r="AY158" s="62">
        <v>1</v>
      </c>
      <c r="AZ158" s="62">
        <v>1</v>
      </c>
      <c r="BA158" s="72">
        <f t="shared" si="23"/>
        <v>1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2</v>
      </c>
      <c r="M159" s="62">
        <v>2</v>
      </c>
      <c r="N159" s="62">
        <v>2</v>
      </c>
      <c r="O159" s="62">
        <v>2</v>
      </c>
      <c r="P159" s="62">
        <v>2</v>
      </c>
      <c r="Q159" s="72">
        <f t="shared" si="17"/>
        <v>2</v>
      </c>
      <c r="R159" s="62">
        <v>2</v>
      </c>
      <c r="S159" s="62">
        <v>2</v>
      </c>
      <c r="T159" s="62"/>
      <c r="U159" s="62">
        <v>2</v>
      </c>
      <c r="V159" s="62"/>
      <c r="W159" s="72">
        <f t="shared" si="18"/>
        <v>2</v>
      </c>
      <c r="X159" s="62">
        <v>2</v>
      </c>
      <c r="Y159" s="62">
        <v>2</v>
      </c>
      <c r="Z159" s="62"/>
      <c r="AA159" s="62"/>
      <c r="AB159" s="62"/>
      <c r="AC159" s="72">
        <f t="shared" si="19"/>
        <v>2</v>
      </c>
      <c r="AD159" s="62">
        <v>2</v>
      </c>
      <c r="AE159" s="62"/>
      <c r="AF159" s="62">
        <v>2</v>
      </c>
      <c r="AG159" s="62"/>
      <c r="AH159" s="62"/>
      <c r="AI159" s="72">
        <f t="shared" si="20"/>
        <v>2</v>
      </c>
      <c r="AJ159" s="62"/>
      <c r="AK159" s="62"/>
      <c r="AL159" s="62"/>
      <c r="AM159" s="62"/>
      <c r="AN159" s="62"/>
      <c r="AO159" s="72" t="str">
        <f t="shared" si="21"/>
        <v>A</v>
      </c>
      <c r="AP159" s="62">
        <v>2</v>
      </c>
      <c r="AQ159" s="62">
        <v>2</v>
      </c>
      <c r="AR159" s="62">
        <v>2</v>
      </c>
      <c r="AS159" s="62"/>
      <c r="AT159" s="62"/>
      <c r="AU159" s="72">
        <f t="shared" si="22"/>
        <v>2</v>
      </c>
      <c r="AV159" s="62"/>
      <c r="AW159" s="62"/>
      <c r="AX159" s="62">
        <v>2</v>
      </c>
      <c r="AY159" s="62">
        <v>2</v>
      </c>
      <c r="AZ159" s="62">
        <v>2</v>
      </c>
      <c r="BA159" s="72">
        <f t="shared" si="23"/>
        <v>2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2</v>
      </c>
      <c r="M160" s="62">
        <v>3</v>
      </c>
      <c r="N160" s="62">
        <v>3</v>
      </c>
      <c r="O160" s="62">
        <v>3</v>
      </c>
      <c r="P160" s="62">
        <v>3</v>
      </c>
      <c r="Q160" s="72">
        <f t="shared" si="17"/>
        <v>2.8</v>
      </c>
      <c r="R160" s="62">
        <v>2</v>
      </c>
      <c r="S160" s="62">
        <v>2</v>
      </c>
      <c r="T160" s="7"/>
      <c r="U160" s="62">
        <v>3</v>
      </c>
      <c r="V160" s="7"/>
      <c r="W160" s="72">
        <f t="shared" si="18"/>
        <v>2.3333333333333335</v>
      </c>
      <c r="X160" s="62">
        <v>4</v>
      </c>
      <c r="Y160" s="62">
        <v>4</v>
      </c>
      <c r="Z160" s="7"/>
      <c r="AA160" s="7"/>
      <c r="AB160" s="7"/>
      <c r="AC160" s="72">
        <f t="shared" si="19"/>
        <v>4</v>
      </c>
      <c r="AD160" s="62">
        <v>2</v>
      </c>
      <c r="AE160" s="7"/>
      <c r="AF160" s="62">
        <v>0</v>
      </c>
      <c r="AG160" s="7"/>
      <c r="AH160" s="7"/>
      <c r="AI160" s="72">
        <f t="shared" si="20"/>
        <v>1</v>
      </c>
      <c r="AJ160" s="7"/>
      <c r="AK160" s="7"/>
      <c r="AL160" s="7"/>
      <c r="AM160" s="7"/>
      <c r="AN160" s="7"/>
      <c r="AO160" s="72" t="str">
        <f t="shared" si="21"/>
        <v>A</v>
      </c>
      <c r="AP160" s="62">
        <v>3</v>
      </c>
      <c r="AQ160" s="62">
        <v>3</v>
      </c>
      <c r="AR160" s="62">
        <v>3</v>
      </c>
      <c r="AS160" s="7"/>
      <c r="AT160" s="7"/>
      <c r="AU160" s="72">
        <f t="shared" si="22"/>
        <v>3</v>
      </c>
      <c r="AV160" s="7"/>
      <c r="AW160" s="7"/>
      <c r="AX160" s="62">
        <v>4</v>
      </c>
      <c r="AY160" s="62">
        <v>2</v>
      </c>
      <c r="AZ160" s="62">
        <v>3</v>
      </c>
      <c r="BA160" s="72">
        <f t="shared" si="23"/>
        <v>3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2</v>
      </c>
      <c r="M161" s="62">
        <v>2</v>
      </c>
      <c r="N161" s="62">
        <v>2</v>
      </c>
      <c r="O161" s="62">
        <v>2</v>
      </c>
      <c r="P161" s="62">
        <v>2</v>
      </c>
      <c r="Q161" s="72">
        <f t="shared" si="17"/>
        <v>2</v>
      </c>
      <c r="R161" s="62">
        <v>2</v>
      </c>
      <c r="S161" s="62">
        <v>2</v>
      </c>
      <c r="T161" s="62"/>
      <c r="U161" s="62">
        <v>2</v>
      </c>
      <c r="V161" s="62"/>
      <c r="W161" s="72">
        <f t="shared" si="18"/>
        <v>2</v>
      </c>
      <c r="X161" s="62">
        <v>2</v>
      </c>
      <c r="Y161" s="62">
        <v>2</v>
      </c>
      <c r="Z161" s="62"/>
      <c r="AA161" s="62"/>
      <c r="AB161" s="62"/>
      <c r="AC161" s="72">
        <f t="shared" si="19"/>
        <v>2</v>
      </c>
      <c r="AD161" s="62">
        <v>2</v>
      </c>
      <c r="AE161" s="62"/>
      <c r="AF161" s="62">
        <v>2</v>
      </c>
      <c r="AG161" s="62"/>
      <c r="AH161" s="62"/>
      <c r="AI161" s="72">
        <f t="shared" si="20"/>
        <v>2</v>
      </c>
      <c r="AJ161" s="62"/>
      <c r="AK161" s="62"/>
      <c r="AL161" s="62"/>
      <c r="AM161" s="62"/>
      <c r="AN161" s="62"/>
      <c r="AO161" s="72" t="str">
        <f t="shared" si="21"/>
        <v>A</v>
      </c>
      <c r="AP161" s="62">
        <v>2</v>
      </c>
      <c r="AQ161" s="62">
        <v>2</v>
      </c>
      <c r="AR161" s="62">
        <v>2</v>
      </c>
      <c r="AS161" s="62"/>
      <c r="AT161" s="62"/>
      <c r="AU161" s="72">
        <f t="shared" si="22"/>
        <v>2</v>
      </c>
      <c r="AV161" s="62"/>
      <c r="AW161" s="62"/>
      <c r="AX161" s="62">
        <v>2</v>
      </c>
      <c r="AY161" s="62">
        <v>2</v>
      </c>
      <c r="AZ161" s="62">
        <v>2</v>
      </c>
      <c r="BA161" s="72">
        <f t="shared" si="23"/>
        <v>2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3</v>
      </c>
      <c r="M162" s="62">
        <v>2</v>
      </c>
      <c r="N162" s="62">
        <v>2</v>
      </c>
      <c r="O162" s="62">
        <v>1</v>
      </c>
      <c r="P162" s="62">
        <v>1</v>
      </c>
      <c r="Q162" s="72">
        <f t="shared" si="17"/>
        <v>1.8</v>
      </c>
      <c r="R162" s="62">
        <v>1</v>
      </c>
      <c r="S162" s="62">
        <v>1</v>
      </c>
      <c r="T162" s="7"/>
      <c r="U162" s="62">
        <v>1</v>
      </c>
      <c r="V162" s="7"/>
      <c r="W162" s="72">
        <f t="shared" si="18"/>
        <v>1</v>
      </c>
      <c r="X162" s="62">
        <v>1</v>
      </c>
      <c r="Y162" s="62">
        <v>1</v>
      </c>
      <c r="Z162" s="7"/>
      <c r="AA162" s="7"/>
      <c r="AB162" s="7"/>
      <c r="AC162" s="72">
        <f t="shared" si="19"/>
        <v>1</v>
      </c>
      <c r="AD162" s="62">
        <v>1</v>
      </c>
      <c r="AE162" s="7"/>
      <c r="AF162" s="62">
        <v>1</v>
      </c>
      <c r="AG162" s="7"/>
      <c r="AH162" s="7"/>
      <c r="AI162" s="72">
        <f t="shared" si="20"/>
        <v>1</v>
      </c>
      <c r="AJ162" s="7"/>
      <c r="AK162" s="7"/>
      <c r="AL162" s="7"/>
      <c r="AM162" s="7"/>
      <c r="AN162" s="7"/>
      <c r="AO162" s="72" t="str">
        <f t="shared" si="21"/>
        <v>A</v>
      </c>
      <c r="AP162" s="62">
        <v>1</v>
      </c>
      <c r="AQ162" s="62">
        <v>1</v>
      </c>
      <c r="AR162" s="62">
        <v>1</v>
      </c>
      <c r="AS162" s="7"/>
      <c r="AT162" s="7"/>
      <c r="AU162" s="72">
        <f t="shared" si="22"/>
        <v>1</v>
      </c>
      <c r="AV162" s="7"/>
      <c r="AW162" s="7"/>
      <c r="AX162" s="62">
        <v>1</v>
      </c>
      <c r="AY162" s="62">
        <v>1</v>
      </c>
      <c r="AZ162" s="62">
        <v>1</v>
      </c>
      <c r="BA162" s="72">
        <f t="shared" si="23"/>
        <v>1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2</v>
      </c>
      <c r="M163" s="62">
        <v>2</v>
      </c>
      <c r="N163" s="62">
        <v>3</v>
      </c>
      <c r="O163" s="62">
        <v>3</v>
      </c>
      <c r="P163" s="62">
        <v>2</v>
      </c>
      <c r="Q163" s="72">
        <f t="shared" si="17"/>
        <v>2.4</v>
      </c>
      <c r="R163" s="62">
        <v>2</v>
      </c>
      <c r="S163" s="62">
        <v>3</v>
      </c>
      <c r="T163" s="62"/>
      <c r="U163" s="62">
        <v>2</v>
      </c>
      <c r="V163" s="62"/>
      <c r="W163" s="72">
        <f t="shared" si="18"/>
        <v>2.3333333333333335</v>
      </c>
      <c r="X163" s="62">
        <v>2</v>
      </c>
      <c r="Y163" s="62">
        <v>2</v>
      </c>
      <c r="Z163" s="62"/>
      <c r="AA163" s="62"/>
      <c r="AB163" s="62"/>
      <c r="AC163" s="72">
        <f t="shared" si="19"/>
        <v>2</v>
      </c>
      <c r="AD163" s="62">
        <v>3</v>
      </c>
      <c r="AE163" s="62"/>
      <c r="AF163" s="62">
        <v>0</v>
      </c>
      <c r="AG163" s="62"/>
      <c r="AH163" s="62"/>
      <c r="AI163" s="72">
        <f t="shared" si="20"/>
        <v>1.5</v>
      </c>
      <c r="AJ163" s="62"/>
      <c r="AK163" s="62"/>
      <c r="AL163" s="62"/>
      <c r="AM163" s="62"/>
      <c r="AN163" s="62"/>
      <c r="AO163" s="72" t="str">
        <f t="shared" si="21"/>
        <v>A</v>
      </c>
      <c r="AP163" s="62">
        <v>4</v>
      </c>
      <c r="AQ163" s="62">
        <v>3</v>
      </c>
      <c r="AR163" s="62">
        <v>3</v>
      </c>
      <c r="AS163" s="62"/>
      <c r="AT163" s="62"/>
      <c r="AU163" s="72">
        <f t="shared" si="22"/>
        <v>3.3333333333333335</v>
      </c>
      <c r="AV163" s="62"/>
      <c r="AW163" s="62"/>
      <c r="AX163" s="62">
        <v>3</v>
      </c>
      <c r="AY163" s="62">
        <v>2</v>
      </c>
      <c r="AZ163" s="62">
        <v>3</v>
      </c>
      <c r="BA163" s="72">
        <f t="shared" si="23"/>
        <v>2.6666666666666665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3</v>
      </c>
      <c r="M164" s="62">
        <v>2</v>
      </c>
      <c r="N164" s="62">
        <v>2</v>
      </c>
      <c r="O164" s="62">
        <v>3</v>
      </c>
      <c r="P164" s="62">
        <v>2</v>
      </c>
      <c r="Q164" s="72">
        <f t="shared" si="17"/>
        <v>2.4</v>
      </c>
      <c r="R164" s="62">
        <v>2</v>
      </c>
      <c r="S164" s="62">
        <v>2</v>
      </c>
      <c r="T164" s="7"/>
      <c r="U164" s="62">
        <v>2</v>
      </c>
      <c r="V164" s="7"/>
      <c r="W164" s="72">
        <f t="shared" si="18"/>
        <v>2</v>
      </c>
      <c r="X164" s="62">
        <v>2</v>
      </c>
      <c r="Y164" s="62">
        <v>2</v>
      </c>
      <c r="Z164" s="7"/>
      <c r="AA164" s="7"/>
      <c r="AB164" s="7"/>
      <c r="AC164" s="72">
        <f t="shared" si="19"/>
        <v>2</v>
      </c>
      <c r="AD164" s="62">
        <v>2</v>
      </c>
      <c r="AE164" s="7"/>
      <c r="AF164" s="62">
        <v>0</v>
      </c>
      <c r="AG164" s="7"/>
      <c r="AH164" s="7"/>
      <c r="AI164" s="72">
        <f t="shared" si="20"/>
        <v>1</v>
      </c>
      <c r="AJ164" s="7"/>
      <c r="AK164" s="7"/>
      <c r="AL164" s="7"/>
      <c r="AM164" s="7"/>
      <c r="AN164" s="7"/>
      <c r="AO164" s="72" t="str">
        <f t="shared" si="21"/>
        <v>A</v>
      </c>
      <c r="AP164" s="62">
        <v>2</v>
      </c>
      <c r="AQ164" s="62">
        <v>2</v>
      </c>
      <c r="AR164" s="62">
        <v>2</v>
      </c>
      <c r="AS164" s="7"/>
      <c r="AT164" s="7"/>
      <c r="AU164" s="72">
        <f t="shared" si="22"/>
        <v>2</v>
      </c>
      <c r="AV164" s="7"/>
      <c r="AW164" s="7"/>
      <c r="AX164" s="62">
        <v>2</v>
      </c>
      <c r="AY164" s="62">
        <v>2</v>
      </c>
      <c r="AZ164" s="62">
        <v>2</v>
      </c>
      <c r="BA164" s="72">
        <f t="shared" si="23"/>
        <v>2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2</v>
      </c>
      <c r="M165" s="62">
        <v>2</v>
      </c>
      <c r="N165" s="62">
        <v>2</v>
      </c>
      <c r="O165" s="62">
        <v>2</v>
      </c>
      <c r="P165" s="62">
        <v>2</v>
      </c>
      <c r="Q165" s="72">
        <f t="shared" si="17"/>
        <v>2</v>
      </c>
      <c r="R165" s="62">
        <v>2</v>
      </c>
      <c r="S165" s="62">
        <v>2</v>
      </c>
      <c r="T165" s="62"/>
      <c r="U165" s="62">
        <v>2</v>
      </c>
      <c r="V165" s="62"/>
      <c r="W165" s="72">
        <f t="shared" si="18"/>
        <v>2</v>
      </c>
      <c r="X165" s="62">
        <v>2</v>
      </c>
      <c r="Y165" s="62">
        <v>2</v>
      </c>
      <c r="Z165" s="62"/>
      <c r="AA165" s="62"/>
      <c r="AB165" s="62"/>
      <c r="AC165" s="72">
        <f t="shared" si="19"/>
        <v>2</v>
      </c>
      <c r="AD165" s="62">
        <v>2</v>
      </c>
      <c r="AE165" s="62"/>
      <c r="AF165" s="62">
        <v>2</v>
      </c>
      <c r="AG165" s="62"/>
      <c r="AH165" s="62"/>
      <c r="AI165" s="72">
        <f t="shared" si="20"/>
        <v>2</v>
      </c>
      <c r="AJ165" s="62"/>
      <c r="AK165" s="62"/>
      <c r="AL165" s="62"/>
      <c r="AM165" s="62"/>
      <c r="AN165" s="62"/>
      <c r="AO165" s="72" t="str">
        <f t="shared" si="21"/>
        <v>A</v>
      </c>
      <c r="AP165" s="62">
        <v>2</v>
      </c>
      <c r="AQ165" s="62">
        <v>2</v>
      </c>
      <c r="AR165" s="62">
        <v>2</v>
      </c>
      <c r="AS165" s="62"/>
      <c r="AT165" s="62"/>
      <c r="AU165" s="72">
        <f t="shared" si="22"/>
        <v>2</v>
      </c>
      <c r="AV165" s="62"/>
      <c r="AW165" s="62"/>
      <c r="AX165" s="62">
        <v>2</v>
      </c>
      <c r="AY165" s="62">
        <v>2</v>
      </c>
      <c r="AZ165" s="62">
        <v>2</v>
      </c>
      <c r="BA165" s="72">
        <f t="shared" si="23"/>
        <v>2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3</v>
      </c>
      <c r="M166" s="62">
        <v>3</v>
      </c>
      <c r="N166" s="62">
        <v>3</v>
      </c>
      <c r="O166" s="62">
        <v>3</v>
      </c>
      <c r="P166" s="62">
        <v>3</v>
      </c>
      <c r="Q166" s="72">
        <f t="shared" si="17"/>
        <v>3</v>
      </c>
      <c r="R166" s="62">
        <v>4</v>
      </c>
      <c r="S166" s="62">
        <v>3</v>
      </c>
      <c r="T166" s="7"/>
      <c r="U166" s="62">
        <v>4</v>
      </c>
      <c r="V166" s="7"/>
      <c r="W166" s="72">
        <f t="shared" si="18"/>
        <v>3.6666666666666665</v>
      </c>
      <c r="X166" s="62">
        <v>4</v>
      </c>
      <c r="Y166" s="62">
        <v>3</v>
      </c>
      <c r="Z166" s="7"/>
      <c r="AA166" s="7"/>
      <c r="AB166" s="7"/>
      <c r="AC166" s="72">
        <f t="shared" si="19"/>
        <v>3.5</v>
      </c>
      <c r="AD166" s="62">
        <v>4</v>
      </c>
      <c r="AE166" s="7"/>
      <c r="AF166" s="62">
        <v>3</v>
      </c>
      <c r="AG166" s="7"/>
      <c r="AH166" s="7"/>
      <c r="AI166" s="72">
        <f t="shared" si="20"/>
        <v>3.5</v>
      </c>
      <c r="AJ166" s="7"/>
      <c r="AK166" s="7"/>
      <c r="AL166" s="7"/>
      <c r="AM166" s="7"/>
      <c r="AN166" s="7"/>
      <c r="AO166" s="72" t="str">
        <f t="shared" si="21"/>
        <v>A</v>
      </c>
      <c r="AP166" s="62">
        <v>3</v>
      </c>
      <c r="AQ166" s="62">
        <v>3</v>
      </c>
      <c r="AR166" s="62">
        <v>3</v>
      </c>
      <c r="AS166" s="7"/>
      <c r="AT166" s="7"/>
      <c r="AU166" s="72">
        <f t="shared" si="22"/>
        <v>3</v>
      </c>
      <c r="AV166" s="7"/>
      <c r="AW166" s="7"/>
      <c r="AX166" s="62">
        <v>3</v>
      </c>
      <c r="AY166" s="62">
        <v>3</v>
      </c>
      <c r="AZ166" s="62">
        <v>3</v>
      </c>
      <c r="BA166" s="72">
        <f t="shared" si="23"/>
        <v>3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2</v>
      </c>
      <c r="M167" s="62">
        <v>1</v>
      </c>
      <c r="N167" s="62">
        <v>1</v>
      </c>
      <c r="O167" s="62">
        <v>1</v>
      </c>
      <c r="P167" s="62">
        <v>1</v>
      </c>
      <c r="Q167" s="72">
        <f t="shared" si="17"/>
        <v>1.2</v>
      </c>
      <c r="R167" s="62">
        <v>1</v>
      </c>
      <c r="S167" s="62">
        <v>1</v>
      </c>
      <c r="T167" s="62"/>
      <c r="U167" s="62">
        <v>1</v>
      </c>
      <c r="V167" s="62"/>
      <c r="W167" s="72">
        <f t="shared" si="18"/>
        <v>1</v>
      </c>
      <c r="X167" s="62">
        <v>1</v>
      </c>
      <c r="Y167" s="62">
        <v>1</v>
      </c>
      <c r="Z167" s="62"/>
      <c r="AA167" s="62"/>
      <c r="AB167" s="62"/>
      <c r="AC167" s="72">
        <f t="shared" si="19"/>
        <v>1</v>
      </c>
      <c r="AD167" s="62">
        <v>1</v>
      </c>
      <c r="AE167" s="62"/>
      <c r="AF167" s="62">
        <v>1</v>
      </c>
      <c r="AG167" s="62"/>
      <c r="AH167" s="62"/>
      <c r="AI167" s="72">
        <f t="shared" si="20"/>
        <v>1</v>
      </c>
      <c r="AJ167" s="62"/>
      <c r="AK167" s="62"/>
      <c r="AL167" s="62"/>
      <c r="AM167" s="62"/>
      <c r="AN167" s="62"/>
      <c r="AO167" s="72" t="str">
        <f t="shared" si="21"/>
        <v>A</v>
      </c>
      <c r="AP167" s="62">
        <v>1</v>
      </c>
      <c r="AQ167" s="62">
        <v>1</v>
      </c>
      <c r="AR167" s="62">
        <v>1</v>
      </c>
      <c r="AS167" s="62"/>
      <c r="AT167" s="62"/>
      <c r="AU167" s="72">
        <f t="shared" si="22"/>
        <v>1</v>
      </c>
      <c r="AV167" s="62"/>
      <c r="AW167" s="62"/>
      <c r="AX167" s="62">
        <v>1</v>
      </c>
      <c r="AY167" s="62">
        <v>1</v>
      </c>
      <c r="AZ167" s="62">
        <v>1</v>
      </c>
      <c r="BA167" s="72">
        <f t="shared" si="23"/>
        <v>1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3</v>
      </c>
      <c r="M168" s="62">
        <v>3</v>
      </c>
      <c r="N168" s="62">
        <v>2</v>
      </c>
      <c r="O168" s="62">
        <v>3</v>
      </c>
      <c r="P168" s="62">
        <v>3</v>
      </c>
      <c r="Q168" s="72">
        <f t="shared" si="17"/>
        <v>2.8</v>
      </c>
      <c r="R168" s="62">
        <v>2</v>
      </c>
      <c r="S168" s="62">
        <v>2</v>
      </c>
      <c r="T168" s="7"/>
      <c r="U168" s="62">
        <v>2</v>
      </c>
      <c r="V168" s="7"/>
      <c r="W168" s="72">
        <f t="shared" si="18"/>
        <v>2</v>
      </c>
      <c r="X168" s="62">
        <v>1</v>
      </c>
      <c r="Y168" s="62">
        <v>1</v>
      </c>
      <c r="Z168" s="7"/>
      <c r="AA168" s="7"/>
      <c r="AB168" s="7"/>
      <c r="AC168" s="72">
        <f t="shared" si="19"/>
        <v>1</v>
      </c>
      <c r="AD168" s="62">
        <v>1</v>
      </c>
      <c r="AE168" s="7"/>
      <c r="AF168" s="62">
        <v>1</v>
      </c>
      <c r="AG168" s="7"/>
      <c r="AH168" s="7"/>
      <c r="AI168" s="72">
        <f t="shared" si="20"/>
        <v>1</v>
      </c>
      <c r="AJ168" s="7"/>
      <c r="AK168" s="7"/>
      <c r="AL168" s="7"/>
      <c r="AM168" s="7"/>
      <c r="AN168" s="7"/>
      <c r="AO168" s="72" t="str">
        <f t="shared" si="21"/>
        <v>A</v>
      </c>
      <c r="AP168" s="62">
        <v>1</v>
      </c>
      <c r="AQ168" s="62">
        <v>1</v>
      </c>
      <c r="AR168" s="62">
        <v>1</v>
      </c>
      <c r="AS168" s="7"/>
      <c r="AT168" s="7"/>
      <c r="AU168" s="72">
        <f t="shared" si="22"/>
        <v>1</v>
      </c>
      <c r="AV168" s="7"/>
      <c r="AW168" s="7"/>
      <c r="AX168" s="62">
        <v>1</v>
      </c>
      <c r="AY168" s="62">
        <v>1</v>
      </c>
      <c r="AZ168" s="62">
        <v>1</v>
      </c>
      <c r="BA168" s="72">
        <f t="shared" si="23"/>
        <v>1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2</v>
      </c>
      <c r="M169" s="62">
        <v>2</v>
      </c>
      <c r="N169" s="62">
        <v>2</v>
      </c>
      <c r="O169" s="62">
        <v>2</v>
      </c>
      <c r="P169" s="62">
        <v>2</v>
      </c>
      <c r="Q169" s="72">
        <f t="shared" si="17"/>
        <v>2</v>
      </c>
      <c r="R169" s="62">
        <v>3</v>
      </c>
      <c r="S169" s="62">
        <v>2</v>
      </c>
      <c r="T169" s="62"/>
      <c r="U169" s="62">
        <v>3</v>
      </c>
      <c r="V169" s="62"/>
      <c r="W169" s="72">
        <f t="shared" si="18"/>
        <v>2.6666666666666665</v>
      </c>
      <c r="X169" s="62">
        <v>3</v>
      </c>
      <c r="Y169" s="62">
        <v>2</v>
      </c>
      <c r="Z169" s="62"/>
      <c r="AA169" s="62"/>
      <c r="AB169" s="62"/>
      <c r="AC169" s="72">
        <f t="shared" si="19"/>
        <v>2.5</v>
      </c>
      <c r="AD169" s="62">
        <v>3</v>
      </c>
      <c r="AE169" s="62"/>
      <c r="AF169" s="62">
        <v>2</v>
      </c>
      <c r="AG169" s="62"/>
      <c r="AH169" s="62"/>
      <c r="AI169" s="72">
        <f t="shared" si="20"/>
        <v>2.5</v>
      </c>
      <c r="AJ169" s="62"/>
      <c r="AK169" s="62"/>
      <c r="AL169" s="62"/>
      <c r="AM169" s="62"/>
      <c r="AN169" s="62"/>
      <c r="AO169" s="72" t="str">
        <f t="shared" si="21"/>
        <v>A</v>
      </c>
      <c r="AP169" s="62">
        <v>2</v>
      </c>
      <c r="AQ169" s="62">
        <v>2</v>
      </c>
      <c r="AR169" s="62">
        <v>2</v>
      </c>
      <c r="AS169" s="62"/>
      <c r="AT169" s="62"/>
      <c r="AU169" s="72">
        <f t="shared" si="22"/>
        <v>2</v>
      </c>
      <c r="AV169" s="62"/>
      <c r="AW169" s="62"/>
      <c r="AX169" s="62">
        <v>2</v>
      </c>
      <c r="AY169" s="62">
        <v>2</v>
      </c>
      <c r="AZ169" s="62">
        <v>2</v>
      </c>
      <c r="BA169" s="72">
        <f t="shared" si="23"/>
        <v>2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3</v>
      </c>
      <c r="M170" s="62">
        <v>3</v>
      </c>
      <c r="N170" s="62">
        <v>3</v>
      </c>
      <c r="O170" s="62">
        <v>3</v>
      </c>
      <c r="P170" s="62">
        <v>3</v>
      </c>
      <c r="Q170" s="72">
        <f t="shared" si="17"/>
        <v>3</v>
      </c>
      <c r="R170" s="62">
        <v>3</v>
      </c>
      <c r="S170" s="62">
        <v>3</v>
      </c>
      <c r="T170" s="7"/>
      <c r="U170" s="62">
        <v>3</v>
      </c>
      <c r="V170" s="7"/>
      <c r="W170" s="72">
        <f t="shared" si="18"/>
        <v>3</v>
      </c>
      <c r="X170" s="62">
        <v>3</v>
      </c>
      <c r="Y170" s="62">
        <v>3</v>
      </c>
      <c r="Z170" s="7"/>
      <c r="AA170" s="7"/>
      <c r="AB170" s="7"/>
      <c r="AC170" s="72">
        <f t="shared" si="19"/>
        <v>3</v>
      </c>
      <c r="AD170" s="62">
        <v>3</v>
      </c>
      <c r="AE170" s="7"/>
      <c r="AF170" s="62">
        <v>3</v>
      </c>
      <c r="AG170" s="7"/>
      <c r="AH170" s="7"/>
      <c r="AI170" s="72">
        <f t="shared" si="20"/>
        <v>3</v>
      </c>
      <c r="AJ170" s="7"/>
      <c r="AK170" s="7"/>
      <c r="AL170" s="7"/>
      <c r="AM170" s="7"/>
      <c r="AN170" s="7"/>
      <c r="AO170" s="72" t="str">
        <f t="shared" si="21"/>
        <v>A</v>
      </c>
      <c r="AP170" s="62">
        <v>3</v>
      </c>
      <c r="AQ170" s="62">
        <v>3</v>
      </c>
      <c r="AR170" s="62">
        <v>3</v>
      </c>
      <c r="AS170" s="7"/>
      <c r="AT170" s="7"/>
      <c r="AU170" s="72">
        <f t="shared" si="22"/>
        <v>3</v>
      </c>
      <c r="AV170" s="7"/>
      <c r="AW170" s="7"/>
      <c r="AX170" s="62">
        <v>3</v>
      </c>
      <c r="AY170" s="62">
        <v>3</v>
      </c>
      <c r="AZ170" s="62">
        <v>3</v>
      </c>
      <c r="BA170" s="72">
        <f t="shared" si="23"/>
        <v>3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2</v>
      </c>
      <c r="M171" s="62">
        <v>2</v>
      </c>
      <c r="N171" s="62">
        <v>2</v>
      </c>
      <c r="O171" s="62">
        <v>3</v>
      </c>
      <c r="P171" s="62">
        <v>2</v>
      </c>
      <c r="Q171" s="72">
        <f t="shared" si="17"/>
        <v>2.2000000000000002</v>
      </c>
      <c r="R171" s="62">
        <v>2</v>
      </c>
      <c r="S171" s="62">
        <v>2</v>
      </c>
      <c r="T171" s="62"/>
      <c r="U171" s="62">
        <v>2</v>
      </c>
      <c r="V171" s="62"/>
      <c r="W171" s="72">
        <f t="shared" si="18"/>
        <v>2</v>
      </c>
      <c r="X171" s="62">
        <v>2</v>
      </c>
      <c r="Y171" s="62">
        <v>2</v>
      </c>
      <c r="Z171" s="62"/>
      <c r="AA171" s="62"/>
      <c r="AB171" s="62"/>
      <c r="AC171" s="72">
        <f t="shared" si="19"/>
        <v>2</v>
      </c>
      <c r="AD171" s="62">
        <v>2</v>
      </c>
      <c r="AE171" s="62"/>
      <c r="AF171" s="62">
        <v>0</v>
      </c>
      <c r="AG171" s="62"/>
      <c r="AH171" s="62"/>
      <c r="AI171" s="72">
        <f t="shared" si="20"/>
        <v>1</v>
      </c>
      <c r="AJ171" s="62"/>
      <c r="AK171" s="62"/>
      <c r="AL171" s="62"/>
      <c r="AM171" s="62"/>
      <c r="AN171" s="62"/>
      <c r="AO171" s="72" t="str">
        <f t="shared" si="21"/>
        <v>A</v>
      </c>
      <c r="AP171" s="62">
        <v>2</v>
      </c>
      <c r="AQ171" s="62">
        <v>3</v>
      </c>
      <c r="AR171" s="62">
        <v>3</v>
      </c>
      <c r="AS171" s="62"/>
      <c r="AT171" s="62"/>
      <c r="AU171" s="72">
        <f t="shared" si="22"/>
        <v>2.6666666666666665</v>
      </c>
      <c r="AV171" s="62"/>
      <c r="AW171" s="62"/>
      <c r="AX171" s="62">
        <v>3</v>
      </c>
      <c r="AY171" s="62">
        <v>2</v>
      </c>
      <c r="AZ171" s="62">
        <v>2</v>
      </c>
      <c r="BA171" s="72">
        <f t="shared" si="23"/>
        <v>2.3333333333333335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2</v>
      </c>
      <c r="M172" s="62">
        <v>3</v>
      </c>
      <c r="N172" s="62">
        <v>3</v>
      </c>
      <c r="O172" s="62">
        <v>3</v>
      </c>
      <c r="P172" s="62">
        <v>2</v>
      </c>
      <c r="Q172" s="72">
        <f t="shared" si="17"/>
        <v>2.6</v>
      </c>
      <c r="R172" s="62">
        <v>2</v>
      </c>
      <c r="S172" s="62">
        <v>2</v>
      </c>
      <c r="T172" s="7"/>
      <c r="U172" s="62">
        <v>2</v>
      </c>
      <c r="V172" s="7"/>
      <c r="W172" s="72">
        <f t="shared" si="18"/>
        <v>2</v>
      </c>
      <c r="X172" s="62">
        <v>2</v>
      </c>
      <c r="Y172" s="62">
        <v>2</v>
      </c>
      <c r="Z172" s="7"/>
      <c r="AA172" s="7"/>
      <c r="AB172" s="7"/>
      <c r="AC172" s="72">
        <f t="shared" si="19"/>
        <v>2</v>
      </c>
      <c r="AD172" s="62">
        <v>2</v>
      </c>
      <c r="AE172" s="7"/>
      <c r="AF172" s="62">
        <v>0</v>
      </c>
      <c r="AG172" s="7"/>
      <c r="AH172" s="7"/>
      <c r="AI172" s="72">
        <f t="shared" si="20"/>
        <v>1</v>
      </c>
      <c r="AJ172" s="7"/>
      <c r="AK172" s="7"/>
      <c r="AL172" s="7"/>
      <c r="AM172" s="7"/>
      <c r="AN172" s="7"/>
      <c r="AO172" s="72" t="str">
        <f t="shared" si="21"/>
        <v>A</v>
      </c>
      <c r="AP172" s="62">
        <v>2</v>
      </c>
      <c r="AQ172" s="62">
        <v>2</v>
      </c>
      <c r="AR172" s="62">
        <v>2</v>
      </c>
      <c r="AS172" s="7"/>
      <c r="AT172" s="7"/>
      <c r="AU172" s="72">
        <f t="shared" si="22"/>
        <v>2</v>
      </c>
      <c r="AV172" s="7"/>
      <c r="AW172" s="7"/>
      <c r="AX172" s="62">
        <v>2</v>
      </c>
      <c r="AY172" s="62">
        <v>2</v>
      </c>
      <c r="AZ172" s="62">
        <v>2</v>
      </c>
      <c r="BA172" s="72">
        <f t="shared" si="23"/>
        <v>2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2</v>
      </c>
      <c r="M173" s="62">
        <v>2</v>
      </c>
      <c r="N173" s="62">
        <v>2</v>
      </c>
      <c r="O173" s="62">
        <v>2</v>
      </c>
      <c r="P173" s="62">
        <v>3</v>
      </c>
      <c r="Q173" s="72">
        <f t="shared" si="17"/>
        <v>2.2000000000000002</v>
      </c>
      <c r="R173" s="62">
        <v>3</v>
      </c>
      <c r="S173" s="62">
        <v>2</v>
      </c>
      <c r="T173" s="62"/>
      <c r="U173" s="62">
        <v>3</v>
      </c>
      <c r="V173" s="62"/>
      <c r="W173" s="72">
        <f t="shared" si="18"/>
        <v>2.6666666666666665</v>
      </c>
      <c r="X173" s="62">
        <v>3</v>
      </c>
      <c r="Y173" s="62">
        <v>2</v>
      </c>
      <c r="Z173" s="62"/>
      <c r="AA173" s="62"/>
      <c r="AB173" s="62"/>
      <c r="AC173" s="72">
        <f t="shared" si="19"/>
        <v>2.5</v>
      </c>
      <c r="AD173" s="62">
        <v>3</v>
      </c>
      <c r="AE173" s="62"/>
      <c r="AF173" s="62">
        <v>2</v>
      </c>
      <c r="AG173" s="62"/>
      <c r="AH173" s="62"/>
      <c r="AI173" s="72">
        <f t="shared" si="20"/>
        <v>2.5</v>
      </c>
      <c r="AJ173" s="62"/>
      <c r="AK173" s="62"/>
      <c r="AL173" s="62"/>
      <c r="AM173" s="62"/>
      <c r="AN173" s="62"/>
      <c r="AO173" s="72" t="str">
        <f t="shared" si="21"/>
        <v>A</v>
      </c>
      <c r="AP173" s="62">
        <v>2</v>
      </c>
      <c r="AQ173" s="62">
        <v>2</v>
      </c>
      <c r="AR173" s="62">
        <v>3</v>
      </c>
      <c r="AS173" s="62"/>
      <c r="AT173" s="62"/>
      <c r="AU173" s="72">
        <f t="shared" si="22"/>
        <v>2.3333333333333335</v>
      </c>
      <c r="AV173" s="62"/>
      <c r="AW173" s="62"/>
      <c r="AX173" s="62">
        <v>2</v>
      </c>
      <c r="AY173" s="62">
        <v>2</v>
      </c>
      <c r="AZ173" s="62">
        <v>3</v>
      </c>
      <c r="BA173" s="72">
        <f t="shared" si="23"/>
        <v>2.3333333333333335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3</v>
      </c>
      <c r="M174" s="62">
        <v>3</v>
      </c>
      <c r="N174" s="62">
        <v>3</v>
      </c>
      <c r="O174" s="62">
        <v>3</v>
      </c>
      <c r="P174" s="62">
        <v>3</v>
      </c>
      <c r="Q174" s="72">
        <f t="shared" si="17"/>
        <v>3</v>
      </c>
      <c r="R174" s="62">
        <v>2</v>
      </c>
      <c r="S174" s="62">
        <v>2</v>
      </c>
      <c r="T174" s="7"/>
      <c r="U174" s="62">
        <v>2</v>
      </c>
      <c r="V174" s="7"/>
      <c r="W174" s="72">
        <f t="shared" si="18"/>
        <v>2</v>
      </c>
      <c r="X174" s="62">
        <v>3</v>
      </c>
      <c r="Y174" s="62">
        <v>2</v>
      </c>
      <c r="Z174" s="7"/>
      <c r="AA174" s="7"/>
      <c r="AB174" s="7"/>
      <c r="AC174" s="72">
        <f t="shared" si="19"/>
        <v>2.5</v>
      </c>
      <c r="AD174" s="62">
        <v>2</v>
      </c>
      <c r="AE174" s="7"/>
      <c r="AF174" s="62">
        <v>0</v>
      </c>
      <c r="AG174" s="7"/>
      <c r="AH174" s="7"/>
      <c r="AI174" s="72">
        <f t="shared" si="20"/>
        <v>1</v>
      </c>
      <c r="AJ174" s="7"/>
      <c r="AK174" s="7"/>
      <c r="AL174" s="7"/>
      <c r="AM174" s="7"/>
      <c r="AN174" s="7"/>
      <c r="AO174" s="72" t="str">
        <f t="shared" si="21"/>
        <v>A</v>
      </c>
      <c r="AP174" s="62">
        <v>2</v>
      </c>
      <c r="AQ174" s="62">
        <v>2</v>
      </c>
      <c r="AR174" s="62">
        <v>2</v>
      </c>
      <c r="AS174" s="7"/>
      <c r="AT174" s="7"/>
      <c r="AU174" s="72">
        <f t="shared" si="22"/>
        <v>2</v>
      </c>
      <c r="AV174" s="7"/>
      <c r="AW174" s="7"/>
      <c r="AX174" s="62">
        <v>2</v>
      </c>
      <c r="AY174" s="62">
        <v>2</v>
      </c>
      <c r="AZ174" s="62">
        <v>3</v>
      </c>
      <c r="BA174" s="72">
        <f t="shared" si="23"/>
        <v>2.3333333333333335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3</v>
      </c>
      <c r="M175" s="62">
        <v>2</v>
      </c>
      <c r="N175" s="62">
        <v>2</v>
      </c>
      <c r="O175" s="62">
        <v>3</v>
      </c>
      <c r="P175" s="62">
        <v>2</v>
      </c>
      <c r="Q175" s="72">
        <f t="shared" si="17"/>
        <v>2.4</v>
      </c>
      <c r="R175" s="62">
        <v>2</v>
      </c>
      <c r="S175" s="62">
        <v>2</v>
      </c>
      <c r="T175" s="62"/>
      <c r="U175" s="62">
        <v>2</v>
      </c>
      <c r="V175" s="62"/>
      <c r="W175" s="72">
        <f t="shared" si="18"/>
        <v>2</v>
      </c>
      <c r="X175" s="62">
        <v>2</v>
      </c>
      <c r="Y175" s="62">
        <v>2</v>
      </c>
      <c r="Z175" s="62"/>
      <c r="AA175" s="62"/>
      <c r="AB175" s="62"/>
      <c r="AC175" s="72">
        <f t="shared" si="19"/>
        <v>2</v>
      </c>
      <c r="AD175" s="62">
        <v>2</v>
      </c>
      <c r="AE175" s="62"/>
      <c r="AF175" s="62">
        <v>0</v>
      </c>
      <c r="AG175" s="62"/>
      <c r="AH175" s="62"/>
      <c r="AI175" s="72">
        <f t="shared" si="20"/>
        <v>1</v>
      </c>
      <c r="AJ175" s="62"/>
      <c r="AK175" s="62"/>
      <c r="AL175" s="62"/>
      <c r="AM175" s="62"/>
      <c r="AN175" s="62"/>
      <c r="AO175" s="72" t="str">
        <f t="shared" si="21"/>
        <v>A</v>
      </c>
      <c r="AP175" s="62">
        <v>2</v>
      </c>
      <c r="AQ175" s="62">
        <v>2</v>
      </c>
      <c r="AR175" s="62">
        <v>2</v>
      </c>
      <c r="AS175" s="62"/>
      <c r="AT175" s="62"/>
      <c r="AU175" s="72">
        <f t="shared" si="22"/>
        <v>2</v>
      </c>
      <c r="AV175" s="62"/>
      <c r="AW175" s="62"/>
      <c r="AX175" s="62">
        <v>2</v>
      </c>
      <c r="AY175" s="62">
        <v>2</v>
      </c>
      <c r="AZ175" s="62">
        <v>2</v>
      </c>
      <c r="BA175" s="72">
        <f t="shared" si="23"/>
        <v>2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2</v>
      </c>
      <c r="M176" s="62">
        <v>3</v>
      </c>
      <c r="N176" s="62">
        <v>2</v>
      </c>
      <c r="O176" s="62">
        <v>3</v>
      </c>
      <c r="P176" s="62">
        <v>2</v>
      </c>
      <c r="Q176" s="72">
        <f t="shared" si="17"/>
        <v>2.4</v>
      </c>
      <c r="R176" s="62">
        <v>2</v>
      </c>
      <c r="S176" s="62">
        <v>3</v>
      </c>
      <c r="T176" s="7"/>
      <c r="U176" s="62">
        <v>3</v>
      </c>
      <c r="V176" s="7"/>
      <c r="W176" s="72">
        <f t="shared" si="18"/>
        <v>2.6666666666666665</v>
      </c>
      <c r="X176" s="62">
        <v>3</v>
      </c>
      <c r="Y176" s="62">
        <v>3</v>
      </c>
      <c r="Z176" s="7"/>
      <c r="AA176" s="7"/>
      <c r="AB176" s="7"/>
      <c r="AC176" s="72">
        <f t="shared" si="19"/>
        <v>3</v>
      </c>
      <c r="AD176" s="62">
        <v>3</v>
      </c>
      <c r="AE176" s="7"/>
      <c r="AF176" s="62">
        <v>0</v>
      </c>
      <c r="AG176" s="7"/>
      <c r="AH176" s="7"/>
      <c r="AI176" s="72">
        <f t="shared" si="20"/>
        <v>1.5</v>
      </c>
      <c r="AJ176" s="7"/>
      <c r="AK176" s="7"/>
      <c r="AL176" s="7"/>
      <c r="AM176" s="7"/>
      <c r="AN176" s="7"/>
      <c r="AO176" s="72" t="str">
        <f t="shared" si="21"/>
        <v>A</v>
      </c>
      <c r="AP176" s="62">
        <v>2</v>
      </c>
      <c r="AQ176" s="62">
        <v>3</v>
      </c>
      <c r="AR176" s="62">
        <v>3</v>
      </c>
      <c r="AS176" s="7"/>
      <c r="AT176" s="7"/>
      <c r="AU176" s="72">
        <f t="shared" si="22"/>
        <v>2.6666666666666665</v>
      </c>
      <c r="AV176" s="7"/>
      <c r="AW176" s="7"/>
      <c r="AX176" s="62">
        <v>3</v>
      </c>
      <c r="AY176" s="62">
        <v>2</v>
      </c>
      <c r="AZ176" s="62">
        <v>3</v>
      </c>
      <c r="BA176" s="72">
        <f t="shared" si="23"/>
        <v>2.6666666666666665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1</v>
      </c>
      <c r="M177" s="62">
        <v>1</v>
      </c>
      <c r="N177" s="62">
        <v>1</v>
      </c>
      <c r="O177" s="62">
        <v>3</v>
      </c>
      <c r="P177" s="62">
        <v>1</v>
      </c>
      <c r="Q177" s="72">
        <f t="shared" si="17"/>
        <v>1.4</v>
      </c>
      <c r="R177" s="62">
        <v>1</v>
      </c>
      <c r="S177" s="62">
        <v>1</v>
      </c>
      <c r="T177" s="62"/>
      <c r="U177" s="62">
        <v>1</v>
      </c>
      <c r="V177" s="62"/>
      <c r="W177" s="72">
        <f t="shared" si="18"/>
        <v>1</v>
      </c>
      <c r="X177" s="62">
        <v>1</v>
      </c>
      <c r="Y177" s="62">
        <v>1</v>
      </c>
      <c r="Z177" s="62"/>
      <c r="AA177" s="62"/>
      <c r="AB177" s="62"/>
      <c r="AC177" s="72">
        <f t="shared" si="19"/>
        <v>1</v>
      </c>
      <c r="AD177" s="62">
        <v>1</v>
      </c>
      <c r="AE177" s="62"/>
      <c r="AF177" s="62">
        <v>1</v>
      </c>
      <c r="AG177" s="62"/>
      <c r="AH177" s="62"/>
      <c r="AI177" s="72">
        <f t="shared" si="20"/>
        <v>1</v>
      </c>
      <c r="AJ177" s="62"/>
      <c r="AK177" s="62"/>
      <c r="AL177" s="62"/>
      <c r="AM177" s="62"/>
      <c r="AN177" s="62"/>
      <c r="AO177" s="72" t="str">
        <f t="shared" si="21"/>
        <v>A</v>
      </c>
      <c r="AP177" s="62">
        <v>1</v>
      </c>
      <c r="AQ177" s="62">
        <v>1</v>
      </c>
      <c r="AR177" s="62">
        <v>1</v>
      </c>
      <c r="AS177" s="62"/>
      <c r="AT177" s="62"/>
      <c r="AU177" s="72">
        <f t="shared" si="22"/>
        <v>1</v>
      </c>
      <c r="AV177" s="62"/>
      <c r="AW177" s="62"/>
      <c r="AX177" s="62">
        <v>1</v>
      </c>
      <c r="AY177" s="62">
        <v>1</v>
      </c>
      <c r="AZ177" s="62">
        <v>1</v>
      </c>
      <c r="BA177" s="72">
        <f t="shared" si="23"/>
        <v>1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2</v>
      </c>
      <c r="M178" s="62">
        <v>2</v>
      </c>
      <c r="N178" s="62">
        <v>2</v>
      </c>
      <c r="O178" s="62">
        <v>2</v>
      </c>
      <c r="P178" s="62">
        <v>2</v>
      </c>
      <c r="Q178" s="72">
        <f t="shared" si="17"/>
        <v>2</v>
      </c>
      <c r="R178" s="62">
        <v>2</v>
      </c>
      <c r="S178" s="62">
        <v>2</v>
      </c>
      <c r="T178" s="7"/>
      <c r="U178" s="62">
        <v>2</v>
      </c>
      <c r="V178" s="7"/>
      <c r="W178" s="72">
        <f t="shared" si="18"/>
        <v>2</v>
      </c>
      <c r="X178" s="62">
        <v>2</v>
      </c>
      <c r="Y178" s="62">
        <v>2</v>
      </c>
      <c r="Z178" s="7"/>
      <c r="AA178" s="7"/>
      <c r="AB178" s="7"/>
      <c r="AC178" s="72">
        <f t="shared" si="19"/>
        <v>2</v>
      </c>
      <c r="AD178" s="62">
        <v>2</v>
      </c>
      <c r="AE178" s="7"/>
      <c r="AF178" s="62">
        <v>1</v>
      </c>
      <c r="AG178" s="7"/>
      <c r="AH178" s="7"/>
      <c r="AI178" s="72">
        <f t="shared" si="20"/>
        <v>1.5</v>
      </c>
      <c r="AJ178" s="7"/>
      <c r="AK178" s="7"/>
      <c r="AL178" s="7"/>
      <c r="AM178" s="7"/>
      <c r="AN178" s="7"/>
      <c r="AO178" s="72" t="str">
        <f t="shared" si="21"/>
        <v>A</v>
      </c>
      <c r="AP178" s="62">
        <v>1</v>
      </c>
      <c r="AQ178" s="62">
        <v>1</v>
      </c>
      <c r="AR178" s="62">
        <v>1</v>
      </c>
      <c r="AS178" s="7"/>
      <c r="AT178" s="7"/>
      <c r="AU178" s="72">
        <f t="shared" si="22"/>
        <v>1</v>
      </c>
      <c r="AV178" s="7"/>
      <c r="AW178" s="7"/>
      <c r="AX178" s="62">
        <v>2</v>
      </c>
      <c r="AY178" s="62">
        <v>1</v>
      </c>
      <c r="AZ178" s="62">
        <v>0</v>
      </c>
      <c r="BA178" s="72">
        <f t="shared" si="23"/>
        <v>1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2</v>
      </c>
      <c r="M179" s="62">
        <v>2</v>
      </c>
      <c r="N179" s="62">
        <v>2</v>
      </c>
      <c r="O179" s="62">
        <v>2</v>
      </c>
      <c r="P179" s="62">
        <v>2</v>
      </c>
      <c r="Q179" s="72">
        <f t="shared" si="17"/>
        <v>2</v>
      </c>
      <c r="R179" s="62">
        <v>2</v>
      </c>
      <c r="S179" s="62">
        <v>2</v>
      </c>
      <c r="T179" s="62"/>
      <c r="U179" s="62">
        <v>2</v>
      </c>
      <c r="V179" s="62"/>
      <c r="W179" s="72">
        <f t="shared" si="18"/>
        <v>2</v>
      </c>
      <c r="X179" s="62">
        <v>2</v>
      </c>
      <c r="Y179" s="62">
        <v>2</v>
      </c>
      <c r="Z179" s="62"/>
      <c r="AA179" s="62"/>
      <c r="AB179" s="62"/>
      <c r="AC179" s="72">
        <f t="shared" si="19"/>
        <v>2</v>
      </c>
      <c r="AD179" s="62">
        <v>2</v>
      </c>
      <c r="AE179" s="62"/>
      <c r="AF179" s="62">
        <v>2</v>
      </c>
      <c r="AG179" s="62"/>
      <c r="AH179" s="62"/>
      <c r="AI179" s="72">
        <f t="shared" si="20"/>
        <v>2</v>
      </c>
      <c r="AJ179" s="62"/>
      <c r="AK179" s="62"/>
      <c r="AL179" s="62"/>
      <c r="AM179" s="62"/>
      <c r="AN179" s="62"/>
      <c r="AO179" s="72" t="str">
        <f t="shared" si="21"/>
        <v>A</v>
      </c>
      <c r="AP179" s="62">
        <v>2</v>
      </c>
      <c r="AQ179" s="62">
        <v>2</v>
      </c>
      <c r="AR179" s="62">
        <v>2</v>
      </c>
      <c r="AS179" s="62"/>
      <c r="AT179" s="62"/>
      <c r="AU179" s="72">
        <f t="shared" si="22"/>
        <v>2</v>
      </c>
      <c r="AV179" s="62"/>
      <c r="AW179" s="62"/>
      <c r="AX179" s="62">
        <v>2</v>
      </c>
      <c r="AY179" s="62">
        <v>2</v>
      </c>
      <c r="AZ179" s="62">
        <v>2</v>
      </c>
      <c r="BA179" s="72">
        <f t="shared" si="23"/>
        <v>2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4</v>
      </c>
      <c r="M180" s="62">
        <v>4</v>
      </c>
      <c r="N180" s="62">
        <v>4</v>
      </c>
      <c r="O180" s="62">
        <v>3</v>
      </c>
      <c r="P180" s="62">
        <v>4</v>
      </c>
      <c r="Q180" s="72">
        <f t="shared" si="17"/>
        <v>3.8</v>
      </c>
      <c r="R180" s="62">
        <v>4</v>
      </c>
      <c r="S180" s="62">
        <v>4</v>
      </c>
      <c r="T180" s="7"/>
      <c r="U180" s="62">
        <v>4</v>
      </c>
      <c r="V180" s="7"/>
      <c r="W180" s="72">
        <f t="shared" si="18"/>
        <v>4</v>
      </c>
      <c r="X180" s="62">
        <v>4</v>
      </c>
      <c r="Y180" s="62">
        <v>4</v>
      </c>
      <c r="Z180" s="7"/>
      <c r="AA180" s="7"/>
      <c r="AB180" s="7"/>
      <c r="AC180" s="72">
        <f t="shared" si="19"/>
        <v>4</v>
      </c>
      <c r="AD180" s="62">
        <v>4</v>
      </c>
      <c r="AE180" s="7"/>
      <c r="AF180" s="62">
        <v>1</v>
      </c>
      <c r="AG180" s="7"/>
      <c r="AH180" s="7"/>
      <c r="AI180" s="72">
        <f t="shared" si="20"/>
        <v>2.5</v>
      </c>
      <c r="AJ180" s="7"/>
      <c r="AK180" s="7"/>
      <c r="AL180" s="7"/>
      <c r="AM180" s="7"/>
      <c r="AN180" s="7"/>
      <c r="AO180" s="72" t="str">
        <f t="shared" si="21"/>
        <v>A</v>
      </c>
      <c r="AP180" s="62">
        <v>1</v>
      </c>
      <c r="AQ180" s="62">
        <v>1</v>
      </c>
      <c r="AR180" s="62">
        <v>1</v>
      </c>
      <c r="AS180" s="7"/>
      <c r="AT180" s="7"/>
      <c r="AU180" s="72">
        <f t="shared" si="22"/>
        <v>1</v>
      </c>
      <c r="AV180" s="7"/>
      <c r="AW180" s="7"/>
      <c r="AX180" s="62">
        <v>1</v>
      </c>
      <c r="AY180" s="62">
        <v>1</v>
      </c>
      <c r="AZ180" s="62">
        <v>4</v>
      </c>
      <c r="BA180" s="72">
        <f t="shared" si="23"/>
        <v>2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3</v>
      </c>
      <c r="M181" s="62">
        <v>3</v>
      </c>
      <c r="N181" s="62">
        <v>3</v>
      </c>
      <c r="O181" s="62">
        <v>3</v>
      </c>
      <c r="P181" s="62">
        <v>3</v>
      </c>
      <c r="Q181" s="72">
        <f t="shared" si="17"/>
        <v>3</v>
      </c>
      <c r="R181" s="62">
        <v>3</v>
      </c>
      <c r="S181" s="62">
        <v>3</v>
      </c>
      <c r="T181" s="62"/>
      <c r="U181" s="62">
        <v>3</v>
      </c>
      <c r="V181" s="62"/>
      <c r="W181" s="72">
        <f t="shared" si="18"/>
        <v>3</v>
      </c>
      <c r="X181" s="62">
        <v>3</v>
      </c>
      <c r="Y181" s="62">
        <v>3</v>
      </c>
      <c r="Z181" s="62"/>
      <c r="AA181" s="62"/>
      <c r="AB181" s="62"/>
      <c r="AC181" s="72">
        <f t="shared" si="19"/>
        <v>3</v>
      </c>
      <c r="AD181" s="62">
        <v>3</v>
      </c>
      <c r="AE181" s="62"/>
      <c r="AF181" s="62">
        <v>3</v>
      </c>
      <c r="AG181" s="62"/>
      <c r="AH181" s="62"/>
      <c r="AI181" s="72">
        <f t="shared" si="20"/>
        <v>3</v>
      </c>
      <c r="AJ181" s="62"/>
      <c r="AK181" s="62"/>
      <c r="AL181" s="62"/>
      <c r="AM181" s="62"/>
      <c r="AN181" s="62"/>
      <c r="AO181" s="72" t="str">
        <f t="shared" si="21"/>
        <v>A</v>
      </c>
      <c r="AP181" s="62">
        <v>3</v>
      </c>
      <c r="AQ181" s="62">
        <v>3</v>
      </c>
      <c r="AR181" s="62">
        <v>3</v>
      </c>
      <c r="AS181" s="62"/>
      <c r="AT181" s="62"/>
      <c r="AU181" s="72">
        <f t="shared" si="22"/>
        <v>3</v>
      </c>
      <c r="AV181" s="62"/>
      <c r="AW181" s="62"/>
      <c r="AX181" s="62">
        <v>3</v>
      </c>
      <c r="AY181" s="62">
        <v>3</v>
      </c>
      <c r="AZ181" s="62">
        <v>3</v>
      </c>
      <c r="BA181" s="72">
        <f t="shared" si="23"/>
        <v>3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3</v>
      </c>
      <c r="M182" s="62">
        <v>3</v>
      </c>
      <c r="N182" s="62">
        <v>3</v>
      </c>
      <c r="O182" s="62">
        <v>3</v>
      </c>
      <c r="P182" s="62">
        <v>3</v>
      </c>
      <c r="Q182" s="72">
        <f t="shared" si="17"/>
        <v>3</v>
      </c>
      <c r="R182" s="62">
        <v>3</v>
      </c>
      <c r="S182" s="62">
        <v>3</v>
      </c>
      <c r="T182" s="7"/>
      <c r="U182" s="62">
        <v>3</v>
      </c>
      <c r="V182" s="7"/>
      <c r="W182" s="72">
        <f t="shared" si="18"/>
        <v>3</v>
      </c>
      <c r="X182" s="62">
        <v>3</v>
      </c>
      <c r="Y182" s="62">
        <v>3</v>
      </c>
      <c r="Z182" s="7"/>
      <c r="AA182" s="7"/>
      <c r="AB182" s="7"/>
      <c r="AC182" s="72">
        <f t="shared" si="19"/>
        <v>3</v>
      </c>
      <c r="AD182" s="62">
        <v>3</v>
      </c>
      <c r="AE182" s="7"/>
      <c r="AF182" s="62">
        <v>3</v>
      </c>
      <c r="AG182" s="7"/>
      <c r="AH182" s="7"/>
      <c r="AI182" s="72">
        <f t="shared" si="20"/>
        <v>3</v>
      </c>
      <c r="AJ182" s="7"/>
      <c r="AK182" s="7"/>
      <c r="AL182" s="7"/>
      <c r="AM182" s="7"/>
      <c r="AN182" s="7"/>
      <c r="AO182" s="72" t="str">
        <f t="shared" si="21"/>
        <v>A</v>
      </c>
      <c r="AP182" s="62">
        <v>3</v>
      </c>
      <c r="AQ182" s="62">
        <v>3</v>
      </c>
      <c r="AR182" s="62">
        <v>3</v>
      </c>
      <c r="AS182" s="7"/>
      <c r="AT182" s="7"/>
      <c r="AU182" s="72">
        <f t="shared" si="22"/>
        <v>3</v>
      </c>
      <c r="AV182" s="7"/>
      <c r="AW182" s="7"/>
      <c r="AX182" s="62">
        <v>3</v>
      </c>
      <c r="AY182" s="62">
        <v>3</v>
      </c>
      <c r="AZ182" s="62">
        <v>3</v>
      </c>
      <c r="BA182" s="72">
        <f t="shared" si="23"/>
        <v>3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4</v>
      </c>
      <c r="M183" s="62">
        <v>4</v>
      </c>
      <c r="N183" s="62">
        <v>4</v>
      </c>
      <c r="O183" s="62">
        <v>3</v>
      </c>
      <c r="P183" s="62">
        <v>3</v>
      </c>
      <c r="Q183" s="72">
        <f t="shared" si="17"/>
        <v>3.6</v>
      </c>
      <c r="R183" s="62">
        <v>2</v>
      </c>
      <c r="S183" s="62">
        <v>2</v>
      </c>
      <c r="T183" s="62"/>
      <c r="U183" s="62">
        <v>2</v>
      </c>
      <c r="V183" s="62"/>
      <c r="W183" s="72">
        <f t="shared" si="18"/>
        <v>2</v>
      </c>
      <c r="X183" s="62">
        <v>3</v>
      </c>
      <c r="Y183" s="62">
        <v>2</v>
      </c>
      <c r="Z183" s="62"/>
      <c r="AA183" s="62"/>
      <c r="AB183" s="62"/>
      <c r="AC183" s="72">
        <f t="shared" si="19"/>
        <v>2.5</v>
      </c>
      <c r="AD183" s="62">
        <v>2</v>
      </c>
      <c r="AE183" s="62"/>
      <c r="AF183" s="62">
        <v>0</v>
      </c>
      <c r="AG183" s="62"/>
      <c r="AH183" s="62"/>
      <c r="AI183" s="72">
        <f t="shared" si="20"/>
        <v>1</v>
      </c>
      <c r="AJ183" s="62"/>
      <c r="AK183" s="62"/>
      <c r="AL183" s="62"/>
      <c r="AM183" s="62"/>
      <c r="AN183" s="62"/>
      <c r="AO183" s="72" t="str">
        <f t="shared" si="21"/>
        <v>A</v>
      </c>
      <c r="AP183" s="62">
        <v>2</v>
      </c>
      <c r="AQ183" s="62">
        <v>2</v>
      </c>
      <c r="AR183" s="62">
        <v>2</v>
      </c>
      <c r="AS183" s="62"/>
      <c r="AT183" s="62"/>
      <c r="AU183" s="72">
        <f t="shared" si="22"/>
        <v>2</v>
      </c>
      <c r="AV183" s="62"/>
      <c r="AW183" s="62"/>
      <c r="AX183" s="62">
        <v>2</v>
      </c>
      <c r="AY183" s="62">
        <v>2</v>
      </c>
      <c r="AZ183" s="62">
        <v>2</v>
      </c>
      <c r="BA183" s="72">
        <f t="shared" si="23"/>
        <v>2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>
        <v>4</v>
      </c>
      <c r="N184" s="62">
        <v>4</v>
      </c>
      <c r="O184" s="62">
        <v>3</v>
      </c>
      <c r="P184" s="62">
        <v>4</v>
      </c>
      <c r="Q184" s="72">
        <f t="shared" si="17"/>
        <v>3.8</v>
      </c>
      <c r="R184" s="62">
        <v>4</v>
      </c>
      <c r="S184" s="62">
        <v>4</v>
      </c>
      <c r="T184" s="7"/>
      <c r="U184" s="62">
        <v>4</v>
      </c>
      <c r="V184" s="7"/>
      <c r="W184" s="72">
        <f t="shared" si="18"/>
        <v>4</v>
      </c>
      <c r="X184" s="62">
        <v>4</v>
      </c>
      <c r="Y184" s="62">
        <v>3</v>
      </c>
      <c r="Z184" s="7"/>
      <c r="AA184" s="7"/>
      <c r="AB184" s="7"/>
      <c r="AC184" s="72">
        <f t="shared" si="19"/>
        <v>3.5</v>
      </c>
      <c r="AD184" s="62">
        <v>4</v>
      </c>
      <c r="AE184" s="7"/>
      <c r="AF184" s="62">
        <v>2</v>
      </c>
      <c r="AG184" s="7"/>
      <c r="AH184" s="7"/>
      <c r="AI184" s="72">
        <f t="shared" si="20"/>
        <v>3</v>
      </c>
      <c r="AJ184" s="7"/>
      <c r="AK184" s="7"/>
      <c r="AL184" s="7"/>
      <c r="AM184" s="7"/>
      <c r="AN184" s="7"/>
      <c r="AO184" s="72" t="str">
        <f t="shared" si="21"/>
        <v>A</v>
      </c>
      <c r="AP184" s="62">
        <v>1</v>
      </c>
      <c r="AQ184" s="62">
        <v>1</v>
      </c>
      <c r="AR184" s="62">
        <v>1</v>
      </c>
      <c r="AS184" s="7"/>
      <c r="AT184" s="7"/>
      <c r="AU184" s="72">
        <f t="shared" si="22"/>
        <v>1</v>
      </c>
      <c r="AV184" s="7"/>
      <c r="AW184" s="7"/>
      <c r="AX184" s="62">
        <v>1</v>
      </c>
      <c r="AY184" s="62">
        <v>1</v>
      </c>
      <c r="AZ184" s="62">
        <v>4</v>
      </c>
      <c r="BA184" s="72">
        <f t="shared" si="23"/>
        <v>2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2</v>
      </c>
      <c r="M185" s="62">
        <v>2</v>
      </c>
      <c r="N185" s="62">
        <v>2</v>
      </c>
      <c r="O185" s="62">
        <v>3</v>
      </c>
      <c r="P185" s="62">
        <v>2</v>
      </c>
      <c r="Q185" s="72">
        <f t="shared" si="17"/>
        <v>2.2000000000000002</v>
      </c>
      <c r="R185" s="62">
        <v>3</v>
      </c>
      <c r="S185" s="62">
        <v>3</v>
      </c>
      <c r="T185" s="62"/>
      <c r="U185" s="62">
        <v>3</v>
      </c>
      <c r="V185" s="62"/>
      <c r="W185" s="72">
        <f t="shared" si="18"/>
        <v>3</v>
      </c>
      <c r="X185" s="62">
        <v>3</v>
      </c>
      <c r="Y185" s="62">
        <v>3</v>
      </c>
      <c r="Z185" s="62"/>
      <c r="AA185" s="62"/>
      <c r="AB185" s="62"/>
      <c r="AC185" s="72">
        <f t="shared" si="19"/>
        <v>3</v>
      </c>
      <c r="AD185" s="62">
        <v>4</v>
      </c>
      <c r="AE185" s="62"/>
      <c r="AF185" s="62">
        <v>0</v>
      </c>
      <c r="AG185" s="62"/>
      <c r="AH185" s="62"/>
      <c r="AI185" s="72">
        <f t="shared" si="20"/>
        <v>2</v>
      </c>
      <c r="AJ185" s="62"/>
      <c r="AK185" s="62"/>
      <c r="AL185" s="62"/>
      <c r="AM185" s="62"/>
      <c r="AN185" s="62"/>
      <c r="AO185" s="72" t="str">
        <f t="shared" si="21"/>
        <v>A</v>
      </c>
      <c r="AP185" s="62">
        <v>4</v>
      </c>
      <c r="AQ185" s="62">
        <v>4</v>
      </c>
      <c r="AR185" s="62">
        <v>4</v>
      </c>
      <c r="AS185" s="62"/>
      <c r="AT185" s="62"/>
      <c r="AU185" s="72">
        <f t="shared" si="22"/>
        <v>4</v>
      </c>
      <c r="AV185" s="62"/>
      <c r="AW185" s="62"/>
      <c r="AX185" s="62">
        <v>4</v>
      </c>
      <c r="AY185" s="62">
        <v>4</v>
      </c>
      <c r="AZ185" s="62">
        <v>3</v>
      </c>
      <c r="BA185" s="72">
        <f t="shared" si="23"/>
        <v>3.6666666666666665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3</v>
      </c>
      <c r="M186" s="62">
        <v>3</v>
      </c>
      <c r="N186" s="62">
        <v>3</v>
      </c>
      <c r="O186" s="62">
        <v>3</v>
      </c>
      <c r="P186" s="62">
        <v>3</v>
      </c>
      <c r="Q186" s="72">
        <f t="shared" si="17"/>
        <v>3</v>
      </c>
      <c r="R186" s="62">
        <v>3</v>
      </c>
      <c r="S186" s="62">
        <v>3</v>
      </c>
      <c r="T186" s="7"/>
      <c r="U186" s="62">
        <v>3</v>
      </c>
      <c r="V186" s="7"/>
      <c r="W186" s="72">
        <f t="shared" si="18"/>
        <v>3</v>
      </c>
      <c r="X186" s="62">
        <v>3</v>
      </c>
      <c r="Y186" s="62">
        <v>3</v>
      </c>
      <c r="Z186" s="7"/>
      <c r="AA186" s="7"/>
      <c r="AB186" s="7"/>
      <c r="AC186" s="72">
        <f t="shared" si="19"/>
        <v>3</v>
      </c>
      <c r="AD186" s="62">
        <v>3</v>
      </c>
      <c r="AE186" s="7"/>
      <c r="AF186" s="62">
        <v>3</v>
      </c>
      <c r="AG186" s="7"/>
      <c r="AH186" s="7"/>
      <c r="AI186" s="72">
        <f t="shared" si="20"/>
        <v>3</v>
      </c>
      <c r="AJ186" s="7"/>
      <c r="AK186" s="7"/>
      <c r="AL186" s="7"/>
      <c r="AM186" s="7"/>
      <c r="AN186" s="7"/>
      <c r="AO186" s="72" t="str">
        <f t="shared" si="21"/>
        <v>A</v>
      </c>
      <c r="AP186" s="62">
        <v>3</v>
      </c>
      <c r="AQ186" s="62">
        <v>3</v>
      </c>
      <c r="AR186" s="62">
        <v>3</v>
      </c>
      <c r="AS186" s="7"/>
      <c r="AT186" s="7"/>
      <c r="AU186" s="72">
        <f t="shared" si="22"/>
        <v>3</v>
      </c>
      <c r="AV186" s="7"/>
      <c r="AW186" s="7"/>
      <c r="AX186" s="62">
        <v>3</v>
      </c>
      <c r="AY186" s="62">
        <v>3</v>
      </c>
      <c r="AZ186" s="62">
        <v>3</v>
      </c>
      <c r="BA186" s="72">
        <f t="shared" si="23"/>
        <v>3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3</v>
      </c>
      <c r="M187" s="62">
        <v>3</v>
      </c>
      <c r="N187" s="62">
        <v>4</v>
      </c>
      <c r="O187" s="62">
        <v>3</v>
      </c>
      <c r="P187" s="62">
        <v>4</v>
      </c>
      <c r="Q187" s="72">
        <f t="shared" si="17"/>
        <v>3.4</v>
      </c>
      <c r="R187" s="62">
        <v>4</v>
      </c>
      <c r="S187" s="62">
        <v>3</v>
      </c>
      <c r="T187" s="62"/>
      <c r="U187" s="62">
        <v>3</v>
      </c>
      <c r="V187" s="62"/>
      <c r="W187" s="72">
        <f t="shared" si="18"/>
        <v>3.3333333333333335</v>
      </c>
      <c r="X187" s="62">
        <v>2</v>
      </c>
      <c r="Y187" s="62">
        <v>2</v>
      </c>
      <c r="Z187" s="62"/>
      <c r="AA187" s="62"/>
      <c r="AB187" s="62"/>
      <c r="AC187" s="72">
        <f t="shared" si="19"/>
        <v>2</v>
      </c>
      <c r="AD187" s="62">
        <v>2</v>
      </c>
      <c r="AE187" s="62"/>
      <c r="AF187" s="62">
        <v>0</v>
      </c>
      <c r="AG187" s="62"/>
      <c r="AH187" s="62"/>
      <c r="AI187" s="72">
        <f t="shared" si="20"/>
        <v>1</v>
      </c>
      <c r="AJ187" s="62"/>
      <c r="AK187" s="62"/>
      <c r="AL187" s="62"/>
      <c r="AM187" s="62"/>
      <c r="AN187" s="62"/>
      <c r="AO187" s="72" t="str">
        <f t="shared" si="21"/>
        <v>A</v>
      </c>
      <c r="AP187" s="62">
        <v>2</v>
      </c>
      <c r="AQ187" s="62">
        <v>2</v>
      </c>
      <c r="AR187" s="62">
        <v>2</v>
      </c>
      <c r="AS187" s="62"/>
      <c r="AT187" s="62"/>
      <c r="AU187" s="72">
        <f t="shared" si="22"/>
        <v>2</v>
      </c>
      <c r="AV187" s="62"/>
      <c r="AW187" s="62"/>
      <c r="AX187" s="62">
        <v>2</v>
      </c>
      <c r="AY187" s="62">
        <v>2</v>
      </c>
      <c r="AZ187" s="62">
        <v>3</v>
      </c>
      <c r="BA187" s="72">
        <f t="shared" si="23"/>
        <v>2.3333333333333335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3</v>
      </c>
      <c r="M188" s="62">
        <v>2</v>
      </c>
      <c r="N188" s="62">
        <v>2</v>
      </c>
      <c r="O188" s="62">
        <v>3</v>
      </c>
      <c r="P188" s="62">
        <v>2</v>
      </c>
      <c r="Q188" s="72">
        <f t="shared" si="17"/>
        <v>2.4</v>
      </c>
      <c r="R188" s="62">
        <v>4</v>
      </c>
      <c r="S188" s="62">
        <v>3</v>
      </c>
      <c r="T188" s="7"/>
      <c r="U188" s="62">
        <v>4</v>
      </c>
      <c r="V188" s="7"/>
      <c r="W188" s="72">
        <f t="shared" si="18"/>
        <v>3.6666666666666665</v>
      </c>
      <c r="X188" s="62">
        <v>3</v>
      </c>
      <c r="Y188" s="62">
        <v>2</v>
      </c>
      <c r="Z188" s="7"/>
      <c r="AA188" s="7"/>
      <c r="AB188" s="7"/>
      <c r="AC188" s="72">
        <f t="shared" si="19"/>
        <v>2.5</v>
      </c>
      <c r="AD188" s="62">
        <v>3</v>
      </c>
      <c r="AE188" s="7"/>
      <c r="AF188" s="62">
        <v>0</v>
      </c>
      <c r="AG188" s="7"/>
      <c r="AH188" s="7"/>
      <c r="AI188" s="72">
        <f t="shared" si="20"/>
        <v>1.5</v>
      </c>
      <c r="AJ188" s="7"/>
      <c r="AK188" s="7"/>
      <c r="AL188" s="7"/>
      <c r="AM188" s="7"/>
      <c r="AN188" s="7"/>
      <c r="AO188" s="72" t="str">
        <f t="shared" si="21"/>
        <v>A</v>
      </c>
      <c r="AP188" s="62">
        <v>4</v>
      </c>
      <c r="AQ188" s="62">
        <v>3</v>
      </c>
      <c r="AR188" s="62">
        <v>3</v>
      </c>
      <c r="AS188" s="7"/>
      <c r="AT188" s="7"/>
      <c r="AU188" s="72">
        <f t="shared" si="22"/>
        <v>3.3333333333333335</v>
      </c>
      <c r="AV188" s="7"/>
      <c r="AW188" s="7"/>
      <c r="AX188" s="62">
        <v>2</v>
      </c>
      <c r="AY188" s="62">
        <v>4</v>
      </c>
      <c r="AZ188" s="62">
        <v>3</v>
      </c>
      <c r="BA188" s="72">
        <f t="shared" si="23"/>
        <v>3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4</v>
      </c>
      <c r="M189" s="62">
        <v>3</v>
      </c>
      <c r="N189" s="62">
        <v>2</v>
      </c>
      <c r="O189" s="62">
        <v>3</v>
      </c>
      <c r="P189" s="62">
        <v>2</v>
      </c>
      <c r="Q189" s="72">
        <f t="shared" si="17"/>
        <v>2.8</v>
      </c>
      <c r="R189" s="62">
        <v>2</v>
      </c>
      <c r="S189" s="62">
        <v>2</v>
      </c>
      <c r="T189" s="62"/>
      <c r="U189" s="62">
        <v>2</v>
      </c>
      <c r="V189" s="62"/>
      <c r="W189" s="72">
        <f t="shared" si="18"/>
        <v>2</v>
      </c>
      <c r="X189" s="62">
        <v>2</v>
      </c>
      <c r="Y189" s="62">
        <v>2</v>
      </c>
      <c r="Z189" s="62"/>
      <c r="AA189" s="62"/>
      <c r="AB189" s="62"/>
      <c r="AC189" s="72">
        <f t="shared" si="19"/>
        <v>2</v>
      </c>
      <c r="AD189" s="62">
        <v>2</v>
      </c>
      <c r="AE189" s="62"/>
      <c r="AF189" s="62">
        <v>0</v>
      </c>
      <c r="AG189" s="62"/>
      <c r="AH189" s="62"/>
      <c r="AI189" s="72">
        <f t="shared" si="20"/>
        <v>1</v>
      </c>
      <c r="AJ189" s="62"/>
      <c r="AK189" s="62"/>
      <c r="AL189" s="62"/>
      <c r="AM189" s="62"/>
      <c r="AN189" s="62"/>
      <c r="AO189" s="72" t="str">
        <f t="shared" si="21"/>
        <v>A</v>
      </c>
      <c r="AP189" s="62">
        <v>2</v>
      </c>
      <c r="AQ189" s="62">
        <v>3</v>
      </c>
      <c r="AR189" s="62">
        <v>3</v>
      </c>
      <c r="AS189" s="62"/>
      <c r="AT189" s="62"/>
      <c r="AU189" s="72">
        <f t="shared" si="22"/>
        <v>2.6666666666666665</v>
      </c>
      <c r="AV189" s="62"/>
      <c r="AW189" s="62"/>
      <c r="AX189" s="62">
        <v>3</v>
      </c>
      <c r="AY189" s="62">
        <v>2</v>
      </c>
      <c r="AZ189" s="62">
        <v>2</v>
      </c>
      <c r="BA189" s="72">
        <f t="shared" si="23"/>
        <v>2.3333333333333335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>
        <v>3</v>
      </c>
      <c r="N190" s="62">
        <v>3</v>
      </c>
      <c r="O190" s="62">
        <v>3</v>
      </c>
      <c r="P190" s="62">
        <v>3</v>
      </c>
      <c r="Q190" s="72">
        <f t="shared" si="17"/>
        <v>3</v>
      </c>
      <c r="R190" s="62">
        <v>4</v>
      </c>
      <c r="S190" s="62">
        <v>4</v>
      </c>
      <c r="T190" s="7"/>
      <c r="U190" s="62">
        <v>4</v>
      </c>
      <c r="V190" s="7"/>
      <c r="W190" s="72">
        <f t="shared" si="18"/>
        <v>4</v>
      </c>
      <c r="X190" s="62">
        <v>3</v>
      </c>
      <c r="Y190" s="62">
        <v>3</v>
      </c>
      <c r="Z190" s="7"/>
      <c r="AA190" s="7"/>
      <c r="AB190" s="7"/>
      <c r="AC190" s="72">
        <f t="shared" si="19"/>
        <v>3</v>
      </c>
      <c r="AD190" s="62">
        <v>4</v>
      </c>
      <c r="AE190" s="7"/>
      <c r="AF190" s="62">
        <v>4</v>
      </c>
      <c r="AG190" s="7"/>
      <c r="AH190" s="7"/>
      <c r="AI190" s="72">
        <f t="shared" si="20"/>
        <v>4</v>
      </c>
      <c r="AJ190" s="7"/>
      <c r="AK190" s="7"/>
      <c r="AL190" s="7"/>
      <c r="AM190" s="7"/>
      <c r="AN190" s="7"/>
      <c r="AO190" s="72" t="str">
        <f t="shared" si="21"/>
        <v>A</v>
      </c>
      <c r="AP190" s="62">
        <v>1</v>
      </c>
      <c r="AQ190" s="62">
        <v>1</v>
      </c>
      <c r="AR190" s="62">
        <v>1</v>
      </c>
      <c r="AS190" s="7"/>
      <c r="AT190" s="7"/>
      <c r="AU190" s="72">
        <f t="shared" si="22"/>
        <v>1</v>
      </c>
      <c r="AV190" s="7"/>
      <c r="AW190" s="7"/>
      <c r="AX190" s="62">
        <v>5</v>
      </c>
      <c r="AY190" s="62">
        <v>4</v>
      </c>
      <c r="AZ190" s="62">
        <v>3</v>
      </c>
      <c r="BA190" s="72">
        <f t="shared" si="23"/>
        <v>4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4</v>
      </c>
      <c r="M191" s="62">
        <v>3</v>
      </c>
      <c r="N191" s="62">
        <v>4</v>
      </c>
      <c r="O191" s="62">
        <v>3</v>
      </c>
      <c r="P191" s="62">
        <v>3</v>
      </c>
      <c r="Q191" s="72">
        <f t="shared" si="17"/>
        <v>3.4</v>
      </c>
      <c r="R191" s="62">
        <v>3</v>
      </c>
      <c r="S191" s="62">
        <v>3</v>
      </c>
      <c r="T191" s="62"/>
      <c r="U191" s="62">
        <v>3</v>
      </c>
      <c r="V191" s="62"/>
      <c r="W191" s="72">
        <f t="shared" si="18"/>
        <v>3</v>
      </c>
      <c r="X191" s="62">
        <v>3</v>
      </c>
      <c r="Y191" s="62">
        <v>2</v>
      </c>
      <c r="Z191" s="62"/>
      <c r="AA191" s="62"/>
      <c r="AB191" s="62"/>
      <c r="AC191" s="72">
        <f t="shared" si="19"/>
        <v>2.5</v>
      </c>
      <c r="AD191" s="62">
        <v>2</v>
      </c>
      <c r="AE191" s="62"/>
      <c r="AF191" s="62">
        <v>0</v>
      </c>
      <c r="AG191" s="62"/>
      <c r="AH191" s="62"/>
      <c r="AI191" s="72">
        <f t="shared" si="20"/>
        <v>1</v>
      </c>
      <c r="AJ191" s="62"/>
      <c r="AK191" s="62"/>
      <c r="AL191" s="62"/>
      <c r="AM191" s="62"/>
      <c r="AN191" s="62"/>
      <c r="AO191" s="72" t="str">
        <f t="shared" si="21"/>
        <v>A</v>
      </c>
      <c r="AP191" s="62">
        <v>2</v>
      </c>
      <c r="AQ191" s="62">
        <v>3</v>
      </c>
      <c r="AR191" s="62">
        <v>3</v>
      </c>
      <c r="AS191" s="62"/>
      <c r="AT191" s="62"/>
      <c r="AU191" s="72">
        <f t="shared" si="22"/>
        <v>2.6666666666666665</v>
      </c>
      <c r="AV191" s="62"/>
      <c r="AW191" s="62"/>
      <c r="AX191" s="62">
        <v>3</v>
      </c>
      <c r="AY191" s="62">
        <v>2</v>
      </c>
      <c r="AZ191" s="62">
        <v>2</v>
      </c>
      <c r="BA191" s="72">
        <f t="shared" si="23"/>
        <v>2.3333333333333335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3</v>
      </c>
      <c r="M192" s="62">
        <v>3</v>
      </c>
      <c r="N192" s="62">
        <v>3</v>
      </c>
      <c r="O192" s="62">
        <v>3</v>
      </c>
      <c r="P192" s="62">
        <v>3</v>
      </c>
      <c r="Q192" s="72">
        <f t="shared" si="17"/>
        <v>3</v>
      </c>
      <c r="R192" s="62">
        <v>3</v>
      </c>
      <c r="S192" s="62">
        <v>3</v>
      </c>
      <c r="T192" s="7"/>
      <c r="U192" s="62">
        <v>2</v>
      </c>
      <c r="V192" s="7"/>
      <c r="W192" s="72">
        <f t="shared" si="18"/>
        <v>2.6666666666666665</v>
      </c>
      <c r="X192" s="62">
        <v>2</v>
      </c>
      <c r="Y192" s="62">
        <v>2</v>
      </c>
      <c r="Z192" s="7"/>
      <c r="AA192" s="7"/>
      <c r="AB192" s="7"/>
      <c r="AC192" s="72">
        <f t="shared" si="19"/>
        <v>2</v>
      </c>
      <c r="AD192" s="62">
        <v>3</v>
      </c>
      <c r="AE192" s="7"/>
      <c r="AF192" s="62">
        <v>0</v>
      </c>
      <c r="AG192" s="7"/>
      <c r="AH192" s="7"/>
      <c r="AI192" s="72">
        <f t="shared" si="20"/>
        <v>1.5</v>
      </c>
      <c r="AJ192" s="7"/>
      <c r="AK192" s="7"/>
      <c r="AL192" s="7"/>
      <c r="AM192" s="7"/>
      <c r="AN192" s="7"/>
      <c r="AO192" s="72" t="str">
        <f t="shared" si="21"/>
        <v>A</v>
      </c>
      <c r="AP192" s="62">
        <v>2</v>
      </c>
      <c r="AQ192" s="62">
        <v>2</v>
      </c>
      <c r="AR192" s="62">
        <v>2</v>
      </c>
      <c r="AS192" s="7"/>
      <c r="AT192" s="7"/>
      <c r="AU192" s="72">
        <f t="shared" si="22"/>
        <v>2</v>
      </c>
      <c r="AV192" s="7"/>
      <c r="AW192" s="7"/>
      <c r="AX192" s="62">
        <v>2</v>
      </c>
      <c r="AY192" s="62">
        <v>2</v>
      </c>
      <c r="AZ192" s="62">
        <v>3</v>
      </c>
      <c r="BA192" s="72">
        <f t="shared" si="23"/>
        <v>2.3333333333333335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4</v>
      </c>
      <c r="M193" s="62">
        <v>4</v>
      </c>
      <c r="N193" s="62">
        <v>4</v>
      </c>
      <c r="O193" s="62">
        <v>3</v>
      </c>
      <c r="P193" s="62">
        <v>3</v>
      </c>
      <c r="Q193" s="72">
        <f t="shared" si="17"/>
        <v>3.6</v>
      </c>
      <c r="R193" s="62">
        <v>2</v>
      </c>
      <c r="S193" s="62">
        <v>2</v>
      </c>
      <c r="T193" s="62"/>
      <c r="U193" s="62">
        <v>2</v>
      </c>
      <c r="V193" s="62"/>
      <c r="W193" s="72">
        <f t="shared" si="18"/>
        <v>2</v>
      </c>
      <c r="X193" s="62">
        <v>3</v>
      </c>
      <c r="Y193" s="62">
        <v>2</v>
      </c>
      <c r="Z193" s="62"/>
      <c r="AA193" s="62"/>
      <c r="AB193" s="62"/>
      <c r="AC193" s="72">
        <f t="shared" si="19"/>
        <v>2.5</v>
      </c>
      <c r="AD193" s="62">
        <v>2</v>
      </c>
      <c r="AE193" s="62"/>
      <c r="AF193" s="62">
        <v>0</v>
      </c>
      <c r="AG193" s="62"/>
      <c r="AH193" s="62"/>
      <c r="AI193" s="72">
        <f t="shared" si="20"/>
        <v>1</v>
      </c>
      <c r="AJ193" s="62"/>
      <c r="AK193" s="62"/>
      <c r="AL193" s="62"/>
      <c r="AM193" s="62"/>
      <c r="AN193" s="62"/>
      <c r="AO193" s="72" t="str">
        <f t="shared" si="21"/>
        <v>A</v>
      </c>
      <c r="AP193" s="62">
        <v>2</v>
      </c>
      <c r="AQ193" s="62">
        <v>3</v>
      </c>
      <c r="AR193" s="62">
        <v>3</v>
      </c>
      <c r="AS193" s="62"/>
      <c r="AT193" s="62"/>
      <c r="AU193" s="72">
        <f t="shared" si="22"/>
        <v>2.6666666666666665</v>
      </c>
      <c r="AV193" s="62"/>
      <c r="AW193" s="62"/>
      <c r="AX193" s="62">
        <v>3</v>
      </c>
      <c r="AY193" s="62">
        <v>2</v>
      </c>
      <c r="AZ193" s="62">
        <v>2</v>
      </c>
      <c r="BA193" s="72">
        <f t="shared" si="23"/>
        <v>2.3333333333333335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3</v>
      </c>
      <c r="M194" s="62">
        <v>3</v>
      </c>
      <c r="N194" s="62">
        <v>3</v>
      </c>
      <c r="O194" s="62">
        <v>3</v>
      </c>
      <c r="P194" s="62">
        <v>3</v>
      </c>
      <c r="Q194" s="72">
        <f t="shared" si="17"/>
        <v>3</v>
      </c>
      <c r="R194" s="62">
        <v>3</v>
      </c>
      <c r="S194" s="62">
        <v>3</v>
      </c>
      <c r="T194" s="7"/>
      <c r="U194" s="62">
        <v>3</v>
      </c>
      <c r="V194" s="7"/>
      <c r="W194" s="72">
        <f t="shared" si="18"/>
        <v>3</v>
      </c>
      <c r="X194" s="62">
        <v>2</v>
      </c>
      <c r="Y194" s="62">
        <v>2</v>
      </c>
      <c r="Z194" s="7"/>
      <c r="AA194" s="7"/>
      <c r="AB194" s="7"/>
      <c r="AC194" s="72">
        <f t="shared" si="19"/>
        <v>2</v>
      </c>
      <c r="AD194" s="62">
        <v>3</v>
      </c>
      <c r="AE194" s="7"/>
      <c r="AF194" s="62">
        <v>0</v>
      </c>
      <c r="AG194" s="7"/>
      <c r="AH194" s="7"/>
      <c r="AI194" s="72">
        <f t="shared" si="20"/>
        <v>1.5</v>
      </c>
      <c r="AJ194" s="7"/>
      <c r="AK194" s="7"/>
      <c r="AL194" s="7"/>
      <c r="AM194" s="7"/>
      <c r="AN194" s="7"/>
      <c r="AO194" s="72" t="str">
        <f t="shared" si="21"/>
        <v>A</v>
      </c>
      <c r="AP194" s="62">
        <v>4</v>
      </c>
      <c r="AQ194" s="62">
        <v>3</v>
      </c>
      <c r="AR194" s="62">
        <v>2</v>
      </c>
      <c r="AS194" s="7"/>
      <c r="AT194" s="7"/>
      <c r="AU194" s="72">
        <f t="shared" si="22"/>
        <v>3</v>
      </c>
      <c r="AV194" s="7"/>
      <c r="AW194" s="7"/>
      <c r="AX194" s="62">
        <v>4</v>
      </c>
      <c r="AY194" s="62">
        <v>2</v>
      </c>
      <c r="AZ194" s="62">
        <v>3</v>
      </c>
      <c r="BA194" s="72">
        <f t="shared" si="23"/>
        <v>3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>
        <v>3</v>
      </c>
      <c r="N195" s="62">
        <v>3</v>
      </c>
      <c r="O195" s="62">
        <v>3</v>
      </c>
      <c r="P195" s="62">
        <v>3</v>
      </c>
      <c r="Q195" s="72">
        <f t="shared" si="17"/>
        <v>3</v>
      </c>
      <c r="R195" s="62">
        <v>3</v>
      </c>
      <c r="S195" s="62">
        <v>3</v>
      </c>
      <c r="T195" s="62"/>
      <c r="U195" s="62">
        <v>3</v>
      </c>
      <c r="V195" s="62"/>
      <c r="W195" s="72">
        <f t="shared" si="18"/>
        <v>3</v>
      </c>
      <c r="X195" s="62">
        <v>2</v>
      </c>
      <c r="Y195" s="62">
        <v>2</v>
      </c>
      <c r="Z195" s="62"/>
      <c r="AA195" s="62"/>
      <c r="AB195" s="62"/>
      <c r="AC195" s="72">
        <f t="shared" si="19"/>
        <v>2</v>
      </c>
      <c r="AD195" s="62">
        <v>3</v>
      </c>
      <c r="AE195" s="62"/>
      <c r="AF195" s="62">
        <v>0</v>
      </c>
      <c r="AG195" s="62"/>
      <c r="AH195" s="62"/>
      <c r="AI195" s="72">
        <f t="shared" si="20"/>
        <v>1.5</v>
      </c>
      <c r="AJ195" s="62"/>
      <c r="AK195" s="62"/>
      <c r="AL195" s="62"/>
      <c r="AM195" s="62"/>
      <c r="AN195" s="62"/>
      <c r="AO195" s="72" t="str">
        <f t="shared" si="21"/>
        <v>A</v>
      </c>
      <c r="AP195" s="62">
        <v>2</v>
      </c>
      <c r="AQ195" s="62">
        <v>3</v>
      </c>
      <c r="AR195" s="62">
        <v>2</v>
      </c>
      <c r="AS195" s="62"/>
      <c r="AT195" s="62"/>
      <c r="AU195" s="72">
        <f t="shared" si="22"/>
        <v>2.3333333333333335</v>
      </c>
      <c r="AV195" s="62"/>
      <c r="AW195" s="62"/>
      <c r="AX195" s="62">
        <v>2</v>
      </c>
      <c r="AY195" s="62">
        <v>5</v>
      </c>
      <c r="AZ195" s="62">
        <v>3</v>
      </c>
      <c r="BA195" s="72">
        <f t="shared" si="23"/>
        <v>3.3333333333333335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3</v>
      </c>
      <c r="M196" s="62">
        <v>3</v>
      </c>
      <c r="N196" s="62">
        <v>2</v>
      </c>
      <c r="O196" s="62">
        <v>3</v>
      </c>
      <c r="P196" s="62">
        <v>3</v>
      </c>
      <c r="Q196" s="72">
        <f t="shared" ref="Q196:Q230" si="25">IFERROR(AVERAGE(M196,N196,L196,O196,P196),"A")</f>
        <v>2.8</v>
      </c>
      <c r="R196" s="62">
        <v>3</v>
      </c>
      <c r="S196" s="62">
        <v>3</v>
      </c>
      <c r="T196" s="7"/>
      <c r="U196" s="62">
        <v>3</v>
      </c>
      <c r="V196" s="7"/>
      <c r="W196" s="72">
        <f t="shared" ref="W196:W230" si="26">IFERROR(AVERAGE(R196,S196,U196),"A")</f>
        <v>3</v>
      </c>
      <c r="X196" s="62">
        <v>2</v>
      </c>
      <c r="Y196" s="62">
        <v>2</v>
      </c>
      <c r="Z196" s="7"/>
      <c r="AA196" s="7"/>
      <c r="AB196" s="7"/>
      <c r="AC196" s="72">
        <f t="shared" ref="AC196:AC230" si="27">IFERROR(AVERAGE(Y196,X196),"A")</f>
        <v>2</v>
      </c>
      <c r="AD196" s="62">
        <v>3</v>
      </c>
      <c r="AE196" s="7"/>
      <c r="AF196" s="62">
        <v>0</v>
      </c>
      <c r="AG196" s="7"/>
      <c r="AH196" s="7"/>
      <c r="AI196" s="72">
        <f t="shared" ref="AI196:AI230" si="28">IFERROR(AVERAGE(AF196,AD196),"A")</f>
        <v>1.5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62">
        <v>3</v>
      </c>
      <c r="AQ196" s="62">
        <v>3</v>
      </c>
      <c r="AR196" s="62">
        <v>2</v>
      </c>
      <c r="AS196" s="7"/>
      <c r="AT196" s="7"/>
      <c r="AU196" s="72">
        <f t="shared" ref="AU196:AU230" si="30">IFERROR(AVERAGE(AR196,AQ196,AP196),"A")</f>
        <v>2.6666666666666665</v>
      </c>
      <c r="AV196" s="7"/>
      <c r="AW196" s="7"/>
      <c r="AX196" s="62">
        <v>3</v>
      </c>
      <c r="AY196" s="62">
        <v>2</v>
      </c>
      <c r="AZ196" s="62">
        <v>2</v>
      </c>
      <c r="BA196" s="72">
        <f t="shared" ref="BA196:BA230" si="31">IFERROR(AVERAGE(AX196,AY196,AZ196),"A")</f>
        <v>2.3333333333333335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3</v>
      </c>
      <c r="M197" s="62">
        <v>3</v>
      </c>
      <c r="N197" s="62">
        <v>2</v>
      </c>
      <c r="O197" s="62">
        <v>3</v>
      </c>
      <c r="P197" s="62">
        <v>3</v>
      </c>
      <c r="Q197" s="72">
        <f t="shared" si="25"/>
        <v>2.8</v>
      </c>
      <c r="R197" s="62">
        <v>3</v>
      </c>
      <c r="S197" s="62">
        <v>3</v>
      </c>
      <c r="T197" s="62"/>
      <c r="U197" s="62">
        <v>2</v>
      </c>
      <c r="V197" s="62"/>
      <c r="W197" s="72">
        <f t="shared" si="26"/>
        <v>2.6666666666666665</v>
      </c>
      <c r="X197" s="62">
        <v>2</v>
      </c>
      <c r="Y197" s="62">
        <v>2</v>
      </c>
      <c r="Z197" s="62"/>
      <c r="AA197" s="62"/>
      <c r="AB197" s="62"/>
      <c r="AC197" s="72">
        <f t="shared" si="27"/>
        <v>2</v>
      </c>
      <c r="AD197" s="62">
        <v>3</v>
      </c>
      <c r="AE197" s="62"/>
      <c r="AF197" s="62">
        <v>0</v>
      </c>
      <c r="AG197" s="62"/>
      <c r="AH197" s="62"/>
      <c r="AI197" s="72">
        <f t="shared" si="28"/>
        <v>1.5</v>
      </c>
      <c r="AJ197" s="62"/>
      <c r="AK197" s="62"/>
      <c r="AL197" s="62"/>
      <c r="AM197" s="62"/>
      <c r="AN197" s="62"/>
      <c r="AO197" s="72" t="str">
        <f t="shared" si="29"/>
        <v>A</v>
      </c>
      <c r="AP197" s="62">
        <v>3</v>
      </c>
      <c r="AQ197" s="62">
        <v>2</v>
      </c>
      <c r="AR197" s="62">
        <v>2</v>
      </c>
      <c r="AS197" s="62"/>
      <c r="AT197" s="62"/>
      <c r="AU197" s="72">
        <f t="shared" si="30"/>
        <v>2.3333333333333335</v>
      </c>
      <c r="AV197" s="62"/>
      <c r="AW197" s="62"/>
      <c r="AX197" s="62">
        <v>2</v>
      </c>
      <c r="AY197" s="62">
        <v>5</v>
      </c>
      <c r="AZ197" s="62">
        <v>3</v>
      </c>
      <c r="BA197" s="72">
        <f t="shared" si="31"/>
        <v>3.3333333333333335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2</v>
      </c>
      <c r="M198" s="62">
        <v>2</v>
      </c>
      <c r="N198" s="62">
        <v>2</v>
      </c>
      <c r="O198" s="62">
        <v>3</v>
      </c>
      <c r="P198" s="62">
        <v>2</v>
      </c>
      <c r="Q198" s="72">
        <f t="shared" si="25"/>
        <v>2.2000000000000002</v>
      </c>
      <c r="R198" s="62">
        <v>2</v>
      </c>
      <c r="S198" s="62">
        <v>2</v>
      </c>
      <c r="T198" s="7"/>
      <c r="U198" s="62">
        <v>2</v>
      </c>
      <c r="V198" s="7"/>
      <c r="W198" s="72">
        <f t="shared" si="26"/>
        <v>2</v>
      </c>
      <c r="X198" s="62">
        <v>2</v>
      </c>
      <c r="Y198" s="62">
        <v>2</v>
      </c>
      <c r="Z198" s="7"/>
      <c r="AA198" s="7"/>
      <c r="AB198" s="7"/>
      <c r="AC198" s="72">
        <f t="shared" si="27"/>
        <v>2</v>
      </c>
      <c r="AD198" s="62">
        <v>2</v>
      </c>
      <c r="AE198" s="7"/>
      <c r="AF198" s="62">
        <v>0</v>
      </c>
      <c r="AG198" s="7"/>
      <c r="AH198" s="7"/>
      <c r="AI198" s="72">
        <f t="shared" si="28"/>
        <v>1</v>
      </c>
      <c r="AJ198" s="7"/>
      <c r="AK198" s="7"/>
      <c r="AL198" s="7"/>
      <c r="AM198" s="7"/>
      <c r="AN198" s="7"/>
      <c r="AO198" s="72" t="str">
        <f t="shared" si="29"/>
        <v>A</v>
      </c>
      <c r="AP198" s="62">
        <v>2</v>
      </c>
      <c r="AQ198" s="62">
        <v>2</v>
      </c>
      <c r="AR198" s="62">
        <v>2</v>
      </c>
      <c r="AS198" s="7"/>
      <c r="AT198" s="7"/>
      <c r="AU198" s="72">
        <f t="shared" si="30"/>
        <v>2</v>
      </c>
      <c r="AV198" s="7"/>
      <c r="AW198" s="7"/>
      <c r="AX198" s="62">
        <v>2</v>
      </c>
      <c r="AY198" s="62">
        <v>2</v>
      </c>
      <c r="AZ198" s="62">
        <v>2</v>
      </c>
      <c r="BA198" s="72">
        <f t="shared" si="31"/>
        <v>2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>
        <v>2</v>
      </c>
      <c r="N199" s="62">
        <v>2</v>
      </c>
      <c r="O199" s="62">
        <v>3</v>
      </c>
      <c r="P199" s="62">
        <v>2</v>
      </c>
      <c r="Q199" s="72">
        <f t="shared" si="25"/>
        <v>2.4</v>
      </c>
      <c r="R199" s="62">
        <v>2</v>
      </c>
      <c r="S199" s="62">
        <v>2</v>
      </c>
      <c r="T199" s="62"/>
      <c r="U199" s="62">
        <v>2</v>
      </c>
      <c r="V199" s="62"/>
      <c r="W199" s="72">
        <f t="shared" si="26"/>
        <v>2</v>
      </c>
      <c r="X199" s="62">
        <v>2</v>
      </c>
      <c r="Y199" s="62">
        <v>2</v>
      </c>
      <c r="Z199" s="62"/>
      <c r="AA199" s="62"/>
      <c r="AB199" s="62"/>
      <c r="AC199" s="72">
        <f t="shared" si="27"/>
        <v>2</v>
      </c>
      <c r="AD199" s="62">
        <v>2</v>
      </c>
      <c r="AE199" s="62"/>
      <c r="AF199" s="62">
        <v>0</v>
      </c>
      <c r="AG199" s="62"/>
      <c r="AH199" s="62"/>
      <c r="AI199" s="72">
        <f t="shared" si="28"/>
        <v>1</v>
      </c>
      <c r="AJ199" s="62"/>
      <c r="AK199" s="62"/>
      <c r="AL199" s="62"/>
      <c r="AM199" s="62"/>
      <c r="AN199" s="62"/>
      <c r="AO199" s="72" t="str">
        <f t="shared" si="29"/>
        <v>A</v>
      </c>
      <c r="AP199" s="62">
        <v>2</v>
      </c>
      <c r="AQ199" s="62">
        <v>2</v>
      </c>
      <c r="AR199" s="62">
        <v>2</v>
      </c>
      <c r="AS199" s="62"/>
      <c r="AT199" s="62"/>
      <c r="AU199" s="72">
        <f t="shared" si="30"/>
        <v>2</v>
      </c>
      <c r="AV199" s="62"/>
      <c r="AW199" s="62"/>
      <c r="AX199" s="62">
        <v>2</v>
      </c>
      <c r="AY199" s="62">
        <v>2</v>
      </c>
      <c r="AZ199" s="62">
        <v>3</v>
      </c>
      <c r="BA199" s="72">
        <f t="shared" si="31"/>
        <v>2.3333333333333335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3</v>
      </c>
      <c r="M200" s="62">
        <v>3</v>
      </c>
      <c r="N200" s="62">
        <v>3</v>
      </c>
      <c r="O200" s="62">
        <v>3</v>
      </c>
      <c r="P200" s="62">
        <v>3</v>
      </c>
      <c r="Q200" s="72">
        <f t="shared" si="25"/>
        <v>3</v>
      </c>
      <c r="R200" s="62">
        <v>3</v>
      </c>
      <c r="S200" s="62">
        <v>3</v>
      </c>
      <c r="T200" s="7"/>
      <c r="U200" s="62">
        <v>3</v>
      </c>
      <c r="V200" s="7"/>
      <c r="W200" s="72">
        <f t="shared" si="26"/>
        <v>3</v>
      </c>
      <c r="X200" s="62">
        <v>3</v>
      </c>
      <c r="Y200" s="62">
        <v>3</v>
      </c>
      <c r="Z200" s="7"/>
      <c r="AA200" s="7"/>
      <c r="AB200" s="7"/>
      <c r="AC200" s="72">
        <f t="shared" si="27"/>
        <v>3</v>
      </c>
      <c r="AD200" s="62">
        <v>3</v>
      </c>
      <c r="AE200" s="7"/>
      <c r="AF200" s="62">
        <v>3</v>
      </c>
      <c r="AG200" s="7"/>
      <c r="AH200" s="7"/>
      <c r="AI200" s="72">
        <f t="shared" si="28"/>
        <v>3</v>
      </c>
      <c r="AJ200" s="7"/>
      <c r="AK200" s="7"/>
      <c r="AL200" s="7"/>
      <c r="AM200" s="7"/>
      <c r="AN200" s="7"/>
      <c r="AO200" s="72" t="str">
        <f t="shared" si="29"/>
        <v>A</v>
      </c>
      <c r="AP200" s="62">
        <v>0</v>
      </c>
      <c r="AQ200" s="62">
        <v>0</v>
      </c>
      <c r="AR200" s="62">
        <v>0</v>
      </c>
      <c r="AS200" s="7"/>
      <c r="AT200" s="7"/>
      <c r="AU200" s="72">
        <f t="shared" si="30"/>
        <v>0</v>
      </c>
      <c r="AV200" s="7"/>
      <c r="AW200" s="7"/>
      <c r="AX200" s="62">
        <v>0</v>
      </c>
      <c r="AY200" s="62">
        <v>0</v>
      </c>
      <c r="AZ200" s="62">
        <v>0</v>
      </c>
      <c r="BA200" s="72">
        <f t="shared" si="31"/>
        <v>0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2</v>
      </c>
      <c r="M201" s="62">
        <v>2</v>
      </c>
      <c r="N201" s="62">
        <v>2</v>
      </c>
      <c r="O201" s="62">
        <v>3</v>
      </c>
      <c r="P201" s="62">
        <v>2</v>
      </c>
      <c r="Q201" s="72">
        <f t="shared" si="25"/>
        <v>2.2000000000000002</v>
      </c>
      <c r="R201" s="62">
        <v>2</v>
      </c>
      <c r="S201" s="62">
        <v>2</v>
      </c>
      <c r="T201" s="62"/>
      <c r="U201" s="62">
        <v>2</v>
      </c>
      <c r="V201" s="62"/>
      <c r="W201" s="72">
        <f t="shared" si="26"/>
        <v>2</v>
      </c>
      <c r="X201" s="62">
        <v>2</v>
      </c>
      <c r="Y201" s="62">
        <v>2</v>
      </c>
      <c r="Z201" s="62"/>
      <c r="AA201" s="62"/>
      <c r="AB201" s="62"/>
      <c r="AC201" s="72">
        <f t="shared" si="27"/>
        <v>2</v>
      </c>
      <c r="AD201" s="62">
        <v>2</v>
      </c>
      <c r="AE201" s="62"/>
      <c r="AF201" s="62">
        <v>0</v>
      </c>
      <c r="AG201" s="62"/>
      <c r="AH201" s="62"/>
      <c r="AI201" s="72">
        <f t="shared" si="28"/>
        <v>1</v>
      </c>
      <c r="AJ201" s="62"/>
      <c r="AK201" s="62"/>
      <c r="AL201" s="62"/>
      <c r="AM201" s="62"/>
      <c r="AN201" s="62"/>
      <c r="AO201" s="72" t="str">
        <f t="shared" si="29"/>
        <v>A</v>
      </c>
      <c r="AP201" s="62">
        <v>2</v>
      </c>
      <c r="AQ201" s="62">
        <v>2</v>
      </c>
      <c r="AR201" s="62">
        <v>2</v>
      </c>
      <c r="AS201" s="62"/>
      <c r="AT201" s="62"/>
      <c r="AU201" s="72">
        <f t="shared" si="30"/>
        <v>2</v>
      </c>
      <c r="AV201" s="62"/>
      <c r="AW201" s="62"/>
      <c r="AX201" s="62">
        <v>2</v>
      </c>
      <c r="AY201" s="62">
        <v>2</v>
      </c>
      <c r="AZ201" s="62">
        <v>2</v>
      </c>
      <c r="BA201" s="72">
        <f t="shared" si="31"/>
        <v>2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3</v>
      </c>
      <c r="M202" s="62">
        <v>4</v>
      </c>
      <c r="N202" s="62">
        <v>4</v>
      </c>
      <c r="O202" s="62">
        <v>4</v>
      </c>
      <c r="P202" s="62">
        <v>4</v>
      </c>
      <c r="Q202" s="72">
        <f t="shared" si="25"/>
        <v>3.8</v>
      </c>
      <c r="R202" s="62">
        <v>3</v>
      </c>
      <c r="S202" s="62">
        <v>3</v>
      </c>
      <c r="T202" s="7"/>
      <c r="U202" s="62">
        <v>3</v>
      </c>
      <c r="V202" s="7"/>
      <c r="W202" s="72">
        <f t="shared" si="26"/>
        <v>3</v>
      </c>
      <c r="X202" s="62">
        <v>3</v>
      </c>
      <c r="Y202" s="62">
        <v>3</v>
      </c>
      <c r="Z202" s="7"/>
      <c r="AA202" s="7"/>
      <c r="AB202" s="7"/>
      <c r="AC202" s="72">
        <f t="shared" si="27"/>
        <v>3</v>
      </c>
      <c r="AD202" s="62">
        <v>3</v>
      </c>
      <c r="AE202" s="7"/>
      <c r="AF202" s="62">
        <v>0</v>
      </c>
      <c r="AG202" s="7"/>
      <c r="AH202" s="7"/>
      <c r="AI202" s="72">
        <f t="shared" si="28"/>
        <v>1.5</v>
      </c>
      <c r="AJ202" s="7"/>
      <c r="AK202" s="7"/>
      <c r="AL202" s="7"/>
      <c r="AM202" s="7"/>
      <c r="AN202" s="7"/>
      <c r="AO202" s="72" t="str">
        <f t="shared" si="29"/>
        <v>A</v>
      </c>
      <c r="AP202" s="62">
        <v>2</v>
      </c>
      <c r="AQ202" s="62">
        <v>3</v>
      </c>
      <c r="AR202" s="62">
        <v>3</v>
      </c>
      <c r="AS202" s="7"/>
      <c r="AT202" s="7"/>
      <c r="AU202" s="72">
        <f t="shared" si="30"/>
        <v>2.6666666666666665</v>
      </c>
      <c r="AV202" s="7"/>
      <c r="AW202" s="7"/>
      <c r="AX202" s="62">
        <v>2</v>
      </c>
      <c r="AY202" s="62">
        <v>3</v>
      </c>
      <c r="AZ202" s="62">
        <v>3</v>
      </c>
      <c r="BA202" s="72">
        <f t="shared" si="31"/>
        <v>2.6666666666666665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2</v>
      </c>
      <c r="M203" s="62">
        <v>3</v>
      </c>
      <c r="N203" s="62">
        <v>2</v>
      </c>
      <c r="O203" s="62">
        <v>4</v>
      </c>
      <c r="P203" s="62">
        <v>4</v>
      </c>
      <c r="Q203" s="72">
        <f t="shared" si="25"/>
        <v>3</v>
      </c>
      <c r="R203" s="62">
        <v>2</v>
      </c>
      <c r="S203" s="62">
        <v>2</v>
      </c>
      <c r="T203" s="62"/>
      <c r="U203" s="62">
        <v>2</v>
      </c>
      <c r="V203" s="62"/>
      <c r="W203" s="72">
        <f t="shared" si="26"/>
        <v>2</v>
      </c>
      <c r="X203" s="62">
        <v>2</v>
      </c>
      <c r="Y203" s="62">
        <v>2</v>
      </c>
      <c r="Z203" s="62"/>
      <c r="AA203" s="62"/>
      <c r="AB203" s="62"/>
      <c r="AC203" s="72">
        <f t="shared" si="27"/>
        <v>2</v>
      </c>
      <c r="AD203" s="62">
        <v>2</v>
      </c>
      <c r="AE203" s="62"/>
      <c r="AF203" s="62">
        <v>0</v>
      </c>
      <c r="AG203" s="62"/>
      <c r="AH203" s="62"/>
      <c r="AI203" s="72">
        <f t="shared" si="28"/>
        <v>1</v>
      </c>
      <c r="AJ203" s="62"/>
      <c r="AK203" s="62"/>
      <c r="AL203" s="62"/>
      <c r="AM203" s="62"/>
      <c r="AN203" s="62"/>
      <c r="AO203" s="72" t="str">
        <f t="shared" si="29"/>
        <v>A</v>
      </c>
      <c r="AP203" s="62">
        <v>2</v>
      </c>
      <c r="AQ203" s="62">
        <v>2</v>
      </c>
      <c r="AR203" s="62">
        <v>2</v>
      </c>
      <c r="AS203" s="62"/>
      <c r="AT203" s="62"/>
      <c r="AU203" s="72">
        <f t="shared" si="30"/>
        <v>2</v>
      </c>
      <c r="AV203" s="62"/>
      <c r="AW203" s="62"/>
      <c r="AX203" s="62">
        <v>2</v>
      </c>
      <c r="AY203" s="62">
        <v>2</v>
      </c>
      <c r="AZ203" s="62">
        <v>2</v>
      </c>
      <c r="BA203" s="72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3</v>
      </c>
      <c r="M204" s="62">
        <v>2</v>
      </c>
      <c r="N204" s="62">
        <v>2</v>
      </c>
      <c r="O204" s="62">
        <v>3</v>
      </c>
      <c r="P204" s="62">
        <v>2</v>
      </c>
      <c r="Q204" s="72">
        <f t="shared" si="25"/>
        <v>2.4</v>
      </c>
      <c r="R204" s="62">
        <v>2</v>
      </c>
      <c r="S204" s="62">
        <v>2</v>
      </c>
      <c r="T204" s="7"/>
      <c r="U204" s="62">
        <v>2</v>
      </c>
      <c r="V204" s="7"/>
      <c r="W204" s="72">
        <f t="shared" si="26"/>
        <v>2</v>
      </c>
      <c r="X204" s="62">
        <v>2</v>
      </c>
      <c r="Y204" s="62">
        <v>2</v>
      </c>
      <c r="Z204" s="7"/>
      <c r="AA204" s="7"/>
      <c r="AB204" s="7"/>
      <c r="AC204" s="72">
        <f t="shared" si="27"/>
        <v>2</v>
      </c>
      <c r="AD204" s="62">
        <v>2</v>
      </c>
      <c r="AE204" s="7"/>
      <c r="AF204" s="62">
        <v>0</v>
      </c>
      <c r="AG204" s="7"/>
      <c r="AH204" s="7"/>
      <c r="AI204" s="72">
        <f t="shared" si="28"/>
        <v>1</v>
      </c>
      <c r="AJ204" s="7"/>
      <c r="AK204" s="7"/>
      <c r="AL204" s="7"/>
      <c r="AM204" s="7"/>
      <c r="AN204" s="7"/>
      <c r="AO204" s="72" t="str">
        <f t="shared" si="29"/>
        <v>A</v>
      </c>
      <c r="AP204" s="62">
        <v>2</v>
      </c>
      <c r="AQ204" s="62">
        <v>2</v>
      </c>
      <c r="AR204" s="62">
        <v>2</v>
      </c>
      <c r="AS204" s="7"/>
      <c r="AT204" s="7"/>
      <c r="AU204" s="72">
        <f t="shared" si="30"/>
        <v>2</v>
      </c>
      <c r="AV204" s="7"/>
      <c r="AW204" s="7"/>
      <c r="AX204" s="62">
        <v>2</v>
      </c>
      <c r="AY204" s="62">
        <v>2</v>
      </c>
      <c r="AZ204" s="62">
        <v>2</v>
      </c>
      <c r="BA204" s="72">
        <f t="shared" si="31"/>
        <v>2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3</v>
      </c>
      <c r="M205" s="62">
        <v>4</v>
      </c>
      <c r="N205" s="62">
        <v>4</v>
      </c>
      <c r="O205" s="62">
        <v>4</v>
      </c>
      <c r="P205" s="62">
        <v>4</v>
      </c>
      <c r="Q205" s="72">
        <f t="shared" si="25"/>
        <v>3.8</v>
      </c>
      <c r="R205" s="62">
        <v>3</v>
      </c>
      <c r="S205" s="62">
        <v>3</v>
      </c>
      <c r="T205" s="62"/>
      <c r="U205" s="62">
        <v>3</v>
      </c>
      <c r="V205" s="62"/>
      <c r="W205" s="72">
        <f t="shared" si="26"/>
        <v>3</v>
      </c>
      <c r="X205" s="62">
        <v>3</v>
      </c>
      <c r="Y205" s="62">
        <v>3</v>
      </c>
      <c r="Z205" s="62"/>
      <c r="AA205" s="62"/>
      <c r="AB205" s="62"/>
      <c r="AC205" s="72">
        <f t="shared" si="27"/>
        <v>3</v>
      </c>
      <c r="AD205" s="62">
        <v>3</v>
      </c>
      <c r="AE205" s="62"/>
      <c r="AF205" s="62">
        <v>0</v>
      </c>
      <c r="AG205" s="62"/>
      <c r="AH205" s="62"/>
      <c r="AI205" s="72">
        <f t="shared" si="28"/>
        <v>1.5</v>
      </c>
      <c r="AJ205" s="62"/>
      <c r="AK205" s="62"/>
      <c r="AL205" s="62"/>
      <c r="AM205" s="62"/>
      <c r="AN205" s="62"/>
      <c r="AO205" s="72" t="str">
        <f t="shared" si="29"/>
        <v>A</v>
      </c>
      <c r="AP205" s="62">
        <v>2</v>
      </c>
      <c r="AQ205" s="62">
        <v>2</v>
      </c>
      <c r="AR205" s="62">
        <v>2</v>
      </c>
      <c r="AS205" s="62"/>
      <c r="AT205" s="62"/>
      <c r="AU205" s="72">
        <f t="shared" si="30"/>
        <v>2</v>
      </c>
      <c r="AV205" s="62"/>
      <c r="AW205" s="62"/>
      <c r="AX205" s="62">
        <v>2</v>
      </c>
      <c r="AY205" s="62">
        <v>2</v>
      </c>
      <c r="AZ205" s="62">
        <v>3</v>
      </c>
      <c r="BA205" s="72">
        <f t="shared" si="31"/>
        <v>2.3333333333333335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2</v>
      </c>
      <c r="M206" s="62">
        <v>3</v>
      </c>
      <c r="N206" s="62">
        <v>2</v>
      </c>
      <c r="O206" s="62">
        <v>4</v>
      </c>
      <c r="P206" s="62">
        <v>4</v>
      </c>
      <c r="Q206" s="72">
        <f t="shared" si="25"/>
        <v>3</v>
      </c>
      <c r="R206" s="62">
        <v>2</v>
      </c>
      <c r="S206" s="62">
        <v>2</v>
      </c>
      <c r="T206" s="7"/>
      <c r="U206" s="62">
        <v>2</v>
      </c>
      <c r="V206" s="7"/>
      <c r="W206" s="72">
        <f t="shared" si="26"/>
        <v>2</v>
      </c>
      <c r="X206" s="62">
        <v>2</v>
      </c>
      <c r="Y206" s="62">
        <v>2</v>
      </c>
      <c r="Z206" s="7"/>
      <c r="AA206" s="7"/>
      <c r="AB206" s="7"/>
      <c r="AC206" s="72">
        <f t="shared" si="27"/>
        <v>2</v>
      </c>
      <c r="AD206" s="62">
        <v>2</v>
      </c>
      <c r="AE206" s="7"/>
      <c r="AF206" s="62">
        <v>0</v>
      </c>
      <c r="AG206" s="7"/>
      <c r="AH206" s="7"/>
      <c r="AI206" s="72">
        <f t="shared" si="28"/>
        <v>1</v>
      </c>
      <c r="AJ206" s="7"/>
      <c r="AK206" s="7"/>
      <c r="AL206" s="7"/>
      <c r="AM206" s="7"/>
      <c r="AN206" s="7"/>
      <c r="AO206" s="72" t="str">
        <f t="shared" si="29"/>
        <v>A</v>
      </c>
      <c r="AP206" s="62">
        <v>2</v>
      </c>
      <c r="AQ206" s="62">
        <v>2</v>
      </c>
      <c r="AR206" s="62">
        <v>2</v>
      </c>
      <c r="AS206" s="7"/>
      <c r="AT206" s="7"/>
      <c r="AU206" s="72">
        <f t="shared" si="30"/>
        <v>2</v>
      </c>
      <c r="AV206" s="7"/>
      <c r="AW206" s="7"/>
      <c r="AX206" s="62">
        <v>2</v>
      </c>
      <c r="AY206" s="62">
        <v>3</v>
      </c>
      <c r="AZ206" s="62">
        <v>3</v>
      </c>
      <c r="BA206" s="72">
        <f t="shared" si="31"/>
        <v>2.6666666666666665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2</v>
      </c>
      <c r="M207" s="62">
        <v>2</v>
      </c>
      <c r="N207" s="62">
        <v>2</v>
      </c>
      <c r="O207" s="62">
        <v>4</v>
      </c>
      <c r="P207" s="62">
        <v>4</v>
      </c>
      <c r="Q207" s="72">
        <f t="shared" si="25"/>
        <v>2.8</v>
      </c>
      <c r="R207" s="62">
        <v>2</v>
      </c>
      <c r="S207" s="62">
        <v>2</v>
      </c>
      <c r="T207" s="62"/>
      <c r="U207" s="62">
        <v>2</v>
      </c>
      <c r="V207" s="62"/>
      <c r="W207" s="72">
        <f t="shared" si="26"/>
        <v>2</v>
      </c>
      <c r="X207" s="62">
        <v>2</v>
      </c>
      <c r="Y207" s="62">
        <v>2</v>
      </c>
      <c r="Z207" s="62"/>
      <c r="AA207" s="62"/>
      <c r="AB207" s="62"/>
      <c r="AC207" s="72">
        <f t="shared" si="27"/>
        <v>2</v>
      </c>
      <c r="AD207" s="62">
        <v>2</v>
      </c>
      <c r="AE207" s="62"/>
      <c r="AF207" s="62">
        <v>0</v>
      </c>
      <c r="AG207" s="62"/>
      <c r="AH207" s="62"/>
      <c r="AI207" s="72">
        <f t="shared" si="28"/>
        <v>1</v>
      </c>
      <c r="AJ207" s="62"/>
      <c r="AK207" s="62"/>
      <c r="AL207" s="62"/>
      <c r="AM207" s="62"/>
      <c r="AN207" s="62"/>
      <c r="AO207" s="72" t="str">
        <f t="shared" si="29"/>
        <v>A</v>
      </c>
      <c r="AP207" s="62">
        <v>2</v>
      </c>
      <c r="AQ207" s="62">
        <v>2</v>
      </c>
      <c r="AR207" s="62">
        <v>2</v>
      </c>
      <c r="AS207" s="62"/>
      <c r="AT207" s="62"/>
      <c r="AU207" s="72">
        <f t="shared" si="30"/>
        <v>2</v>
      </c>
      <c r="AV207" s="62"/>
      <c r="AW207" s="62"/>
      <c r="AX207" s="62">
        <v>2</v>
      </c>
      <c r="AY207" s="62">
        <v>2</v>
      </c>
      <c r="AZ207" s="62">
        <v>2</v>
      </c>
      <c r="BA207" s="72">
        <f t="shared" si="31"/>
        <v>2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2</v>
      </c>
      <c r="M208" s="62">
        <v>2</v>
      </c>
      <c r="N208" s="62">
        <v>2</v>
      </c>
      <c r="O208" s="62">
        <v>4</v>
      </c>
      <c r="P208" s="62">
        <v>4</v>
      </c>
      <c r="Q208" s="72">
        <f t="shared" si="25"/>
        <v>2.8</v>
      </c>
      <c r="R208" s="62">
        <v>2</v>
      </c>
      <c r="S208" s="62">
        <v>2</v>
      </c>
      <c r="T208" s="7"/>
      <c r="U208" s="62">
        <v>2</v>
      </c>
      <c r="V208" s="7"/>
      <c r="W208" s="72">
        <f t="shared" si="26"/>
        <v>2</v>
      </c>
      <c r="X208" s="62">
        <v>2</v>
      </c>
      <c r="Y208" s="62">
        <v>2</v>
      </c>
      <c r="Z208" s="7"/>
      <c r="AA208" s="7"/>
      <c r="AB208" s="7"/>
      <c r="AC208" s="72">
        <f t="shared" si="27"/>
        <v>2</v>
      </c>
      <c r="AD208" s="62">
        <v>2</v>
      </c>
      <c r="AE208" s="7"/>
      <c r="AF208" s="62">
        <v>0</v>
      </c>
      <c r="AG208" s="7"/>
      <c r="AH208" s="7"/>
      <c r="AI208" s="72">
        <f t="shared" si="28"/>
        <v>1</v>
      </c>
      <c r="AJ208" s="7"/>
      <c r="AK208" s="7"/>
      <c r="AL208" s="7"/>
      <c r="AM208" s="7"/>
      <c r="AN208" s="7"/>
      <c r="AO208" s="72" t="str">
        <f t="shared" si="29"/>
        <v>A</v>
      </c>
      <c r="AP208" s="62">
        <v>2</v>
      </c>
      <c r="AQ208" s="62">
        <v>2</v>
      </c>
      <c r="AR208" s="62">
        <v>2</v>
      </c>
      <c r="AS208" s="7"/>
      <c r="AT208" s="7"/>
      <c r="AU208" s="72">
        <f t="shared" si="30"/>
        <v>2</v>
      </c>
      <c r="AV208" s="7"/>
      <c r="AW208" s="7"/>
      <c r="AX208" s="62">
        <v>2</v>
      </c>
      <c r="AY208" s="62">
        <v>2</v>
      </c>
      <c r="AZ208" s="62">
        <v>2</v>
      </c>
      <c r="BA208" s="72">
        <f t="shared" si="31"/>
        <v>2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2</v>
      </c>
      <c r="M209" s="62">
        <v>3</v>
      </c>
      <c r="N209" s="62">
        <v>2</v>
      </c>
      <c r="O209" s="62">
        <v>4</v>
      </c>
      <c r="P209" s="62">
        <v>3</v>
      </c>
      <c r="Q209" s="72">
        <f t="shared" si="25"/>
        <v>2.8</v>
      </c>
      <c r="R209" s="62">
        <v>3</v>
      </c>
      <c r="S209" s="62">
        <v>3</v>
      </c>
      <c r="T209" s="62"/>
      <c r="U209" s="62">
        <v>3</v>
      </c>
      <c r="V209" s="62"/>
      <c r="W209" s="72">
        <f t="shared" si="26"/>
        <v>3</v>
      </c>
      <c r="X209" s="62">
        <v>3</v>
      </c>
      <c r="Y209" s="62">
        <v>3</v>
      </c>
      <c r="Z209" s="62"/>
      <c r="AA209" s="62"/>
      <c r="AB209" s="62"/>
      <c r="AC209" s="72">
        <f t="shared" si="27"/>
        <v>3</v>
      </c>
      <c r="AD209" s="62">
        <v>3</v>
      </c>
      <c r="AE209" s="62"/>
      <c r="AF209" s="62">
        <v>0</v>
      </c>
      <c r="AG209" s="62"/>
      <c r="AH209" s="62"/>
      <c r="AI209" s="72">
        <f t="shared" si="28"/>
        <v>1.5</v>
      </c>
      <c r="AJ209" s="62"/>
      <c r="AK209" s="62"/>
      <c r="AL209" s="62"/>
      <c r="AM209" s="62"/>
      <c r="AN209" s="62"/>
      <c r="AO209" s="72" t="str">
        <f t="shared" si="29"/>
        <v>A</v>
      </c>
      <c r="AP209" s="62">
        <v>3</v>
      </c>
      <c r="AQ209" s="62">
        <v>2</v>
      </c>
      <c r="AR209" s="62">
        <v>2</v>
      </c>
      <c r="AS209" s="62"/>
      <c r="AT209" s="62"/>
      <c r="AU209" s="72">
        <f t="shared" si="30"/>
        <v>2.3333333333333335</v>
      </c>
      <c r="AV209" s="62"/>
      <c r="AW209" s="62"/>
      <c r="AX209" s="62">
        <v>2</v>
      </c>
      <c r="AY209" s="62">
        <v>5</v>
      </c>
      <c r="AZ209" s="62">
        <v>3</v>
      </c>
      <c r="BA209" s="72">
        <f t="shared" si="31"/>
        <v>3.3333333333333335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2</v>
      </c>
      <c r="M210" s="62">
        <v>4</v>
      </c>
      <c r="N210" s="62">
        <v>3</v>
      </c>
      <c r="O210" s="62">
        <v>3</v>
      </c>
      <c r="P210" s="62">
        <v>2</v>
      </c>
      <c r="Q210" s="72">
        <f t="shared" si="25"/>
        <v>2.8</v>
      </c>
      <c r="R210" s="62">
        <v>3</v>
      </c>
      <c r="S210" s="62">
        <v>3</v>
      </c>
      <c r="T210" s="7"/>
      <c r="U210" s="62">
        <v>3</v>
      </c>
      <c r="V210" s="7"/>
      <c r="W210" s="72">
        <f t="shared" si="26"/>
        <v>3</v>
      </c>
      <c r="X210" s="62">
        <v>3</v>
      </c>
      <c r="Y210" s="62">
        <v>2</v>
      </c>
      <c r="Z210" s="7"/>
      <c r="AA210" s="7"/>
      <c r="AB210" s="7"/>
      <c r="AC210" s="72">
        <f t="shared" si="27"/>
        <v>2.5</v>
      </c>
      <c r="AD210" s="62">
        <v>1</v>
      </c>
      <c r="AE210" s="7"/>
      <c r="AF210" s="62">
        <v>1</v>
      </c>
      <c r="AG210" s="7"/>
      <c r="AH210" s="7"/>
      <c r="AI210" s="72">
        <f t="shared" si="28"/>
        <v>1</v>
      </c>
      <c r="AJ210" s="7"/>
      <c r="AK210" s="7"/>
      <c r="AL210" s="7"/>
      <c r="AM210" s="7"/>
      <c r="AN210" s="7"/>
      <c r="AO210" s="72" t="str">
        <f t="shared" si="29"/>
        <v>A</v>
      </c>
      <c r="AP210" s="62">
        <v>1</v>
      </c>
      <c r="AQ210" s="62">
        <v>1</v>
      </c>
      <c r="AR210" s="62">
        <v>1</v>
      </c>
      <c r="AS210" s="7"/>
      <c r="AT210" s="7"/>
      <c r="AU210" s="72">
        <f t="shared" si="30"/>
        <v>1</v>
      </c>
      <c r="AV210" s="7"/>
      <c r="AW210" s="7"/>
      <c r="AX210" s="62">
        <v>1</v>
      </c>
      <c r="AY210" s="62">
        <v>1</v>
      </c>
      <c r="AZ210" s="62">
        <v>1</v>
      </c>
      <c r="BA210" s="72">
        <f t="shared" si="31"/>
        <v>1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2</v>
      </c>
      <c r="M211" s="62">
        <v>2</v>
      </c>
      <c r="N211" s="62">
        <v>2</v>
      </c>
      <c r="O211" s="62">
        <v>4</v>
      </c>
      <c r="P211" s="62">
        <v>4</v>
      </c>
      <c r="Q211" s="72">
        <f t="shared" si="25"/>
        <v>2.8</v>
      </c>
      <c r="R211" s="62">
        <v>2</v>
      </c>
      <c r="S211" s="62">
        <v>2</v>
      </c>
      <c r="T211" s="62"/>
      <c r="U211" s="62">
        <v>2</v>
      </c>
      <c r="V211" s="62"/>
      <c r="W211" s="72">
        <f t="shared" si="26"/>
        <v>2</v>
      </c>
      <c r="X211" s="62">
        <v>2</v>
      </c>
      <c r="Y211" s="62">
        <v>2</v>
      </c>
      <c r="Z211" s="62"/>
      <c r="AA211" s="62"/>
      <c r="AB211" s="62"/>
      <c r="AC211" s="72">
        <f t="shared" si="27"/>
        <v>2</v>
      </c>
      <c r="AD211" s="62">
        <v>2</v>
      </c>
      <c r="AE211" s="62"/>
      <c r="AF211" s="62">
        <v>0</v>
      </c>
      <c r="AG211" s="62"/>
      <c r="AH211" s="62"/>
      <c r="AI211" s="72">
        <f t="shared" si="28"/>
        <v>1</v>
      </c>
      <c r="AJ211" s="62"/>
      <c r="AK211" s="62"/>
      <c r="AL211" s="62"/>
      <c r="AM211" s="62"/>
      <c r="AN211" s="62"/>
      <c r="AO211" s="72" t="str">
        <f t="shared" si="29"/>
        <v>A</v>
      </c>
      <c r="AP211" s="62">
        <v>2</v>
      </c>
      <c r="AQ211" s="62">
        <v>2</v>
      </c>
      <c r="AR211" s="62">
        <v>2</v>
      </c>
      <c r="AS211" s="62"/>
      <c r="AT211" s="62"/>
      <c r="AU211" s="72">
        <f t="shared" si="30"/>
        <v>2</v>
      </c>
      <c r="AV211" s="62"/>
      <c r="AW211" s="62"/>
      <c r="AX211" s="62">
        <v>2</v>
      </c>
      <c r="AY211" s="62">
        <v>2</v>
      </c>
      <c r="AZ211" s="62">
        <v>3</v>
      </c>
      <c r="BA211" s="72">
        <f t="shared" si="31"/>
        <v>2.3333333333333335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2</v>
      </c>
      <c r="M212" s="62">
        <v>2</v>
      </c>
      <c r="N212" s="62">
        <v>2</v>
      </c>
      <c r="O212" s="62">
        <v>4</v>
      </c>
      <c r="P212" s="62">
        <v>2</v>
      </c>
      <c r="Q212" s="72">
        <f t="shared" si="25"/>
        <v>2.4</v>
      </c>
      <c r="R212" s="62">
        <v>2</v>
      </c>
      <c r="S212" s="62">
        <v>2</v>
      </c>
      <c r="T212" s="7"/>
      <c r="U212" s="62">
        <v>2</v>
      </c>
      <c r="V212" s="7"/>
      <c r="W212" s="72">
        <f t="shared" si="26"/>
        <v>2</v>
      </c>
      <c r="X212" s="62">
        <v>2</v>
      </c>
      <c r="Y212" s="62">
        <v>2</v>
      </c>
      <c r="Z212" s="7"/>
      <c r="AA212" s="7"/>
      <c r="AB212" s="7"/>
      <c r="AC212" s="72">
        <f t="shared" si="27"/>
        <v>2</v>
      </c>
      <c r="AD212" s="62">
        <v>2</v>
      </c>
      <c r="AE212" s="7"/>
      <c r="AF212" s="62">
        <v>0</v>
      </c>
      <c r="AG212" s="7"/>
      <c r="AH212" s="7"/>
      <c r="AI212" s="72">
        <f t="shared" si="28"/>
        <v>1</v>
      </c>
      <c r="AJ212" s="7"/>
      <c r="AK212" s="7"/>
      <c r="AL212" s="7"/>
      <c r="AM212" s="7"/>
      <c r="AN212" s="7"/>
      <c r="AO212" s="72" t="str">
        <f t="shared" si="29"/>
        <v>A</v>
      </c>
      <c r="AP212" s="62">
        <v>2</v>
      </c>
      <c r="AQ212" s="62">
        <v>2</v>
      </c>
      <c r="AR212" s="62">
        <v>2</v>
      </c>
      <c r="AS212" s="7"/>
      <c r="AT212" s="7"/>
      <c r="AU212" s="72">
        <f t="shared" si="30"/>
        <v>2</v>
      </c>
      <c r="AV212" s="7"/>
      <c r="AW212" s="7"/>
      <c r="AX212" s="62">
        <v>2</v>
      </c>
      <c r="AY212" s="62">
        <v>2</v>
      </c>
      <c r="AZ212" s="62">
        <v>2</v>
      </c>
      <c r="BA212" s="72">
        <f t="shared" si="31"/>
        <v>2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>
        <v>2</v>
      </c>
      <c r="M213" s="62">
        <v>2</v>
      </c>
      <c r="N213" s="62">
        <v>2</v>
      </c>
      <c r="O213" s="62">
        <v>2</v>
      </c>
      <c r="P213" s="62">
        <v>2</v>
      </c>
      <c r="Q213" s="72">
        <f t="shared" si="25"/>
        <v>2</v>
      </c>
      <c r="R213" s="62">
        <v>2</v>
      </c>
      <c r="S213" s="62">
        <v>2</v>
      </c>
      <c r="T213" s="62"/>
      <c r="U213" s="62">
        <v>2</v>
      </c>
      <c r="V213" s="62"/>
      <c r="W213" s="72">
        <f t="shared" si="26"/>
        <v>2</v>
      </c>
      <c r="X213" s="62">
        <v>2</v>
      </c>
      <c r="Y213" s="62">
        <v>2</v>
      </c>
      <c r="Z213" s="62"/>
      <c r="AA213" s="62"/>
      <c r="AB213" s="62"/>
      <c r="AC213" s="72">
        <f t="shared" si="27"/>
        <v>2</v>
      </c>
      <c r="AD213" s="62">
        <v>2</v>
      </c>
      <c r="AE213" s="62"/>
      <c r="AF213" s="62">
        <v>0</v>
      </c>
      <c r="AG213" s="62"/>
      <c r="AH213" s="62"/>
      <c r="AI213" s="72">
        <f t="shared" si="28"/>
        <v>1</v>
      </c>
      <c r="AJ213" s="62"/>
      <c r="AK213" s="62"/>
      <c r="AL213" s="62"/>
      <c r="AM213" s="62"/>
      <c r="AN213" s="62"/>
      <c r="AO213" s="72" t="str">
        <f t="shared" si="29"/>
        <v>A</v>
      </c>
      <c r="AP213" s="62">
        <v>2</v>
      </c>
      <c r="AQ213" s="62">
        <v>2</v>
      </c>
      <c r="AR213" s="62">
        <v>2</v>
      </c>
      <c r="AS213" s="62"/>
      <c r="AT213" s="62"/>
      <c r="AU213" s="72">
        <f t="shared" si="30"/>
        <v>2</v>
      </c>
      <c r="AV213" s="62"/>
      <c r="AW213" s="62"/>
      <c r="AX213" s="62">
        <v>2</v>
      </c>
      <c r="AY213" s="62">
        <v>2</v>
      </c>
      <c r="AZ213" s="62">
        <v>2</v>
      </c>
      <c r="BA213" s="72">
        <f t="shared" si="31"/>
        <v>2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2</v>
      </c>
      <c r="M214" s="62">
        <v>2</v>
      </c>
      <c r="N214" s="62">
        <v>2</v>
      </c>
      <c r="O214" s="62">
        <v>2</v>
      </c>
      <c r="P214" s="62">
        <v>2</v>
      </c>
      <c r="Q214" s="72">
        <f t="shared" si="25"/>
        <v>2</v>
      </c>
      <c r="R214" s="62">
        <v>2</v>
      </c>
      <c r="S214" s="62">
        <v>2</v>
      </c>
      <c r="T214" s="7"/>
      <c r="U214" s="62">
        <v>2</v>
      </c>
      <c r="V214" s="7"/>
      <c r="W214" s="72">
        <f t="shared" si="26"/>
        <v>2</v>
      </c>
      <c r="X214" s="62">
        <v>2</v>
      </c>
      <c r="Y214" s="62">
        <v>2</v>
      </c>
      <c r="Z214" s="7"/>
      <c r="AA214" s="7"/>
      <c r="AB214" s="7"/>
      <c r="AC214" s="72">
        <f t="shared" si="27"/>
        <v>2</v>
      </c>
      <c r="AD214" s="62">
        <v>2</v>
      </c>
      <c r="AE214" s="7"/>
      <c r="AF214" s="62">
        <v>0</v>
      </c>
      <c r="AG214" s="7"/>
      <c r="AH214" s="7"/>
      <c r="AI214" s="72">
        <f t="shared" si="28"/>
        <v>1</v>
      </c>
      <c r="AJ214" s="7"/>
      <c r="AK214" s="7"/>
      <c r="AL214" s="7"/>
      <c r="AM214" s="7"/>
      <c r="AN214" s="7"/>
      <c r="AO214" s="72" t="str">
        <f t="shared" si="29"/>
        <v>A</v>
      </c>
      <c r="AP214" s="62">
        <v>2</v>
      </c>
      <c r="AQ214" s="62">
        <v>2</v>
      </c>
      <c r="AR214" s="62">
        <v>2</v>
      </c>
      <c r="AS214" s="7"/>
      <c r="AT214" s="7"/>
      <c r="AU214" s="72">
        <f t="shared" si="30"/>
        <v>2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3</v>
      </c>
      <c r="M215" s="62">
        <v>3</v>
      </c>
      <c r="N215" s="62">
        <v>2</v>
      </c>
      <c r="O215" s="62">
        <v>2</v>
      </c>
      <c r="P215" s="62">
        <v>2</v>
      </c>
      <c r="Q215" s="72">
        <f t="shared" si="25"/>
        <v>2.4</v>
      </c>
      <c r="R215" s="62">
        <v>2</v>
      </c>
      <c r="S215" s="62">
        <v>2</v>
      </c>
      <c r="T215" s="62"/>
      <c r="U215" s="62">
        <v>2</v>
      </c>
      <c r="V215" s="62"/>
      <c r="W215" s="72">
        <f t="shared" si="26"/>
        <v>2</v>
      </c>
      <c r="X215" s="62">
        <v>2</v>
      </c>
      <c r="Y215" s="62">
        <v>2</v>
      </c>
      <c r="Z215" s="62"/>
      <c r="AA215" s="62"/>
      <c r="AB215" s="62"/>
      <c r="AC215" s="72">
        <f t="shared" si="27"/>
        <v>2</v>
      </c>
      <c r="AD215" s="62">
        <v>3</v>
      </c>
      <c r="AE215" s="62"/>
      <c r="AF215" s="62">
        <v>0</v>
      </c>
      <c r="AG215" s="62"/>
      <c r="AH215" s="62"/>
      <c r="AI215" s="72">
        <f t="shared" si="28"/>
        <v>1.5</v>
      </c>
      <c r="AJ215" s="62"/>
      <c r="AK215" s="62"/>
      <c r="AL215" s="62"/>
      <c r="AM215" s="62"/>
      <c r="AN215" s="62"/>
      <c r="AO215" s="72" t="str">
        <f t="shared" si="29"/>
        <v>A</v>
      </c>
      <c r="AP215" s="62">
        <v>3</v>
      </c>
      <c r="AQ215" s="62">
        <v>2</v>
      </c>
      <c r="AR215" s="62">
        <v>2</v>
      </c>
      <c r="AS215" s="62"/>
      <c r="AT215" s="62"/>
      <c r="AU215" s="72">
        <f t="shared" si="30"/>
        <v>2.3333333333333335</v>
      </c>
      <c r="AV215" s="62"/>
      <c r="AW215" s="62"/>
      <c r="AX215" s="62">
        <v>2</v>
      </c>
      <c r="AY215" s="62">
        <v>5</v>
      </c>
      <c r="AZ215" s="62">
        <v>3</v>
      </c>
      <c r="BA215" s="72">
        <f t="shared" si="31"/>
        <v>3.3333333333333335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3</v>
      </c>
      <c r="M216" s="62">
        <v>3</v>
      </c>
      <c r="N216" s="62">
        <v>2</v>
      </c>
      <c r="O216" s="62">
        <v>2</v>
      </c>
      <c r="P216" s="62">
        <v>3</v>
      </c>
      <c r="Q216" s="72">
        <f t="shared" si="25"/>
        <v>2.6</v>
      </c>
      <c r="R216" s="62">
        <v>2</v>
      </c>
      <c r="S216" s="62">
        <v>2</v>
      </c>
      <c r="T216" s="7"/>
      <c r="U216" s="62">
        <v>2</v>
      </c>
      <c r="V216" s="7"/>
      <c r="W216" s="72">
        <f t="shared" si="26"/>
        <v>2</v>
      </c>
      <c r="X216" s="62">
        <v>2</v>
      </c>
      <c r="Y216" s="62">
        <v>2</v>
      </c>
      <c r="Z216" s="7"/>
      <c r="AA216" s="7"/>
      <c r="AB216" s="7"/>
      <c r="AC216" s="72">
        <f t="shared" si="27"/>
        <v>2</v>
      </c>
      <c r="AD216" s="62">
        <v>2</v>
      </c>
      <c r="AE216" s="7"/>
      <c r="AF216" s="62">
        <v>0</v>
      </c>
      <c r="AG216" s="7"/>
      <c r="AH216" s="7"/>
      <c r="AI216" s="72">
        <f t="shared" si="28"/>
        <v>1</v>
      </c>
      <c r="AJ216" s="7"/>
      <c r="AK216" s="7"/>
      <c r="AL216" s="7"/>
      <c r="AM216" s="7"/>
      <c r="AN216" s="7"/>
      <c r="AO216" s="72" t="str">
        <f t="shared" si="29"/>
        <v>A</v>
      </c>
      <c r="AP216" s="62">
        <v>2</v>
      </c>
      <c r="AQ216" s="62">
        <v>2</v>
      </c>
      <c r="AR216" s="62">
        <v>2</v>
      </c>
      <c r="AS216" s="7"/>
      <c r="AT216" s="7"/>
      <c r="AU216" s="72">
        <f t="shared" si="30"/>
        <v>2</v>
      </c>
      <c r="AV216" s="7"/>
      <c r="AW216" s="7"/>
      <c r="AX216" s="62">
        <v>2</v>
      </c>
      <c r="AY216" s="62">
        <v>2</v>
      </c>
      <c r="AZ216" s="62">
        <v>3</v>
      </c>
      <c r="BA216" s="72">
        <f t="shared" si="31"/>
        <v>2.3333333333333335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3</v>
      </c>
      <c r="M217" s="62">
        <v>2</v>
      </c>
      <c r="N217" s="62">
        <v>2</v>
      </c>
      <c r="O217" s="62">
        <v>2</v>
      </c>
      <c r="P217" s="62">
        <v>3</v>
      </c>
      <c r="Q217" s="72">
        <f t="shared" si="25"/>
        <v>2.4</v>
      </c>
      <c r="R217" s="62">
        <v>2</v>
      </c>
      <c r="S217" s="62">
        <v>2</v>
      </c>
      <c r="T217" s="62"/>
      <c r="U217" s="62">
        <v>2</v>
      </c>
      <c r="V217" s="62"/>
      <c r="W217" s="72">
        <f t="shared" si="26"/>
        <v>2</v>
      </c>
      <c r="X217" s="62">
        <v>2</v>
      </c>
      <c r="Y217" s="62">
        <v>2</v>
      </c>
      <c r="Z217" s="62"/>
      <c r="AA217" s="62"/>
      <c r="AB217" s="62"/>
      <c r="AC217" s="72">
        <f t="shared" si="27"/>
        <v>2</v>
      </c>
      <c r="AD217" s="62">
        <v>2</v>
      </c>
      <c r="AE217" s="62"/>
      <c r="AF217" s="62">
        <v>0</v>
      </c>
      <c r="AG217" s="62"/>
      <c r="AH217" s="62"/>
      <c r="AI217" s="72">
        <f t="shared" si="28"/>
        <v>1</v>
      </c>
      <c r="AJ217" s="62"/>
      <c r="AK217" s="62"/>
      <c r="AL217" s="62"/>
      <c r="AM217" s="62"/>
      <c r="AN217" s="62"/>
      <c r="AO217" s="72" t="str">
        <f t="shared" si="29"/>
        <v>A</v>
      </c>
      <c r="AP217" s="62">
        <v>2</v>
      </c>
      <c r="AQ217" s="62">
        <v>2</v>
      </c>
      <c r="AR217" s="62">
        <v>2</v>
      </c>
      <c r="AS217" s="62"/>
      <c r="AT217" s="62"/>
      <c r="AU217" s="72">
        <f t="shared" si="30"/>
        <v>2</v>
      </c>
      <c r="AV217" s="62"/>
      <c r="AW217" s="62"/>
      <c r="AX217" s="62">
        <v>2</v>
      </c>
      <c r="AY217" s="62">
        <v>2</v>
      </c>
      <c r="AZ217" s="62">
        <v>2</v>
      </c>
      <c r="BA217" s="72">
        <f t="shared" si="31"/>
        <v>2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2</v>
      </c>
      <c r="M218" s="62">
        <v>2</v>
      </c>
      <c r="N218" s="62">
        <v>2</v>
      </c>
      <c r="O218" s="62">
        <v>2</v>
      </c>
      <c r="P218" s="62">
        <v>2</v>
      </c>
      <c r="Q218" s="72">
        <f t="shared" si="25"/>
        <v>2</v>
      </c>
      <c r="R218" s="62">
        <v>2</v>
      </c>
      <c r="S218" s="62">
        <v>2</v>
      </c>
      <c r="T218" s="7"/>
      <c r="U218" s="62">
        <v>2</v>
      </c>
      <c r="V218" s="7"/>
      <c r="W218" s="72">
        <f t="shared" si="26"/>
        <v>2</v>
      </c>
      <c r="X218" s="62">
        <v>2</v>
      </c>
      <c r="Y218" s="62">
        <v>2</v>
      </c>
      <c r="Z218" s="7"/>
      <c r="AA218" s="7"/>
      <c r="AB218" s="7"/>
      <c r="AC218" s="72">
        <f t="shared" si="27"/>
        <v>2</v>
      </c>
      <c r="AD218" s="62">
        <v>2</v>
      </c>
      <c r="AE218" s="7"/>
      <c r="AF218" s="62">
        <v>0</v>
      </c>
      <c r="AG218" s="7"/>
      <c r="AH218" s="7"/>
      <c r="AI218" s="72">
        <f t="shared" si="28"/>
        <v>1</v>
      </c>
      <c r="AJ218" s="7"/>
      <c r="AK218" s="7"/>
      <c r="AL218" s="7"/>
      <c r="AM218" s="7"/>
      <c r="AN218" s="7"/>
      <c r="AO218" s="72" t="str">
        <f t="shared" si="29"/>
        <v>A</v>
      </c>
      <c r="AP218" s="62">
        <v>2</v>
      </c>
      <c r="AQ218" s="62">
        <v>2</v>
      </c>
      <c r="AR218" s="62">
        <v>2</v>
      </c>
      <c r="AS218" s="7"/>
      <c r="AT218" s="7"/>
      <c r="AU218" s="72">
        <f t="shared" si="30"/>
        <v>2</v>
      </c>
      <c r="AV218" s="7"/>
      <c r="AW218" s="7"/>
      <c r="AX218" s="62">
        <v>2</v>
      </c>
      <c r="AY218" s="62">
        <v>2</v>
      </c>
      <c r="AZ218" s="62">
        <v>2</v>
      </c>
      <c r="BA218" s="72">
        <f t="shared" si="31"/>
        <v>2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3</v>
      </c>
      <c r="M219" s="62">
        <v>2</v>
      </c>
      <c r="N219" s="62">
        <v>2</v>
      </c>
      <c r="O219" s="62">
        <v>2</v>
      </c>
      <c r="P219" s="62">
        <v>2</v>
      </c>
      <c r="Q219" s="72">
        <f t="shared" si="25"/>
        <v>2.2000000000000002</v>
      </c>
      <c r="R219" s="62">
        <v>2</v>
      </c>
      <c r="S219" s="62">
        <v>2</v>
      </c>
      <c r="T219" s="62"/>
      <c r="U219" s="62">
        <v>2</v>
      </c>
      <c r="V219" s="62"/>
      <c r="W219" s="72">
        <f t="shared" si="26"/>
        <v>2</v>
      </c>
      <c r="X219" s="62">
        <v>2</v>
      </c>
      <c r="Y219" s="62">
        <v>2</v>
      </c>
      <c r="Z219" s="62"/>
      <c r="AA219" s="62"/>
      <c r="AB219" s="62"/>
      <c r="AC219" s="72">
        <f t="shared" si="27"/>
        <v>2</v>
      </c>
      <c r="AD219" s="62">
        <v>2</v>
      </c>
      <c r="AE219" s="62"/>
      <c r="AF219" s="62">
        <v>0</v>
      </c>
      <c r="AG219" s="62"/>
      <c r="AH219" s="62"/>
      <c r="AI219" s="72">
        <f t="shared" si="28"/>
        <v>1</v>
      </c>
      <c r="AJ219" s="62"/>
      <c r="AK219" s="62"/>
      <c r="AL219" s="62"/>
      <c r="AM219" s="62"/>
      <c r="AN219" s="62"/>
      <c r="AO219" s="72" t="str">
        <f t="shared" si="29"/>
        <v>A</v>
      </c>
      <c r="AP219" s="62">
        <v>2</v>
      </c>
      <c r="AQ219" s="62">
        <v>2</v>
      </c>
      <c r="AR219" s="62">
        <v>2</v>
      </c>
      <c r="AS219" s="62"/>
      <c r="AT219" s="62"/>
      <c r="AU219" s="72">
        <f t="shared" si="30"/>
        <v>2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3</v>
      </c>
      <c r="M220" s="62">
        <v>3</v>
      </c>
      <c r="N220" s="62">
        <v>3</v>
      </c>
      <c r="O220" s="62">
        <v>2</v>
      </c>
      <c r="P220" s="62">
        <v>3</v>
      </c>
      <c r="Q220" s="72">
        <f t="shared" si="25"/>
        <v>2.8</v>
      </c>
      <c r="R220" s="62">
        <v>2</v>
      </c>
      <c r="S220" s="62">
        <v>2</v>
      </c>
      <c r="T220" s="7"/>
      <c r="U220" s="62">
        <v>2</v>
      </c>
      <c r="V220" s="7"/>
      <c r="W220" s="72">
        <f t="shared" si="26"/>
        <v>2</v>
      </c>
      <c r="X220" s="62">
        <v>2</v>
      </c>
      <c r="Y220" s="62">
        <v>2</v>
      </c>
      <c r="Z220" s="7"/>
      <c r="AA220" s="7"/>
      <c r="AB220" s="7"/>
      <c r="AC220" s="72">
        <f t="shared" si="27"/>
        <v>2</v>
      </c>
      <c r="AD220" s="62">
        <v>2</v>
      </c>
      <c r="AE220" s="7"/>
      <c r="AF220" s="62">
        <v>0</v>
      </c>
      <c r="AG220" s="7"/>
      <c r="AH220" s="7"/>
      <c r="AI220" s="72">
        <f t="shared" si="28"/>
        <v>1</v>
      </c>
      <c r="AJ220" s="7"/>
      <c r="AK220" s="7"/>
      <c r="AL220" s="7"/>
      <c r="AM220" s="7"/>
      <c r="AN220" s="7"/>
      <c r="AO220" s="72" t="str">
        <f t="shared" si="29"/>
        <v>A</v>
      </c>
      <c r="AP220" s="62">
        <v>2</v>
      </c>
      <c r="AQ220" s="62">
        <v>2</v>
      </c>
      <c r="AR220" s="62">
        <v>2</v>
      </c>
      <c r="AS220" s="7"/>
      <c r="AT220" s="7"/>
      <c r="AU220" s="72">
        <f t="shared" si="30"/>
        <v>2</v>
      </c>
      <c r="AV220" s="7"/>
      <c r="AW220" s="7"/>
      <c r="AX220" s="62">
        <v>2</v>
      </c>
      <c r="AY220" s="62">
        <v>2</v>
      </c>
      <c r="AZ220" s="62">
        <v>3</v>
      </c>
      <c r="BA220" s="72">
        <f t="shared" si="31"/>
        <v>2.3333333333333335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2</v>
      </c>
      <c r="M221" s="62">
        <v>2</v>
      </c>
      <c r="N221" s="62">
        <v>2</v>
      </c>
      <c r="O221" s="62">
        <v>2</v>
      </c>
      <c r="P221" s="62">
        <v>2</v>
      </c>
      <c r="Q221" s="72">
        <f t="shared" si="25"/>
        <v>2</v>
      </c>
      <c r="R221" s="62">
        <v>2</v>
      </c>
      <c r="S221" s="62">
        <v>2</v>
      </c>
      <c r="T221" s="62"/>
      <c r="U221" s="62">
        <v>2</v>
      </c>
      <c r="V221" s="62"/>
      <c r="W221" s="72">
        <f t="shared" si="26"/>
        <v>2</v>
      </c>
      <c r="X221" s="62">
        <v>2</v>
      </c>
      <c r="Y221" s="62">
        <v>2</v>
      </c>
      <c r="Z221" s="62"/>
      <c r="AA221" s="62"/>
      <c r="AB221" s="62"/>
      <c r="AC221" s="72">
        <f t="shared" si="27"/>
        <v>2</v>
      </c>
      <c r="AD221" s="62">
        <v>2</v>
      </c>
      <c r="AE221" s="62"/>
      <c r="AF221" s="62">
        <v>0</v>
      </c>
      <c r="AG221" s="62"/>
      <c r="AH221" s="62"/>
      <c r="AI221" s="72">
        <f t="shared" si="28"/>
        <v>1</v>
      </c>
      <c r="AJ221" s="62"/>
      <c r="AK221" s="62"/>
      <c r="AL221" s="62"/>
      <c r="AM221" s="62"/>
      <c r="AN221" s="62"/>
      <c r="AO221" s="72" t="str">
        <f t="shared" si="29"/>
        <v>A</v>
      </c>
      <c r="AP221" s="62">
        <v>2</v>
      </c>
      <c r="AQ221" s="62">
        <v>2</v>
      </c>
      <c r="AR221" s="62">
        <v>2</v>
      </c>
      <c r="AS221" s="62"/>
      <c r="AT221" s="62"/>
      <c r="AU221" s="72">
        <f t="shared" si="30"/>
        <v>2</v>
      </c>
      <c r="AV221" s="62"/>
      <c r="AW221" s="62"/>
      <c r="AX221" s="62">
        <v>2</v>
      </c>
      <c r="AY221" s="62">
        <v>2</v>
      </c>
      <c r="AZ221" s="62">
        <v>2</v>
      </c>
      <c r="BA221" s="72">
        <f t="shared" si="31"/>
        <v>2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>
        <v>2</v>
      </c>
      <c r="M222" s="62">
        <v>2</v>
      </c>
      <c r="N222" s="62">
        <v>2</v>
      </c>
      <c r="O222" s="62">
        <v>3</v>
      </c>
      <c r="P222" s="62">
        <v>2</v>
      </c>
      <c r="Q222" s="72">
        <f t="shared" si="25"/>
        <v>2.2000000000000002</v>
      </c>
      <c r="R222" s="62">
        <v>2</v>
      </c>
      <c r="S222" s="62">
        <v>2</v>
      </c>
      <c r="T222" s="7"/>
      <c r="U222" s="62">
        <v>2</v>
      </c>
      <c r="V222" s="7"/>
      <c r="W222" s="72">
        <f t="shared" si="26"/>
        <v>2</v>
      </c>
      <c r="X222" s="62">
        <v>2</v>
      </c>
      <c r="Y222" s="62">
        <v>2</v>
      </c>
      <c r="Z222" s="7"/>
      <c r="AA222" s="7"/>
      <c r="AB222" s="7"/>
      <c r="AC222" s="72">
        <f t="shared" si="27"/>
        <v>2</v>
      </c>
      <c r="AD222" s="62">
        <v>2</v>
      </c>
      <c r="AE222" s="7"/>
      <c r="AF222" s="62">
        <v>0</v>
      </c>
      <c r="AG222" s="7"/>
      <c r="AH222" s="7"/>
      <c r="AI222" s="72">
        <f t="shared" si="28"/>
        <v>1</v>
      </c>
      <c r="AJ222" s="7"/>
      <c r="AK222" s="7"/>
      <c r="AL222" s="7"/>
      <c r="AM222" s="7"/>
      <c r="AN222" s="7"/>
      <c r="AO222" s="72" t="str">
        <f t="shared" si="29"/>
        <v>A</v>
      </c>
      <c r="AP222" s="62">
        <v>2</v>
      </c>
      <c r="AQ222" s="62">
        <v>2</v>
      </c>
      <c r="AR222" s="62">
        <v>2</v>
      </c>
      <c r="AS222" s="7"/>
      <c r="AT222" s="7"/>
      <c r="AU222" s="72">
        <f t="shared" si="30"/>
        <v>2</v>
      </c>
      <c r="AV222" s="7"/>
      <c r="AW222" s="7"/>
      <c r="AX222" s="62">
        <v>2</v>
      </c>
      <c r="AY222" s="62">
        <v>2</v>
      </c>
      <c r="AZ222" s="62">
        <v>2</v>
      </c>
      <c r="BA222" s="72">
        <f t="shared" si="31"/>
        <v>2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2</v>
      </c>
      <c r="M223" s="62">
        <v>2</v>
      </c>
      <c r="N223" s="62">
        <v>2</v>
      </c>
      <c r="O223" s="62">
        <v>3</v>
      </c>
      <c r="P223" s="62">
        <v>2</v>
      </c>
      <c r="Q223" s="72">
        <f t="shared" si="25"/>
        <v>2.2000000000000002</v>
      </c>
      <c r="R223" s="62">
        <v>2</v>
      </c>
      <c r="S223" s="62">
        <v>2</v>
      </c>
      <c r="T223" s="62"/>
      <c r="U223" s="62">
        <v>2</v>
      </c>
      <c r="V223" s="62"/>
      <c r="W223" s="72">
        <f t="shared" si="26"/>
        <v>2</v>
      </c>
      <c r="X223" s="62">
        <v>2</v>
      </c>
      <c r="Y223" s="62">
        <v>2</v>
      </c>
      <c r="Z223" s="62"/>
      <c r="AA223" s="62"/>
      <c r="AB223" s="62"/>
      <c r="AC223" s="72">
        <f t="shared" si="27"/>
        <v>2</v>
      </c>
      <c r="AD223" s="62">
        <v>2</v>
      </c>
      <c r="AE223" s="62"/>
      <c r="AF223" s="62">
        <v>0</v>
      </c>
      <c r="AG223" s="62"/>
      <c r="AH223" s="62"/>
      <c r="AI223" s="72">
        <f t="shared" si="28"/>
        <v>1</v>
      </c>
      <c r="AJ223" s="62"/>
      <c r="AK223" s="62"/>
      <c r="AL223" s="62"/>
      <c r="AM223" s="62"/>
      <c r="AN223" s="62"/>
      <c r="AO223" s="72" t="str">
        <f t="shared" si="29"/>
        <v>A</v>
      </c>
      <c r="AP223" s="62">
        <v>2</v>
      </c>
      <c r="AQ223" s="62">
        <v>2</v>
      </c>
      <c r="AR223" s="62">
        <v>2</v>
      </c>
      <c r="AS223" s="62"/>
      <c r="AT223" s="62"/>
      <c r="AU223" s="72">
        <f t="shared" si="30"/>
        <v>2</v>
      </c>
      <c r="AV223" s="62"/>
      <c r="AW223" s="62"/>
      <c r="AX223" s="62">
        <v>2</v>
      </c>
      <c r="AY223" s="62">
        <v>2</v>
      </c>
      <c r="AZ223" s="62">
        <v>2</v>
      </c>
      <c r="BA223" s="72">
        <f t="shared" si="31"/>
        <v>2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2</v>
      </c>
      <c r="M224" s="62">
        <v>2</v>
      </c>
      <c r="N224" s="62">
        <v>2</v>
      </c>
      <c r="O224" s="62">
        <v>3</v>
      </c>
      <c r="P224" s="62">
        <v>2</v>
      </c>
      <c r="Q224" s="72">
        <f t="shared" si="25"/>
        <v>2.2000000000000002</v>
      </c>
      <c r="R224" s="62">
        <v>2</v>
      </c>
      <c r="S224" s="62">
        <v>2</v>
      </c>
      <c r="T224" s="7"/>
      <c r="U224" s="62">
        <v>2</v>
      </c>
      <c r="V224" s="7"/>
      <c r="W224" s="72">
        <f t="shared" si="26"/>
        <v>2</v>
      </c>
      <c r="X224" s="62">
        <v>2</v>
      </c>
      <c r="Y224" s="62">
        <v>2</v>
      </c>
      <c r="Z224" s="7"/>
      <c r="AA224" s="7"/>
      <c r="AB224" s="7"/>
      <c r="AC224" s="72">
        <f t="shared" si="27"/>
        <v>2</v>
      </c>
      <c r="AD224" s="62">
        <v>2</v>
      </c>
      <c r="AE224" s="7"/>
      <c r="AF224" s="62">
        <v>0</v>
      </c>
      <c r="AG224" s="7"/>
      <c r="AH224" s="7"/>
      <c r="AI224" s="72">
        <f t="shared" si="28"/>
        <v>1</v>
      </c>
      <c r="AJ224" s="7"/>
      <c r="AK224" s="7"/>
      <c r="AL224" s="7"/>
      <c r="AM224" s="7"/>
      <c r="AN224" s="7"/>
      <c r="AO224" s="72" t="str">
        <f t="shared" si="29"/>
        <v>A</v>
      </c>
      <c r="AP224" s="62">
        <v>2</v>
      </c>
      <c r="AQ224" s="62">
        <v>2</v>
      </c>
      <c r="AR224" s="62">
        <v>2</v>
      </c>
      <c r="AS224" s="7"/>
      <c r="AT224" s="7"/>
      <c r="AU224" s="72">
        <f t="shared" si="30"/>
        <v>2</v>
      </c>
      <c r="AV224" s="7"/>
      <c r="AW224" s="7"/>
      <c r="AX224" s="62">
        <v>2</v>
      </c>
      <c r="AY224" s="62">
        <v>5</v>
      </c>
      <c r="AZ224" s="62">
        <v>3</v>
      </c>
      <c r="BA224" s="72">
        <f t="shared" si="31"/>
        <v>3.3333333333333335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2</v>
      </c>
      <c r="M225" s="62">
        <v>2</v>
      </c>
      <c r="N225" s="62">
        <v>2</v>
      </c>
      <c r="O225" s="62">
        <v>3</v>
      </c>
      <c r="P225" s="62">
        <v>2</v>
      </c>
      <c r="Q225" s="72">
        <f t="shared" si="25"/>
        <v>2.2000000000000002</v>
      </c>
      <c r="R225" s="62">
        <v>2</v>
      </c>
      <c r="S225" s="62">
        <v>2</v>
      </c>
      <c r="T225" s="62"/>
      <c r="U225" s="62">
        <v>2</v>
      </c>
      <c r="V225" s="62"/>
      <c r="W225" s="72">
        <f t="shared" si="26"/>
        <v>2</v>
      </c>
      <c r="X225" s="62">
        <v>2</v>
      </c>
      <c r="Y225" s="62">
        <v>2</v>
      </c>
      <c r="Z225" s="62"/>
      <c r="AA225" s="62"/>
      <c r="AB225" s="62"/>
      <c r="AC225" s="72">
        <f t="shared" si="27"/>
        <v>2</v>
      </c>
      <c r="AD225" s="62">
        <v>2</v>
      </c>
      <c r="AE225" s="62"/>
      <c r="AF225" s="62">
        <v>0</v>
      </c>
      <c r="AG225" s="62"/>
      <c r="AH225" s="62"/>
      <c r="AI225" s="72">
        <f t="shared" si="28"/>
        <v>1</v>
      </c>
      <c r="AJ225" s="62"/>
      <c r="AK225" s="62"/>
      <c r="AL225" s="62"/>
      <c r="AM225" s="62"/>
      <c r="AN225" s="62"/>
      <c r="AO225" s="72" t="str">
        <f t="shared" si="29"/>
        <v>A</v>
      </c>
      <c r="AP225" s="62">
        <v>2</v>
      </c>
      <c r="AQ225" s="62">
        <v>2</v>
      </c>
      <c r="AR225" s="62">
        <v>2</v>
      </c>
      <c r="AS225" s="62"/>
      <c r="AT225" s="62"/>
      <c r="AU225" s="72">
        <f t="shared" si="30"/>
        <v>2</v>
      </c>
      <c r="AV225" s="62"/>
      <c r="AW225" s="62"/>
      <c r="AX225" s="62">
        <v>2</v>
      </c>
      <c r="AY225" s="62">
        <v>2</v>
      </c>
      <c r="AZ225" s="62">
        <v>2</v>
      </c>
      <c r="BA225" s="72">
        <f t="shared" si="31"/>
        <v>2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2</v>
      </c>
      <c r="M226" s="62">
        <v>2</v>
      </c>
      <c r="N226" s="62">
        <v>2</v>
      </c>
      <c r="O226" s="62">
        <v>3</v>
      </c>
      <c r="P226" s="62">
        <v>2</v>
      </c>
      <c r="Q226" s="72">
        <f t="shared" si="25"/>
        <v>2.2000000000000002</v>
      </c>
      <c r="R226" s="62">
        <v>3</v>
      </c>
      <c r="S226" s="62">
        <v>3</v>
      </c>
      <c r="T226" s="7"/>
      <c r="U226" s="62">
        <v>3</v>
      </c>
      <c r="V226" s="7"/>
      <c r="W226" s="72">
        <f t="shared" si="26"/>
        <v>3</v>
      </c>
      <c r="X226" s="62">
        <v>3</v>
      </c>
      <c r="Y226" s="62">
        <v>2</v>
      </c>
      <c r="Z226" s="7"/>
      <c r="AA226" s="7"/>
      <c r="AB226" s="7"/>
      <c r="AC226" s="72">
        <f t="shared" si="27"/>
        <v>2.5</v>
      </c>
      <c r="AD226" s="62">
        <v>3</v>
      </c>
      <c r="AE226" s="7"/>
      <c r="AF226" s="62">
        <v>0</v>
      </c>
      <c r="AG226" s="7"/>
      <c r="AH226" s="7"/>
      <c r="AI226" s="72">
        <f t="shared" si="28"/>
        <v>1.5</v>
      </c>
      <c r="AJ226" s="7"/>
      <c r="AK226" s="7"/>
      <c r="AL226" s="7"/>
      <c r="AM226" s="7"/>
      <c r="AN226" s="7"/>
      <c r="AO226" s="72" t="str">
        <f t="shared" si="29"/>
        <v>A</v>
      </c>
      <c r="AP226" s="62">
        <v>3</v>
      </c>
      <c r="AQ226" s="62">
        <v>2</v>
      </c>
      <c r="AR226" s="62">
        <v>2</v>
      </c>
      <c r="AS226" s="7"/>
      <c r="AT226" s="7"/>
      <c r="AU226" s="72">
        <f t="shared" si="30"/>
        <v>2.3333333333333335</v>
      </c>
      <c r="AV226" s="7"/>
      <c r="AW226" s="7"/>
      <c r="AX226" s="62">
        <v>2</v>
      </c>
      <c r="AY226" s="62">
        <v>5</v>
      </c>
      <c r="AZ226" s="62">
        <v>4</v>
      </c>
      <c r="BA226" s="72">
        <f t="shared" si="31"/>
        <v>3.6666666666666665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2</v>
      </c>
      <c r="M227" s="62">
        <v>2</v>
      </c>
      <c r="N227" s="62">
        <v>2</v>
      </c>
      <c r="O227" s="62">
        <v>3</v>
      </c>
      <c r="P227" s="62">
        <v>2</v>
      </c>
      <c r="Q227" s="72">
        <f t="shared" si="25"/>
        <v>2.2000000000000002</v>
      </c>
      <c r="R227" s="62">
        <v>2</v>
      </c>
      <c r="S227" s="62">
        <v>2</v>
      </c>
      <c r="T227" s="62"/>
      <c r="U227" s="62">
        <v>2</v>
      </c>
      <c r="V227" s="62"/>
      <c r="W227" s="72">
        <f t="shared" si="26"/>
        <v>2</v>
      </c>
      <c r="X227" s="62">
        <v>2</v>
      </c>
      <c r="Y227" s="62">
        <v>2</v>
      </c>
      <c r="Z227" s="62"/>
      <c r="AA227" s="62"/>
      <c r="AB227" s="62"/>
      <c r="AC227" s="72">
        <f t="shared" si="27"/>
        <v>2</v>
      </c>
      <c r="AD227" s="62">
        <v>2</v>
      </c>
      <c r="AE227" s="62"/>
      <c r="AF227" s="62">
        <v>0</v>
      </c>
      <c r="AG227" s="62"/>
      <c r="AH227" s="62"/>
      <c r="AI227" s="72">
        <f t="shared" si="28"/>
        <v>1</v>
      </c>
      <c r="AJ227" s="62"/>
      <c r="AK227" s="62"/>
      <c r="AL227" s="62"/>
      <c r="AM227" s="62"/>
      <c r="AN227" s="62"/>
      <c r="AO227" s="72" t="str">
        <f t="shared" si="29"/>
        <v>A</v>
      </c>
      <c r="AP227" s="62">
        <v>2</v>
      </c>
      <c r="AQ227" s="62">
        <v>2</v>
      </c>
      <c r="AR227" s="62">
        <v>2</v>
      </c>
      <c r="AS227" s="62"/>
      <c r="AT227" s="62"/>
      <c r="AU227" s="72">
        <f t="shared" si="30"/>
        <v>2</v>
      </c>
      <c r="AV227" s="62"/>
      <c r="AW227" s="62"/>
      <c r="AX227" s="62">
        <v>2</v>
      </c>
      <c r="AY227" s="62">
        <v>2</v>
      </c>
      <c r="AZ227" s="62">
        <v>2</v>
      </c>
      <c r="BA227" s="72">
        <f t="shared" si="31"/>
        <v>2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2</v>
      </c>
      <c r="M228" s="62">
        <v>4</v>
      </c>
      <c r="N228" s="62">
        <v>3</v>
      </c>
      <c r="O228" s="62">
        <v>3</v>
      </c>
      <c r="P228" s="62">
        <v>2</v>
      </c>
      <c r="Q228" s="72">
        <f t="shared" si="25"/>
        <v>2.8</v>
      </c>
      <c r="R228" s="62">
        <v>3</v>
      </c>
      <c r="S228" s="62">
        <v>3</v>
      </c>
      <c r="T228" s="7"/>
      <c r="U228" s="62">
        <v>3</v>
      </c>
      <c r="V228" s="7"/>
      <c r="W228" s="72">
        <f t="shared" si="26"/>
        <v>3</v>
      </c>
      <c r="X228" s="62">
        <v>3</v>
      </c>
      <c r="Y228" s="62">
        <v>2</v>
      </c>
      <c r="Z228" s="7"/>
      <c r="AA228" s="7"/>
      <c r="AB228" s="7"/>
      <c r="AC228" s="72">
        <f t="shared" si="27"/>
        <v>2.5</v>
      </c>
      <c r="AD228" s="62">
        <v>2</v>
      </c>
      <c r="AE228" s="7"/>
      <c r="AF228" s="62">
        <v>0</v>
      </c>
      <c r="AG228" s="7"/>
      <c r="AH228" s="7"/>
      <c r="AI228" s="72">
        <f t="shared" si="28"/>
        <v>1</v>
      </c>
      <c r="AJ228" s="7"/>
      <c r="AK228" s="7"/>
      <c r="AL228" s="7"/>
      <c r="AM228" s="7"/>
      <c r="AN228" s="7"/>
      <c r="AO228" s="72" t="str">
        <f t="shared" si="29"/>
        <v>A</v>
      </c>
      <c r="AP228" s="62">
        <v>2</v>
      </c>
      <c r="AQ228" s="62">
        <v>2</v>
      </c>
      <c r="AR228" s="62">
        <v>2</v>
      </c>
      <c r="AS228" s="7"/>
      <c r="AT228" s="7"/>
      <c r="AU228" s="72">
        <f t="shared" si="30"/>
        <v>2</v>
      </c>
      <c r="AV228" s="7"/>
      <c r="AW228" s="7"/>
      <c r="AX228" s="62">
        <v>2</v>
      </c>
      <c r="AY228" s="62">
        <v>2</v>
      </c>
      <c r="AZ228" s="62">
        <v>2</v>
      </c>
      <c r="BA228" s="72">
        <f t="shared" si="31"/>
        <v>2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4</v>
      </c>
      <c r="M229" s="62">
        <v>3</v>
      </c>
      <c r="N229" s="62">
        <v>3</v>
      </c>
      <c r="O229" s="62">
        <v>3</v>
      </c>
      <c r="P229" s="62">
        <v>2</v>
      </c>
      <c r="Q229" s="72">
        <f t="shared" si="25"/>
        <v>3</v>
      </c>
      <c r="R229" s="62">
        <v>3</v>
      </c>
      <c r="S229" s="62">
        <v>3</v>
      </c>
      <c r="T229" s="62"/>
      <c r="U229" s="62">
        <v>3</v>
      </c>
      <c r="V229" s="62"/>
      <c r="W229" s="72">
        <f t="shared" si="26"/>
        <v>3</v>
      </c>
      <c r="X229" s="62">
        <v>2</v>
      </c>
      <c r="Y229" s="62">
        <v>4</v>
      </c>
      <c r="Z229" s="62"/>
      <c r="AA229" s="62"/>
      <c r="AB229" s="62"/>
      <c r="AC229" s="72">
        <f t="shared" si="27"/>
        <v>3</v>
      </c>
      <c r="AD229" s="62">
        <v>2</v>
      </c>
      <c r="AE229" s="62"/>
      <c r="AF229" s="62">
        <v>0</v>
      </c>
      <c r="AG229" s="62"/>
      <c r="AH229" s="62"/>
      <c r="AI229" s="72">
        <f t="shared" si="28"/>
        <v>1</v>
      </c>
      <c r="AJ229" s="62"/>
      <c r="AK229" s="62"/>
      <c r="AL229" s="62"/>
      <c r="AM229" s="62"/>
      <c r="AN229" s="62"/>
      <c r="AO229" s="72" t="str">
        <f t="shared" si="29"/>
        <v>A</v>
      </c>
      <c r="AP229" s="62">
        <v>3</v>
      </c>
      <c r="AQ229" s="62">
        <v>2</v>
      </c>
      <c r="AR229" s="62">
        <v>2</v>
      </c>
      <c r="AS229" s="62"/>
      <c r="AT229" s="62"/>
      <c r="AU229" s="72">
        <f t="shared" si="30"/>
        <v>2.3333333333333335</v>
      </c>
      <c r="AV229" s="62"/>
      <c r="AW229" s="62"/>
      <c r="AX229" s="62">
        <v>2</v>
      </c>
      <c r="AY229" s="62">
        <v>5</v>
      </c>
      <c r="AZ229" s="62">
        <v>2</v>
      </c>
      <c r="BA229" s="72">
        <f t="shared" si="31"/>
        <v>3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4</v>
      </c>
      <c r="M230" s="62">
        <v>4</v>
      </c>
      <c r="N230" s="62">
        <v>3</v>
      </c>
      <c r="O230" s="62">
        <v>3</v>
      </c>
      <c r="P230" s="62">
        <v>3</v>
      </c>
      <c r="Q230" s="72">
        <f t="shared" si="25"/>
        <v>3.4</v>
      </c>
      <c r="R230" s="62">
        <v>3</v>
      </c>
      <c r="S230" s="62">
        <v>3</v>
      </c>
      <c r="T230" s="7"/>
      <c r="U230" s="62">
        <v>3</v>
      </c>
      <c r="V230" s="7"/>
      <c r="W230" s="72">
        <f t="shared" si="26"/>
        <v>3</v>
      </c>
      <c r="X230" s="62">
        <v>3</v>
      </c>
      <c r="Y230" s="62">
        <v>3</v>
      </c>
      <c r="Z230" s="7"/>
      <c r="AA230" s="7"/>
      <c r="AB230" s="7"/>
      <c r="AC230" s="72">
        <f t="shared" si="27"/>
        <v>3</v>
      </c>
      <c r="AD230" s="62">
        <v>2</v>
      </c>
      <c r="AE230" s="7"/>
      <c r="AF230" s="62">
        <v>0</v>
      </c>
      <c r="AG230" s="7"/>
      <c r="AH230" s="7"/>
      <c r="AI230" s="72">
        <f t="shared" si="28"/>
        <v>1</v>
      </c>
      <c r="AJ230" s="7"/>
      <c r="AK230" s="7"/>
      <c r="AL230" s="7"/>
      <c r="AM230" s="7"/>
      <c r="AN230" s="7"/>
      <c r="AO230" s="72" t="str">
        <f t="shared" si="29"/>
        <v>A</v>
      </c>
      <c r="AP230" s="62">
        <v>3</v>
      </c>
      <c r="AQ230" s="62">
        <v>2</v>
      </c>
      <c r="AR230" s="62">
        <v>2</v>
      </c>
      <c r="AS230" s="7"/>
      <c r="AT230" s="7"/>
      <c r="AU230" s="72">
        <f t="shared" si="30"/>
        <v>2.3333333333333335</v>
      </c>
      <c r="AV230" s="7"/>
      <c r="AW230" s="7"/>
      <c r="AX230" s="62">
        <v>2</v>
      </c>
      <c r="AY230" s="62">
        <v>5</v>
      </c>
      <c r="AZ230" s="62">
        <v>3</v>
      </c>
      <c r="BA230" s="72">
        <f t="shared" si="31"/>
        <v>3.3333333333333335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L1:P1"/>
    <mergeCell ref="K1:K2"/>
    <mergeCell ref="A1:A2"/>
    <mergeCell ref="B1:B2"/>
    <mergeCell ref="C1:C2"/>
    <mergeCell ref="D1:D2"/>
    <mergeCell ref="E1:E2"/>
    <mergeCell ref="F1:J1"/>
    <mergeCell ref="Q1:Q2"/>
    <mergeCell ref="R1:V1"/>
    <mergeCell ref="W1:W2"/>
    <mergeCell ref="X1:AB1"/>
    <mergeCell ref="AC1:AC2"/>
    <mergeCell ref="AU1:AU2"/>
    <mergeCell ref="AV1:AZ1"/>
    <mergeCell ref="BA1:BA2"/>
    <mergeCell ref="AD1:AH1"/>
    <mergeCell ref="AI1:AI2"/>
    <mergeCell ref="AJ1:AN1"/>
    <mergeCell ref="AO1:AO2"/>
    <mergeCell ref="AP1:AT1"/>
  </mergeCells>
  <conditionalFormatting sqref="K3:K230">
    <cfRule type="containsText" dxfId="60" priority="12" operator="containsText" text="A">
      <formula>NOT(ISERROR(SEARCH("A",K3)))</formula>
    </cfRule>
  </conditionalFormatting>
  <conditionalFormatting sqref="Q3:Q230">
    <cfRule type="containsText" dxfId="59" priority="11" operator="containsText" text="A">
      <formula>NOT(ISERROR(SEARCH("A",Q3)))</formula>
    </cfRule>
  </conditionalFormatting>
  <conditionalFormatting sqref="W3:W230">
    <cfRule type="containsText" dxfId="58" priority="1" operator="containsText" text="A">
      <formula>NOT(ISERROR(SEARCH("A",W3)))</formula>
    </cfRule>
  </conditionalFormatting>
  <conditionalFormatting sqref="AC3:AC230">
    <cfRule type="containsText" dxfId="57" priority="2" operator="containsText" text="A">
      <formula>NOT(ISERROR(SEARCH("A",AC3)))</formula>
    </cfRule>
  </conditionalFormatting>
  <conditionalFormatting sqref="AI3:AI230">
    <cfRule type="containsText" dxfId="56" priority="3" operator="containsText" text="A">
      <formula>NOT(ISERROR(SEARCH("A",AI3)))</formula>
    </cfRule>
  </conditionalFormatting>
  <conditionalFormatting sqref="AO3:AO230">
    <cfRule type="containsText" dxfId="55" priority="7" operator="containsText" text="A">
      <formula>NOT(ISERROR(SEARCH("A",AO3)))</formula>
    </cfRule>
  </conditionalFormatting>
  <conditionalFormatting sqref="AU3:AU230">
    <cfRule type="containsText" dxfId="54" priority="4" operator="containsText" text="A">
      <formula>NOT(ISERROR(SEARCH("A",AU3)))</formula>
    </cfRule>
  </conditionalFormatting>
  <conditionalFormatting sqref="BA3:BA230">
    <cfRule type="containsText" dxfId="53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136A-3906-4A2B-B76C-BF1649CB1F77}">
  <dimension ref="A1:BC232"/>
  <sheetViews>
    <sheetView topLeftCell="AR1" workbookViewId="0">
      <selection activeCell="N13" sqref="N13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4</v>
      </c>
      <c r="M3" s="62">
        <v>4</v>
      </c>
      <c r="N3" s="62">
        <v>3</v>
      </c>
      <c r="O3" s="62">
        <v>3</v>
      </c>
      <c r="P3" s="62">
        <v>4</v>
      </c>
      <c r="Q3" s="72">
        <f>IFERROR(AVERAGE(M3,N3,L3,O3,P3),"A")</f>
        <v>3.6</v>
      </c>
      <c r="R3" s="62">
        <v>0</v>
      </c>
      <c r="S3" s="62">
        <v>0</v>
      </c>
      <c r="T3" s="62"/>
      <c r="U3" s="62">
        <v>0</v>
      </c>
      <c r="V3" s="62"/>
      <c r="W3" s="72">
        <f>IFERROR(AVERAGE(R3,S3,U3),"A")</f>
        <v>0</v>
      </c>
      <c r="X3" s="62">
        <v>0</v>
      </c>
      <c r="Y3" s="62">
        <v>0</v>
      </c>
      <c r="Z3" s="62"/>
      <c r="AA3" s="62"/>
      <c r="AB3" s="62"/>
      <c r="AC3" s="72">
        <f>IFERROR(AVERAGE(Y3,X3),"A")</f>
        <v>0</v>
      </c>
      <c r="AD3" s="62">
        <v>0</v>
      </c>
      <c r="AE3" s="62"/>
      <c r="AF3" s="62">
        <v>0</v>
      </c>
      <c r="AG3" s="62"/>
      <c r="AH3" s="62"/>
      <c r="AI3" s="72">
        <f>IFERROR(AVERAGE(AF3,AD3),"A")</f>
        <v>0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>
        <v>0</v>
      </c>
      <c r="AQ3" s="62">
        <v>0</v>
      </c>
      <c r="AR3" s="62">
        <v>0</v>
      </c>
      <c r="AS3" s="62"/>
      <c r="AT3" s="62"/>
      <c r="AU3" s="72">
        <f>IFERROR(AVERAGE(AR3,AQ3,AP3),"A")</f>
        <v>0</v>
      </c>
      <c r="AV3" s="62"/>
      <c r="AW3" s="62"/>
      <c r="AX3" s="62">
        <v>0</v>
      </c>
      <c r="AY3" s="62">
        <v>0</v>
      </c>
      <c r="AZ3" s="62">
        <v>0</v>
      </c>
      <c r="BA3" s="72">
        <f>IFERROR(AVERAGE(AX3,AY3,AZ3),"A")</f>
        <v>0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4</v>
      </c>
      <c r="M4" s="62">
        <v>4</v>
      </c>
      <c r="N4" s="62">
        <v>3</v>
      </c>
      <c r="O4" s="62">
        <v>3</v>
      </c>
      <c r="P4" s="62">
        <v>4</v>
      </c>
      <c r="Q4" s="72">
        <f t="shared" ref="Q4:Q67" si="1">IFERROR(AVERAGE(M4,N4,L4,O4,P4),"A")</f>
        <v>3.6</v>
      </c>
      <c r="R4" s="62">
        <v>0</v>
      </c>
      <c r="S4" s="62">
        <v>0</v>
      </c>
      <c r="T4" s="7"/>
      <c r="U4" s="62">
        <v>0</v>
      </c>
      <c r="V4" s="7"/>
      <c r="W4" s="72">
        <f t="shared" ref="W4:W67" si="2">IFERROR(AVERAGE(R4,S4,U4),"A")</f>
        <v>0</v>
      </c>
      <c r="X4" s="62">
        <v>0</v>
      </c>
      <c r="Y4" s="62">
        <v>0</v>
      </c>
      <c r="Z4" s="7"/>
      <c r="AA4" s="7"/>
      <c r="AB4" s="7"/>
      <c r="AC4" s="72">
        <f t="shared" ref="AC4:AC67" si="3">IFERROR(AVERAGE(Y4,X4),"A")</f>
        <v>0</v>
      </c>
      <c r="AD4" s="62">
        <v>0</v>
      </c>
      <c r="AE4" s="7"/>
      <c r="AF4" s="62">
        <v>0</v>
      </c>
      <c r="AG4" s="7"/>
      <c r="AH4" s="7"/>
      <c r="AI4" s="72">
        <f t="shared" ref="AI4:AI67" si="4">IFERROR(AVERAGE(AF4,AD4),"A")</f>
        <v>0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62">
        <v>0</v>
      </c>
      <c r="AQ4" s="62">
        <v>0</v>
      </c>
      <c r="AR4" s="62">
        <v>0</v>
      </c>
      <c r="AS4" s="7"/>
      <c r="AT4" s="7"/>
      <c r="AU4" s="72">
        <f t="shared" ref="AU4:AU67" si="6">IFERROR(AVERAGE(AR4,AQ4,AP4),"A")</f>
        <v>0</v>
      </c>
      <c r="AV4" s="7"/>
      <c r="AW4" s="7"/>
      <c r="AX4" s="62">
        <v>0</v>
      </c>
      <c r="AY4" s="62">
        <v>0</v>
      </c>
      <c r="AZ4" s="62">
        <v>0</v>
      </c>
      <c r="BA4" s="72">
        <f t="shared" ref="BA4:BA67" si="7">IFERROR(AVERAGE(AX4,AY4,AZ4),"A")</f>
        <v>0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0</v>
      </c>
      <c r="M5" s="62">
        <v>0</v>
      </c>
      <c r="N5" s="62">
        <v>0</v>
      </c>
      <c r="O5" s="62">
        <v>3</v>
      </c>
      <c r="P5" s="62">
        <v>0</v>
      </c>
      <c r="Q5" s="72">
        <f t="shared" si="1"/>
        <v>0.6</v>
      </c>
      <c r="R5" s="62">
        <v>0</v>
      </c>
      <c r="S5" s="62">
        <v>0</v>
      </c>
      <c r="T5" s="62"/>
      <c r="U5" s="62">
        <v>0</v>
      </c>
      <c r="V5" s="62"/>
      <c r="W5" s="72">
        <f t="shared" si="2"/>
        <v>0</v>
      </c>
      <c r="X5" s="62">
        <v>0</v>
      </c>
      <c r="Y5" s="62">
        <v>0</v>
      </c>
      <c r="Z5" s="62"/>
      <c r="AA5" s="62"/>
      <c r="AB5" s="62"/>
      <c r="AC5" s="72">
        <f t="shared" si="3"/>
        <v>0</v>
      </c>
      <c r="AD5" s="62">
        <v>0</v>
      </c>
      <c r="AE5" s="62"/>
      <c r="AF5" s="62">
        <v>0</v>
      </c>
      <c r="AG5" s="62"/>
      <c r="AH5" s="62"/>
      <c r="AI5" s="72">
        <f t="shared" si="4"/>
        <v>0</v>
      </c>
      <c r="AJ5" s="62"/>
      <c r="AK5" s="62"/>
      <c r="AL5" s="62"/>
      <c r="AM5" s="62"/>
      <c r="AN5" s="62"/>
      <c r="AO5" s="72" t="str">
        <f t="shared" si="5"/>
        <v>A</v>
      </c>
      <c r="AP5" s="62">
        <v>0</v>
      </c>
      <c r="AQ5" s="62">
        <v>0</v>
      </c>
      <c r="AR5" s="62">
        <v>0</v>
      </c>
      <c r="AS5" s="62"/>
      <c r="AT5" s="62"/>
      <c r="AU5" s="72">
        <f t="shared" si="6"/>
        <v>0</v>
      </c>
      <c r="AV5" s="62"/>
      <c r="AW5" s="62"/>
      <c r="AX5" s="62">
        <v>0</v>
      </c>
      <c r="AY5" s="62">
        <v>0</v>
      </c>
      <c r="AZ5" s="62">
        <v>0</v>
      </c>
      <c r="BA5" s="72">
        <f t="shared" si="7"/>
        <v>0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3</v>
      </c>
      <c r="M6" s="62">
        <v>3</v>
      </c>
      <c r="N6" s="62">
        <v>2</v>
      </c>
      <c r="O6" s="62">
        <v>3</v>
      </c>
      <c r="P6" s="62">
        <v>2</v>
      </c>
      <c r="Q6" s="72">
        <f t="shared" si="1"/>
        <v>2.6</v>
      </c>
      <c r="R6" s="62">
        <v>0</v>
      </c>
      <c r="S6" s="62">
        <v>0</v>
      </c>
      <c r="T6" s="7"/>
      <c r="U6" s="62">
        <v>0</v>
      </c>
      <c r="V6" s="7"/>
      <c r="W6" s="72">
        <f t="shared" si="2"/>
        <v>0</v>
      </c>
      <c r="X6" s="62">
        <v>0</v>
      </c>
      <c r="Y6" s="62">
        <v>0</v>
      </c>
      <c r="Z6" s="7"/>
      <c r="AA6" s="7"/>
      <c r="AB6" s="7"/>
      <c r="AC6" s="72">
        <f t="shared" si="3"/>
        <v>0</v>
      </c>
      <c r="AD6" s="62">
        <v>0</v>
      </c>
      <c r="AE6" s="7"/>
      <c r="AF6" s="62">
        <v>0</v>
      </c>
      <c r="AG6" s="7"/>
      <c r="AH6" s="7"/>
      <c r="AI6" s="72">
        <f t="shared" si="4"/>
        <v>0</v>
      </c>
      <c r="AJ6" s="7"/>
      <c r="AK6" s="7"/>
      <c r="AL6" s="7"/>
      <c r="AM6" s="7"/>
      <c r="AN6" s="7"/>
      <c r="AO6" s="72" t="str">
        <f t="shared" si="5"/>
        <v>A</v>
      </c>
      <c r="AP6" s="62">
        <v>0</v>
      </c>
      <c r="AQ6" s="62">
        <v>0</v>
      </c>
      <c r="AR6" s="62">
        <v>0</v>
      </c>
      <c r="AS6" s="7"/>
      <c r="AT6" s="7"/>
      <c r="AU6" s="72">
        <f t="shared" si="6"/>
        <v>0</v>
      </c>
      <c r="AV6" s="7"/>
      <c r="AW6" s="7"/>
      <c r="AX6" s="62">
        <v>0</v>
      </c>
      <c r="AY6" s="62">
        <v>0</v>
      </c>
      <c r="AZ6" s="62">
        <v>0</v>
      </c>
      <c r="BA6" s="72">
        <f t="shared" si="7"/>
        <v>0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2</v>
      </c>
      <c r="M7" s="62">
        <v>2</v>
      </c>
      <c r="N7" s="62">
        <v>2</v>
      </c>
      <c r="O7" s="62">
        <v>3</v>
      </c>
      <c r="P7" s="62">
        <v>2</v>
      </c>
      <c r="Q7" s="72">
        <f t="shared" si="1"/>
        <v>2.2000000000000002</v>
      </c>
      <c r="R7" s="62">
        <v>2</v>
      </c>
      <c r="S7" s="62">
        <v>2</v>
      </c>
      <c r="T7" s="62"/>
      <c r="U7" s="62">
        <v>2</v>
      </c>
      <c r="V7" s="62"/>
      <c r="W7" s="72">
        <f t="shared" si="2"/>
        <v>2</v>
      </c>
      <c r="X7" s="62">
        <v>2</v>
      </c>
      <c r="Y7" s="62">
        <v>2</v>
      </c>
      <c r="Z7" s="62"/>
      <c r="AA7" s="62"/>
      <c r="AB7" s="62"/>
      <c r="AC7" s="72">
        <f t="shared" si="3"/>
        <v>2</v>
      </c>
      <c r="AD7" s="62">
        <v>2</v>
      </c>
      <c r="AE7" s="62"/>
      <c r="AF7" s="62">
        <v>2</v>
      </c>
      <c r="AG7" s="62"/>
      <c r="AH7" s="62"/>
      <c r="AI7" s="72">
        <f t="shared" si="4"/>
        <v>2</v>
      </c>
      <c r="AJ7" s="62"/>
      <c r="AK7" s="62"/>
      <c r="AL7" s="62"/>
      <c r="AM7" s="62"/>
      <c r="AN7" s="62"/>
      <c r="AO7" s="72" t="str">
        <f t="shared" si="5"/>
        <v>A</v>
      </c>
      <c r="AP7" s="62">
        <v>2</v>
      </c>
      <c r="AQ7" s="62">
        <v>2</v>
      </c>
      <c r="AR7" s="62">
        <v>2</v>
      </c>
      <c r="AS7" s="62"/>
      <c r="AT7" s="62"/>
      <c r="AU7" s="72">
        <f t="shared" si="6"/>
        <v>2</v>
      </c>
      <c r="AV7" s="62"/>
      <c r="AW7" s="62"/>
      <c r="AX7" s="62">
        <v>2</v>
      </c>
      <c r="AY7" s="62">
        <v>2</v>
      </c>
      <c r="AZ7" s="62">
        <v>2</v>
      </c>
      <c r="BA7" s="72">
        <f t="shared" si="7"/>
        <v>2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0</v>
      </c>
      <c r="M8" s="62">
        <v>0</v>
      </c>
      <c r="N8" s="62">
        <v>0</v>
      </c>
      <c r="O8" s="62">
        <v>3</v>
      </c>
      <c r="P8" s="62">
        <v>0</v>
      </c>
      <c r="Q8" s="72">
        <f t="shared" si="1"/>
        <v>0.6</v>
      </c>
      <c r="R8" s="62">
        <v>0</v>
      </c>
      <c r="S8" s="62">
        <v>0</v>
      </c>
      <c r="T8" s="7"/>
      <c r="U8" s="62">
        <v>0</v>
      </c>
      <c r="V8" s="7"/>
      <c r="W8" s="72">
        <f t="shared" si="2"/>
        <v>0</v>
      </c>
      <c r="X8" s="62">
        <v>0</v>
      </c>
      <c r="Y8" s="62">
        <v>0</v>
      </c>
      <c r="Z8" s="7"/>
      <c r="AA8" s="7"/>
      <c r="AB8" s="7"/>
      <c r="AC8" s="72">
        <f t="shared" si="3"/>
        <v>0</v>
      </c>
      <c r="AD8" s="62">
        <v>0</v>
      </c>
      <c r="AE8" s="7"/>
      <c r="AF8" s="62">
        <v>0</v>
      </c>
      <c r="AG8" s="7"/>
      <c r="AH8" s="7"/>
      <c r="AI8" s="72">
        <f t="shared" si="4"/>
        <v>0</v>
      </c>
      <c r="AJ8" s="7"/>
      <c r="AK8" s="7"/>
      <c r="AL8" s="7"/>
      <c r="AM8" s="7"/>
      <c r="AN8" s="7"/>
      <c r="AO8" s="72" t="str">
        <f t="shared" si="5"/>
        <v>A</v>
      </c>
      <c r="AP8" s="62">
        <v>0</v>
      </c>
      <c r="AQ8" s="62">
        <v>0</v>
      </c>
      <c r="AR8" s="62">
        <v>0</v>
      </c>
      <c r="AS8" s="7"/>
      <c r="AT8" s="7"/>
      <c r="AU8" s="72">
        <f t="shared" si="6"/>
        <v>0</v>
      </c>
      <c r="AV8" s="7"/>
      <c r="AW8" s="7"/>
      <c r="AX8" s="62">
        <v>0</v>
      </c>
      <c r="AY8" s="62">
        <v>0</v>
      </c>
      <c r="AZ8" s="62">
        <v>0</v>
      </c>
      <c r="BA8" s="72">
        <f t="shared" si="7"/>
        <v>0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2</v>
      </c>
      <c r="M9" s="62">
        <v>2</v>
      </c>
      <c r="N9" s="62">
        <v>2</v>
      </c>
      <c r="O9" s="62">
        <v>3</v>
      </c>
      <c r="P9" s="62">
        <v>2</v>
      </c>
      <c r="Q9" s="72">
        <f t="shared" si="1"/>
        <v>2.2000000000000002</v>
      </c>
      <c r="R9" s="62">
        <v>0</v>
      </c>
      <c r="S9" s="62">
        <v>0</v>
      </c>
      <c r="T9" s="62"/>
      <c r="U9" s="62">
        <v>0</v>
      </c>
      <c r="V9" s="62"/>
      <c r="W9" s="72">
        <f t="shared" si="2"/>
        <v>0</v>
      </c>
      <c r="X9" s="62">
        <v>0</v>
      </c>
      <c r="Y9" s="62">
        <v>0</v>
      </c>
      <c r="Z9" s="62"/>
      <c r="AA9" s="62"/>
      <c r="AB9" s="62"/>
      <c r="AC9" s="72">
        <f t="shared" si="3"/>
        <v>0</v>
      </c>
      <c r="AD9" s="62">
        <v>0</v>
      </c>
      <c r="AE9" s="62"/>
      <c r="AF9" s="62">
        <v>0</v>
      </c>
      <c r="AG9" s="62"/>
      <c r="AH9" s="62"/>
      <c r="AI9" s="72">
        <f t="shared" si="4"/>
        <v>0</v>
      </c>
      <c r="AJ9" s="62"/>
      <c r="AK9" s="62"/>
      <c r="AL9" s="62"/>
      <c r="AM9" s="62"/>
      <c r="AN9" s="62"/>
      <c r="AO9" s="72" t="str">
        <f t="shared" si="5"/>
        <v>A</v>
      </c>
      <c r="AP9" s="62">
        <v>0</v>
      </c>
      <c r="AQ9" s="62">
        <v>0</v>
      </c>
      <c r="AR9" s="62">
        <v>0</v>
      </c>
      <c r="AS9" s="62"/>
      <c r="AT9" s="62"/>
      <c r="AU9" s="72">
        <f t="shared" si="6"/>
        <v>0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2</v>
      </c>
      <c r="M10" s="62">
        <v>2</v>
      </c>
      <c r="N10" s="62">
        <v>2</v>
      </c>
      <c r="O10" s="62">
        <v>3</v>
      </c>
      <c r="P10" s="62">
        <v>2</v>
      </c>
      <c r="Q10" s="72">
        <f t="shared" si="1"/>
        <v>2.2000000000000002</v>
      </c>
      <c r="R10" s="62">
        <v>2</v>
      </c>
      <c r="S10" s="62">
        <v>2</v>
      </c>
      <c r="T10" s="7"/>
      <c r="U10" s="62">
        <v>2</v>
      </c>
      <c r="V10" s="7"/>
      <c r="W10" s="72">
        <f t="shared" si="2"/>
        <v>2</v>
      </c>
      <c r="X10" s="62">
        <v>2</v>
      </c>
      <c r="Y10" s="62">
        <v>2</v>
      </c>
      <c r="Z10" s="7"/>
      <c r="AA10" s="7"/>
      <c r="AB10" s="7"/>
      <c r="AC10" s="72">
        <f t="shared" si="3"/>
        <v>2</v>
      </c>
      <c r="AD10" s="62">
        <v>2</v>
      </c>
      <c r="AE10" s="7"/>
      <c r="AF10" s="62">
        <v>2</v>
      </c>
      <c r="AG10" s="7"/>
      <c r="AH10" s="7"/>
      <c r="AI10" s="72">
        <f t="shared" si="4"/>
        <v>2</v>
      </c>
      <c r="AJ10" s="7"/>
      <c r="AK10" s="7"/>
      <c r="AL10" s="7"/>
      <c r="AM10" s="7"/>
      <c r="AN10" s="7"/>
      <c r="AO10" s="72" t="str">
        <f t="shared" si="5"/>
        <v>A</v>
      </c>
      <c r="AP10" s="62">
        <v>2</v>
      </c>
      <c r="AQ10" s="62">
        <v>2</v>
      </c>
      <c r="AR10" s="62">
        <v>2</v>
      </c>
      <c r="AS10" s="7"/>
      <c r="AT10" s="7"/>
      <c r="AU10" s="72">
        <f t="shared" si="6"/>
        <v>2</v>
      </c>
      <c r="AV10" s="7"/>
      <c r="AW10" s="7"/>
      <c r="AX10" s="62">
        <v>2</v>
      </c>
      <c r="AY10" s="62">
        <v>2</v>
      </c>
      <c r="AZ10" s="62">
        <v>2</v>
      </c>
      <c r="BA10" s="72">
        <f t="shared" si="7"/>
        <v>2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2</v>
      </c>
      <c r="M11" s="62">
        <v>3</v>
      </c>
      <c r="N11" s="62">
        <v>3</v>
      </c>
      <c r="O11" s="62">
        <v>3</v>
      </c>
      <c r="P11" s="62">
        <v>2</v>
      </c>
      <c r="Q11" s="72">
        <f t="shared" si="1"/>
        <v>2.6</v>
      </c>
      <c r="R11" s="62">
        <v>0</v>
      </c>
      <c r="S11" s="62">
        <v>0</v>
      </c>
      <c r="T11" s="62"/>
      <c r="U11" s="62">
        <v>0</v>
      </c>
      <c r="V11" s="62"/>
      <c r="W11" s="72">
        <f t="shared" si="2"/>
        <v>0</v>
      </c>
      <c r="X11" s="62">
        <v>0</v>
      </c>
      <c r="Y11" s="62">
        <v>0</v>
      </c>
      <c r="Z11" s="62"/>
      <c r="AA11" s="62"/>
      <c r="AB11" s="62"/>
      <c r="AC11" s="72">
        <f t="shared" si="3"/>
        <v>0</v>
      </c>
      <c r="AD11" s="62">
        <v>0</v>
      </c>
      <c r="AE11" s="62"/>
      <c r="AF11" s="62">
        <v>0</v>
      </c>
      <c r="AG11" s="62"/>
      <c r="AH11" s="62"/>
      <c r="AI11" s="72">
        <f t="shared" si="4"/>
        <v>0</v>
      </c>
      <c r="AJ11" s="62"/>
      <c r="AK11" s="62"/>
      <c r="AL11" s="62"/>
      <c r="AM11" s="62"/>
      <c r="AN11" s="62"/>
      <c r="AO11" s="72" t="str">
        <f t="shared" si="5"/>
        <v>A</v>
      </c>
      <c r="AP11" s="62">
        <v>0</v>
      </c>
      <c r="AQ11" s="62">
        <v>0</v>
      </c>
      <c r="AR11" s="62">
        <v>0</v>
      </c>
      <c r="AS11" s="62"/>
      <c r="AT11" s="62"/>
      <c r="AU11" s="72">
        <f t="shared" si="6"/>
        <v>0</v>
      </c>
      <c r="AV11" s="62"/>
      <c r="AW11" s="62"/>
      <c r="AX11" s="62">
        <v>0</v>
      </c>
      <c r="AY11" s="62">
        <v>0</v>
      </c>
      <c r="AZ11" s="62">
        <v>0</v>
      </c>
      <c r="BA11" s="72">
        <f t="shared" si="7"/>
        <v>0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0</v>
      </c>
      <c r="M12" s="62">
        <v>0</v>
      </c>
      <c r="N12" s="62">
        <v>0</v>
      </c>
      <c r="O12" s="62">
        <v>3</v>
      </c>
      <c r="P12" s="62">
        <v>0</v>
      </c>
      <c r="Q12" s="72">
        <f t="shared" si="1"/>
        <v>0.6</v>
      </c>
      <c r="R12" s="62">
        <v>0</v>
      </c>
      <c r="S12" s="62">
        <v>0</v>
      </c>
      <c r="T12" s="7"/>
      <c r="U12" s="62">
        <v>0</v>
      </c>
      <c r="V12" s="7"/>
      <c r="W12" s="72">
        <f t="shared" si="2"/>
        <v>0</v>
      </c>
      <c r="X12" s="62">
        <v>0</v>
      </c>
      <c r="Y12" s="62">
        <v>0</v>
      </c>
      <c r="Z12" s="7"/>
      <c r="AA12" s="7"/>
      <c r="AB12" s="7"/>
      <c r="AC12" s="72">
        <f t="shared" si="3"/>
        <v>0</v>
      </c>
      <c r="AD12" s="62">
        <v>0</v>
      </c>
      <c r="AE12" s="7"/>
      <c r="AF12" s="62">
        <v>0</v>
      </c>
      <c r="AG12" s="7"/>
      <c r="AH12" s="7"/>
      <c r="AI12" s="72">
        <f t="shared" si="4"/>
        <v>0</v>
      </c>
      <c r="AJ12" s="7"/>
      <c r="AK12" s="7"/>
      <c r="AL12" s="7"/>
      <c r="AM12" s="7"/>
      <c r="AN12" s="7"/>
      <c r="AO12" s="72" t="str">
        <f t="shared" si="5"/>
        <v>A</v>
      </c>
      <c r="AP12" s="62">
        <v>0</v>
      </c>
      <c r="AQ12" s="62">
        <v>0</v>
      </c>
      <c r="AR12" s="62">
        <v>0</v>
      </c>
      <c r="AS12" s="7"/>
      <c r="AT12" s="7"/>
      <c r="AU12" s="72">
        <f t="shared" si="6"/>
        <v>0</v>
      </c>
      <c r="AV12" s="7"/>
      <c r="AW12" s="7"/>
      <c r="AX12" s="62">
        <v>0</v>
      </c>
      <c r="AY12" s="62">
        <v>0</v>
      </c>
      <c r="AZ12" s="62">
        <v>0</v>
      </c>
      <c r="BA12" s="72">
        <f t="shared" si="7"/>
        <v>0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2</v>
      </c>
      <c r="M13" s="62">
        <v>2</v>
      </c>
      <c r="N13" s="62">
        <v>2</v>
      </c>
      <c r="O13" s="62">
        <v>2</v>
      </c>
      <c r="P13" s="62">
        <v>2</v>
      </c>
      <c r="Q13" s="72">
        <f t="shared" si="1"/>
        <v>2</v>
      </c>
      <c r="R13" s="62">
        <v>2</v>
      </c>
      <c r="S13" s="62">
        <v>2</v>
      </c>
      <c r="T13" s="62"/>
      <c r="U13" s="62">
        <v>2</v>
      </c>
      <c r="V13" s="62"/>
      <c r="W13" s="72">
        <f t="shared" si="2"/>
        <v>2</v>
      </c>
      <c r="X13" s="62">
        <v>2</v>
      </c>
      <c r="Y13" s="62">
        <v>2</v>
      </c>
      <c r="Z13" s="62"/>
      <c r="AA13" s="62"/>
      <c r="AB13" s="62"/>
      <c r="AC13" s="72">
        <f t="shared" si="3"/>
        <v>2</v>
      </c>
      <c r="AD13" s="62">
        <v>2</v>
      </c>
      <c r="AE13" s="62"/>
      <c r="AF13" s="62">
        <v>2</v>
      </c>
      <c r="AG13" s="62"/>
      <c r="AH13" s="62"/>
      <c r="AI13" s="72">
        <f t="shared" si="4"/>
        <v>2</v>
      </c>
      <c r="AJ13" s="62"/>
      <c r="AK13" s="62"/>
      <c r="AL13" s="62"/>
      <c r="AM13" s="62"/>
      <c r="AN13" s="62"/>
      <c r="AO13" s="72" t="str">
        <f t="shared" si="5"/>
        <v>A</v>
      </c>
      <c r="AP13" s="62">
        <v>2</v>
      </c>
      <c r="AQ13" s="62">
        <v>2</v>
      </c>
      <c r="AR13" s="62">
        <v>2</v>
      </c>
      <c r="AS13" s="62"/>
      <c r="AT13" s="62"/>
      <c r="AU13" s="72">
        <f t="shared" si="6"/>
        <v>2</v>
      </c>
      <c r="AV13" s="62"/>
      <c r="AW13" s="62"/>
      <c r="AX13" s="62">
        <v>2</v>
      </c>
      <c r="AY13" s="62">
        <v>0</v>
      </c>
      <c r="AZ13" s="62">
        <v>0</v>
      </c>
      <c r="BA13" s="72">
        <f t="shared" si="7"/>
        <v>0.66666666666666663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72">
        <f t="shared" si="1"/>
        <v>0</v>
      </c>
      <c r="R14" s="62">
        <v>0</v>
      </c>
      <c r="S14" s="62">
        <v>0</v>
      </c>
      <c r="T14" s="7"/>
      <c r="U14" s="62">
        <v>0</v>
      </c>
      <c r="V14" s="7"/>
      <c r="W14" s="72">
        <f t="shared" si="2"/>
        <v>0</v>
      </c>
      <c r="X14" s="62">
        <v>3</v>
      </c>
      <c r="Y14" s="62">
        <v>3</v>
      </c>
      <c r="Z14" s="7"/>
      <c r="AA14" s="7"/>
      <c r="AB14" s="7"/>
      <c r="AC14" s="72">
        <f t="shared" si="3"/>
        <v>3</v>
      </c>
      <c r="AD14" s="62">
        <v>0</v>
      </c>
      <c r="AE14" s="7"/>
      <c r="AF14" s="62">
        <v>0</v>
      </c>
      <c r="AG14" s="7"/>
      <c r="AH14" s="7"/>
      <c r="AI14" s="72">
        <f t="shared" si="4"/>
        <v>0</v>
      </c>
      <c r="AJ14" s="7"/>
      <c r="AK14" s="7"/>
      <c r="AL14" s="7"/>
      <c r="AM14" s="7"/>
      <c r="AN14" s="7"/>
      <c r="AO14" s="72" t="str">
        <f t="shared" si="5"/>
        <v>A</v>
      </c>
      <c r="AP14" s="62">
        <v>0</v>
      </c>
      <c r="AQ14" s="62">
        <v>0</v>
      </c>
      <c r="AR14" s="62">
        <v>0</v>
      </c>
      <c r="AS14" s="7"/>
      <c r="AT14" s="7"/>
      <c r="AU14" s="72">
        <f t="shared" si="6"/>
        <v>0</v>
      </c>
      <c r="AV14" s="7"/>
      <c r="AW14" s="7"/>
      <c r="AX14" s="62">
        <v>0</v>
      </c>
      <c r="AY14" s="62">
        <v>0</v>
      </c>
      <c r="AZ14" s="62">
        <v>0</v>
      </c>
      <c r="BA14" s="72">
        <f t="shared" si="7"/>
        <v>0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2</v>
      </c>
      <c r="M15" s="62">
        <v>2</v>
      </c>
      <c r="N15" s="62">
        <v>1</v>
      </c>
      <c r="O15" s="62">
        <v>3</v>
      </c>
      <c r="P15" s="62">
        <v>2</v>
      </c>
      <c r="Q15" s="72">
        <f t="shared" si="1"/>
        <v>2</v>
      </c>
      <c r="R15" s="62">
        <v>0</v>
      </c>
      <c r="S15" s="62">
        <v>0</v>
      </c>
      <c r="T15" s="62"/>
      <c r="U15" s="62">
        <v>0</v>
      </c>
      <c r="V15" s="62"/>
      <c r="W15" s="72">
        <f t="shared" si="2"/>
        <v>0</v>
      </c>
      <c r="X15" s="62">
        <v>0</v>
      </c>
      <c r="Y15" s="62">
        <v>0</v>
      </c>
      <c r="Z15" s="62"/>
      <c r="AA15" s="62"/>
      <c r="AB15" s="62"/>
      <c r="AC15" s="72">
        <f t="shared" si="3"/>
        <v>0</v>
      </c>
      <c r="AD15" s="62">
        <v>0</v>
      </c>
      <c r="AE15" s="62"/>
      <c r="AF15" s="62">
        <v>0</v>
      </c>
      <c r="AG15" s="62"/>
      <c r="AH15" s="62"/>
      <c r="AI15" s="72">
        <f t="shared" si="4"/>
        <v>0</v>
      </c>
      <c r="AJ15" s="62"/>
      <c r="AK15" s="62"/>
      <c r="AL15" s="62"/>
      <c r="AM15" s="62"/>
      <c r="AN15" s="62"/>
      <c r="AO15" s="72" t="str">
        <f t="shared" si="5"/>
        <v>A</v>
      </c>
      <c r="AP15" s="62">
        <v>0</v>
      </c>
      <c r="AQ15" s="62">
        <v>0</v>
      </c>
      <c r="AR15" s="62">
        <v>0</v>
      </c>
      <c r="AS15" s="62"/>
      <c r="AT15" s="62"/>
      <c r="AU15" s="72">
        <f t="shared" si="6"/>
        <v>0</v>
      </c>
      <c r="AV15" s="62"/>
      <c r="AW15" s="62"/>
      <c r="AX15" s="62">
        <v>0</v>
      </c>
      <c r="AY15" s="62">
        <v>0</v>
      </c>
      <c r="AZ15" s="62">
        <v>0</v>
      </c>
      <c r="BA15" s="72">
        <f t="shared" si="7"/>
        <v>0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3</v>
      </c>
      <c r="M16" s="62">
        <v>3</v>
      </c>
      <c r="N16" s="62">
        <v>3</v>
      </c>
      <c r="O16" s="62">
        <v>3</v>
      </c>
      <c r="P16" s="62">
        <v>3</v>
      </c>
      <c r="Q16" s="72">
        <f t="shared" si="1"/>
        <v>3</v>
      </c>
      <c r="R16" s="62">
        <v>3</v>
      </c>
      <c r="S16" s="62">
        <v>3</v>
      </c>
      <c r="T16" s="7"/>
      <c r="U16" s="62">
        <v>3</v>
      </c>
      <c r="V16" s="7"/>
      <c r="W16" s="72">
        <f t="shared" si="2"/>
        <v>3</v>
      </c>
      <c r="X16" s="62">
        <v>3</v>
      </c>
      <c r="Y16" s="62">
        <v>2</v>
      </c>
      <c r="Z16" s="7"/>
      <c r="AA16" s="7"/>
      <c r="AB16" s="7"/>
      <c r="AC16" s="72">
        <f t="shared" si="3"/>
        <v>2.5</v>
      </c>
      <c r="AD16" s="62">
        <v>3</v>
      </c>
      <c r="AE16" s="7"/>
      <c r="AF16" s="62">
        <v>3</v>
      </c>
      <c r="AG16" s="7"/>
      <c r="AH16" s="7"/>
      <c r="AI16" s="72">
        <f t="shared" si="4"/>
        <v>3</v>
      </c>
      <c r="AJ16" s="7"/>
      <c r="AK16" s="7"/>
      <c r="AL16" s="7"/>
      <c r="AM16" s="7"/>
      <c r="AN16" s="7"/>
      <c r="AO16" s="72" t="str">
        <f t="shared" si="5"/>
        <v>A</v>
      </c>
      <c r="AP16" s="62">
        <v>3</v>
      </c>
      <c r="AQ16" s="62">
        <v>3</v>
      </c>
      <c r="AR16" s="62">
        <v>3</v>
      </c>
      <c r="AS16" s="7"/>
      <c r="AT16" s="7"/>
      <c r="AU16" s="72">
        <f t="shared" si="6"/>
        <v>3</v>
      </c>
      <c r="AV16" s="7"/>
      <c r="AW16" s="7"/>
      <c r="AX16" s="62">
        <v>3</v>
      </c>
      <c r="AY16" s="62">
        <v>0</v>
      </c>
      <c r="AZ16" s="62">
        <v>0</v>
      </c>
      <c r="BA16" s="72">
        <f t="shared" si="7"/>
        <v>1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3</v>
      </c>
      <c r="M17" s="62">
        <v>3</v>
      </c>
      <c r="N17" s="62">
        <v>2</v>
      </c>
      <c r="O17" s="62">
        <v>3</v>
      </c>
      <c r="P17" s="62">
        <v>2</v>
      </c>
      <c r="Q17" s="72">
        <f t="shared" si="1"/>
        <v>2.6</v>
      </c>
      <c r="R17" s="62">
        <v>2</v>
      </c>
      <c r="S17" s="62">
        <v>2</v>
      </c>
      <c r="T17" s="62"/>
      <c r="U17" s="62">
        <v>2</v>
      </c>
      <c r="V17" s="62"/>
      <c r="W17" s="72">
        <f t="shared" si="2"/>
        <v>2</v>
      </c>
      <c r="X17" s="62">
        <v>2</v>
      </c>
      <c r="Y17" s="62">
        <v>2</v>
      </c>
      <c r="Z17" s="62"/>
      <c r="AA17" s="62"/>
      <c r="AB17" s="62"/>
      <c r="AC17" s="72">
        <f t="shared" si="3"/>
        <v>2</v>
      </c>
      <c r="AD17" s="62">
        <v>2</v>
      </c>
      <c r="AE17" s="62"/>
      <c r="AF17" s="62">
        <v>2</v>
      </c>
      <c r="AG17" s="62"/>
      <c r="AH17" s="62"/>
      <c r="AI17" s="72">
        <f t="shared" si="4"/>
        <v>2</v>
      </c>
      <c r="AJ17" s="62"/>
      <c r="AK17" s="62"/>
      <c r="AL17" s="62"/>
      <c r="AM17" s="62"/>
      <c r="AN17" s="62"/>
      <c r="AO17" s="72" t="str">
        <f t="shared" si="5"/>
        <v>A</v>
      </c>
      <c r="AP17" s="62">
        <v>2</v>
      </c>
      <c r="AQ17" s="62">
        <v>2</v>
      </c>
      <c r="AR17" s="62">
        <v>2</v>
      </c>
      <c r="AS17" s="62"/>
      <c r="AT17" s="62"/>
      <c r="AU17" s="72">
        <f t="shared" si="6"/>
        <v>2</v>
      </c>
      <c r="AV17" s="62"/>
      <c r="AW17" s="62"/>
      <c r="AX17" s="62">
        <v>2</v>
      </c>
      <c r="AY17" s="62">
        <v>2</v>
      </c>
      <c r="AZ17" s="62">
        <v>2</v>
      </c>
      <c r="BA17" s="72">
        <f t="shared" si="7"/>
        <v>2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2</v>
      </c>
      <c r="M18" s="62">
        <v>2</v>
      </c>
      <c r="N18" s="62">
        <v>1</v>
      </c>
      <c r="O18" s="62">
        <v>3</v>
      </c>
      <c r="P18" s="62">
        <v>2</v>
      </c>
      <c r="Q18" s="72">
        <f t="shared" si="1"/>
        <v>2</v>
      </c>
      <c r="R18" s="62">
        <v>0</v>
      </c>
      <c r="S18" s="62">
        <v>0</v>
      </c>
      <c r="T18" s="7"/>
      <c r="U18" s="62">
        <v>0</v>
      </c>
      <c r="V18" s="7"/>
      <c r="W18" s="72">
        <f t="shared" si="2"/>
        <v>0</v>
      </c>
      <c r="X18" s="62">
        <v>0</v>
      </c>
      <c r="Y18" s="62">
        <v>0</v>
      </c>
      <c r="Z18" s="7"/>
      <c r="AA18" s="7"/>
      <c r="AB18" s="7"/>
      <c r="AC18" s="72">
        <f t="shared" si="3"/>
        <v>0</v>
      </c>
      <c r="AD18" s="62">
        <v>0</v>
      </c>
      <c r="AE18" s="7"/>
      <c r="AF18" s="62">
        <v>0</v>
      </c>
      <c r="AG18" s="7"/>
      <c r="AH18" s="7"/>
      <c r="AI18" s="72">
        <f t="shared" si="4"/>
        <v>0</v>
      </c>
      <c r="AJ18" s="7"/>
      <c r="AK18" s="7"/>
      <c r="AL18" s="7"/>
      <c r="AM18" s="7"/>
      <c r="AN18" s="7"/>
      <c r="AO18" s="72" t="str">
        <f t="shared" si="5"/>
        <v>A</v>
      </c>
      <c r="AP18" s="62">
        <v>0</v>
      </c>
      <c r="AQ18" s="62">
        <v>0</v>
      </c>
      <c r="AR18" s="62">
        <v>0</v>
      </c>
      <c r="AS18" s="7"/>
      <c r="AT18" s="7"/>
      <c r="AU18" s="72">
        <f t="shared" si="6"/>
        <v>0</v>
      </c>
      <c r="AV18" s="7"/>
      <c r="AW18" s="7"/>
      <c r="AX18" s="62">
        <v>0</v>
      </c>
      <c r="AY18" s="62">
        <v>0</v>
      </c>
      <c r="AZ18" s="62">
        <v>0</v>
      </c>
      <c r="BA18" s="72">
        <f t="shared" si="7"/>
        <v>0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2</v>
      </c>
      <c r="M19" s="62">
        <v>2</v>
      </c>
      <c r="N19" s="62">
        <v>2</v>
      </c>
      <c r="O19" s="62">
        <v>3</v>
      </c>
      <c r="P19" s="62">
        <v>2</v>
      </c>
      <c r="Q19" s="72">
        <f t="shared" si="1"/>
        <v>2.2000000000000002</v>
      </c>
      <c r="R19" s="62">
        <v>2</v>
      </c>
      <c r="S19" s="62">
        <v>2</v>
      </c>
      <c r="T19" s="62"/>
      <c r="U19" s="62">
        <v>2</v>
      </c>
      <c r="V19" s="62"/>
      <c r="W19" s="72">
        <f t="shared" si="2"/>
        <v>2</v>
      </c>
      <c r="X19" s="62">
        <v>2</v>
      </c>
      <c r="Y19" s="62">
        <v>2</v>
      </c>
      <c r="Z19" s="62"/>
      <c r="AA19" s="62"/>
      <c r="AB19" s="62"/>
      <c r="AC19" s="72">
        <f t="shared" si="3"/>
        <v>2</v>
      </c>
      <c r="AD19" s="62">
        <v>2</v>
      </c>
      <c r="AE19" s="62"/>
      <c r="AF19" s="62">
        <v>2</v>
      </c>
      <c r="AG19" s="62"/>
      <c r="AH19" s="62"/>
      <c r="AI19" s="72">
        <f t="shared" si="4"/>
        <v>2</v>
      </c>
      <c r="AJ19" s="62"/>
      <c r="AK19" s="62"/>
      <c r="AL19" s="62"/>
      <c r="AM19" s="62"/>
      <c r="AN19" s="62"/>
      <c r="AO19" s="72" t="str">
        <f t="shared" si="5"/>
        <v>A</v>
      </c>
      <c r="AP19" s="62">
        <v>2</v>
      </c>
      <c r="AQ19" s="62">
        <v>2</v>
      </c>
      <c r="AR19" s="62">
        <v>2</v>
      </c>
      <c r="AS19" s="62"/>
      <c r="AT19" s="62"/>
      <c r="AU19" s="72">
        <f t="shared" si="6"/>
        <v>2</v>
      </c>
      <c r="AV19" s="62"/>
      <c r="AW19" s="62"/>
      <c r="AX19" s="62">
        <v>2</v>
      </c>
      <c r="AY19" s="62">
        <v>2</v>
      </c>
      <c r="AZ19" s="62">
        <v>2</v>
      </c>
      <c r="BA19" s="72">
        <f t="shared" si="7"/>
        <v>2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>
        <v>3</v>
      </c>
      <c r="N20" s="62">
        <v>3</v>
      </c>
      <c r="O20" s="62">
        <v>3</v>
      </c>
      <c r="P20" s="62">
        <v>3</v>
      </c>
      <c r="Q20" s="72">
        <f t="shared" si="1"/>
        <v>3</v>
      </c>
      <c r="R20" s="62">
        <v>0</v>
      </c>
      <c r="S20" s="62">
        <v>0</v>
      </c>
      <c r="T20" s="7"/>
      <c r="U20" s="62">
        <v>0</v>
      </c>
      <c r="V20" s="7"/>
      <c r="W20" s="72">
        <f t="shared" si="2"/>
        <v>0</v>
      </c>
      <c r="X20" s="62">
        <v>0</v>
      </c>
      <c r="Y20" s="62">
        <v>0</v>
      </c>
      <c r="Z20" s="7"/>
      <c r="AA20" s="7"/>
      <c r="AB20" s="7"/>
      <c r="AC20" s="72">
        <f t="shared" si="3"/>
        <v>0</v>
      </c>
      <c r="AD20" s="62">
        <v>0</v>
      </c>
      <c r="AE20" s="7"/>
      <c r="AF20" s="62">
        <v>0</v>
      </c>
      <c r="AG20" s="7"/>
      <c r="AH20" s="7"/>
      <c r="AI20" s="72">
        <f t="shared" si="4"/>
        <v>0</v>
      </c>
      <c r="AJ20" s="7"/>
      <c r="AK20" s="7"/>
      <c r="AL20" s="7"/>
      <c r="AM20" s="7"/>
      <c r="AN20" s="7"/>
      <c r="AO20" s="72" t="str">
        <f t="shared" si="5"/>
        <v>A</v>
      </c>
      <c r="AP20" s="62">
        <v>0</v>
      </c>
      <c r="AQ20" s="62">
        <v>0</v>
      </c>
      <c r="AR20" s="62">
        <v>0</v>
      </c>
      <c r="AS20" s="7"/>
      <c r="AT20" s="7"/>
      <c r="AU20" s="72">
        <f t="shared" si="6"/>
        <v>0</v>
      </c>
      <c r="AV20" s="7"/>
      <c r="AW20" s="7"/>
      <c r="AX20" s="62">
        <v>0</v>
      </c>
      <c r="AY20" s="62">
        <v>0</v>
      </c>
      <c r="AZ20" s="62">
        <v>0</v>
      </c>
      <c r="BA20" s="72">
        <f t="shared" si="7"/>
        <v>0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3</v>
      </c>
      <c r="M21" s="62">
        <v>3</v>
      </c>
      <c r="N21" s="62">
        <v>3</v>
      </c>
      <c r="O21" s="62">
        <v>3</v>
      </c>
      <c r="P21" s="62">
        <v>3</v>
      </c>
      <c r="Q21" s="72">
        <f t="shared" si="1"/>
        <v>3</v>
      </c>
      <c r="R21" s="62">
        <v>0</v>
      </c>
      <c r="S21" s="62">
        <v>0</v>
      </c>
      <c r="T21" s="62"/>
      <c r="U21" s="62">
        <v>0</v>
      </c>
      <c r="V21" s="62"/>
      <c r="W21" s="72">
        <f t="shared" si="2"/>
        <v>0</v>
      </c>
      <c r="X21" s="62">
        <v>0</v>
      </c>
      <c r="Y21" s="62">
        <v>0</v>
      </c>
      <c r="Z21" s="62"/>
      <c r="AA21" s="62"/>
      <c r="AB21" s="62"/>
      <c r="AC21" s="72">
        <f t="shared" si="3"/>
        <v>0</v>
      </c>
      <c r="AD21" s="62">
        <v>0</v>
      </c>
      <c r="AE21" s="62"/>
      <c r="AF21" s="62">
        <v>0</v>
      </c>
      <c r="AG21" s="62"/>
      <c r="AH21" s="62"/>
      <c r="AI21" s="72">
        <f t="shared" si="4"/>
        <v>0</v>
      </c>
      <c r="AJ21" s="62"/>
      <c r="AK21" s="62"/>
      <c r="AL21" s="62"/>
      <c r="AM21" s="62"/>
      <c r="AN21" s="62"/>
      <c r="AO21" s="72" t="str">
        <f t="shared" si="5"/>
        <v>A</v>
      </c>
      <c r="AP21" s="62">
        <v>0</v>
      </c>
      <c r="AQ21" s="62">
        <v>0</v>
      </c>
      <c r="AR21" s="62">
        <v>0</v>
      </c>
      <c r="AS21" s="62"/>
      <c r="AT21" s="62"/>
      <c r="AU21" s="72">
        <f t="shared" si="6"/>
        <v>0</v>
      </c>
      <c r="AV21" s="62"/>
      <c r="AW21" s="62"/>
      <c r="AX21" s="62">
        <v>0</v>
      </c>
      <c r="AY21" s="62">
        <v>0</v>
      </c>
      <c r="AZ21" s="62">
        <v>0</v>
      </c>
      <c r="BA21" s="72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>
        <v>3</v>
      </c>
      <c r="N22" s="62">
        <v>3</v>
      </c>
      <c r="O22" s="62">
        <v>3</v>
      </c>
      <c r="P22" s="62">
        <v>3</v>
      </c>
      <c r="Q22" s="72">
        <f t="shared" si="1"/>
        <v>3</v>
      </c>
      <c r="R22" s="62">
        <v>3</v>
      </c>
      <c r="S22" s="62">
        <v>3</v>
      </c>
      <c r="T22" s="7"/>
      <c r="U22" s="62">
        <v>3</v>
      </c>
      <c r="V22" s="7"/>
      <c r="W22" s="72">
        <f t="shared" si="2"/>
        <v>3</v>
      </c>
      <c r="X22" s="62">
        <v>3</v>
      </c>
      <c r="Y22" s="62">
        <v>3</v>
      </c>
      <c r="Z22" s="7"/>
      <c r="AA22" s="7"/>
      <c r="AB22" s="7"/>
      <c r="AC22" s="72">
        <f t="shared" si="3"/>
        <v>3</v>
      </c>
      <c r="AD22" s="62">
        <v>3</v>
      </c>
      <c r="AE22" s="7"/>
      <c r="AF22" s="62">
        <v>3</v>
      </c>
      <c r="AG22" s="7"/>
      <c r="AH22" s="7"/>
      <c r="AI22" s="72">
        <f t="shared" si="4"/>
        <v>3</v>
      </c>
      <c r="AJ22" s="7"/>
      <c r="AK22" s="7"/>
      <c r="AL22" s="7"/>
      <c r="AM22" s="7"/>
      <c r="AN22" s="7"/>
      <c r="AO22" s="72" t="str">
        <f t="shared" si="5"/>
        <v>A</v>
      </c>
      <c r="AP22" s="62">
        <v>3</v>
      </c>
      <c r="AQ22" s="62">
        <v>3</v>
      </c>
      <c r="AR22" s="62">
        <v>3</v>
      </c>
      <c r="AS22" s="7"/>
      <c r="AT22" s="7"/>
      <c r="AU22" s="72">
        <f t="shared" si="6"/>
        <v>3</v>
      </c>
      <c r="AV22" s="7"/>
      <c r="AW22" s="7"/>
      <c r="AX22" s="62">
        <v>3</v>
      </c>
      <c r="AY22" s="62">
        <v>0</v>
      </c>
      <c r="AZ22" s="62">
        <v>0</v>
      </c>
      <c r="BA22" s="72">
        <f t="shared" si="7"/>
        <v>1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2</v>
      </c>
      <c r="M23" s="62">
        <v>0</v>
      </c>
      <c r="N23" s="62">
        <v>0</v>
      </c>
      <c r="O23" s="62">
        <v>3</v>
      </c>
      <c r="P23" s="62">
        <v>0</v>
      </c>
      <c r="Q23" s="72">
        <f t="shared" si="1"/>
        <v>1</v>
      </c>
      <c r="R23" s="62">
        <v>0</v>
      </c>
      <c r="S23" s="62">
        <v>0</v>
      </c>
      <c r="T23" s="62"/>
      <c r="U23" s="62">
        <v>2</v>
      </c>
      <c r="V23" s="62"/>
      <c r="W23" s="72">
        <f t="shared" si="2"/>
        <v>0.66666666666666663</v>
      </c>
      <c r="X23" s="62">
        <v>2</v>
      </c>
      <c r="Y23" s="62">
        <v>2</v>
      </c>
      <c r="Z23" s="62"/>
      <c r="AA23" s="62"/>
      <c r="AB23" s="62"/>
      <c r="AC23" s="72">
        <f t="shared" si="3"/>
        <v>2</v>
      </c>
      <c r="AD23" s="62">
        <v>0</v>
      </c>
      <c r="AE23" s="62"/>
      <c r="AF23" s="62">
        <v>0</v>
      </c>
      <c r="AG23" s="62"/>
      <c r="AH23" s="62"/>
      <c r="AI23" s="72">
        <f t="shared" si="4"/>
        <v>0</v>
      </c>
      <c r="AJ23" s="62"/>
      <c r="AK23" s="62"/>
      <c r="AL23" s="62"/>
      <c r="AM23" s="62"/>
      <c r="AN23" s="62"/>
      <c r="AO23" s="72" t="str">
        <f t="shared" si="5"/>
        <v>A</v>
      </c>
      <c r="AP23" s="62">
        <v>0</v>
      </c>
      <c r="AQ23" s="62">
        <v>2</v>
      </c>
      <c r="AR23" s="62">
        <v>2</v>
      </c>
      <c r="AS23" s="62"/>
      <c r="AT23" s="62"/>
      <c r="AU23" s="72">
        <f t="shared" si="6"/>
        <v>1.3333333333333333</v>
      </c>
      <c r="AV23" s="62"/>
      <c r="AW23" s="62"/>
      <c r="AX23" s="62">
        <v>2</v>
      </c>
      <c r="AY23" s="62">
        <v>0</v>
      </c>
      <c r="AZ23" s="62">
        <v>0</v>
      </c>
      <c r="BA23" s="72">
        <f t="shared" si="7"/>
        <v>0.66666666666666663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0</v>
      </c>
      <c r="M24" s="62">
        <v>0</v>
      </c>
      <c r="N24" s="62">
        <v>0</v>
      </c>
      <c r="O24" s="62">
        <v>3</v>
      </c>
      <c r="P24" s="62">
        <v>0</v>
      </c>
      <c r="Q24" s="72">
        <f t="shared" si="1"/>
        <v>0.6</v>
      </c>
      <c r="R24" s="62">
        <v>0</v>
      </c>
      <c r="S24" s="62">
        <v>0</v>
      </c>
      <c r="T24" s="7"/>
      <c r="U24" s="62">
        <v>0</v>
      </c>
      <c r="V24" s="7"/>
      <c r="W24" s="72">
        <f t="shared" si="2"/>
        <v>0</v>
      </c>
      <c r="X24" s="62">
        <v>0</v>
      </c>
      <c r="Y24" s="62">
        <v>0</v>
      </c>
      <c r="Z24" s="7"/>
      <c r="AA24" s="7"/>
      <c r="AB24" s="7"/>
      <c r="AC24" s="72">
        <f t="shared" si="3"/>
        <v>0</v>
      </c>
      <c r="AD24" s="62">
        <v>0</v>
      </c>
      <c r="AE24" s="7"/>
      <c r="AF24" s="62">
        <v>0</v>
      </c>
      <c r="AG24" s="7"/>
      <c r="AH24" s="7"/>
      <c r="AI24" s="72">
        <f t="shared" si="4"/>
        <v>0</v>
      </c>
      <c r="AJ24" s="7"/>
      <c r="AK24" s="7"/>
      <c r="AL24" s="7"/>
      <c r="AM24" s="7"/>
      <c r="AN24" s="7"/>
      <c r="AO24" s="72" t="str">
        <f t="shared" si="5"/>
        <v>A</v>
      </c>
      <c r="AP24" s="62">
        <v>0</v>
      </c>
      <c r="AQ24" s="62">
        <v>0</v>
      </c>
      <c r="AR24" s="62">
        <v>0</v>
      </c>
      <c r="AS24" s="7"/>
      <c r="AT24" s="7"/>
      <c r="AU24" s="72">
        <f t="shared" si="6"/>
        <v>0</v>
      </c>
      <c r="AV24" s="7"/>
      <c r="AW24" s="7"/>
      <c r="AX24" s="62">
        <v>0</v>
      </c>
      <c r="AY24" s="62">
        <v>0</v>
      </c>
      <c r="AZ24" s="62">
        <v>0</v>
      </c>
      <c r="BA24" s="72">
        <f t="shared" si="7"/>
        <v>0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72">
        <f t="shared" si="1"/>
        <v>0</v>
      </c>
      <c r="R25" s="62">
        <v>2</v>
      </c>
      <c r="S25" s="62">
        <v>2</v>
      </c>
      <c r="T25" s="62"/>
      <c r="U25" s="62">
        <v>2</v>
      </c>
      <c r="V25" s="62"/>
      <c r="W25" s="72">
        <f t="shared" si="2"/>
        <v>2</v>
      </c>
      <c r="X25" s="62">
        <v>3</v>
      </c>
      <c r="Y25" s="62">
        <v>2</v>
      </c>
      <c r="Z25" s="62"/>
      <c r="AA25" s="62"/>
      <c r="AB25" s="62"/>
      <c r="AC25" s="72">
        <f t="shared" si="3"/>
        <v>2.5</v>
      </c>
      <c r="AD25" s="62">
        <v>2</v>
      </c>
      <c r="AE25" s="62"/>
      <c r="AF25" s="62">
        <v>2</v>
      </c>
      <c r="AG25" s="62"/>
      <c r="AH25" s="62"/>
      <c r="AI25" s="72">
        <f t="shared" si="4"/>
        <v>2</v>
      </c>
      <c r="AJ25" s="62"/>
      <c r="AK25" s="62"/>
      <c r="AL25" s="62"/>
      <c r="AM25" s="62"/>
      <c r="AN25" s="62"/>
      <c r="AO25" s="72" t="str">
        <f t="shared" si="5"/>
        <v>A</v>
      </c>
      <c r="AP25" s="62">
        <v>2</v>
      </c>
      <c r="AQ25" s="62">
        <v>2</v>
      </c>
      <c r="AR25" s="62">
        <v>2</v>
      </c>
      <c r="AS25" s="62"/>
      <c r="AT25" s="62"/>
      <c r="AU25" s="72">
        <f t="shared" si="6"/>
        <v>2</v>
      </c>
      <c r="AV25" s="62"/>
      <c r="AW25" s="62"/>
      <c r="AX25" s="62">
        <v>2</v>
      </c>
      <c r="AY25" s="62">
        <v>0</v>
      </c>
      <c r="AZ25" s="62">
        <v>0</v>
      </c>
      <c r="BA25" s="72">
        <f t="shared" si="7"/>
        <v>0.66666666666666663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3</v>
      </c>
      <c r="M26" s="62">
        <v>3</v>
      </c>
      <c r="N26" s="62">
        <v>3</v>
      </c>
      <c r="O26" s="62">
        <v>3</v>
      </c>
      <c r="P26" s="62">
        <v>3</v>
      </c>
      <c r="Q26" s="72">
        <f t="shared" si="1"/>
        <v>3</v>
      </c>
      <c r="R26" s="62">
        <v>0</v>
      </c>
      <c r="S26" s="62">
        <v>0</v>
      </c>
      <c r="T26" s="7"/>
      <c r="U26" s="62">
        <v>0</v>
      </c>
      <c r="V26" s="7"/>
      <c r="W26" s="72">
        <f t="shared" si="2"/>
        <v>0</v>
      </c>
      <c r="X26" s="62">
        <v>0</v>
      </c>
      <c r="Y26" s="62">
        <v>0</v>
      </c>
      <c r="Z26" s="7"/>
      <c r="AA26" s="7"/>
      <c r="AB26" s="7"/>
      <c r="AC26" s="72">
        <f t="shared" si="3"/>
        <v>0</v>
      </c>
      <c r="AD26" s="62">
        <v>0</v>
      </c>
      <c r="AE26" s="7"/>
      <c r="AF26" s="62">
        <v>0</v>
      </c>
      <c r="AG26" s="7"/>
      <c r="AH26" s="7"/>
      <c r="AI26" s="72">
        <f t="shared" si="4"/>
        <v>0</v>
      </c>
      <c r="AJ26" s="7"/>
      <c r="AK26" s="7"/>
      <c r="AL26" s="7"/>
      <c r="AM26" s="7"/>
      <c r="AN26" s="7"/>
      <c r="AO26" s="72" t="str">
        <f t="shared" si="5"/>
        <v>A</v>
      </c>
      <c r="AP26" s="62">
        <v>0</v>
      </c>
      <c r="AQ26" s="62">
        <v>0</v>
      </c>
      <c r="AR26" s="62">
        <v>0</v>
      </c>
      <c r="AS26" s="7"/>
      <c r="AT26" s="7"/>
      <c r="AU26" s="72">
        <f t="shared" si="6"/>
        <v>0</v>
      </c>
      <c r="AV26" s="7"/>
      <c r="AW26" s="7"/>
      <c r="AX26" s="62">
        <v>0</v>
      </c>
      <c r="AY26" s="62">
        <v>0</v>
      </c>
      <c r="AZ26" s="62">
        <v>0</v>
      </c>
      <c r="BA26" s="72">
        <f t="shared" si="7"/>
        <v>0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2</v>
      </c>
      <c r="M27" s="62">
        <v>2</v>
      </c>
      <c r="N27" s="62">
        <v>2</v>
      </c>
      <c r="O27" s="62">
        <v>2</v>
      </c>
      <c r="P27" s="62">
        <v>2</v>
      </c>
      <c r="Q27" s="72">
        <f t="shared" si="1"/>
        <v>2</v>
      </c>
      <c r="R27" s="62">
        <v>2</v>
      </c>
      <c r="S27" s="62">
        <v>2</v>
      </c>
      <c r="T27" s="62"/>
      <c r="U27" s="62">
        <v>0</v>
      </c>
      <c r="V27" s="62"/>
      <c r="W27" s="72">
        <f t="shared" si="2"/>
        <v>1.3333333333333333</v>
      </c>
      <c r="X27" s="62">
        <v>3</v>
      </c>
      <c r="Y27" s="62">
        <v>3</v>
      </c>
      <c r="Z27" s="62"/>
      <c r="AA27" s="62"/>
      <c r="AB27" s="62"/>
      <c r="AC27" s="72">
        <f t="shared" si="3"/>
        <v>3</v>
      </c>
      <c r="AD27" s="62">
        <v>2</v>
      </c>
      <c r="AE27" s="62"/>
      <c r="AF27" s="62">
        <v>2</v>
      </c>
      <c r="AG27" s="62"/>
      <c r="AH27" s="62"/>
      <c r="AI27" s="72">
        <f t="shared" si="4"/>
        <v>2</v>
      </c>
      <c r="AJ27" s="62"/>
      <c r="AK27" s="62"/>
      <c r="AL27" s="62"/>
      <c r="AM27" s="62"/>
      <c r="AN27" s="62"/>
      <c r="AO27" s="72" t="str">
        <f t="shared" si="5"/>
        <v>A</v>
      </c>
      <c r="AP27" s="62">
        <v>2</v>
      </c>
      <c r="AQ27" s="62">
        <v>2</v>
      </c>
      <c r="AR27" s="62">
        <v>2</v>
      </c>
      <c r="AS27" s="62"/>
      <c r="AT27" s="62"/>
      <c r="AU27" s="72">
        <f t="shared" si="6"/>
        <v>2</v>
      </c>
      <c r="AV27" s="62"/>
      <c r="AW27" s="62"/>
      <c r="AX27" s="62">
        <v>2</v>
      </c>
      <c r="AY27" s="62">
        <v>0</v>
      </c>
      <c r="AZ27" s="62">
        <v>0</v>
      </c>
      <c r="BA27" s="72">
        <f t="shared" si="7"/>
        <v>0.66666666666666663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2</v>
      </c>
      <c r="M28" s="62">
        <v>2</v>
      </c>
      <c r="N28" s="62">
        <v>2</v>
      </c>
      <c r="O28" s="62">
        <v>3</v>
      </c>
      <c r="P28" s="62">
        <v>2</v>
      </c>
      <c r="Q28" s="72">
        <f t="shared" si="1"/>
        <v>2.2000000000000002</v>
      </c>
      <c r="R28" s="62">
        <v>2</v>
      </c>
      <c r="S28" s="62">
        <v>2</v>
      </c>
      <c r="T28" s="7"/>
      <c r="U28" s="62">
        <v>2</v>
      </c>
      <c r="V28" s="7"/>
      <c r="W28" s="72">
        <f t="shared" si="2"/>
        <v>2</v>
      </c>
      <c r="X28" s="62">
        <v>2</v>
      </c>
      <c r="Y28" s="62">
        <v>2</v>
      </c>
      <c r="Z28" s="7"/>
      <c r="AA28" s="7"/>
      <c r="AB28" s="7"/>
      <c r="AC28" s="72">
        <f t="shared" si="3"/>
        <v>2</v>
      </c>
      <c r="AD28" s="62">
        <v>2</v>
      </c>
      <c r="AE28" s="7"/>
      <c r="AF28" s="62">
        <v>2</v>
      </c>
      <c r="AG28" s="7"/>
      <c r="AH28" s="7"/>
      <c r="AI28" s="72">
        <f t="shared" si="4"/>
        <v>2</v>
      </c>
      <c r="AJ28" s="7"/>
      <c r="AK28" s="7"/>
      <c r="AL28" s="7"/>
      <c r="AM28" s="7"/>
      <c r="AN28" s="7"/>
      <c r="AO28" s="72" t="str">
        <f t="shared" si="5"/>
        <v>A</v>
      </c>
      <c r="AP28" s="62">
        <v>2</v>
      </c>
      <c r="AQ28" s="62">
        <v>2</v>
      </c>
      <c r="AR28" s="62">
        <v>2</v>
      </c>
      <c r="AS28" s="7"/>
      <c r="AT28" s="7"/>
      <c r="AU28" s="72">
        <f t="shared" si="6"/>
        <v>2</v>
      </c>
      <c r="AV28" s="7"/>
      <c r="AW28" s="7"/>
      <c r="AX28" s="62">
        <v>2</v>
      </c>
      <c r="AY28" s="62">
        <v>2</v>
      </c>
      <c r="AZ28" s="62">
        <v>2</v>
      </c>
      <c r="BA28" s="72">
        <f t="shared" si="7"/>
        <v>2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3</v>
      </c>
      <c r="M29" s="62">
        <v>0</v>
      </c>
      <c r="N29" s="62">
        <v>0</v>
      </c>
      <c r="O29" s="62">
        <v>3</v>
      </c>
      <c r="P29" s="62">
        <v>0</v>
      </c>
      <c r="Q29" s="72">
        <f t="shared" si="1"/>
        <v>1.2</v>
      </c>
      <c r="R29" s="62">
        <v>2</v>
      </c>
      <c r="S29" s="62">
        <v>2</v>
      </c>
      <c r="T29" s="62"/>
      <c r="U29" s="62">
        <v>3</v>
      </c>
      <c r="V29" s="62"/>
      <c r="W29" s="72">
        <f t="shared" si="2"/>
        <v>2.3333333333333335</v>
      </c>
      <c r="X29" s="62">
        <v>4</v>
      </c>
      <c r="Y29" s="62">
        <v>3</v>
      </c>
      <c r="Z29" s="62"/>
      <c r="AA29" s="62"/>
      <c r="AB29" s="62"/>
      <c r="AC29" s="72">
        <f t="shared" si="3"/>
        <v>3.5</v>
      </c>
      <c r="AD29" s="62">
        <v>2</v>
      </c>
      <c r="AE29" s="62"/>
      <c r="AF29" s="62">
        <v>2</v>
      </c>
      <c r="AG29" s="62"/>
      <c r="AH29" s="62"/>
      <c r="AI29" s="72">
        <f t="shared" si="4"/>
        <v>2</v>
      </c>
      <c r="AJ29" s="62"/>
      <c r="AK29" s="62"/>
      <c r="AL29" s="62"/>
      <c r="AM29" s="62"/>
      <c r="AN29" s="62"/>
      <c r="AO29" s="72" t="str">
        <f t="shared" si="5"/>
        <v>A</v>
      </c>
      <c r="AP29" s="62">
        <v>2</v>
      </c>
      <c r="AQ29" s="62">
        <v>3</v>
      </c>
      <c r="AR29" s="62">
        <v>3</v>
      </c>
      <c r="AS29" s="62"/>
      <c r="AT29" s="62"/>
      <c r="AU29" s="72">
        <f t="shared" si="6"/>
        <v>2.6666666666666665</v>
      </c>
      <c r="AV29" s="62"/>
      <c r="AW29" s="62"/>
      <c r="AX29" s="62">
        <v>3</v>
      </c>
      <c r="AY29" s="62">
        <v>0</v>
      </c>
      <c r="AZ29" s="62">
        <v>0</v>
      </c>
      <c r="BA29" s="72">
        <f t="shared" si="7"/>
        <v>1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1</v>
      </c>
      <c r="M30" s="62">
        <v>1</v>
      </c>
      <c r="N30" s="62">
        <v>1</v>
      </c>
      <c r="O30" s="62">
        <v>3</v>
      </c>
      <c r="P30" s="62">
        <v>1</v>
      </c>
      <c r="Q30" s="72">
        <f t="shared" si="1"/>
        <v>1.4</v>
      </c>
      <c r="R30" s="62">
        <v>0</v>
      </c>
      <c r="S30" s="62">
        <v>0</v>
      </c>
      <c r="T30" s="7"/>
      <c r="U30" s="62">
        <v>0</v>
      </c>
      <c r="V30" s="7"/>
      <c r="W30" s="72">
        <f t="shared" si="2"/>
        <v>0</v>
      </c>
      <c r="X30" s="62">
        <v>0</v>
      </c>
      <c r="Y30" s="62">
        <v>0</v>
      </c>
      <c r="Z30" s="7"/>
      <c r="AA30" s="7"/>
      <c r="AB30" s="7"/>
      <c r="AC30" s="72">
        <f t="shared" si="3"/>
        <v>0</v>
      </c>
      <c r="AD30" s="62">
        <v>0</v>
      </c>
      <c r="AE30" s="7"/>
      <c r="AF30" s="62">
        <v>0</v>
      </c>
      <c r="AG30" s="7"/>
      <c r="AH30" s="7"/>
      <c r="AI30" s="72">
        <f t="shared" si="4"/>
        <v>0</v>
      </c>
      <c r="AJ30" s="7"/>
      <c r="AK30" s="7"/>
      <c r="AL30" s="7"/>
      <c r="AM30" s="7"/>
      <c r="AN30" s="7"/>
      <c r="AO30" s="72" t="str">
        <f t="shared" si="5"/>
        <v>A</v>
      </c>
      <c r="AP30" s="62">
        <v>0</v>
      </c>
      <c r="AQ30" s="62">
        <v>0</v>
      </c>
      <c r="AR30" s="62">
        <v>0</v>
      </c>
      <c r="AS30" s="7"/>
      <c r="AT30" s="7"/>
      <c r="AU30" s="72">
        <f t="shared" si="6"/>
        <v>0</v>
      </c>
      <c r="AV30" s="7"/>
      <c r="AW30" s="7"/>
      <c r="AX30" s="62">
        <v>0</v>
      </c>
      <c r="AY30" s="62">
        <v>0</v>
      </c>
      <c r="AZ30" s="62">
        <v>0</v>
      </c>
      <c r="BA30" s="72">
        <f t="shared" si="7"/>
        <v>0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2</v>
      </c>
      <c r="M31" s="62">
        <v>3</v>
      </c>
      <c r="N31" s="62">
        <v>3</v>
      </c>
      <c r="O31" s="62">
        <v>3</v>
      </c>
      <c r="P31" s="62">
        <v>2</v>
      </c>
      <c r="Q31" s="72">
        <f t="shared" si="1"/>
        <v>2.6</v>
      </c>
      <c r="R31" s="62">
        <v>0</v>
      </c>
      <c r="S31" s="62">
        <v>0</v>
      </c>
      <c r="T31" s="62"/>
      <c r="U31" s="62">
        <v>0</v>
      </c>
      <c r="V31" s="62"/>
      <c r="W31" s="72">
        <f t="shared" si="2"/>
        <v>0</v>
      </c>
      <c r="X31" s="62">
        <v>0</v>
      </c>
      <c r="Y31" s="62">
        <v>0</v>
      </c>
      <c r="Z31" s="62"/>
      <c r="AA31" s="62"/>
      <c r="AB31" s="62"/>
      <c r="AC31" s="72">
        <f t="shared" si="3"/>
        <v>0</v>
      </c>
      <c r="AD31" s="62">
        <v>0</v>
      </c>
      <c r="AE31" s="62"/>
      <c r="AF31" s="62">
        <v>0</v>
      </c>
      <c r="AG31" s="62"/>
      <c r="AH31" s="62"/>
      <c r="AI31" s="72">
        <f t="shared" si="4"/>
        <v>0</v>
      </c>
      <c r="AJ31" s="62"/>
      <c r="AK31" s="62"/>
      <c r="AL31" s="62"/>
      <c r="AM31" s="62"/>
      <c r="AN31" s="62"/>
      <c r="AO31" s="72" t="str">
        <f t="shared" si="5"/>
        <v>A</v>
      </c>
      <c r="AP31" s="62">
        <v>0</v>
      </c>
      <c r="AQ31" s="62">
        <v>0</v>
      </c>
      <c r="AR31" s="62">
        <v>0</v>
      </c>
      <c r="AS31" s="62"/>
      <c r="AT31" s="62"/>
      <c r="AU31" s="72">
        <f t="shared" si="6"/>
        <v>0</v>
      </c>
      <c r="AV31" s="62"/>
      <c r="AW31" s="62"/>
      <c r="AX31" s="62">
        <v>0</v>
      </c>
      <c r="AY31" s="62">
        <v>0</v>
      </c>
      <c r="AZ31" s="62">
        <v>0</v>
      </c>
      <c r="BA31" s="72">
        <f t="shared" si="7"/>
        <v>0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1</v>
      </c>
      <c r="M32" s="62">
        <v>1</v>
      </c>
      <c r="N32" s="62">
        <v>1</v>
      </c>
      <c r="O32" s="62">
        <v>3</v>
      </c>
      <c r="P32" s="62">
        <v>1</v>
      </c>
      <c r="Q32" s="72">
        <f t="shared" si="1"/>
        <v>1.4</v>
      </c>
      <c r="R32" s="62">
        <v>0</v>
      </c>
      <c r="S32" s="62">
        <v>0</v>
      </c>
      <c r="T32" s="7"/>
      <c r="U32" s="62">
        <v>0</v>
      </c>
      <c r="V32" s="7"/>
      <c r="W32" s="72">
        <f t="shared" si="2"/>
        <v>0</v>
      </c>
      <c r="X32" s="62">
        <v>0</v>
      </c>
      <c r="Y32" s="62">
        <v>0</v>
      </c>
      <c r="Z32" s="7"/>
      <c r="AA32" s="7"/>
      <c r="AB32" s="7"/>
      <c r="AC32" s="72">
        <f t="shared" si="3"/>
        <v>0</v>
      </c>
      <c r="AD32" s="62">
        <v>0</v>
      </c>
      <c r="AE32" s="7"/>
      <c r="AF32" s="62">
        <v>0</v>
      </c>
      <c r="AG32" s="7"/>
      <c r="AH32" s="7"/>
      <c r="AI32" s="72">
        <f t="shared" si="4"/>
        <v>0</v>
      </c>
      <c r="AJ32" s="7"/>
      <c r="AK32" s="7"/>
      <c r="AL32" s="7"/>
      <c r="AM32" s="7"/>
      <c r="AN32" s="7"/>
      <c r="AO32" s="72" t="str">
        <f t="shared" si="5"/>
        <v>A</v>
      </c>
      <c r="AP32" s="62">
        <v>0</v>
      </c>
      <c r="AQ32" s="62">
        <v>0</v>
      </c>
      <c r="AR32" s="62">
        <v>0</v>
      </c>
      <c r="AS32" s="7"/>
      <c r="AT32" s="7"/>
      <c r="AU32" s="72">
        <f t="shared" si="6"/>
        <v>0</v>
      </c>
      <c r="AV32" s="7"/>
      <c r="AW32" s="7"/>
      <c r="AX32" s="62">
        <v>0</v>
      </c>
      <c r="AY32" s="62">
        <v>0</v>
      </c>
      <c r="AZ32" s="62">
        <v>0</v>
      </c>
      <c r="BA32" s="72">
        <f t="shared" si="7"/>
        <v>0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>
        <v>0</v>
      </c>
      <c r="N33" s="62">
        <v>0</v>
      </c>
      <c r="O33" s="62">
        <v>3</v>
      </c>
      <c r="P33" s="62">
        <v>0</v>
      </c>
      <c r="Q33" s="72">
        <f t="shared" si="1"/>
        <v>0.6</v>
      </c>
      <c r="R33" s="62">
        <v>0</v>
      </c>
      <c r="S33" s="62">
        <v>0</v>
      </c>
      <c r="T33" s="62"/>
      <c r="U33" s="62">
        <v>0</v>
      </c>
      <c r="V33" s="62"/>
      <c r="W33" s="72">
        <f t="shared" si="2"/>
        <v>0</v>
      </c>
      <c r="X33" s="62">
        <v>0</v>
      </c>
      <c r="Y33" s="62">
        <v>0</v>
      </c>
      <c r="Z33" s="62"/>
      <c r="AA33" s="62"/>
      <c r="AB33" s="62"/>
      <c r="AC33" s="72">
        <f t="shared" si="3"/>
        <v>0</v>
      </c>
      <c r="AD33" s="62">
        <v>0</v>
      </c>
      <c r="AE33" s="62"/>
      <c r="AF33" s="62">
        <v>0</v>
      </c>
      <c r="AG33" s="62"/>
      <c r="AH33" s="62"/>
      <c r="AI33" s="72">
        <f t="shared" si="4"/>
        <v>0</v>
      </c>
      <c r="AJ33" s="62"/>
      <c r="AK33" s="62"/>
      <c r="AL33" s="62"/>
      <c r="AM33" s="62"/>
      <c r="AN33" s="62"/>
      <c r="AO33" s="72" t="str">
        <f t="shared" si="5"/>
        <v>A</v>
      </c>
      <c r="AP33" s="62">
        <v>0</v>
      </c>
      <c r="AQ33" s="62">
        <v>0</v>
      </c>
      <c r="AR33" s="62">
        <v>0</v>
      </c>
      <c r="AS33" s="62"/>
      <c r="AT33" s="62"/>
      <c r="AU33" s="72">
        <f t="shared" si="6"/>
        <v>0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2</v>
      </c>
      <c r="M34" s="62">
        <v>2</v>
      </c>
      <c r="N34" s="62">
        <v>2</v>
      </c>
      <c r="O34" s="62">
        <v>2</v>
      </c>
      <c r="P34" s="62">
        <v>2</v>
      </c>
      <c r="Q34" s="72">
        <f t="shared" si="1"/>
        <v>2</v>
      </c>
      <c r="R34" s="62">
        <v>0</v>
      </c>
      <c r="S34" s="62">
        <v>0</v>
      </c>
      <c r="T34" s="7"/>
      <c r="U34" s="62">
        <v>2</v>
      </c>
      <c r="V34" s="7"/>
      <c r="W34" s="72">
        <f t="shared" si="2"/>
        <v>0.66666666666666663</v>
      </c>
      <c r="X34" s="62">
        <v>3</v>
      </c>
      <c r="Y34" s="62">
        <v>2</v>
      </c>
      <c r="Z34" s="7"/>
      <c r="AA34" s="7"/>
      <c r="AB34" s="7"/>
      <c r="AC34" s="72">
        <f t="shared" si="3"/>
        <v>2.5</v>
      </c>
      <c r="AD34" s="62">
        <v>0</v>
      </c>
      <c r="AE34" s="7"/>
      <c r="AF34" s="62">
        <v>0</v>
      </c>
      <c r="AG34" s="7"/>
      <c r="AH34" s="7"/>
      <c r="AI34" s="72">
        <f t="shared" si="4"/>
        <v>0</v>
      </c>
      <c r="AJ34" s="7"/>
      <c r="AK34" s="7"/>
      <c r="AL34" s="7"/>
      <c r="AM34" s="7"/>
      <c r="AN34" s="7"/>
      <c r="AO34" s="72" t="str">
        <f t="shared" si="5"/>
        <v>A</v>
      </c>
      <c r="AP34" s="62">
        <v>0</v>
      </c>
      <c r="AQ34" s="62">
        <v>0</v>
      </c>
      <c r="AR34" s="62">
        <v>0</v>
      </c>
      <c r="AS34" s="7"/>
      <c r="AT34" s="7"/>
      <c r="AU34" s="72">
        <f t="shared" si="6"/>
        <v>0</v>
      </c>
      <c r="AV34" s="7"/>
      <c r="AW34" s="7"/>
      <c r="AX34" s="62">
        <v>0</v>
      </c>
      <c r="AY34" s="62">
        <v>0</v>
      </c>
      <c r="AZ34" s="62">
        <v>0</v>
      </c>
      <c r="BA34" s="72">
        <f t="shared" si="7"/>
        <v>0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2</v>
      </c>
      <c r="M35" s="62">
        <v>2</v>
      </c>
      <c r="N35" s="62">
        <v>2</v>
      </c>
      <c r="O35" s="62">
        <v>2</v>
      </c>
      <c r="P35" s="62">
        <v>2</v>
      </c>
      <c r="Q35" s="72">
        <f t="shared" si="1"/>
        <v>2</v>
      </c>
      <c r="R35" s="62">
        <v>3</v>
      </c>
      <c r="S35" s="62">
        <v>3</v>
      </c>
      <c r="T35" s="62"/>
      <c r="U35" s="62">
        <v>3</v>
      </c>
      <c r="V35" s="62"/>
      <c r="W35" s="72">
        <f t="shared" si="2"/>
        <v>3</v>
      </c>
      <c r="X35" s="62">
        <v>3</v>
      </c>
      <c r="Y35" s="62">
        <v>4</v>
      </c>
      <c r="Z35" s="62"/>
      <c r="AA35" s="62"/>
      <c r="AB35" s="62"/>
      <c r="AC35" s="72">
        <f t="shared" si="3"/>
        <v>3.5</v>
      </c>
      <c r="AD35" s="62">
        <v>3</v>
      </c>
      <c r="AE35" s="62"/>
      <c r="AF35" s="62">
        <v>3</v>
      </c>
      <c r="AG35" s="62"/>
      <c r="AH35" s="62"/>
      <c r="AI35" s="72">
        <f t="shared" si="4"/>
        <v>3</v>
      </c>
      <c r="AJ35" s="62"/>
      <c r="AK35" s="62"/>
      <c r="AL35" s="62"/>
      <c r="AM35" s="62"/>
      <c r="AN35" s="62"/>
      <c r="AO35" s="72" t="str">
        <f t="shared" si="5"/>
        <v>A</v>
      </c>
      <c r="AP35" s="62">
        <v>3</v>
      </c>
      <c r="AQ35" s="62">
        <v>3</v>
      </c>
      <c r="AR35" s="62">
        <v>3</v>
      </c>
      <c r="AS35" s="62"/>
      <c r="AT35" s="62"/>
      <c r="AU35" s="72">
        <f t="shared" si="6"/>
        <v>3</v>
      </c>
      <c r="AV35" s="62"/>
      <c r="AW35" s="62"/>
      <c r="AX35" s="62">
        <v>3</v>
      </c>
      <c r="AY35" s="62">
        <v>0</v>
      </c>
      <c r="AZ35" s="62">
        <v>0</v>
      </c>
      <c r="BA35" s="72">
        <f t="shared" si="7"/>
        <v>1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0</v>
      </c>
      <c r="M36" s="62">
        <v>0</v>
      </c>
      <c r="N36" s="62">
        <v>0</v>
      </c>
      <c r="O36" s="62">
        <v>3</v>
      </c>
      <c r="P36" s="62">
        <v>0</v>
      </c>
      <c r="Q36" s="72">
        <f t="shared" si="1"/>
        <v>0.6</v>
      </c>
      <c r="R36" s="62">
        <v>0</v>
      </c>
      <c r="S36" s="62">
        <v>0</v>
      </c>
      <c r="T36" s="7"/>
      <c r="U36" s="62">
        <v>0</v>
      </c>
      <c r="V36" s="7"/>
      <c r="W36" s="72">
        <f t="shared" si="2"/>
        <v>0</v>
      </c>
      <c r="X36" s="62">
        <v>0</v>
      </c>
      <c r="Y36" s="62">
        <v>0</v>
      </c>
      <c r="Z36" s="7"/>
      <c r="AA36" s="7"/>
      <c r="AB36" s="7"/>
      <c r="AC36" s="72">
        <f t="shared" si="3"/>
        <v>0</v>
      </c>
      <c r="AD36" s="62">
        <v>0</v>
      </c>
      <c r="AE36" s="7"/>
      <c r="AF36" s="62">
        <v>0</v>
      </c>
      <c r="AG36" s="7"/>
      <c r="AH36" s="7"/>
      <c r="AI36" s="72">
        <f t="shared" si="4"/>
        <v>0</v>
      </c>
      <c r="AJ36" s="7"/>
      <c r="AK36" s="7"/>
      <c r="AL36" s="7"/>
      <c r="AM36" s="7"/>
      <c r="AN36" s="7"/>
      <c r="AO36" s="72" t="str">
        <f t="shared" si="5"/>
        <v>A</v>
      </c>
      <c r="AP36" s="62">
        <v>0</v>
      </c>
      <c r="AQ36" s="62">
        <v>0</v>
      </c>
      <c r="AR36" s="62">
        <v>0</v>
      </c>
      <c r="AS36" s="7"/>
      <c r="AT36" s="7"/>
      <c r="AU36" s="72">
        <f t="shared" si="6"/>
        <v>0</v>
      </c>
      <c r="AV36" s="7"/>
      <c r="AW36" s="7"/>
      <c r="AX36" s="62">
        <v>0</v>
      </c>
      <c r="AY36" s="62">
        <v>0</v>
      </c>
      <c r="AZ36" s="62">
        <v>0</v>
      </c>
      <c r="BA36" s="72">
        <f t="shared" si="7"/>
        <v>0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2</v>
      </c>
      <c r="M37" s="62">
        <v>3</v>
      </c>
      <c r="N37" s="62">
        <v>3</v>
      </c>
      <c r="O37" s="62">
        <v>3</v>
      </c>
      <c r="P37" s="62">
        <v>3</v>
      </c>
      <c r="Q37" s="72">
        <f t="shared" si="1"/>
        <v>2.8</v>
      </c>
      <c r="R37" s="62">
        <v>3</v>
      </c>
      <c r="S37" s="62">
        <v>3</v>
      </c>
      <c r="T37" s="62"/>
      <c r="U37" s="62">
        <v>3</v>
      </c>
      <c r="V37" s="62"/>
      <c r="W37" s="72">
        <f t="shared" si="2"/>
        <v>3</v>
      </c>
      <c r="X37" s="62">
        <v>2</v>
      </c>
      <c r="Y37" s="62">
        <v>2</v>
      </c>
      <c r="Z37" s="62"/>
      <c r="AA37" s="62"/>
      <c r="AB37" s="62"/>
      <c r="AC37" s="72">
        <f t="shared" si="3"/>
        <v>2</v>
      </c>
      <c r="AD37" s="62">
        <v>3</v>
      </c>
      <c r="AE37" s="62"/>
      <c r="AF37" s="62">
        <v>3</v>
      </c>
      <c r="AG37" s="62"/>
      <c r="AH37" s="62"/>
      <c r="AI37" s="72">
        <f t="shared" si="4"/>
        <v>3</v>
      </c>
      <c r="AJ37" s="62"/>
      <c r="AK37" s="62"/>
      <c r="AL37" s="62"/>
      <c r="AM37" s="62"/>
      <c r="AN37" s="62"/>
      <c r="AO37" s="72" t="str">
        <f t="shared" si="5"/>
        <v>A</v>
      </c>
      <c r="AP37" s="62">
        <v>3</v>
      </c>
      <c r="AQ37" s="62">
        <v>3</v>
      </c>
      <c r="AR37" s="62">
        <v>3</v>
      </c>
      <c r="AS37" s="62"/>
      <c r="AT37" s="62"/>
      <c r="AU37" s="72">
        <f t="shared" si="6"/>
        <v>3</v>
      </c>
      <c r="AV37" s="62"/>
      <c r="AW37" s="62"/>
      <c r="AX37" s="62">
        <v>3</v>
      </c>
      <c r="AY37" s="62">
        <v>0</v>
      </c>
      <c r="AZ37" s="62">
        <v>0</v>
      </c>
      <c r="BA37" s="72">
        <f t="shared" si="7"/>
        <v>1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2</v>
      </c>
      <c r="M38" s="62">
        <v>2</v>
      </c>
      <c r="N38" s="62">
        <v>2</v>
      </c>
      <c r="O38" s="62">
        <v>3</v>
      </c>
      <c r="P38" s="62">
        <v>2</v>
      </c>
      <c r="Q38" s="72">
        <f t="shared" si="1"/>
        <v>2.2000000000000002</v>
      </c>
      <c r="R38" s="62">
        <v>0</v>
      </c>
      <c r="S38" s="62">
        <v>0</v>
      </c>
      <c r="T38" s="7"/>
      <c r="U38" s="62">
        <v>0</v>
      </c>
      <c r="V38" s="7"/>
      <c r="W38" s="72">
        <f t="shared" si="2"/>
        <v>0</v>
      </c>
      <c r="X38" s="62">
        <v>0</v>
      </c>
      <c r="Y38" s="62">
        <v>0</v>
      </c>
      <c r="Z38" s="7"/>
      <c r="AA38" s="7"/>
      <c r="AB38" s="7"/>
      <c r="AC38" s="72">
        <f t="shared" si="3"/>
        <v>0</v>
      </c>
      <c r="AD38" s="62">
        <v>0</v>
      </c>
      <c r="AE38" s="7"/>
      <c r="AF38" s="62">
        <v>0</v>
      </c>
      <c r="AG38" s="7"/>
      <c r="AH38" s="7"/>
      <c r="AI38" s="72">
        <f t="shared" si="4"/>
        <v>0</v>
      </c>
      <c r="AJ38" s="7"/>
      <c r="AK38" s="7"/>
      <c r="AL38" s="7"/>
      <c r="AM38" s="7"/>
      <c r="AN38" s="7"/>
      <c r="AO38" s="72" t="str">
        <f t="shared" si="5"/>
        <v>A</v>
      </c>
      <c r="AP38" s="62">
        <v>0</v>
      </c>
      <c r="AQ38" s="62">
        <v>0</v>
      </c>
      <c r="AR38" s="62">
        <v>0</v>
      </c>
      <c r="AS38" s="7"/>
      <c r="AT38" s="7"/>
      <c r="AU38" s="72">
        <f t="shared" si="6"/>
        <v>0</v>
      </c>
      <c r="AV38" s="7"/>
      <c r="AW38" s="7"/>
      <c r="AX38" s="62">
        <v>0</v>
      </c>
      <c r="AY38" s="62">
        <v>0</v>
      </c>
      <c r="AZ38" s="62">
        <v>0</v>
      </c>
      <c r="BA38" s="72">
        <f t="shared" si="7"/>
        <v>0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>
        <v>2</v>
      </c>
      <c r="N39" s="62">
        <v>2</v>
      </c>
      <c r="O39" s="62">
        <v>3</v>
      </c>
      <c r="P39" s="62">
        <v>2</v>
      </c>
      <c r="Q39" s="72">
        <f t="shared" si="1"/>
        <v>2.2000000000000002</v>
      </c>
      <c r="R39" s="62">
        <v>2</v>
      </c>
      <c r="S39" s="62">
        <v>2</v>
      </c>
      <c r="T39" s="62"/>
      <c r="U39" s="62">
        <v>2</v>
      </c>
      <c r="V39" s="62"/>
      <c r="W39" s="72">
        <f t="shared" si="2"/>
        <v>2</v>
      </c>
      <c r="X39" s="62">
        <v>2</v>
      </c>
      <c r="Y39" s="62">
        <v>2</v>
      </c>
      <c r="Z39" s="62"/>
      <c r="AA39" s="62"/>
      <c r="AB39" s="62"/>
      <c r="AC39" s="72">
        <f t="shared" si="3"/>
        <v>2</v>
      </c>
      <c r="AD39" s="62">
        <v>2</v>
      </c>
      <c r="AE39" s="62"/>
      <c r="AF39" s="62">
        <v>2</v>
      </c>
      <c r="AG39" s="62"/>
      <c r="AH39" s="62"/>
      <c r="AI39" s="72">
        <f t="shared" si="4"/>
        <v>2</v>
      </c>
      <c r="AJ39" s="62"/>
      <c r="AK39" s="62"/>
      <c r="AL39" s="62"/>
      <c r="AM39" s="62"/>
      <c r="AN39" s="62"/>
      <c r="AO39" s="72" t="str">
        <f t="shared" si="5"/>
        <v>A</v>
      </c>
      <c r="AP39" s="62">
        <v>2</v>
      </c>
      <c r="AQ39" s="62">
        <v>2</v>
      </c>
      <c r="AR39" s="62">
        <v>2</v>
      </c>
      <c r="AS39" s="62"/>
      <c r="AT39" s="62"/>
      <c r="AU39" s="72">
        <f t="shared" si="6"/>
        <v>2</v>
      </c>
      <c r="AV39" s="62"/>
      <c r="AW39" s="62"/>
      <c r="AX39" s="62">
        <v>2</v>
      </c>
      <c r="AY39" s="62">
        <v>2</v>
      </c>
      <c r="AZ39" s="62">
        <v>2</v>
      </c>
      <c r="BA39" s="72">
        <f t="shared" si="7"/>
        <v>2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3</v>
      </c>
      <c r="M40" s="62">
        <v>3</v>
      </c>
      <c r="N40" s="62">
        <v>3</v>
      </c>
      <c r="O40" s="62">
        <v>3</v>
      </c>
      <c r="P40" s="62">
        <v>3</v>
      </c>
      <c r="Q40" s="72">
        <f t="shared" si="1"/>
        <v>3</v>
      </c>
      <c r="R40" s="62">
        <v>3</v>
      </c>
      <c r="S40" s="62">
        <v>3</v>
      </c>
      <c r="T40" s="7"/>
      <c r="U40" s="62">
        <v>2</v>
      </c>
      <c r="V40" s="7"/>
      <c r="W40" s="72">
        <f t="shared" si="2"/>
        <v>2.6666666666666665</v>
      </c>
      <c r="X40" s="62">
        <v>3</v>
      </c>
      <c r="Y40" s="62">
        <v>2</v>
      </c>
      <c r="Z40" s="7"/>
      <c r="AA40" s="7"/>
      <c r="AB40" s="7"/>
      <c r="AC40" s="72">
        <f t="shared" si="3"/>
        <v>2.5</v>
      </c>
      <c r="AD40" s="62">
        <v>3</v>
      </c>
      <c r="AE40" s="7"/>
      <c r="AF40" s="62">
        <v>3</v>
      </c>
      <c r="AG40" s="7"/>
      <c r="AH40" s="7"/>
      <c r="AI40" s="72">
        <f t="shared" si="4"/>
        <v>3</v>
      </c>
      <c r="AJ40" s="7"/>
      <c r="AK40" s="7"/>
      <c r="AL40" s="7"/>
      <c r="AM40" s="7"/>
      <c r="AN40" s="7"/>
      <c r="AO40" s="72" t="str">
        <f t="shared" si="5"/>
        <v>A</v>
      </c>
      <c r="AP40" s="62">
        <v>3</v>
      </c>
      <c r="AQ40" s="62">
        <v>2</v>
      </c>
      <c r="AR40" s="62">
        <v>2</v>
      </c>
      <c r="AS40" s="7"/>
      <c r="AT40" s="7"/>
      <c r="AU40" s="72">
        <f t="shared" si="6"/>
        <v>2.3333333333333335</v>
      </c>
      <c r="AV40" s="7"/>
      <c r="AW40" s="7"/>
      <c r="AX40" s="62">
        <v>2</v>
      </c>
      <c r="AY40" s="62">
        <v>0</v>
      </c>
      <c r="AZ40" s="62">
        <v>0</v>
      </c>
      <c r="BA40" s="72">
        <f t="shared" si="7"/>
        <v>0.66666666666666663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2</v>
      </c>
      <c r="M41" s="62">
        <v>2</v>
      </c>
      <c r="N41" s="62">
        <v>1</v>
      </c>
      <c r="O41" s="62">
        <v>3</v>
      </c>
      <c r="P41" s="62">
        <v>2</v>
      </c>
      <c r="Q41" s="72">
        <f t="shared" si="1"/>
        <v>2</v>
      </c>
      <c r="R41" s="62">
        <v>2</v>
      </c>
      <c r="S41" s="62">
        <v>2</v>
      </c>
      <c r="T41" s="62"/>
      <c r="U41" s="62">
        <v>2</v>
      </c>
      <c r="V41" s="62"/>
      <c r="W41" s="72">
        <f t="shared" si="2"/>
        <v>2</v>
      </c>
      <c r="X41" s="62">
        <v>2</v>
      </c>
      <c r="Y41" s="62">
        <v>2</v>
      </c>
      <c r="Z41" s="62"/>
      <c r="AA41" s="62"/>
      <c r="AB41" s="62"/>
      <c r="AC41" s="72">
        <f t="shared" si="3"/>
        <v>2</v>
      </c>
      <c r="AD41" s="62">
        <v>2</v>
      </c>
      <c r="AE41" s="62"/>
      <c r="AF41" s="62">
        <v>2</v>
      </c>
      <c r="AG41" s="62"/>
      <c r="AH41" s="62"/>
      <c r="AI41" s="72">
        <f t="shared" si="4"/>
        <v>2</v>
      </c>
      <c r="AJ41" s="62"/>
      <c r="AK41" s="62"/>
      <c r="AL41" s="62"/>
      <c r="AM41" s="62"/>
      <c r="AN41" s="62"/>
      <c r="AO41" s="72" t="str">
        <f t="shared" si="5"/>
        <v>A</v>
      </c>
      <c r="AP41" s="62">
        <v>2</v>
      </c>
      <c r="AQ41" s="62">
        <v>2</v>
      </c>
      <c r="AR41" s="62">
        <v>2</v>
      </c>
      <c r="AS41" s="62"/>
      <c r="AT41" s="62"/>
      <c r="AU41" s="72">
        <f t="shared" si="6"/>
        <v>2</v>
      </c>
      <c r="AV41" s="62"/>
      <c r="AW41" s="62"/>
      <c r="AX41" s="62">
        <v>2</v>
      </c>
      <c r="AY41" s="62">
        <v>2</v>
      </c>
      <c r="AZ41" s="62">
        <v>2</v>
      </c>
      <c r="BA41" s="72">
        <f t="shared" si="7"/>
        <v>2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2</v>
      </c>
      <c r="M42" s="62">
        <v>2</v>
      </c>
      <c r="N42" s="62">
        <v>2</v>
      </c>
      <c r="O42" s="62">
        <v>3</v>
      </c>
      <c r="P42" s="62">
        <v>2</v>
      </c>
      <c r="Q42" s="72">
        <f t="shared" si="1"/>
        <v>2.2000000000000002</v>
      </c>
      <c r="R42" s="62">
        <v>0</v>
      </c>
      <c r="S42" s="62">
        <v>0</v>
      </c>
      <c r="T42" s="7"/>
      <c r="U42" s="62">
        <v>0</v>
      </c>
      <c r="V42" s="7"/>
      <c r="W42" s="72">
        <f t="shared" si="2"/>
        <v>0</v>
      </c>
      <c r="X42" s="62">
        <v>0</v>
      </c>
      <c r="Y42" s="62">
        <v>0</v>
      </c>
      <c r="Z42" s="7"/>
      <c r="AA42" s="7"/>
      <c r="AB42" s="7"/>
      <c r="AC42" s="72">
        <f t="shared" si="3"/>
        <v>0</v>
      </c>
      <c r="AD42" s="62">
        <v>0</v>
      </c>
      <c r="AE42" s="7"/>
      <c r="AF42" s="62">
        <v>0</v>
      </c>
      <c r="AG42" s="7"/>
      <c r="AH42" s="7"/>
      <c r="AI42" s="72">
        <f t="shared" si="4"/>
        <v>0</v>
      </c>
      <c r="AJ42" s="7"/>
      <c r="AK42" s="7"/>
      <c r="AL42" s="7"/>
      <c r="AM42" s="7"/>
      <c r="AN42" s="7"/>
      <c r="AO42" s="72" t="str">
        <f t="shared" si="5"/>
        <v>A</v>
      </c>
      <c r="AP42" s="62">
        <v>0</v>
      </c>
      <c r="AQ42" s="62">
        <v>0</v>
      </c>
      <c r="AR42" s="62">
        <v>0</v>
      </c>
      <c r="AS42" s="7"/>
      <c r="AT42" s="7"/>
      <c r="AU42" s="72">
        <f t="shared" si="6"/>
        <v>0</v>
      </c>
      <c r="AV42" s="7"/>
      <c r="AW42" s="7"/>
      <c r="AX42" s="62">
        <v>0</v>
      </c>
      <c r="AY42" s="62">
        <v>0</v>
      </c>
      <c r="AZ42" s="62">
        <v>0</v>
      </c>
      <c r="BA42" s="72">
        <f t="shared" si="7"/>
        <v>0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2</v>
      </c>
      <c r="M43" s="62">
        <v>2</v>
      </c>
      <c r="N43" s="62">
        <v>1</v>
      </c>
      <c r="O43" s="62">
        <v>3</v>
      </c>
      <c r="P43" s="62">
        <v>2</v>
      </c>
      <c r="Q43" s="72">
        <f t="shared" si="1"/>
        <v>2</v>
      </c>
      <c r="R43" s="62">
        <v>0</v>
      </c>
      <c r="S43" s="62">
        <v>0</v>
      </c>
      <c r="T43" s="62"/>
      <c r="U43" s="62">
        <v>0</v>
      </c>
      <c r="V43" s="62"/>
      <c r="W43" s="72">
        <f t="shared" si="2"/>
        <v>0</v>
      </c>
      <c r="X43" s="62">
        <v>0</v>
      </c>
      <c r="Y43" s="62">
        <v>0</v>
      </c>
      <c r="Z43" s="62"/>
      <c r="AA43" s="62"/>
      <c r="AB43" s="62"/>
      <c r="AC43" s="72">
        <f t="shared" si="3"/>
        <v>0</v>
      </c>
      <c r="AD43" s="62">
        <v>0</v>
      </c>
      <c r="AE43" s="62"/>
      <c r="AF43" s="62">
        <v>0</v>
      </c>
      <c r="AG43" s="62"/>
      <c r="AH43" s="62"/>
      <c r="AI43" s="72">
        <f t="shared" si="4"/>
        <v>0</v>
      </c>
      <c r="AJ43" s="62"/>
      <c r="AK43" s="62"/>
      <c r="AL43" s="62"/>
      <c r="AM43" s="62"/>
      <c r="AN43" s="62"/>
      <c r="AO43" s="72" t="str">
        <f t="shared" si="5"/>
        <v>A</v>
      </c>
      <c r="AP43" s="62">
        <v>0</v>
      </c>
      <c r="AQ43" s="62">
        <v>0</v>
      </c>
      <c r="AR43" s="62">
        <v>0</v>
      </c>
      <c r="AS43" s="62"/>
      <c r="AT43" s="62"/>
      <c r="AU43" s="72">
        <f t="shared" si="6"/>
        <v>0</v>
      </c>
      <c r="AV43" s="62"/>
      <c r="AW43" s="62"/>
      <c r="AX43" s="62">
        <v>0</v>
      </c>
      <c r="AY43" s="62">
        <v>0</v>
      </c>
      <c r="AZ43" s="62">
        <v>0</v>
      </c>
      <c r="BA43" s="72">
        <f t="shared" si="7"/>
        <v>0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72">
        <f t="shared" si="1"/>
        <v>0</v>
      </c>
      <c r="R44" s="62">
        <v>2</v>
      </c>
      <c r="S44" s="62">
        <v>2</v>
      </c>
      <c r="T44" s="7"/>
      <c r="U44" s="62">
        <v>0</v>
      </c>
      <c r="V44" s="7"/>
      <c r="W44" s="72">
        <f t="shared" si="2"/>
        <v>1.3333333333333333</v>
      </c>
      <c r="X44" s="62">
        <v>2</v>
      </c>
      <c r="Y44" s="62">
        <v>3</v>
      </c>
      <c r="Z44" s="7"/>
      <c r="AA44" s="7"/>
      <c r="AB44" s="7"/>
      <c r="AC44" s="72">
        <f t="shared" si="3"/>
        <v>2.5</v>
      </c>
      <c r="AD44" s="62">
        <v>2</v>
      </c>
      <c r="AE44" s="7"/>
      <c r="AF44" s="62">
        <v>2</v>
      </c>
      <c r="AG44" s="7"/>
      <c r="AH44" s="7"/>
      <c r="AI44" s="72">
        <f t="shared" si="4"/>
        <v>2</v>
      </c>
      <c r="AJ44" s="7"/>
      <c r="AK44" s="7"/>
      <c r="AL44" s="7"/>
      <c r="AM44" s="7"/>
      <c r="AN44" s="7"/>
      <c r="AO44" s="72" t="str">
        <f t="shared" si="5"/>
        <v>A</v>
      </c>
      <c r="AP44" s="62">
        <v>2</v>
      </c>
      <c r="AQ44" s="62">
        <v>0</v>
      </c>
      <c r="AR44" s="62">
        <v>0</v>
      </c>
      <c r="AS44" s="7"/>
      <c r="AT44" s="7"/>
      <c r="AU44" s="72">
        <f t="shared" si="6"/>
        <v>0.66666666666666663</v>
      </c>
      <c r="AV44" s="7"/>
      <c r="AW44" s="7"/>
      <c r="AX44" s="62">
        <v>0</v>
      </c>
      <c r="AY44" s="62">
        <v>0</v>
      </c>
      <c r="AZ44" s="62">
        <v>0</v>
      </c>
      <c r="BA44" s="72">
        <f t="shared" si="7"/>
        <v>0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2</v>
      </c>
      <c r="M45" s="62">
        <v>3</v>
      </c>
      <c r="N45" s="62">
        <v>2</v>
      </c>
      <c r="O45" s="62">
        <v>3</v>
      </c>
      <c r="P45" s="62">
        <v>1</v>
      </c>
      <c r="Q45" s="72">
        <f t="shared" si="1"/>
        <v>2.2000000000000002</v>
      </c>
      <c r="R45" s="62">
        <v>0</v>
      </c>
      <c r="S45" s="62">
        <v>0</v>
      </c>
      <c r="T45" s="62"/>
      <c r="U45" s="62">
        <v>0</v>
      </c>
      <c r="V45" s="62"/>
      <c r="W45" s="72">
        <f t="shared" si="2"/>
        <v>0</v>
      </c>
      <c r="X45" s="62">
        <v>0</v>
      </c>
      <c r="Y45" s="62">
        <v>0</v>
      </c>
      <c r="Z45" s="62"/>
      <c r="AA45" s="62"/>
      <c r="AB45" s="62"/>
      <c r="AC45" s="72">
        <f t="shared" si="3"/>
        <v>0</v>
      </c>
      <c r="AD45" s="62">
        <v>0</v>
      </c>
      <c r="AE45" s="62"/>
      <c r="AF45" s="62">
        <v>0</v>
      </c>
      <c r="AG45" s="62"/>
      <c r="AH45" s="62"/>
      <c r="AI45" s="72">
        <f t="shared" si="4"/>
        <v>0</v>
      </c>
      <c r="AJ45" s="62"/>
      <c r="AK45" s="62"/>
      <c r="AL45" s="62"/>
      <c r="AM45" s="62"/>
      <c r="AN45" s="62"/>
      <c r="AO45" s="72" t="str">
        <f t="shared" si="5"/>
        <v>A</v>
      </c>
      <c r="AP45" s="62">
        <v>0</v>
      </c>
      <c r="AQ45" s="62">
        <v>0</v>
      </c>
      <c r="AR45" s="62">
        <v>0</v>
      </c>
      <c r="AS45" s="62"/>
      <c r="AT45" s="62"/>
      <c r="AU45" s="72">
        <f t="shared" si="6"/>
        <v>0</v>
      </c>
      <c r="AV45" s="62"/>
      <c r="AW45" s="62"/>
      <c r="AX45" s="62">
        <v>0</v>
      </c>
      <c r="AY45" s="62">
        <v>0</v>
      </c>
      <c r="AZ45" s="62">
        <v>0</v>
      </c>
      <c r="BA45" s="72">
        <f t="shared" si="7"/>
        <v>0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0</v>
      </c>
      <c r="M46" s="62">
        <v>0</v>
      </c>
      <c r="N46" s="62">
        <v>0</v>
      </c>
      <c r="O46" s="62">
        <v>3</v>
      </c>
      <c r="P46" s="62">
        <v>0</v>
      </c>
      <c r="Q46" s="72">
        <f t="shared" si="1"/>
        <v>0.6</v>
      </c>
      <c r="R46" s="62">
        <v>0</v>
      </c>
      <c r="S46" s="62">
        <v>0</v>
      </c>
      <c r="T46" s="7"/>
      <c r="U46" s="62">
        <v>0</v>
      </c>
      <c r="V46" s="7"/>
      <c r="W46" s="72">
        <f t="shared" si="2"/>
        <v>0</v>
      </c>
      <c r="X46" s="62">
        <v>0</v>
      </c>
      <c r="Y46" s="62">
        <v>0</v>
      </c>
      <c r="Z46" s="7"/>
      <c r="AA46" s="7"/>
      <c r="AB46" s="7"/>
      <c r="AC46" s="72">
        <f t="shared" si="3"/>
        <v>0</v>
      </c>
      <c r="AD46" s="62">
        <v>0</v>
      </c>
      <c r="AE46" s="7"/>
      <c r="AF46" s="62">
        <v>0</v>
      </c>
      <c r="AG46" s="7"/>
      <c r="AH46" s="7"/>
      <c r="AI46" s="72">
        <f t="shared" si="4"/>
        <v>0</v>
      </c>
      <c r="AJ46" s="7"/>
      <c r="AK46" s="7"/>
      <c r="AL46" s="7"/>
      <c r="AM46" s="7"/>
      <c r="AN46" s="7"/>
      <c r="AO46" s="72" t="str">
        <f t="shared" si="5"/>
        <v>A</v>
      </c>
      <c r="AP46" s="62">
        <v>0</v>
      </c>
      <c r="AQ46" s="62">
        <v>0</v>
      </c>
      <c r="AR46" s="62">
        <v>0</v>
      </c>
      <c r="AS46" s="7"/>
      <c r="AT46" s="7"/>
      <c r="AU46" s="72">
        <f t="shared" si="6"/>
        <v>0</v>
      </c>
      <c r="AV46" s="7"/>
      <c r="AW46" s="7"/>
      <c r="AX46" s="62">
        <v>0</v>
      </c>
      <c r="AY46" s="62">
        <v>0</v>
      </c>
      <c r="AZ46" s="62">
        <v>0</v>
      </c>
      <c r="BA46" s="72">
        <f t="shared" si="7"/>
        <v>0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2</v>
      </c>
      <c r="M47" s="62">
        <v>3</v>
      </c>
      <c r="N47" s="62">
        <v>3</v>
      </c>
      <c r="O47" s="62">
        <v>3</v>
      </c>
      <c r="P47" s="62">
        <v>3</v>
      </c>
      <c r="Q47" s="72">
        <f t="shared" si="1"/>
        <v>2.8</v>
      </c>
      <c r="R47" s="62">
        <v>2</v>
      </c>
      <c r="S47" s="62">
        <v>2</v>
      </c>
      <c r="T47" s="62"/>
      <c r="U47" s="62">
        <v>3</v>
      </c>
      <c r="V47" s="62"/>
      <c r="W47" s="72">
        <f t="shared" si="2"/>
        <v>2.3333333333333335</v>
      </c>
      <c r="X47" s="62">
        <v>2</v>
      </c>
      <c r="Y47" s="62">
        <v>2</v>
      </c>
      <c r="Z47" s="62"/>
      <c r="AA47" s="62"/>
      <c r="AB47" s="62"/>
      <c r="AC47" s="72">
        <f t="shared" si="3"/>
        <v>2</v>
      </c>
      <c r="AD47" s="62">
        <v>2</v>
      </c>
      <c r="AE47" s="62"/>
      <c r="AF47" s="62">
        <v>2</v>
      </c>
      <c r="AG47" s="62"/>
      <c r="AH47" s="62"/>
      <c r="AI47" s="72">
        <f t="shared" si="4"/>
        <v>2</v>
      </c>
      <c r="AJ47" s="62"/>
      <c r="AK47" s="62"/>
      <c r="AL47" s="62"/>
      <c r="AM47" s="62"/>
      <c r="AN47" s="62"/>
      <c r="AO47" s="72" t="str">
        <f t="shared" si="5"/>
        <v>A</v>
      </c>
      <c r="AP47" s="62">
        <v>2</v>
      </c>
      <c r="AQ47" s="62">
        <v>3</v>
      </c>
      <c r="AR47" s="62">
        <v>2</v>
      </c>
      <c r="AS47" s="62"/>
      <c r="AT47" s="62"/>
      <c r="AU47" s="72">
        <f t="shared" si="6"/>
        <v>2.3333333333333335</v>
      </c>
      <c r="AV47" s="62"/>
      <c r="AW47" s="62"/>
      <c r="AX47" s="62">
        <v>3</v>
      </c>
      <c r="AY47" s="62">
        <v>0</v>
      </c>
      <c r="AZ47" s="62">
        <v>0</v>
      </c>
      <c r="BA47" s="72">
        <f t="shared" si="7"/>
        <v>1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3</v>
      </c>
      <c r="M48" s="62">
        <v>3</v>
      </c>
      <c r="N48" s="62">
        <v>3</v>
      </c>
      <c r="O48" s="62">
        <v>3</v>
      </c>
      <c r="P48" s="62">
        <v>3</v>
      </c>
      <c r="Q48" s="72">
        <f t="shared" si="1"/>
        <v>3</v>
      </c>
      <c r="R48" s="62">
        <v>2</v>
      </c>
      <c r="S48" s="62">
        <v>2</v>
      </c>
      <c r="T48" s="7"/>
      <c r="U48" s="62">
        <v>2</v>
      </c>
      <c r="V48" s="7"/>
      <c r="W48" s="72">
        <f t="shared" si="2"/>
        <v>2</v>
      </c>
      <c r="X48" s="62">
        <v>2</v>
      </c>
      <c r="Y48" s="62">
        <v>2</v>
      </c>
      <c r="Z48" s="7"/>
      <c r="AA48" s="7"/>
      <c r="AB48" s="7"/>
      <c r="AC48" s="72">
        <f t="shared" si="3"/>
        <v>2</v>
      </c>
      <c r="AD48" s="62">
        <v>2</v>
      </c>
      <c r="AE48" s="7"/>
      <c r="AF48" s="62">
        <v>2</v>
      </c>
      <c r="AG48" s="7"/>
      <c r="AH48" s="7"/>
      <c r="AI48" s="72">
        <f t="shared" si="4"/>
        <v>2</v>
      </c>
      <c r="AJ48" s="7"/>
      <c r="AK48" s="7"/>
      <c r="AL48" s="7"/>
      <c r="AM48" s="7"/>
      <c r="AN48" s="7"/>
      <c r="AO48" s="72" t="str">
        <f t="shared" si="5"/>
        <v>A</v>
      </c>
      <c r="AP48" s="62">
        <v>2</v>
      </c>
      <c r="AQ48" s="62">
        <v>2</v>
      </c>
      <c r="AR48" s="62">
        <v>2</v>
      </c>
      <c r="AS48" s="7"/>
      <c r="AT48" s="7"/>
      <c r="AU48" s="72">
        <f t="shared" si="6"/>
        <v>2</v>
      </c>
      <c r="AV48" s="7"/>
      <c r="AW48" s="7"/>
      <c r="AX48" s="62">
        <v>2</v>
      </c>
      <c r="AY48" s="62">
        <v>2</v>
      </c>
      <c r="AZ48" s="62">
        <v>2</v>
      </c>
      <c r="BA48" s="72">
        <f t="shared" si="7"/>
        <v>2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0</v>
      </c>
      <c r="M49" s="62">
        <v>0</v>
      </c>
      <c r="N49" s="62">
        <v>0</v>
      </c>
      <c r="O49" s="62">
        <v>3</v>
      </c>
      <c r="P49" s="62">
        <v>0</v>
      </c>
      <c r="Q49" s="72">
        <f t="shared" si="1"/>
        <v>0.6</v>
      </c>
      <c r="R49" s="62">
        <v>0</v>
      </c>
      <c r="S49" s="62">
        <v>0</v>
      </c>
      <c r="T49" s="62"/>
      <c r="U49" s="62">
        <v>0</v>
      </c>
      <c r="V49" s="62"/>
      <c r="W49" s="72">
        <f t="shared" si="2"/>
        <v>0</v>
      </c>
      <c r="X49" s="62">
        <v>0</v>
      </c>
      <c r="Y49" s="62">
        <v>0</v>
      </c>
      <c r="Z49" s="62"/>
      <c r="AA49" s="62"/>
      <c r="AB49" s="62"/>
      <c r="AC49" s="72">
        <f t="shared" si="3"/>
        <v>0</v>
      </c>
      <c r="AD49" s="62">
        <v>0</v>
      </c>
      <c r="AE49" s="62"/>
      <c r="AF49" s="62">
        <v>0</v>
      </c>
      <c r="AG49" s="62"/>
      <c r="AH49" s="62"/>
      <c r="AI49" s="72">
        <f t="shared" si="4"/>
        <v>0</v>
      </c>
      <c r="AJ49" s="62"/>
      <c r="AK49" s="62"/>
      <c r="AL49" s="62"/>
      <c r="AM49" s="62"/>
      <c r="AN49" s="62"/>
      <c r="AO49" s="72" t="str">
        <f t="shared" si="5"/>
        <v>A</v>
      </c>
      <c r="AP49" s="62">
        <v>0</v>
      </c>
      <c r="AQ49" s="62">
        <v>0</v>
      </c>
      <c r="AR49" s="62">
        <v>0</v>
      </c>
      <c r="AS49" s="62"/>
      <c r="AT49" s="62"/>
      <c r="AU49" s="72">
        <f t="shared" si="6"/>
        <v>0</v>
      </c>
      <c r="AV49" s="62"/>
      <c r="AW49" s="62"/>
      <c r="AX49" s="62">
        <v>0</v>
      </c>
      <c r="AY49" s="62">
        <v>0</v>
      </c>
      <c r="AZ49" s="62">
        <v>0</v>
      </c>
      <c r="BA49" s="72">
        <f t="shared" si="7"/>
        <v>0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3</v>
      </c>
      <c r="M50" s="62">
        <v>1</v>
      </c>
      <c r="N50" s="62">
        <v>1</v>
      </c>
      <c r="O50" s="62">
        <v>3</v>
      </c>
      <c r="P50" s="62">
        <v>1</v>
      </c>
      <c r="Q50" s="72">
        <f t="shared" si="1"/>
        <v>1.8</v>
      </c>
      <c r="R50" s="62">
        <v>3</v>
      </c>
      <c r="S50" s="62">
        <v>3</v>
      </c>
      <c r="T50" s="7"/>
      <c r="U50" s="62">
        <v>3</v>
      </c>
      <c r="V50" s="7"/>
      <c r="W50" s="72">
        <f t="shared" si="2"/>
        <v>3</v>
      </c>
      <c r="X50" s="62">
        <v>2</v>
      </c>
      <c r="Y50" s="62">
        <v>2</v>
      </c>
      <c r="Z50" s="7"/>
      <c r="AA50" s="7"/>
      <c r="AB50" s="7"/>
      <c r="AC50" s="72">
        <f t="shared" si="3"/>
        <v>2</v>
      </c>
      <c r="AD50" s="62">
        <v>3</v>
      </c>
      <c r="AE50" s="7"/>
      <c r="AF50" s="62">
        <v>3</v>
      </c>
      <c r="AG50" s="7"/>
      <c r="AH50" s="7"/>
      <c r="AI50" s="72">
        <f t="shared" si="4"/>
        <v>3</v>
      </c>
      <c r="AJ50" s="7"/>
      <c r="AK50" s="7"/>
      <c r="AL50" s="7"/>
      <c r="AM50" s="7"/>
      <c r="AN50" s="7"/>
      <c r="AO50" s="72" t="str">
        <f t="shared" si="5"/>
        <v>A</v>
      </c>
      <c r="AP50" s="62">
        <v>3</v>
      </c>
      <c r="AQ50" s="62">
        <v>3</v>
      </c>
      <c r="AR50" s="62">
        <v>2</v>
      </c>
      <c r="AS50" s="7"/>
      <c r="AT50" s="7"/>
      <c r="AU50" s="72">
        <f t="shared" si="6"/>
        <v>2.6666666666666665</v>
      </c>
      <c r="AV50" s="7"/>
      <c r="AW50" s="7"/>
      <c r="AX50" s="62">
        <v>3</v>
      </c>
      <c r="AY50" s="62">
        <v>0</v>
      </c>
      <c r="AZ50" s="62">
        <v>0</v>
      </c>
      <c r="BA50" s="72">
        <f t="shared" si="7"/>
        <v>1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3</v>
      </c>
      <c r="M51" s="62">
        <v>3</v>
      </c>
      <c r="N51" s="62">
        <v>3</v>
      </c>
      <c r="O51" s="62">
        <v>3</v>
      </c>
      <c r="P51" s="62">
        <v>3</v>
      </c>
      <c r="Q51" s="72">
        <f t="shared" si="1"/>
        <v>3</v>
      </c>
      <c r="R51" s="62">
        <v>2</v>
      </c>
      <c r="S51" s="62">
        <v>2</v>
      </c>
      <c r="T51" s="62"/>
      <c r="U51" s="62">
        <v>2</v>
      </c>
      <c r="V51" s="62"/>
      <c r="W51" s="72">
        <f t="shared" si="2"/>
        <v>2</v>
      </c>
      <c r="X51" s="62">
        <v>2</v>
      </c>
      <c r="Y51" s="62">
        <v>2</v>
      </c>
      <c r="Z51" s="62"/>
      <c r="AA51" s="62"/>
      <c r="AB51" s="62"/>
      <c r="AC51" s="72">
        <f t="shared" si="3"/>
        <v>2</v>
      </c>
      <c r="AD51" s="62">
        <v>2</v>
      </c>
      <c r="AE51" s="62"/>
      <c r="AF51" s="62">
        <v>2</v>
      </c>
      <c r="AG51" s="62"/>
      <c r="AH51" s="62"/>
      <c r="AI51" s="72">
        <f t="shared" si="4"/>
        <v>2</v>
      </c>
      <c r="AJ51" s="62"/>
      <c r="AK51" s="62"/>
      <c r="AL51" s="62"/>
      <c r="AM51" s="62"/>
      <c r="AN51" s="62"/>
      <c r="AO51" s="72" t="str">
        <f t="shared" si="5"/>
        <v>A</v>
      </c>
      <c r="AP51" s="62">
        <v>2</v>
      </c>
      <c r="AQ51" s="62">
        <v>2</v>
      </c>
      <c r="AR51" s="62">
        <v>2</v>
      </c>
      <c r="AS51" s="62"/>
      <c r="AT51" s="62"/>
      <c r="AU51" s="72">
        <f t="shared" si="6"/>
        <v>2</v>
      </c>
      <c r="AV51" s="62"/>
      <c r="AW51" s="62"/>
      <c r="AX51" s="62">
        <v>2</v>
      </c>
      <c r="AY51" s="62">
        <v>2</v>
      </c>
      <c r="AZ51" s="62">
        <v>2</v>
      </c>
      <c r="BA51" s="72">
        <f t="shared" si="7"/>
        <v>2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0</v>
      </c>
      <c r="M52" s="62">
        <v>0</v>
      </c>
      <c r="N52" s="62">
        <v>0</v>
      </c>
      <c r="O52" s="62">
        <v>3</v>
      </c>
      <c r="P52" s="62">
        <v>0</v>
      </c>
      <c r="Q52" s="72">
        <f t="shared" si="1"/>
        <v>0.6</v>
      </c>
      <c r="R52" s="62">
        <v>0</v>
      </c>
      <c r="S52" s="62">
        <v>0</v>
      </c>
      <c r="T52" s="7"/>
      <c r="U52" s="62">
        <v>0</v>
      </c>
      <c r="V52" s="7"/>
      <c r="W52" s="72">
        <f t="shared" si="2"/>
        <v>0</v>
      </c>
      <c r="X52" s="62">
        <v>0</v>
      </c>
      <c r="Y52" s="62">
        <v>0</v>
      </c>
      <c r="Z52" s="7"/>
      <c r="AA52" s="7"/>
      <c r="AB52" s="7"/>
      <c r="AC52" s="72">
        <f t="shared" si="3"/>
        <v>0</v>
      </c>
      <c r="AD52" s="62">
        <v>0</v>
      </c>
      <c r="AE52" s="7"/>
      <c r="AF52" s="62">
        <v>0</v>
      </c>
      <c r="AG52" s="7"/>
      <c r="AH52" s="7"/>
      <c r="AI52" s="72">
        <f t="shared" si="4"/>
        <v>0</v>
      </c>
      <c r="AJ52" s="7"/>
      <c r="AK52" s="7"/>
      <c r="AL52" s="7"/>
      <c r="AM52" s="7"/>
      <c r="AN52" s="7"/>
      <c r="AO52" s="72" t="str">
        <f t="shared" si="5"/>
        <v>A</v>
      </c>
      <c r="AP52" s="62">
        <v>0</v>
      </c>
      <c r="AQ52" s="62">
        <v>0</v>
      </c>
      <c r="AR52" s="62">
        <v>0</v>
      </c>
      <c r="AS52" s="7"/>
      <c r="AT52" s="7"/>
      <c r="AU52" s="72">
        <f t="shared" si="6"/>
        <v>0</v>
      </c>
      <c r="AV52" s="7"/>
      <c r="AW52" s="7"/>
      <c r="AX52" s="62">
        <v>0</v>
      </c>
      <c r="AY52" s="62">
        <v>0</v>
      </c>
      <c r="AZ52" s="62">
        <v>0</v>
      </c>
      <c r="BA52" s="72">
        <f t="shared" si="7"/>
        <v>0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3</v>
      </c>
      <c r="M53" s="62">
        <v>3</v>
      </c>
      <c r="N53" s="62">
        <v>3</v>
      </c>
      <c r="O53" s="62">
        <v>3</v>
      </c>
      <c r="P53" s="62">
        <v>3</v>
      </c>
      <c r="Q53" s="72">
        <f t="shared" si="1"/>
        <v>3</v>
      </c>
      <c r="R53" s="62">
        <v>3</v>
      </c>
      <c r="S53" s="62">
        <v>3</v>
      </c>
      <c r="T53" s="62"/>
      <c r="U53" s="62">
        <v>2</v>
      </c>
      <c r="V53" s="62"/>
      <c r="W53" s="72">
        <f t="shared" si="2"/>
        <v>2.6666666666666665</v>
      </c>
      <c r="X53" s="62">
        <v>3</v>
      </c>
      <c r="Y53" s="62">
        <v>2</v>
      </c>
      <c r="Z53" s="62"/>
      <c r="AA53" s="62"/>
      <c r="AB53" s="62"/>
      <c r="AC53" s="72">
        <f t="shared" si="3"/>
        <v>2.5</v>
      </c>
      <c r="AD53" s="62">
        <v>3</v>
      </c>
      <c r="AE53" s="62"/>
      <c r="AF53" s="62">
        <v>3</v>
      </c>
      <c r="AG53" s="62"/>
      <c r="AH53" s="62"/>
      <c r="AI53" s="72">
        <f t="shared" si="4"/>
        <v>3</v>
      </c>
      <c r="AJ53" s="62"/>
      <c r="AK53" s="62"/>
      <c r="AL53" s="62"/>
      <c r="AM53" s="62"/>
      <c r="AN53" s="62"/>
      <c r="AO53" s="72" t="str">
        <f t="shared" si="5"/>
        <v>A</v>
      </c>
      <c r="AP53" s="62">
        <v>3</v>
      </c>
      <c r="AQ53" s="62">
        <v>2</v>
      </c>
      <c r="AR53" s="62">
        <v>2</v>
      </c>
      <c r="AS53" s="62"/>
      <c r="AT53" s="62"/>
      <c r="AU53" s="72">
        <f t="shared" si="6"/>
        <v>2.3333333333333335</v>
      </c>
      <c r="AV53" s="62"/>
      <c r="AW53" s="62"/>
      <c r="AX53" s="62">
        <v>2</v>
      </c>
      <c r="AY53" s="62">
        <v>0</v>
      </c>
      <c r="AZ53" s="62">
        <v>0</v>
      </c>
      <c r="BA53" s="72">
        <f t="shared" si="7"/>
        <v>0.66666666666666663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1</v>
      </c>
      <c r="M54" s="62">
        <v>0</v>
      </c>
      <c r="N54" s="62">
        <v>0</v>
      </c>
      <c r="O54" s="62">
        <v>3</v>
      </c>
      <c r="P54" s="62">
        <v>0</v>
      </c>
      <c r="Q54" s="72">
        <f t="shared" si="1"/>
        <v>0.8</v>
      </c>
      <c r="R54" s="62">
        <v>0</v>
      </c>
      <c r="S54" s="62">
        <v>0</v>
      </c>
      <c r="T54" s="7"/>
      <c r="U54" s="62">
        <v>0</v>
      </c>
      <c r="V54" s="7"/>
      <c r="W54" s="72">
        <f t="shared" si="2"/>
        <v>0</v>
      </c>
      <c r="X54" s="62">
        <v>2</v>
      </c>
      <c r="Y54" s="62">
        <v>3</v>
      </c>
      <c r="Z54" s="7"/>
      <c r="AA54" s="7"/>
      <c r="AB54" s="7"/>
      <c r="AC54" s="72">
        <f t="shared" si="3"/>
        <v>2.5</v>
      </c>
      <c r="AD54" s="62">
        <v>0</v>
      </c>
      <c r="AE54" s="7"/>
      <c r="AF54" s="62">
        <v>0</v>
      </c>
      <c r="AG54" s="7"/>
      <c r="AH54" s="7"/>
      <c r="AI54" s="72">
        <f t="shared" si="4"/>
        <v>0</v>
      </c>
      <c r="AJ54" s="7"/>
      <c r="AK54" s="7"/>
      <c r="AL54" s="7"/>
      <c r="AM54" s="7"/>
      <c r="AN54" s="7"/>
      <c r="AO54" s="72" t="str">
        <f t="shared" si="5"/>
        <v>A</v>
      </c>
      <c r="AP54" s="62">
        <v>0</v>
      </c>
      <c r="AQ54" s="62">
        <v>0</v>
      </c>
      <c r="AR54" s="62">
        <v>0</v>
      </c>
      <c r="AS54" s="7"/>
      <c r="AT54" s="7"/>
      <c r="AU54" s="72">
        <f t="shared" si="6"/>
        <v>0</v>
      </c>
      <c r="AV54" s="7"/>
      <c r="AW54" s="7"/>
      <c r="AX54" s="62">
        <v>0</v>
      </c>
      <c r="AY54" s="62">
        <v>0</v>
      </c>
      <c r="AZ54" s="62">
        <v>0</v>
      </c>
      <c r="BA54" s="72">
        <f t="shared" si="7"/>
        <v>0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3</v>
      </c>
      <c r="M55" s="62">
        <v>3</v>
      </c>
      <c r="N55" s="62">
        <v>3</v>
      </c>
      <c r="O55" s="62">
        <v>3</v>
      </c>
      <c r="P55" s="62">
        <v>3</v>
      </c>
      <c r="Q55" s="72">
        <f t="shared" si="1"/>
        <v>3</v>
      </c>
      <c r="R55" s="62">
        <v>3</v>
      </c>
      <c r="S55" s="62">
        <v>3</v>
      </c>
      <c r="T55" s="62"/>
      <c r="U55" s="62">
        <v>2</v>
      </c>
      <c r="V55" s="62"/>
      <c r="W55" s="72">
        <f t="shared" si="2"/>
        <v>2.6666666666666665</v>
      </c>
      <c r="X55" s="62">
        <v>2</v>
      </c>
      <c r="Y55" s="62">
        <v>2</v>
      </c>
      <c r="Z55" s="62"/>
      <c r="AA55" s="62"/>
      <c r="AB55" s="62"/>
      <c r="AC55" s="72">
        <f t="shared" si="3"/>
        <v>2</v>
      </c>
      <c r="AD55" s="62">
        <v>3</v>
      </c>
      <c r="AE55" s="62"/>
      <c r="AF55" s="62">
        <v>3</v>
      </c>
      <c r="AG55" s="62"/>
      <c r="AH55" s="62"/>
      <c r="AI55" s="72">
        <f t="shared" si="4"/>
        <v>3</v>
      </c>
      <c r="AJ55" s="62"/>
      <c r="AK55" s="62"/>
      <c r="AL55" s="62"/>
      <c r="AM55" s="62"/>
      <c r="AN55" s="62"/>
      <c r="AO55" s="72" t="str">
        <f t="shared" si="5"/>
        <v>A</v>
      </c>
      <c r="AP55" s="62">
        <v>3</v>
      </c>
      <c r="AQ55" s="62">
        <v>3</v>
      </c>
      <c r="AR55" s="62">
        <v>2</v>
      </c>
      <c r="AS55" s="62"/>
      <c r="AT55" s="62"/>
      <c r="AU55" s="72">
        <f t="shared" si="6"/>
        <v>2.6666666666666665</v>
      </c>
      <c r="AV55" s="62"/>
      <c r="AW55" s="62"/>
      <c r="AX55" s="62">
        <v>3</v>
      </c>
      <c r="AY55" s="62">
        <v>0</v>
      </c>
      <c r="AZ55" s="62">
        <v>0</v>
      </c>
      <c r="BA55" s="72">
        <f t="shared" si="7"/>
        <v>1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2</v>
      </c>
      <c r="M56" s="62">
        <v>2</v>
      </c>
      <c r="N56" s="62">
        <v>2</v>
      </c>
      <c r="O56" s="62">
        <v>3</v>
      </c>
      <c r="P56" s="62">
        <v>2</v>
      </c>
      <c r="Q56" s="72">
        <f t="shared" si="1"/>
        <v>2.2000000000000002</v>
      </c>
      <c r="R56" s="62">
        <v>0</v>
      </c>
      <c r="S56" s="62">
        <v>0</v>
      </c>
      <c r="T56" s="7"/>
      <c r="U56" s="62">
        <v>0</v>
      </c>
      <c r="V56" s="7"/>
      <c r="W56" s="72">
        <f t="shared" si="2"/>
        <v>0</v>
      </c>
      <c r="X56" s="62">
        <v>0</v>
      </c>
      <c r="Y56" s="62">
        <v>0</v>
      </c>
      <c r="Z56" s="7"/>
      <c r="AA56" s="7"/>
      <c r="AB56" s="7"/>
      <c r="AC56" s="72">
        <f t="shared" si="3"/>
        <v>0</v>
      </c>
      <c r="AD56" s="62">
        <v>0</v>
      </c>
      <c r="AE56" s="7"/>
      <c r="AF56" s="62">
        <v>0</v>
      </c>
      <c r="AG56" s="7"/>
      <c r="AH56" s="7"/>
      <c r="AI56" s="72">
        <f t="shared" si="4"/>
        <v>0</v>
      </c>
      <c r="AJ56" s="7"/>
      <c r="AK56" s="7"/>
      <c r="AL56" s="7"/>
      <c r="AM56" s="7"/>
      <c r="AN56" s="7"/>
      <c r="AO56" s="72" t="str">
        <f t="shared" si="5"/>
        <v>A</v>
      </c>
      <c r="AP56" s="62">
        <v>0</v>
      </c>
      <c r="AQ56" s="62">
        <v>0</v>
      </c>
      <c r="AR56" s="62">
        <v>0</v>
      </c>
      <c r="AS56" s="7"/>
      <c r="AT56" s="7"/>
      <c r="AU56" s="72">
        <f t="shared" si="6"/>
        <v>0</v>
      </c>
      <c r="AV56" s="7"/>
      <c r="AW56" s="7"/>
      <c r="AX56" s="62">
        <v>0</v>
      </c>
      <c r="AY56" s="62">
        <v>0</v>
      </c>
      <c r="AZ56" s="62">
        <v>0</v>
      </c>
      <c r="BA56" s="72">
        <f t="shared" si="7"/>
        <v>0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3</v>
      </c>
      <c r="M57" s="62">
        <v>3</v>
      </c>
      <c r="N57" s="62">
        <v>3</v>
      </c>
      <c r="O57" s="62">
        <v>3</v>
      </c>
      <c r="P57" s="62">
        <v>3</v>
      </c>
      <c r="Q57" s="72">
        <f t="shared" si="1"/>
        <v>3</v>
      </c>
      <c r="R57" s="62">
        <v>2</v>
      </c>
      <c r="S57" s="62">
        <v>2</v>
      </c>
      <c r="T57" s="62"/>
      <c r="U57" s="62">
        <v>3</v>
      </c>
      <c r="V57" s="62"/>
      <c r="W57" s="72">
        <f t="shared" si="2"/>
        <v>2.3333333333333335</v>
      </c>
      <c r="X57" s="62">
        <v>3</v>
      </c>
      <c r="Y57" s="62">
        <v>3</v>
      </c>
      <c r="Z57" s="62"/>
      <c r="AA57" s="62"/>
      <c r="AB57" s="62"/>
      <c r="AC57" s="72">
        <f t="shared" si="3"/>
        <v>3</v>
      </c>
      <c r="AD57" s="62">
        <v>2</v>
      </c>
      <c r="AE57" s="62"/>
      <c r="AF57" s="62">
        <v>2</v>
      </c>
      <c r="AG57" s="62"/>
      <c r="AH57" s="62"/>
      <c r="AI57" s="72">
        <f t="shared" si="4"/>
        <v>2</v>
      </c>
      <c r="AJ57" s="62"/>
      <c r="AK57" s="62"/>
      <c r="AL57" s="62"/>
      <c r="AM57" s="62"/>
      <c r="AN57" s="62"/>
      <c r="AO57" s="72" t="str">
        <f t="shared" si="5"/>
        <v>A</v>
      </c>
      <c r="AP57" s="62">
        <v>2</v>
      </c>
      <c r="AQ57" s="62">
        <v>3</v>
      </c>
      <c r="AR57" s="62">
        <v>3</v>
      </c>
      <c r="AS57" s="62"/>
      <c r="AT57" s="62"/>
      <c r="AU57" s="72">
        <f t="shared" si="6"/>
        <v>2.6666666666666665</v>
      </c>
      <c r="AV57" s="62"/>
      <c r="AW57" s="62"/>
      <c r="AX57" s="62">
        <v>3</v>
      </c>
      <c r="AY57" s="62">
        <v>0</v>
      </c>
      <c r="AZ57" s="62">
        <v>0</v>
      </c>
      <c r="BA57" s="72">
        <f t="shared" si="7"/>
        <v>1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3</v>
      </c>
      <c r="M58" s="62">
        <v>4</v>
      </c>
      <c r="N58" s="62">
        <v>2</v>
      </c>
      <c r="O58" s="62">
        <v>3</v>
      </c>
      <c r="P58" s="62">
        <v>2</v>
      </c>
      <c r="Q58" s="72">
        <f t="shared" si="1"/>
        <v>2.8</v>
      </c>
      <c r="R58" s="62">
        <v>0</v>
      </c>
      <c r="S58" s="62">
        <v>0</v>
      </c>
      <c r="T58" s="7"/>
      <c r="U58" s="62">
        <v>0</v>
      </c>
      <c r="V58" s="7"/>
      <c r="W58" s="72">
        <f t="shared" si="2"/>
        <v>0</v>
      </c>
      <c r="X58" s="62">
        <v>0</v>
      </c>
      <c r="Y58" s="62">
        <v>0</v>
      </c>
      <c r="Z58" s="7"/>
      <c r="AA58" s="7"/>
      <c r="AB58" s="7"/>
      <c r="AC58" s="72">
        <f t="shared" si="3"/>
        <v>0</v>
      </c>
      <c r="AD58" s="62">
        <v>0</v>
      </c>
      <c r="AE58" s="7"/>
      <c r="AF58" s="62">
        <v>0</v>
      </c>
      <c r="AG58" s="7"/>
      <c r="AH58" s="7"/>
      <c r="AI58" s="72">
        <f t="shared" si="4"/>
        <v>0</v>
      </c>
      <c r="AJ58" s="7"/>
      <c r="AK58" s="7"/>
      <c r="AL58" s="7"/>
      <c r="AM58" s="7"/>
      <c r="AN58" s="7"/>
      <c r="AO58" s="72" t="str">
        <f t="shared" si="5"/>
        <v>A</v>
      </c>
      <c r="AP58" s="62">
        <v>0</v>
      </c>
      <c r="AQ58" s="62">
        <v>0</v>
      </c>
      <c r="AR58" s="62">
        <v>0</v>
      </c>
      <c r="AS58" s="7"/>
      <c r="AT58" s="7"/>
      <c r="AU58" s="72">
        <f t="shared" si="6"/>
        <v>0</v>
      </c>
      <c r="AV58" s="7"/>
      <c r="AW58" s="7"/>
      <c r="AX58" s="62">
        <v>0</v>
      </c>
      <c r="AY58" s="62">
        <v>0</v>
      </c>
      <c r="AZ58" s="62">
        <v>0</v>
      </c>
      <c r="BA58" s="72">
        <f t="shared" si="7"/>
        <v>0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3</v>
      </c>
      <c r="M59" s="62">
        <v>3</v>
      </c>
      <c r="N59" s="62">
        <v>3</v>
      </c>
      <c r="O59" s="62">
        <v>3</v>
      </c>
      <c r="P59" s="62">
        <v>3</v>
      </c>
      <c r="Q59" s="72">
        <f t="shared" si="1"/>
        <v>3</v>
      </c>
      <c r="R59" s="62">
        <v>0</v>
      </c>
      <c r="S59" s="62">
        <v>0</v>
      </c>
      <c r="T59" s="62"/>
      <c r="U59" s="62">
        <v>0</v>
      </c>
      <c r="V59" s="62"/>
      <c r="W59" s="72">
        <f t="shared" si="2"/>
        <v>0</v>
      </c>
      <c r="X59" s="62">
        <v>0</v>
      </c>
      <c r="Y59" s="62">
        <v>0</v>
      </c>
      <c r="Z59" s="62"/>
      <c r="AA59" s="62"/>
      <c r="AB59" s="62"/>
      <c r="AC59" s="72">
        <f t="shared" si="3"/>
        <v>0</v>
      </c>
      <c r="AD59" s="62">
        <v>0</v>
      </c>
      <c r="AE59" s="62"/>
      <c r="AF59" s="62">
        <v>0</v>
      </c>
      <c r="AG59" s="62"/>
      <c r="AH59" s="62"/>
      <c r="AI59" s="72">
        <f t="shared" si="4"/>
        <v>0</v>
      </c>
      <c r="AJ59" s="62"/>
      <c r="AK59" s="62"/>
      <c r="AL59" s="62"/>
      <c r="AM59" s="62"/>
      <c r="AN59" s="62"/>
      <c r="AO59" s="72" t="str">
        <f t="shared" si="5"/>
        <v>A</v>
      </c>
      <c r="AP59" s="62">
        <v>0</v>
      </c>
      <c r="AQ59" s="62">
        <v>0</v>
      </c>
      <c r="AR59" s="62">
        <v>0</v>
      </c>
      <c r="AS59" s="62"/>
      <c r="AT59" s="62"/>
      <c r="AU59" s="72">
        <f t="shared" si="6"/>
        <v>0</v>
      </c>
      <c r="AV59" s="62"/>
      <c r="AW59" s="62"/>
      <c r="AX59" s="62">
        <v>0</v>
      </c>
      <c r="AY59" s="62">
        <v>0</v>
      </c>
      <c r="AZ59" s="62">
        <v>0</v>
      </c>
      <c r="BA59" s="72">
        <f t="shared" si="7"/>
        <v>0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1</v>
      </c>
      <c r="M60" s="62">
        <v>1</v>
      </c>
      <c r="N60" s="62">
        <v>1</v>
      </c>
      <c r="O60" s="62">
        <v>3</v>
      </c>
      <c r="P60" s="62">
        <v>1</v>
      </c>
      <c r="Q60" s="72">
        <f t="shared" si="1"/>
        <v>1.4</v>
      </c>
      <c r="R60" s="62">
        <v>2</v>
      </c>
      <c r="S60" s="62">
        <v>2</v>
      </c>
      <c r="T60" s="7"/>
      <c r="U60" s="62">
        <v>2</v>
      </c>
      <c r="V60" s="7"/>
      <c r="W60" s="72">
        <f t="shared" si="2"/>
        <v>2</v>
      </c>
      <c r="X60" s="62">
        <v>2</v>
      </c>
      <c r="Y60" s="62">
        <v>2</v>
      </c>
      <c r="Z60" s="7"/>
      <c r="AA60" s="7"/>
      <c r="AB60" s="7"/>
      <c r="AC60" s="72">
        <f t="shared" si="3"/>
        <v>2</v>
      </c>
      <c r="AD60" s="62">
        <v>2</v>
      </c>
      <c r="AE60" s="7"/>
      <c r="AF60" s="62">
        <v>2</v>
      </c>
      <c r="AG60" s="7"/>
      <c r="AH60" s="7"/>
      <c r="AI60" s="72">
        <f t="shared" si="4"/>
        <v>2</v>
      </c>
      <c r="AJ60" s="7"/>
      <c r="AK60" s="7"/>
      <c r="AL60" s="7"/>
      <c r="AM60" s="7"/>
      <c r="AN60" s="7"/>
      <c r="AO60" s="72" t="str">
        <f t="shared" si="5"/>
        <v>A</v>
      </c>
      <c r="AP60" s="62">
        <v>2</v>
      </c>
      <c r="AQ60" s="62">
        <v>2</v>
      </c>
      <c r="AR60" s="62">
        <v>2</v>
      </c>
      <c r="AS60" s="7"/>
      <c r="AT60" s="7"/>
      <c r="AU60" s="72">
        <f t="shared" si="6"/>
        <v>2</v>
      </c>
      <c r="AV60" s="7"/>
      <c r="AW60" s="7"/>
      <c r="AX60" s="62">
        <v>2</v>
      </c>
      <c r="AY60" s="62">
        <v>2</v>
      </c>
      <c r="AZ60" s="62">
        <v>2</v>
      </c>
      <c r="BA60" s="72">
        <f t="shared" si="7"/>
        <v>2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1</v>
      </c>
      <c r="M61" s="62">
        <v>1</v>
      </c>
      <c r="N61" s="62">
        <v>1</v>
      </c>
      <c r="O61" s="62">
        <v>3</v>
      </c>
      <c r="P61" s="62">
        <v>1</v>
      </c>
      <c r="Q61" s="72">
        <f t="shared" si="1"/>
        <v>1.4</v>
      </c>
      <c r="R61" s="62">
        <v>0</v>
      </c>
      <c r="S61" s="62">
        <v>0</v>
      </c>
      <c r="T61" s="62"/>
      <c r="U61" s="62">
        <v>0</v>
      </c>
      <c r="V61" s="62"/>
      <c r="W61" s="72">
        <f t="shared" si="2"/>
        <v>0</v>
      </c>
      <c r="X61" s="62">
        <v>0</v>
      </c>
      <c r="Y61" s="62">
        <v>0</v>
      </c>
      <c r="Z61" s="62"/>
      <c r="AA61" s="62"/>
      <c r="AB61" s="62"/>
      <c r="AC61" s="72">
        <f t="shared" si="3"/>
        <v>0</v>
      </c>
      <c r="AD61" s="62">
        <v>0</v>
      </c>
      <c r="AE61" s="62"/>
      <c r="AF61" s="62">
        <v>0</v>
      </c>
      <c r="AG61" s="62"/>
      <c r="AH61" s="62"/>
      <c r="AI61" s="72">
        <f t="shared" si="4"/>
        <v>0</v>
      </c>
      <c r="AJ61" s="62"/>
      <c r="AK61" s="62"/>
      <c r="AL61" s="62"/>
      <c r="AM61" s="62"/>
      <c r="AN61" s="62"/>
      <c r="AO61" s="72" t="str">
        <f t="shared" si="5"/>
        <v>A</v>
      </c>
      <c r="AP61" s="62">
        <v>0</v>
      </c>
      <c r="AQ61" s="62">
        <v>0</v>
      </c>
      <c r="AR61" s="62">
        <v>0</v>
      </c>
      <c r="AS61" s="62"/>
      <c r="AT61" s="62"/>
      <c r="AU61" s="72">
        <f t="shared" si="6"/>
        <v>0</v>
      </c>
      <c r="AV61" s="62"/>
      <c r="AW61" s="62"/>
      <c r="AX61" s="62">
        <v>0</v>
      </c>
      <c r="AY61" s="62">
        <v>0</v>
      </c>
      <c r="AZ61" s="62">
        <v>0</v>
      </c>
      <c r="BA61" s="72">
        <f t="shared" si="7"/>
        <v>0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2</v>
      </c>
      <c r="M62" s="62">
        <v>3</v>
      </c>
      <c r="N62" s="62">
        <v>2</v>
      </c>
      <c r="O62" s="62">
        <v>3</v>
      </c>
      <c r="P62" s="62">
        <v>2</v>
      </c>
      <c r="Q62" s="72">
        <f t="shared" si="1"/>
        <v>2.4</v>
      </c>
      <c r="R62" s="62">
        <v>0</v>
      </c>
      <c r="S62" s="62">
        <v>0</v>
      </c>
      <c r="T62" s="7"/>
      <c r="U62" s="62">
        <v>0</v>
      </c>
      <c r="V62" s="7"/>
      <c r="W62" s="72">
        <f t="shared" si="2"/>
        <v>0</v>
      </c>
      <c r="X62" s="62">
        <v>0</v>
      </c>
      <c r="Y62" s="62">
        <v>0</v>
      </c>
      <c r="Z62" s="7"/>
      <c r="AA62" s="7"/>
      <c r="AB62" s="7"/>
      <c r="AC62" s="72">
        <f t="shared" si="3"/>
        <v>0</v>
      </c>
      <c r="AD62" s="62">
        <v>0</v>
      </c>
      <c r="AE62" s="7"/>
      <c r="AF62" s="62">
        <v>0</v>
      </c>
      <c r="AG62" s="7"/>
      <c r="AH62" s="7"/>
      <c r="AI62" s="72">
        <f t="shared" si="4"/>
        <v>0</v>
      </c>
      <c r="AJ62" s="7"/>
      <c r="AK62" s="7"/>
      <c r="AL62" s="7"/>
      <c r="AM62" s="7"/>
      <c r="AN62" s="7"/>
      <c r="AO62" s="72" t="str">
        <f t="shared" si="5"/>
        <v>A</v>
      </c>
      <c r="AP62" s="62">
        <v>0</v>
      </c>
      <c r="AQ62" s="62">
        <v>0</v>
      </c>
      <c r="AR62" s="62">
        <v>0</v>
      </c>
      <c r="AS62" s="7"/>
      <c r="AT62" s="7"/>
      <c r="AU62" s="72">
        <f t="shared" si="6"/>
        <v>0</v>
      </c>
      <c r="AV62" s="7"/>
      <c r="AW62" s="7"/>
      <c r="AX62" s="62">
        <v>0</v>
      </c>
      <c r="AY62" s="62">
        <v>0</v>
      </c>
      <c r="AZ62" s="62">
        <v>0</v>
      </c>
      <c r="BA62" s="72">
        <f t="shared" si="7"/>
        <v>0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2</v>
      </c>
      <c r="M63" s="62">
        <v>2</v>
      </c>
      <c r="N63" s="62">
        <v>2</v>
      </c>
      <c r="O63" s="62">
        <v>3</v>
      </c>
      <c r="P63" s="62">
        <v>2</v>
      </c>
      <c r="Q63" s="72">
        <f t="shared" si="1"/>
        <v>2.2000000000000002</v>
      </c>
      <c r="R63" s="62">
        <v>0</v>
      </c>
      <c r="S63" s="62">
        <v>0</v>
      </c>
      <c r="T63" s="62"/>
      <c r="U63" s="62">
        <v>0</v>
      </c>
      <c r="V63" s="62"/>
      <c r="W63" s="72">
        <f t="shared" si="2"/>
        <v>0</v>
      </c>
      <c r="X63" s="62">
        <v>0</v>
      </c>
      <c r="Y63" s="62">
        <v>0</v>
      </c>
      <c r="Z63" s="62"/>
      <c r="AA63" s="62"/>
      <c r="AB63" s="62"/>
      <c r="AC63" s="72">
        <f t="shared" si="3"/>
        <v>0</v>
      </c>
      <c r="AD63" s="62">
        <v>0</v>
      </c>
      <c r="AE63" s="62"/>
      <c r="AF63" s="62">
        <v>0</v>
      </c>
      <c r="AG63" s="62"/>
      <c r="AH63" s="62"/>
      <c r="AI63" s="72">
        <f t="shared" si="4"/>
        <v>0</v>
      </c>
      <c r="AJ63" s="62"/>
      <c r="AK63" s="62"/>
      <c r="AL63" s="62"/>
      <c r="AM63" s="62"/>
      <c r="AN63" s="62"/>
      <c r="AO63" s="72" t="str">
        <f t="shared" si="5"/>
        <v>A</v>
      </c>
      <c r="AP63" s="62">
        <v>0</v>
      </c>
      <c r="AQ63" s="62">
        <v>0</v>
      </c>
      <c r="AR63" s="62">
        <v>0</v>
      </c>
      <c r="AS63" s="62"/>
      <c r="AT63" s="62"/>
      <c r="AU63" s="72">
        <f t="shared" si="6"/>
        <v>0</v>
      </c>
      <c r="AV63" s="62"/>
      <c r="AW63" s="62"/>
      <c r="AX63" s="62">
        <v>0</v>
      </c>
      <c r="AY63" s="62">
        <v>0</v>
      </c>
      <c r="AZ63" s="62">
        <v>0</v>
      </c>
      <c r="BA63" s="72">
        <f t="shared" si="7"/>
        <v>0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2</v>
      </c>
      <c r="M64" s="62">
        <v>2</v>
      </c>
      <c r="N64" s="62">
        <v>2</v>
      </c>
      <c r="O64" s="62">
        <v>3</v>
      </c>
      <c r="P64" s="62">
        <v>2</v>
      </c>
      <c r="Q64" s="72">
        <f t="shared" si="1"/>
        <v>2.2000000000000002</v>
      </c>
      <c r="R64" s="62">
        <v>3</v>
      </c>
      <c r="S64" s="62">
        <v>3</v>
      </c>
      <c r="T64" s="7"/>
      <c r="U64" s="62">
        <v>3</v>
      </c>
      <c r="V64" s="7"/>
      <c r="W64" s="72">
        <f t="shared" si="2"/>
        <v>3</v>
      </c>
      <c r="X64" s="62">
        <v>3</v>
      </c>
      <c r="Y64" s="62">
        <v>3</v>
      </c>
      <c r="Z64" s="7"/>
      <c r="AA64" s="7"/>
      <c r="AB64" s="7"/>
      <c r="AC64" s="72">
        <f t="shared" si="3"/>
        <v>3</v>
      </c>
      <c r="AD64" s="62">
        <v>3</v>
      </c>
      <c r="AE64" s="7"/>
      <c r="AF64" s="62">
        <v>3</v>
      </c>
      <c r="AG64" s="7"/>
      <c r="AH64" s="7"/>
      <c r="AI64" s="72">
        <f t="shared" si="4"/>
        <v>3</v>
      </c>
      <c r="AJ64" s="7"/>
      <c r="AK64" s="7"/>
      <c r="AL64" s="7"/>
      <c r="AM64" s="7"/>
      <c r="AN64" s="7"/>
      <c r="AO64" s="72" t="str">
        <f t="shared" si="5"/>
        <v>A</v>
      </c>
      <c r="AP64" s="62">
        <v>3</v>
      </c>
      <c r="AQ64" s="62">
        <v>3</v>
      </c>
      <c r="AR64" s="62">
        <v>3</v>
      </c>
      <c r="AS64" s="7"/>
      <c r="AT64" s="7"/>
      <c r="AU64" s="72">
        <f t="shared" si="6"/>
        <v>3</v>
      </c>
      <c r="AV64" s="7"/>
      <c r="AW64" s="7"/>
      <c r="AX64" s="62">
        <v>3</v>
      </c>
      <c r="AY64" s="62">
        <v>0</v>
      </c>
      <c r="AZ64" s="62">
        <v>0</v>
      </c>
      <c r="BA64" s="72">
        <f t="shared" si="7"/>
        <v>1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0</v>
      </c>
      <c r="M65" s="62">
        <v>0</v>
      </c>
      <c r="N65" s="62">
        <v>0</v>
      </c>
      <c r="O65" s="62">
        <v>3</v>
      </c>
      <c r="P65" s="62">
        <v>0</v>
      </c>
      <c r="Q65" s="72">
        <f t="shared" si="1"/>
        <v>0.6</v>
      </c>
      <c r="R65" s="62">
        <v>0</v>
      </c>
      <c r="S65" s="62">
        <v>0</v>
      </c>
      <c r="T65" s="62"/>
      <c r="U65" s="62">
        <v>0</v>
      </c>
      <c r="V65" s="62"/>
      <c r="W65" s="72">
        <f t="shared" si="2"/>
        <v>0</v>
      </c>
      <c r="X65" s="62">
        <v>0</v>
      </c>
      <c r="Y65" s="62">
        <v>0</v>
      </c>
      <c r="Z65" s="62"/>
      <c r="AA65" s="62"/>
      <c r="AB65" s="62"/>
      <c r="AC65" s="72">
        <f t="shared" si="3"/>
        <v>0</v>
      </c>
      <c r="AD65" s="62">
        <v>0</v>
      </c>
      <c r="AE65" s="62"/>
      <c r="AF65" s="62">
        <v>0</v>
      </c>
      <c r="AG65" s="62"/>
      <c r="AH65" s="62"/>
      <c r="AI65" s="72">
        <f t="shared" si="4"/>
        <v>0</v>
      </c>
      <c r="AJ65" s="62"/>
      <c r="AK65" s="62"/>
      <c r="AL65" s="62"/>
      <c r="AM65" s="62"/>
      <c r="AN65" s="62"/>
      <c r="AO65" s="72" t="str">
        <f t="shared" si="5"/>
        <v>A</v>
      </c>
      <c r="AP65" s="62">
        <v>0</v>
      </c>
      <c r="AQ65" s="62">
        <v>0</v>
      </c>
      <c r="AR65" s="62">
        <v>0</v>
      </c>
      <c r="AS65" s="62"/>
      <c r="AT65" s="62"/>
      <c r="AU65" s="72">
        <f t="shared" si="6"/>
        <v>0</v>
      </c>
      <c r="AV65" s="62"/>
      <c r="AW65" s="62"/>
      <c r="AX65" s="62">
        <v>0</v>
      </c>
      <c r="AY65" s="62">
        <v>0</v>
      </c>
      <c r="AZ65" s="62">
        <v>0</v>
      </c>
      <c r="BA65" s="72">
        <f t="shared" si="7"/>
        <v>0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1</v>
      </c>
      <c r="M66" s="62">
        <v>1</v>
      </c>
      <c r="N66" s="62">
        <v>1</v>
      </c>
      <c r="O66" s="62">
        <v>3</v>
      </c>
      <c r="P66" s="62">
        <v>1</v>
      </c>
      <c r="Q66" s="72">
        <f t="shared" si="1"/>
        <v>1.4</v>
      </c>
      <c r="R66" s="62">
        <v>0</v>
      </c>
      <c r="S66" s="62">
        <v>0</v>
      </c>
      <c r="T66" s="7"/>
      <c r="U66" s="62">
        <v>0</v>
      </c>
      <c r="V66" s="7"/>
      <c r="W66" s="72">
        <f t="shared" si="2"/>
        <v>0</v>
      </c>
      <c r="X66" s="62">
        <v>0</v>
      </c>
      <c r="Y66" s="62">
        <v>0</v>
      </c>
      <c r="Z66" s="7"/>
      <c r="AA66" s="7"/>
      <c r="AB66" s="7"/>
      <c r="AC66" s="72">
        <f t="shared" si="3"/>
        <v>0</v>
      </c>
      <c r="AD66" s="62">
        <v>0</v>
      </c>
      <c r="AE66" s="7"/>
      <c r="AF66" s="62">
        <v>0</v>
      </c>
      <c r="AG66" s="7"/>
      <c r="AH66" s="7"/>
      <c r="AI66" s="72">
        <f t="shared" si="4"/>
        <v>0</v>
      </c>
      <c r="AJ66" s="7"/>
      <c r="AK66" s="7"/>
      <c r="AL66" s="7"/>
      <c r="AM66" s="7"/>
      <c r="AN66" s="7"/>
      <c r="AO66" s="72" t="str">
        <f t="shared" si="5"/>
        <v>A</v>
      </c>
      <c r="AP66" s="62">
        <v>0</v>
      </c>
      <c r="AQ66" s="62">
        <v>0</v>
      </c>
      <c r="AR66" s="62">
        <v>0</v>
      </c>
      <c r="AS66" s="7"/>
      <c r="AT66" s="7"/>
      <c r="AU66" s="72">
        <f t="shared" si="6"/>
        <v>0</v>
      </c>
      <c r="AV66" s="7"/>
      <c r="AW66" s="7"/>
      <c r="AX66" s="62">
        <v>0</v>
      </c>
      <c r="AY66" s="62">
        <v>0</v>
      </c>
      <c r="AZ66" s="62">
        <v>0</v>
      </c>
      <c r="BA66" s="72">
        <f t="shared" si="7"/>
        <v>0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>
        <v>3</v>
      </c>
      <c r="N67" s="62">
        <v>3</v>
      </c>
      <c r="O67" s="62">
        <v>3</v>
      </c>
      <c r="P67" s="62">
        <v>2</v>
      </c>
      <c r="Q67" s="72">
        <f t="shared" si="1"/>
        <v>2.8</v>
      </c>
      <c r="R67" s="62">
        <v>0</v>
      </c>
      <c r="S67" s="62">
        <v>0</v>
      </c>
      <c r="T67" s="62"/>
      <c r="U67" s="62">
        <v>0</v>
      </c>
      <c r="V67" s="62"/>
      <c r="W67" s="72">
        <f t="shared" si="2"/>
        <v>0</v>
      </c>
      <c r="X67" s="62">
        <v>0</v>
      </c>
      <c r="Y67" s="62">
        <v>0</v>
      </c>
      <c r="Z67" s="62"/>
      <c r="AA67" s="62"/>
      <c r="AB67" s="62"/>
      <c r="AC67" s="72">
        <f t="shared" si="3"/>
        <v>0</v>
      </c>
      <c r="AD67" s="62">
        <v>0</v>
      </c>
      <c r="AE67" s="62"/>
      <c r="AF67" s="62">
        <v>0</v>
      </c>
      <c r="AG67" s="62"/>
      <c r="AH67" s="62"/>
      <c r="AI67" s="72">
        <f t="shared" si="4"/>
        <v>0</v>
      </c>
      <c r="AJ67" s="62"/>
      <c r="AK67" s="62"/>
      <c r="AL67" s="62"/>
      <c r="AM67" s="62"/>
      <c r="AN67" s="62"/>
      <c r="AO67" s="72" t="str">
        <f t="shared" si="5"/>
        <v>A</v>
      </c>
      <c r="AP67" s="62">
        <v>0</v>
      </c>
      <c r="AQ67" s="62">
        <v>0</v>
      </c>
      <c r="AR67" s="62">
        <v>0</v>
      </c>
      <c r="AS67" s="62"/>
      <c r="AT67" s="62"/>
      <c r="AU67" s="72">
        <f t="shared" si="6"/>
        <v>0</v>
      </c>
      <c r="AV67" s="62"/>
      <c r="AW67" s="62"/>
      <c r="AX67" s="62">
        <v>0</v>
      </c>
      <c r="AY67" s="62">
        <v>0</v>
      </c>
      <c r="AZ67" s="62">
        <v>0</v>
      </c>
      <c r="BA67" s="72">
        <f t="shared" si="7"/>
        <v>0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2</v>
      </c>
      <c r="M68" s="62">
        <v>3</v>
      </c>
      <c r="N68" s="62">
        <v>2</v>
      </c>
      <c r="O68" s="62">
        <v>3</v>
      </c>
      <c r="P68" s="62">
        <v>1</v>
      </c>
      <c r="Q68" s="72">
        <f t="shared" ref="Q68:Q131" si="9">IFERROR(AVERAGE(M68,N68,L68,O68,P68),"A")</f>
        <v>2.2000000000000002</v>
      </c>
      <c r="R68" s="62">
        <v>3</v>
      </c>
      <c r="S68" s="62">
        <v>3</v>
      </c>
      <c r="T68" s="7"/>
      <c r="U68" s="62">
        <v>3</v>
      </c>
      <c r="V68" s="7"/>
      <c r="W68" s="72">
        <f t="shared" ref="W68:W131" si="10">IFERROR(AVERAGE(R68,S68,U68),"A")</f>
        <v>3</v>
      </c>
      <c r="X68" s="62">
        <v>0</v>
      </c>
      <c r="Y68" s="62">
        <v>0</v>
      </c>
      <c r="Z68" s="7"/>
      <c r="AA68" s="7"/>
      <c r="AB68" s="7"/>
      <c r="AC68" s="72">
        <f t="shared" ref="AC68:AC131" si="11">IFERROR(AVERAGE(Y68,X68),"A")</f>
        <v>0</v>
      </c>
      <c r="AD68" s="62">
        <v>3</v>
      </c>
      <c r="AE68" s="7"/>
      <c r="AF68" s="62">
        <v>3</v>
      </c>
      <c r="AG68" s="7"/>
      <c r="AH68" s="7"/>
      <c r="AI68" s="72">
        <f t="shared" ref="AI68:AI131" si="12">IFERROR(AVERAGE(AF68,AD68),"A")</f>
        <v>3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62">
        <v>3</v>
      </c>
      <c r="AQ68" s="62">
        <v>3</v>
      </c>
      <c r="AR68" s="62">
        <v>4</v>
      </c>
      <c r="AS68" s="7"/>
      <c r="AT68" s="7"/>
      <c r="AU68" s="72">
        <f t="shared" ref="AU68:AU131" si="14">IFERROR(AVERAGE(AR68,AQ68,AP68),"A")</f>
        <v>3.3333333333333335</v>
      </c>
      <c r="AV68" s="7"/>
      <c r="AW68" s="7"/>
      <c r="AX68" s="62">
        <v>3</v>
      </c>
      <c r="AY68" s="62">
        <v>0</v>
      </c>
      <c r="AZ68" s="62">
        <v>0</v>
      </c>
      <c r="BA68" s="72">
        <f t="shared" ref="BA68:BA131" si="15">IFERROR(AVERAGE(AX68,AY68,AZ68),"A")</f>
        <v>1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2</v>
      </c>
      <c r="M69" s="62">
        <v>2</v>
      </c>
      <c r="N69" s="62">
        <v>2</v>
      </c>
      <c r="O69" s="62">
        <v>2</v>
      </c>
      <c r="P69" s="62">
        <v>2</v>
      </c>
      <c r="Q69" s="72">
        <f t="shared" si="9"/>
        <v>2</v>
      </c>
      <c r="R69" s="62">
        <v>0</v>
      </c>
      <c r="S69" s="62">
        <v>0</v>
      </c>
      <c r="T69" s="62"/>
      <c r="U69" s="62">
        <v>0</v>
      </c>
      <c r="V69" s="62"/>
      <c r="W69" s="72">
        <f t="shared" si="10"/>
        <v>0</v>
      </c>
      <c r="X69" s="62">
        <v>0</v>
      </c>
      <c r="Y69" s="62">
        <v>0</v>
      </c>
      <c r="Z69" s="62"/>
      <c r="AA69" s="62"/>
      <c r="AB69" s="62"/>
      <c r="AC69" s="72">
        <f t="shared" si="11"/>
        <v>0</v>
      </c>
      <c r="AD69" s="62">
        <v>0</v>
      </c>
      <c r="AE69" s="62"/>
      <c r="AF69" s="62">
        <v>0</v>
      </c>
      <c r="AG69" s="62"/>
      <c r="AH69" s="62"/>
      <c r="AI69" s="72">
        <f t="shared" si="12"/>
        <v>0</v>
      </c>
      <c r="AJ69" s="62"/>
      <c r="AK69" s="62"/>
      <c r="AL69" s="62"/>
      <c r="AM69" s="62"/>
      <c r="AN69" s="62"/>
      <c r="AO69" s="72" t="str">
        <f t="shared" si="13"/>
        <v>A</v>
      </c>
      <c r="AP69" s="62">
        <v>0</v>
      </c>
      <c r="AQ69" s="62">
        <v>0</v>
      </c>
      <c r="AR69" s="62">
        <v>0</v>
      </c>
      <c r="AS69" s="62"/>
      <c r="AT69" s="62"/>
      <c r="AU69" s="72">
        <f t="shared" si="14"/>
        <v>0</v>
      </c>
      <c r="AV69" s="62"/>
      <c r="AW69" s="62"/>
      <c r="AX69" s="62">
        <v>0</v>
      </c>
      <c r="AY69" s="62">
        <v>0</v>
      </c>
      <c r="AZ69" s="62">
        <v>0</v>
      </c>
      <c r="BA69" s="72">
        <f t="shared" si="15"/>
        <v>0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2</v>
      </c>
      <c r="M70" s="62">
        <v>0</v>
      </c>
      <c r="N70" s="62">
        <v>0</v>
      </c>
      <c r="O70" s="62">
        <v>3</v>
      </c>
      <c r="P70" s="62">
        <v>0</v>
      </c>
      <c r="Q70" s="72">
        <f t="shared" si="9"/>
        <v>1</v>
      </c>
      <c r="R70" s="62">
        <v>3</v>
      </c>
      <c r="S70" s="62">
        <v>3</v>
      </c>
      <c r="T70" s="7"/>
      <c r="U70" s="62">
        <v>4</v>
      </c>
      <c r="V70" s="7"/>
      <c r="W70" s="72">
        <f t="shared" si="10"/>
        <v>3.3333333333333335</v>
      </c>
      <c r="X70" s="62">
        <v>2</v>
      </c>
      <c r="Y70" s="62">
        <v>2</v>
      </c>
      <c r="Z70" s="7"/>
      <c r="AA70" s="7"/>
      <c r="AB70" s="7"/>
      <c r="AC70" s="72">
        <f t="shared" si="11"/>
        <v>2</v>
      </c>
      <c r="AD70" s="62">
        <v>3</v>
      </c>
      <c r="AE70" s="7"/>
      <c r="AF70" s="62">
        <v>3</v>
      </c>
      <c r="AG70" s="7"/>
      <c r="AH70" s="7"/>
      <c r="AI70" s="72">
        <f t="shared" si="12"/>
        <v>3</v>
      </c>
      <c r="AJ70" s="7"/>
      <c r="AK70" s="7"/>
      <c r="AL70" s="7"/>
      <c r="AM70" s="7"/>
      <c r="AN70" s="7"/>
      <c r="AO70" s="72" t="str">
        <f t="shared" si="13"/>
        <v>A</v>
      </c>
      <c r="AP70" s="62">
        <v>3</v>
      </c>
      <c r="AQ70" s="62">
        <v>3</v>
      </c>
      <c r="AR70" s="62">
        <v>2</v>
      </c>
      <c r="AS70" s="7"/>
      <c r="AT70" s="7"/>
      <c r="AU70" s="72">
        <f t="shared" si="14"/>
        <v>2.6666666666666665</v>
      </c>
      <c r="AV70" s="7"/>
      <c r="AW70" s="7"/>
      <c r="AX70" s="62">
        <v>3</v>
      </c>
      <c r="AY70" s="62">
        <v>0</v>
      </c>
      <c r="AZ70" s="62">
        <v>0</v>
      </c>
      <c r="BA70" s="72">
        <f t="shared" si="15"/>
        <v>1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0</v>
      </c>
      <c r="M71" s="62">
        <v>0</v>
      </c>
      <c r="N71" s="62">
        <v>0</v>
      </c>
      <c r="O71" s="62">
        <v>3</v>
      </c>
      <c r="P71" s="62">
        <v>0</v>
      </c>
      <c r="Q71" s="72">
        <f t="shared" si="9"/>
        <v>0.6</v>
      </c>
      <c r="R71" s="62">
        <v>0</v>
      </c>
      <c r="S71" s="62">
        <v>0</v>
      </c>
      <c r="T71" s="62"/>
      <c r="U71" s="62">
        <v>0</v>
      </c>
      <c r="V71" s="62"/>
      <c r="W71" s="72">
        <f t="shared" si="10"/>
        <v>0</v>
      </c>
      <c r="X71" s="62">
        <v>0</v>
      </c>
      <c r="Y71" s="62">
        <v>0</v>
      </c>
      <c r="Z71" s="62"/>
      <c r="AA71" s="62"/>
      <c r="AB71" s="62"/>
      <c r="AC71" s="72">
        <f t="shared" si="11"/>
        <v>0</v>
      </c>
      <c r="AD71" s="62">
        <v>0</v>
      </c>
      <c r="AE71" s="62"/>
      <c r="AF71" s="62">
        <v>0</v>
      </c>
      <c r="AG71" s="62"/>
      <c r="AH71" s="62"/>
      <c r="AI71" s="72">
        <f t="shared" si="12"/>
        <v>0</v>
      </c>
      <c r="AJ71" s="62"/>
      <c r="AK71" s="62"/>
      <c r="AL71" s="62"/>
      <c r="AM71" s="62"/>
      <c r="AN71" s="62"/>
      <c r="AO71" s="72" t="str">
        <f t="shared" si="13"/>
        <v>A</v>
      </c>
      <c r="AP71" s="62">
        <v>0</v>
      </c>
      <c r="AQ71" s="62">
        <v>0</v>
      </c>
      <c r="AR71" s="62">
        <v>0</v>
      </c>
      <c r="AS71" s="62"/>
      <c r="AT71" s="62"/>
      <c r="AU71" s="72">
        <f t="shared" si="14"/>
        <v>0</v>
      </c>
      <c r="AV71" s="62"/>
      <c r="AW71" s="62"/>
      <c r="AX71" s="62">
        <v>0</v>
      </c>
      <c r="AY71" s="62">
        <v>0</v>
      </c>
      <c r="AZ71" s="62">
        <v>0</v>
      </c>
      <c r="BA71" s="72">
        <f t="shared" si="15"/>
        <v>0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2</v>
      </c>
      <c r="M72" s="62">
        <v>2</v>
      </c>
      <c r="N72" s="62">
        <v>2</v>
      </c>
      <c r="O72" s="62">
        <v>3</v>
      </c>
      <c r="P72" s="62">
        <v>2</v>
      </c>
      <c r="Q72" s="72">
        <f t="shared" si="9"/>
        <v>2.2000000000000002</v>
      </c>
      <c r="R72" s="62">
        <v>0</v>
      </c>
      <c r="S72" s="62">
        <v>0</v>
      </c>
      <c r="T72" s="7"/>
      <c r="U72" s="62">
        <v>0</v>
      </c>
      <c r="V72" s="7"/>
      <c r="W72" s="72">
        <f t="shared" si="10"/>
        <v>0</v>
      </c>
      <c r="X72" s="62">
        <v>0</v>
      </c>
      <c r="Y72" s="62">
        <v>0</v>
      </c>
      <c r="Z72" s="7"/>
      <c r="AA72" s="7"/>
      <c r="AB72" s="7"/>
      <c r="AC72" s="72">
        <f t="shared" si="11"/>
        <v>0</v>
      </c>
      <c r="AD72" s="62">
        <v>0</v>
      </c>
      <c r="AE72" s="7"/>
      <c r="AF72" s="62">
        <v>0</v>
      </c>
      <c r="AG72" s="7"/>
      <c r="AH72" s="7"/>
      <c r="AI72" s="72">
        <f t="shared" si="12"/>
        <v>0</v>
      </c>
      <c r="AJ72" s="7"/>
      <c r="AK72" s="7"/>
      <c r="AL72" s="7"/>
      <c r="AM72" s="7"/>
      <c r="AN72" s="7"/>
      <c r="AO72" s="72" t="str">
        <f t="shared" si="13"/>
        <v>A</v>
      </c>
      <c r="AP72" s="62">
        <v>0</v>
      </c>
      <c r="AQ72" s="62">
        <v>0</v>
      </c>
      <c r="AR72" s="62">
        <v>0</v>
      </c>
      <c r="AS72" s="7"/>
      <c r="AT72" s="7"/>
      <c r="AU72" s="72">
        <f t="shared" si="14"/>
        <v>0</v>
      </c>
      <c r="AV72" s="7"/>
      <c r="AW72" s="7"/>
      <c r="AX72" s="62">
        <v>0</v>
      </c>
      <c r="AY72" s="62">
        <v>0</v>
      </c>
      <c r="AZ72" s="62">
        <v>0</v>
      </c>
      <c r="BA72" s="72">
        <f t="shared" si="15"/>
        <v>0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0</v>
      </c>
      <c r="M73" s="62">
        <v>0</v>
      </c>
      <c r="N73" s="62">
        <v>0</v>
      </c>
      <c r="O73" s="62">
        <v>3</v>
      </c>
      <c r="P73" s="62">
        <v>0</v>
      </c>
      <c r="Q73" s="72">
        <f t="shared" si="9"/>
        <v>0.6</v>
      </c>
      <c r="R73" s="62">
        <v>0</v>
      </c>
      <c r="S73" s="62">
        <v>0</v>
      </c>
      <c r="T73" s="62"/>
      <c r="U73" s="62">
        <v>0</v>
      </c>
      <c r="V73" s="62"/>
      <c r="W73" s="72">
        <f t="shared" si="10"/>
        <v>0</v>
      </c>
      <c r="X73" s="62">
        <v>0</v>
      </c>
      <c r="Y73" s="62">
        <v>0</v>
      </c>
      <c r="Z73" s="62"/>
      <c r="AA73" s="62"/>
      <c r="AB73" s="62"/>
      <c r="AC73" s="72">
        <f t="shared" si="11"/>
        <v>0</v>
      </c>
      <c r="AD73" s="62">
        <v>0</v>
      </c>
      <c r="AE73" s="62"/>
      <c r="AF73" s="62">
        <v>0</v>
      </c>
      <c r="AG73" s="62"/>
      <c r="AH73" s="62"/>
      <c r="AI73" s="72">
        <f t="shared" si="12"/>
        <v>0</v>
      </c>
      <c r="AJ73" s="62"/>
      <c r="AK73" s="62"/>
      <c r="AL73" s="62"/>
      <c r="AM73" s="62"/>
      <c r="AN73" s="62"/>
      <c r="AO73" s="72" t="str">
        <f t="shared" si="13"/>
        <v>A</v>
      </c>
      <c r="AP73" s="62">
        <v>0</v>
      </c>
      <c r="AQ73" s="62">
        <v>0</v>
      </c>
      <c r="AR73" s="62">
        <v>0</v>
      </c>
      <c r="AS73" s="62"/>
      <c r="AT73" s="62"/>
      <c r="AU73" s="72">
        <f t="shared" si="14"/>
        <v>0</v>
      </c>
      <c r="AV73" s="62"/>
      <c r="AW73" s="62"/>
      <c r="AX73" s="62">
        <v>0</v>
      </c>
      <c r="AY73" s="62">
        <v>0</v>
      </c>
      <c r="AZ73" s="62">
        <v>0</v>
      </c>
      <c r="BA73" s="72">
        <f t="shared" si="15"/>
        <v>0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2</v>
      </c>
      <c r="M74" s="62">
        <v>2</v>
      </c>
      <c r="N74" s="62">
        <v>2</v>
      </c>
      <c r="O74" s="62">
        <v>2</v>
      </c>
      <c r="P74" s="62">
        <v>2</v>
      </c>
      <c r="Q74" s="72">
        <f t="shared" si="9"/>
        <v>2</v>
      </c>
      <c r="R74" s="62">
        <v>3</v>
      </c>
      <c r="S74" s="62">
        <v>3</v>
      </c>
      <c r="T74" s="7"/>
      <c r="U74" s="62">
        <v>3</v>
      </c>
      <c r="V74" s="7"/>
      <c r="W74" s="72">
        <f t="shared" si="10"/>
        <v>3</v>
      </c>
      <c r="X74" s="62">
        <v>1</v>
      </c>
      <c r="Y74" s="62">
        <v>2</v>
      </c>
      <c r="Z74" s="7"/>
      <c r="AA74" s="7"/>
      <c r="AB74" s="7"/>
      <c r="AC74" s="72">
        <f t="shared" si="11"/>
        <v>1.5</v>
      </c>
      <c r="AD74" s="62">
        <v>3</v>
      </c>
      <c r="AE74" s="7"/>
      <c r="AF74" s="62">
        <v>2</v>
      </c>
      <c r="AG74" s="7"/>
      <c r="AH74" s="7"/>
      <c r="AI74" s="72">
        <f t="shared" si="12"/>
        <v>2.5</v>
      </c>
      <c r="AJ74" s="7"/>
      <c r="AK74" s="7"/>
      <c r="AL74" s="7"/>
      <c r="AM74" s="7"/>
      <c r="AN74" s="7"/>
      <c r="AO74" s="72" t="str">
        <f t="shared" si="13"/>
        <v>A</v>
      </c>
      <c r="AP74" s="62">
        <v>3</v>
      </c>
      <c r="AQ74" s="62">
        <v>3</v>
      </c>
      <c r="AR74" s="62">
        <v>3</v>
      </c>
      <c r="AS74" s="7"/>
      <c r="AT74" s="7"/>
      <c r="AU74" s="72">
        <f t="shared" si="14"/>
        <v>3</v>
      </c>
      <c r="AV74" s="7"/>
      <c r="AW74" s="7"/>
      <c r="AX74" s="62">
        <v>3</v>
      </c>
      <c r="AY74" s="62">
        <v>0</v>
      </c>
      <c r="AZ74" s="62">
        <v>0</v>
      </c>
      <c r="BA74" s="72">
        <f t="shared" si="15"/>
        <v>1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2</v>
      </c>
      <c r="M75" s="62">
        <v>4</v>
      </c>
      <c r="N75" s="62">
        <v>2</v>
      </c>
      <c r="O75" s="62">
        <v>3</v>
      </c>
      <c r="P75" s="62">
        <v>2</v>
      </c>
      <c r="Q75" s="72">
        <f t="shared" si="9"/>
        <v>2.6</v>
      </c>
      <c r="R75" s="62">
        <v>3</v>
      </c>
      <c r="S75" s="62">
        <v>3</v>
      </c>
      <c r="T75" s="62"/>
      <c r="U75" s="62">
        <v>3</v>
      </c>
      <c r="V75" s="62"/>
      <c r="W75" s="72">
        <f t="shared" si="10"/>
        <v>3</v>
      </c>
      <c r="X75" s="62">
        <v>3</v>
      </c>
      <c r="Y75" s="62">
        <v>2</v>
      </c>
      <c r="Z75" s="62"/>
      <c r="AA75" s="62"/>
      <c r="AB75" s="62"/>
      <c r="AC75" s="72">
        <f t="shared" si="11"/>
        <v>2.5</v>
      </c>
      <c r="AD75" s="62">
        <v>3</v>
      </c>
      <c r="AE75" s="62"/>
      <c r="AF75" s="62">
        <v>3</v>
      </c>
      <c r="AG75" s="62"/>
      <c r="AH75" s="62"/>
      <c r="AI75" s="72">
        <f t="shared" si="12"/>
        <v>3</v>
      </c>
      <c r="AJ75" s="62"/>
      <c r="AK75" s="62"/>
      <c r="AL75" s="62"/>
      <c r="AM75" s="62"/>
      <c r="AN75" s="62"/>
      <c r="AO75" s="72" t="str">
        <f t="shared" si="13"/>
        <v>A</v>
      </c>
      <c r="AP75" s="62">
        <v>3</v>
      </c>
      <c r="AQ75" s="62">
        <v>3</v>
      </c>
      <c r="AR75" s="62">
        <v>4</v>
      </c>
      <c r="AS75" s="62"/>
      <c r="AT75" s="62"/>
      <c r="AU75" s="72">
        <f t="shared" si="14"/>
        <v>3.3333333333333335</v>
      </c>
      <c r="AV75" s="62"/>
      <c r="AW75" s="62"/>
      <c r="AX75" s="62">
        <v>3</v>
      </c>
      <c r="AY75" s="62">
        <v>0</v>
      </c>
      <c r="AZ75" s="62">
        <v>0</v>
      </c>
      <c r="BA75" s="72">
        <f t="shared" si="15"/>
        <v>1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2</v>
      </c>
      <c r="M76" s="62">
        <v>2</v>
      </c>
      <c r="N76" s="62">
        <v>2</v>
      </c>
      <c r="O76" s="62">
        <v>3</v>
      </c>
      <c r="P76" s="62">
        <v>2</v>
      </c>
      <c r="Q76" s="72">
        <f t="shared" si="9"/>
        <v>2.2000000000000002</v>
      </c>
      <c r="R76" s="62">
        <v>2</v>
      </c>
      <c r="S76" s="62">
        <v>2</v>
      </c>
      <c r="T76" s="7"/>
      <c r="U76" s="62">
        <v>2</v>
      </c>
      <c r="V76" s="7"/>
      <c r="W76" s="72">
        <f t="shared" si="10"/>
        <v>2</v>
      </c>
      <c r="X76" s="62">
        <v>2</v>
      </c>
      <c r="Y76" s="62">
        <v>2</v>
      </c>
      <c r="Z76" s="7"/>
      <c r="AA76" s="7"/>
      <c r="AB76" s="7"/>
      <c r="AC76" s="72">
        <f t="shared" si="11"/>
        <v>2</v>
      </c>
      <c r="AD76" s="62">
        <v>2</v>
      </c>
      <c r="AE76" s="7"/>
      <c r="AF76" s="62">
        <v>2</v>
      </c>
      <c r="AG76" s="7"/>
      <c r="AH76" s="7"/>
      <c r="AI76" s="72">
        <f t="shared" si="12"/>
        <v>2</v>
      </c>
      <c r="AJ76" s="7"/>
      <c r="AK76" s="7"/>
      <c r="AL76" s="7"/>
      <c r="AM76" s="7"/>
      <c r="AN76" s="7"/>
      <c r="AO76" s="72" t="str">
        <f t="shared" si="13"/>
        <v>A</v>
      </c>
      <c r="AP76" s="62">
        <v>2</v>
      </c>
      <c r="AQ76" s="62">
        <v>2</v>
      </c>
      <c r="AR76" s="62">
        <v>2</v>
      </c>
      <c r="AS76" s="7"/>
      <c r="AT76" s="7"/>
      <c r="AU76" s="72">
        <f t="shared" si="14"/>
        <v>2</v>
      </c>
      <c r="AV76" s="7"/>
      <c r="AW76" s="7"/>
      <c r="AX76" s="62">
        <v>2</v>
      </c>
      <c r="AY76" s="62">
        <v>2</v>
      </c>
      <c r="AZ76" s="62">
        <v>2</v>
      </c>
      <c r="BA76" s="72">
        <f t="shared" si="15"/>
        <v>2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2</v>
      </c>
      <c r="M77" s="62">
        <v>2</v>
      </c>
      <c r="N77" s="62">
        <v>2</v>
      </c>
      <c r="O77" s="62">
        <v>3</v>
      </c>
      <c r="P77" s="62">
        <v>2</v>
      </c>
      <c r="Q77" s="72">
        <f t="shared" si="9"/>
        <v>2.2000000000000002</v>
      </c>
      <c r="R77" s="62">
        <v>0</v>
      </c>
      <c r="S77" s="62">
        <v>0</v>
      </c>
      <c r="T77" s="62"/>
      <c r="U77" s="62">
        <v>0</v>
      </c>
      <c r="V77" s="62"/>
      <c r="W77" s="72">
        <f t="shared" si="10"/>
        <v>0</v>
      </c>
      <c r="X77" s="62">
        <v>0</v>
      </c>
      <c r="Y77" s="62">
        <v>0</v>
      </c>
      <c r="Z77" s="62"/>
      <c r="AA77" s="62"/>
      <c r="AB77" s="62"/>
      <c r="AC77" s="72">
        <f t="shared" si="11"/>
        <v>0</v>
      </c>
      <c r="AD77" s="62">
        <v>0</v>
      </c>
      <c r="AE77" s="62"/>
      <c r="AF77" s="62">
        <v>0</v>
      </c>
      <c r="AG77" s="62"/>
      <c r="AH77" s="62"/>
      <c r="AI77" s="72">
        <f t="shared" si="12"/>
        <v>0</v>
      </c>
      <c r="AJ77" s="62"/>
      <c r="AK77" s="62"/>
      <c r="AL77" s="62"/>
      <c r="AM77" s="62"/>
      <c r="AN77" s="62"/>
      <c r="AO77" s="72" t="str">
        <f t="shared" si="13"/>
        <v>A</v>
      </c>
      <c r="AP77" s="62">
        <v>0</v>
      </c>
      <c r="AQ77" s="62">
        <v>0</v>
      </c>
      <c r="AR77" s="62">
        <v>0</v>
      </c>
      <c r="AS77" s="62"/>
      <c r="AT77" s="62"/>
      <c r="AU77" s="72">
        <f t="shared" si="14"/>
        <v>0</v>
      </c>
      <c r="AV77" s="62"/>
      <c r="AW77" s="62"/>
      <c r="AX77" s="62">
        <v>0</v>
      </c>
      <c r="AY77" s="62">
        <v>0</v>
      </c>
      <c r="AZ77" s="62">
        <v>0</v>
      </c>
      <c r="BA77" s="72">
        <f t="shared" si="15"/>
        <v>0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>
        <v>2</v>
      </c>
      <c r="N78" s="62">
        <v>2</v>
      </c>
      <c r="O78" s="62">
        <v>3</v>
      </c>
      <c r="P78" s="62">
        <v>2</v>
      </c>
      <c r="Q78" s="72">
        <f t="shared" si="9"/>
        <v>2.2000000000000002</v>
      </c>
      <c r="R78" s="62">
        <v>2</v>
      </c>
      <c r="S78" s="62">
        <v>2</v>
      </c>
      <c r="T78" s="7"/>
      <c r="U78" s="62">
        <v>2</v>
      </c>
      <c r="V78" s="7"/>
      <c r="W78" s="72">
        <f t="shared" si="10"/>
        <v>2</v>
      </c>
      <c r="X78" s="62">
        <v>2</v>
      </c>
      <c r="Y78" s="62">
        <v>2</v>
      </c>
      <c r="Z78" s="7"/>
      <c r="AA78" s="7"/>
      <c r="AB78" s="7"/>
      <c r="AC78" s="72">
        <f t="shared" si="11"/>
        <v>2</v>
      </c>
      <c r="AD78" s="62">
        <v>2</v>
      </c>
      <c r="AE78" s="7"/>
      <c r="AF78" s="62">
        <v>2</v>
      </c>
      <c r="AG78" s="7"/>
      <c r="AH78" s="7"/>
      <c r="AI78" s="72">
        <f t="shared" si="12"/>
        <v>2</v>
      </c>
      <c r="AJ78" s="7"/>
      <c r="AK78" s="7"/>
      <c r="AL78" s="7"/>
      <c r="AM78" s="7"/>
      <c r="AN78" s="7"/>
      <c r="AO78" s="72" t="str">
        <f t="shared" si="13"/>
        <v>A</v>
      </c>
      <c r="AP78" s="62">
        <v>2</v>
      </c>
      <c r="AQ78" s="62">
        <v>2</v>
      </c>
      <c r="AR78" s="62">
        <v>2</v>
      </c>
      <c r="AS78" s="7"/>
      <c r="AT78" s="7"/>
      <c r="AU78" s="72">
        <f t="shared" si="14"/>
        <v>2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2</v>
      </c>
      <c r="M79" s="62">
        <v>3</v>
      </c>
      <c r="N79" s="62">
        <v>2</v>
      </c>
      <c r="O79" s="62">
        <v>3</v>
      </c>
      <c r="P79" s="62">
        <v>1</v>
      </c>
      <c r="Q79" s="72">
        <f t="shared" si="9"/>
        <v>2.2000000000000002</v>
      </c>
      <c r="R79" s="62">
        <v>2</v>
      </c>
      <c r="S79" s="62">
        <v>2</v>
      </c>
      <c r="T79" s="62"/>
      <c r="U79" s="62">
        <v>2</v>
      </c>
      <c r="V79" s="62"/>
      <c r="W79" s="72">
        <f t="shared" si="10"/>
        <v>2</v>
      </c>
      <c r="X79" s="62">
        <v>2</v>
      </c>
      <c r="Y79" s="62">
        <v>2</v>
      </c>
      <c r="Z79" s="62"/>
      <c r="AA79" s="62"/>
      <c r="AB79" s="62"/>
      <c r="AC79" s="72">
        <f t="shared" si="11"/>
        <v>2</v>
      </c>
      <c r="AD79" s="62">
        <v>2</v>
      </c>
      <c r="AE79" s="62"/>
      <c r="AF79" s="62">
        <v>2</v>
      </c>
      <c r="AG79" s="62"/>
      <c r="AH79" s="62"/>
      <c r="AI79" s="72">
        <f t="shared" si="12"/>
        <v>2</v>
      </c>
      <c r="AJ79" s="62"/>
      <c r="AK79" s="62"/>
      <c r="AL79" s="62"/>
      <c r="AM79" s="62"/>
      <c r="AN79" s="62"/>
      <c r="AO79" s="72" t="str">
        <f t="shared" si="13"/>
        <v>A</v>
      </c>
      <c r="AP79" s="62">
        <v>2</v>
      </c>
      <c r="AQ79" s="62">
        <v>2</v>
      </c>
      <c r="AR79" s="62">
        <v>2</v>
      </c>
      <c r="AS79" s="62"/>
      <c r="AT79" s="62"/>
      <c r="AU79" s="72">
        <f t="shared" si="14"/>
        <v>2</v>
      </c>
      <c r="AV79" s="62"/>
      <c r="AW79" s="62"/>
      <c r="AX79" s="62">
        <v>2</v>
      </c>
      <c r="AY79" s="62">
        <v>2</v>
      </c>
      <c r="AZ79" s="62">
        <v>2</v>
      </c>
      <c r="BA79" s="72">
        <f t="shared" si="15"/>
        <v>2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2</v>
      </c>
      <c r="M80" s="62">
        <v>2</v>
      </c>
      <c r="N80" s="62">
        <v>2</v>
      </c>
      <c r="O80" s="62">
        <v>3</v>
      </c>
      <c r="P80" s="62">
        <v>2</v>
      </c>
      <c r="Q80" s="72">
        <f t="shared" si="9"/>
        <v>2.2000000000000002</v>
      </c>
      <c r="R80" s="62">
        <v>0</v>
      </c>
      <c r="S80" s="62">
        <v>0</v>
      </c>
      <c r="T80" s="7"/>
      <c r="U80" s="62">
        <v>0</v>
      </c>
      <c r="V80" s="7"/>
      <c r="W80" s="72">
        <f t="shared" si="10"/>
        <v>0</v>
      </c>
      <c r="X80" s="62">
        <v>0</v>
      </c>
      <c r="Y80" s="62">
        <v>0</v>
      </c>
      <c r="Z80" s="7"/>
      <c r="AA80" s="7"/>
      <c r="AB80" s="7"/>
      <c r="AC80" s="72">
        <f t="shared" si="11"/>
        <v>0</v>
      </c>
      <c r="AD80" s="62">
        <v>0</v>
      </c>
      <c r="AE80" s="7"/>
      <c r="AF80" s="62">
        <v>0</v>
      </c>
      <c r="AG80" s="7"/>
      <c r="AH80" s="7"/>
      <c r="AI80" s="72">
        <f t="shared" si="12"/>
        <v>0</v>
      </c>
      <c r="AJ80" s="7"/>
      <c r="AK80" s="7"/>
      <c r="AL80" s="7"/>
      <c r="AM80" s="7"/>
      <c r="AN80" s="7"/>
      <c r="AO80" s="72" t="str">
        <f t="shared" si="13"/>
        <v>A</v>
      </c>
      <c r="AP80" s="62">
        <v>0</v>
      </c>
      <c r="AQ80" s="62">
        <v>0</v>
      </c>
      <c r="AR80" s="62">
        <v>0</v>
      </c>
      <c r="AS80" s="7"/>
      <c r="AT80" s="7"/>
      <c r="AU80" s="72">
        <f t="shared" si="14"/>
        <v>0</v>
      </c>
      <c r="AV80" s="7"/>
      <c r="AW80" s="7"/>
      <c r="AX80" s="62">
        <v>0</v>
      </c>
      <c r="AY80" s="62">
        <v>0</v>
      </c>
      <c r="AZ80" s="62">
        <v>0</v>
      </c>
      <c r="BA80" s="72">
        <f t="shared" si="15"/>
        <v>0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2</v>
      </c>
      <c r="M81" s="62">
        <v>3</v>
      </c>
      <c r="N81" s="62">
        <v>2</v>
      </c>
      <c r="O81" s="62">
        <v>3</v>
      </c>
      <c r="P81" s="62">
        <v>2</v>
      </c>
      <c r="Q81" s="72">
        <f t="shared" si="9"/>
        <v>2.4</v>
      </c>
      <c r="R81" s="62">
        <v>2</v>
      </c>
      <c r="S81" s="62">
        <v>2</v>
      </c>
      <c r="T81" s="62"/>
      <c r="U81" s="62">
        <v>3</v>
      </c>
      <c r="V81" s="62"/>
      <c r="W81" s="72">
        <f t="shared" si="10"/>
        <v>2.3333333333333335</v>
      </c>
      <c r="X81" s="62">
        <v>2</v>
      </c>
      <c r="Y81" s="62">
        <v>3</v>
      </c>
      <c r="Z81" s="62"/>
      <c r="AA81" s="62"/>
      <c r="AB81" s="62"/>
      <c r="AC81" s="72">
        <f t="shared" si="11"/>
        <v>2.5</v>
      </c>
      <c r="AD81" s="62">
        <v>2</v>
      </c>
      <c r="AE81" s="62"/>
      <c r="AF81" s="62">
        <v>2</v>
      </c>
      <c r="AG81" s="62"/>
      <c r="AH81" s="62"/>
      <c r="AI81" s="72">
        <f t="shared" si="12"/>
        <v>2</v>
      </c>
      <c r="AJ81" s="62"/>
      <c r="AK81" s="62"/>
      <c r="AL81" s="62"/>
      <c r="AM81" s="62"/>
      <c r="AN81" s="62"/>
      <c r="AO81" s="72" t="str">
        <f t="shared" si="13"/>
        <v>A</v>
      </c>
      <c r="AP81" s="62">
        <v>2</v>
      </c>
      <c r="AQ81" s="62">
        <v>3</v>
      </c>
      <c r="AR81" s="62">
        <v>3</v>
      </c>
      <c r="AS81" s="62"/>
      <c r="AT81" s="62"/>
      <c r="AU81" s="72">
        <f t="shared" si="14"/>
        <v>2.6666666666666665</v>
      </c>
      <c r="AV81" s="62"/>
      <c r="AW81" s="62"/>
      <c r="AX81" s="62">
        <v>3</v>
      </c>
      <c r="AY81" s="62">
        <v>0</v>
      </c>
      <c r="AZ81" s="62">
        <v>0</v>
      </c>
      <c r="BA81" s="72">
        <f t="shared" si="15"/>
        <v>1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2</v>
      </c>
      <c r="M82" s="62">
        <v>2</v>
      </c>
      <c r="N82" s="62">
        <v>2</v>
      </c>
      <c r="O82" s="62">
        <v>3</v>
      </c>
      <c r="P82" s="62">
        <v>2</v>
      </c>
      <c r="Q82" s="72">
        <f t="shared" si="9"/>
        <v>2.2000000000000002</v>
      </c>
      <c r="R82" s="62">
        <v>0</v>
      </c>
      <c r="S82" s="62">
        <v>0</v>
      </c>
      <c r="T82" s="7"/>
      <c r="U82" s="62">
        <v>0</v>
      </c>
      <c r="V82" s="7"/>
      <c r="W82" s="72">
        <f t="shared" si="10"/>
        <v>0</v>
      </c>
      <c r="X82" s="62">
        <v>0</v>
      </c>
      <c r="Y82" s="62">
        <v>0</v>
      </c>
      <c r="Z82" s="7"/>
      <c r="AA82" s="7"/>
      <c r="AB82" s="7"/>
      <c r="AC82" s="72">
        <f t="shared" si="11"/>
        <v>0</v>
      </c>
      <c r="AD82" s="62">
        <v>0</v>
      </c>
      <c r="AE82" s="7"/>
      <c r="AF82" s="62">
        <v>0</v>
      </c>
      <c r="AG82" s="7"/>
      <c r="AH82" s="7"/>
      <c r="AI82" s="72">
        <f t="shared" si="12"/>
        <v>0</v>
      </c>
      <c r="AJ82" s="7"/>
      <c r="AK82" s="7"/>
      <c r="AL82" s="7"/>
      <c r="AM82" s="7"/>
      <c r="AN82" s="7"/>
      <c r="AO82" s="72" t="str">
        <f t="shared" si="13"/>
        <v>A</v>
      </c>
      <c r="AP82" s="62">
        <v>0</v>
      </c>
      <c r="AQ82" s="62">
        <v>0</v>
      </c>
      <c r="AR82" s="62">
        <v>0</v>
      </c>
      <c r="AS82" s="7"/>
      <c r="AT82" s="7"/>
      <c r="AU82" s="72">
        <f t="shared" si="14"/>
        <v>0</v>
      </c>
      <c r="AV82" s="7"/>
      <c r="AW82" s="7"/>
      <c r="AX82" s="62">
        <v>0</v>
      </c>
      <c r="AY82" s="62">
        <v>0</v>
      </c>
      <c r="AZ82" s="62">
        <v>0</v>
      </c>
      <c r="BA82" s="72">
        <f t="shared" si="15"/>
        <v>0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2</v>
      </c>
      <c r="M83" s="62">
        <v>2</v>
      </c>
      <c r="N83" s="62">
        <v>2</v>
      </c>
      <c r="O83" s="62">
        <v>3</v>
      </c>
      <c r="P83" s="62">
        <v>2</v>
      </c>
      <c r="Q83" s="72">
        <f t="shared" si="9"/>
        <v>2.2000000000000002</v>
      </c>
      <c r="R83" s="62">
        <v>2</v>
      </c>
      <c r="S83" s="62">
        <v>2</v>
      </c>
      <c r="T83" s="62"/>
      <c r="U83" s="62">
        <v>2</v>
      </c>
      <c r="V83" s="62"/>
      <c r="W83" s="72">
        <f t="shared" si="10"/>
        <v>2</v>
      </c>
      <c r="X83" s="62">
        <v>2</v>
      </c>
      <c r="Y83" s="62">
        <v>2</v>
      </c>
      <c r="Z83" s="62"/>
      <c r="AA83" s="62"/>
      <c r="AB83" s="62"/>
      <c r="AC83" s="72">
        <f t="shared" si="11"/>
        <v>2</v>
      </c>
      <c r="AD83" s="62">
        <v>2</v>
      </c>
      <c r="AE83" s="62"/>
      <c r="AF83" s="62">
        <v>2</v>
      </c>
      <c r="AG83" s="62"/>
      <c r="AH83" s="62"/>
      <c r="AI83" s="72">
        <f t="shared" si="12"/>
        <v>2</v>
      </c>
      <c r="AJ83" s="62"/>
      <c r="AK83" s="62"/>
      <c r="AL83" s="62"/>
      <c r="AM83" s="62"/>
      <c r="AN83" s="62"/>
      <c r="AO83" s="72" t="str">
        <f t="shared" si="13"/>
        <v>A</v>
      </c>
      <c r="AP83" s="62">
        <v>2</v>
      </c>
      <c r="AQ83" s="62">
        <v>2</v>
      </c>
      <c r="AR83" s="62">
        <v>2</v>
      </c>
      <c r="AS83" s="62"/>
      <c r="AT83" s="62"/>
      <c r="AU83" s="72">
        <f t="shared" si="14"/>
        <v>2</v>
      </c>
      <c r="AV83" s="62"/>
      <c r="AW83" s="62"/>
      <c r="AX83" s="62">
        <v>2</v>
      </c>
      <c r="AY83" s="62">
        <v>2</v>
      </c>
      <c r="AZ83" s="62">
        <v>2</v>
      </c>
      <c r="BA83" s="72">
        <f t="shared" si="15"/>
        <v>2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3</v>
      </c>
      <c r="M84" s="62">
        <v>3</v>
      </c>
      <c r="N84" s="62">
        <v>3</v>
      </c>
      <c r="O84" s="62">
        <v>3</v>
      </c>
      <c r="P84" s="62">
        <v>3</v>
      </c>
      <c r="Q84" s="72">
        <f t="shared" si="9"/>
        <v>3</v>
      </c>
      <c r="R84" s="62">
        <v>0</v>
      </c>
      <c r="S84" s="62">
        <v>0</v>
      </c>
      <c r="T84" s="7"/>
      <c r="U84" s="62">
        <v>0</v>
      </c>
      <c r="V84" s="7"/>
      <c r="W84" s="72">
        <f t="shared" si="10"/>
        <v>0</v>
      </c>
      <c r="X84" s="62">
        <v>0</v>
      </c>
      <c r="Y84" s="62">
        <v>0</v>
      </c>
      <c r="Z84" s="7"/>
      <c r="AA84" s="7"/>
      <c r="AB84" s="7"/>
      <c r="AC84" s="72">
        <f t="shared" si="11"/>
        <v>0</v>
      </c>
      <c r="AD84" s="62">
        <v>0</v>
      </c>
      <c r="AE84" s="7"/>
      <c r="AF84" s="62">
        <v>0</v>
      </c>
      <c r="AG84" s="7"/>
      <c r="AH84" s="7"/>
      <c r="AI84" s="72">
        <f t="shared" si="12"/>
        <v>0</v>
      </c>
      <c r="AJ84" s="7"/>
      <c r="AK84" s="7"/>
      <c r="AL84" s="7"/>
      <c r="AM84" s="7"/>
      <c r="AN84" s="7"/>
      <c r="AO84" s="72" t="str">
        <f t="shared" si="13"/>
        <v>A</v>
      </c>
      <c r="AP84" s="62">
        <v>0</v>
      </c>
      <c r="AQ84" s="62">
        <v>0</v>
      </c>
      <c r="AR84" s="62">
        <v>0</v>
      </c>
      <c r="AS84" s="7"/>
      <c r="AT84" s="7"/>
      <c r="AU84" s="72">
        <f t="shared" si="14"/>
        <v>0</v>
      </c>
      <c r="AV84" s="7"/>
      <c r="AW84" s="7"/>
      <c r="AX84" s="62">
        <v>0</v>
      </c>
      <c r="AY84" s="62">
        <v>0</v>
      </c>
      <c r="AZ84" s="62">
        <v>0</v>
      </c>
      <c r="BA84" s="72">
        <f t="shared" si="15"/>
        <v>0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2</v>
      </c>
      <c r="M85" s="62">
        <v>2</v>
      </c>
      <c r="N85" s="62">
        <v>2</v>
      </c>
      <c r="O85" s="62">
        <v>3</v>
      </c>
      <c r="P85" s="62">
        <v>2</v>
      </c>
      <c r="Q85" s="72">
        <f t="shared" si="9"/>
        <v>2.2000000000000002</v>
      </c>
      <c r="R85" s="62">
        <v>0</v>
      </c>
      <c r="S85" s="62">
        <v>0</v>
      </c>
      <c r="T85" s="62"/>
      <c r="U85" s="62">
        <v>0</v>
      </c>
      <c r="V85" s="62"/>
      <c r="W85" s="72">
        <f t="shared" si="10"/>
        <v>0</v>
      </c>
      <c r="X85" s="62">
        <v>0</v>
      </c>
      <c r="Y85" s="62">
        <v>0</v>
      </c>
      <c r="Z85" s="62"/>
      <c r="AA85" s="62"/>
      <c r="AB85" s="62"/>
      <c r="AC85" s="72">
        <f t="shared" si="11"/>
        <v>0</v>
      </c>
      <c r="AD85" s="62">
        <v>0</v>
      </c>
      <c r="AE85" s="62"/>
      <c r="AF85" s="62">
        <v>0</v>
      </c>
      <c r="AG85" s="62"/>
      <c r="AH85" s="62"/>
      <c r="AI85" s="72">
        <f t="shared" si="12"/>
        <v>0</v>
      </c>
      <c r="AJ85" s="62"/>
      <c r="AK85" s="62"/>
      <c r="AL85" s="62"/>
      <c r="AM85" s="62"/>
      <c r="AN85" s="62"/>
      <c r="AO85" s="72" t="str">
        <f t="shared" si="13"/>
        <v>A</v>
      </c>
      <c r="AP85" s="62">
        <v>0</v>
      </c>
      <c r="AQ85" s="62">
        <v>0</v>
      </c>
      <c r="AR85" s="62">
        <v>0</v>
      </c>
      <c r="AS85" s="62"/>
      <c r="AT85" s="62"/>
      <c r="AU85" s="72">
        <f t="shared" si="14"/>
        <v>0</v>
      </c>
      <c r="AV85" s="62"/>
      <c r="AW85" s="62"/>
      <c r="AX85" s="62">
        <v>0</v>
      </c>
      <c r="AY85" s="62">
        <v>0</v>
      </c>
      <c r="AZ85" s="62">
        <v>0</v>
      </c>
      <c r="BA85" s="72">
        <f t="shared" si="15"/>
        <v>0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3</v>
      </c>
      <c r="M86" s="62">
        <v>4</v>
      </c>
      <c r="N86" s="62">
        <v>2</v>
      </c>
      <c r="O86" s="62">
        <v>3</v>
      </c>
      <c r="P86" s="62">
        <v>2</v>
      </c>
      <c r="Q86" s="72">
        <f t="shared" si="9"/>
        <v>2.8</v>
      </c>
      <c r="R86" s="62">
        <v>0</v>
      </c>
      <c r="S86" s="62">
        <v>0</v>
      </c>
      <c r="T86" s="7"/>
      <c r="U86" s="62">
        <v>0</v>
      </c>
      <c r="V86" s="7"/>
      <c r="W86" s="72">
        <f t="shared" si="10"/>
        <v>0</v>
      </c>
      <c r="X86" s="62">
        <v>0</v>
      </c>
      <c r="Y86" s="62">
        <v>0</v>
      </c>
      <c r="Z86" s="7"/>
      <c r="AA86" s="7"/>
      <c r="AB86" s="7"/>
      <c r="AC86" s="72">
        <f t="shared" si="11"/>
        <v>0</v>
      </c>
      <c r="AD86" s="62">
        <v>0</v>
      </c>
      <c r="AE86" s="7"/>
      <c r="AF86" s="62">
        <v>0</v>
      </c>
      <c r="AG86" s="7"/>
      <c r="AH86" s="7"/>
      <c r="AI86" s="72">
        <f t="shared" si="12"/>
        <v>0</v>
      </c>
      <c r="AJ86" s="7"/>
      <c r="AK86" s="7"/>
      <c r="AL86" s="7"/>
      <c r="AM86" s="7"/>
      <c r="AN86" s="7"/>
      <c r="AO86" s="72" t="str">
        <f t="shared" si="13"/>
        <v>A</v>
      </c>
      <c r="AP86" s="62">
        <v>0</v>
      </c>
      <c r="AQ86" s="62">
        <v>0</v>
      </c>
      <c r="AR86" s="62">
        <v>0</v>
      </c>
      <c r="AS86" s="7"/>
      <c r="AT86" s="7"/>
      <c r="AU86" s="72">
        <f t="shared" si="14"/>
        <v>0</v>
      </c>
      <c r="AV86" s="7"/>
      <c r="AW86" s="7"/>
      <c r="AX86" s="62">
        <v>0</v>
      </c>
      <c r="AY86" s="62">
        <v>0</v>
      </c>
      <c r="AZ86" s="62">
        <v>0</v>
      </c>
      <c r="BA86" s="72">
        <f t="shared" si="15"/>
        <v>0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0</v>
      </c>
      <c r="M87" s="62">
        <v>0</v>
      </c>
      <c r="N87" s="62">
        <v>0</v>
      </c>
      <c r="O87" s="62">
        <v>3</v>
      </c>
      <c r="P87" s="62">
        <v>0</v>
      </c>
      <c r="Q87" s="72">
        <f t="shared" si="9"/>
        <v>0.6</v>
      </c>
      <c r="R87" s="62">
        <v>0</v>
      </c>
      <c r="S87" s="62">
        <v>0</v>
      </c>
      <c r="T87" s="62"/>
      <c r="U87" s="62">
        <v>0</v>
      </c>
      <c r="V87" s="62"/>
      <c r="W87" s="72">
        <f t="shared" si="10"/>
        <v>0</v>
      </c>
      <c r="X87" s="62">
        <v>0</v>
      </c>
      <c r="Y87" s="62">
        <v>0</v>
      </c>
      <c r="Z87" s="62"/>
      <c r="AA87" s="62"/>
      <c r="AB87" s="62"/>
      <c r="AC87" s="72">
        <f t="shared" si="11"/>
        <v>0</v>
      </c>
      <c r="AD87" s="62">
        <v>0</v>
      </c>
      <c r="AE87" s="62"/>
      <c r="AF87" s="62">
        <v>0</v>
      </c>
      <c r="AG87" s="62"/>
      <c r="AH87" s="62"/>
      <c r="AI87" s="72">
        <f t="shared" si="12"/>
        <v>0</v>
      </c>
      <c r="AJ87" s="62"/>
      <c r="AK87" s="62"/>
      <c r="AL87" s="62"/>
      <c r="AM87" s="62"/>
      <c r="AN87" s="62"/>
      <c r="AO87" s="72" t="str">
        <f t="shared" si="13"/>
        <v>A</v>
      </c>
      <c r="AP87" s="62">
        <v>0</v>
      </c>
      <c r="AQ87" s="62">
        <v>0</v>
      </c>
      <c r="AR87" s="62">
        <v>0</v>
      </c>
      <c r="AS87" s="62"/>
      <c r="AT87" s="62"/>
      <c r="AU87" s="72">
        <f t="shared" si="14"/>
        <v>0</v>
      </c>
      <c r="AV87" s="62"/>
      <c r="AW87" s="62"/>
      <c r="AX87" s="62">
        <v>0</v>
      </c>
      <c r="AY87" s="62">
        <v>0</v>
      </c>
      <c r="AZ87" s="62">
        <v>0</v>
      </c>
      <c r="BA87" s="72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2</v>
      </c>
      <c r="M88" s="62">
        <v>3</v>
      </c>
      <c r="N88" s="62">
        <v>2</v>
      </c>
      <c r="O88" s="62">
        <v>3</v>
      </c>
      <c r="P88" s="62">
        <v>2</v>
      </c>
      <c r="Q88" s="72">
        <f t="shared" si="9"/>
        <v>2.4</v>
      </c>
      <c r="R88" s="62">
        <v>2</v>
      </c>
      <c r="S88" s="62">
        <v>2</v>
      </c>
      <c r="T88" s="7"/>
      <c r="U88" s="62">
        <v>3</v>
      </c>
      <c r="V88" s="7"/>
      <c r="W88" s="72">
        <f t="shared" si="10"/>
        <v>2.3333333333333335</v>
      </c>
      <c r="X88" s="62">
        <v>3</v>
      </c>
      <c r="Y88" s="62">
        <v>3</v>
      </c>
      <c r="Z88" s="7"/>
      <c r="AA88" s="7"/>
      <c r="AB88" s="7"/>
      <c r="AC88" s="72">
        <f t="shared" si="11"/>
        <v>3</v>
      </c>
      <c r="AD88" s="62">
        <v>2</v>
      </c>
      <c r="AE88" s="7"/>
      <c r="AF88" s="62">
        <v>2</v>
      </c>
      <c r="AG88" s="7"/>
      <c r="AH88" s="7"/>
      <c r="AI88" s="72">
        <f t="shared" si="12"/>
        <v>2</v>
      </c>
      <c r="AJ88" s="7"/>
      <c r="AK88" s="7"/>
      <c r="AL88" s="7"/>
      <c r="AM88" s="7"/>
      <c r="AN88" s="7"/>
      <c r="AO88" s="72" t="str">
        <f t="shared" si="13"/>
        <v>A</v>
      </c>
      <c r="AP88" s="62">
        <v>2</v>
      </c>
      <c r="AQ88" s="62">
        <v>2</v>
      </c>
      <c r="AR88" s="62">
        <v>3</v>
      </c>
      <c r="AS88" s="7"/>
      <c r="AT88" s="7"/>
      <c r="AU88" s="72">
        <f t="shared" si="14"/>
        <v>2.3333333333333335</v>
      </c>
      <c r="AV88" s="7"/>
      <c r="AW88" s="7"/>
      <c r="AX88" s="62">
        <v>2</v>
      </c>
      <c r="AY88" s="62">
        <v>0</v>
      </c>
      <c r="AZ88" s="62">
        <v>0</v>
      </c>
      <c r="BA88" s="72">
        <f t="shared" si="15"/>
        <v>0.66666666666666663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2</v>
      </c>
      <c r="M89" s="62">
        <v>3</v>
      </c>
      <c r="N89" s="62">
        <v>2</v>
      </c>
      <c r="O89" s="62">
        <v>3</v>
      </c>
      <c r="P89" s="62">
        <v>2</v>
      </c>
      <c r="Q89" s="72">
        <f t="shared" si="9"/>
        <v>2.4</v>
      </c>
      <c r="R89" s="62">
        <v>2</v>
      </c>
      <c r="S89" s="62">
        <v>2</v>
      </c>
      <c r="T89" s="62"/>
      <c r="U89" s="62">
        <v>2</v>
      </c>
      <c r="V89" s="62"/>
      <c r="W89" s="72">
        <f t="shared" si="10"/>
        <v>2</v>
      </c>
      <c r="X89" s="62">
        <v>2</v>
      </c>
      <c r="Y89" s="62">
        <v>2</v>
      </c>
      <c r="Z89" s="62"/>
      <c r="AA89" s="62"/>
      <c r="AB89" s="62"/>
      <c r="AC89" s="72">
        <f t="shared" si="11"/>
        <v>2</v>
      </c>
      <c r="AD89" s="62">
        <v>2</v>
      </c>
      <c r="AE89" s="62"/>
      <c r="AF89" s="62">
        <v>2</v>
      </c>
      <c r="AG89" s="62"/>
      <c r="AH89" s="62"/>
      <c r="AI89" s="72">
        <f t="shared" si="12"/>
        <v>2</v>
      </c>
      <c r="AJ89" s="62"/>
      <c r="AK89" s="62"/>
      <c r="AL89" s="62"/>
      <c r="AM89" s="62"/>
      <c r="AN89" s="62"/>
      <c r="AO89" s="72" t="str">
        <f t="shared" si="13"/>
        <v>A</v>
      </c>
      <c r="AP89" s="62">
        <v>2</v>
      </c>
      <c r="AQ89" s="62">
        <v>2</v>
      </c>
      <c r="AR89" s="62">
        <v>2</v>
      </c>
      <c r="AS89" s="62"/>
      <c r="AT89" s="62"/>
      <c r="AU89" s="72">
        <f t="shared" si="14"/>
        <v>2</v>
      </c>
      <c r="AV89" s="62"/>
      <c r="AW89" s="62"/>
      <c r="AX89" s="62">
        <v>2</v>
      </c>
      <c r="AY89" s="62">
        <v>2</v>
      </c>
      <c r="AZ89" s="62">
        <v>2</v>
      </c>
      <c r="BA89" s="72">
        <f t="shared" si="15"/>
        <v>2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0</v>
      </c>
      <c r="M90" s="62">
        <v>0</v>
      </c>
      <c r="N90" s="62">
        <v>0</v>
      </c>
      <c r="O90" s="62">
        <v>3</v>
      </c>
      <c r="P90" s="62">
        <v>0</v>
      </c>
      <c r="Q90" s="72">
        <f t="shared" si="9"/>
        <v>0.6</v>
      </c>
      <c r="R90" s="62">
        <v>0</v>
      </c>
      <c r="S90" s="62">
        <v>0</v>
      </c>
      <c r="T90" s="7"/>
      <c r="U90" s="62">
        <v>0</v>
      </c>
      <c r="V90" s="7"/>
      <c r="W90" s="72">
        <f t="shared" si="10"/>
        <v>0</v>
      </c>
      <c r="X90" s="62">
        <v>0</v>
      </c>
      <c r="Y90" s="62">
        <v>0</v>
      </c>
      <c r="Z90" s="7"/>
      <c r="AA90" s="7"/>
      <c r="AB90" s="7"/>
      <c r="AC90" s="72">
        <f t="shared" si="11"/>
        <v>0</v>
      </c>
      <c r="AD90" s="62">
        <v>0</v>
      </c>
      <c r="AE90" s="7"/>
      <c r="AF90" s="62">
        <v>0</v>
      </c>
      <c r="AG90" s="7"/>
      <c r="AH90" s="7"/>
      <c r="AI90" s="72">
        <f t="shared" si="12"/>
        <v>0</v>
      </c>
      <c r="AJ90" s="7"/>
      <c r="AK90" s="7"/>
      <c r="AL90" s="7"/>
      <c r="AM90" s="7"/>
      <c r="AN90" s="7"/>
      <c r="AO90" s="72" t="str">
        <f t="shared" si="13"/>
        <v>A</v>
      </c>
      <c r="AP90" s="62">
        <v>0</v>
      </c>
      <c r="AQ90" s="62">
        <v>0</v>
      </c>
      <c r="AR90" s="62">
        <v>0</v>
      </c>
      <c r="AS90" s="7"/>
      <c r="AT90" s="7"/>
      <c r="AU90" s="72">
        <f t="shared" si="14"/>
        <v>0</v>
      </c>
      <c r="AV90" s="7"/>
      <c r="AW90" s="7"/>
      <c r="AX90" s="62">
        <v>0</v>
      </c>
      <c r="AY90" s="62">
        <v>0</v>
      </c>
      <c r="AZ90" s="62">
        <v>0</v>
      </c>
      <c r="BA90" s="72">
        <f t="shared" si="15"/>
        <v>0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0</v>
      </c>
      <c r="M91" s="62">
        <v>0</v>
      </c>
      <c r="N91" s="62">
        <v>0</v>
      </c>
      <c r="O91" s="62">
        <v>3</v>
      </c>
      <c r="P91" s="62">
        <v>0</v>
      </c>
      <c r="Q91" s="72">
        <f t="shared" si="9"/>
        <v>0.6</v>
      </c>
      <c r="R91" s="62">
        <v>0</v>
      </c>
      <c r="S91" s="62">
        <v>0</v>
      </c>
      <c r="T91" s="62"/>
      <c r="U91" s="62">
        <v>0</v>
      </c>
      <c r="V91" s="62"/>
      <c r="W91" s="72">
        <f t="shared" si="10"/>
        <v>0</v>
      </c>
      <c r="X91" s="62">
        <v>0</v>
      </c>
      <c r="Y91" s="62">
        <v>0</v>
      </c>
      <c r="Z91" s="62"/>
      <c r="AA91" s="62"/>
      <c r="AB91" s="62"/>
      <c r="AC91" s="72">
        <f t="shared" si="11"/>
        <v>0</v>
      </c>
      <c r="AD91" s="62">
        <v>0</v>
      </c>
      <c r="AE91" s="62"/>
      <c r="AF91" s="62">
        <v>0</v>
      </c>
      <c r="AG91" s="62"/>
      <c r="AH91" s="62"/>
      <c r="AI91" s="72">
        <f t="shared" si="12"/>
        <v>0</v>
      </c>
      <c r="AJ91" s="62"/>
      <c r="AK91" s="62"/>
      <c r="AL91" s="62"/>
      <c r="AM91" s="62"/>
      <c r="AN91" s="62"/>
      <c r="AO91" s="72" t="str">
        <f t="shared" si="13"/>
        <v>A</v>
      </c>
      <c r="AP91" s="62">
        <v>0</v>
      </c>
      <c r="AQ91" s="62">
        <v>0</v>
      </c>
      <c r="AR91" s="62">
        <v>0</v>
      </c>
      <c r="AS91" s="62"/>
      <c r="AT91" s="62"/>
      <c r="AU91" s="72">
        <f t="shared" si="14"/>
        <v>0</v>
      </c>
      <c r="AV91" s="62"/>
      <c r="AW91" s="62"/>
      <c r="AX91" s="62">
        <v>0</v>
      </c>
      <c r="AY91" s="62">
        <v>0</v>
      </c>
      <c r="AZ91" s="62">
        <v>0</v>
      </c>
      <c r="BA91" s="72">
        <f t="shared" si="15"/>
        <v>0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1</v>
      </c>
      <c r="M92" s="62">
        <v>1</v>
      </c>
      <c r="N92" s="62">
        <v>1</v>
      </c>
      <c r="O92" s="62">
        <v>3</v>
      </c>
      <c r="P92" s="62">
        <v>1</v>
      </c>
      <c r="Q92" s="72">
        <f t="shared" si="9"/>
        <v>1.4</v>
      </c>
      <c r="R92" s="62">
        <v>0</v>
      </c>
      <c r="S92" s="62">
        <v>0</v>
      </c>
      <c r="T92" s="7"/>
      <c r="U92" s="62">
        <v>0</v>
      </c>
      <c r="V92" s="7"/>
      <c r="W92" s="72">
        <f t="shared" si="10"/>
        <v>0</v>
      </c>
      <c r="X92" s="62">
        <v>0</v>
      </c>
      <c r="Y92" s="62">
        <v>0</v>
      </c>
      <c r="Z92" s="7"/>
      <c r="AA92" s="7"/>
      <c r="AB92" s="7"/>
      <c r="AC92" s="72">
        <f t="shared" si="11"/>
        <v>0</v>
      </c>
      <c r="AD92" s="62">
        <v>0</v>
      </c>
      <c r="AE92" s="7"/>
      <c r="AF92" s="62">
        <v>0</v>
      </c>
      <c r="AG92" s="7"/>
      <c r="AH92" s="7"/>
      <c r="AI92" s="72">
        <f t="shared" si="12"/>
        <v>0</v>
      </c>
      <c r="AJ92" s="7"/>
      <c r="AK92" s="7"/>
      <c r="AL92" s="7"/>
      <c r="AM92" s="7"/>
      <c r="AN92" s="7"/>
      <c r="AO92" s="72" t="str">
        <f t="shared" si="13"/>
        <v>A</v>
      </c>
      <c r="AP92" s="62">
        <v>0</v>
      </c>
      <c r="AQ92" s="62">
        <v>0</v>
      </c>
      <c r="AR92" s="62">
        <v>0</v>
      </c>
      <c r="AS92" s="7"/>
      <c r="AT92" s="7"/>
      <c r="AU92" s="72">
        <f t="shared" si="14"/>
        <v>0</v>
      </c>
      <c r="AV92" s="7"/>
      <c r="AW92" s="7"/>
      <c r="AX92" s="62">
        <v>0</v>
      </c>
      <c r="AY92" s="62">
        <v>0</v>
      </c>
      <c r="AZ92" s="62">
        <v>0</v>
      </c>
      <c r="BA92" s="72">
        <f t="shared" si="15"/>
        <v>0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0</v>
      </c>
      <c r="M93" s="62">
        <v>0</v>
      </c>
      <c r="N93" s="62">
        <v>0</v>
      </c>
      <c r="O93" s="62">
        <v>3</v>
      </c>
      <c r="P93" s="62">
        <v>0</v>
      </c>
      <c r="Q93" s="72">
        <f t="shared" si="9"/>
        <v>0.6</v>
      </c>
      <c r="R93" s="62">
        <v>0</v>
      </c>
      <c r="S93" s="62">
        <v>0</v>
      </c>
      <c r="T93" s="62"/>
      <c r="U93" s="62">
        <v>0</v>
      </c>
      <c r="V93" s="62"/>
      <c r="W93" s="72">
        <f t="shared" si="10"/>
        <v>0</v>
      </c>
      <c r="X93" s="62">
        <v>0</v>
      </c>
      <c r="Y93" s="62">
        <v>0</v>
      </c>
      <c r="Z93" s="62"/>
      <c r="AA93" s="62"/>
      <c r="AB93" s="62"/>
      <c r="AC93" s="72">
        <f t="shared" si="11"/>
        <v>0</v>
      </c>
      <c r="AD93" s="62">
        <v>0</v>
      </c>
      <c r="AE93" s="62"/>
      <c r="AF93" s="62">
        <v>0</v>
      </c>
      <c r="AG93" s="62"/>
      <c r="AH93" s="62"/>
      <c r="AI93" s="72">
        <f t="shared" si="12"/>
        <v>0</v>
      </c>
      <c r="AJ93" s="62"/>
      <c r="AK93" s="62"/>
      <c r="AL93" s="62"/>
      <c r="AM93" s="62"/>
      <c r="AN93" s="62"/>
      <c r="AO93" s="72" t="str">
        <f t="shared" si="13"/>
        <v>A</v>
      </c>
      <c r="AP93" s="62">
        <v>0</v>
      </c>
      <c r="AQ93" s="62">
        <v>0</v>
      </c>
      <c r="AR93" s="62">
        <v>0</v>
      </c>
      <c r="AS93" s="62"/>
      <c r="AT93" s="62"/>
      <c r="AU93" s="72">
        <f t="shared" si="14"/>
        <v>0</v>
      </c>
      <c r="AV93" s="62"/>
      <c r="AW93" s="62"/>
      <c r="AX93" s="62">
        <v>0</v>
      </c>
      <c r="AY93" s="62">
        <v>0</v>
      </c>
      <c r="AZ93" s="62">
        <v>0</v>
      </c>
      <c r="BA93" s="72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3</v>
      </c>
      <c r="M94" s="62">
        <v>3</v>
      </c>
      <c r="N94" s="62">
        <v>3</v>
      </c>
      <c r="O94" s="62">
        <v>3</v>
      </c>
      <c r="P94" s="62">
        <v>3</v>
      </c>
      <c r="Q94" s="72">
        <f t="shared" si="9"/>
        <v>3</v>
      </c>
      <c r="R94" s="62">
        <v>3</v>
      </c>
      <c r="S94" s="62">
        <v>3</v>
      </c>
      <c r="T94" s="7"/>
      <c r="U94" s="62">
        <v>3</v>
      </c>
      <c r="V94" s="7"/>
      <c r="W94" s="72">
        <f t="shared" si="10"/>
        <v>3</v>
      </c>
      <c r="X94" s="62">
        <v>3</v>
      </c>
      <c r="Y94" s="62">
        <v>3</v>
      </c>
      <c r="Z94" s="7"/>
      <c r="AA94" s="7"/>
      <c r="AB94" s="7"/>
      <c r="AC94" s="72">
        <f t="shared" si="11"/>
        <v>3</v>
      </c>
      <c r="AD94" s="62">
        <v>3</v>
      </c>
      <c r="AE94" s="7"/>
      <c r="AF94" s="62">
        <v>2</v>
      </c>
      <c r="AG94" s="7"/>
      <c r="AH94" s="7"/>
      <c r="AI94" s="72">
        <f t="shared" si="12"/>
        <v>2.5</v>
      </c>
      <c r="AJ94" s="7"/>
      <c r="AK94" s="7"/>
      <c r="AL94" s="7"/>
      <c r="AM94" s="7"/>
      <c r="AN94" s="7"/>
      <c r="AO94" s="72" t="str">
        <f t="shared" si="13"/>
        <v>A</v>
      </c>
      <c r="AP94" s="62">
        <v>3</v>
      </c>
      <c r="AQ94" s="62">
        <v>3</v>
      </c>
      <c r="AR94" s="62">
        <v>3</v>
      </c>
      <c r="AS94" s="7"/>
      <c r="AT94" s="7"/>
      <c r="AU94" s="72">
        <f t="shared" si="14"/>
        <v>3</v>
      </c>
      <c r="AV94" s="7"/>
      <c r="AW94" s="7"/>
      <c r="AX94" s="62">
        <v>3</v>
      </c>
      <c r="AY94" s="62">
        <v>0</v>
      </c>
      <c r="AZ94" s="62">
        <v>0</v>
      </c>
      <c r="BA94" s="72">
        <f t="shared" si="15"/>
        <v>1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2</v>
      </c>
      <c r="M95" s="62">
        <v>3</v>
      </c>
      <c r="N95" s="62">
        <v>2</v>
      </c>
      <c r="O95" s="62">
        <v>3</v>
      </c>
      <c r="P95" s="62">
        <v>2</v>
      </c>
      <c r="Q95" s="72">
        <f t="shared" si="9"/>
        <v>2.4</v>
      </c>
      <c r="R95" s="62">
        <v>0</v>
      </c>
      <c r="S95" s="62">
        <v>0</v>
      </c>
      <c r="T95" s="62"/>
      <c r="U95" s="62">
        <v>0</v>
      </c>
      <c r="V95" s="62"/>
      <c r="W95" s="72">
        <f t="shared" si="10"/>
        <v>0</v>
      </c>
      <c r="X95" s="62">
        <v>0</v>
      </c>
      <c r="Y95" s="62">
        <v>0</v>
      </c>
      <c r="Z95" s="62"/>
      <c r="AA95" s="62"/>
      <c r="AB95" s="62"/>
      <c r="AC95" s="72">
        <f t="shared" si="11"/>
        <v>0</v>
      </c>
      <c r="AD95" s="62">
        <v>0</v>
      </c>
      <c r="AE95" s="62"/>
      <c r="AF95" s="62">
        <v>0</v>
      </c>
      <c r="AG95" s="62"/>
      <c r="AH95" s="62"/>
      <c r="AI95" s="72">
        <f t="shared" si="12"/>
        <v>0</v>
      </c>
      <c r="AJ95" s="62"/>
      <c r="AK95" s="62"/>
      <c r="AL95" s="62"/>
      <c r="AM95" s="62"/>
      <c r="AN95" s="62"/>
      <c r="AO95" s="72" t="str">
        <f t="shared" si="13"/>
        <v>A</v>
      </c>
      <c r="AP95" s="62">
        <v>0</v>
      </c>
      <c r="AQ95" s="62">
        <v>0</v>
      </c>
      <c r="AR95" s="62">
        <v>0</v>
      </c>
      <c r="AS95" s="62"/>
      <c r="AT95" s="62"/>
      <c r="AU95" s="72">
        <f t="shared" si="14"/>
        <v>0</v>
      </c>
      <c r="AV95" s="62"/>
      <c r="AW95" s="62"/>
      <c r="AX95" s="62">
        <v>0</v>
      </c>
      <c r="AY95" s="62">
        <v>0</v>
      </c>
      <c r="AZ95" s="62">
        <v>0</v>
      </c>
      <c r="BA95" s="72">
        <f t="shared" si="15"/>
        <v>0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2</v>
      </c>
      <c r="M96" s="62">
        <v>2</v>
      </c>
      <c r="N96" s="62">
        <v>3</v>
      </c>
      <c r="O96" s="62">
        <v>3</v>
      </c>
      <c r="P96" s="62">
        <v>1</v>
      </c>
      <c r="Q96" s="72">
        <f t="shared" si="9"/>
        <v>2.2000000000000002</v>
      </c>
      <c r="R96" s="62">
        <v>0</v>
      </c>
      <c r="S96" s="62">
        <v>0</v>
      </c>
      <c r="T96" s="7"/>
      <c r="U96" s="62">
        <v>0</v>
      </c>
      <c r="V96" s="7"/>
      <c r="W96" s="72">
        <f t="shared" si="10"/>
        <v>0</v>
      </c>
      <c r="X96" s="62">
        <v>0</v>
      </c>
      <c r="Y96" s="62">
        <v>0</v>
      </c>
      <c r="Z96" s="7"/>
      <c r="AA96" s="7"/>
      <c r="AB96" s="7"/>
      <c r="AC96" s="72">
        <f t="shared" si="11"/>
        <v>0</v>
      </c>
      <c r="AD96" s="62">
        <v>0</v>
      </c>
      <c r="AE96" s="7"/>
      <c r="AF96" s="62">
        <v>0</v>
      </c>
      <c r="AG96" s="7"/>
      <c r="AH96" s="7"/>
      <c r="AI96" s="72">
        <f t="shared" si="12"/>
        <v>0</v>
      </c>
      <c r="AJ96" s="7"/>
      <c r="AK96" s="7"/>
      <c r="AL96" s="7"/>
      <c r="AM96" s="7"/>
      <c r="AN96" s="7"/>
      <c r="AO96" s="72" t="str">
        <f t="shared" si="13"/>
        <v>A</v>
      </c>
      <c r="AP96" s="62">
        <v>0</v>
      </c>
      <c r="AQ96" s="62">
        <v>0</v>
      </c>
      <c r="AR96" s="62">
        <v>0</v>
      </c>
      <c r="AS96" s="7"/>
      <c r="AT96" s="7"/>
      <c r="AU96" s="72">
        <f t="shared" si="14"/>
        <v>0</v>
      </c>
      <c r="AV96" s="7"/>
      <c r="AW96" s="7"/>
      <c r="AX96" s="62">
        <v>0</v>
      </c>
      <c r="AY96" s="62">
        <v>0</v>
      </c>
      <c r="AZ96" s="62">
        <v>0</v>
      </c>
      <c r="BA96" s="72">
        <f t="shared" si="15"/>
        <v>0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2</v>
      </c>
      <c r="M97" s="62">
        <v>0</v>
      </c>
      <c r="N97" s="62">
        <v>0</v>
      </c>
      <c r="O97" s="62">
        <v>3</v>
      </c>
      <c r="P97" s="62">
        <v>0</v>
      </c>
      <c r="Q97" s="72">
        <f t="shared" si="9"/>
        <v>1</v>
      </c>
      <c r="R97" s="62">
        <v>3</v>
      </c>
      <c r="S97" s="62">
        <v>3</v>
      </c>
      <c r="T97" s="62"/>
      <c r="U97" s="62">
        <v>2</v>
      </c>
      <c r="V97" s="62"/>
      <c r="W97" s="72">
        <f t="shared" si="10"/>
        <v>2.6666666666666665</v>
      </c>
      <c r="X97" s="62">
        <v>4</v>
      </c>
      <c r="Y97" s="62">
        <v>3</v>
      </c>
      <c r="Z97" s="62"/>
      <c r="AA97" s="62"/>
      <c r="AB97" s="62"/>
      <c r="AC97" s="72">
        <f t="shared" si="11"/>
        <v>3.5</v>
      </c>
      <c r="AD97" s="62">
        <v>3</v>
      </c>
      <c r="AE97" s="62"/>
      <c r="AF97" s="62">
        <v>3</v>
      </c>
      <c r="AG97" s="62"/>
      <c r="AH97" s="62"/>
      <c r="AI97" s="72">
        <f t="shared" si="12"/>
        <v>3</v>
      </c>
      <c r="AJ97" s="62"/>
      <c r="AK97" s="62"/>
      <c r="AL97" s="62"/>
      <c r="AM97" s="62"/>
      <c r="AN97" s="62"/>
      <c r="AO97" s="72" t="str">
        <f t="shared" si="13"/>
        <v>A</v>
      </c>
      <c r="AP97" s="62">
        <v>3</v>
      </c>
      <c r="AQ97" s="62">
        <v>3</v>
      </c>
      <c r="AR97" s="62">
        <v>3</v>
      </c>
      <c r="AS97" s="62"/>
      <c r="AT97" s="62"/>
      <c r="AU97" s="72">
        <f t="shared" si="14"/>
        <v>3</v>
      </c>
      <c r="AV97" s="62"/>
      <c r="AW97" s="62"/>
      <c r="AX97" s="62">
        <v>2</v>
      </c>
      <c r="AY97" s="62">
        <v>0</v>
      </c>
      <c r="AZ97" s="62">
        <v>0</v>
      </c>
      <c r="BA97" s="72">
        <f t="shared" si="15"/>
        <v>0.66666666666666663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2</v>
      </c>
      <c r="M98" s="62">
        <v>2</v>
      </c>
      <c r="N98" s="62">
        <v>2</v>
      </c>
      <c r="O98" s="62">
        <v>3</v>
      </c>
      <c r="P98" s="62">
        <v>2</v>
      </c>
      <c r="Q98" s="72">
        <f t="shared" si="9"/>
        <v>2.2000000000000002</v>
      </c>
      <c r="R98" s="62">
        <v>0</v>
      </c>
      <c r="S98" s="62">
        <v>0</v>
      </c>
      <c r="T98" s="7"/>
      <c r="U98" s="62">
        <v>0</v>
      </c>
      <c r="V98" s="7"/>
      <c r="W98" s="72">
        <f t="shared" si="10"/>
        <v>0</v>
      </c>
      <c r="X98" s="62">
        <v>0</v>
      </c>
      <c r="Y98" s="62">
        <v>0</v>
      </c>
      <c r="Z98" s="7"/>
      <c r="AA98" s="7"/>
      <c r="AB98" s="7"/>
      <c r="AC98" s="72">
        <f t="shared" si="11"/>
        <v>0</v>
      </c>
      <c r="AD98" s="62">
        <v>0</v>
      </c>
      <c r="AE98" s="7"/>
      <c r="AF98" s="62">
        <v>0</v>
      </c>
      <c r="AG98" s="7"/>
      <c r="AH98" s="7"/>
      <c r="AI98" s="72">
        <f t="shared" si="12"/>
        <v>0</v>
      </c>
      <c r="AJ98" s="7"/>
      <c r="AK98" s="7"/>
      <c r="AL98" s="7"/>
      <c r="AM98" s="7"/>
      <c r="AN98" s="7"/>
      <c r="AO98" s="72" t="str">
        <f t="shared" si="13"/>
        <v>A</v>
      </c>
      <c r="AP98" s="62">
        <v>0</v>
      </c>
      <c r="AQ98" s="62">
        <v>0</v>
      </c>
      <c r="AR98" s="62">
        <v>0</v>
      </c>
      <c r="AS98" s="7"/>
      <c r="AT98" s="7"/>
      <c r="AU98" s="72">
        <f t="shared" si="14"/>
        <v>0</v>
      </c>
      <c r="AV98" s="7"/>
      <c r="AW98" s="7"/>
      <c r="AX98" s="62">
        <v>0</v>
      </c>
      <c r="AY98" s="62">
        <v>0</v>
      </c>
      <c r="AZ98" s="62">
        <v>0</v>
      </c>
      <c r="BA98" s="72">
        <f t="shared" si="15"/>
        <v>0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3</v>
      </c>
      <c r="M99" s="62">
        <v>3</v>
      </c>
      <c r="N99" s="62">
        <v>3</v>
      </c>
      <c r="O99" s="62">
        <v>3</v>
      </c>
      <c r="P99" s="62">
        <v>3</v>
      </c>
      <c r="Q99" s="72">
        <f t="shared" si="9"/>
        <v>3</v>
      </c>
      <c r="R99" s="62">
        <v>2</v>
      </c>
      <c r="S99" s="62">
        <v>2</v>
      </c>
      <c r="T99" s="62"/>
      <c r="U99" s="62">
        <v>2</v>
      </c>
      <c r="V99" s="62"/>
      <c r="W99" s="72">
        <f t="shared" si="10"/>
        <v>2</v>
      </c>
      <c r="X99" s="62">
        <v>4</v>
      </c>
      <c r="Y99" s="62">
        <v>4</v>
      </c>
      <c r="Z99" s="62"/>
      <c r="AA99" s="62"/>
      <c r="AB99" s="62"/>
      <c r="AC99" s="72">
        <f t="shared" si="11"/>
        <v>4</v>
      </c>
      <c r="AD99" s="62">
        <v>2</v>
      </c>
      <c r="AE99" s="62"/>
      <c r="AF99" s="62">
        <v>2</v>
      </c>
      <c r="AG99" s="62"/>
      <c r="AH99" s="62"/>
      <c r="AI99" s="72">
        <f t="shared" si="12"/>
        <v>2</v>
      </c>
      <c r="AJ99" s="62"/>
      <c r="AK99" s="62"/>
      <c r="AL99" s="62"/>
      <c r="AM99" s="62"/>
      <c r="AN99" s="62"/>
      <c r="AO99" s="72" t="str">
        <f t="shared" si="13"/>
        <v>A</v>
      </c>
      <c r="AP99" s="62">
        <v>2</v>
      </c>
      <c r="AQ99" s="62">
        <v>2</v>
      </c>
      <c r="AR99" s="62">
        <v>3</v>
      </c>
      <c r="AS99" s="62"/>
      <c r="AT99" s="62"/>
      <c r="AU99" s="72">
        <f t="shared" si="14"/>
        <v>2.3333333333333335</v>
      </c>
      <c r="AV99" s="62"/>
      <c r="AW99" s="62"/>
      <c r="AX99" s="62">
        <v>2</v>
      </c>
      <c r="AY99" s="62">
        <v>0</v>
      </c>
      <c r="AZ99" s="62">
        <v>0</v>
      </c>
      <c r="BA99" s="72">
        <f t="shared" si="15"/>
        <v>0.66666666666666663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2</v>
      </c>
      <c r="M100" s="62">
        <v>2</v>
      </c>
      <c r="N100" s="62">
        <v>2</v>
      </c>
      <c r="O100" s="62">
        <v>3</v>
      </c>
      <c r="P100" s="62">
        <v>2</v>
      </c>
      <c r="Q100" s="72">
        <f t="shared" si="9"/>
        <v>2.2000000000000002</v>
      </c>
      <c r="R100" s="62">
        <v>0</v>
      </c>
      <c r="S100" s="62">
        <v>0</v>
      </c>
      <c r="T100" s="7"/>
      <c r="U100" s="62">
        <v>0</v>
      </c>
      <c r="V100" s="7"/>
      <c r="W100" s="72">
        <f t="shared" si="10"/>
        <v>0</v>
      </c>
      <c r="X100" s="62">
        <v>0</v>
      </c>
      <c r="Y100" s="62">
        <v>0</v>
      </c>
      <c r="Z100" s="7"/>
      <c r="AA100" s="7"/>
      <c r="AB100" s="7"/>
      <c r="AC100" s="72">
        <f t="shared" si="11"/>
        <v>0</v>
      </c>
      <c r="AD100" s="62">
        <v>0</v>
      </c>
      <c r="AE100" s="7"/>
      <c r="AF100" s="62">
        <v>0</v>
      </c>
      <c r="AG100" s="7"/>
      <c r="AH100" s="7"/>
      <c r="AI100" s="72">
        <f t="shared" si="12"/>
        <v>0</v>
      </c>
      <c r="AJ100" s="7"/>
      <c r="AK100" s="7"/>
      <c r="AL100" s="7"/>
      <c r="AM100" s="7"/>
      <c r="AN100" s="7"/>
      <c r="AO100" s="72" t="str">
        <f t="shared" si="13"/>
        <v>A</v>
      </c>
      <c r="AP100" s="62">
        <v>0</v>
      </c>
      <c r="AQ100" s="62">
        <v>0</v>
      </c>
      <c r="AR100" s="62">
        <v>0</v>
      </c>
      <c r="AS100" s="7"/>
      <c r="AT100" s="7"/>
      <c r="AU100" s="72">
        <f t="shared" si="14"/>
        <v>0</v>
      </c>
      <c r="AV100" s="7"/>
      <c r="AW100" s="7"/>
      <c r="AX100" s="62">
        <v>0</v>
      </c>
      <c r="AY100" s="62">
        <v>0</v>
      </c>
      <c r="AZ100" s="62">
        <v>0</v>
      </c>
      <c r="BA100" s="72">
        <f t="shared" si="15"/>
        <v>0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72">
        <f t="shared" si="9"/>
        <v>0</v>
      </c>
      <c r="R101" s="62">
        <v>0</v>
      </c>
      <c r="S101" s="62">
        <v>0</v>
      </c>
      <c r="T101" s="62"/>
      <c r="U101" s="62">
        <v>0</v>
      </c>
      <c r="V101" s="62"/>
      <c r="W101" s="72">
        <f t="shared" si="10"/>
        <v>0</v>
      </c>
      <c r="X101" s="62">
        <v>0</v>
      </c>
      <c r="Y101" s="62">
        <v>0</v>
      </c>
      <c r="Z101" s="62"/>
      <c r="AA101" s="62"/>
      <c r="AB101" s="62"/>
      <c r="AC101" s="72">
        <f t="shared" si="11"/>
        <v>0</v>
      </c>
      <c r="AD101" s="62">
        <v>0</v>
      </c>
      <c r="AE101" s="62"/>
      <c r="AF101" s="62">
        <v>0</v>
      </c>
      <c r="AG101" s="62"/>
      <c r="AH101" s="62"/>
      <c r="AI101" s="72">
        <f t="shared" si="12"/>
        <v>0</v>
      </c>
      <c r="AJ101" s="62"/>
      <c r="AK101" s="62"/>
      <c r="AL101" s="62"/>
      <c r="AM101" s="62"/>
      <c r="AN101" s="62"/>
      <c r="AO101" s="72" t="str">
        <f t="shared" si="13"/>
        <v>A</v>
      </c>
      <c r="AP101" s="62">
        <v>0</v>
      </c>
      <c r="AQ101" s="62">
        <v>0</v>
      </c>
      <c r="AR101" s="62">
        <v>0</v>
      </c>
      <c r="AS101" s="62"/>
      <c r="AT101" s="62"/>
      <c r="AU101" s="72">
        <f t="shared" si="14"/>
        <v>0</v>
      </c>
      <c r="AV101" s="62"/>
      <c r="AW101" s="62"/>
      <c r="AX101" s="62">
        <v>0</v>
      </c>
      <c r="AY101" s="62">
        <v>0</v>
      </c>
      <c r="AZ101" s="62">
        <v>0</v>
      </c>
      <c r="BA101" s="72">
        <f t="shared" si="15"/>
        <v>0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0</v>
      </c>
      <c r="M102" s="62">
        <v>0</v>
      </c>
      <c r="N102" s="62">
        <v>0</v>
      </c>
      <c r="O102" s="62">
        <v>3</v>
      </c>
      <c r="P102" s="62">
        <v>0</v>
      </c>
      <c r="Q102" s="72">
        <f t="shared" si="9"/>
        <v>0.6</v>
      </c>
      <c r="R102" s="62">
        <v>0</v>
      </c>
      <c r="S102" s="62">
        <v>0</v>
      </c>
      <c r="T102" s="7"/>
      <c r="U102" s="62">
        <v>0</v>
      </c>
      <c r="V102" s="7"/>
      <c r="W102" s="72">
        <f t="shared" si="10"/>
        <v>0</v>
      </c>
      <c r="X102" s="62">
        <v>0</v>
      </c>
      <c r="Y102" s="62">
        <v>0</v>
      </c>
      <c r="Z102" s="7"/>
      <c r="AA102" s="7"/>
      <c r="AB102" s="7"/>
      <c r="AC102" s="72">
        <f t="shared" si="11"/>
        <v>0</v>
      </c>
      <c r="AD102" s="62">
        <v>0</v>
      </c>
      <c r="AE102" s="7"/>
      <c r="AF102" s="62">
        <v>0</v>
      </c>
      <c r="AG102" s="7"/>
      <c r="AH102" s="7"/>
      <c r="AI102" s="72">
        <f t="shared" si="12"/>
        <v>0</v>
      </c>
      <c r="AJ102" s="7"/>
      <c r="AK102" s="7"/>
      <c r="AL102" s="7"/>
      <c r="AM102" s="7"/>
      <c r="AN102" s="7"/>
      <c r="AO102" s="72" t="str">
        <f t="shared" si="13"/>
        <v>A</v>
      </c>
      <c r="AP102" s="62">
        <v>0</v>
      </c>
      <c r="AQ102" s="62">
        <v>0</v>
      </c>
      <c r="AR102" s="62">
        <v>0</v>
      </c>
      <c r="AS102" s="7"/>
      <c r="AT102" s="7"/>
      <c r="AU102" s="72">
        <f t="shared" si="14"/>
        <v>0</v>
      </c>
      <c r="AV102" s="7"/>
      <c r="AW102" s="7"/>
      <c r="AX102" s="62">
        <v>0</v>
      </c>
      <c r="AY102" s="62">
        <v>0</v>
      </c>
      <c r="AZ102" s="62">
        <v>0</v>
      </c>
      <c r="BA102" s="72">
        <f t="shared" si="15"/>
        <v>0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3</v>
      </c>
      <c r="M103" s="62">
        <v>3</v>
      </c>
      <c r="N103" s="62">
        <v>3</v>
      </c>
      <c r="O103" s="62">
        <v>3</v>
      </c>
      <c r="P103" s="62">
        <v>2</v>
      </c>
      <c r="Q103" s="72">
        <f t="shared" si="9"/>
        <v>2.8</v>
      </c>
      <c r="R103" s="62">
        <v>2</v>
      </c>
      <c r="S103" s="62">
        <v>2</v>
      </c>
      <c r="T103" s="62"/>
      <c r="U103" s="62">
        <v>2</v>
      </c>
      <c r="V103" s="62"/>
      <c r="W103" s="72">
        <f t="shared" si="10"/>
        <v>2</v>
      </c>
      <c r="X103" s="62">
        <v>2</v>
      </c>
      <c r="Y103" s="62">
        <v>2</v>
      </c>
      <c r="Z103" s="62"/>
      <c r="AA103" s="62"/>
      <c r="AB103" s="62"/>
      <c r="AC103" s="72">
        <f t="shared" si="11"/>
        <v>2</v>
      </c>
      <c r="AD103" s="62">
        <v>2</v>
      </c>
      <c r="AE103" s="62"/>
      <c r="AF103" s="62">
        <v>2</v>
      </c>
      <c r="AG103" s="62"/>
      <c r="AH103" s="62"/>
      <c r="AI103" s="72">
        <f t="shared" si="12"/>
        <v>2</v>
      </c>
      <c r="AJ103" s="62"/>
      <c r="AK103" s="62"/>
      <c r="AL103" s="62"/>
      <c r="AM103" s="62"/>
      <c r="AN103" s="62"/>
      <c r="AO103" s="72" t="str">
        <f t="shared" si="13"/>
        <v>A</v>
      </c>
      <c r="AP103" s="62">
        <v>2</v>
      </c>
      <c r="AQ103" s="62">
        <v>2</v>
      </c>
      <c r="AR103" s="62">
        <v>2</v>
      </c>
      <c r="AS103" s="62"/>
      <c r="AT103" s="62"/>
      <c r="AU103" s="72">
        <f t="shared" si="14"/>
        <v>2</v>
      </c>
      <c r="AV103" s="62"/>
      <c r="AW103" s="62"/>
      <c r="AX103" s="62">
        <v>2</v>
      </c>
      <c r="AY103" s="62">
        <v>2</v>
      </c>
      <c r="AZ103" s="62">
        <v>2</v>
      </c>
      <c r="BA103" s="72">
        <f t="shared" si="15"/>
        <v>2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2</v>
      </c>
      <c r="M104" s="62">
        <v>2</v>
      </c>
      <c r="N104" s="62">
        <v>2</v>
      </c>
      <c r="O104" s="62">
        <v>3</v>
      </c>
      <c r="P104" s="62">
        <v>2</v>
      </c>
      <c r="Q104" s="72">
        <f t="shared" si="9"/>
        <v>2.2000000000000002</v>
      </c>
      <c r="R104" s="62">
        <v>0</v>
      </c>
      <c r="S104" s="62">
        <v>0</v>
      </c>
      <c r="T104" s="7"/>
      <c r="U104" s="62">
        <v>0</v>
      </c>
      <c r="V104" s="7"/>
      <c r="W104" s="72">
        <f t="shared" si="10"/>
        <v>0</v>
      </c>
      <c r="X104" s="62">
        <v>0</v>
      </c>
      <c r="Y104" s="62">
        <v>0</v>
      </c>
      <c r="Z104" s="7"/>
      <c r="AA104" s="7"/>
      <c r="AB104" s="7"/>
      <c r="AC104" s="72">
        <f t="shared" si="11"/>
        <v>0</v>
      </c>
      <c r="AD104" s="62">
        <v>0</v>
      </c>
      <c r="AE104" s="7"/>
      <c r="AF104" s="62">
        <v>0</v>
      </c>
      <c r="AG104" s="7"/>
      <c r="AH104" s="7"/>
      <c r="AI104" s="72">
        <f t="shared" si="12"/>
        <v>0</v>
      </c>
      <c r="AJ104" s="7"/>
      <c r="AK104" s="7"/>
      <c r="AL104" s="7"/>
      <c r="AM104" s="7"/>
      <c r="AN104" s="7"/>
      <c r="AO104" s="72" t="str">
        <f t="shared" si="13"/>
        <v>A</v>
      </c>
      <c r="AP104" s="62">
        <v>0</v>
      </c>
      <c r="AQ104" s="62">
        <v>0</v>
      </c>
      <c r="AR104" s="62">
        <v>0</v>
      </c>
      <c r="AS104" s="7"/>
      <c r="AT104" s="7"/>
      <c r="AU104" s="72">
        <f t="shared" si="14"/>
        <v>0</v>
      </c>
      <c r="AV104" s="7"/>
      <c r="AW104" s="7"/>
      <c r="AX104" s="62">
        <v>0</v>
      </c>
      <c r="AY104" s="62">
        <v>0</v>
      </c>
      <c r="AZ104" s="62">
        <v>0</v>
      </c>
      <c r="BA104" s="72">
        <f t="shared" si="15"/>
        <v>0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2</v>
      </c>
      <c r="M105" s="62">
        <v>2</v>
      </c>
      <c r="N105" s="62">
        <v>2</v>
      </c>
      <c r="O105" s="62">
        <v>3</v>
      </c>
      <c r="P105" s="62">
        <v>2</v>
      </c>
      <c r="Q105" s="72">
        <f t="shared" si="9"/>
        <v>2.2000000000000002</v>
      </c>
      <c r="R105" s="62">
        <v>0</v>
      </c>
      <c r="S105" s="62">
        <v>0</v>
      </c>
      <c r="T105" s="62"/>
      <c r="U105" s="62">
        <v>0</v>
      </c>
      <c r="V105" s="62"/>
      <c r="W105" s="72">
        <f t="shared" si="10"/>
        <v>0</v>
      </c>
      <c r="X105" s="62">
        <v>0</v>
      </c>
      <c r="Y105" s="62">
        <v>0</v>
      </c>
      <c r="Z105" s="62"/>
      <c r="AA105" s="62"/>
      <c r="AB105" s="62"/>
      <c r="AC105" s="72">
        <f t="shared" si="11"/>
        <v>0</v>
      </c>
      <c r="AD105" s="62">
        <v>0</v>
      </c>
      <c r="AE105" s="62"/>
      <c r="AF105" s="62">
        <v>0</v>
      </c>
      <c r="AG105" s="62"/>
      <c r="AH105" s="62"/>
      <c r="AI105" s="72">
        <f t="shared" si="12"/>
        <v>0</v>
      </c>
      <c r="AJ105" s="62"/>
      <c r="AK105" s="62"/>
      <c r="AL105" s="62"/>
      <c r="AM105" s="62"/>
      <c r="AN105" s="62"/>
      <c r="AO105" s="72" t="str">
        <f t="shared" si="13"/>
        <v>A</v>
      </c>
      <c r="AP105" s="62">
        <v>0</v>
      </c>
      <c r="AQ105" s="62">
        <v>0</v>
      </c>
      <c r="AR105" s="62">
        <v>0</v>
      </c>
      <c r="AS105" s="62"/>
      <c r="AT105" s="62"/>
      <c r="AU105" s="72">
        <f t="shared" si="14"/>
        <v>0</v>
      </c>
      <c r="AV105" s="62"/>
      <c r="AW105" s="62"/>
      <c r="AX105" s="62">
        <v>0</v>
      </c>
      <c r="AY105" s="62">
        <v>0</v>
      </c>
      <c r="AZ105" s="62">
        <v>0</v>
      </c>
      <c r="BA105" s="72">
        <f t="shared" si="15"/>
        <v>0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4</v>
      </c>
      <c r="M106" s="62">
        <v>4</v>
      </c>
      <c r="N106" s="62">
        <v>4</v>
      </c>
      <c r="O106" s="62">
        <v>3</v>
      </c>
      <c r="P106" s="62">
        <v>4</v>
      </c>
      <c r="Q106" s="72">
        <f t="shared" si="9"/>
        <v>3.8</v>
      </c>
      <c r="R106" s="62">
        <v>0</v>
      </c>
      <c r="S106" s="62">
        <v>0</v>
      </c>
      <c r="T106" s="7"/>
      <c r="U106" s="62">
        <v>0</v>
      </c>
      <c r="V106" s="7"/>
      <c r="W106" s="72">
        <f t="shared" si="10"/>
        <v>0</v>
      </c>
      <c r="X106" s="62">
        <v>0</v>
      </c>
      <c r="Y106" s="62">
        <v>0</v>
      </c>
      <c r="Z106" s="7"/>
      <c r="AA106" s="7"/>
      <c r="AB106" s="7"/>
      <c r="AC106" s="72">
        <f t="shared" si="11"/>
        <v>0</v>
      </c>
      <c r="AD106" s="62">
        <v>0</v>
      </c>
      <c r="AE106" s="7"/>
      <c r="AF106" s="62">
        <v>0</v>
      </c>
      <c r="AG106" s="7"/>
      <c r="AH106" s="7"/>
      <c r="AI106" s="72">
        <f t="shared" si="12"/>
        <v>0</v>
      </c>
      <c r="AJ106" s="7"/>
      <c r="AK106" s="7"/>
      <c r="AL106" s="7"/>
      <c r="AM106" s="7"/>
      <c r="AN106" s="7"/>
      <c r="AO106" s="72" t="str">
        <f t="shared" si="13"/>
        <v>A</v>
      </c>
      <c r="AP106" s="62">
        <v>0</v>
      </c>
      <c r="AQ106" s="62">
        <v>0</v>
      </c>
      <c r="AR106" s="62">
        <v>0</v>
      </c>
      <c r="AS106" s="7"/>
      <c r="AT106" s="7"/>
      <c r="AU106" s="72">
        <f t="shared" si="14"/>
        <v>0</v>
      </c>
      <c r="AV106" s="7"/>
      <c r="AW106" s="7"/>
      <c r="AX106" s="62">
        <v>0</v>
      </c>
      <c r="AY106" s="62">
        <v>0</v>
      </c>
      <c r="AZ106" s="62">
        <v>0</v>
      </c>
      <c r="BA106" s="72">
        <f t="shared" si="15"/>
        <v>0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2</v>
      </c>
      <c r="M107" s="62">
        <v>4</v>
      </c>
      <c r="N107" s="62">
        <v>3</v>
      </c>
      <c r="O107" s="62">
        <v>3</v>
      </c>
      <c r="P107" s="62">
        <v>2</v>
      </c>
      <c r="Q107" s="72">
        <f t="shared" si="9"/>
        <v>2.8</v>
      </c>
      <c r="R107" s="62">
        <v>0</v>
      </c>
      <c r="S107" s="62">
        <v>0</v>
      </c>
      <c r="T107" s="62"/>
      <c r="U107" s="62">
        <v>0</v>
      </c>
      <c r="V107" s="62"/>
      <c r="W107" s="72">
        <f t="shared" si="10"/>
        <v>0</v>
      </c>
      <c r="X107" s="62">
        <v>0</v>
      </c>
      <c r="Y107" s="62">
        <v>0</v>
      </c>
      <c r="Z107" s="62"/>
      <c r="AA107" s="62"/>
      <c r="AB107" s="62"/>
      <c r="AC107" s="72">
        <f t="shared" si="11"/>
        <v>0</v>
      </c>
      <c r="AD107" s="62">
        <v>0</v>
      </c>
      <c r="AE107" s="62"/>
      <c r="AF107" s="62">
        <v>0</v>
      </c>
      <c r="AG107" s="62"/>
      <c r="AH107" s="62"/>
      <c r="AI107" s="72">
        <f t="shared" si="12"/>
        <v>0</v>
      </c>
      <c r="AJ107" s="62"/>
      <c r="AK107" s="62"/>
      <c r="AL107" s="62"/>
      <c r="AM107" s="62"/>
      <c r="AN107" s="62"/>
      <c r="AO107" s="72" t="str">
        <f t="shared" si="13"/>
        <v>A</v>
      </c>
      <c r="AP107" s="62">
        <v>0</v>
      </c>
      <c r="AQ107" s="62">
        <v>0</v>
      </c>
      <c r="AR107" s="62">
        <v>0</v>
      </c>
      <c r="AS107" s="62"/>
      <c r="AT107" s="62"/>
      <c r="AU107" s="72">
        <f t="shared" si="14"/>
        <v>0</v>
      </c>
      <c r="AV107" s="62"/>
      <c r="AW107" s="62"/>
      <c r="AX107" s="62">
        <v>0</v>
      </c>
      <c r="AY107" s="62">
        <v>0</v>
      </c>
      <c r="AZ107" s="62">
        <v>0</v>
      </c>
      <c r="BA107" s="72">
        <f t="shared" si="15"/>
        <v>0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2</v>
      </c>
      <c r="M108" s="62">
        <v>2</v>
      </c>
      <c r="N108" s="62">
        <v>2</v>
      </c>
      <c r="O108" s="62">
        <v>3</v>
      </c>
      <c r="P108" s="62">
        <v>2</v>
      </c>
      <c r="Q108" s="72">
        <f t="shared" si="9"/>
        <v>2.2000000000000002</v>
      </c>
      <c r="R108" s="62">
        <v>2</v>
      </c>
      <c r="S108" s="62">
        <v>2</v>
      </c>
      <c r="T108" s="7"/>
      <c r="U108" s="62">
        <v>2</v>
      </c>
      <c r="V108" s="7"/>
      <c r="W108" s="72">
        <f t="shared" si="10"/>
        <v>2</v>
      </c>
      <c r="X108" s="62">
        <v>2</v>
      </c>
      <c r="Y108" s="62">
        <v>2</v>
      </c>
      <c r="Z108" s="7"/>
      <c r="AA108" s="7"/>
      <c r="AB108" s="7"/>
      <c r="AC108" s="72">
        <f t="shared" si="11"/>
        <v>2</v>
      </c>
      <c r="AD108" s="62">
        <v>2</v>
      </c>
      <c r="AE108" s="7"/>
      <c r="AF108" s="62">
        <v>2</v>
      </c>
      <c r="AG108" s="7"/>
      <c r="AH108" s="7"/>
      <c r="AI108" s="72">
        <f t="shared" si="12"/>
        <v>2</v>
      </c>
      <c r="AJ108" s="7"/>
      <c r="AK108" s="7"/>
      <c r="AL108" s="7"/>
      <c r="AM108" s="7"/>
      <c r="AN108" s="7"/>
      <c r="AO108" s="72" t="str">
        <f t="shared" si="13"/>
        <v>A</v>
      </c>
      <c r="AP108" s="62">
        <v>2</v>
      </c>
      <c r="AQ108" s="62">
        <v>2</v>
      </c>
      <c r="AR108" s="62">
        <v>2</v>
      </c>
      <c r="AS108" s="7"/>
      <c r="AT108" s="7"/>
      <c r="AU108" s="72">
        <f t="shared" si="14"/>
        <v>2</v>
      </c>
      <c r="AV108" s="7"/>
      <c r="AW108" s="7"/>
      <c r="AX108" s="62">
        <v>2</v>
      </c>
      <c r="AY108" s="62">
        <v>2</v>
      </c>
      <c r="AZ108" s="62">
        <v>2</v>
      </c>
      <c r="BA108" s="72">
        <f t="shared" si="15"/>
        <v>2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2</v>
      </c>
      <c r="M109" s="62">
        <v>2</v>
      </c>
      <c r="N109" s="62">
        <v>2</v>
      </c>
      <c r="O109" s="62">
        <v>2</v>
      </c>
      <c r="P109" s="62">
        <v>2</v>
      </c>
      <c r="Q109" s="72">
        <f t="shared" si="9"/>
        <v>2</v>
      </c>
      <c r="R109" s="62">
        <v>2</v>
      </c>
      <c r="S109" s="62">
        <v>2</v>
      </c>
      <c r="T109" s="62"/>
      <c r="U109" s="62">
        <v>2</v>
      </c>
      <c r="V109" s="62"/>
      <c r="W109" s="72">
        <f t="shared" si="10"/>
        <v>2</v>
      </c>
      <c r="X109" s="62">
        <v>2</v>
      </c>
      <c r="Y109" s="62">
        <v>2</v>
      </c>
      <c r="Z109" s="62"/>
      <c r="AA109" s="62"/>
      <c r="AB109" s="62"/>
      <c r="AC109" s="72">
        <f t="shared" si="11"/>
        <v>2</v>
      </c>
      <c r="AD109" s="62">
        <v>2</v>
      </c>
      <c r="AE109" s="62"/>
      <c r="AF109" s="62">
        <v>2</v>
      </c>
      <c r="AG109" s="62"/>
      <c r="AH109" s="62"/>
      <c r="AI109" s="72">
        <f t="shared" si="12"/>
        <v>2</v>
      </c>
      <c r="AJ109" s="62"/>
      <c r="AK109" s="62"/>
      <c r="AL109" s="62"/>
      <c r="AM109" s="62"/>
      <c r="AN109" s="62"/>
      <c r="AO109" s="72" t="str">
        <f t="shared" si="13"/>
        <v>A</v>
      </c>
      <c r="AP109" s="62">
        <v>2</v>
      </c>
      <c r="AQ109" s="62">
        <v>2</v>
      </c>
      <c r="AR109" s="62">
        <v>2</v>
      </c>
      <c r="AS109" s="62"/>
      <c r="AT109" s="62"/>
      <c r="AU109" s="72">
        <f t="shared" si="14"/>
        <v>2</v>
      </c>
      <c r="AV109" s="62"/>
      <c r="AW109" s="62"/>
      <c r="AX109" s="62">
        <v>2</v>
      </c>
      <c r="AY109" s="62">
        <v>2</v>
      </c>
      <c r="AZ109" s="62">
        <v>2</v>
      </c>
      <c r="BA109" s="72">
        <f t="shared" si="15"/>
        <v>2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2</v>
      </c>
      <c r="M110" s="62">
        <v>0</v>
      </c>
      <c r="N110" s="62">
        <v>0</v>
      </c>
      <c r="O110" s="62">
        <v>3</v>
      </c>
      <c r="P110" s="62">
        <v>0</v>
      </c>
      <c r="Q110" s="72">
        <f t="shared" si="9"/>
        <v>1</v>
      </c>
      <c r="R110" s="62">
        <v>0</v>
      </c>
      <c r="S110" s="62">
        <v>0</v>
      </c>
      <c r="T110" s="7"/>
      <c r="U110" s="62">
        <v>0</v>
      </c>
      <c r="V110" s="7"/>
      <c r="W110" s="72">
        <f t="shared" si="10"/>
        <v>0</v>
      </c>
      <c r="X110" s="62">
        <v>3</v>
      </c>
      <c r="Y110" s="62">
        <v>2</v>
      </c>
      <c r="Z110" s="7"/>
      <c r="AA110" s="7"/>
      <c r="AB110" s="7"/>
      <c r="AC110" s="72">
        <f t="shared" si="11"/>
        <v>2.5</v>
      </c>
      <c r="AD110" s="62">
        <v>0</v>
      </c>
      <c r="AE110" s="7"/>
      <c r="AF110" s="62">
        <v>0</v>
      </c>
      <c r="AG110" s="7"/>
      <c r="AH110" s="7"/>
      <c r="AI110" s="72">
        <f t="shared" si="12"/>
        <v>0</v>
      </c>
      <c r="AJ110" s="7"/>
      <c r="AK110" s="7"/>
      <c r="AL110" s="7"/>
      <c r="AM110" s="7"/>
      <c r="AN110" s="7"/>
      <c r="AO110" s="72" t="str">
        <f t="shared" si="13"/>
        <v>A</v>
      </c>
      <c r="AP110" s="62">
        <v>0</v>
      </c>
      <c r="AQ110" s="62">
        <v>0</v>
      </c>
      <c r="AR110" s="62">
        <v>0</v>
      </c>
      <c r="AS110" s="7"/>
      <c r="AT110" s="7"/>
      <c r="AU110" s="72">
        <f t="shared" si="14"/>
        <v>0</v>
      </c>
      <c r="AV110" s="7"/>
      <c r="AW110" s="7"/>
      <c r="AX110" s="62">
        <v>0</v>
      </c>
      <c r="AY110" s="62">
        <v>0</v>
      </c>
      <c r="AZ110" s="62">
        <v>0</v>
      </c>
      <c r="BA110" s="72">
        <f t="shared" si="15"/>
        <v>0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2</v>
      </c>
      <c r="M111" s="62">
        <v>3</v>
      </c>
      <c r="N111" s="62">
        <v>3</v>
      </c>
      <c r="O111" s="62">
        <v>3</v>
      </c>
      <c r="P111" s="62">
        <v>3</v>
      </c>
      <c r="Q111" s="72">
        <f t="shared" si="9"/>
        <v>2.8</v>
      </c>
      <c r="R111" s="62">
        <v>0</v>
      </c>
      <c r="S111" s="62">
        <v>0</v>
      </c>
      <c r="T111" s="62"/>
      <c r="U111" s="62">
        <v>0</v>
      </c>
      <c r="V111" s="62"/>
      <c r="W111" s="72">
        <f t="shared" si="10"/>
        <v>0</v>
      </c>
      <c r="X111" s="62">
        <v>3</v>
      </c>
      <c r="Y111" s="62">
        <v>3</v>
      </c>
      <c r="Z111" s="62"/>
      <c r="AA111" s="62"/>
      <c r="AB111" s="62"/>
      <c r="AC111" s="72">
        <f t="shared" si="11"/>
        <v>3</v>
      </c>
      <c r="AD111" s="62">
        <v>0</v>
      </c>
      <c r="AE111" s="62"/>
      <c r="AF111" s="62">
        <v>0</v>
      </c>
      <c r="AG111" s="62"/>
      <c r="AH111" s="62"/>
      <c r="AI111" s="72">
        <f t="shared" si="12"/>
        <v>0</v>
      </c>
      <c r="AJ111" s="62"/>
      <c r="AK111" s="62"/>
      <c r="AL111" s="62"/>
      <c r="AM111" s="62"/>
      <c r="AN111" s="62"/>
      <c r="AO111" s="72" t="str">
        <f t="shared" si="13"/>
        <v>A</v>
      </c>
      <c r="AP111" s="62">
        <v>0</v>
      </c>
      <c r="AQ111" s="62">
        <v>0</v>
      </c>
      <c r="AR111" s="62">
        <v>0</v>
      </c>
      <c r="AS111" s="62"/>
      <c r="AT111" s="62"/>
      <c r="AU111" s="72">
        <f t="shared" si="14"/>
        <v>0</v>
      </c>
      <c r="AV111" s="62"/>
      <c r="AW111" s="62"/>
      <c r="AX111" s="62">
        <v>0</v>
      </c>
      <c r="AY111" s="62">
        <v>0</v>
      </c>
      <c r="AZ111" s="62">
        <v>0</v>
      </c>
      <c r="BA111" s="72">
        <f t="shared" si="15"/>
        <v>0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3</v>
      </c>
      <c r="M112" s="62">
        <v>3</v>
      </c>
      <c r="N112" s="62">
        <v>3</v>
      </c>
      <c r="O112" s="62">
        <v>3</v>
      </c>
      <c r="P112" s="62">
        <v>3</v>
      </c>
      <c r="Q112" s="72">
        <f t="shared" si="9"/>
        <v>3</v>
      </c>
      <c r="R112" s="62">
        <v>2</v>
      </c>
      <c r="S112" s="62">
        <v>2</v>
      </c>
      <c r="T112" s="7"/>
      <c r="U112" s="62">
        <v>3</v>
      </c>
      <c r="V112" s="7"/>
      <c r="W112" s="72">
        <f t="shared" si="10"/>
        <v>2.3333333333333335</v>
      </c>
      <c r="X112" s="62">
        <v>3</v>
      </c>
      <c r="Y112" s="62">
        <v>2</v>
      </c>
      <c r="Z112" s="7"/>
      <c r="AA112" s="7"/>
      <c r="AB112" s="7"/>
      <c r="AC112" s="72">
        <f t="shared" si="11"/>
        <v>2.5</v>
      </c>
      <c r="AD112" s="62">
        <v>3</v>
      </c>
      <c r="AE112" s="7"/>
      <c r="AF112" s="62">
        <v>2</v>
      </c>
      <c r="AG112" s="7"/>
      <c r="AH112" s="7"/>
      <c r="AI112" s="72">
        <f t="shared" si="12"/>
        <v>2.5</v>
      </c>
      <c r="AJ112" s="7"/>
      <c r="AK112" s="7"/>
      <c r="AL112" s="7"/>
      <c r="AM112" s="7"/>
      <c r="AN112" s="7"/>
      <c r="AO112" s="72" t="str">
        <f t="shared" si="13"/>
        <v>A</v>
      </c>
      <c r="AP112" s="62">
        <v>3</v>
      </c>
      <c r="AQ112" s="62">
        <v>2</v>
      </c>
      <c r="AR112" s="62">
        <v>3</v>
      </c>
      <c r="AS112" s="7"/>
      <c r="AT112" s="7"/>
      <c r="AU112" s="72">
        <f t="shared" si="14"/>
        <v>2.6666666666666665</v>
      </c>
      <c r="AV112" s="7"/>
      <c r="AW112" s="7"/>
      <c r="AX112" s="62">
        <v>3</v>
      </c>
      <c r="AY112" s="62">
        <v>0</v>
      </c>
      <c r="AZ112" s="62">
        <v>0</v>
      </c>
      <c r="BA112" s="72">
        <f t="shared" si="15"/>
        <v>1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2</v>
      </c>
      <c r="M113" s="62">
        <v>0</v>
      </c>
      <c r="N113" s="62">
        <v>0</v>
      </c>
      <c r="O113" s="62">
        <v>3</v>
      </c>
      <c r="P113" s="62">
        <v>0</v>
      </c>
      <c r="Q113" s="72">
        <f t="shared" si="9"/>
        <v>1</v>
      </c>
      <c r="R113" s="62">
        <v>0</v>
      </c>
      <c r="S113" s="62">
        <v>0</v>
      </c>
      <c r="T113" s="62"/>
      <c r="U113" s="62">
        <v>0</v>
      </c>
      <c r="V113" s="62"/>
      <c r="W113" s="72">
        <f t="shared" si="10"/>
        <v>0</v>
      </c>
      <c r="X113" s="62">
        <v>1</v>
      </c>
      <c r="Y113" s="62">
        <v>1</v>
      </c>
      <c r="Z113" s="62"/>
      <c r="AA113" s="62"/>
      <c r="AB113" s="62"/>
      <c r="AC113" s="72">
        <f t="shared" si="11"/>
        <v>1</v>
      </c>
      <c r="AD113" s="62">
        <v>0</v>
      </c>
      <c r="AE113" s="62"/>
      <c r="AF113" s="62">
        <v>0</v>
      </c>
      <c r="AG113" s="62"/>
      <c r="AH113" s="62"/>
      <c r="AI113" s="72">
        <f t="shared" si="12"/>
        <v>0</v>
      </c>
      <c r="AJ113" s="62"/>
      <c r="AK113" s="62"/>
      <c r="AL113" s="62"/>
      <c r="AM113" s="62"/>
      <c r="AN113" s="62"/>
      <c r="AO113" s="72" t="str">
        <f t="shared" si="13"/>
        <v>A</v>
      </c>
      <c r="AP113" s="62">
        <v>0</v>
      </c>
      <c r="AQ113" s="62">
        <v>0</v>
      </c>
      <c r="AR113" s="62">
        <v>0</v>
      </c>
      <c r="AS113" s="62"/>
      <c r="AT113" s="62"/>
      <c r="AU113" s="72">
        <f t="shared" si="14"/>
        <v>0</v>
      </c>
      <c r="AV113" s="62"/>
      <c r="AW113" s="62"/>
      <c r="AX113" s="62">
        <v>0</v>
      </c>
      <c r="AY113" s="62">
        <v>0</v>
      </c>
      <c r="AZ113" s="62">
        <v>0</v>
      </c>
      <c r="BA113" s="72">
        <f t="shared" si="15"/>
        <v>0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>
        <v>2</v>
      </c>
      <c r="N114" s="62">
        <v>2</v>
      </c>
      <c r="O114" s="62">
        <v>3</v>
      </c>
      <c r="P114" s="62">
        <v>3</v>
      </c>
      <c r="Q114" s="72">
        <f t="shared" si="9"/>
        <v>2.6</v>
      </c>
      <c r="R114" s="62">
        <v>0</v>
      </c>
      <c r="S114" s="62">
        <v>0</v>
      </c>
      <c r="T114" s="7"/>
      <c r="U114" s="62">
        <v>0</v>
      </c>
      <c r="V114" s="7"/>
      <c r="W114" s="72">
        <f t="shared" si="10"/>
        <v>0</v>
      </c>
      <c r="X114" s="62">
        <v>0</v>
      </c>
      <c r="Y114" s="62">
        <v>0</v>
      </c>
      <c r="Z114" s="7"/>
      <c r="AA114" s="7"/>
      <c r="AB114" s="7"/>
      <c r="AC114" s="72">
        <f t="shared" si="11"/>
        <v>0</v>
      </c>
      <c r="AD114" s="62">
        <v>0</v>
      </c>
      <c r="AE114" s="7"/>
      <c r="AF114" s="62">
        <v>0</v>
      </c>
      <c r="AG114" s="7"/>
      <c r="AH114" s="7"/>
      <c r="AI114" s="72">
        <f t="shared" si="12"/>
        <v>0</v>
      </c>
      <c r="AJ114" s="7"/>
      <c r="AK114" s="7"/>
      <c r="AL114" s="7"/>
      <c r="AM114" s="7"/>
      <c r="AN114" s="7"/>
      <c r="AO114" s="72" t="str">
        <f t="shared" si="13"/>
        <v>A</v>
      </c>
      <c r="AP114" s="62">
        <v>0</v>
      </c>
      <c r="AQ114" s="62">
        <v>0</v>
      </c>
      <c r="AR114" s="62">
        <v>0</v>
      </c>
      <c r="AS114" s="7"/>
      <c r="AT114" s="7"/>
      <c r="AU114" s="72">
        <f t="shared" si="14"/>
        <v>0</v>
      </c>
      <c r="AV114" s="7"/>
      <c r="AW114" s="7"/>
      <c r="AX114" s="62">
        <v>0</v>
      </c>
      <c r="AY114" s="62">
        <v>0</v>
      </c>
      <c r="AZ114" s="62">
        <v>0</v>
      </c>
      <c r="BA114" s="72">
        <f t="shared" si="15"/>
        <v>0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2</v>
      </c>
      <c r="M115" s="62">
        <v>2</v>
      </c>
      <c r="N115" s="62">
        <v>2</v>
      </c>
      <c r="O115" s="62">
        <v>2</v>
      </c>
      <c r="P115" s="62">
        <v>2</v>
      </c>
      <c r="Q115" s="72">
        <f t="shared" si="9"/>
        <v>2</v>
      </c>
      <c r="R115" s="62">
        <v>3</v>
      </c>
      <c r="S115" s="62">
        <v>3</v>
      </c>
      <c r="T115" s="62"/>
      <c r="U115" s="62">
        <v>2</v>
      </c>
      <c r="V115" s="62"/>
      <c r="W115" s="72">
        <f t="shared" si="10"/>
        <v>2.6666666666666665</v>
      </c>
      <c r="X115" s="62">
        <v>2</v>
      </c>
      <c r="Y115" s="62">
        <v>3</v>
      </c>
      <c r="Z115" s="62"/>
      <c r="AA115" s="62"/>
      <c r="AB115" s="62"/>
      <c r="AC115" s="72">
        <f t="shared" si="11"/>
        <v>2.5</v>
      </c>
      <c r="AD115" s="62">
        <v>3</v>
      </c>
      <c r="AE115" s="62"/>
      <c r="AF115" s="62">
        <v>3</v>
      </c>
      <c r="AG115" s="62"/>
      <c r="AH115" s="62"/>
      <c r="AI115" s="72">
        <f t="shared" si="12"/>
        <v>3</v>
      </c>
      <c r="AJ115" s="62"/>
      <c r="AK115" s="62"/>
      <c r="AL115" s="62"/>
      <c r="AM115" s="62"/>
      <c r="AN115" s="62"/>
      <c r="AO115" s="72" t="str">
        <f t="shared" si="13"/>
        <v>A</v>
      </c>
      <c r="AP115" s="62">
        <v>3</v>
      </c>
      <c r="AQ115" s="62">
        <v>2</v>
      </c>
      <c r="AR115" s="62">
        <v>3</v>
      </c>
      <c r="AS115" s="62"/>
      <c r="AT115" s="62"/>
      <c r="AU115" s="72">
        <f t="shared" si="14"/>
        <v>2.6666666666666665</v>
      </c>
      <c r="AV115" s="62"/>
      <c r="AW115" s="62"/>
      <c r="AX115" s="62">
        <v>3</v>
      </c>
      <c r="AY115" s="62">
        <v>0</v>
      </c>
      <c r="AZ115" s="62">
        <v>0</v>
      </c>
      <c r="BA115" s="72">
        <f t="shared" si="15"/>
        <v>1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2</v>
      </c>
      <c r="M116" s="62">
        <v>0</v>
      </c>
      <c r="N116" s="62">
        <v>0</v>
      </c>
      <c r="O116" s="62">
        <v>3</v>
      </c>
      <c r="P116" s="62">
        <v>0</v>
      </c>
      <c r="Q116" s="72">
        <f t="shared" si="9"/>
        <v>1</v>
      </c>
      <c r="R116" s="62">
        <v>0</v>
      </c>
      <c r="S116" s="62">
        <v>0</v>
      </c>
      <c r="T116" s="7"/>
      <c r="U116" s="62">
        <v>0</v>
      </c>
      <c r="V116" s="7"/>
      <c r="W116" s="72">
        <f t="shared" si="10"/>
        <v>0</v>
      </c>
      <c r="X116" s="62">
        <v>2</v>
      </c>
      <c r="Y116" s="62">
        <v>2</v>
      </c>
      <c r="Z116" s="7"/>
      <c r="AA116" s="7"/>
      <c r="AB116" s="7"/>
      <c r="AC116" s="72">
        <f t="shared" si="11"/>
        <v>2</v>
      </c>
      <c r="AD116" s="62">
        <v>0</v>
      </c>
      <c r="AE116" s="7"/>
      <c r="AF116" s="62">
        <v>0</v>
      </c>
      <c r="AG116" s="7"/>
      <c r="AH116" s="7"/>
      <c r="AI116" s="72">
        <f t="shared" si="12"/>
        <v>0</v>
      </c>
      <c r="AJ116" s="7"/>
      <c r="AK116" s="7"/>
      <c r="AL116" s="7"/>
      <c r="AM116" s="7"/>
      <c r="AN116" s="7"/>
      <c r="AO116" s="72" t="str">
        <f t="shared" si="13"/>
        <v>A</v>
      </c>
      <c r="AP116" s="62">
        <v>0</v>
      </c>
      <c r="AQ116" s="62">
        <v>0</v>
      </c>
      <c r="AR116" s="62">
        <v>0</v>
      </c>
      <c r="AS116" s="7"/>
      <c r="AT116" s="7"/>
      <c r="AU116" s="72">
        <f t="shared" si="14"/>
        <v>0</v>
      </c>
      <c r="AV116" s="7"/>
      <c r="AW116" s="7"/>
      <c r="AX116" s="62">
        <v>0</v>
      </c>
      <c r="AY116" s="62">
        <v>0</v>
      </c>
      <c r="AZ116" s="62">
        <v>0</v>
      </c>
      <c r="BA116" s="72">
        <f t="shared" si="15"/>
        <v>0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2</v>
      </c>
      <c r="M117" s="62">
        <v>1</v>
      </c>
      <c r="N117" s="62">
        <v>1</v>
      </c>
      <c r="O117" s="62">
        <v>3</v>
      </c>
      <c r="P117" s="62">
        <v>1</v>
      </c>
      <c r="Q117" s="72">
        <f t="shared" si="9"/>
        <v>1.6</v>
      </c>
      <c r="R117" s="62">
        <v>0</v>
      </c>
      <c r="S117" s="62">
        <v>0</v>
      </c>
      <c r="T117" s="62"/>
      <c r="U117" s="62">
        <v>0</v>
      </c>
      <c r="V117" s="62"/>
      <c r="W117" s="72">
        <f t="shared" si="10"/>
        <v>0</v>
      </c>
      <c r="X117" s="62">
        <v>2</v>
      </c>
      <c r="Y117" s="62">
        <v>2</v>
      </c>
      <c r="Z117" s="62"/>
      <c r="AA117" s="62"/>
      <c r="AB117" s="62"/>
      <c r="AC117" s="72">
        <f t="shared" si="11"/>
        <v>2</v>
      </c>
      <c r="AD117" s="62">
        <v>0</v>
      </c>
      <c r="AE117" s="62"/>
      <c r="AF117" s="62">
        <v>0</v>
      </c>
      <c r="AG117" s="62"/>
      <c r="AH117" s="62"/>
      <c r="AI117" s="72">
        <f t="shared" si="12"/>
        <v>0</v>
      </c>
      <c r="AJ117" s="62"/>
      <c r="AK117" s="62"/>
      <c r="AL117" s="62"/>
      <c r="AM117" s="62"/>
      <c r="AN117" s="62"/>
      <c r="AO117" s="72" t="str">
        <f t="shared" si="13"/>
        <v>A</v>
      </c>
      <c r="AP117" s="62">
        <v>0</v>
      </c>
      <c r="AQ117" s="62">
        <v>0</v>
      </c>
      <c r="AR117" s="62">
        <v>0</v>
      </c>
      <c r="AS117" s="62"/>
      <c r="AT117" s="62"/>
      <c r="AU117" s="72">
        <f t="shared" si="14"/>
        <v>0</v>
      </c>
      <c r="AV117" s="62"/>
      <c r="AW117" s="62"/>
      <c r="AX117" s="62">
        <v>0</v>
      </c>
      <c r="AY117" s="62">
        <v>0</v>
      </c>
      <c r="AZ117" s="62">
        <v>0</v>
      </c>
      <c r="BA117" s="72">
        <f t="shared" si="15"/>
        <v>0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2</v>
      </c>
      <c r="M118" s="62">
        <v>2</v>
      </c>
      <c r="N118" s="62">
        <v>2</v>
      </c>
      <c r="O118" s="62">
        <v>2</v>
      </c>
      <c r="P118" s="62">
        <v>2</v>
      </c>
      <c r="Q118" s="72">
        <f t="shared" si="9"/>
        <v>2</v>
      </c>
      <c r="R118" s="62">
        <v>0</v>
      </c>
      <c r="S118" s="62">
        <v>0</v>
      </c>
      <c r="T118" s="7"/>
      <c r="U118" s="62">
        <v>0</v>
      </c>
      <c r="V118" s="7"/>
      <c r="W118" s="72">
        <f t="shared" si="10"/>
        <v>0</v>
      </c>
      <c r="X118" s="62">
        <v>0</v>
      </c>
      <c r="Y118" s="62">
        <v>0</v>
      </c>
      <c r="Z118" s="7"/>
      <c r="AA118" s="7"/>
      <c r="AB118" s="7"/>
      <c r="AC118" s="72">
        <f t="shared" si="11"/>
        <v>0</v>
      </c>
      <c r="AD118" s="62">
        <v>0</v>
      </c>
      <c r="AE118" s="7"/>
      <c r="AF118" s="62">
        <v>0</v>
      </c>
      <c r="AG118" s="7"/>
      <c r="AH118" s="7"/>
      <c r="AI118" s="72">
        <f t="shared" si="12"/>
        <v>0</v>
      </c>
      <c r="AJ118" s="7"/>
      <c r="AK118" s="7"/>
      <c r="AL118" s="7"/>
      <c r="AM118" s="7"/>
      <c r="AN118" s="7"/>
      <c r="AO118" s="72" t="str">
        <f t="shared" si="13"/>
        <v>A</v>
      </c>
      <c r="AP118" s="62">
        <v>0</v>
      </c>
      <c r="AQ118" s="62">
        <v>0</v>
      </c>
      <c r="AR118" s="62">
        <v>0</v>
      </c>
      <c r="AS118" s="7"/>
      <c r="AT118" s="7"/>
      <c r="AU118" s="72">
        <f t="shared" si="14"/>
        <v>0</v>
      </c>
      <c r="AV118" s="7"/>
      <c r="AW118" s="7"/>
      <c r="AX118" s="62">
        <v>0</v>
      </c>
      <c r="AY118" s="62">
        <v>0</v>
      </c>
      <c r="AZ118" s="62">
        <v>0</v>
      </c>
      <c r="BA118" s="72">
        <f t="shared" si="15"/>
        <v>0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2</v>
      </c>
      <c r="M119" s="62">
        <v>0</v>
      </c>
      <c r="N119" s="62">
        <v>0</v>
      </c>
      <c r="O119" s="62">
        <v>3</v>
      </c>
      <c r="P119" s="62">
        <v>0</v>
      </c>
      <c r="Q119" s="72">
        <f t="shared" si="9"/>
        <v>1</v>
      </c>
      <c r="R119" s="62">
        <v>0</v>
      </c>
      <c r="S119" s="62">
        <v>0</v>
      </c>
      <c r="T119" s="62"/>
      <c r="U119" s="62">
        <v>0</v>
      </c>
      <c r="V119" s="62"/>
      <c r="W119" s="72">
        <f t="shared" si="10"/>
        <v>0</v>
      </c>
      <c r="X119" s="62">
        <v>4</v>
      </c>
      <c r="Y119" s="62">
        <v>3</v>
      </c>
      <c r="Z119" s="62"/>
      <c r="AA119" s="62"/>
      <c r="AB119" s="62"/>
      <c r="AC119" s="72">
        <f t="shared" si="11"/>
        <v>3.5</v>
      </c>
      <c r="AD119" s="62">
        <v>0</v>
      </c>
      <c r="AE119" s="62"/>
      <c r="AF119" s="62">
        <v>0</v>
      </c>
      <c r="AG119" s="62"/>
      <c r="AH119" s="62"/>
      <c r="AI119" s="72">
        <f t="shared" si="12"/>
        <v>0</v>
      </c>
      <c r="AJ119" s="62"/>
      <c r="AK119" s="62"/>
      <c r="AL119" s="62"/>
      <c r="AM119" s="62"/>
      <c r="AN119" s="62"/>
      <c r="AO119" s="72" t="str">
        <f t="shared" si="13"/>
        <v>A</v>
      </c>
      <c r="AP119" s="62">
        <v>0</v>
      </c>
      <c r="AQ119" s="62">
        <v>0</v>
      </c>
      <c r="AR119" s="62">
        <v>0</v>
      </c>
      <c r="AS119" s="62"/>
      <c r="AT119" s="62"/>
      <c r="AU119" s="72">
        <f t="shared" si="14"/>
        <v>0</v>
      </c>
      <c r="AV119" s="62"/>
      <c r="AW119" s="62"/>
      <c r="AX119" s="62">
        <v>0</v>
      </c>
      <c r="AY119" s="62">
        <v>0</v>
      </c>
      <c r="AZ119" s="62">
        <v>0</v>
      </c>
      <c r="BA119" s="72">
        <f t="shared" si="15"/>
        <v>0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2</v>
      </c>
      <c r="M120" s="62">
        <v>2</v>
      </c>
      <c r="N120" s="62">
        <v>2</v>
      </c>
      <c r="O120" s="62">
        <v>2</v>
      </c>
      <c r="P120" s="62">
        <v>2</v>
      </c>
      <c r="Q120" s="72">
        <f t="shared" si="9"/>
        <v>2</v>
      </c>
      <c r="R120" s="62">
        <v>0</v>
      </c>
      <c r="S120" s="62">
        <v>0</v>
      </c>
      <c r="T120" s="7"/>
      <c r="U120" s="62">
        <v>0</v>
      </c>
      <c r="V120" s="7"/>
      <c r="W120" s="72">
        <f t="shared" si="10"/>
        <v>0</v>
      </c>
      <c r="X120" s="62">
        <v>0</v>
      </c>
      <c r="Y120" s="62">
        <v>0</v>
      </c>
      <c r="Z120" s="7"/>
      <c r="AA120" s="7"/>
      <c r="AB120" s="7"/>
      <c r="AC120" s="72">
        <f t="shared" si="11"/>
        <v>0</v>
      </c>
      <c r="AD120" s="62">
        <v>0</v>
      </c>
      <c r="AE120" s="7"/>
      <c r="AF120" s="62">
        <v>0</v>
      </c>
      <c r="AG120" s="7"/>
      <c r="AH120" s="7"/>
      <c r="AI120" s="72">
        <f t="shared" si="12"/>
        <v>0</v>
      </c>
      <c r="AJ120" s="7"/>
      <c r="AK120" s="7"/>
      <c r="AL120" s="7"/>
      <c r="AM120" s="7"/>
      <c r="AN120" s="7"/>
      <c r="AO120" s="72" t="str">
        <f t="shared" si="13"/>
        <v>A</v>
      </c>
      <c r="AP120" s="62">
        <v>0</v>
      </c>
      <c r="AQ120" s="62">
        <v>0</v>
      </c>
      <c r="AR120" s="62">
        <v>0</v>
      </c>
      <c r="AS120" s="7"/>
      <c r="AT120" s="7"/>
      <c r="AU120" s="72">
        <f t="shared" si="14"/>
        <v>0</v>
      </c>
      <c r="AV120" s="7"/>
      <c r="AW120" s="7"/>
      <c r="AX120" s="62">
        <v>0</v>
      </c>
      <c r="AY120" s="62">
        <v>0</v>
      </c>
      <c r="AZ120" s="62">
        <v>0</v>
      </c>
      <c r="BA120" s="72">
        <f t="shared" si="15"/>
        <v>0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>
        <v>2</v>
      </c>
      <c r="N121" s="62">
        <v>2</v>
      </c>
      <c r="O121" s="62">
        <v>2</v>
      </c>
      <c r="P121" s="62">
        <v>2</v>
      </c>
      <c r="Q121" s="72">
        <f t="shared" si="9"/>
        <v>2</v>
      </c>
      <c r="R121" s="62">
        <v>2</v>
      </c>
      <c r="S121" s="62">
        <v>2</v>
      </c>
      <c r="T121" s="62"/>
      <c r="U121" s="62">
        <v>2</v>
      </c>
      <c r="V121" s="62"/>
      <c r="W121" s="72">
        <f t="shared" si="10"/>
        <v>2</v>
      </c>
      <c r="X121" s="62">
        <v>2</v>
      </c>
      <c r="Y121" s="62">
        <v>2</v>
      </c>
      <c r="Z121" s="62"/>
      <c r="AA121" s="62"/>
      <c r="AB121" s="62"/>
      <c r="AC121" s="72">
        <f t="shared" si="11"/>
        <v>2</v>
      </c>
      <c r="AD121" s="62">
        <v>2</v>
      </c>
      <c r="AE121" s="62"/>
      <c r="AF121" s="62">
        <v>2</v>
      </c>
      <c r="AG121" s="62"/>
      <c r="AH121" s="62"/>
      <c r="AI121" s="72">
        <f t="shared" si="12"/>
        <v>2</v>
      </c>
      <c r="AJ121" s="62"/>
      <c r="AK121" s="62"/>
      <c r="AL121" s="62"/>
      <c r="AM121" s="62"/>
      <c r="AN121" s="62"/>
      <c r="AO121" s="72" t="str">
        <f t="shared" si="13"/>
        <v>A</v>
      </c>
      <c r="AP121" s="62">
        <v>2</v>
      </c>
      <c r="AQ121" s="62">
        <v>2</v>
      </c>
      <c r="AR121" s="62">
        <v>2</v>
      </c>
      <c r="AS121" s="62"/>
      <c r="AT121" s="62"/>
      <c r="AU121" s="72">
        <f t="shared" si="14"/>
        <v>2</v>
      </c>
      <c r="AV121" s="62"/>
      <c r="AW121" s="62"/>
      <c r="AX121" s="62">
        <v>2</v>
      </c>
      <c r="AY121" s="62">
        <v>2</v>
      </c>
      <c r="AZ121" s="62">
        <v>2</v>
      </c>
      <c r="BA121" s="72">
        <f t="shared" si="15"/>
        <v>2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1</v>
      </c>
      <c r="M122" s="62">
        <v>1</v>
      </c>
      <c r="N122" s="62">
        <v>1</v>
      </c>
      <c r="O122" s="62">
        <v>3</v>
      </c>
      <c r="P122" s="62">
        <v>1</v>
      </c>
      <c r="Q122" s="72">
        <f t="shared" si="9"/>
        <v>1.4</v>
      </c>
      <c r="R122" s="62">
        <v>0</v>
      </c>
      <c r="S122" s="62">
        <v>0</v>
      </c>
      <c r="T122" s="7"/>
      <c r="U122" s="62">
        <v>0</v>
      </c>
      <c r="V122" s="7"/>
      <c r="W122" s="72">
        <f t="shared" si="10"/>
        <v>0</v>
      </c>
      <c r="X122" s="62">
        <v>0</v>
      </c>
      <c r="Y122" s="62">
        <v>0</v>
      </c>
      <c r="Z122" s="7"/>
      <c r="AA122" s="7"/>
      <c r="AB122" s="7"/>
      <c r="AC122" s="72">
        <f t="shared" si="11"/>
        <v>0</v>
      </c>
      <c r="AD122" s="62">
        <v>0</v>
      </c>
      <c r="AE122" s="7"/>
      <c r="AF122" s="62">
        <v>0</v>
      </c>
      <c r="AG122" s="7"/>
      <c r="AH122" s="7"/>
      <c r="AI122" s="72">
        <f t="shared" si="12"/>
        <v>0</v>
      </c>
      <c r="AJ122" s="7"/>
      <c r="AK122" s="7"/>
      <c r="AL122" s="7"/>
      <c r="AM122" s="7"/>
      <c r="AN122" s="7"/>
      <c r="AO122" s="72" t="str">
        <f t="shared" si="13"/>
        <v>A</v>
      </c>
      <c r="AP122" s="62">
        <v>0</v>
      </c>
      <c r="AQ122" s="62">
        <v>0</v>
      </c>
      <c r="AR122" s="62">
        <v>0</v>
      </c>
      <c r="AS122" s="7"/>
      <c r="AT122" s="7"/>
      <c r="AU122" s="72">
        <f t="shared" si="14"/>
        <v>0</v>
      </c>
      <c r="AV122" s="7"/>
      <c r="AW122" s="7"/>
      <c r="AX122" s="62">
        <v>0</v>
      </c>
      <c r="AY122" s="62">
        <v>0</v>
      </c>
      <c r="AZ122" s="62">
        <v>0</v>
      </c>
      <c r="BA122" s="72">
        <f t="shared" si="15"/>
        <v>0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2</v>
      </c>
      <c r="M123" s="62">
        <v>2</v>
      </c>
      <c r="N123" s="62">
        <v>2</v>
      </c>
      <c r="O123" s="62">
        <v>2</v>
      </c>
      <c r="P123" s="62">
        <v>2</v>
      </c>
      <c r="Q123" s="72">
        <f t="shared" si="9"/>
        <v>2</v>
      </c>
      <c r="R123" s="62">
        <v>0</v>
      </c>
      <c r="S123" s="62">
        <v>0</v>
      </c>
      <c r="T123" s="62"/>
      <c r="U123" s="62">
        <v>0</v>
      </c>
      <c r="V123" s="62"/>
      <c r="W123" s="72">
        <f t="shared" si="10"/>
        <v>0</v>
      </c>
      <c r="X123" s="62">
        <v>0</v>
      </c>
      <c r="Y123" s="62">
        <v>0</v>
      </c>
      <c r="Z123" s="62"/>
      <c r="AA123" s="62"/>
      <c r="AB123" s="62"/>
      <c r="AC123" s="72">
        <f t="shared" si="11"/>
        <v>0</v>
      </c>
      <c r="AD123" s="62">
        <v>0</v>
      </c>
      <c r="AE123" s="62"/>
      <c r="AF123" s="62">
        <v>0</v>
      </c>
      <c r="AG123" s="62"/>
      <c r="AH123" s="62"/>
      <c r="AI123" s="72">
        <f t="shared" si="12"/>
        <v>0</v>
      </c>
      <c r="AJ123" s="62"/>
      <c r="AK123" s="62"/>
      <c r="AL123" s="62"/>
      <c r="AM123" s="62"/>
      <c r="AN123" s="62"/>
      <c r="AO123" s="72" t="str">
        <f t="shared" si="13"/>
        <v>A</v>
      </c>
      <c r="AP123" s="62">
        <v>0</v>
      </c>
      <c r="AQ123" s="62">
        <v>0</v>
      </c>
      <c r="AR123" s="62">
        <v>0</v>
      </c>
      <c r="AS123" s="62"/>
      <c r="AT123" s="62"/>
      <c r="AU123" s="72">
        <f t="shared" si="14"/>
        <v>0</v>
      </c>
      <c r="AV123" s="62"/>
      <c r="AW123" s="62"/>
      <c r="AX123" s="62">
        <v>0</v>
      </c>
      <c r="AY123" s="62">
        <v>0</v>
      </c>
      <c r="AZ123" s="62">
        <v>0</v>
      </c>
      <c r="BA123" s="72">
        <f t="shared" si="15"/>
        <v>0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2</v>
      </c>
      <c r="M124" s="62">
        <v>2</v>
      </c>
      <c r="N124" s="62">
        <v>2</v>
      </c>
      <c r="O124" s="62">
        <v>2</v>
      </c>
      <c r="P124" s="62">
        <v>2</v>
      </c>
      <c r="Q124" s="72">
        <f t="shared" si="9"/>
        <v>2</v>
      </c>
      <c r="R124" s="62">
        <v>2</v>
      </c>
      <c r="S124" s="62">
        <v>2</v>
      </c>
      <c r="T124" s="7"/>
      <c r="U124" s="62">
        <v>2</v>
      </c>
      <c r="V124" s="7"/>
      <c r="W124" s="72">
        <f t="shared" si="10"/>
        <v>2</v>
      </c>
      <c r="X124" s="62">
        <v>2</v>
      </c>
      <c r="Y124" s="62">
        <v>2</v>
      </c>
      <c r="Z124" s="7"/>
      <c r="AA124" s="7"/>
      <c r="AB124" s="7"/>
      <c r="AC124" s="72">
        <f t="shared" si="11"/>
        <v>2</v>
      </c>
      <c r="AD124" s="62">
        <v>2</v>
      </c>
      <c r="AE124" s="7"/>
      <c r="AF124" s="62">
        <v>2</v>
      </c>
      <c r="AG124" s="7"/>
      <c r="AH124" s="7"/>
      <c r="AI124" s="72">
        <f t="shared" si="12"/>
        <v>2</v>
      </c>
      <c r="AJ124" s="7"/>
      <c r="AK124" s="7"/>
      <c r="AL124" s="7"/>
      <c r="AM124" s="7"/>
      <c r="AN124" s="7"/>
      <c r="AO124" s="72" t="str">
        <f t="shared" si="13"/>
        <v>A</v>
      </c>
      <c r="AP124" s="62">
        <v>2</v>
      </c>
      <c r="AQ124" s="62">
        <v>2</v>
      </c>
      <c r="AR124" s="62">
        <v>2</v>
      </c>
      <c r="AS124" s="7"/>
      <c r="AT124" s="7"/>
      <c r="AU124" s="72">
        <f t="shared" si="14"/>
        <v>2</v>
      </c>
      <c r="AV124" s="7"/>
      <c r="AW124" s="7"/>
      <c r="AX124" s="62">
        <v>2</v>
      </c>
      <c r="AY124" s="62">
        <v>2</v>
      </c>
      <c r="AZ124" s="62">
        <v>2</v>
      </c>
      <c r="BA124" s="72">
        <f t="shared" si="15"/>
        <v>2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2</v>
      </c>
      <c r="M125" s="62">
        <v>2</v>
      </c>
      <c r="N125" s="62">
        <v>2</v>
      </c>
      <c r="O125" s="62">
        <v>2</v>
      </c>
      <c r="P125" s="62">
        <v>2</v>
      </c>
      <c r="Q125" s="72">
        <f t="shared" si="9"/>
        <v>2</v>
      </c>
      <c r="R125" s="62">
        <v>0</v>
      </c>
      <c r="S125" s="62">
        <v>0</v>
      </c>
      <c r="T125" s="62"/>
      <c r="U125" s="62">
        <v>0</v>
      </c>
      <c r="V125" s="62"/>
      <c r="W125" s="72">
        <f t="shared" si="10"/>
        <v>0</v>
      </c>
      <c r="X125" s="62">
        <v>0</v>
      </c>
      <c r="Y125" s="62">
        <v>0</v>
      </c>
      <c r="Z125" s="62"/>
      <c r="AA125" s="62"/>
      <c r="AB125" s="62"/>
      <c r="AC125" s="72">
        <f t="shared" si="11"/>
        <v>0</v>
      </c>
      <c r="AD125" s="62">
        <v>0</v>
      </c>
      <c r="AE125" s="62"/>
      <c r="AF125" s="62">
        <v>0</v>
      </c>
      <c r="AG125" s="62"/>
      <c r="AH125" s="62"/>
      <c r="AI125" s="72">
        <f t="shared" si="12"/>
        <v>0</v>
      </c>
      <c r="AJ125" s="62"/>
      <c r="AK125" s="62"/>
      <c r="AL125" s="62"/>
      <c r="AM125" s="62"/>
      <c r="AN125" s="62"/>
      <c r="AO125" s="72" t="str">
        <f t="shared" si="13"/>
        <v>A</v>
      </c>
      <c r="AP125" s="62">
        <v>0</v>
      </c>
      <c r="AQ125" s="62">
        <v>0</v>
      </c>
      <c r="AR125" s="62">
        <v>0</v>
      </c>
      <c r="AS125" s="62"/>
      <c r="AT125" s="62"/>
      <c r="AU125" s="72">
        <f t="shared" si="14"/>
        <v>0</v>
      </c>
      <c r="AV125" s="62"/>
      <c r="AW125" s="62"/>
      <c r="AX125" s="62">
        <v>0</v>
      </c>
      <c r="AY125" s="62">
        <v>0</v>
      </c>
      <c r="AZ125" s="62">
        <v>0</v>
      </c>
      <c r="BA125" s="72">
        <f t="shared" si="15"/>
        <v>0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3</v>
      </c>
      <c r="M126" s="62">
        <v>2</v>
      </c>
      <c r="N126" s="62">
        <v>2</v>
      </c>
      <c r="O126" s="62">
        <v>3</v>
      </c>
      <c r="P126" s="62">
        <v>2</v>
      </c>
      <c r="Q126" s="72">
        <f t="shared" si="9"/>
        <v>2.4</v>
      </c>
      <c r="R126" s="62">
        <v>0</v>
      </c>
      <c r="S126" s="62">
        <v>0</v>
      </c>
      <c r="T126" s="7"/>
      <c r="U126" s="62">
        <v>0</v>
      </c>
      <c r="V126" s="7"/>
      <c r="W126" s="72">
        <f t="shared" si="10"/>
        <v>0</v>
      </c>
      <c r="X126" s="62">
        <v>0</v>
      </c>
      <c r="Y126" s="62">
        <v>0</v>
      </c>
      <c r="Z126" s="7"/>
      <c r="AA126" s="7"/>
      <c r="AB126" s="7"/>
      <c r="AC126" s="72">
        <f t="shared" si="11"/>
        <v>0</v>
      </c>
      <c r="AD126" s="62">
        <v>0</v>
      </c>
      <c r="AE126" s="7"/>
      <c r="AF126" s="62">
        <v>0</v>
      </c>
      <c r="AG126" s="7"/>
      <c r="AH126" s="7"/>
      <c r="AI126" s="72">
        <f t="shared" si="12"/>
        <v>0</v>
      </c>
      <c r="AJ126" s="7"/>
      <c r="AK126" s="7"/>
      <c r="AL126" s="7"/>
      <c r="AM126" s="7"/>
      <c r="AN126" s="7"/>
      <c r="AO126" s="72" t="str">
        <f t="shared" si="13"/>
        <v>A</v>
      </c>
      <c r="AP126" s="62">
        <v>0</v>
      </c>
      <c r="AQ126" s="62">
        <v>0</v>
      </c>
      <c r="AR126" s="62">
        <v>0</v>
      </c>
      <c r="AS126" s="7"/>
      <c r="AT126" s="7"/>
      <c r="AU126" s="72">
        <f t="shared" si="14"/>
        <v>0</v>
      </c>
      <c r="AV126" s="7"/>
      <c r="AW126" s="7"/>
      <c r="AX126" s="62">
        <v>0</v>
      </c>
      <c r="AY126" s="62">
        <v>0</v>
      </c>
      <c r="AZ126" s="62">
        <v>0</v>
      </c>
      <c r="BA126" s="72">
        <f t="shared" si="15"/>
        <v>0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3</v>
      </c>
      <c r="M127" s="62">
        <v>3</v>
      </c>
      <c r="N127" s="62">
        <v>3</v>
      </c>
      <c r="O127" s="62">
        <v>3</v>
      </c>
      <c r="P127" s="62">
        <v>3</v>
      </c>
      <c r="Q127" s="72">
        <f t="shared" si="9"/>
        <v>3</v>
      </c>
      <c r="R127" s="62">
        <v>3</v>
      </c>
      <c r="S127" s="62">
        <v>3</v>
      </c>
      <c r="T127" s="62"/>
      <c r="U127" s="62">
        <v>3</v>
      </c>
      <c r="V127" s="62"/>
      <c r="W127" s="72">
        <f t="shared" si="10"/>
        <v>3</v>
      </c>
      <c r="X127" s="62">
        <v>4</v>
      </c>
      <c r="Y127" s="62">
        <v>4</v>
      </c>
      <c r="Z127" s="62"/>
      <c r="AA127" s="62"/>
      <c r="AB127" s="62"/>
      <c r="AC127" s="72">
        <f t="shared" si="11"/>
        <v>4</v>
      </c>
      <c r="AD127" s="62">
        <v>3</v>
      </c>
      <c r="AE127" s="62"/>
      <c r="AF127" s="62">
        <v>3</v>
      </c>
      <c r="AG127" s="62"/>
      <c r="AH127" s="62"/>
      <c r="AI127" s="72">
        <f t="shared" si="12"/>
        <v>3</v>
      </c>
      <c r="AJ127" s="62"/>
      <c r="AK127" s="62"/>
      <c r="AL127" s="62"/>
      <c r="AM127" s="62"/>
      <c r="AN127" s="62"/>
      <c r="AO127" s="72" t="str">
        <f t="shared" si="13"/>
        <v>A</v>
      </c>
      <c r="AP127" s="62">
        <v>3</v>
      </c>
      <c r="AQ127" s="62">
        <v>3</v>
      </c>
      <c r="AR127" s="62">
        <v>3</v>
      </c>
      <c r="AS127" s="62"/>
      <c r="AT127" s="62"/>
      <c r="AU127" s="72">
        <f t="shared" si="14"/>
        <v>3</v>
      </c>
      <c r="AV127" s="62"/>
      <c r="AW127" s="62"/>
      <c r="AX127" s="62">
        <v>3</v>
      </c>
      <c r="AY127" s="62">
        <v>0</v>
      </c>
      <c r="AZ127" s="62">
        <v>0</v>
      </c>
      <c r="BA127" s="72">
        <f t="shared" si="15"/>
        <v>1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2</v>
      </c>
      <c r="M128" s="62">
        <v>0</v>
      </c>
      <c r="N128" s="62">
        <v>0</v>
      </c>
      <c r="O128" s="62">
        <v>3</v>
      </c>
      <c r="P128" s="62">
        <v>0</v>
      </c>
      <c r="Q128" s="72">
        <f t="shared" si="9"/>
        <v>1</v>
      </c>
      <c r="R128" s="62">
        <v>0</v>
      </c>
      <c r="S128" s="62">
        <v>0</v>
      </c>
      <c r="T128" s="7"/>
      <c r="U128" s="62">
        <v>0</v>
      </c>
      <c r="V128" s="7"/>
      <c r="W128" s="72">
        <f t="shared" si="10"/>
        <v>0</v>
      </c>
      <c r="X128" s="62">
        <v>3</v>
      </c>
      <c r="Y128" s="62">
        <v>2</v>
      </c>
      <c r="Z128" s="7"/>
      <c r="AA128" s="7"/>
      <c r="AB128" s="7"/>
      <c r="AC128" s="72">
        <f t="shared" si="11"/>
        <v>2.5</v>
      </c>
      <c r="AD128" s="62">
        <v>0</v>
      </c>
      <c r="AE128" s="7"/>
      <c r="AF128" s="62">
        <v>0</v>
      </c>
      <c r="AG128" s="7"/>
      <c r="AH128" s="7"/>
      <c r="AI128" s="72">
        <f t="shared" si="12"/>
        <v>0</v>
      </c>
      <c r="AJ128" s="7"/>
      <c r="AK128" s="7"/>
      <c r="AL128" s="7"/>
      <c r="AM128" s="7"/>
      <c r="AN128" s="7"/>
      <c r="AO128" s="72" t="str">
        <f t="shared" si="13"/>
        <v>A</v>
      </c>
      <c r="AP128" s="62">
        <v>0</v>
      </c>
      <c r="AQ128" s="62">
        <v>0</v>
      </c>
      <c r="AR128" s="62">
        <v>0</v>
      </c>
      <c r="AS128" s="7"/>
      <c r="AT128" s="7"/>
      <c r="AU128" s="72">
        <f t="shared" si="14"/>
        <v>0</v>
      </c>
      <c r="AV128" s="7"/>
      <c r="AW128" s="7"/>
      <c r="AX128" s="62">
        <v>0</v>
      </c>
      <c r="AY128" s="62">
        <v>0</v>
      </c>
      <c r="AZ128" s="62">
        <v>0</v>
      </c>
      <c r="BA128" s="72">
        <f t="shared" si="15"/>
        <v>0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2</v>
      </c>
      <c r="M129" s="62">
        <v>2</v>
      </c>
      <c r="N129" s="62">
        <v>2</v>
      </c>
      <c r="O129" s="62">
        <v>2</v>
      </c>
      <c r="P129" s="62">
        <v>2</v>
      </c>
      <c r="Q129" s="72">
        <f t="shared" si="9"/>
        <v>2</v>
      </c>
      <c r="R129" s="62">
        <v>0</v>
      </c>
      <c r="S129" s="62">
        <v>0</v>
      </c>
      <c r="T129" s="62"/>
      <c r="U129" s="62">
        <v>0</v>
      </c>
      <c r="V129" s="62"/>
      <c r="W129" s="72">
        <f t="shared" si="10"/>
        <v>0</v>
      </c>
      <c r="X129" s="62">
        <v>0</v>
      </c>
      <c r="Y129" s="62">
        <v>0</v>
      </c>
      <c r="Z129" s="62"/>
      <c r="AA129" s="62"/>
      <c r="AB129" s="62"/>
      <c r="AC129" s="72">
        <f t="shared" si="11"/>
        <v>0</v>
      </c>
      <c r="AD129" s="62">
        <v>0</v>
      </c>
      <c r="AE129" s="62"/>
      <c r="AF129" s="62">
        <v>0</v>
      </c>
      <c r="AG129" s="62"/>
      <c r="AH129" s="62"/>
      <c r="AI129" s="72">
        <f t="shared" si="12"/>
        <v>0</v>
      </c>
      <c r="AJ129" s="62"/>
      <c r="AK129" s="62"/>
      <c r="AL129" s="62"/>
      <c r="AM129" s="62"/>
      <c r="AN129" s="62"/>
      <c r="AO129" s="72" t="str">
        <f t="shared" si="13"/>
        <v>A</v>
      </c>
      <c r="AP129" s="62">
        <v>0</v>
      </c>
      <c r="AQ129" s="62">
        <v>0</v>
      </c>
      <c r="AR129" s="62">
        <v>0</v>
      </c>
      <c r="AS129" s="62"/>
      <c r="AT129" s="62"/>
      <c r="AU129" s="72">
        <f t="shared" si="14"/>
        <v>0</v>
      </c>
      <c r="AV129" s="62"/>
      <c r="AW129" s="62"/>
      <c r="AX129" s="62">
        <v>0</v>
      </c>
      <c r="AY129" s="62">
        <v>0</v>
      </c>
      <c r="AZ129" s="62">
        <v>0</v>
      </c>
      <c r="BA129" s="72">
        <f t="shared" si="15"/>
        <v>0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2</v>
      </c>
      <c r="M130" s="62">
        <v>2</v>
      </c>
      <c r="N130" s="62">
        <v>2</v>
      </c>
      <c r="O130" s="62">
        <v>2</v>
      </c>
      <c r="P130" s="62">
        <v>2</v>
      </c>
      <c r="Q130" s="72">
        <f t="shared" si="9"/>
        <v>2</v>
      </c>
      <c r="R130" s="62">
        <v>0</v>
      </c>
      <c r="S130" s="62">
        <v>0</v>
      </c>
      <c r="T130" s="7"/>
      <c r="U130" s="62">
        <v>0</v>
      </c>
      <c r="V130" s="7"/>
      <c r="W130" s="72">
        <f t="shared" si="10"/>
        <v>0</v>
      </c>
      <c r="X130" s="62">
        <v>0</v>
      </c>
      <c r="Y130" s="62">
        <v>0</v>
      </c>
      <c r="Z130" s="7"/>
      <c r="AA130" s="7"/>
      <c r="AB130" s="7"/>
      <c r="AC130" s="72">
        <f t="shared" si="11"/>
        <v>0</v>
      </c>
      <c r="AD130" s="62">
        <v>0</v>
      </c>
      <c r="AE130" s="7"/>
      <c r="AF130" s="62">
        <v>0</v>
      </c>
      <c r="AG130" s="7"/>
      <c r="AH130" s="7"/>
      <c r="AI130" s="72">
        <f t="shared" si="12"/>
        <v>0</v>
      </c>
      <c r="AJ130" s="7"/>
      <c r="AK130" s="7"/>
      <c r="AL130" s="7"/>
      <c r="AM130" s="7"/>
      <c r="AN130" s="7"/>
      <c r="AO130" s="72" t="str">
        <f t="shared" si="13"/>
        <v>A</v>
      </c>
      <c r="AP130" s="62">
        <v>0</v>
      </c>
      <c r="AQ130" s="62">
        <v>0</v>
      </c>
      <c r="AR130" s="62">
        <v>0</v>
      </c>
      <c r="AS130" s="7"/>
      <c r="AT130" s="7"/>
      <c r="AU130" s="72">
        <f t="shared" si="14"/>
        <v>0</v>
      </c>
      <c r="AV130" s="7"/>
      <c r="AW130" s="7"/>
      <c r="AX130" s="62">
        <v>0</v>
      </c>
      <c r="AY130" s="62">
        <v>0</v>
      </c>
      <c r="AZ130" s="62">
        <v>0</v>
      </c>
      <c r="BA130" s="72">
        <f t="shared" si="15"/>
        <v>0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2</v>
      </c>
      <c r="M131" s="62">
        <v>2</v>
      </c>
      <c r="N131" s="62">
        <v>2</v>
      </c>
      <c r="O131" s="62">
        <v>3</v>
      </c>
      <c r="P131" s="62">
        <v>2</v>
      </c>
      <c r="Q131" s="72">
        <f t="shared" si="9"/>
        <v>2.2000000000000002</v>
      </c>
      <c r="R131" s="62">
        <v>0</v>
      </c>
      <c r="S131" s="62">
        <v>0</v>
      </c>
      <c r="T131" s="62"/>
      <c r="U131" s="62">
        <v>0</v>
      </c>
      <c r="V131" s="62"/>
      <c r="W131" s="72">
        <f t="shared" si="10"/>
        <v>0</v>
      </c>
      <c r="X131" s="62">
        <v>2</v>
      </c>
      <c r="Y131" s="62">
        <v>2</v>
      </c>
      <c r="Z131" s="62"/>
      <c r="AA131" s="62"/>
      <c r="AB131" s="62"/>
      <c r="AC131" s="72">
        <f t="shared" si="11"/>
        <v>2</v>
      </c>
      <c r="AD131" s="62">
        <v>0</v>
      </c>
      <c r="AE131" s="62"/>
      <c r="AF131" s="62">
        <v>0</v>
      </c>
      <c r="AG131" s="62"/>
      <c r="AH131" s="62"/>
      <c r="AI131" s="72">
        <f t="shared" si="12"/>
        <v>0</v>
      </c>
      <c r="AJ131" s="62"/>
      <c r="AK131" s="62"/>
      <c r="AL131" s="62"/>
      <c r="AM131" s="62"/>
      <c r="AN131" s="62"/>
      <c r="AO131" s="72" t="str">
        <f t="shared" si="13"/>
        <v>A</v>
      </c>
      <c r="AP131" s="62">
        <v>0</v>
      </c>
      <c r="AQ131" s="62">
        <v>0</v>
      </c>
      <c r="AR131" s="62">
        <v>0</v>
      </c>
      <c r="AS131" s="62"/>
      <c r="AT131" s="62"/>
      <c r="AU131" s="72">
        <f t="shared" si="14"/>
        <v>0</v>
      </c>
      <c r="AV131" s="62"/>
      <c r="AW131" s="62"/>
      <c r="AX131" s="62">
        <v>0</v>
      </c>
      <c r="AY131" s="62">
        <v>0</v>
      </c>
      <c r="AZ131" s="62">
        <v>0</v>
      </c>
      <c r="BA131" s="72">
        <f t="shared" si="15"/>
        <v>0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3</v>
      </c>
      <c r="M132" s="62">
        <v>3</v>
      </c>
      <c r="N132" s="62">
        <v>3</v>
      </c>
      <c r="O132" s="62">
        <v>3</v>
      </c>
      <c r="P132" s="62">
        <v>3</v>
      </c>
      <c r="Q132" s="72">
        <f t="shared" ref="Q132:Q195" si="17">IFERROR(AVERAGE(M132,N132,L132,O132,P132),"A")</f>
        <v>3</v>
      </c>
      <c r="R132" s="62">
        <v>0</v>
      </c>
      <c r="S132" s="62">
        <v>0</v>
      </c>
      <c r="T132" s="7"/>
      <c r="U132" s="62">
        <v>0</v>
      </c>
      <c r="V132" s="7"/>
      <c r="W132" s="72">
        <f t="shared" ref="W132:W195" si="18">IFERROR(AVERAGE(R132,S132,U132),"A")</f>
        <v>0</v>
      </c>
      <c r="X132" s="62">
        <v>0</v>
      </c>
      <c r="Y132" s="62">
        <v>0</v>
      </c>
      <c r="Z132" s="7"/>
      <c r="AA132" s="7"/>
      <c r="AB132" s="7"/>
      <c r="AC132" s="72">
        <f t="shared" ref="AC132:AC195" si="19">IFERROR(AVERAGE(Y132,X132),"A")</f>
        <v>0</v>
      </c>
      <c r="AD132" s="62">
        <v>0</v>
      </c>
      <c r="AE132" s="7"/>
      <c r="AF132" s="62">
        <v>0</v>
      </c>
      <c r="AG132" s="7"/>
      <c r="AH132" s="7"/>
      <c r="AI132" s="72">
        <f t="shared" ref="AI132:AI195" si="20">IFERROR(AVERAGE(AF132,AD132),"A")</f>
        <v>0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62">
        <v>0</v>
      </c>
      <c r="AQ132" s="62">
        <v>0</v>
      </c>
      <c r="AR132" s="62">
        <v>0</v>
      </c>
      <c r="AS132" s="7"/>
      <c r="AT132" s="7"/>
      <c r="AU132" s="72">
        <f t="shared" ref="AU132:AU195" si="22">IFERROR(AVERAGE(AR132,AQ132,AP132),"A")</f>
        <v>0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3</v>
      </c>
      <c r="M133" s="62">
        <v>3</v>
      </c>
      <c r="N133" s="62">
        <v>3</v>
      </c>
      <c r="O133" s="62">
        <v>3</v>
      </c>
      <c r="P133" s="62">
        <v>3</v>
      </c>
      <c r="Q133" s="72">
        <f t="shared" si="17"/>
        <v>3</v>
      </c>
      <c r="R133" s="62">
        <v>3</v>
      </c>
      <c r="S133" s="62">
        <v>3</v>
      </c>
      <c r="T133" s="62"/>
      <c r="U133" s="62">
        <v>3</v>
      </c>
      <c r="V133" s="62"/>
      <c r="W133" s="72">
        <f t="shared" si="18"/>
        <v>3</v>
      </c>
      <c r="X133" s="62">
        <v>4</v>
      </c>
      <c r="Y133" s="62">
        <v>4</v>
      </c>
      <c r="Z133" s="62"/>
      <c r="AA133" s="62"/>
      <c r="AB133" s="62"/>
      <c r="AC133" s="72">
        <f t="shared" si="19"/>
        <v>4</v>
      </c>
      <c r="AD133" s="62">
        <v>3</v>
      </c>
      <c r="AE133" s="62"/>
      <c r="AF133" s="62">
        <v>4</v>
      </c>
      <c r="AG133" s="62"/>
      <c r="AH133" s="62"/>
      <c r="AI133" s="72">
        <f t="shared" si="20"/>
        <v>3.5</v>
      </c>
      <c r="AJ133" s="62"/>
      <c r="AK133" s="62"/>
      <c r="AL133" s="62"/>
      <c r="AM133" s="62"/>
      <c r="AN133" s="62"/>
      <c r="AO133" s="72" t="str">
        <f t="shared" si="21"/>
        <v>A</v>
      </c>
      <c r="AP133" s="62">
        <v>3</v>
      </c>
      <c r="AQ133" s="62">
        <v>3</v>
      </c>
      <c r="AR133" s="62">
        <v>4</v>
      </c>
      <c r="AS133" s="62"/>
      <c r="AT133" s="62"/>
      <c r="AU133" s="72">
        <f t="shared" si="22"/>
        <v>3.3333333333333335</v>
      </c>
      <c r="AV133" s="62"/>
      <c r="AW133" s="62"/>
      <c r="AX133" s="62">
        <v>3</v>
      </c>
      <c r="AY133" s="62">
        <v>0</v>
      </c>
      <c r="AZ133" s="62">
        <v>0</v>
      </c>
      <c r="BA133" s="72">
        <f t="shared" si="23"/>
        <v>1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>
        <v>2</v>
      </c>
      <c r="N134" s="62">
        <v>3</v>
      </c>
      <c r="O134" s="62">
        <v>3</v>
      </c>
      <c r="P134" s="62">
        <v>3</v>
      </c>
      <c r="Q134" s="72">
        <f t="shared" si="17"/>
        <v>2.8</v>
      </c>
      <c r="R134" s="62">
        <v>0</v>
      </c>
      <c r="S134" s="62">
        <v>0</v>
      </c>
      <c r="T134" s="7"/>
      <c r="U134" s="62">
        <v>0</v>
      </c>
      <c r="V134" s="7"/>
      <c r="W134" s="72">
        <f t="shared" si="18"/>
        <v>0</v>
      </c>
      <c r="X134" s="62">
        <v>0</v>
      </c>
      <c r="Y134" s="62">
        <v>0</v>
      </c>
      <c r="Z134" s="7"/>
      <c r="AA134" s="7"/>
      <c r="AB134" s="7"/>
      <c r="AC134" s="72">
        <f t="shared" si="19"/>
        <v>0</v>
      </c>
      <c r="AD134" s="62">
        <v>0</v>
      </c>
      <c r="AE134" s="7"/>
      <c r="AF134" s="62">
        <v>0</v>
      </c>
      <c r="AG134" s="7"/>
      <c r="AH134" s="7"/>
      <c r="AI134" s="72">
        <f t="shared" si="20"/>
        <v>0</v>
      </c>
      <c r="AJ134" s="7"/>
      <c r="AK134" s="7"/>
      <c r="AL134" s="7"/>
      <c r="AM134" s="7"/>
      <c r="AN134" s="7"/>
      <c r="AO134" s="72" t="str">
        <f t="shared" si="21"/>
        <v>A</v>
      </c>
      <c r="AP134" s="62">
        <v>0</v>
      </c>
      <c r="AQ134" s="62">
        <v>0</v>
      </c>
      <c r="AR134" s="62">
        <v>0</v>
      </c>
      <c r="AS134" s="7"/>
      <c r="AT134" s="7"/>
      <c r="AU134" s="72">
        <f t="shared" si="22"/>
        <v>0</v>
      </c>
      <c r="AV134" s="7"/>
      <c r="AW134" s="7"/>
      <c r="AX134" s="62">
        <v>0</v>
      </c>
      <c r="AY134" s="62">
        <v>0</v>
      </c>
      <c r="AZ134" s="62">
        <v>0</v>
      </c>
      <c r="BA134" s="72">
        <f t="shared" si="23"/>
        <v>0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0</v>
      </c>
      <c r="M135" s="62">
        <v>0</v>
      </c>
      <c r="N135" s="62">
        <v>0</v>
      </c>
      <c r="O135" s="62">
        <v>3</v>
      </c>
      <c r="P135" s="62">
        <v>0</v>
      </c>
      <c r="Q135" s="72">
        <f t="shared" si="17"/>
        <v>0.6</v>
      </c>
      <c r="R135" s="62">
        <v>0</v>
      </c>
      <c r="S135" s="62">
        <v>0</v>
      </c>
      <c r="T135" s="62"/>
      <c r="U135" s="62">
        <v>0</v>
      </c>
      <c r="V135" s="62"/>
      <c r="W135" s="72">
        <f t="shared" si="18"/>
        <v>0</v>
      </c>
      <c r="X135" s="62">
        <v>0</v>
      </c>
      <c r="Y135" s="62">
        <v>0</v>
      </c>
      <c r="Z135" s="62"/>
      <c r="AA135" s="62"/>
      <c r="AB135" s="62"/>
      <c r="AC135" s="72">
        <f t="shared" si="19"/>
        <v>0</v>
      </c>
      <c r="AD135" s="62">
        <v>0</v>
      </c>
      <c r="AE135" s="62"/>
      <c r="AF135" s="62">
        <v>0</v>
      </c>
      <c r="AG135" s="62"/>
      <c r="AH135" s="62"/>
      <c r="AI135" s="72">
        <f t="shared" si="20"/>
        <v>0</v>
      </c>
      <c r="AJ135" s="62"/>
      <c r="AK135" s="62"/>
      <c r="AL135" s="62"/>
      <c r="AM135" s="62"/>
      <c r="AN135" s="62"/>
      <c r="AO135" s="72" t="str">
        <f t="shared" si="21"/>
        <v>A</v>
      </c>
      <c r="AP135" s="62">
        <v>0</v>
      </c>
      <c r="AQ135" s="62">
        <v>0</v>
      </c>
      <c r="AR135" s="62">
        <v>0</v>
      </c>
      <c r="AS135" s="62"/>
      <c r="AT135" s="62"/>
      <c r="AU135" s="72">
        <f t="shared" si="22"/>
        <v>0</v>
      </c>
      <c r="AV135" s="62"/>
      <c r="AW135" s="62"/>
      <c r="AX135" s="62">
        <v>0</v>
      </c>
      <c r="AY135" s="62">
        <v>0</v>
      </c>
      <c r="AZ135" s="62">
        <v>0</v>
      </c>
      <c r="BA135" s="72">
        <f t="shared" si="23"/>
        <v>0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72">
        <f t="shared" si="17"/>
        <v>0</v>
      </c>
      <c r="R136" s="62">
        <v>0</v>
      </c>
      <c r="S136" s="62">
        <v>0</v>
      </c>
      <c r="T136" s="7"/>
      <c r="U136" s="62">
        <v>0</v>
      </c>
      <c r="V136" s="7"/>
      <c r="W136" s="72">
        <f t="shared" si="18"/>
        <v>0</v>
      </c>
      <c r="X136" s="62">
        <v>0</v>
      </c>
      <c r="Y136" s="62">
        <v>0</v>
      </c>
      <c r="Z136" s="7"/>
      <c r="AA136" s="7"/>
      <c r="AB136" s="7"/>
      <c r="AC136" s="72">
        <f t="shared" si="19"/>
        <v>0</v>
      </c>
      <c r="AD136" s="62">
        <v>2</v>
      </c>
      <c r="AE136" s="7"/>
      <c r="AF136" s="62">
        <v>3</v>
      </c>
      <c r="AG136" s="7"/>
      <c r="AH136" s="7"/>
      <c r="AI136" s="72">
        <f t="shared" si="20"/>
        <v>2.5</v>
      </c>
      <c r="AJ136" s="7"/>
      <c r="AK136" s="7"/>
      <c r="AL136" s="7"/>
      <c r="AM136" s="7"/>
      <c r="AN136" s="7"/>
      <c r="AO136" s="72" t="str">
        <f t="shared" si="21"/>
        <v>A</v>
      </c>
      <c r="AP136" s="62">
        <v>3</v>
      </c>
      <c r="AQ136" s="62">
        <v>2</v>
      </c>
      <c r="AR136" s="62">
        <v>3</v>
      </c>
      <c r="AS136" s="7"/>
      <c r="AT136" s="7"/>
      <c r="AU136" s="72">
        <f t="shared" si="22"/>
        <v>2.6666666666666665</v>
      </c>
      <c r="AV136" s="7"/>
      <c r="AW136" s="7"/>
      <c r="AX136" s="62">
        <v>3</v>
      </c>
      <c r="AY136" s="62">
        <v>0</v>
      </c>
      <c r="AZ136" s="62">
        <v>0</v>
      </c>
      <c r="BA136" s="72">
        <f t="shared" si="23"/>
        <v>1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2</v>
      </c>
      <c r="M137" s="62">
        <v>2</v>
      </c>
      <c r="N137" s="62">
        <v>2</v>
      </c>
      <c r="O137" s="62">
        <v>2</v>
      </c>
      <c r="P137" s="62">
        <v>2</v>
      </c>
      <c r="Q137" s="72">
        <f t="shared" si="17"/>
        <v>2</v>
      </c>
      <c r="R137" s="62">
        <v>2</v>
      </c>
      <c r="S137" s="62">
        <v>2</v>
      </c>
      <c r="T137" s="62"/>
      <c r="U137" s="62">
        <v>2</v>
      </c>
      <c r="V137" s="62"/>
      <c r="W137" s="72">
        <f t="shared" si="18"/>
        <v>2</v>
      </c>
      <c r="X137" s="62">
        <v>2</v>
      </c>
      <c r="Y137" s="62">
        <v>2</v>
      </c>
      <c r="Z137" s="62"/>
      <c r="AA137" s="62"/>
      <c r="AB137" s="62"/>
      <c r="AC137" s="72">
        <f t="shared" si="19"/>
        <v>2</v>
      </c>
      <c r="AD137" s="62">
        <v>2</v>
      </c>
      <c r="AE137" s="62"/>
      <c r="AF137" s="62">
        <v>2</v>
      </c>
      <c r="AG137" s="62"/>
      <c r="AH137" s="62"/>
      <c r="AI137" s="72">
        <f t="shared" si="20"/>
        <v>2</v>
      </c>
      <c r="AJ137" s="62"/>
      <c r="AK137" s="62"/>
      <c r="AL137" s="62"/>
      <c r="AM137" s="62"/>
      <c r="AN137" s="62"/>
      <c r="AO137" s="72" t="str">
        <f t="shared" si="21"/>
        <v>A</v>
      </c>
      <c r="AP137" s="62">
        <v>2</v>
      </c>
      <c r="AQ137" s="62">
        <v>2</v>
      </c>
      <c r="AR137" s="62">
        <v>2</v>
      </c>
      <c r="AS137" s="62"/>
      <c r="AT137" s="62"/>
      <c r="AU137" s="72">
        <f t="shared" si="22"/>
        <v>2</v>
      </c>
      <c r="AV137" s="62"/>
      <c r="AW137" s="62"/>
      <c r="AX137" s="62">
        <v>2</v>
      </c>
      <c r="AY137" s="62">
        <v>2</v>
      </c>
      <c r="AZ137" s="62">
        <v>2</v>
      </c>
      <c r="BA137" s="72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2</v>
      </c>
      <c r="M138" s="62">
        <v>2</v>
      </c>
      <c r="N138" s="62">
        <v>2</v>
      </c>
      <c r="O138" s="62">
        <v>2</v>
      </c>
      <c r="P138" s="62">
        <v>2</v>
      </c>
      <c r="Q138" s="72">
        <f t="shared" si="17"/>
        <v>2</v>
      </c>
      <c r="R138" s="62">
        <v>0</v>
      </c>
      <c r="S138" s="62">
        <v>0</v>
      </c>
      <c r="T138" s="7"/>
      <c r="U138" s="62">
        <v>0</v>
      </c>
      <c r="V138" s="7"/>
      <c r="W138" s="72">
        <f t="shared" si="18"/>
        <v>0</v>
      </c>
      <c r="X138" s="62">
        <v>0</v>
      </c>
      <c r="Y138" s="62">
        <v>0</v>
      </c>
      <c r="Z138" s="7"/>
      <c r="AA138" s="7"/>
      <c r="AB138" s="7"/>
      <c r="AC138" s="72">
        <f t="shared" si="19"/>
        <v>0</v>
      </c>
      <c r="AD138" s="62">
        <v>0</v>
      </c>
      <c r="AE138" s="7"/>
      <c r="AF138" s="62">
        <v>0</v>
      </c>
      <c r="AG138" s="7"/>
      <c r="AH138" s="7"/>
      <c r="AI138" s="72">
        <f t="shared" si="20"/>
        <v>0</v>
      </c>
      <c r="AJ138" s="7"/>
      <c r="AK138" s="7"/>
      <c r="AL138" s="7"/>
      <c r="AM138" s="7"/>
      <c r="AN138" s="7"/>
      <c r="AO138" s="72" t="str">
        <f t="shared" si="21"/>
        <v>A</v>
      </c>
      <c r="AP138" s="62">
        <v>0</v>
      </c>
      <c r="AQ138" s="62">
        <v>0</v>
      </c>
      <c r="AR138" s="62">
        <v>0</v>
      </c>
      <c r="AS138" s="7"/>
      <c r="AT138" s="7"/>
      <c r="AU138" s="72">
        <f t="shared" si="22"/>
        <v>0</v>
      </c>
      <c r="AV138" s="7"/>
      <c r="AW138" s="7"/>
      <c r="AX138" s="62">
        <v>0</v>
      </c>
      <c r="AY138" s="62">
        <v>0</v>
      </c>
      <c r="AZ138" s="62">
        <v>0</v>
      </c>
      <c r="BA138" s="72">
        <f t="shared" si="23"/>
        <v>0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2</v>
      </c>
      <c r="M139" s="62">
        <v>2</v>
      </c>
      <c r="N139" s="62">
        <v>2</v>
      </c>
      <c r="O139" s="62">
        <v>3</v>
      </c>
      <c r="P139" s="62">
        <v>3</v>
      </c>
      <c r="Q139" s="72">
        <f t="shared" si="17"/>
        <v>2.4</v>
      </c>
      <c r="R139" s="62">
        <v>0</v>
      </c>
      <c r="S139" s="62">
        <v>0</v>
      </c>
      <c r="T139" s="62"/>
      <c r="U139" s="62">
        <v>0</v>
      </c>
      <c r="V139" s="62"/>
      <c r="W139" s="72">
        <f t="shared" si="18"/>
        <v>0</v>
      </c>
      <c r="X139" s="62">
        <v>2</v>
      </c>
      <c r="Y139" s="62">
        <v>3</v>
      </c>
      <c r="Z139" s="62"/>
      <c r="AA139" s="62"/>
      <c r="AB139" s="62"/>
      <c r="AC139" s="72">
        <f t="shared" si="19"/>
        <v>2.5</v>
      </c>
      <c r="AD139" s="62">
        <v>0</v>
      </c>
      <c r="AE139" s="62"/>
      <c r="AF139" s="62">
        <v>0</v>
      </c>
      <c r="AG139" s="62"/>
      <c r="AH139" s="62"/>
      <c r="AI139" s="72">
        <f t="shared" si="20"/>
        <v>0</v>
      </c>
      <c r="AJ139" s="62"/>
      <c r="AK139" s="62"/>
      <c r="AL139" s="62"/>
      <c r="AM139" s="62"/>
      <c r="AN139" s="62"/>
      <c r="AO139" s="72" t="str">
        <f t="shared" si="21"/>
        <v>A</v>
      </c>
      <c r="AP139" s="62">
        <v>0</v>
      </c>
      <c r="AQ139" s="62">
        <v>3</v>
      </c>
      <c r="AR139" s="62">
        <v>2</v>
      </c>
      <c r="AS139" s="62"/>
      <c r="AT139" s="62"/>
      <c r="AU139" s="72">
        <f t="shared" si="22"/>
        <v>1.6666666666666667</v>
      </c>
      <c r="AV139" s="62"/>
      <c r="AW139" s="62"/>
      <c r="AX139" s="62">
        <v>3</v>
      </c>
      <c r="AY139" s="62">
        <v>0</v>
      </c>
      <c r="AZ139" s="62">
        <v>0</v>
      </c>
      <c r="BA139" s="72">
        <f t="shared" si="23"/>
        <v>1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2</v>
      </c>
      <c r="M140" s="62">
        <v>1</v>
      </c>
      <c r="N140" s="62">
        <v>1</v>
      </c>
      <c r="O140" s="62">
        <v>3</v>
      </c>
      <c r="P140" s="62">
        <v>1</v>
      </c>
      <c r="Q140" s="72">
        <f t="shared" si="17"/>
        <v>1.6</v>
      </c>
      <c r="R140" s="62">
        <v>0</v>
      </c>
      <c r="S140" s="62">
        <v>0</v>
      </c>
      <c r="T140" s="7"/>
      <c r="U140" s="62">
        <v>0</v>
      </c>
      <c r="V140" s="7"/>
      <c r="W140" s="72">
        <f t="shared" si="18"/>
        <v>0</v>
      </c>
      <c r="X140" s="62">
        <v>3</v>
      </c>
      <c r="Y140" s="62">
        <v>3</v>
      </c>
      <c r="Z140" s="7"/>
      <c r="AA140" s="7"/>
      <c r="AB140" s="7"/>
      <c r="AC140" s="72">
        <f t="shared" si="19"/>
        <v>3</v>
      </c>
      <c r="AD140" s="62">
        <v>0</v>
      </c>
      <c r="AE140" s="7"/>
      <c r="AF140" s="62">
        <v>0</v>
      </c>
      <c r="AG140" s="7"/>
      <c r="AH140" s="7"/>
      <c r="AI140" s="72">
        <f t="shared" si="20"/>
        <v>0</v>
      </c>
      <c r="AJ140" s="7"/>
      <c r="AK140" s="7"/>
      <c r="AL140" s="7"/>
      <c r="AM140" s="7"/>
      <c r="AN140" s="7"/>
      <c r="AO140" s="72" t="str">
        <f t="shared" si="21"/>
        <v>A</v>
      </c>
      <c r="AP140" s="62">
        <v>0</v>
      </c>
      <c r="AQ140" s="62">
        <v>3</v>
      </c>
      <c r="AR140" s="62">
        <v>3</v>
      </c>
      <c r="AS140" s="7"/>
      <c r="AT140" s="7"/>
      <c r="AU140" s="72">
        <f t="shared" si="22"/>
        <v>2</v>
      </c>
      <c r="AV140" s="7"/>
      <c r="AW140" s="7"/>
      <c r="AX140" s="62">
        <v>3</v>
      </c>
      <c r="AY140" s="62">
        <v>0</v>
      </c>
      <c r="AZ140" s="62">
        <v>0</v>
      </c>
      <c r="BA140" s="72">
        <f t="shared" si="23"/>
        <v>1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0</v>
      </c>
      <c r="M141" s="62">
        <v>0</v>
      </c>
      <c r="N141" s="62">
        <v>0</v>
      </c>
      <c r="O141" s="62">
        <v>3</v>
      </c>
      <c r="P141" s="62">
        <v>0</v>
      </c>
      <c r="Q141" s="72">
        <f t="shared" si="17"/>
        <v>0.6</v>
      </c>
      <c r="R141" s="62">
        <v>0</v>
      </c>
      <c r="S141" s="62">
        <v>0</v>
      </c>
      <c r="T141" s="62"/>
      <c r="U141" s="62">
        <v>0</v>
      </c>
      <c r="V141" s="62"/>
      <c r="W141" s="72">
        <f t="shared" si="18"/>
        <v>0</v>
      </c>
      <c r="X141" s="62">
        <v>0</v>
      </c>
      <c r="Y141" s="62">
        <v>0</v>
      </c>
      <c r="Z141" s="62"/>
      <c r="AA141" s="62"/>
      <c r="AB141" s="62"/>
      <c r="AC141" s="72">
        <f t="shared" si="19"/>
        <v>0</v>
      </c>
      <c r="AD141" s="62">
        <v>0</v>
      </c>
      <c r="AE141" s="62"/>
      <c r="AF141" s="62">
        <v>0</v>
      </c>
      <c r="AG141" s="62"/>
      <c r="AH141" s="62"/>
      <c r="AI141" s="72">
        <f t="shared" si="20"/>
        <v>0</v>
      </c>
      <c r="AJ141" s="62"/>
      <c r="AK141" s="62"/>
      <c r="AL141" s="62"/>
      <c r="AM141" s="62"/>
      <c r="AN141" s="62"/>
      <c r="AO141" s="72" t="str">
        <f t="shared" si="21"/>
        <v>A</v>
      </c>
      <c r="AP141" s="62">
        <v>0</v>
      </c>
      <c r="AQ141" s="62">
        <v>0</v>
      </c>
      <c r="AR141" s="62">
        <v>0</v>
      </c>
      <c r="AS141" s="62"/>
      <c r="AT141" s="62"/>
      <c r="AU141" s="72">
        <f t="shared" si="22"/>
        <v>0</v>
      </c>
      <c r="AV141" s="62"/>
      <c r="AW141" s="62"/>
      <c r="AX141" s="62">
        <v>0</v>
      </c>
      <c r="AY141" s="62">
        <v>0</v>
      </c>
      <c r="AZ141" s="62">
        <v>0</v>
      </c>
      <c r="BA141" s="72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2</v>
      </c>
      <c r="M142" s="62">
        <v>2</v>
      </c>
      <c r="N142" s="62">
        <v>2</v>
      </c>
      <c r="O142" s="62">
        <v>2</v>
      </c>
      <c r="P142" s="62">
        <v>2</v>
      </c>
      <c r="Q142" s="72">
        <f t="shared" si="17"/>
        <v>2</v>
      </c>
      <c r="R142" s="62">
        <v>0</v>
      </c>
      <c r="S142" s="62">
        <v>0</v>
      </c>
      <c r="T142" s="7"/>
      <c r="U142" s="62">
        <v>0</v>
      </c>
      <c r="V142" s="7"/>
      <c r="W142" s="72">
        <f t="shared" si="18"/>
        <v>0</v>
      </c>
      <c r="X142" s="62">
        <v>0</v>
      </c>
      <c r="Y142" s="62">
        <v>0</v>
      </c>
      <c r="Z142" s="7"/>
      <c r="AA142" s="7"/>
      <c r="AB142" s="7"/>
      <c r="AC142" s="72">
        <f t="shared" si="19"/>
        <v>0</v>
      </c>
      <c r="AD142" s="62">
        <v>0</v>
      </c>
      <c r="AE142" s="7"/>
      <c r="AF142" s="62">
        <v>0</v>
      </c>
      <c r="AG142" s="7"/>
      <c r="AH142" s="7"/>
      <c r="AI142" s="72">
        <f t="shared" si="20"/>
        <v>0</v>
      </c>
      <c r="AJ142" s="7"/>
      <c r="AK142" s="7"/>
      <c r="AL142" s="7"/>
      <c r="AM142" s="7"/>
      <c r="AN142" s="7"/>
      <c r="AO142" s="72" t="str">
        <f t="shared" si="21"/>
        <v>A</v>
      </c>
      <c r="AP142" s="62">
        <v>0</v>
      </c>
      <c r="AQ142" s="62">
        <v>0</v>
      </c>
      <c r="AR142" s="62">
        <v>0</v>
      </c>
      <c r="AS142" s="7"/>
      <c r="AT142" s="7"/>
      <c r="AU142" s="72">
        <f t="shared" si="22"/>
        <v>0</v>
      </c>
      <c r="AV142" s="7"/>
      <c r="AW142" s="7"/>
      <c r="AX142" s="62">
        <v>0</v>
      </c>
      <c r="AY142" s="62">
        <v>0</v>
      </c>
      <c r="AZ142" s="62">
        <v>0</v>
      </c>
      <c r="BA142" s="72">
        <f t="shared" si="23"/>
        <v>0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3</v>
      </c>
      <c r="M143" s="62">
        <v>3</v>
      </c>
      <c r="N143" s="62">
        <v>3</v>
      </c>
      <c r="O143" s="62">
        <v>3</v>
      </c>
      <c r="P143" s="62">
        <v>3</v>
      </c>
      <c r="Q143" s="72">
        <f t="shared" si="17"/>
        <v>3</v>
      </c>
      <c r="R143" s="62">
        <v>4</v>
      </c>
      <c r="S143" s="62">
        <v>4</v>
      </c>
      <c r="T143" s="62"/>
      <c r="U143" s="62">
        <v>3</v>
      </c>
      <c r="V143" s="62"/>
      <c r="W143" s="72">
        <f t="shared" si="18"/>
        <v>3.6666666666666665</v>
      </c>
      <c r="X143" s="62">
        <v>3</v>
      </c>
      <c r="Y143" s="62">
        <v>3</v>
      </c>
      <c r="Z143" s="62"/>
      <c r="AA143" s="62"/>
      <c r="AB143" s="62"/>
      <c r="AC143" s="72">
        <f t="shared" si="19"/>
        <v>3</v>
      </c>
      <c r="AD143" s="62">
        <v>3</v>
      </c>
      <c r="AE143" s="62"/>
      <c r="AF143" s="62">
        <v>2</v>
      </c>
      <c r="AG143" s="62"/>
      <c r="AH143" s="62"/>
      <c r="AI143" s="72">
        <f t="shared" si="20"/>
        <v>2.5</v>
      </c>
      <c r="AJ143" s="62"/>
      <c r="AK143" s="62"/>
      <c r="AL143" s="62"/>
      <c r="AM143" s="62"/>
      <c r="AN143" s="62"/>
      <c r="AO143" s="72" t="str">
        <f t="shared" si="21"/>
        <v>A</v>
      </c>
      <c r="AP143" s="62">
        <v>3</v>
      </c>
      <c r="AQ143" s="62">
        <v>3</v>
      </c>
      <c r="AR143" s="62">
        <v>4</v>
      </c>
      <c r="AS143" s="62"/>
      <c r="AT143" s="62"/>
      <c r="AU143" s="72">
        <f t="shared" si="22"/>
        <v>3.3333333333333335</v>
      </c>
      <c r="AV143" s="62"/>
      <c r="AW143" s="62"/>
      <c r="AX143" s="62">
        <v>3</v>
      </c>
      <c r="AY143" s="62">
        <v>0</v>
      </c>
      <c r="AZ143" s="62">
        <v>0</v>
      </c>
      <c r="BA143" s="72">
        <f t="shared" si="23"/>
        <v>1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2</v>
      </c>
      <c r="M144" s="62">
        <v>3</v>
      </c>
      <c r="N144" s="62">
        <v>3</v>
      </c>
      <c r="O144" s="62">
        <v>3</v>
      </c>
      <c r="P144" s="62">
        <v>3</v>
      </c>
      <c r="Q144" s="72">
        <f t="shared" si="17"/>
        <v>2.8</v>
      </c>
      <c r="R144" s="62">
        <v>0</v>
      </c>
      <c r="S144" s="62">
        <v>0</v>
      </c>
      <c r="T144" s="7"/>
      <c r="U144" s="62">
        <v>0</v>
      </c>
      <c r="V144" s="7"/>
      <c r="W144" s="72">
        <f t="shared" si="18"/>
        <v>0</v>
      </c>
      <c r="X144" s="62">
        <v>3</v>
      </c>
      <c r="Y144" s="62">
        <v>3</v>
      </c>
      <c r="Z144" s="7"/>
      <c r="AA144" s="7"/>
      <c r="AB144" s="7"/>
      <c r="AC144" s="72">
        <f t="shared" si="19"/>
        <v>3</v>
      </c>
      <c r="AD144" s="62">
        <v>0</v>
      </c>
      <c r="AE144" s="7"/>
      <c r="AF144" s="62">
        <v>0</v>
      </c>
      <c r="AG144" s="7"/>
      <c r="AH144" s="7"/>
      <c r="AI144" s="72">
        <f t="shared" si="20"/>
        <v>0</v>
      </c>
      <c r="AJ144" s="7"/>
      <c r="AK144" s="7"/>
      <c r="AL144" s="7"/>
      <c r="AM144" s="7"/>
      <c r="AN144" s="7"/>
      <c r="AO144" s="72" t="str">
        <f t="shared" si="21"/>
        <v>A</v>
      </c>
      <c r="AP144" s="62">
        <v>0</v>
      </c>
      <c r="AQ144" s="62">
        <v>3</v>
      </c>
      <c r="AR144" s="62">
        <v>3</v>
      </c>
      <c r="AS144" s="7"/>
      <c r="AT144" s="7"/>
      <c r="AU144" s="72">
        <f t="shared" si="22"/>
        <v>2</v>
      </c>
      <c r="AV144" s="7"/>
      <c r="AW144" s="7"/>
      <c r="AX144" s="62">
        <v>3</v>
      </c>
      <c r="AY144" s="62">
        <v>0</v>
      </c>
      <c r="AZ144" s="62">
        <v>0</v>
      </c>
      <c r="BA144" s="72">
        <f t="shared" si="23"/>
        <v>1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2</v>
      </c>
      <c r="M145" s="62">
        <v>2</v>
      </c>
      <c r="N145" s="62">
        <v>3</v>
      </c>
      <c r="O145" s="62">
        <v>3</v>
      </c>
      <c r="P145" s="62">
        <v>3</v>
      </c>
      <c r="Q145" s="72">
        <f t="shared" si="17"/>
        <v>2.6</v>
      </c>
      <c r="R145" s="62">
        <v>0</v>
      </c>
      <c r="S145" s="62">
        <v>0</v>
      </c>
      <c r="T145" s="62"/>
      <c r="U145" s="62">
        <v>0</v>
      </c>
      <c r="V145" s="62"/>
      <c r="W145" s="72">
        <f t="shared" si="18"/>
        <v>0</v>
      </c>
      <c r="X145" s="62">
        <v>2</v>
      </c>
      <c r="Y145" s="62">
        <v>2</v>
      </c>
      <c r="Z145" s="62"/>
      <c r="AA145" s="62"/>
      <c r="AB145" s="62"/>
      <c r="AC145" s="72">
        <f t="shared" si="19"/>
        <v>2</v>
      </c>
      <c r="AD145" s="62">
        <v>0</v>
      </c>
      <c r="AE145" s="62"/>
      <c r="AF145" s="62">
        <v>0</v>
      </c>
      <c r="AG145" s="62"/>
      <c r="AH145" s="62"/>
      <c r="AI145" s="72">
        <f t="shared" si="20"/>
        <v>0</v>
      </c>
      <c r="AJ145" s="62"/>
      <c r="AK145" s="62"/>
      <c r="AL145" s="62"/>
      <c r="AM145" s="62"/>
      <c r="AN145" s="62"/>
      <c r="AO145" s="72" t="str">
        <f t="shared" si="21"/>
        <v>A</v>
      </c>
      <c r="AP145" s="62">
        <v>0</v>
      </c>
      <c r="AQ145" s="62">
        <v>2</v>
      </c>
      <c r="AR145" s="62">
        <v>3</v>
      </c>
      <c r="AS145" s="62"/>
      <c r="AT145" s="62"/>
      <c r="AU145" s="72">
        <f t="shared" si="22"/>
        <v>1.6666666666666667</v>
      </c>
      <c r="AV145" s="62"/>
      <c r="AW145" s="62"/>
      <c r="AX145" s="62">
        <v>2</v>
      </c>
      <c r="AY145" s="62">
        <v>0</v>
      </c>
      <c r="AZ145" s="62">
        <v>0</v>
      </c>
      <c r="BA145" s="72">
        <f t="shared" si="23"/>
        <v>0.66666666666666663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3</v>
      </c>
      <c r="M146" s="62">
        <v>3</v>
      </c>
      <c r="N146" s="62">
        <v>3</v>
      </c>
      <c r="O146" s="62">
        <v>3</v>
      </c>
      <c r="P146" s="62">
        <v>3</v>
      </c>
      <c r="Q146" s="72">
        <f t="shared" si="17"/>
        <v>3</v>
      </c>
      <c r="R146" s="62">
        <v>3</v>
      </c>
      <c r="S146" s="62">
        <v>3</v>
      </c>
      <c r="T146" s="7"/>
      <c r="U146" s="62">
        <v>2</v>
      </c>
      <c r="V146" s="7"/>
      <c r="W146" s="72">
        <f t="shared" si="18"/>
        <v>2.6666666666666665</v>
      </c>
      <c r="X146" s="62">
        <v>3</v>
      </c>
      <c r="Y146" s="62">
        <v>3</v>
      </c>
      <c r="Z146" s="7"/>
      <c r="AA146" s="7"/>
      <c r="AB146" s="7"/>
      <c r="AC146" s="72">
        <f t="shared" si="19"/>
        <v>3</v>
      </c>
      <c r="AD146" s="62">
        <v>3</v>
      </c>
      <c r="AE146" s="7"/>
      <c r="AF146" s="62">
        <v>3</v>
      </c>
      <c r="AG146" s="7"/>
      <c r="AH146" s="7"/>
      <c r="AI146" s="72">
        <f t="shared" si="20"/>
        <v>3</v>
      </c>
      <c r="AJ146" s="7"/>
      <c r="AK146" s="7"/>
      <c r="AL146" s="7"/>
      <c r="AM146" s="7"/>
      <c r="AN146" s="7"/>
      <c r="AO146" s="72" t="str">
        <f t="shared" si="21"/>
        <v>A</v>
      </c>
      <c r="AP146" s="62">
        <v>3</v>
      </c>
      <c r="AQ146" s="62">
        <v>3</v>
      </c>
      <c r="AR146" s="62">
        <v>3</v>
      </c>
      <c r="AS146" s="7"/>
      <c r="AT146" s="7"/>
      <c r="AU146" s="72">
        <f t="shared" si="22"/>
        <v>3</v>
      </c>
      <c r="AV146" s="7"/>
      <c r="AW146" s="7"/>
      <c r="AX146" s="62">
        <v>3</v>
      </c>
      <c r="AY146" s="62">
        <v>0</v>
      </c>
      <c r="AZ146" s="62">
        <v>0</v>
      </c>
      <c r="BA146" s="72">
        <f t="shared" si="23"/>
        <v>1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>
        <v>2</v>
      </c>
      <c r="N147" s="62">
        <v>2</v>
      </c>
      <c r="O147" s="62">
        <v>2</v>
      </c>
      <c r="P147" s="62">
        <v>2</v>
      </c>
      <c r="Q147" s="72">
        <f t="shared" si="17"/>
        <v>2</v>
      </c>
      <c r="R147" s="62">
        <v>2</v>
      </c>
      <c r="S147" s="62">
        <v>2</v>
      </c>
      <c r="T147" s="62"/>
      <c r="U147" s="62">
        <v>2</v>
      </c>
      <c r="V147" s="62"/>
      <c r="W147" s="72">
        <f t="shared" si="18"/>
        <v>2</v>
      </c>
      <c r="X147" s="62">
        <v>2</v>
      </c>
      <c r="Y147" s="62">
        <v>2</v>
      </c>
      <c r="Z147" s="62"/>
      <c r="AA147" s="62"/>
      <c r="AB147" s="62"/>
      <c r="AC147" s="72">
        <f t="shared" si="19"/>
        <v>2</v>
      </c>
      <c r="AD147" s="62">
        <v>2</v>
      </c>
      <c r="AE147" s="62"/>
      <c r="AF147" s="62">
        <v>2</v>
      </c>
      <c r="AG147" s="62"/>
      <c r="AH147" s="62"/>
      <c r="AI147" s="72">
        <f t="shared" si="20"/>
        <v>2</v>
      </c>
      <c r="AJ147" s="62"/>
      <c r="AK147" s="62"/>
      <c r="AL147" s="62"/>
      <c r="AM147" s="62"/>
      <c r="AN147" s="62"/>
      <c r="AO147" s="72" t="str">
        <f t="shared" si="21"/>
        <v>A</v>
      </c>
      <c r="AP147" s="62">
        <v>2</v>
      </c>
      <c r="AQ147" s="62">
        <v>2</v>
      </c>
      <c r="AR147" s="62">
        <v>2</v>
      </c>
      <c r="AS147" s="62"/>
      <c r="AT147" s="62"/>
      <c r="AU147" s="72">
        <f t="shared" si="22"/>
        <v>2</v>
      </c>
      <c r="AV147" s="62"/>
      <c r="AW147" s="62"/>
      <c r="AX147" s="62">
        <v>2</v>
      </c>
      <c r="AY147" s="62">
        <v>2</v>
      </c>
      <c r="AZ147" s="62">
        <v>2</v>
      </c>
      <c r="BA147" s="72">
        <f t="shared" si="23"/>
        <v>2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2</v>
      </c>
      <c r="M148" s="62">
        <v>2</v>
      </c>
      <c r="N148" s="62">
        <v>2</v>
      </c>
      <c r="O148" s="62">
        <v>2</v>
      </c>
      <c r="P148" s="62">
        <v>2</v>
      </c>
      <c r="Q148" s="72">
        <f t="shared" si="17"/>
        <v>2</v>
      </c>
      <c r="R148" s="62">
        <v>2</v>
      </c>
      <c r="S148" s="62">
        <v>2</v>
      </c>
      <c r="T148" s="7"/>
      <c r="U148" s="62">
        <v>2</v>
      </c>
      <c r="V148" s="7"/>
      <c r="W148" s="72">
        <f t="shared" si="18"/>
        <v>2</v>
      </c>
      <c r="X148" s="62">
        <v>2</v>
      </c>
      <c r="Y148" s="62">
        <v>2</v>
      </c>
      <c r="Z148" s="7"/>
      <c r="AA148" s="7"/>
      <c r="AB148" s="7"/>
      <c r="AC148" s="72">
        <f t="shared" si="19"/>
        <v>2</v>
      </c>
      <c r="AD148" s="62">
        <v>2</v>
      </c>
      <c r="AE148" s="7"/>
      <c r="AF148" s="62">
        <v>2</v>
      </c>
      <c r="AG148" s="7"/>
      <c r="AH148" s="7"/>
      <c r="AI148" s="72">
        <f t="shared" si="20"/>
        <v>2</v>
      </c>
      <c r="AJ148" s="7"/>
      <c r="AK148" s="7"/>
      <c r="AL148" s="7"/>
      <c r="AM148" s="7"/>
      <c r="AN148" s="7"/>
      <c r="AO148" s="72" t="str">
        <f t="shared" si="21"/>
        <v>A</v>
      </c>
      <c r="AP148" s="62">
        <v>2</v>
      </c>
      <c r="AQ148" s="62">
        <v>2</v>
      </c>
      <c r="AR148" s="62">
        <v>2</v>
      </c>
      <c r="AS148" s="7"/>
      <c r="AT148" s="7"/>
      <c r="AU148" s="72">
        <f t="shared" si="22"/>
        <v>2</v>
      </c>
      <c r="AV148" s="7"/>
      <c r="AW148" s="7"/>
      <c r="AX148" s="62">
        <v>2</v>
      </c>
      <c r="AY148" s="62">
        <v>2</v>
      </c>
      <c r="AZ148" s="62">
        <v>2</v>
      </c>
      <c r="BA148" s="72">
        <f t="shared" si="23"/>
        <v>2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0</v>
      </c>
      <c r="M149" s="62">
        <v>0</v>
      </c>
      <c r="N149" s="62">
        <v>0</v>
      </c>
      <c r="O149" s="62">
        <v>3</v>
      </c>
      <c r="P149" s="62">
        <v>0</v>
      </c>
      <c r="Q149" s="72">
        <f t="shared" si="17"/>
        <v>0.6</v>
      </c>
      <c r="R149" s="62">
        <v>0</v>
      </c>
      <c r="S149" s="62">
        <v>0</v>
      </c>
      <c r="T149" s="62"/>
      <c r="U149" s="62">
        <v>0</v>
      </c>
      <c r="V149" s="62"/>
      <c r="W149" s="72">
        <f t="shared" si="18"/>
        <v>0</v>
      </c>
      <c r="X149" s="62">
        <v>0</v>
      </c>
      <c r="Y149" s="62">
        <v>0</v>
      </c>
      <c r="Z149" s="62"/>
      <c r="AA149" s="62"/>
      <c r="AB149" s="62"/>
      <c r="AC149" s="72">
        <f t="shared" si="19"/>
        <v>0</v>
      </c>
      <c r="AD149" s="62">
        <v>0</v>
      </c>
      <c r="AE149" s="62"/>
      <c r="AF149" s="62">
        <v>0</v>
      </c>
      <c r="AG149" s="62"/>
      <c r="AH149" s="62"/>
      <c r="AI149" s="72">
        <f t="shared" si="20"/>
        <v>0</v>
      </c>
      <c r="AJ149" s="62"/>
      <c r="AK149" s="62"/>
      <c r="AL149" s="62"/>
      <c r="AM149" s="62"/>
      <c r="AN149" s="62"/>
      <c r="AO149" s="72" t="str">
        <f t="shared" si="21"/>
        <v>A</v>
      </c>
      <c r="AP149" s="62">
        <v>0</v>
      </c>
      <c r="AQ149" s="62">
        <v>0</v>
      </c>
      <c r="AR149" s="62">
        <v>0</v>
      </c>
      <c r="AS149" s="62"/>
      <c r="AT149" s="62"/>
      <c r="AU149" s="72">
        <f t="shared" si="22"/>
        <v>0</v>
      </c>
      <c r="AV149" s="62"/>
      <c r="AW149" s="62"/>
      <c r="AX149" s="62">
        <v>0</v>
      </c>
      <c r="AY149" s="62">
        <v>0</v>
      </c>
      <c r="AZ149" s="62">
        <v>0</v>
      </c>
      <c r="BA149" s="72">
        <f t="shared" si="23"/>
        <v>0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2</v>
      </c>
      <c r="M150" s="62">
        <v>2</v>
      </c>
      <c r="N150" s="62">
        <v>2</v>
      </c>
      <c r="O150" s="62">
        <v>2</v>
      </c>
      <c r="P150" s="62">
        <v>2</v>
      </c>
      <c r="Q150" s="72">
        <f t="shared" si="17"/>
        <v>2</v>
      </c>
      <c r="R150" s="62">
        <v>0</v>
      </c>
      <c r="S150" s="62">
        <v>0</v>
      </c>
      <c r="T150" s="7"/>
      <c r="U150" s="62">
        <v>0</v>
      </c>
      <c r="V150" s="7"/>
      <c r="W150" s="72">
        <f t="shared" si="18"/>
        <v>0</v>
      </c>
      <c r="X150" s="62">
        <v>0</v>
      </c>
      <c r="Y150" s="62">
        <v>0</v>
      </c>
      <c r="Z150" s="7"/>
      <c r="AA150" s="7"/>
      <c r="AB150" s="7"/>
      <c r="AC150" s="72">
        <f t="shared" si="19"/>
        <v>0</v>
      </c>
      <c r="AD150" s="62">
        <v>0</v>
      </c>
      <c r="AE150" s="7"/>
      <c r="AF150" s="62">
        <v>0</v>
      </c>
      <c r="AG150" s="7"/>
      <c r="AH150" s="7"/>
      <c r="AI150" s="72">
        <f t="shared" si="20"/>
        <v>0</v>
      </c>
      <c r="AJ150" s="7"/>
      <c r="AK150" s="7"/>
      <c r="AL150" s="7"/>
      <c r="AM150" s="7"/>
      <c r="AN150" s="7"/>
      <c r="AO150" s="72" t="str">
        <f t="shared" si="21"/>
        <v>A</v>
      </c>
      <c r="AP150" s="62">
        <v>0</v>
      </c>
      <c r="AQ150" s="62">
        <v>0</v>
      </c>
      <c r="AR150" s="62">
        <v>0</v>
      </c>
      <c r="AS150" s="7"/>
      <c r="AT150" s="7"/>
      <c r="AU150" s="72">
        <f t="shared" si="22"/>
        <v>0</v>
      </c>
      <c r="AV150" s="7"/>
      <c r="AW150" s="7"/>
      <c r="AX150" s="62">
        <v>0</v>
      </c>
      <c r="AY150" s="62">
        <v>0</v>
      </c>
      <c r="AZ150" s="62">
        <v>0</v>
      </c>
      <c r="BA150" s="72">
        <f t="shared" si="23"/>
        <v>0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1</v>
      </c>
      <c r="M151" s="62">
        <v>2</v>
      </c>
      <c r="N151" s="62">
        <v>1</v>
      </c>
      <c r="O151" s="62">
        <v>3</v>
      </c>
      <c r="P151" s="62">
        <v>1</v>
      </c>
      <c r="Q151" s="72">
        <f t="shared" si="17"/>
        <v>1.6</v>
      </c>
      <c r="R151" s="62">
        <v>0</v>
      </c>
      <c r="S151" s="62">
        <v>0</v>
      </c>
      <c r="T151" s="62"/>
      <c r="U151" s="62">
        <v>0</v>
      </c>
      <c r="V151" s="62"/>
      <c r="W151" s="72">
        <f t="shared" si="18"/>
        <v>0</v>
      </c>
      <c r="X151" s="62">
        <v>0</v>
      </c>
      <c r="Y151" s="62">
        <v>0</v>
      </c>
      <c r="Z151" s="62"/>
      <c r="AA151" s="62"/>
      <c r="AB151" s="62"/>
      <c r="AC151" s="72">
        <f t="shared" si="19"/>
        <v>0</v>
      </c>
      <c r="AD151" s="62">
        <v>0</v>
      </c>
      <c r="AE151" s="62"/>
      <c r="AF151" s="62">
        <v>0</v>
      </c>
      <c r="AG151" s="62"/>
      <c r="AH151" s="62"/>
      <c r="AI151" s="72">
        <f t="shared" si="20"/>
        <v>0</v>
      </c>
      <c r="AJ151" s="62"/>
      <c r="AK151" s="62"/>
      <c r="AL151" s="62"/>
      <c r="AM151" s="62"/>
      <c r="AN151" s="62"/>
      <c r="AO151" s="72" t="str">
        <f t="shared" si="21"/>
        <v>A</v>
      </c>
      <c r="AP151" s="62">
        <v>0</v>
      </c>
      <c r="AQ151" s="62">
        <v>0</v>
      </c>
      <c r="AR151" s="62">
        <v>0</v>
      </c>
      <c r="AS151" s="62"/>
      <c r="AT151" s="62"/>
      <c r="AU151" s="72">
        <f t="shared" si="22"/>
        <v>0</v>
      </c>
      <c r="AV151" s="62"/>
      <c r="AW151" s="62"/>
      <c r="AX151" s="62">
        <v>0</v>
      </c>
      <c r="AY151" s="62">
        <v>0</v>
      </c>
      <c r="AZ151" s="62">
        <v>0</v>
      </c>
      <c r="BA151" s="72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>
        <v>2</v>
      </c>
      <c r="N152" s="62">
        <v>2</v>
      </c>
      <c r="O152" s="62">
        <v>2</v>
      </c>
      <c r="P152" s="62">
        <v>2</v>
      </c>
      <c r="Q152" s="72">
        <f t="shared" si="17"/>
        <v>2</v>
      </c>
      <c r="R152" s="62">
        <v>0</v>
      </c>
      <c r="S152" s="62">
        <v>0</v>
      </c>
      <c r="T152" s="7"/>
      <c r="U152" s="62">
        <v>0</v>
      </c>
      <c r="V152" s="7"/>
      <c r="W152" s="72">
        <f t="shared" si="18"/>
        <v>0</v>
      </c>
      <c r="X152" s="62">
        <v>0</v>
      </c>
      <c r="Y152" s="62">
        <v>0</v>
      </c>
      <c r="Z152" s="7"/>
      <c r="AA152" s="7"/>
      <c r="AB152" s="7"/>
      <c r="AC152" s="72">
        <f t="shared" si="19"/>
        <v>0</v>
      </c>
      <c r="AD152" s="62">
        <v>0</v>
      </c>
      <c r="AE152" s="7"/>
      <c r="AF152" s="62">
        <v>0</v>
      </c>
      <c r="AG152" s="7"/>
      <c r="AH152" s="7"/>
      <c r="AI152" s="72">
        <f t="shared" si="20"/>
        <v>0</v>
      </c>
      <c r="AJ152" s="7"/>
      <c r="AK152" s="7"/>
      <c r="AL152" s="7"/>
      <c r="AM152" s="7"/>
      <c r="AN152" s="7"/>
      <c r="AO152" s="72" t="str">
        <f t="shared" si="21"/>
        <v>A</v>
      </c>
      <c r="AP152" s="62">
        <v>0</v>
      </c>
      <c r="AQ152" s="62">
        <v>0</v>
      </c>
      <c r="AR152" s="62">
        <v>0</v>
      </c>
      <c r="AS152" s="7"/>
      <c r="AT152" s="7"/>
      <c r="AU152" s="72">
        <f t="shared" si="22"/>
        <v>0</v>
      </c>
      <c r="AV152" s="7"/>
      <c r="AW152" s="7"/>
      <c r="AX152" s="62">
        <v>0</v>
      </c>
      <c r="AY152" s="62">
        <v>0</v>
      </c>
      <c r="AZ152" s="62">
        <v>0</v>
      </c>
      <c r="BA152" s="72">
        <f t="shared" si="23"/>
        <v>0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3</v>
      </c>
      <c r="M153" s="62">
        <v>3</v>
      </c>
      <c r="N153" s="62">
        <v>3</v>
      </c>
      <c r="O153" s="62">
        <v>3</v>
      </c>
      <c r="P153" s="62">
        <v>3</v>
      </c>
      <c r="Q153" s="72">
        <f t="shared" si="17"/>
        <v>3</v>
      </c>
      <c r="R153" s="62">
        <v>0</v>
      </c>
      <c r="S153" s="62">
        <v>0</v>
      </c>
      <c r="T153" s="62"/>
      <c r="U153" s="62">
        <v>0</v>
      </c>
      <c r="V153" s="62"/>
      <c r="W153" s="72">
        <f t="shared" si="18"/>
        <v>0</v>
      </c>
      <c r="X153" s="62">
        <v>0</v>
      </c>
      <c r="Y153" s="62">
        <v>0</v>
      </c>
      <c r="Z153" s="62"/>
      <c r="AA153" s="62"/>
      <c r="AB153" s="62"/>
      <c r="AC153" s="72">
        <f t="shared" si="19"/>
        <v>0</v>
      </c>
      <c r="AD153" s="62">
        <v>0</v>
      </c>
      <c r="AE153" s="62"/>
      <c r="AF153" s="62">
        <v>0</v>
      </c>
      <c r="AG153" s="62"/>
      <c r="AH153" s="62"/>
      <c r="AI153" s="72">
        <f t="shared" si="20"/>
        <v>0</v>
      </c>
      <c r="AJ153" s="62"/>
      <c r="AK153" s="62"/>
      <c r="AL153" s="62"/>
      <c r="AM153" s="62"/>
      <c r="AN153" s="62"/>
      <c r="AO153" s="72" t="str">
        <f t="shared" si="21"/>
        <v>A</v>
      </c>
      <c r="AP153" s="62">
        <v>0</v>
      </c>
      <c r="AQ153" s="62">
        <v>0</v>
      </c>
      <c r="AR153" s="62">
        <v>0</v>
      </c>
      <c r="AS153" s="62"/>
      <c r="AT153" s="62"/>
      <c r="AU153" s="72">
        <f t="shared" si="22"/>
        <v>0</v>
      </c>
      <c r="AV153" s="62"/>
      <c r="AW153" s="62"/>
      <c r="AX153" s="62">
        <v>0</v>
      </c>
      <c r="AY153" s="62">
        <v>0</v>
      </c>
      <c r="AZ153" s="62">
        <v>0</v>
      </c>
      <c r="BA153" s="72">
        <f t="shared" si="23"/>
        <v>0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>
        <v>2</v>
      </c>
      <c r="N154" s="62">
        <v>2</v>
      </c>
      <c r="O154" s="62">
        <v>3</v>
      </c>
      <c r="P154" s="62">
        <v>3</v>
      </c>
      <c r="Q154" s="72">
        <f t="shared" si="17"/>
        <v>2.6</v>
      </c>
      <c r="R154" s="62">
        <v>0</v>
      </c>
      <c r="S154" s="62">
        <v>0</v>
      </c>
      <c r="T154" s="7"/>
      <c r="U154" s="62">
        <v>0</v>
      </c>
      <c r="V154" s="7"/>
      <c r="W154" s="72">
        <f t="shared" si="18"/>
        <v>0</v>
      </c>
      <c r="X154" s="62">
        <v>0</v>
      </c>
      <c r="Y154" s="62">
        <v>0</v>
      </c>
      <c r="Z154" s="7"/>
      <c r="AA154" s="7"/>
      <c r="AB154" s="7"/>
      <c r="AC154" s="72">
        <f t="shared" si="19"/>
        <v>0</v>
      </c>
      <c r="AD154" s="62">
        <v>0</v>
      </c>
      <c r="AE154" s="7"/>
      <c r="AF154" s="62">
        <v>0</v>
      </c>
      <c r="AG154" s="7"/>
      <c r="AH154" s="7"/>
      <c r="AI154" s="72">
        <f t="shared" si="20"/>
        <v>0</v>
      </c>
      <c r="AJ154" s="7"/>
      <c r="AK154" s="7"/>
      <c r="AL154" s="7"/>
      <c r="AM154" s="7"/>
      <c r="AN154" s="7"/>
      <c r="AO154" s="72" t="str">
        <f t="shared" si="21"/>
        <v>A</v>
      </c>
      <c r="AP154" s="62">
        <v>0</v>
      </c>
      <c r="AQ154" s="62">
        <v>0</v>
      </c>
      <c r="AR154" s="62">
        <v>0</v>
      </c>
      <c r="AS154" s="7"/>
      <c r="AT154" s="7"/>
      <c r="AU154" s="72">
        <f t="shared" si="22"/>
        <v>0</v>
      </c>
      <c r="AV154" s="7"/>
      <c r="AW154" s="7"/>
      <c r="AX154" s="62">
        <v>0</v>
      </c>
      <c r="AY154" s="62">
        <v>0</v>
      </c>
      <c r="AZ154" s="62">
        <v>0</v>
      </c>
      <c r="BA154" s="72">
        <f t="shared" si="23"/>
        <v>0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2</v>
      </c>
      <c r="M155" s="62">
        <v>2</v>
      </c>
      <c r="N155" s="62">
        <v>2</v>
      </c>
      <c r="O155" s="62">
        <v>2</v>
      </c>
      <c r="P155" s="62">
        <v>2</v>
      </c>
      <c r="Q155" s="72">
        <f t="shared" si="17"/>
        <v>2</v>
      </c>
      <c r="R155" s="62">
        <v>2</v>
      </c>
      <c r="S155" s="62">
        <v>2</v>
      </c>
      <c r="T155" s="62"/>
      <c r="U155" s="62">
        <v>2</v>
      </c>
      <c r="V155" s="62"/>
      <c r="W155" s="72">
        <f t="shared" si="18"/>
        <v>2</v>
      </c>
      <c r="X155" s="62">
        <v>2</v>
      </c>
      <c r="Y155" s="62">
        <v>2</v>
      </c>
      <c r="Z155" s="62"/>
      <c r="AA155" s="62"/>
      <c r="AB155" s="62"/>
      <c r="AC155" s="72">
        <f t="shared" si="19"/>
        <v>2</v>
      </c>
      <c r="AD155" s="62">
        <v>2</v>
      </c>
      <c r="AE155" s="62"/>
      <c r="AF155" s="62">
        <v>2</v>
      </c>
      <c r="AG155" s="62"/>
      <c r="AH155" s="62"/>
      <c r="AI155" s="72">
        <f t="shared" si="20"/>
        <v>2</v>
      </c>
      <c r="AJ155" s="62"/>
      <c r="AK155" s="62"/>
      <c r="AL155" s="62"/>
      <c r="AM155" s="62"/>
      <c r="AN155" s="62"/>
      <c r="AO155" s="72" t="str">
        <f t="shared" si="21"/>
        <v>A</v>
      </c>
      <c r="AP155" s="62">
        <v>2</v>
      </c>
      <c r="AQ155" s="62">
        <v>2</v>
      </c>
      <c r="AR155" s="62">
        <v>2</v>
      </c>
      <c r="AS155" s="62"/>
      <c r="AT155" s="62"/>
      <c r="AU155" s="72">
        <f t="shared" si="22"/>
        <v>2</v>
      </c>
      <c r="AV155" s="62"/>
      <c r="AW155" s="62"/>
      <c r="AX155" s="62">
        <v>2</v>
      </c>
      <c r="AY155" s="62">
        <v>2</v>
      </c>
      <c r="AZ155" s="62">
        <v>2</v>
      </c>
      <c r="BA155" s="72">
        <f t="shared" si="23"/>
        <v>2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0</v>
      </c>
      <c r="M156" s="62">
        <v>0</v>
      </c>
      <c r="N156" s="62">
        <v>0</v>
      </c>
      <c r="O156" s="62">
        <v>3</v>
      </c>
      <c r="P156" s="62">
        <v>0</v>
      </c>
      <c r="Q156" s="72">
        <f t="shared" si="17"/>
        <v>0.6</v>
      </c>
      <c r="R156" s="62">
        <v>0</v>
      </c>
      <c r="S156" s="62">
        <v>0</v>
      </c>
      <c r="T156" s="7"/>
      <c r="U156" s="62">
        <v>0</v>
      </c>
      <c r="V156" s="7"/>
      <c r="W156" s="72">
        <f t="shared" si="18"/>
        <v>0</v>
      </c>
      <c r="X156" s="62">
        <v>0</v>
      </c>
      <c r="Y156" s="62">
        <v>0</v>
      </c>
      <c r="Z156" s="7"/>
      <c r="AA156" s="7"/>
      <c r="AB156" s="7"/>
      <c r="AC156" s="72">
        <f t="shared" si="19"/>
        <v>0</v>
      </c>
      <c r="AD156" s="62">
        <v>0</v>
      </c>
      <c r="AE156" s="7"/>
      <c r="AF156" s="62">
        <v>0</v>
      </c>
      <c r="AG156" s="7"/>
      <c r="AH156" s="7"/>
      <c r="AI156" s="72">
        <f t="shared" si="20"/>
        <v>0</v>
      </c>
      <c r="AJ156" s="7"/>
      <c r="AK156" s="7"/>
      <c r="AL156" s="7"/>
      <c r="AM156" s="7"/>
      <c r="AN156" s="7"/>
      <c r="AO156" s="72" t="str">
        <f t="shared" si="21"/>
        <v>A</v>
      </c>
      <c r="AP156" s="62">
        <v>0</v>
      </c>
      <c r="AQ156" s="62">
        <v>0</v>
      </c>
      <c r="AR156" s="62">
        <v>0</v>
      </c>
      <c r="AS156" s="7"/>
      <c r="AT156" s="7"/>
      <c r="AU156" s="72">
        <f t="shared" si="22"/>
        <v>0</v>
      </c>
      <c r="AV156" s="7"/>
      <c r="AW156" s="7"/>
      <c r="AX156" s="62">
        <v>0</v>
      </c>
      <c r="AY156" s="62">
        <v>0</v>
      </c>
      <c r="AZ156" s="62">
        <v>0</v>
      </c>
      <c r="BA156" s="72">
        <f t="shared" si="23"/>
        <v>0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2</v>
      </c>
      <c r="M157" s="62">
        <v>0</v>
      </c>
      <c r="N157" s="62">
        <v>0</v>
      </c>
      <c r="O157" s="62">
        <v>3</v>
      </c>
      <c r="P157" s="62">
        <v>0</v>
      </c>
      <c r="Q157" s="72">
        <f t="shared" si="17"/>
        <v>1</v>
      </c>
      <c r="R157" s="62">
        <v>0</v>
      </c>
      <c r="S157" s="62">
        <v>0</v>
      </c>
      <c r="T157" s="62"/>
      <c r="U157" s="62">
        <v>0</v>
      </c>
      <c r="V157" s="62"/>
      <c r="W157" s="72">
        <f t="shared" si="18"/>
        <v>0</v>
      </c>
      <c r="X157" s="62">
        <v>3</v>
      </c>
      <c r="Y157" s="62">
        <v>2</v>
      </c>
      <c r="Z157" s="62"/>
      <c r="AA157" s="62"/>
      <c r="AB157" s="62"/>
      <c r="AC157" s="72">
        <f t="shared" si="19"/>
        <v>2.5</v>
      </c>
      <c r="AD157" s="62">
        <v>0</v>
      </c>
      <c r="AE157" s="62"/>
      <c r="AF157" s="62">
        <v>0</v>
      </c>
      <c r="AG157" s="62"/>
      <c r="AH157" s="62"/>
      <c r="AI157" s="72">
        <f t="shared" si="20"/>
        <v>0</v>
      </c>
      <c r="AJ157" s="62"/>
      <c r="AK157" s="62"/>
      <c r="AL157" s="62"/>
      <c r="AM157" s="62"/>
      <c r="AN157" s="62"/>
      <c r="AO157" s="72" t="str">
        <f t="shared" si="21"/>
        <v>A</v>
      </c>
      <c r="AP157" s="62">
        <v>0</v>
      </c>
      <c r="AQ157" s="62">
        <v>3</v>
      </c>
      <c r="AR157" s="62">
        <v>3</v>
      </c>
      <c r="AS157" s="62"/>
      <c r="AT157" s="62"/>
      <c r="AU157" s="72">
        <f t="shared" si="22"/>
        <v>2</v>
      </c>
      <c r="AV157" s="62"/>
      <c r="AW157" s="62"/>
      <c r="AX157" s="62">
        <v>2</v>
      </c>
      <c r="AY157" s="62">
        <v>0</v>
      </c>
      <c r="AZ157" s="62">
        <v>0</v>
      </c>
      <c r="BA157" s="72">
        <f t="shared" si="23"/>
        <v>0.66666666666666663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2</v>
      </c>
      <c r="M158" s="62">
        <v>0</v>
      </c>
      <c r="N158" s="62">
        <v>0</v>
      </c>
      <c r="O158" s="62">
        <v>3</v>
      </c>
      <c r="P158" s="62">
        <v>0</v>
      </c>
      <c r="Q158" s="72">
        <f t="shared" si="17"/>
        <v>1</v>
      </c>
      <c r="R158" s="62">
        <v>0</v>
      </c>
      <c r="S158" s="62">
        <v>0</v>
      </c>
      <c r="T158" s="7"/>
      <c r="U158" s="62">
        <v>0</v>
      </c>
      <c r="V158" s="7"/>
      <c r="W158" s="72">
        <f t="shared" si="18"/>
        <v>0</v>
      </c>
      <c r="X158" s="62">
        <v>1</v>
      </c>
      <c r="Y158" s="62">
        <v>1</v>
      </c>
      <c r="Z158" s="7"/>
      <c r="AA158" s="7"/>
      <c r="AB158" s="7"/>
      <c r="AC158" s="72">
        <f t="shared" si="19"/>
        <v>1</v>
      </c>
      <c r="AD158" s="62">
        <v>0</v>
      </c>
      <c r="AE158" s="7"/>
      <c r="AF158" s="62">
        <v>0</v>
      </c>
      <c r="AG158" s="7"/>
      <c r="AH158" s="7"/>
      <c r="AI158" s="72">
        <f t="shared" si="20"/>
        <v>0</v>
      </c>
      <c r="AJ158" s="7"/>
      <c r="AK158" s="7"/>
      <c r="AL158" s="7"/>
      <c r="AM158" s="7"/>
      <c r="AN158" s="7"/>
      <c r="AO158" s="72" t="str">
        <f t="shared" si="21"/>
        <v>A</v>
      </c>
      <c r="AP158" s="62">
        <v>0</v>
      </c>
      <c r="AQ158" s="62">
        <v>2</v>
      </c>
      <c r="AR158" s="62">
        <v>3</v>
      </c>
      <c r="AS158" s="7"/>
      <c r="AT158" s="7"/>
      <c r="AU158" s="72">
        <f t="shared" si="22"/>
        <v>1.6666666666666667</v>
      </c>
      <c r="AV158" s="7"/>
      <c r="AW158" s="7"/>
      <c r="AX158" s="62">
        <v>2</v>
      </c>
      <c r="AY158" s="62">
        <v>0</v>
      </c>
      <c r="AZ158" s="62">
        <v>0</v>
      </c>
      <c r="BA158" s="72">
        <f t="shared" si="23"/>
        <v>0.66666666666666663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2</v>
      </c>
      <c r="M159" s="62">
        <v>2</v>
      </c>
      <c r="N159" s="62">
        <v>1</v>
      </c>
      <c r="O159" s="62">
        <v>3</v>
      </c>
      <c r="P159" s="62">
        <v>1</v>
      </c>
      <c r="Q159" s="72">
        <f t="shared" si="17"/>
        <v>1.8</v>
      </c>
      <c r="R159" s="62">
        <v>0</v>
      </c>
      <c r="S159" s="62">
        <v>0</v>
      </c>
      <c r="T159" s="62"/>
      <c r="U159" s="62">
        <v>0</v>
      </c>
      <c r="V159" s="62"/>
      <c r="W159" s="72">
        <f t="shared" si="18"/>
        <v>0</v>
      </c>
      <c r="X159" s="62">
        <v>2</v>
      </c>
      <c r="Y159" s="62">
        <v>2</v>
      </c>
      <c r="Z159" s="62"/>
      <c r="AA159" s="62"/>
      <c r="AB159" s="62"/>
      <c r="AC159" s="72">
        <f t="shared" si="19"/>
        <v>2</v>
      </c>
      <c r="AD159" s="62">
        <v>0</v>
      </c>
      <c r="AE159" s="62"/>
      <c r="AF159" s="62">
        <v>0</v>
      </c>
      <c r="AG159" s="62"/>
      <c r="AH159" s="62"/>
      <c r="AI159" s="72">
        <f t="shared" si="20"/>
        <v>0</v>
      </c>
      <c r="AJ159" s="62"/>
      <c r="AK159" s="62"/>
      <c r="AL159" s="62"/>
      <c r="AM159" s="62"/>
      <c r="AN159" s="62"/>
      <c r="AO159" s="72" t="str">
        <f t="shared" si="21"/>
        <v>A</v>
      </c>
      <c r="AP159" s="62">
        <v>0</v>
      </c>
      <c r="AQ159" s="62">
        <v>0</v>
      </c>
      <c r="AR159" s="62">
        <v>0</v>
      </c>
      <c r="AS159" s="62"/>
      <c r="AT159" s="62"/>
      <c r="AU159" s="72">
        <f t="shared" si="22"/>
        <v>0</v>
      </c>
      <c r="AV159" s="62"/>
      <c r="AW159" s="62"/>
      <c r="AX159" s="62">
        <v>0</v>
      </c>
      <c r="AY159" s="62">
        <v>0</v>
      </c>
      <c r="AZ159" s="62">
        <v>0</v>
      </c>
      <c r="BA159" s="72">
        <f t="shared" si="23"/>
        <v>0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3</v>
      </c>
      <c r="M160" s="62">
        <v>3</v>
      </c>
      <c r="N160" s="62">
        <v>3</v>
      </c>
      <c r="O160" s="62">
        <v>3</v>
      </c>
      <c r="P160" s="62">
        <v>3</v>
      </c>
      <c r="Q160" s="72">
        <f t="shared" si="17"/>
        <v>3</v>
      </c>
      <c r="R160" s="62">
        <v>0</v>
      </c>
      <c r="S160" s="62">
        <v>0</v>
      </c>
      <c r="T160" s="7"/>
      <c r="U160" s="62">
        <v>0</v>
      </c>
      <c r="V160" s="7"/>
      <c r="W160" s="72">
        <f t="shared" si="18"/>
        <v>0</v>
      </c>
      <c r="X160" s="62">
        <v>0</v>
      </c>
      <c r="Y160" s="62">
        <v>0</v>
      </c>
      <c r="Z160" s="7"/>
      <c r="AA160" s="7"/>
      <c r="AB160" s="7"/>
      <c r="AC160" s="72">
        <f t="shared" si="19"/>
        <v>0</v>
      </c>
      <c r="AD160" s="62">
        <v>0</v>
      </c>
      <c r="AE160" s="7"/>
      <c r="AF160" s="62">
        <v>0</v>
      </c>
      <c r="AG160" s="7"/>
      <c r="AH160" s="7"/>
      <c r="AI160" s="72">
        <f t="shared" si="20"/>
        <v>0</v>
      </c>
      <c r="AJ160" s="7"/>
      <c r="AK160" s="7"/>
      <c r="AL160" s="7"/>
      <c r="AM160" s="7"/>
      <c r="AN160" s="7"/>
      <c r="AO160" s="72" t="str">
        <f t="shared" si="21"/>
        <v>A</v>
      </c>
      <c r="AP160" s="62">
        <v>0</v>
      </c>
      <c r="AQ160" s="62">
        <v>0</v>
      </c>
      <c r="AR160" s="62">
        <v>0</v>
      </c>
      <c r="AS160" s="7"/>
      <c r="AT160" s="7"/>
      <c r="AU160" s="72">
        <f t="shared" si="22"/>
        <v>0</v>
      </c>
      <c r="AV160" s="7"/>
      <c r="AW160" s="7"/>
      <c r="AX160" s="62">
        <v>0</v>
      </c>
      <c r="AY160" s="62">
        <v>0</v>
      </c>
      <c r="AZ160" s="62">
        <v>0</v>
      </c>
      <c r="BA160" s="72">
        <f t="shared" si="23"/>
        <v>0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2</v>
      </c>
      <c r="M161" s="62">
        <v>3</v>
      </c>
      <c r="N161" s="62">
        <v>3</v>
      </c>
      <c r="O161" s="62">
        <v>3</v>
      </c>
      <c r="P161" s="62">
        <v>3</v>
      </c>
      <c r="Q161" s="72">
        <f t="shared" si="17"/>
        <v>2.8</v>
      </c>
      <c r="R161" s="62">
        <v>0</v>
      </c>
      <c r="S161" s="62">
        <v>0</v>
      </c>
      <c r="T161" s="62"/>
      <c r="U161" s="62">
        <v>0</v>
      </c>
      <c r="V161" s="62"/>
      <c r="W161" s="72">
        <f t="shared" si="18"/>
        <v>0</v>
      </c>
      <c r="X161" s="62">
        <v>2</v>
      </c>
      <c r="Y161" s="62">
        <v>2</v>
      </c>
      <c r="Z161" s="62"/>
      <c r="AA161" s="62"/>
      <c r="AB161" s="62"/>
      <c r="AC161" s="72">
        <f t="shared" si="19"/>
        <v>2</v>
      </c>
      <c r="AD161" s="62">
        <v>0</v>
      </c>
      <c r="AE161" s="62"/>
      <c r="AF161" s="62">
        <v>0</v>
      </c>
      <c r="AG161" s="62"/>
      <c r="AH161" s="62"/>
      <c r="AI161" s="72">
        <f t="shared" si="20"/>
        <v>0</v>
      </c>
      <c r="AJ161" s="62"/>
      <c r="AK161" s="62"/>
      <c r="AL161" s="62"/>
      <c r="AM161" s="62"/>
      <c r="AN161" s="62"/>
      <c r="AO161" s="72" t="str">
        <f t="shared" si="21"/>
        <v>A</v>
      </c>
      <c r="AP161" s="62">
        <v>0</v>
      </c>
      <c r="AQ161" s="62">
        <v>0</v>
      </c>
      <c r="AR161" s="62">
        <v>0</v>
      </c>
      <c r="AS161" s="62"/>
      <c r="AT161" s="62"/>
      <c r="AU161" s="72">
        <f t="shared" si="22"/>
        <v>0</v>
      </c>
      <c r="AV161" s="62"/>
      <c r="AW161" s="62"/>
      <c r="AX161" s="62">
        <v>0</v>
      </c>
      <c r="AY161" s="62">
        <v>0</v>
      </c>
      <c r="AZ161" s="62">
        <v>0</v>
      </c>
      <c r="BA161" s="72">
        <f t="shared" si="23"/>
        <v>0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2</v>
      </c>
      <c r="M162" s="62">
        <v>2</v>
      </c>
      <c r="N162" s="62">
        <v>2</v>
      </c>
      <c r="O162" s="62">
        <v>3</v>
      </c>
      <c r="P162" s="62">
        <v>2</v>
      </c>
      <c r="Q162" s="72">
        <f t="shared" si="17"/>
        <v>2.2000000000000002</v>
      </c>
      <c r="R162" s="62">
        <v>0</v>
      </c>
      <c r="S162" s="62">
        <v>0</v>
      </c>
      <c r="T162" s="7"/>
      <c r="U162" s="62">
        <v>0</v>
      </c>
      <c r="V162" s="7"/>
      <c r="W162" s="72">
        <f t="shared" si="18"/>
        <v>0</v>
      </c>
      <c r="X162" s="62">
        <v>0</v>
      </c>
      <c r="Y162" s="62">
        <v>0</v>
      </c>
      <c r="Z162" s="7"/>
      <c r="AA162" s="7"/>
      <c r="AB162" s="7"/>
      <c r="AC162" s="72">
        <f t="shared" si="19"/>
        <v>0</v>
      </c>
      <c r="AD162" s="62">
        <v>0</v>
      </c>
      <c r="AE162" s="7"/>
      <c r="AF162" s="62">
        <v>0</v>
      </c>
      <c r="AG162" s="7"/>
      <c r="AH162" s="7"/>
      <c r="AI162" s="72">
        <f t="shared" si="20"/>
        <v>0</v>
      </c>
      <c r="AJ162" s="7"/>
      <c r="AK162" s="7"/>
      <c r="AL162" s="7"/>
      <c r="AM162" s="7"/>
      <c r="AN162" s="7"/>
      <c r="AO162" s="72" t="str">
        <f t="shared" si="21"/>
        <v>A</v>
      </c>
      <c r="AP162" s="62">
        <v>0</v>
      </c>
      <c r="AQ162" s="62">
        <v>0</v>
      </c>
      <c r="AR162" s="62">
        <v>0</v>
      </c>
      <c r="AS162" s="7"/>
      <c r="AT162" s="7"/>
      <c r="AU162" s="72">
        <f t="shared" si="22"/>
        <v>0</v>
      </c>
      <c r="AV162" s="7"/>
      <c r="AW162" s="7"/>
      <c r="AX162" s="62">
        <v>0</v>
      </c>
      <c r="AY162" s="62">
        <v>0</v>
      </c>
      <c r="AZ162" s="62">
        <v>0</v>
      </c>
      <c r="BA162" s="72">
        <f t="shared" si="23"/>
        <v>0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>
        <v>2</v>
      </c>
      <c r="N163" s="62">
        <v>3</v>
      </c>
      <c r="O163" s="62">
        <v>3</v>
      </c>
      <c r="P163" s="62">
        <v>3</v>
      </c>
      <c r="Q163" s="72">
        <f t="shared" si="17"/>
        <v>2.8</v>
      </c>
      <c r="R163" s="62">
        <v>0</v>
      </c>
      <c r="S163" s="62">
        <v>0</v>
      </c>
      <c r="T163" s="62"/>
      <c r="U163" s="62">
        <v>0</v>
      </c>
      <c r="V163" s="62"/>
      <c r="W163" s="72">
        <f t="shared" si="18"/>
        <v>0</v>
      </c>
      <c r="X163" s="62">
        <v>0</v>
      </c>
      <c r="Y163" s="62">
        <v>0</v>
      </c>
      <c r="Z163" s="62"/>
      <c r="AA163" s="62"/>
      <c r="AB163" s="62"/>
      <c r="AC163" s="72">
        <f t="shared" si="19"/>
        <v>0</v>
      </c>
      <c r="AD163" s="62">
        <v>0</v>
      </c>
      <c r="AE163" s="62"/>
      <c r="AF163" s="62">
        <v>0</v>
      </c>
      <c r="AG163" s="62"/>
      <c r="AH163" s="62"/>
      <c r="AI163" s="72">
        <f t="shared" si="20"/>
        <v>0</v>
      </c>
      <c r="AJ163" s="62"/>
      <c r="AK163" s="62"/>
      <c r="AL163" s="62"/>
      <c r="AM163" s="62"/>
      <c r="AN163" s="62"/>
      <c r="AO163" s="72" t="str">
        <f t="shared" si="21"/>
        <v>A</v>
      </c>
      <c r="AP163" s="62">
        <v>0</v>
      </c>
      <c r="AQ163" s="62">
        <v>0</v>
      </c>
      <c r="AR163" s="62">
        <v>0</v>
      </c>
      <c r="AS163" s="62"/>
      <c r="AT163" s="62"/>
      <c r="AU163" s="72">
        <f t="shared" si="22"/>
        <v>0</v>
      </c>
      <c r="AV163" s="62"/>
      <c r="AW163" s="62"/>
      <c r="AX163" s="62">
        <v>0</v>
      </c>
      <c r="AY163" s="62">
        <v>0</v>
      </c>
      <c r="AZ163" s="62">
        <v>0</v>
      </c>
      <c r="BA163" s="72">
        <f t="shared" si="23"/>
        <v>0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2</v>
      </c>
      <c r="M164" s="62">
        <v>2</v>
      </c>
      <c r="N164" s="62">
        <v>2</v>
      </c>
      <c r="O164" s="62">
        <v>3</v>
      </c>
      <c r="P164" s="62">
        <v>2</v>
      </c>
      <c r="Q164" s="72">
        <f t="shared" si="17"/>
        <v>2.2000000000000002</v>
      </c>
      <c r="R164" s="62">
        <v>2</v>
      </c>
      <c r="S164" s="62">
        <v>2</v>
      </c>
      <c r="T164" s="7"/>
      <c r="U164" s="62">
        <v>2</v>
      </c>
      <c r="V164" s="7"/>
      <c r="W164" s="72">
        <f t="shared" si="18"/>
        <v>2</v>
      </c>
      <c r="X164" s="62">
        <v>2</v>
      </c>
      <c r="Y164" s="62">
        <v>2</v>
      </c>
      <c r="Z164" s="7"/>
      <c r="AA164" s="7"/>
      <c r="AB164" s="7"/>
      <c r="AC164" s="72">
        <f t="shared" si="19"/>
        <v>2</v>
      </c>
      <c r="AD164" s="62">
        <v>2</v>
      </c>
      <c r="AE164" s="7"/>
      <c r="AF164" s="62">
        <v>2</v>
      </c>
      <c r="AG164" s="7"/>
      <c r="AH164" s="7"/>
      <c r="AI164" s="72">
        <f t="shared" si="20"/>
        <v>2</v>
      </c>
      <c r="AJ164" s="7"/>
      <c r="AK164" s="7"/>
      <c r="AL164" s="7"/>
      <c r="AM164" s="7"/>
      <c r="AN164" s="7"/>
      <c r="AO164" s="72" t="str">
        <f t="shared" si="21"/>
        <v>A</v>
      </c>
      <c r="AP164" s="62">
        <v>2</v>
      </c>
      <c r="AQ164" s="62">
        <v>2</v>
      </c>
      <c r="AR164" s="62">
        <v>2</v>
      </c>
      <c r="AS164" s="7"/>
      <c r="AT164" s="7"/>
      <c r="AU164" s="72">
        <f t="shared" si="22"/>
        <v>2</v>
      </c>
      <c r="AV164" s="7"/>
      <c r="AW164" s="7"/>
      <c r="AX164" s="62">
        <v>2</v>
      </c>
      <c r="AY164" s="62">
        <v>2</v>
      </c>
      <c r="AZ164" s="62">
        <v>2</v>
      </c>
      <c r="BA164" s="72">
        <f t="shared" si="23"/>
        <v>2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2</v>
      </c>
      <c r="M165" s="62">
        <v>2</v>
      </c>
      <c r="N165" s="62">
        <v>2</v>
      </c>
      <c r="O165" s="62">
        <v>3</v>
      </c>
      <c r="P165" s="62">
        <v>3</v>
      </c>
      <c r="Q165" s="72">
        <f t="shared" si="17"/>
        <v>2.4</v>
      </c>
      <c r="R165" s="62">
        <v>0</v>
      </c>
      <c r="S165" s="62">
        <v>0</v>
      </c>
      <c r="T165" s="62"/>
      <c r="U165" s="62">
        <v>0</v>
      </c>
      <c r="V165" s="62"/>
      <c r="W165" s="72">
        <f t="shared" si="18"/>
        <v>0</v>
      </c>
      <c r="X165" s="62">
        <v>2</v>
      </c>
      <c r="Y165" s="62">
        <v>2</v>
      </c>
      <c r="Z165" s="62"/>
      <c r="AA165" s="62"/>
      <c r="AB165" s="62"/>
      <c r="AC165" s="72">
        <f t="shared" si="19"/>
        <v>2</v>
      </c>
      <c r="AD165" s="62">
        <v>0</v>
      </c>
      <c r="AE165" s="62"/>
      <c r="AF165" s="62">
        <v>0</v>
      </c>
      <c r="AG165" s="62"/>
      <c r="AH165" s="62"/>
      <c r="AI165" s="72">
        <f t="shared" si="20"/>
        <v>0</v>
      </c>
      <c r="AJ165" s="62"/>
      <c r="AK165" s="62"/>
      <c r="AL165" s="62"/>
      <c r="AM165" s="62"/>
      <c r="AN165" s="62"/>
      <c r="AO165" s="72" t="str">
        <f t="shared" si="21"/>
        <v>A</v>
      </c>
      <c r="AP165" s="62">
        <v>0</v>
      </c>
      <c r="AQ165" s="62">
        <v>0</v>
      </c>
      <c r="AR165" s="62">
        <v>0</v>
      </c>
      <c r="AS165" s="62"/>
      <c r="AT165" s="62"/>
      <c r="AU165" s="72">
        <f t="shared" si="22"/>
        <v>0</v>
      </c>
      <c r="AV165" s="62"/>
      <c r="AW165" s="62"/>
      <c r="AX165" s="62">
        <v>0</v>
      </c>
      <c r="AY165" s="62">
        <v>0</v>
      </c>
      <c r="AZ165" s="62">
        <v>0</v>
      </c>
      <c r="BA165" s="72">
        <f t="shared" si="23"/>
        <v>0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3</v>
      </c>
      <c r="M166" s="62">
        <v>3</v>
      </c>
      <c r="N166" s="62">
        <v>3</v>
      </c>
      <c r="O166" s="62">
        <v>3</v>
      </c>
      <c r="P166" s="62">
        <v>3</v>
      </c>
      <c r="Q166" s="72">
        <f t="shared" si="17"/>
        <v>3</v>
      </c>
      <c r="R166" s="62">
        <v>3</v>
      </c>
      <c r="S166" s="62">
        <v>3</v>
      </c>
      <c r="T166" s="7"/>
      <c r="U166" s="62">
        <v>3</v>
      </c>
      <c r="V166" s="7"/>
      <c r="W166" s="72">
        <f t="shared" si="18"/>
        <v>3</v>
      </c>
      <c r="X166" s="62">
        <v>4</v>
      </c>
      <c r="Y166" s="62">
        <v>3</v>
      </c>
      <c r="Z166" s="7"/>
      <c r="AA166" s="7"/>
      <c r="AB166" s="7"/>
      <c r="AC166" s="72">
        <f t="shared" si="19"/>
        <v>3.5</v>
      </c>
      <c r="AD166" s="62">
        <v>3</v>
      </c>
      <c r="AE166" s="7"/>
      <c r="AF166" s="62">
        <v>4</v>
      </c>
      <c r="AG166" s="7"/>
      <c r="AH166" s="7"/>
      <c r="AI166" s="72">
        <f t="shared" si="20"/>
        <v>3.5</v>
      </c>
      <c r="AJ166" s="7"/>
      <c r="AK166" s="7"/>
      <c r="AL166" s="7"/>
      <c r="AM166" s="7"/>
      <c r="AN166" s="7"/>
      <c r="AO166" s="72" t="str">
        <f t="shared" si="21"/>
        <v>A</v>
      </c>
      <c r="AP166" s="62">
        <v>3</v>
      </c>
      <c r="AQ166" s="62">
        <v>3</v>
      </c>
      <c r="AR166" s="62">
        <v>2</v>
      </c>
      <c r="AS166" s="7"/>
      <c r="AT166" s="7"/>
      <c r="AU166" s="72">
        <f t="shared" si="22"/>
        <v>2.6666666666666665</v>
      </c>
      <c r="AV166" s="7"/>
      <c r="AW166" s="7"/>
      <c r="AX166" s="62">
        <v>3</v>
      </c>
      <c r="AY166" s="62">
        <v>0</v>
      </c>
      <c r="AZ166" s="62">
        <v>0</v>
      </c>
      <c r="BA166" s="72">
        <f t="shared" si="23"/>
        <v>1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2</v>
      </c>
      <c r="M167" s="62">
        <v>2</v>
      </c>
      <c r="N167" s="62">
        <v>2</v>
      </c>
      <c r="O167" s="62">
        <v>3</v>
      </c>
      <c r="P167" s="62">
        <v>2</v>
      </c>
      <c r="Q167" s="72">
        <f t="shared" si="17"/>
        <v>2.2000000000000002</v>
      </c>
      <c r="R167" s="62">
        <v>0</v>
      </c>
      <c r="S167" s="62">
        <v>0</v>
      </c>
      <c r="T167" s="62"/>
      <c r="U167" s="62">
        <v>0</v>
      </c>
      <c r="V167" s="62"/>
      <c r="W167" s="72">
        <f t="shared" si="18"/>
        <v>0</v>
      </c>
      <c r="X167" s="62">
        <v>0</v>
      </c>
      <c r="Y167" s="62">
        <v>0</v>
      </c>
      <c r="Z167" s="62"/>
      <c r="AA167" s="62"/>
      <c r="AB167" s="62"/>
      <c r="AC167" s="72">
        <f t="shared" si="19"/>
        <v>0</v>
      </c>
      <c r="AD167" s="62">
        <v>0</v>
      </c>
      <c r="AE167" s="62"/>
      <c r="AF167" s="62">
        <v>0</v>
      </c>
      <c r="AG167" s="62"/>
      <c r="AH167" s="62"/>
      <c r="AI167" s="72">
        <f t="shared" si="20"/>
        <v>0</v>
      </c>
      <c r="AJ167" s="62"/>
      <c r="AK167" s="62"/>
      <c r="AL167" s="62"/>
      <c r="AM167" s="62"/>
      <c r="AN167" s="62"/>
      <c r="AO167" s="72" t="str">
        <f t="shared" si="21"/>
        <v>A</v>
      </c>
      <c r="AP167" s="62">
        <v>0</v>
      </c>
      <c r="AQ167" s="62">
        <v>0</v>
      </c>
      <c r="AR167" s="62">
        <v>0</v>
      </c>
      <c r="AS167" s="62"/>
      <c r="AT167" s="62"/>
      <c r="AU167" s="72">
        <f t="shared" si="22"/>
        <v>0</v>
      </c>
      <c r="AV167" s="62"/>
      <c r="AW167" s="62"/>
      <c r="AX167" s="62">
        <v>0</v>
      </c>
      <c r="AY167" s="62">
        <v>0</v>
      </c>
      <c r="AZ167" s="62">
        <v>0</v>
      </c>
      <c r="BA167" s="72">
        <f t="shared" si="23"/>
        <v>0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1</v>
      </c>
      <c r="M168" s="62">
        <v>1</v>
      </c>
      <c r="N168" s="62">
        <v>1</v>
      </c>
      <c r="O168" s="62">
        <v>3</v>
      </c>
      <c r="P168" s="62">
        <v>1</v>
      </c>
      <c r="Q168" s="72">
        <f t="shared" si="17"/>
        <v>1.4</v>
      </c>
      <c r="R168" s="62">
        <v>0</v>
      </c>
      <c r="S168" s="62">
        <v>0</v>
      </c>
      <c r="T168" s="7"/>
      <c r="U168" s="62">
        <v>0</v>
      </c>
      <c r="V168" s="7"/>
      <c r="W168" s="72">
        <f t="shared" si="18"/>
        <v>0</v>
      </c>
      <c r="X168" s="62">
        <v>0</v>
      </c>
      <c r="Y168" s="62">
        <v>0</v>
      </c>
      <c r="Z168" s="7"/>
      <c r="AA168" s="7"/>
      <c r="AB168" s="7"/>
      <c r="AC168" s="72">
        <f t="shared" si="19"/>
        <v>0</v>
      </c>
      <c r="AD168" s="62">
        <v>0</v>
      </c>
      <c r="AE168" s="7"/>
      <c r="AF168" s="62">
        <v>0</v>
      </c>
      <c r="AG168" s="7"/>
      <c r="AH168" s="7"/>
      <c r="AI168" s="72">
        <f t="shared" si="20"/>
        <v>0</v>
      </c>
      <c r="AJ168" s="7"/>
      <c r="AK168" s="7"/>
      <c r="AL168" s="7"/>
      <c r="AM168" s="7"/>
      <c r="AN168" s="7"/>
      <c r="AO168" s="72" t="str">
        <f t="shared" si="21"/>
        <v>A</v>
      </c>
      <c r="AP168" s="62">
        <v>0</v>
      </c>
      <c r="AQ168" s="62">
        <v>0</v>
      </c>
      <c r="AR168" s="62">
        <v>0</v>
      </c>
      <c r="AS168" s="7"/>
      <c r="AT168" s="7"/>
      <c r="AU168" s="72">
        <f t="shared" si="22"/>
        <v>0</v>
      </c>
      <c r="AV168" s="7"/>
      <c r="AW168" s="7"/>
      <c r="AX168" s="62">
        <v>0</v>
      </c>
      <c r="AY168" s="62">
        <v>0</v>
      </c>
      <c r="AZ168" s="62">
        <v>0</v>
      </c>
      <c r="BA168" s="72">
        <f t="shared" si="23"/>
        <v>0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2</v>
      </c>
      <c r="M169" s="62">
        <v>2</v>
      </c>
      <c r="N169" s="62">
        <v>2</v>
      </c>
      <c r="O169" s="62">
        <v>3</v>
      </c>
      <c r="P169" s="62">
        <v>2</v>
      </c>
      <c r="Q169" s="72">
        <f t="shared" si="17"/>
        <v>2.2000000000000002</v>
      </c>
      <c r="R169" s="62">
        <v>0</v>
      </c>
      <c r="S169" s="62">
        <v>0</v>
      </c>
      <c r="T169" s="62"/>
      <c r="U169" s="62">
        <v>0</v>
      </c>
      <c r="V169" s="62"/>
      <c r="W169" s="72">
        <f t="shared" si="18"/>
        <v>0</v>
      </c>
      <c r="X169" s="62">
        <v>3</v>
      </c>
      <c r="Y169" s="62">
        <v>2</v>
      </c>
      <c r="Z169" s="62"/>
      <c r="AA169" s="62"/>
      <c r="AB169" s="62"/>
      <c r="AC169" s="72">
        <f t="shared" si="19"/>
        <v>2.5</v>
      </c>
      <c r="AD169" s="62">
        <v>0</v>
      </c>
      <c r="AE169" s="62"/>
      <c r="AF169" s="62">
        <v>0</v>
      </c>
      <c r="AG169" s="62"/>
      <c r="AH169" s="62"/>
      <c r="AI169" s="72">
        <f t="shared" si="20"/>
        <v>0</v>
      </c>
      <c r="AJ169" s="62"/>
      <c r="AK169" s="62"/>
      <c r="AL169" s="62"/>
      <c r="AM169" s="62"/>
      <c r="AN169" s="62"/>
      <c r="AO169" s="72" t="str">
        <f t="shared" si="21"/>
        <v>A</v>
      </c>
      <c r="AP169" s="62">
        <v>0</v>
      </c>
      <c r="AQ169" s="62">
        <v>3</v>
      </c>
      <c r="AR169" s="62">
        <v>2</v>
      </c>
      <c r="AS169" s="62"/>
      <c r="AT169" s="62"/>
      <c r="AU169" s="72">
        <f t="shared" si="22"/>
        <v>1.6666666666666667</v>
      </c>
      <c r="AV169" s="62"/>
      <c r="AW169" s="62"/>
      <c r="AX169" s="62">
        <v>3</v>
      </c>
      <c r="AY169" s="62">
        <v>0</v>
      </c>
      <c r="AZ169" s="62">
        <v>0</v>
      </c>
      <c r="BA169" s="72">
        <f t="shared" si="23"/>
        <v>1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2</v>
      </c>
      <c r="M170" s="62">
        <v>2</v>
      </c>
      <c r="N170" s="62">
        <v>2</v>
      </c>
      <c r="O170" s="62">
        <v>3</v>
      </c>
      <c r="P170" s="62">
        <v>2</v>
      </c>
      <c r="Q170" s="72">
        <f t="shared" si="17"/>
        <v>2.2000000000000002</v>
      </c>
      <c r="R170" s="62">
        <v>0</v>
      </c>
      <c r="S170" s="62">
        <v>0</v>
      </c>
      <c r="T170" s="7"/>
      <c r="U170" s="62">
        <v>0</v>
      </c>
      <c r="V170" s="7"/>
      <c r="W170" s="72">
        <f t="shared" si="18"/>
        <v>0</v>
      </c>
      <c r="X170" s="62">
        <v>3</v>
      </c>
      <c r="Y170" s="62">
        <v>3</v>
      </c>
      <c r="Z170" s="7"/>
      <c r="AA170" s="7"/>
      <c r="AB170" s="7"/>
      <c r="AC170" s="72">
        <f t="shared" si="19"/>
        <v>3</v>
      </c>
      <c r="AD170" s="62">
        <v>0</v>
      </c>
      <c r="AE170" s="7"/>
      <c r="AF170" s="62">
        <v>0</v>
      </c>
      <c r="AG170" s="7"/>
      <c r="AH170" s="7"/>
      <c r="AI170" s="72">
        <f t="shared" si="20"/>
        <v>0</v>
      </c>
      <c r="AJ170" s="7"/>
      <c r="AK170" s="7"/>
      <c r="AL170" s="7"/>
      <c r="AM170" s="7"/>
      <c r="AN170" s="7"/>
      <c r="AO170" s="72" t="str">
        <f t="shared" si="21"/>
        <v>A</v>
      </c>
      <c r="AP170" s="62">
        <v>0</v>
      </c>
      <c r="AQ170" s="62">
        <v>2</v>
      </c>
      <c r="AR170" s="62">
        <v>2</v>
      </c>
      <c r="AS170" s="7"/>
      <c r="AT170" s="7"/>
      <c r="AU170" s="72">
        <f t="shared" si="22"/>
        <v>1.3333333333333333</v>
      </c>
      <c r="AV170" s="7"/>
      <c r="AW170" s="7"/>
      <c r="AX170" s="62">
        <v>2</v>
      </c>
      <c r="AY170" s="62">
        <v>0</v>
      </c>
      <c r="AZ170" s="62">
        <v>0</v>
      </c>
      <c r="BA170" s="72">
        <f t="shared" si="23"/>
        <v>0.66666666666666663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2</v>
      </c>
      <c r="M171" s="62">
        <v>3</v>
      </c>
      <c r="N171" s="62">
        <v>2</v>
      </c>
      <c r="O171" s="62">
        <v>3</v>
      </c>
      <c r="P171" s="62">
        <v>2</v>
      </c>
      <c r="Q171" s="72">
        <f t="shared" si="17"/>
        <v>2.4</v>
      </c>
      <c r="R171" s="62">
        <v>0</v>
      </c>
      <c r="S171" s="62">
        <v>0</v>
      </c>
      <c r="T171" s="62"/>
      <c r="U171" s="62">
        <v>0</v>
      </c>
      <c r="V171" s="62"/>
      <c r="W171" s="72">
        <f t="shared" si="18"/>
        <v>0</v>
      </c>
      <c r="X171" s="62">
        <v>0</v>
      </c>
      <c r="Y171" s="62">
        <v>0</v>
      </c>
      <c r="Z171" s="62"/>
      <c r="AA171" s="62"/>
      <c r="AB171" s="62"/>
      <c r="AC171" s="72">
        <f t="shared" si="19"/>
        <v>0</v>
      </c>
      <c r="AD171" s="62">
        <v>0</v>
      </c>
      <c r="AE171" s="62"/>
      <c r="AF171" s="62">
        <v>0</v>
      </c>
      <c r="AG171" s="62"/>
      <c r="AH171" s="62"/>
      <c r="AI171" s="72">
        <f t="shared" si="20"/>
        <v>0</v>
      </c>
      <c r="AJ171" s="62"/>
      <c r="AK171" s="62"/>
      <c r="AL171" s="62"/>
      <c r="AM171" s="62"/>
      <c r="AN171" s="62"/>
      <c r="AO171" s="72" t="str">
        <f t="shared" si="21"/>
        <v>A</v>
      </c>
      <c r="AP171" s="62">
        <v>0</v>
      </c>
      <c r="AQ171" s="62">
        <v>0</v>
      </c>
      <c r="AR171" s="62">
        <v>0</v>
      </c>
      <c r="AS171" s="62"/>
      <c r="AT171" s="62"/>
      <c r="AU171" s="72">
        <f t="shared" si="22"/>
        <v>0</v>
      </c>
      <c r="AV171" s="62"/>
      <c r="AW171" s="62"/>
      <c r="AX171" s="62">
        <v>0</v>
      </c>
      <c r="AY171" s="62">
        <v>0</v>
      </c>
      <c r="AZ171" s="62">
        <v>0</v>
      </c>
      <c r="BA171" s="72">
        <f t="shared" si="23"/>
        <v>0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3</v>
      </c>
      <c r="M172" s="62">
        <v>3</v>
      </c>
      <c r="N172" s="62">
        <v>3</v>
      </c>
      <c r="O172" s="62">
        <v>3</v>
      </c>
      <c r="P172" s="62">
        <v>2</v>
      </c>
      <c r="Q172" s="72">
        <f t="shared" si="17"/>
        <v>2.8</v>
      </c>
      <c r="R172" s="62">
        <v>0</v>
      </c>
      <c r="S172" s="62">
        <v>0</v>
      </c>
      <c r="T172" s="7"/>
      <c r="U172" s="62">
        <v>0</v>
      </c>
      <c r="V172" s="7"/>
      <c r="W172" s="72">
        <f t="shared" si="18"/>
        <v>0</v>
      </c>
      <c r="X172" s="62">
        <v>0</v>
      </c>
      <c r="Y172" s="62">
        <v>0</v>
      </c>
      <c r="Z172" s="7"/>
      <c r="AA172" s="7"/>
      <c r="AB172" s="7"/>
      <c r="AC172" s="72">
        <f t="shared" si="19"/>
        <v>0</v>
      </c>
      <c r="AD172" s="62">
        <v>0</v>
      </c>
      <c r="AE172" s="7"/>
      <c r="AF172" s="62">
        <v>0</v>
      </c>
      <c r="AG172" s="7"/>
      <c r="AH172" s="7"/>
      <c r="AI172" s="72">
        <f t="shared" si="20"/>
        <v>0</v>
      </c>
      <c r="AJ172" s="7"/>
      <c r="AK172" s="7"/>
      <c r="AL172" s="7"/>
      <c r="AM172" s="7"/>
      <c r="AN172" s="7"/>
      <c r="AO172" s="72" t="str">
        <f t="shared" si="21"/>
        <v>A</v>
      </c>
      <c r="AP172" s="62">
        <v>0</v>
      </c>
      <c r="AQ172" s="62">
        <v>0</v>
      </c>
      <c r="AR172" s="62">
        <v>0</v>
      </c>
      <c r="AS172" s="7"/>
      <c r="AT172" s="7"/>
      <c r="AU172" s="72">
        <f t="shared" si="22"/>
        <v>0</v>
      </c>
      <c r="AV172" s="7"/>
      <c r="AW172" s="7"/>
      <c r="AX172" s="62">
        <v>0</v>
      </c>
      <c r="AY172" s="62">
        <v>0</v>
      </c>
      <c r="AZ172" s="62">
        <v>0</v>
      </c>
      <c r="BA172" s="72">
        <f t="shared" si="23"/>
        <v>0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2</v>
      </c>
      <c r="M173" s="62">
        <v>2</v>
      </c>
      <c r="N173" s="62">
        <v>2</v>
      </c>
      <c r="O173" s="62">
        <v>2</v>
      </c>
      <c r="P173" s="62">
        <v>2</v>
      </c>
      <c r="Q173" s="72">
        <f t="shared" si="17"/>
        <v>2</v>
      </c>
      <c r="R173" s="62">
        <v>3</v>
      </c>
      <c r="S173" s="62">
        <v>3</v>
      </c>
      <c r="T173" s="62"/>
      <c r="U173" s="62">
        <v>3</v>
      </c>
      <c r="V173" s="62"/>
      <c r="W173" s="72">
        <f t="shared" si="18"/>
        <v>3</v>
      </c>
      <c r="X173" s="62">
        <v>3</v>
      </c>
      <c r="Y173" s="62">
        <v>2</v>
      </c>
      <c r="Z173" s="62"/>
      <c r="AA173" s="62"/>
      <c r="AB173" s="62"/>
      <c r="AC173" s="72">
        <f t="shared" si="19"/>
        <v>2.5</v>
      </c>
      <c r="AD173" s="62">
        <v>3</v>
      </c>
      <c r="AE173" s="62"/>
      <c r="AF173" s="62">
        <v>3</v>
      </c>
      <c r="AG173" s="62"/>
      <c r="AH173" s="62"/>
      <c r="AI173" s="72">
        <f t="shared" si="20"/>
        <v>3</v>
      </c>
      <c r="AJ173" s="62"/>
      <c r="AK173" s="62"/>
      <c r="AL173" s="62"/>
      <c r="AM173" s="62"/>
      <c r="AN173" s="62"/>
      <c r="AO173" s="72" t="str">
        <f t="shared" si="21"/>
        <v>A</v>
      </c>
      <c r="AP173" s="62">
        <v>3</v>
      </c>
      <c r="AQ173" s="62">
        <v>3</v>
      </c>
      <c r="AR173" s="62">
        <v>2</v>
      </c>
      <c r="AS173" s="62"/>
      <c r="AT173" s="62"/>
      <c r="AU173" s="72">
        <f t="shared" si="22"/>
        <v>2.6666666666666665</v>
      </c>
      <c r="AV173" s="62"/>
      <c r="AW173" s="62"/>
      <c r="AX173" s="62">
        <v>3</v>
      </c>
      <c r="AY173" s="62">
        <v>0</v>
      </c>
      <c r="AZ173" s="62">
        <v>0</v>
      </c>
      <c r="BA173" s="72">
        <f t="shared" si="23"/>
        <v>1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2</v>
      </c>
      <c r="M174" s="62">
        <v>2</v>
      </c>
      <c r="N174" s="62">
        <v>2</v>
      </c>
      <c r="O174" s="62">
        <v>3</v>
      </c>
      <c r="P174" s="62">
        <v>2</v>
      </c>
      <c r="Q174" s="72">
        <f t="shared" si="17"/>
        <v>2.2000000000000002</v>
      </c>
      <c r="R174" s="62">
        <v>0</v>
      </c>
      <c r="S174" s="62">
        <v>0</v>
      </c>
      <c r="T174" s="7"/>
      <c r="U174" s="62">
        <v>0</v>
      </c>
      <c r="V174" s="7"/>
      <c r="W174" s="72">
        <f t="shared" si="18"/>
        <v>0</v>
      </c>
      <c r="X174" s="62">
        <v>0</v>
      </c>
      <c r="Y174" s="62">
        <v>0</v>
      </c>
      <c r="Z174" s="7"/>
      <c r="AA174" s="7"/>
      <c r="AB174" s="7"/>
      <c r="AC174" s="72">
        <f t="shared" si="19"/>
        <v>0</v>
      </c>
      <c r="AD174" s="62">
        <v>0</v>
      </c>
      <c r="AE174" s="7"/>
      <c r="AF174" s="62">
        <v>0</v>
      </c>
      <c r="AG174" s="7"/>
      <c r="AH174" s="7"/>
      <c r="AI174" s="72">
        <f t="shared" si="20"/>
        <v>0</v>
      </c>
      <c r="AJ174" s="7"/>
      <c r="AK174" s="7"/>
      <c r="AL174" s="7"/>
      <c r="AM174" s="7"/>
      <c r="AN174" s="7"/>
      <c r="AO174" s="72" t="str">
        <f t="shared" si="21"/>
        <v>A</v>
      </c>
      <c r="AP174" s="62">
        <v>0</v>
      </c>
      <c r="AQ174" s="62">
        <v>0</v>
      </c>
      <c r="AR174" s="62">
        <v>0</v>
      </c>
      <c r="AS174" s="7"/>
      <c r="AT174" s="7"/>
      <c r="AU174" s="72">
        <f t="shared" si="22"/>
        <v>0</v>
      </c>
      <c r="AV174" s="7"/>
      <c r="AW174" s="7"/>
      <c r="AX174" s="62">
        <v>0</v>
      </c>
      <c r="AY174" s="62">
        <v>0</v>
      </c>
      <c r="AZ174" s="62">
        <v>0</v>
      </c>
      <c r="BA174" s="72">
        <f t="shared" si="23"/>
        <v>0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2</v>
      </c>
      <c r="M175" s="62">
        <v>2</v>
      </c>
      <c r="N175" s="62">
        <v>2</v>
      </c>
      <c r="O175" s="62">
        <v>2</v>
      </c>
      <c r="P175" s="62">
        <v>2</v>
      </c>
      <c r="Q175" s="72">
        <f t="shared" si="17"/>
        <v>2</v>
      </c>
      <c r="R175" s="62">
        <v>0</v>
      </c>
      <c r="S175" s="62">
        <v>0</v>
      </c>
      <c r="T175" s="62"/>
      <c r="U175" s="62">
        <v>0</v>
      </c>
      <c r="V175" s="62"/>
      <c r="W175" s="72">
        <f t="shared" si="18"/>
        <v>0</v>
      </c>
      <c r="X175" s="62">
        <v>0</v>
      </c>
      <c r="Y175" s="62">
        <v>0</v>
      </c>
      <c r="Z175" s="62"/>
      <c r="AA175" s="62"/>
      <c r="AB175" s="62"/>
      <c r="AC175" s="72">
        <f t="shared" si="19"/>
        <v>0</v>
      </c>
      <c r="AD175" s="62">
        <v>0</v>
      </c>
      <c r="AE175" s="62"/>
      <c r="AF175" s="62">
        <v>0</v>
      </c>
      <c r="AG175" s="62"/>
      <c r="AH175" s="62"/>
      <c r="AI175" s="72">
        <f t="shared" si="20"/>
        <v>0</v>
      </c>
      <c r="AJ175" s="62"/>
      <c r="AK175" s="62"/>
      <c r="AL175" s="62"/>
      <c r="AM175" s="62"/>
      <c r="AN175" s="62"/>
      <c r="AO175" s="72" t="str">
        <f t="shared" si="21"/>
        <v>A</v>
      </c>
      <c r="AP175" s="62">
        <v>0</v>
      </c>
      <c r="AQ175" s="62">
        <v>0</v>
      </c>
      <c r="AR175" s="62">
        <v>0</v>
      </c>
      <c r="AS175" s="62"/>
      <c r="AT175" s="62"/>
      <c r="AU175" s="72">
        <f t="shared" si="22"/>
        <v>0</v>
      </c>
      <c r="AV175" s="62"/>
      <c r="AW175" s="62"/>
      <c r="AX175" s="62">
        <v>0</v>
      </c>
      <c r="AY175" s="62">
        <v>0</v>
      </c>
      <c r="AZ175" s="62">
        <v>0</v>
      </c>
      <c r="BA175" s="72">
        <f t="shared" si="23"/>
        <v>0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2</v>
      </c>
      <c r="M176" s="62">
        <v>2</v>
      </c>
      <c r="N176" s="62">
        <v>2</v>
      </c>
      <c r="O176" s="62">
        <v>2</v>
      </c>
      <c r="P176" s="62">
        <v>2</v>
      </c>
      <c r="Q176" s="72">
        <f t="shared" si="17"/>
        <v>2</v>
      </c>
      <c r="R176" s="62">
        <v>0</v>
      </c>
      <c r="S176" s="62">
        <v>0</v>
      </c>
      <c r="T176" s="7"/>
      <c r="U176" s="62">
        <v>0</v>
      </c>
      <c r="V176" s="7"/>
      <c r="W176" s="72">
        <f t="shared" si="18"/>
        <v>0</v>
      </c>
      <c r="X176" s="62">
        <v>0</v>
      </c>
      <c r="Y176" s="62">
        <v>0</v>
      </c>
      <c r="Z176" s="7"/>
      <c r="AA176" s="7"/>
      <c r="AB176" s="7"/>
      <c r="AC176" s="72">
        <f t="shared" si="19"/>
        <v>0</v>
      </c>
      <c r="AD176" s="62">
        <v>0</v>
      </c>
      <c r="AE176" s="7"/>
      <c r="AF176" s="62">
        <v>0</v>
      </c>
      <c r="AG176" s="7"/>
      <c r="AH176" s="7"/>
      <c r="AI176" s="72">
        <f t="shared" si="20"/>
        <v>0</v>
      </c>
      <c r="AJ176" s="7"/>
      <c r="AK176" s="7"/>
      <c r="AL176" s="7"/>
      <c r="AM176" s="7"/>
      <c r="AN176" s="7"/>
      <c r="AO176" s="72" t="str">
        <f t="shared" si="21"/>
        <v>A</v>
      </c>
      <c r="AP176" s="62">
        <v>0</v>
      </c>
      <c r="AQ176" s="62">
        <v>0</v>
      </c>
      <c r="AR176" s="62">
        <v>0</v>
      </c>
      <c r="AS176" s="7"/>
      <c r="AT176" s="7"/>
      <c r="AU176" s="72">
        <f t="shared" si="22"/>
        <v>0</v>
      </c>
      <c r="AV176" s="7"/>
      <c r="AW176" s="7"/>
      <c r="AX176" s="62">
        <v>0</v>
      </c>
      <c r="AY176" s="62">
        <v>0</v>
      </c>
      <c r="AZ176" s="62">
        <v>0</v>
      </c>
      <c r="BA176" s="72">
        <f t="shared" si="23"/>
        <v>0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0</v>
      </c>
      <c r="M177" s="62">
        <v>0</v>
      </c>
      <c r="N177" s="62">
        <v>0</v>
      </c>
      <c r="O177" s="62">
        <v>0</v>
      </c>
      <c r="P177" s="62">
        <v>0</v>
      </c>
      <c r="Q177" s="72">
        <f t="shared" si="17"/>
        <v>0</v>
      </c>
      <c r="R177" s="62">
        <v>0</v>
      </c>
      <c r="S177" s="62">
        <v>0</v>
      </c>
      <c r="T177" s="62"/>
      <c r="U177" s="62">
        <v>0</v>
      </c>
      <c r="V177" s="62"/>
      <c r="W177" s="72">
        <f t="shared" si="18"/>
        <v>0</v>
      </c>
      <c r="X177" s="62">
        <v>0</v>
      </c>
      <c r="Y177" s="62">
        <v>0</v>
      </c>
      <c r="Z177" s="62"/>
      <c r="AA177" s="62"/>
      <c r="AB177" s="62"/>
      <c r="AC177" s="72">
        <f t="shared" si="19"/>
        <v>0</v>
      </c>
      <c r="AD177" s="62">
        <v>0</v>
      </c>
      <c r="AE177" s="62"/>
      <c r="AF177" s="62">
        <v>0</v>
      </c>
      <c r="AG177" s="62"/>
      <c r="AH177" s="62"/>
      <c r="AI177" s="72">
        <f t="shared" si="20"/>
        <v>0</v>
      </c>
      <c r="AJ177" s="62"/>
      <c r="AK177" s="62"/>
      <c r="AL177" s="62"/>
      <c r="AM177" s="62"/>
      <c r="AN177" s="62"/>
      <c r="AO177" s="72" t="str">
        <f t="shared" si="21"/>
        <v>A</v>
      </c>
      <c r="AP177" s="62">
        <v>0</v>
      </c>
      <c r="AQ177" s="62">
        <v>0</v>
      </c>
      <c r="AR177" s="62">
        <v>0</v>
      </c>
      <c r="AS177" s="62"/>
      <c r="AT177" s="62"/>
      <c r="AU177" s="72">
        <f t="shared" si="22"/>
        <v>0</v>
      </c>
      <c r="AV177" s="62"/>
      <c r="AW177" s="62"/>
      <c r="AX177" s="62">
        <v>0</v>
      </c>
      <c r="AY177" s="62">
        <v>0</v>
      </c>
      <c r="AZ177" s="62">
        <v>0</v>
      </c>
      <c r="BA177" s="72">
        <f t="shared" si="23"/>
        <v>0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2</v>
      </c>
      <c r="M178" s="62">
        <v>1</v>
      </c>
      <c r="N178" s="62">
        <v>2</v>
      </c>
      <c r="O178" s="62">
        <v>2</v>
      </c>
      <c r="P178" s="62">
        <v>2</v>
      </c>
      <c r="Q178" s="72">
        <f t="shared" si="17"/>
        <v>1.8</v>
      </c>
      <c r="R178" s="62">
        <v>2</v>
      </c>
      <c r="S178" s="62">
        <v>2</v>
      </c>
      <c r="T178" s="7"/>
      <c r="U178" s="62">
        <v>2</v>
      </c>
      <c r="V178" s="7"/>
      <c r="W178" s="72">
        <f t="shared" si="18"/>
        <v>2</v>
      </c>
      <c r="X178" s="62">
        <v>2</v>
      </c>
      <c r="Y178" s="62">
        <v>2</v>
      </c>
      <c r="Z178" s="7"/>
      <c r="AA178" s="7"/>
      <c r="AB178" s="7"/>
      <c r="AC178" s="72">
        <f t="shared" si="19"/>
        <v>2</v>
      </c>
      <c r="AD178" s="62">
        <v>2</v>
      </c>
      <c r="AE178" s="7"/>
      <c r="AF178" s="62">
        <v>2</v>
      </c>
      <c r="AG178" s="7"/>
      <c r="AH178" s="7"/>
      <c r="AI178" s="72">
        <f t="shared" si="20"/>
        <v>2</v>
      </c>
      <c r="AJ178" s="7"/>
      <c r="AK178" s="7"/>
      <c r="AL178" s="7"/>
      <c r="AM178" s="7"/>
      <c r="AN178" s="7"/>
      <c r="AO178" s="72" t="str">
        <f t="shared" si="21"/>
        <v>A</v>
      </c>
      <c r="AP178" s="62">
        <v>2</v>
      </c>
      <c r="AQ178" s="62">
        <v>2</v>
      </c>
      <c r="AR178" s="62">
        <v>2</v>
      </c>
      <c r="AS178" s="7"/>
      <c r="AT178" s="7"/>
      <c r="AU178" s="72">
        <f t="shared" si="22"/>
        <v>2</v>
      </c>
      <c r="AV178" s="7"/>
      <c r="AW178" s="7"/>
      <c r="AX178" s="62">
        <v>2</v>
      </c>
      <c r="AY178" s="62">
        <v>2</v>
      </c>
      <c r="AZ178" s="62">
        <v>2</v>
      </c>
      <c r="BA178" s="72">
        <f t="shared" si="23"/>
        <v>2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2</v>
      </c>
      <c r="M179" s="62">
        <v>2</v>
      </c>
      <c r="N179" s="62">
        <v>2</v>
      </c>
      <c r="O179" s="62">
        <v>2</v>
      </c>
      <c r="P179" s="62">
        <v>2</v>
      </c>
      <c r="Q179" s="72">
        <f t="shared" si="17"/>
        <v>2</v>
      </c>
      <c r="R179" s="62">
        <v>3</v>
      </c>
      <c r="S179" s="62">
        <v>3</v>
      </c>
      <c r="T179" s="62"/>
      <c r="U179" s="62">
        <v>3</v>
      </c>
      <c r="V179" s="62"/>
      <c r="W179" s="72">
        <f t="shared" si="18"/>
        <v>3</v>
      </c>
      <c r="X179" s="62">
        <v>2</v>
      </c>
      <c r="Y179" s="62">
        <v>2</v>
      </c>
      <c r="Z179" s="62"/>
      <c r="AA179" s="62"/>
      <c r="AB179" s="62"/>
      <c r="AC179" s="72">
        <f t="shared" si="19"/>
        <v>2</v>
      </c>
      <c r="AD179" s="62">
        <v>2</v>
      </c>
      <c r="AE179" s="62"/>
      <c r="AF179" s="62">
        <v>3</v>
      </c>
      <c r="AG179" s="62"/>
      <c r="AH179" s="62"/>
      <c r="AI179" s="72">
        <f t="shared" si="20"/>
        <v>2.5</v>
      </c>
      <c r="AJ179" s="62"/>
      <c r="AK179" s="62"/>
      <c r="AL179" s="62"/>
      <c r="AM179" s="62"/>
      <c r="AN179" s="62"/>
      <c r="AO179" s="72" t="str">
        <f t="shared" si="21"/>
        <v>A</v>
      </c>
      <c r="AP179" s="62">
        <v>2</v>
      </c>
      <c r="AQ179" s="62">
        <v>3</v>
      </c>
      <c r="AR179" s="62">
        <v>3</v>
      </c>
      <c r="AS179" s="62"/>
      <c r="AT179" s="62"/>
      <c r="AU179" s="72">
        <f t="shared" si="22"/>
        <v>2.6666666666666665</v>
      </c>
      <c r="AV179" s="62"/>
      <c r="AW179" s="62"/>
      <c r="AX179" s="62">
        <v>3</v>
      </c>
      <c r="AY179" s="62">
        <v>0</v>
      </c>
      <c r="AZ179" s="62">
        <v>0</v>
      </c>
      <c r="BA179" s="72">
        <f t="shared" si="23"/>
        <v>1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4</v>
      </c>
      <c r="M180" s="62">
        <v>4</v>
      </c>
      <c r="N180" s="62">
        <v>4</v>
      </c>
      <c r="O180" s="62">
        <v>3</v>
      </c>
      <c r="P180" s="62">
        <v>4</v>
      </c>
      <c r="Q180" s="72">
        <f t="shared" si="17"/>
        <v>3.8</v>
      </c>
      <c r="R180" s="62">
        <v>0</v>
      </c>
      <c r="S180" s="62">
        <v>0</v>
      </c>
      <c r="T180" s="7"/>
      <c r="U180" s="62">
        <v>0</v>
      </c>
      <c r="V180" s="7"/>
      <c r="W180" s="72">
        <f t="shared" si="18"/>
        <v>0</v>
      </c>
      <c r="X180" s="62">
        <v>0</v>
      </c>
      <c r="Y180" s="62">
        <v>0</v>
      </c>
      <c r="Z180" s="7"/>
      <c r="AA180" s="7"/>
      <c r="AB180" s="7"/>
      <c r="AC180" s="72">
        <f t="shared" si="19"/>
        <v>0</v>
      </c>
      <c r="AD180" s="62">
        <v>0</v>
      </c>
      <c r="AE180" s="7"/>
      <c r="AF180" s="62">
        <v>0</v>
      </c>
      <c r="AG180" s="7"/>
      <c r="AH180" s="7"/>
      <c r="AI180" s="72">
        <f t="shared" si="20"/>
        <v>0</v>
      </c>
      <c r="AJ180" s="7"/>
      <c r="AK180" s="7"/>
      <c r="AL180" s="7"/>
      <c r="AM180" s="7"/>
      <c r="AN180" s="7"/>
      <c r="AO180" s="72" t="str">
        <f t="shared" si="21"/>
        <v>A</v>
      </c>
      <c r="AP180" s="62">
        <v>0</v>
      </c>
      <c r="AQ180" s="62">
        <v>0</v>
      </c>
      <c r="AR180" s="62">
        <v>0</v>
      </c>
      <c r="AS180" s="7"/>
      <c r="AT180" s="7"/>
      <c r="AU180" s="72">
        <f t="shared" si="22"/>
        <v>0</v>
      </c>
      <c r="AV180" s="7"/>
      <c r="AW180" s="7"/>
      <c r="AX180" s="62">
        <v>0</v>
      </c>
      <c r="AY180" s="62">
        <v>0</v>
      </c>
      <c r="AZ180" s="62">
        <v>0</v>
      </c>
      <c r="BA180" s="72">
        <f t="shared" si="23"/>
        <v>0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3</v>
      </c>
      <c r="M181" s="62">
        <v>3</v>
      </c>
      <c r="N181" s="62">
        <v>3</v>
      </c>
      <c r="O181" s="62">
        <v>3</v>
      </c>
      <c r="P181" s="62">
        <v>3</v>
      </c>
      <c r="Q181" s="72">
        <f t="shared" si="17"/>
        <v>3</v>
      </c>
      <c r="R181" s="62">
        <v>3</v>
      </c>
      <c r="S181" s="62">
        <v>3</v>
      </c>
      <c r="T181" s="62"/>
      <c r="U181" s="62">
        <v>3</v>
      </c>
      <c r="V181" s="62"/>
      <c r="W181" s="72">
        <f t="shared" si="18"/>
        <v>3</v>
      </c>
      <c r="X181" s="62">
        <v>3</v>
      </c>
      <c r="Y181" s="62">
        <v>3</v>
      </c>
      <c r="Z181" s="62"/>
      <c r="AA181" s="62"/>
      <c r="AB181" s="62"/>
      <c r="AC181" s="72">
        <f t="shared" si="19"/>
        <v>3</v>
      </c>
      <c r="AD181" s="62">
        <v>3</v>
      </c>
      <c r="AE181" s="62"/>
      <c r="AF181" s="62">
        <v>3</v>
      </c>
      <c r="AG181" s="62"/>
      <c r="AH181" s="62"/>
      <c r="AI181" s="72">
        <f t="shared" si="20"/>
        <v>3</v>
      </c>
      <c r="AJ181" s="62"/>
      <c r="AK181" s="62"/>
      <c r="AL181" s="62"/>
      <c r="AM181" s="62"/>
      <c r="AN181" s="62"/>
      <c r="AO181" s="72" t="str">
        <f t="shared" si="21"/>
        <v>A</v>
      </c>
      <c r="AP181" s="62">
        <v>3</v>
      </c>
      <c r="AQ181" s="62">
        <v>3</v>
      </c>
      <c r="AR181" s="62">
        <v>2</v>
      </c>
      <c r="AS181" s="62"/>
      <c r="AT181" s="62"/>
      <c r="AU181" s="72">
        <f t="shared" si="22"/>
        <v>2.6666666666666665</v>
      </c>
      <c r="AV181" s="62"/>
      <c r="AW181" s="62"/>
      <c r="AX181" s="62">
        <v>3</v>
      </c>
      <c r="AY181" s="62">
        <v>0</v>
      </c>
      <c r="AZ181" s="62">
        <v>0</v>
      </c>
      <c r="BA181" s="72">
        <f t="shared" si="23"/>
        <v>1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2</v>
      </c>
      <c r="M182" s="62">
        <v>0</v>
      </c>
      <c r="N182" s="62">
        <v>0</v>
      </c>
      <c r="O182" s="62">
        <v>3</v>
      </c>
      <c r="P182" s="62">
        <v>0</v>
      </c>
      <c r="Q182" s="72">
        <f t="shared" si="17"/>
        <v>1</v>
      </c>
      <c r="R182" s="62">
        <v>0</v>
      </c>
      <c r="S182" s="62">
        <v>0</v>
      </c>
      <c r="T182" s="7"/>
      <c r="U182" s="62">
        <v>0</v>
      </c>
      <c r="V182" s="7"/>
      <c r="W182" s="72">
        <f t="shared" si="18"/>
        <v>0</v>
      </c>
      <c r="X182" s="62">
        <v>3</v>
      </c>
      <c r="Y182" s="62">
        <v>3</v>
      </c>
      <c r="Z182" s="7"/>
      <c r="AA182" s="7"/>
      <c r="AB182" s="7"/>
      <c r="AC182" s="72">
        <f t="shared" si="19"/>
        <v>3</v>
      </c>
      <c r="AD182" s="62">
        <v>0</v>
      </c>
      <c r="AE182" s="7"/>
      <c r="AF182" s="62">
        <v>0</v>
      </c>
      <c r="AG182" s="7"/>
      <c r="AH182" s="7"/>
      <c r="AI182" s="72">
        <f t="shared" si="20"/>
        <v>0</v>
      </c>
      <c r="AJ182" s="7"/>
      <c r="AK182" s="7"/>
      <c r="AL182" s="7"/>
      <c r="AM182" s="7"/>
      <c r="AN182" s="7"/>
      <c r="AO182" s="72" t="str">
        <f t="shared" si="21"/>
        <v>A</v>
      </c>
      <c r="AP182" s="62">
        <v>0</v>
      </c>
      <c r="AQ182" s="62">
        <v>0</v>
      </c>
      <c r="AR182" s="62">
        <v>0</v>
      </c>
      <c r="AS182" s="7"/>
      <c r="AT182" s="7"/>
      <c r="AU182" s="72">
        <f t="shared" si="22"/>
        <v>0</v>
      </c>
      <c r="AV182" s="7"/>
      <c r="AW182" s="7"/>
      <c r="AX182" s="62">
        <v>0</v>
      </c>
      <c r="AY182" s="62">
        <v>0</v>
      </c>
      <c r="AZ182" s="62">
        <v>0</v>
      </c>
      <c r="BA182" s="72">
        <f t="shared" si="23"/>
        <v>0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2</v>
      </c>
      <c r="M183" s="62">
        <v>2</v>
      </c>
      <c r="N183" s="62">
        <v>2</v>
      </c>
      <c r="O183" s="62">
        <v>2</v>
      </c>
      <c r="P183" s="62">
        <v>2</v>
      </c>
      <c r="Q183" s="72">
        <f t="shared" si="17"/>
        <v>2</v>
      </c>
      <c r="R183" s="62">
        <v>0</v>
      </c>
      <c r="S183" s="62">
        <v>0</v>
      </c>
      <c r="T183" s="62"/>
      <c r="U183" s="62">
        <v>0</v>
      </c>
      <c r="V183" s="62"/>
      <c r="W183" s="72">
        <f t="shared" si="18"/>
        <v>0</v>
      </c>
      <c r="X183" s="62">
        <v>0</v>
      </c>
      <c r="Y183" s="62">
        <v>0</v>
      </c>
      <c r="Z183" s="62"/>
      <c r="AA183" s="62"/>
      <c r="AB183" s="62"/>
      <c r="AC183" s="72">
        <f t="shared" si="19"/>
        <v>0</v>
      </c>
      <c r="AD183" s="62">
        <v>0</v>
      </c>
      <c r="AE183" s="62"/>
      <c r="AF183" s="62">
        <v>0</v>
      </c>
      <c r="AG183" s="62"/>
      <c r="AH183" s="62"/>
      <c r="AI183" s="72">
        <f t="shared" si="20"/>
        <v>0</v>
      </c>
      <c r="AJ183" s="62"/>
      <c r="AK183" s="62"/>
      <c r="AL183" s="62"/>
      <c r="AM183" s="62"/>
      <c r="AN183" s="62"/>
      <c r="AO183" s="72" t="str">
        <f t="shared" si="21"/>
        <v>A</v>
      </c>
      <c r="AP183" s="62">
        <v>0</v>
      </c>
      <c r="AQ183" s="62">
        <v>0</v>
      </c>
      <c r="AR183" s="62">
        <v>0</v>
      </c>
      <c r="AS183" s="62"/>
      <c r="AT183" s="62"/>
      <c r="AU183" s="72">
        <f t="shared" si="22"/>
        <v>0</v>
      </c>
      <c r="AV183" s="62"/>
      <c r="AW183" s="62"/>
      <c r="AX183" s="62">
        <v>0</v>
      </c>
      <c r="AY183" s="62">
        <v>0</v>
      </c>
      <c r="AZ183" s="62">
        <v>0</v>
      </c>
      <c r="BA183" s="72">
        <f t="shared" si="23"/>
        <v>0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0</v>
      </c>
      <c r="M184" s="62">
        <v>0</v>
      </c>
      <c r="N184" s="62">
        <v>0</v>
      </c>
      <c r="O184" s="62">
        <v>0</v>
      </c>
      <c r="P184" s="62">
        <v>0</v>
      </c>
      <c r="Q184" s="72">
        <f t="shared" si="17"/>
        <v>0</v>
      </c>
      <c r="R184" s="62">
        <v>0</v>
      </c>
      <c r="S184" s="62">
        <v>0</v>
      </c>
      <c r="T184" s="7"/>
      <c r="U184" s="62">
        <v>0</v>
      </c>
      <c r="V184" s="7"/>
      <c r="W184" s="72">
        <f t="shared" si="18"/>
        <v>0</v>
      </c>
      <c r="X184" s="62">
        <v>0</v>
      </c>
      <c r="Y184" s="62">
        <v>0</v>
      </c>
      <c r="Z184" s="7"/>
      <c r="AA184" s="7"/>
      <c r="AB184" s="7"/>
      <c r="AC184" s="72">
        <f t="shared" si="19"/>
        <v>0</v>
      </c>
      <c r="AD184" s="62">
        <v>0</v>
      </c>
      <c r="AE184" s="7"/>
      <c r="AF184" s="62">
        <v>0</v>
      </c>
      <c r="AG184" s="7"/>
      <c r="AH184" s="7"/>
      <c r="AI184" s="72">
        <f t="shared" si="20"/>
        <v>0</v>
      </c>
      <c r="AJ184" s="7"/>
      <c r="AK184" s="7"/>
      <c r="AL184" s="7"/>
      <c r="AM184" s="7"/>
      <c r="AN184" s="7"/>
      <c r="AO184" s="72" t="str">
        <f t="shared" si="21"/>
        <v>A</v>
      </c>
      <c r="AP184" s="62">
        <v>0</v>
      </c>
      <c r="AQ184" s="62">
        <v>0</v>
      </c>
      <c r="AR184" s="62">
        <v>0</v>
      </c>
      <c r="AS184" s="7"/>
      <c r="AT184" s="7"/>
      <c r="AU184" s="72">
        <f t="shared" si="22"/>
        <v>0</v>
      </c>
      <c r="AV184" s="7"/>
      <c r="AW184" s="7"/>
      <c r="AX184" s="62">
        <v>0</v>
      </c>
      <c r="AY184" s="62">
        <v>0</v>
      </c>
      <c r="AZ184" s="62">
        <v>0</v>
      </c>
      <c r="BA184" s="72">
        <f t="shared" si="23"/>
        <v>0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2</v>
      </c>
      <c r="M185" s="62">
        <v>2</v>
      </c>
      <c r="N185" s="62">
        <v>2</v>
      </c>
      <c r="O185" s="62">
        <v>2</v>
      </c>
      <c r="P185" s="62">
        <v>2</v>
      </c>
      <c r="Q185" s="72">
        <f t="shared" si="17"/>
        <v>2</v>
      </c>
      <c r="R185" s="62">
        <v>0</v>
      </c>
      <c r="S185" s="62">
        <v>0</v>
      </c>
      <c r="T185" s="62"/>
      <c r="U185" s="62">
        <v>0</v>
      </c>
      <c r="V185" s="62"/>
      <c r="W185" s="72">
        <f t="shared" si="18"/>
        <v>0</v>
      </c>
      <c r="X185" s="62">
        <v>0</v>
      </c>
      <c r="Y185" s="62">
        <v>0</v>
      </c>
      <c r="Z185" s="62"/>
      <c r="AA185" s="62"/>
      <c r="AB185" s="62"/>
      <c r="AC185" s="72">
        <f t="shared" si="19"/>
        <v>0</v>
      </c>
      <c r="AD185" s="62">
        <v>0</v>
      </c>
      <c r="AE185" s="62"/>
      <c r="AF185" s="62">
        <v>0</v>
      </c>
      <c r="AG185" s="62"/>
      <c r="AH185" s="62"/>
      <c r="AI185" s="72">
        <f t="shared" si="20"/>
        <v>0</v>
      </c>
      <c r="AJ185" s="62"/>
      <c r="AK185" s="62"/>
      <c r="AL185" s="62"/>
      <c r="AM185" s="62"/>
      <c r="AN185" s="62"/>
      <c r="AO185" s="72" t="str">
        <f t="shared" si="21"/>
        <v>A</v>
      </c>
      <c r="AP185" s="62">
        <v>0</v>
      </c>
      <c r="AQ185" s="62">
        <v>0</v>
      </c>
      <c r="AR185" s="62">
        <v>0</v>
      </c>
      <c r="AS185" s="62"/>
      <c r="AT185" s="62"/>
      <c r="AU185" s="72">
        <f t="shared" si="22"/>
        <v>0</v>
      </c>
      <c r="AV185" s="62"/>
      <c r="AW185" s="62"/>
      <c r="AX185" s="62">
        <v>0</v>
      </c>
      <c r="AY185" s="62">
        <v>0</v>
      </c>
      <c r="AZ185" s="62">
        <v>0</v>
      </c>
      <c r="BA185" s="72">
        <f t="shared" si="23"/>
        <v>0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3</v>
      </c>
      <c r="M186" s="62">
        <v>3</v>
      </c>
      <c r="N186" s="62">
        <v>3</v>
      </c>
      <c r="O186" s="62">
        <v>3</v>
      </c>
      <c r="P186" s="62">
        <v>3</v>
      </c>
      <c r="Q186" s="72">
        <f t="shared" si="17"/>
        <v>3</v>
      </c>
      <c r="R186" s="62">
        <v>2</v>
      </c>
      <c r="S186" s="62">
        <v>2</v>
      </c>
      <c r="T186" s="7"/>
      <c r="U186" s="62">
        <v>3</v>
      </c>
      <c r="V186" s="7"/>
      <c r="W186" s="72">
        <f t="shared" si="18"/>
        <v>2.3333333333333335</v>
      </c>
      <c r="X186" s="62">
        <v>3</v>
      </c>
      <c r="Y186" s="62">
        <v>3</v>
      </c>
      <c r="Z186" s="7"/>
      <c r="AA186" s="7"/>
      <c r="AB186" s="7"/>
      <c r="AC186" s="72">
        <f t="shared" si="19"/>
        <v>3</v>
      </c>
      <c r="AD186" s="62">
        <v>3</v>
      </c>
      <c r="AE186" s="7"/>
      <c r="AF186" s="62">
        <v>3</v>
      </c>
      <c r="AG186" s="7"/>
      <c r="AH186" s="7"/>
      <c r="AI186" s="72">
        <f t="shared" si="20"/>
        <v>3</v>
      </c>
      <c r="AJ186" s="7"/>
      <c r="AK186" s="7"/>
      <c r="AL186" s="7"/>
      <c r="AM186" s="7"/>
      <c r="AN186" s="7"/>
      <c r="AO186" s="72" t="str">
        <f t="shared" si="21"/>
        <v>A</v>
      </c>
      <c r="AP186" s="62">
        <v>2</v>
      </c>
      <c r="AQ186" s="62">
        <v>3</v>
      </c>
      <c r="AR186" s="62">
        <v>3</v>
      </c>
      <c r="AS186" s="7"/>
      <c r="AT186" s="7"/>
      <c r="AU186" s="72">
        <f t="shared" si="22"/>
        <v>2.6666666666666665</v>
      </c>
      <c r="AV186" s="7"/>
      <c r="AW186" s="7"/>
      <c r="AX186" s="62">
        <v>3</v>
      </c>
      <c r="AY186" s="62">
        <v>0</v>
      </c>
      <c r="AZ186" s="62">
        <v>0</v>
      </c>
      <c r="BA186" s="72">
        <f t="shared" si="23"/>
        <v>1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2</v>
      </c>
      <c r="M187" s="62">
        <v>2</v>
      </c>
      <c r="N187" s="62">
        <v>2</v>
      </c>
      <c r="O187" s="62">
        <v>2</v>
      </c>
      <c r="P187" s="62">
        <v>2</v>
      </c>
      <c r="Q187" s="72">
        <f t="shared" si="17"/>
        <v>2</v>
      </c>
      <c r="R187" s="62">
        <v>2</v>
      </c>
      <c r="S187" s="62">
        <v>2</v>
      </c>
      <c r="T187" s="62"/>
      <c r="U187" s="62">
        <v>2</v>
      </c>
      <c r="V187" s="62"/>
      <c r="W187" s="72">
        <f t="shared" si="18"/>
        <v>2</v>
      </c>
      <c r="X187" s="62">
        <v>2</v>
      </c>
      <c r="Y187" s="62">
        <v>2</v>
      </c>
      <c r="Z187" s="62"/>
      <c r="AA187" s="62"/>
      <c r="AB187" s="62"/>
      <c r="AC187" s="72">
        <f t="shared" si="19"/>
        <v>2</v>
      </c>
      <c r="AD187" s="62">
        <v>2</v>
      </c>
      <c r="AE187" s="62"/>
      <c r="AF187" s="62">
        <v>2</v>
      </c>
      <c r="AG187" s="62"/>
      <c r="AH187" s="62"/>
      <c r="AI187" s="72">
        <f t="shared" si="20"/>
        <v>2</v>
      </c>
      <c r="AJ187" s="62"/>
      <c r="AK187" s="62"/>
      <c r="AL187" s="62"/>
      <c r="AM187" s="62"/>
      <c r="AN187" s="62"/>
      <c r="AO187" s="72" t="str">
        <f t="shared" si="21"/>
        <v>A</v>
      </c>
      <c r="AP187" s="62">
        <v>2</v>
      </c>
      <c r="AQ187" s="62">
        <v>2</v>
      </c>
      <c r="AR187" s="62">
        <v>2</v>
      </c>
      <c r="AS187" s="62"/>
      <c r="AT187" s="62"/>
      <c r="AU187" s="72">
        <f t="shared" si="22"/>
        <v>2</v>
      </c>
      <c r="AV187" s="62"/>
      <c r="AW187" s="62"/>
      <c r="AX187" s="62">
        <v>2</v>
      </c>
      <c r="AY187" s="62">
        <v>2</v>
      </c>
      <c r="AZ187" s="62">
        <v>2</v>
      </c>
      <c r="BA187" s="72">
        <f t="shared" si="23"/>
        <v>2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2</v>
      </c>
      <c r="M188" s="62">
        <v>2</v>
      </c>
      <c r="N188" s="62">
        <v>2</v>
      </c>
      <c r="O188" s="62">
        <v>2</v>
      </c>
      <c r="P188" s="62">
        <v>2</v>
      </c>
      <c r="Q188" s="72">
        <f t="shared" si="17"/>
        <v>2</v>
      </c>
      <c r="R188" s="62">
        <v>2</v>
      </c>
      <c r="S188" s="62">
        <v>2</v>
      </c>
      <c r="T188" s="7"/>
      <c r="U188" s="62">
        <v>2</v>
      </c>
      <c r="V188" s="7"/>
      <c r="W188" s="72">
        <f t="shared" si="18"/>
        <v>2</v>
      </c>
      <c r="X188" s="62">
        <v>2</v>
      </c>
      <c r="Y188" s="62">
        <v>2</v>
      </c>
      <c r="Z188" s="7"/>
      <c r="AA188" s="7"/>
      <c r="AB188" s="7"/>
      <c r="AC188" s="72">
        <f t="shared" si="19"/>
        <v>2</v>
      </c>
      <c r="AD188" s="62">
        <v>2</v>
      </c>
      <c r="AE188" s="7"/>
      <c r="AF188" s="62">
        <v>2</v>
      </c>
      <c r="AG188" s="7"/>
      <c r="AH188" s="7"/>
      <c r="AI188" s="72">
        <f t="shared" si="20"/>
        <v>2</v>
      </c>
      <c r="AJ188" s="7"/>
      <c r="AK188" s="7"/>
      <c r="AL188" s="7"/>
      <c r="AM188" s="7"/>
      <c r="AN188" s="7"/>
      <c r="AO188" s="72" t="str">
        <f t="shared" si="21"/>
        <v>A</v>
      </c>
      <c r="AP188" s="62">
        <v>2</v>
      </c>
      <c r="AQ188" s="62">
        <v>2</v>
      </c>
      <c r="AR188" s="62">
        <v>2</v>
      </c>
      <c r="AS188" s="7"/>
      <c r="AT188" s="7"/>
      <c r="AU188" s="72">
        <f t="shared" si="22"/>
        <v>2</v>
      </c>
      <c r="AV188" s="7"/>
      <c r="AW188" s="7"/>
      <c r="AX188" s="62">
        <v>2</v>
      </c>
      <c r="AY188" s="62">
        <v>2</v>
      </c>
      <c r="AZ188" s="62">
        <v>2</v>
      </c>
      <c r="BA188" s="72">
        <f t="shared" si="23"/>
        <v>2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>
        <v>2</v>
      </c>
      <c r="N189" s="62">
        <v>2</v>
      </c>
      <c r="O189" s="62">
        <v>2</v>
      </c>
      <c r="P189" s="62">
        <v>2</v>
      </c>
      <c r="Q189" s="72">
        <f t="shared" si="17"/>
        <v>2</v>
      </c>
      <c r="R189" s="62">
        <v>2</v>
      </c>
      <c r="S189" s="62">
        <v>2</v>
      </c>
      <c r="T189" s="62"/>
      <c r="U189" s="62">
        <v>2</v>
      </c>
      <c r="V189" s="62"/>
      <c r="W189" s="72">
        <f t="shared" si="18"/>
        <v>2</v>
      </c>
      <c r="X189" s="62">
        <v>2</v>
      </c>
      <c r="Y189" s="62">
        <v>2</v>
      </c>
      <c r="Z189" s="62"/>
      <c r="AA189" s="62"/>
      <c r="AB189" s="62"/>
      <c r="AC189" s="72">
        <f t="shared" si="19"/>
        <v>2</v>
      </c>
      <c r="AD189" s="62">
        <v>2</v>
      </c>
      <c r="AE189" s="62"/>
      <c r="AF189" s="62">
        <v>2</v>
      </c>
      <c r="AG189" s="62"/>
      <c r="AH189" s="62"/>
      <c r="AI189" s="72">
        <f t="shared" si="20"/>
        <v>2</v>
      </c>
      <c r="AJ189" s="62"/>
      <c r="AK189" s="62"/>
      <c r="AL189" s="62"/>
      <c r="AM189" s="62"/>
      <c r="AN189" s="62"/>
      <c r="AO189" s="72" t="str">
        <f t="shared" si="21"/>
        <v>A</v>
      </c>
      <c r="AP189" s="62">
        <v>2</v>
      </c>
      <c r="AQ189" s="62">
        <v>2</v>
      </c>
      <c r="AR189" s="62">
        <v>2</v>
      </c>
      <c r="AS189" s="62"/>
      <c r="AT189" s="62"/>
      <c r="AU189" s="72">
        <f t="shared" si="22"/>
        <v>2</v>
      </c>
      <c r="AV189" s="62"/>
      <c r="AW189" s="62"/>
      <c r="AX189" s="62">
        <v>2</v>
      </c>
      <c r="AY189" s="62">
        <v>2</v>
      </c>
      <c r="AZ189" s="62">
        <v>2</v>
      </c>
      <c r="BA189" s="72">
        <f t="shared" si="23"/>
        <v>2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0</v>
      </c>
      <c r="M190" s="62">
        <v>0</v>
      </c>
      <c r="N190" s="62">
        <v>0</v>
      </c>
      <c r="O190" s="62">
        <v>3</v>
      </c>
      <c r="P190" s="62">
        <v>0</v>
      </c>
      <c r="Q190" s="72">
        <f t="shared" si="17"/>
        <v>0.6</v>
      </c>
      <c r="R190" s="62">
        <v>0</v>
      </c>
      <c r="S190" s="62">
        <v>0</v>
      </c>
      <c r="T190" s="7"/>
      <c r="U190" s="62">
        <v>0</v>
      </c>
      <c r="V190" s="7"/>
      <c r="W190" s="72">
        <f t="shared" si="18"/>
        <v>0</v>
      </c>
      <c r="X190" s="62">
        <v>0</v>
      </c>
      <c r="Y190" s="62">
        <v>0</v>
      </c>
      <c r="Z190" s="7"/>
      <c r="AA190" s="7"/>
      <c r="AB190" s="7"/>
      <c r="AC190" s="72">
        <f t="shared" si="19"/>
        <v>0</v>
      </c>
      <c r="AD190" s="62">
        <v>0</v>
      </c>
      <c r="AE190" s="7"/>
      <c r="AF190" s="62">
        <v>0</v>
      </c>
      <c r="AG190" s="7"/>
      <c r="AH190" s="7"/>
      <c r="AI190" s="72">
        <f t="shared" si="20"/>
        <v>0</v>
      </c>
      <c r="AJ190" s="7"/>
      <c r="AK190" s="7"/>
      <c r="AL190" s="7"/>
      <c r="AM190" s="7"/>
      <c r="AN190" s="7"/>
      <c r="AO190" s="72" t="str">
        <f t="shared" si="21"/>
        <v>A</v>
      </c>
      <c r="AP190" s="62">
        <v>0</v>
      </c>
      <c r="AQ190" s="62">
        <v>0</v>
      </c>
      <c r="AR190" s="62">
        <v>0</v>
      </c>
      <c r="AS190" s="7"/>
      <c r="AT190" s="7"/>
      <c r="AU190" s="72">
        <f t="shared" si="22"/>
        <v>0</v>
      </c>
      <c r="AV190" s="7"/>
      <c r="AW190" s="7"/>
      <c r="AX190" s="62">
        <v>0</v>
      </c>
      <c r="AY190" s="62">
        <v>0</v>
      </c>
      <c r="AZ190" s="62">
        <v>0</v>
      </c>
      <c r="BA190" s="72">
        <f t="shared" si="23"/>
        <v>0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2</v>
      </c>
      <c r="M191" s="62">
        <v>2</v>
      </c>
      <c r="N191" s="62">
        <v>2</v>
      </c>
      <c r="O191" s="62">
        <v>2</v>
      </c>
      <c r="P191" s="62">
        <v>2</v>
      </c>
      <c r="Q191" s="72">
        <f t="shared" si="17"/>
        <v>2</v>
      </c>
      <c r="R191" s="62">
        <v>0</v>
      </c>
      <c r="S191" s="62">
        <v>0</v>
      </c>
      <c r="T191" s="62"/>
      <c r="U191" s="62">
        <v>0</v>
      </c>
      <c r="V191" s="62"/>
      <c r="W191" s="72">
        <f t="shared" si="18"/>
        <v>0</v>
      </c>
      <c r="X191" s="62">
        <v>0</v>
      </c>
      <c r="Y191" s="62">
        <v>0</v>
      </c>
      <c r="Z191" s="62"/>
      <c r="AA191" s="62"/>
      <c r="AB191" s="62"/>
      <c r="AC191" s="72">
        <f t="shared" si="19"/>
        <v>0</v>
      </c>
      <c r="AD191" s="62">
        <v>0</v>
      </c>
      <c r="AE191" s="62"/>
      <c r="AF191" s="62">
        <v>0</v>
      </c>
      <c r="AG191" s="62"/>
      <c r="AH191" s="62"/>
      <c r="AI191" s="72">
        <f t="shared" si="20"/>
        <v>0</v>
      </c>
      <c r="AJ191" s="62"/>
      <c r="AK191" s="62"/>
      <c r="AL191" s="62"/>
      <c r="AM191" s="62"/>
      <c r="AN191" s="62"/>
      <c r="AO191" s="72" t="str">
        <f t="shared" si="21"/>
        <v>A</v>
      </c>
      <c r="AP191" s="62">
        <v>0</v>
      </c>
      <c r="AQ191" s="62">
        <v>0</v>
      </c>
      <c r="AR191" s="62">
        <v>0</v>
      </c>
      <c r="AS191" s="62"/>
      <c r="AT191" s="62"/>
      <c r="AU191" s="72">
        <f t="shared" si="22"/>
        <v>0</v>
      </c>
      <c r="AV191" s="62"/>
      <c r="AW191" s="62"/>
      <c r="AX191" s="62">
        <v>0</v>
      </c>
      <c r="AY191" s="62">
        <v>0</v>
      </c>
      <c r="AZ191" s="62">
        <v>0</v>
      </c>
      <c r="BA191" s="72">
        <f t="shared" si="23"/>
        <v>0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3</v>
      </c>
      <c r="M192" s="62">
        <v>3</v>
      </c>
      <c r="N192" s="62">
        <v>2</v>
      </c>
      <c r="O192" s="62">
        <v>3</v>
      </c>
      <c r="P192" s="62">
        <v>2</v>
      </c>
      <c r="Q192" s="72">
        <f t="shared" si="17"/>
        <v>2.6</v>
      </c>
      <c r="R192" s="62">
        <v>2</v>
      </c>
      <c r="S192" s="62">
        <v>2</v>
      </c>
      <c r="T192" s="7"/>
      <c r="U192" s="62">
        <v>2</v>
      </c>
      <c r="V192" s="7"/>
      <c r="W192" s="72">
        <f t="shared" si="18"/>
        <v>2</v>
      </c>
      <c r="X192" s="62">
        <v>2</v>
      </c>
      <c r="Y192" s="62">
        <v>2</v>
      </c>
      <c r="Z192" s="7"/>
      <c r="AA192" s="7"/>
      <c r="AB192" s="7"/>
      <c r="AC192" s="72">
        <f t="shared" si="19"/>
        <v>2</v>
      </c>
      <c r="AD192" s="62">
        <v>2</v>
      </c>
      <c r="AE192" s="7"/>
      <c r="AF192" s="62">
        <v>2</v>
      </c>
      <c r="AG192" s="7"/>
      <c r="AH192" s="7"/>
      <c r="AI192" s="72">
        <f t="shared" si="20"/>
        <v>2</v>
      </c>
      <c r="AJ192" s="7"/>
      <c r="AK192" s="7"/>
      <c r="AL192" s="7"/>
      <c r="AM192" s="7"/>
      <c r="AN192" s="7"/>
      <c r="AO192" s="72" t="str">
        <f t="shared" si="21"/>
        <v>A</v>
      </c>
      <c r="AP192" s="62">
        <v>2</v>
      </c>
      <c r="AQ192" s="62">
        <v>2</v>
      </c>
      <c r="AR192" s="62">
        <v>2</v>
      </c>
      <c r="AS192" s="7"/>
      <c r="AT192" s="7"/>
      <c r="AU192" s="72">
        <f t="shared" si="22"/>
        <v>2</v>
      </c>
      <c r="AV192" s="7"/>
      <c r="AW192" s="7"/>
      <c r="AX192" s="62">
        <v>2</v>
      </c>
      <c r="AY192" s="62">
        <v>2</v>
      </c>
      <c r="AZ192" s="62">
        <v>2</v>
      </c>
      <c r="BA192" s="72">
        <f t="shared" si="23"/>
        <v>2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2</v>
      </c>
      <c r="M193" s="62">
        <v>2</v>
      </c>
      <c r="N193" s="62">
        <v>2</v>
      </c>
      <c r="O193" s="62">
        <v>2</v>
      </c>
      <c r="P193" s="62">
        <v>2</v>
      </c>
      <c r="Q193" s="72">
        <f t="shared" si="17"/>
        <v>2</v>
      </c>
      <c r="R193" s="62">
        <v>2</v>
      </c>
      <c r="S193" s="62">
        <v>2</v>
      </c>
      <c r="T193" s="62"/>
      <c r="U193" s="62">
        <v>2</v>
      </c>
      <c r="V193" s="62"/>
      <c r="W193" s="72">
        <f t="shared" si="18"/>
        <v>2</v>
      </c>
      <c r="X193" s="62">
        <v>2</v>
      </c>
      <c r="Y193" s="62">
        <v>2</v>
      </c>
      <c r="Z193" s="62"/>
      <c r="AA193" s="62"/>
      <c r="AB193" s="62"/>
      <c r="AC193" s="72">
        <f t="shared" si="19"/>
        <v>2</v>
      </c>
      <c r="AD193" s="62">
        <v>2</v>
      </c>
      <c r="AE193" s="62"/>
      <c r="AF193" s="62">
        <v>2</v>
      </c>
      <c r="AG193" s="62"/>
      <c r="AH193" s="62"/>
      <c r="AI193" s="72">
        <f t="shared" si="20"/>
        <v>2</v>
      </c>
      <c r="AJ193" s="62"/>
      <c r="AK193" s="62"/>
      <c r="AL193" s="62"/>
      <c r="AM193" s="62"/>
      <c r="AN193" s="62"/>
      <c r="AO193" s="72" t="str">
        <f t="shared" si="21"/>
        <v>A</v>
      </c>
      <c r="AP193" s="62">
        <v>2</v>
      </c>
      <c r="AQ193" s="62">
        <v>2</v>
      </c>
      <c r="AR193" s="62">
        <v>2</v>
      </c>
      <c r="AS193" s="62"/>
      <c r="AT193" s="62"/>
      <c r="AU193" s="72">
        <f t="shared" si="22"/>
        <v>2</v>
      </c>
      <c r="AV193" s="62"/>
      <c r="AW193" s="62"/>
      <c r="AX193" s="62">
        <v>2</v>
      </c>
      <c r="AY193" s="62">
        <v>2</v>
      </c>
      <c r="AZ193" s="62">
        <v>2</v>
      </c>
      <c r="BA193" s="72">
        <f t="shared" si="23"/>
        <v>2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2</v>
      </c>
      <c r="M194" s="62">
        <v>2</v>
      </c>
      <c r="N194" s="62">
        <v>2</v>
      </c>
      <c r="O194" s="62">
        <v>2</v>
      </c>
      <c r="P194" s="62">
        <v>2</v>
      </c>
      <c r="Q194" s="72">
        <f t="shared" si="17"/>
        <v>2</v>
      </c>
      <c r="R194" s="62">
        <v>0</v>
      </c>
      <c r="S194" s="62">
        <v>0</v>
      </c>
      <c r="T194" s="7"/>
      <c r="U194" s="62">
        <v>0</v>
      </c>
      <c r="V194" s="7"/>
      <c r="W194" s="72">
        <f t="shared" si="18"/>
        <v>0</v>
      </c>
      <c r="X194" s="62">
        <v>0</v>
      </c>
      <c r="Y194" s="62">
        <v>0</v>
      </c>
      <c r="Z194" s="7"/>
      <c r="AA194" s="7"/>
      <c r="AB194" s="7"/>
      <c r="AC194" s="72">
        <f t="shared" si="19"/>
        <v>0</v>
      </c>
      <c r="AD194" s="62">
        <v>0</v>
      </c>
      <c r="AE194" s="7"/>
      <c r="AF194" s="62">
        <v>0</v>
      </c>
      <c r="AG194" s="7"/>
      <c r="AH194" s="7"/>
      <c r="AI194" s="72">
        <f t="shared" si="20"/>
        <v>0</v>
      </c>
      <c r="AJ194" s="7"/>
      <c r="AK194" s="7"/>
      <c r="AL194" s="7"/>
      <c r="AM194" s="7"/>
      <c r="AN194" s="7"/>
      <c r="AO194" s="72" t="str">
        <f t="shared" si="21"/>
        <v>A</v>
      </c>
      <c r="AP194" s="62">
        <v>0</v>
      </c>
      <c r="AQ194" s="62">
        <v>0</v>
      </c>
      <c r="AR194" s="62">
        <v>0</v>
      </c>
      <c r="AS194" s="7"/>
      <c r="AT194" s="7"/>
      <c r="AU194" s="72">
        <f t="shared" si="22"/>
        <v>0</v>
      </c>
      <c r="AV194" s="7"/>
      <c r="AW194" s="7"/>
      <c r="AX194" s="62">
        <v>0</v>
      </c>
      <c r="AY194" s="62">
        <v>0</v>
      </c>
      <c r="AZ194" s="62">
        <v>0</v>
      </c>
      <c r="BA194" s="72">
        <f t="shared" si="23"/>
        <v>0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2</v>
      </c>
      <c r="M195" s="62">
        <v>2</v>
      </c>
      <c r="N195" s="62">
        <v>2</v>
      </c>
      <c r="O195" s="62">
        <v>2</v>
      </c>
      <c r="P195" s="62">
        <v>2</v>
      </c>
      <c r="Q195" s="72">
        <f t="shared" si="17"/>
        <v>2</v>
      </c>
      <c r="R195" s="62">
        <v>2</v>
      </c>
      <c r="S195" s="62">
        <v>2</v>
      </c>
      <c r="T195" s="62"/>
      <c r="U195" s="62">
        <v>2</v>
      </c>
      <c r="V195" s="62"/>
      <c r="W195" s="72">
        <f t="shared" si="18"/>
        <v>2</v>
      </c>
      <c r="X195" s="62">
        <v>2</v>
      </c>
      <c r="Y195" s="62">
        <v>2</v>
      </c>
      <c r="Z195" s="62"/>
      <c r="AA195" s="62"/>
      <c r="AB195" s="62"/>
      <c r="AC195" s="72">
        <f t="shared" si="19"/>
        <v>2</v>
      </c>
      <c r="AD195" s="62">
        <v>2</v>
      </c>
      <c r="AE195" s="62"/>
      <c r="AF195" s="62">
        <v>2</v>
      </c>
      <c r="AG195" s="62"/>
      <c r="AH195" s="62"/>
      <c r="AI195" s="72">
        <f t="shared" si="20"/>
        <v>2</v>
      </c>
      <c r="AJ195" s="62"/>
      <c r="AK195" s="62"/>
      <c r="AL195" s="62"/>
      <c r="AM195" s="62"/>
      <c r="AN195" s="62"/>
      <c r="AO195" s="72" t="str">
        <f t="shared" si="21"/>
        <v>A</v>
      </c>
      <c r="AP195" s="62">
        <v>2</v>
      </c>
      <c r="AQ195" s="62">
        <v>2</v>
      </c>
      <c r="AR195" s="62">
        <v>2</v>
      </c>
      <c r="AS195" s="62"/>
      <c r="AT195" s="62"/>
      <c r="AU195" s="72">
        <f t="shared" si="22"/>
        <v>2</v>
      </c>
      <c r="AV195" s="62"/>
      <c r="AW195" s="62"/>
      <c r="AX195" s="62">
        <v>2</v>
      </c>
      <c r="AY195" s="62">
        <v>2</v>
      </c>
      <c r="AZ195" s="62">
        <v>2</v>
      </c>
      <c r="BA195" s="72">
        <f t="shared" si="23"/>
        <v>2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3</v>
      </c>
      <c r="M196" s="62">
        <v>4</v>
      </c>
      <c r="N196" s="62">
        <v>3</v>
      </c>
      <c r="O196" s="62">
        <v>3</v>
      </c>
      <c r="P196" s="62">
        <v>3</v>
      </c>
      <c r="Q196" s="72">
        <f t="shared" ref="Q196:Q230" si="25">IFERROR(AVERAGE(M196,N196,L196,O196,P196),"A")</f>
        <v>3.2</v>
      </c>
      <c r="R196" s="62">
        <v>3</v>
      </c>
      <c r="S196" s="62">
        <v>3</v>
      </c>
      <c r="T196" s="7"/>
      <c r="U196" s="62">
        <v>3</v>
      </c>
      <c r="V196" s="7"/>
      <c r="W196" s="72">
        <f t="shared" ref="W196:W230" si="26">IFERROR(AVERAGE(R196,S196,U196),"A")</f>
        <v>3</v>
      </c>
      <c r="X196" s="62">
        <v>3</v>
      </c>
      <c r="Y196" s="62">
        <v>2</v>
      </c>
      <c r="Z196" s="7"/>
      <c r="AA196" s="7"/>
      <c r="AB196" s="7"/>
      <c r="AC196" s="72">
        <f t="shared" ref="AC196:AC230" si="27">IFERROR(AVERAGE(Y196,X196),"A")</f>
        <v>2.5</v>
      </c>
      <c r="AD196" s="62">
        <v>3</v>
      </c>
      <c r="AE196" s="7"/>
      <c r="AF196" s="62">
        <v>3</v>
      </c>
      <c r="AG196" s="7"/>
      <c r="AH196" s="7"/>
      <c r="AI196" s="72">
        <f t="shared" ref="AI196:AI230" si="28">IFERROR(AVERAGE(AF196,AD196),"A")</f>
        <v>3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62">
        <v>3</v>
      </c>
      <c r="AQ196" s="62">
        <v>3</v>
      </c>
      <c r="AR196" s="62">
        <v>3</v>
      </c>
      <c r="AS196" s="7"/>
      <c r="AT196" s="7"/>
      <c r="AU196" s="72">
        <f t="shared" ref="AU196:AU230" si="30">IFERROR(AVERAGE(AR196,AQ196,AP196),"A")</f>
        <v>3</v>
      </c>
      <c r="AV196" s="7"/>
      <c r="AW196" s="7"/>
      <c r="AX196" s="62">
        <v>3</v>
      </c>
      <c r="AY196" s="62">
        <v>3</v>
      </c>
      <c r="AZ196" s="62">
        <v>3</v>
      </c>
      <c r="BA196" s="72">
        <f t="shared" ref="BA196:BA230" si="31">IFERROR(AVERAGE(AX196,AY196,AZ196),"A")</f>
        <v>3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2</v>
      </c>
      <c r="M197" s="62">
        <v>2</v>
      </c>
      <c r="N197" s="62">
        <v>2</v>
      </c>
      <c r="O197" s="62">
        <v>3</v>
      </c>
      <c r="P197" s="62">
        <v>2</v>
      </c>
      <c r="Q197" s="72">
        <f t="shared" si="25"/>
        <v>2.2000000000000002</v>
      </c>
      <c r="R197" s="62">
        <v>2</v>
      </c>
      <c r="S197" s="62">
        <v>2</v>
      </c>
      <c r="T197" s="62"/>
      <c r="U197" s="62">
        <v>2</v>
      </c>
      <c r="V197" s="62"/>
      <c r="W197" s="72">
        <f t="shared" si="26"/>
        <v>2</v>
      </c>
      <c r="X197" s="62">
        <v>2</v>
      </c>
      <c r="Y197" s="62">
        <v>2</v>
      </c>
      <c r="Z197" s="62"/>
      <c r="AA197" s="62"/>
      <c r="AB197" s="62"/>
      <c r="AC197" s="72">
        <f t="shared" si="27"/>
        <v>2</v>
      </c>
      <c r="AD197" s="62">
        <v>2</v>
      </c>
      <c r="AE197" s="62"/>
      <c r="AF197" s="62">
        <v>2</v>
      </c>
      <c r="AG197" s="62"/>
      <c r="AH197" s="62"/>
      <c r="AI197" s="72">
        <f t="shared" si="28"/>
        <v>2</v>
      </c>
      <c r="AJ197" s="62"/>
      <c r="AK197" s="62"/>
      <c r="AL197" s="62"/>
      <c r="AM197" s="62"/>
      <c r="AN197" s="62"/>
      <c r="AO197" s="72" t="str">
        <f t="shared" si="29"/>
        <v>A</v>
      </c>
      <c r="AP197" s="62">
        <v>2</v>
      </c>
      <c r="AQ197" s="62">
        <v>2</v>
      </c>
      <c r="AR197" s="62">
        <v>2</v>
      </c>
      <c r="AS197" s="62"/>
      <c r="AT197" s="62"/>
      <c r="AU197" s="72">
        <f t="shared" si="30"/>
        <v>2</v>
      </c>
      <c r="AV197" s="62"/>
      <c r="AW197" s="62"/>
      <c r="AX197" s="62">
        <v>2</v>
      </c>
      <c r="AY197" s="62">
        <v>2</v>
      </c>
      <c r="AZ197" s="62">
        <v>2</v>
      </c>
      <c r="BA197" s="72">
        <f t="shared" si="31"/>
        <v>2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3</v>
      </c>
      <c r="M198" s="62">
        <v>4</v>
      </c>
      <c r="N198" s="62">
        <v>3</v>
      </c>
      <c r="O198" s="62">
        <v>3</v>
      </c>
      <c r="P198" s="62">
        <v>3</v>
      </c>
      <c r="Q198" s="72">
        <f t="shared" si="25"/>
        <v>3.2</v>
      </c>
      <c r="R198" s="62">
        <v>3</v>
      </c>
      <c r="S198" s="62">
        <v>3</v>
      </c>
      <c r="T198" s="7"/>
      <c r="U198" s="62">
        <v>3</v>
      </c>
      <c r="V198" s="7"/>
      <c r="W198" s="72">
        <f t="shared" si="26"/>
        <v>3</v>
      </c>
      <c r="X198" s="62">
        <v>3</v>
      </c>
      <c r="Y198" s="62">
        <v>2</v>
      </c>
      <c r="Z198" s="7"/>
      <c r="AA198" s="7"/>
      <c r="AB198" s="7"/>
      <c r="AC198" s="72">
        <f t="shared" si="27"/>
        <v>2.5</v>
      </c>
      <c r="AD198" s="62">
        <v>3</v>
      </c>
      <c r="AE198" s="7"/>
      <c r="AF198" s="62">
        <v>3</v>
      </c>
      <c r="AG198" s="7"/>
      <c r="AH198" s="7"/>
      <c r="AI198" s="72">
        <f t="shared" si="28"/>
        <v>3</v>
      </c>
      <c r="AJ198" s="7"/>
      <c r="AK198" s="7"/>
      <c r="AL198" s="7"/>
      <c r="AM198" s="7"/>
      <c r="AN198" s="7"/>
      <c r="AO198" s="72" t="str">
        <f t="shared" si="29"/>
        <v>A</v>
      </c>
      <c r="AP198" s="62">
        <v>3</v>
      </c>
      <c r="AQ198" s="62">
        <v>3</v>
      </c>
      <c r="AR198" s="62">
        <v>3</v>
      </c>
      <c r="AS198" s="7"/>
      <c r="AT198" s="7"/>
      <c r="AU198" s="72">
        <f t="shared" si="30"/>
        <v>3</v>
      </c>
      <c r="AV198" s="7"/>
      <c r="AW198" s="7"/>
      <c r="AX198" s="62">
        <v>3</v>
      </c>
      <c r="AY198" s="62">
        <v>3</v>
      </c>
      <c r="AZ198" s="62">
        <v>3</v>
      </c>
      <c r="BA198" s="72">
        <f t="shared" si="31"/>
        <v>3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>
        <v>4</v>
      </c>
      <c r="N199" s="62">
        <v>3</v>
      </c>
      <c r="O199" s="62">
        <v>3</v>
      </c>
      <c r="P199" s="62">
        <v>3</v>
      </c>
      <c r="Q199" s="72">
        <f t="shared" si="25"/>
        <v>3.2</v>
      </c>
      <c r="R199" s="62">
        <v>3</v>
      </c>
      <c r="S199" s="62">
        <v>3</v>
      </c>
      <c r="T199" s="62"/>
      <c r="U199" s="62">
        <v>3</v>
      </c>
      <c r="V199" s="62"/>
      <c r="W199" s="72">
        <f t="shared" si="26"/>
        <v>3</v>
      </c>
      <c r="X199" s="62">
        <v>3</v>
      </c>
      <c r="Y199" s="62">
        <v>2</v>
      </c>
      <c r="Z199" s="62"/>
      <c r="AA199" s="62"/>
      <c r="AB199" s="62"/>
      <c r="AC199" s="72">
        <f t="shared" si="27"/>
        <v>2.5</v>
      </c>
      <c r="AD199" s="62">
        <v>3</v>
      </c>
      <c r="AE199" s="62"/>
      <c r="AF199" s="62">
        <v>3</v>
      </c>
      <c r="AG199" s="62"/>
      <c r="AH199" s="62"/>
      <c r="AI199" s="72">
        <f t="shared" si="28"/>
        <v>3</v>
      </c>
      <c r="AJ199" s="62"/>
      <c r="AK199" s="62"/>
      <c r="AL199" s="62"/>
      <c r="AM199" s="62"/>
      <c r="AN199" s="62"/>
      <c r="AO199" s="72" t="str">
        <f t="shared" si="29"/>
        <v>A</v>
      </c>
      <c r="AP199" s="62">
        <v>3</v>
      </c>
      <c r="AQ199" s="62">
        <v>3</v>
      </c>
      <c r="AR199" s="62">
        <v>3</v>
      </c>
      <c r="AS199" s="62"/>
      <c r="AT199" s="62"/>
      <c r="AU199" s="72">
        <f t="shared" si="30"/>
        <v>3</v>
      </c>
      <c r="AV199" s="62"/>
      <c r="AW199" s="62"/>
      <c r="AX199" s="62">
        <v>3</v>
      </c>
      <c r="AY199" s="62">
        <v>3</v>
      </c>
      <c r="AZ199" s="62">
        <v>3</v>
      </c>
      <c r="BA199" s="72">
        <f t="shared" si="31"/>
        <v>3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2</v>
      </c>
      <c r="M200" s="62">
        <v>2</v>
      </c>
      <c r="N200" s="62">
        <v>2</v>
      </c>
      <c r="O200" s="62">
        <v>2</v>
      </c>
      <c r="P200" s="62">
        <v>2</v>
      </c>
      <c r="Q200" s="72">
        <f t="shared" si="25"/>
        <v>2</v>
      </c>
      <c r="R200" s="62">
        <v>3</v>
      </c>
      <c r="S200" s="62">
        <v>3</v>
      </c>
      <c r="T200" s="7"/>
      <c r="U200" s="62">
        <v>3</v>
      </c>
      <c r="V200" s="7"/>
      <c r="W200" s="72">
        <f t="shared" si="26"/>
        <v>3</v>
      </c>
      <c r="X200" s="62">
        <v>3</v>
      </c>
      <c r="Y200" s="62">
        <v>3</v>
      </c>
      <c r="Z200" s="7"/>
      <c r="AA200" s="7"/>
      <c r="AB200" s="7"/>
      <c r="AC200" s="72">
        <f t="shared" si="27"/>
        <v>3</v>
      </c>
      <c r="AD200" s="62">
        <v>2</v>
      </c>
      <c r="AE200" s="7"/>
      <c r="AF200" s="62">
        <v>3</v>
      </c>
      <c r="AG200" s="7"/>
      <c r="AH200" s="7"/>
      <c r="AI200" s="72">
        <f t="shared" si="28"/>
        <v>2.5</v>
      </c>
      <c r="AJ200" s="7"/>
      <c r="AK200" s="7"/>
      <c r="AL200" s="7"/>
      <c r="AM200" s="7"/>
      <c r="AN200" s="7"/>
      <c r="AO200" s="72" t="str">
        <f t="shared" si="29"/>
        <v>A</v>
      </c>
      <c r="AP200" s="62">
        <v>2</v>
      </c>
      <c r="AQ200" s="62">
        <v>3</v>
      </c>
      <c r="AR200" s="62">
        <v>3</v>
      </c>
      <c r="AS200" s="7"/>
      <c r="AT200" s="7"/>
      <c r="AU200" s="72">
        <f t="shared" si="30"/>
        <v>2.6666666666666665</v>
      </c>
      <c r="AV200" s="7"/>
      <c r="AW200" s="7"/>
      <c r="AX200" s="62">
        <v>3</v>
      </c>
      <c r="AY200" s="62">
        <v>0</v>
      </c>
      <c r="AZ200" s="62">
        <v>0</v>
      </c>
      <c r="BA200" s="72">
        <f t="shared" si="31"/>
        <v>1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2</v>
      </c>
      <c r="M201" s="62">
        <v>2</v>
      </c>
      <c r="N201" s="62">
        <v>2</v>
      </c>
      <c r="O201" s="62">
        <v>3</v>
      </c>
      <c r="P201" s="62">
        <v>2</v>
      </c>
      <c r="Q201" s="72">
        <f t="shared" si="25"/>
        <v>2.2000000000000002</v>
      </c>
      <c r="R201" s="62">
        <v>2</v>
      </c>
      <c r="S201" s="62">
        <v>2</v>
      </c>
      <c r="T201" s="62"/>
      <c r="U201" s="62">
        <v>2</v>
      </c>
      <c r="V201" s="62"/>
      <c r="W201" s="72">
        <f t="shared" si="26"/>
        <v>2</v>
      </c>
      <c r="X201" s="62">
        <v>2</v>
      </c>
      <c r="Y201" s="62">
        <v>2</v>
      </c>
      <c r="Z201" s="62"/>
      <c r="AA201" s="62"/>
      <c r="AB201" s="62"/>
      <c r="AC201" s="72">
        <f t="shared" si="27"/>
        <v>2</v>
      </c>
      <c r="AD201" s="62">
        <v>2</v>
      </c>
      <c r="AE201" s="62"/>
      <c r="AF201" s="62">
        <v>2</v>
      </c>
      <c r="AG201" s="62"/>
      <c r="AH201" s="62"/>
      <c r="AI201" s="72">
        <f t="shared" si="28"/>
        <v>2</v>
      </c>
      <c r="AJ201" s="62"/>
      <c r="AK201" s="62"/>
      <c r="AL201" s="62"/>
      <c r="AM201" s="62"/>
      <c r="AN201" s="62"/>
      <c r="AO201" s="72" t="str">
        <f t="shared" si="29"/>
        <v>A</v>
      </c>
      <c r="AP201" s="62">
        <v>2</v>
      </c>
      <c r="AQ201" s="62">
        <v>2</v>
      </c>
      <c r="AR201" s="62">
        <v>2</v>
      </c>
      <c r="AS201" s="62"/>
      <c r="AT201" s="62"/>
      <c r="AU201" s="72">
        <f t="shared" si="30"/>
        <v>2</v>
      </c>
      <c r="AV201" s="62"/>
      <c r="AW201" s="62"/>
      <c r="AX201" s="62">
        <v>2</v>
      </c>
      <c r="AY201" s="62">
        <v>2</v>
      </c>
      <c r="AZ201" s="62">
        <v>2</v>
      </c>
      <c r="BA201" s="72">
        <f t="shared" si="31"/>
        <v>2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2</v>
      </c>
      <c r="M202" s="62">
        <v>2</v>
      </c>
      <c r="N202" s="62">
        <v>2</v>
      </c>
      <c r="O202" s="62">
        <v>2</v>
      </c>
      <c r="P202" s="62">
        <v>2</v>
      </c>
      <c r="Q202" s="72">
        <f t="shared" si="25"/>
        <v>2</v>
      </c>
      <c r="R202" s="62">
        <v>2</v>
      </c>
      <c r="S202" s="62">
        <v>2</v>
      </c>
      <c r="T202" s="7"/>
      <c r="U202" s="62">
        <v>2</v>
      </c>
      <c r="V202" s="7"/>
      <c r="W202" s="72">
        <f t="shared" si="26"/>
        <v>2</v>
      </c>
      <c r="X202" s="62">
        <v>2</v>
      </c>
      <c r="Y202" s="62">
        <v>2</v>
      </c>
      <c r="Z202" s="7"/>
      <c r="AA202" s="7"/>
      <c r="AB202" s="7"/>
      <c r="AC202" s="72">
        <f t="shared" si="27"/>
        <v>2</v>
      </c>
      <c r="AD202" s="62">
        <v>2</v>
      </c>
      <c r="AE202" s="7"/>
      <c r="AF202" s="62">
        <v>2</v>
      </c>
      <c r="AG202" s="7"/>
      <c r="AH202" s="7"/>
      <c r="AI202" s="72">
        <f t="shared" si="28"/>
        <v>2</v>
      </c>
      <c r="AJ202" s="7"/>
      <c r="AK202" s="7"/>
      <c r="AL202" s="7"/>
      <c r="AM202" s="7"/>
      <c r="AN202" s="7"/>
      <c r="AO202" s="72" t="str">
        <f t="shared" si="29"/>
        <v>A</v>
      </c>
      <c r="AP202" s="62">
        <v>2</v>
      </c>
      <c r="AQ202" s="62">
        <v>2</v>
      </c>
      <c r="AR202" s="62">
        <v>2</v>
      </c>
      <c r="AS202" s="7"/>
      <c r="AT202" s="7"/>
      <c r="AU202" s="72">
        <f t="shared" si="30"/>
        <v>2</v>
      </c>
      <c r="AV202" s="7"/>
      <c r="AW202" s="7"/>
      <c r="AX202" s="62">
        <v>2</v>
      </c>
      <c r="AY202" s="62">
        <v>2</v>
      </c>
      <c r="AZ202" s="62">
        <v>2</v>
      </c>
      <c r="BA202" s="72">
        <f t="shared" si="31"/>
        <v>2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3</v>
      </c>
      <c r="M203" s="62">
        <v>3</v>
      </c>
      <c r="N203" s="62">
        <v>3</v>
      </c>
      <c r="O203" s="62">
        <v>3</v>
      </c>
      <c r="P203" s="62">
        <v>3</v>
      </c>
      <c r="Q203" s="72">
        <f t="shared" si="25"/>
        <v>3</v>
      </c>
      <c r="R203" s="62">
        <v>3</v>
      </c>
      <c r="S203" s="62">
        <v>3</v>
      </c>
      <c r="T203" s="62"/>
      <c r="U203" s="62">
        <v>2</v>
      </c>
      <c r="V203" s="62"/>
      <c r="W203" s="72">
        <f t="shared" si="26"/>
        <v>2.6666666666666665</v>
      </c>
      <c r="X203" s="62">
        <v>2</v>
      </c>
      <c r="Y203" s="62">
        <v>1</v>
      </c>
      <c r="Z203" s="62"/>
      <c r="AA203" s="62"/>
      <c r="AB203" s="62"/>
      <c r="AC203" s="72">
        <f t="shared" si="27"/>
        <v>1.5</v>
      </c>
      <c r="AD203" s="62">
        <v>3</v>
      </c>
      <c r="AE203" s="62"/>
      <c r="AF203" s="62">
        <v>2</v>
      </c>
      <c r="AG203" s="62"/>
      <c r="AH203" s="62"/>
      <c r="AI203" s="72">
        <f t="shared" si="28"/>
        <v>2.5</v>
      </c>
      <c r="AJ203" s="62"/>
      <c r="AK203" s="62"/>
      <c r="AL203" s="62"/>
      <c r="AM203" s="62"/>
      <c r="AN203" s="62"/>
      <c r="AO203" s="72" t="str">
        <f t="shared" si="29"/>
        <v>A</v>
      </c>
      <c r="AP203" s="62">
        <v>2</v>
      </c>
      <c r="AQ203" s="62">
        <v>2</v>
      </c>
      <c r="AR203" s="62">
        <v>3</v>
      </c>
      <c r="AS203" s="62"/>
      <c r="AT203" s="62"/>
      <c r="AU203" s="72">
        <f t="shared" si="30"/>
        <v>2.3333333333333335</v>
      </c>
      <c r="AV203" s="62"/>
      <c r="AW203" s="62"/>
      <c r="AX203" s="62">
        <v>3</v>
      </c>
      <c r="AY203" s="62">
        <v>3</v>
      </c>
      <c r="AZ203" s="62">
        <v>3</v>
      </c>
      <c r="BA203" s="72">
        <f t="shared" si="31"/>
        <v>3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2</v>
      </c>
      <c r="M204" s="62">
        <v>3</v>
      </c>
      <c r="N204" s="62">
        <v>3</v>
      </c>
      <c r="O204" s="62">
        <v>3</v>
      </c>
      <c r="P204" s="62">
        <v>2</v>
      </c>
      <c r="Q204" s="72">
        <f t="shared" si="25"/>
        <v>2.6</v>
      </c>
      <c r="R204" s="62">
        <v>0</v>
      </c>
      <c r="S204" s="62">
        <v>0</v>
      </c>
      <c r="T204" s="7"/>
      <c r="U204" s="62">
        <v>0</v>
      </c>
      <c r="V204" s="7"/>
      <c r="W204" s="72">
        <f t="shared" si="26"/>
        <v>0</v>
      </c>
      <c r="X204" s="62">
        <v>0</v>
      </c>
      <c r="Y204" s="62">
        <v>0</v>
      </c>
      <c r="Z204" s="7"/>
      <c r="AA204" s="7"/>
      <c r="AB204" s="7"/>
      <c r="AC204" s="72">
        <f t="shared" si="27"/>
        <v>0</v>
      </c>
      <c r="AD204" s="62">
        <v>0</v>
      </c>
      <c r="AE204" s="7"/>
      <c r="AF204" s="62">
        <v>0</v>
      </c>
      <c r="AG204" s="7"/>
      <c r="AH204" s="7"/>
      <c r="AI204" s="72">
        <f t="shared" si="28"/>
        <v>0</v>
      </c>
      <c r="AJ204" s="7"/>
      <c r="AK204" s="7"/>
      <c r="AL204" s="7"/>
      <c r="AM204" s="7"/>
      <c r="AN204" s="7"/>
      <c r="AO204" s="72" t="str">
        <f t="shared" si="29"/>
        <v>A</v>
      </c>
      <c r="AP204" s="62">
        <v>0</v>
      </c>
      <c r="AQ204" s="62">
        <v>0</v>
      </c>
      <c r="AR204" s="62">
        <v>0</v>
      </c>
      <c r="AS204" s="7"/>
      <c r="AT204" s="7"/>
      <c r="AU204" s="72">
        <f t="shared" si="30"/>
        <v>0</v>
      </c>
      <c r="AV204" s="7"/>
      <c r="AW204" s="7"/>
      <c r="AX204" s="62">
        <v>0</v>
      </c>
      <c r="AY204" s="62">
        <v>0</v>
      </c>
      <c r="AZ204" s="62">
        <v>0</v>
      </c>
      <c r="BA204" s="72">
        <f t="shared" si="31"/>
        <v>0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>
        <v>2</v>
      </c>
      <c r="N205" s="62">
        <v>2</v>
      </c>
      <c r="O205" s="62">
        <v>3</v>
      </c>
      <c r="P205" s="62">
        <v>2</v>
      </c>
      <c r="Q205" s="72">
        <f t="shared" si="25"/>
        <v>2.2000000000000002</v>
      </c>
      <c r="R205" s="62">
        <v>2</v>
      </c>
      <c r="S205" s="62">
        <v>2</v>
      </c>
      <c r="T205" s="62"/>
      <c r="U205" s="62">
        <v>2</v>
      </c>
      <c r="V205" s="62"/>
      <c r="W205" s="72">
        <f t="shared" si="26"/>
        <v>2</v>
      </c>
      <c r="X205" s="62">
        <v>2</v>
      </c>
      <c r="Y205" s="62">
        <v>2</v>
      </c>
      <c r="Z205" s="62"/>
      <c r="AA205" s="62"/>
      <c r="AB205" s="62"/>
      <c r="AC205" s="72">
        <f t="shared" si="27"/>
        <v>2</v>
      </c>
      <c r="AD205" s="62">
        <v>2</v>
      </c>
      <c r="AE205" s="62"/>
      <c r="AF205" s="62">
        <v>2</v>
      </c>
      <c r="AG205" s="62"/>
      <c r="AH205" s="62"/>
      <c r="AI205" s="72">
        <f t="shared" si="28"/>
        <v>2</v>
      </c>
      <c r="AJ205" s="62"/>
      <c r="AK205" s="62"/>
      <c r="AL205" s="62"/>
      <c r="AM205" s="62"/>
      <c r="AN205" s="62"/>
      <c r="AO205" s="72" t="str">
        <f t="shared" si="29"/>
        <v>A</v>
      </c>
      <c r="AP205" s="62">
        <v>2</v>
      </c>
      <c r="AQ205" s="62">
        <v>2</v>
      </c>
      <c r="AR205" s="62">
        <v>2</v>
      </c>
      <c r="AS205" s="62"/>
      <c r="AT205" s="62"/>
      <c r="AU205" s="72">
        <f t="shared" si="30"/>
        <v>2</v>
      </c>
      <c r="AV205" s="62"/>
      <c r="AW205" s="62"/>
      <c r="AX205" s="62">
        <v>2</v>
      </c>
      <c r="AY205" s="62">
        <v>2</v>
      </c>
      <c r="AZ205" s="62">
        <v>2</v>
      </c>
      <c r="BA205" s="72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2</v>
      </c>
      <c r="M206" s="62">
        <v>2</v>
      </c>
      <c r="N206" s="62">
        <v>1</v>
      </c>
      <c r="O206" s="62">
        <v>3</v>
      </c>
      <c r="P206" s="62">
        <v>2</v>
      </c>
      <c r="Q206" s="72">
        <f t="shared" si="25"/>
        <v>2</v>
      </c>
      <c r="R206" s="62">
        <v>2</v>
      </c>
      <c r="S206" s="62">
        <v>2</v>
      </c>
      <c r="T206" s="7"/>
      <c r="U206" s="62">
        <v>2</v>
      </c>
      <c r="V206" s="7"/>
      <c r="W206" s="72">
        <f t="shared" si="26"/>
        <v>2</v>
      </c>
      <c r="X206" s="62">
        <v>2</v>
      </c>
      <c r="Y206" s="62">
        <v>2</v>
      </c>
      <c r="Z206" s="7"/>
      <c r="AA206" s="7"/>
      <c r="AB206" s="7"/>
      <c r="AC206" s="72">
        <f t="shared" si="27"/>
        <v>2</v>
      </c>
      <c r="AD206" s="62">
        <v>2</v>
      </c>
      <c r="AE206" s="7"/>
      <c r="AF206" s="62">
        <v>2</v>
      </c>
      <c r="AG206" s="7"/>
      <c r="AH206" s="7"/>
      <c r="AI206" s="72">
        <f t="shared" si="28"/>
        <v>2</v>
      </c>
      <c r="AJ206" s="7"/>
      <c r="AK206" s="7"/>
      <c r="AL206" s="7"/>
      <c r="AM206" s="7"/>
      <c r="AN206" s="7"/>
      <c r="AO206" s="72" t="str">
        <f t="shared" si="29"/>
        <v>A</v>
      </c>
      <c r="AP206" s="62">
        <v>2</v>
      </c>
      <c r="AQ206" s="62">
        <v>2</v>
      </c>
      <c r="AR206" s="62">
        <v>2</v>
      </c>
      <c r="AS206" s="7"/>
      <c r="AT206" s="7"/>
      <c r="AU206" s="72">
        <f t="shared" si="30"/>
        <v>2</v>
      </c>
      <c r="AV206" s="7"/>
      <c r="AW206" s="7"/>
      <c r="AX206" s="62">
        <v>2</v>
      </c>
      <c r="AY206" s="62">
        <v>2</v>
      </c>
      <c r="AZ206" s="62">
        <v>2</v>
      </c>
      <c r="BA206" s="72">
        <f t="shared" si="31"/>
        <v>2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2</v>
      </c>
      <c r="M207" s="62">
        <v>2</v>
      </c>
      <c r="N207" s="62">
        <v>1</v>
      </c>
      <c r="O207" s="62">
        <v>3</v>
      </c>
      <c r="P207" s="62">
        <v>2</v>
      </c>
      <c r="Q207" s="72">
        <f t="shared" si="25"/>
        <v>2</v>
      </c>
      <c r="R207" s="62">
        <v>0</v>
      </c>
      <c r="S207" s="62">
        <v>0</v>
      </c>
      <c r="T207" s="62"/>
      <c r="U207" s="62">
        <v>0</v>
      </c>
      <c r="V207" s="62"/>
      <c r="W207" s="72">
        <f t="shared" si="26"/>
        <v>0</v>
      </c>
      <c r="X207" s="62">
        <v>0</v>
      </c>
      <c r="Y207" s="62">
        <v>0</v>
      </c>
      <c r="Z207" s="62"/>
      <c r="AA207" s="62"/>
      <c r="AB207" s="62"/>
      <c r="AC207" s="72">
        <f t="shared" si="27"/>
        <v>0</v>
      </c>
      <c r="AD207" s="62">
        <v>0</v>
      </c>
      <c r="AE207" s="62"/>
      <c r="AF207" s="62">
        <v>0</v>
      </c>
      <c r="AG207" s="62"/>
      <c r="AH207" s="62"/>
      <c r="AI207" s="72">
        <f t="shared" si="28"/>
        <v>0</v>
      </c>
      <c r="AJ207" s="62"/>
      <c r="AK207" s="62"/>
      <c r="AL207" s="62"/>
      <c r="AM207" s="62"/>
      <c r="AN207" s="62"/>
      <c r="AO207" s="72" t="str">
        <f t="shared" si="29"/>
        <v>A</v>
      </c>
      <c r="AP207" s="62">
        <v>0</v>
      </c>
      <c r="AQ207" s="62">
        <v>0</v>
      </c>
      <c r="AR207" s="62">
        <v>0</v>
      </c>
      <c r="AS207" s="62"/>
      <c r="AT207" s="62"/>
      <c r="AU207" s="72">
        <f t="shared" si="30"/>
        <v>0</v>
      </c>
      <c r="AV207" s="62"/>
      <c r="AW207" s="62"/>
      <c r="AX207" s="62">
        <v>0</v>
      </c>
      <c r="AY207" s="62">
        <v>0</v>
      </c>
      <c r="AZ207" s="62">
        <v>0</v>
      </c>
      <c r="BA207" s="72">
        <f t="shared" si="31"/>
        <v>0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3</v>
      </c>
      <c r="M208" s="62">
        <v>3</v>
      </c>
      <c r="N208" s="62">
        <v>3</v>
      </c>
      <c r="O208" s="62">
        <v>3</v>
      </c>
      <c r="P208" s="62">
        <v>3</v>
      </c>
      <c r="Q208" s="72">
        <f t="shared" si="25"/>
        <v>3</v>
      </c>
      <c r="R208" s="62">
        <v>2</v>
      </c>
      <c r="S208" s="62">
        <v>2</v>
      </c>
      <c r="T208" s="7"/>
      <c r="U208" s="62">
        <v>2</v>
      </c>
      <c r="V208" s="7"/>
      <c r="W208" s="72">
        <f t="shared" si="26"/>
        <v>2</v>
      </c>
      <c r="X208" s="62">
        <v>2</v>
      </c>
      <c r="Y208" s="62">
        <v>2</v>
      </c>
      <c r="Z208" s="7"/>
      <c r="AA208" s="7"/>
      <c r="AB208" s="7"/>
      <c r="AC208" s="72">
        <f t="shared" si="27"/>
        <v>2</v>
      </c>
      <c r="AD208" s="62">
        <v>2</v>
      </c>
      <c r="AE208" s="7"/>
      <c r="AF208" s="62">
        <v>2</v>
      </c>
      <c r="AG208" s="7"/>
      <c r="AH208" s="7"/>
      <c r="AI208" s="72">
        <f t="shared" si="28"/>
        <v>2</v>
      </c>
      <c r="AJ208" s="7"/>
      <c r="AK208" s="7"/>
      <c r="AL208" s="7"/>
      <c r="AM208" s="7"/>
      <c r="AN208" s="7"/>
      <c r="AO208" s="72" t="str">
        <f t="shared" si="29"/>
        <v>A</v>
      </c>
      <c r="AP208" s="62">
        <v>2</v>
      </c>
      <c r="AQ208" s="62">
        <v>2</v>
      </c>
      <c r="AR208" s="62">
        <v>2</v>
      </c>
      <c r="AS208" s="7"/>
      <c r="AT208" s="7"/>
      <c r="AU208" s="72">
        <f t="shared" si="30"/>
        <v>2</v>
      </c>
      <c r="AV208" s="7"/>
      <c r="AW208" s="7"/>
      <c r="AX208" s="62">
        <v>2</v>
      </c>
      <c r="AY208" s="62">
        <v>2</v>
      </c>
      <c r="AZ208" s="62">
        <v>2</v>
      </c>
      <c r="BA208" s="72">
        <f t="shared" si="31"/>
        <v>2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3</v>
      </c>
      <c r="M209" s="62">
        <v>3</v>
      </c>
      <c r="N209" s="62">
        <v>3</v>
      </c>
      <c r="O209" s="62">
        <v>3</v>
      </c>
      <c r="P209" s="62">
        <v>3</v>
      </c>
      <c r="Q209" s="72">
        <f t="shared" si="25"/>
        <v>3</v>
      </c>
      <c r="R209" s="62">
        <v>2</v>
      </c>
      <c r="S209" s="62">
        <v>2</v>
      </c>
      <c r="T209" s="62"/>
      <c r="U209" s="62">
        <v>2</v>
      </c>
      <c r="V209" s="62"/>
      <c r="W209" s="72">
        <f t="shared" si="26"/>
        <v>2</v>
      </c>
      <c r="X209" s="62">
        <v>2</v>
      </c>
      <c r="Y209" s="62">
        <v>2</v>
      </c>
      <c r="Z209" s="62"/>
      <c r="AA209" s="62"/>
      <c r="AB209" s="62"/>
      <c r="AC209" s="72">
        <f t="shared" si="27"/>
        <v>2</v>
      </c>
      <c r="AD209" s="62">
        <v>2</v>
      </c>
      <c r="AE209" s="62"/>
      <c r="AF209" s="62">
        <v>2</v>
      </c>
      <c r="AG209" s="62"/>
      <c r="AH209" s="62"/>
      <c r="AI209" s="72">
        <f t="shared" si="28"/>
        <v>2</v>
      </c>
      <c r="AJ209" s="62"/>
      <c r="AK209" s="62"/>
      <c r="AL209" s="62"/>
      <c r="AM209" s="62"/>
      <c r="AN209" s="62"/>
      <c r="AO209" s="72" t="str">
        <f t="shared" si="29"/>
        <v>A</v>
      </c>
      <c r="AP209" s="62">
        <v>2</v>
      </c>
      <c r="AQ209" s="62">
        <v>2</v>
      </c>
      <c r="AR209" s="62">
        <v>2</v>
      </c>
      <c r="AS209" s="62"/>
      <c r="AT209" s="62"/>
      <c r="AU209" s="72">
        <f t="shared" si="30"/>
        <v>2</v>
      </c>
      <c r="AV209" s="62"/>
      <c r="AW209" s="62"/>
      <c r="AX209" s="62">
        <v>2</v>
      </c>
      <c r="AY209" s="62">
        <v>2</v>
      </c>
      <c r="AZ209" s="62">
        <v>2</v>
      </c>
      <c r="BA209" s="72">
        <f t="shared" si="31"/>
        <v>2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0</v>
      </c>
      <c r="M210" s="62">
        <v>0</v>
      </c>
      <c r="N210" s="62">
        <v>0</v>
      </c>
      <c r="O210" s="62">
        <v>3</v>
      </c>
      <c r="P210" s="62">
        <v>0</v>
      </c>
      <c r="Q210" s="72">
        <f t="shared" si="25"/>
        <v>0.6</v>
      </c>
      <c r="R210" s="62">
        <v>0</v>
      </c>
      <c r="S210" s="62">
        <v>0</v>
      </c>
      <c r="T210" s="7"/>
      <c r="U210" s="62">
        <v>0</v>
      </c>
      <c r="V210" s="7"/>
      <c r="W210" s="72">
        <f t="shared" si="26"/>
        <v>0</v>
      </c>
      <c r="X210" s="62">
        <v>0</v>
      </c>
      <c r="Y210" s="62">
        <v>0</v>
      </c>
      <c r="Z210" s="7"/>
      <c r="AA210" s="7"/>
      <c r="AB210" s="7"/>
      <c r="AC210" s="72">
        <f t="shared" si="27"/>
        <v>0</v>
      </c>
      <c r="AD210" s="62">
        <v>0</v>
      </c>
      <c r="AE210" s="7"/>
      <c r="AF210" s="62">
        <v>0</v>
      </c>
      <c r="AG210" s="7"/>
      <c r="AH210" s="7"/>
      <c r="AI210" s="72">
        <f t="shared" si="28"/>
        <v>0</v>
      </c>
      <c r="AJ210" s="7"/>
      <c r="AK210" s="7"/>
      <c r="AL210" s="7"/>
      <c r="AM210" s="7"/>
      <c r="AN210" s="7"/>
      <c r="AO210" s="72" t="str">
        <f t="shared" si="29"/>
        <v>A</v>
      </c>
      <c r="AP210" s="62">
        <v>0</v>
      </c>
      <c r="AQ210" s="62">
        <v>0</v>
      </c>
      <c r="AR210" s="62">
        <v>0</v>
      </c>
      <c r="AS210" s="7"/>
      <c r="AT210" s="7"/>
      <c r="AU210" s="72">
        <f t="shared" si="30"/>
        <v>0</v>
      </c>
      <c r="AV210" s="7"/>
      <c r="AW210" s="7"/>
      <c r="AX210" s="62">
        <v>0</v>
      </c>
      <c r="AY210" s="62">
        <v>0</v>
      </c>
      <c r="AZ210" s="62">
        <v>0</v>
      </c>
      <c r="BA210" s="72">
        <f t="shared" si="31"/>
        <v>0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2</v>
      </c>
      <c r="M211" s="62">
        <v>2</v>
      </c>
      <c r="N211" s="62">
        <v>2</v>
      </c>
      <c r="O211" s="62">
        <v>2</v>
      </c>
      <c r="P211" s="62">
        <v>2</v>
      </c>
      <c r="Q211" s="72">
        <f t="shared" si="25"/>
        <v>2</v>
      </c>
      <c r="R211" s="62">
        <v>2</v>
      </c>
      <c r="S211" s="62">
        <v>2</v>
      </c>
      <c r="T211" s="62"/>
      <c r="U211" s="62">
        <v>2</v>
      </c>
      <c r="V211" s="62"/>
      <c r="W211" s="72">
        <f t="shared" si="26"/>
        <v>2</v>
      </c>
      <c r="X211" s="62">
        <v>2</v>
      </c>
      <c r="Y211" s="62">
        <v>2</v>
      </c>
      <c r="Z211" s="62"/>
      <c r="AA211" s="62"/>
      <c r="AB211" s="62"/>
      <c r="AC211" s="72">
        <f t="shared" si="27"/>
        <v>2</v>
      </c>
      <c r="AD211" s="62">
        <v>2</v>
      </c>
      <c r="AE211" s="62"/>
      <c r="AF211" s="62">
        <v>2</v>
      </c>
      <c r="AG211" s="62"/>
      <c r="AH211" s="62"/>
      <c r="AI211" s="72">
        <f t="shared" si="28"/>
        <v>2</v>
      </c>
      <c r="AJ211" s="62"/>
      <c r="AK211" s="62"/>
      <c r="AL211" s="62"/>
      <c r="AM211" s="62"/>
      <c r="AN211" s="62"/>
      <c r="AO211" s="72" t="str">
        <f t="shared" si="29"/>
        <v>A</v>
      </c>
      <c r="AP211" s="62">
        <v>2</v>
      </c>
      <c r="AQ211" s="62">
        <v>2</v>
      </c>
      <c r="AR211" s="62">
        <v>2</v>
      </c>
      <c r="AS211" s="62"/>
      <c r="AT211" s="62"/>
      <c r="AU211" s="72">
        <f t="shared" si="30"/>
        <v>2</v>
      </c>
      <c r="AV211" s="62"/>
      <c r="AW211" s="62"/>
      <c r="AX211" s="62">
        <v>2</v>
      </c>
      <c r="AY211" s="62">
        <v>2</v>
      </c>
      <c r="AZ211" s="62">
        <v>2</v>
      </c>
      <c r="BA211" s="72">
        <f t="shared" si="31"/>
        <v>2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2</v>
      </c>
      <c r="M212" s="62">
        <v>2</v>
      </c>
      <c r="N212" s="62">
        <v>2</v>
      </c>
      <c r="O212" s="62">
        <v>3</v>
      </c>
      <c r="P212" s="62">
        <v>2</v>
      </c>
      <c r="Q212" s="72">
        <f t="shared" si="25"/>
        <v>2.2000000000000002</v>
      </c>
      <c r="R212" s="62">
        <v>0</v>
      </c>
      <c r="S212" s="62">
        <v>0</v>
      </c>
      <c r="T212" s="7"/>
      <c r="U212" s="62">
        <v>0</v>
      </c>
      <c r="V212" s="7"/>
      <c r="W212" s="72">
        <f t="shared" si="26"/>
        <v>0</v>
      </c>
      <c r="X212" s="62">
        <v>0</v>
      </c>
      <c r="Y212" s="62">
        <v>0</v>
      </c>
      <c r="Z212" s="7"/>
      <c r="AA212" s="7"/>
      <c r="AB212" s="7"/>
      <c r="AC212" s="72">
        <f t="shared" si="27"/>
        <v>0</v>
      </c>
      <c r="AD212" s="62">
        <v>0</v>
      </c>
      <c r="AE212" s="7"/>
      <c r="AF212" s="62">
        <v>0</v>
      </c>
      <c r="AG212" s="7"/>
      <c r="AH212" s="7"/>
      <c r="AI212" s="72">
        <f t="shared" si="28"/>
        <v>0</v>
      </c>
      <c r="AJ212" s="7"/>
      <c r="AK212" s="7"/>
      <c r="AL212" s="7"/>
      <c r="AM212" s="7"/>
      <c r="AN212" s="7"/>
      <c r="AO212" s="72" t="str">
        <f t="shared" si="29"/>
        <v>A</v>
      </c>
      <c r="AP212" s="62">
        <v>0</v>
      </c>
      <c r="AQ212" s="62">
        <v>0</v>
      </c>
      <c r="AR212" s="62">
        <v>0</v>
      </c>
      <c r="AS212" s="7"/>
      <c r="AT212" s="7"/>
      <c r="AU212" s="72">
        <f t="shared" si="30"/>
        <v>0</v>
      </c>
      <c r="AV212" s="7"/>
      <c r="AW212" s="7"/>
      <c r="AX212" s="62">
        <v>0</v>
      </c>
      <c r="AY212" s="62">
        <v>0</v>
      </c>
      <c r="AZ212" s="62">
        <v>0</v>
      </c>
      <c r="BA212" s="72">
        <f t="shared" si="31"/>
        <v>0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>
        <v>3</v>
      </c>
      <c r="M213" s="62">
        <v>3</v>
      </c>
      <c r="N213" s="62">
        <v>3</v>
      </c>
      <c r="O213" s="62">
        <v>3</v>
      </c>
      <c r="P213" s="62">
        <v>3</v>
      </c>
      <c r="Q213" s="72">
        <f t="shared" si="25"/>
        <v>3</v>
      </c>
      <c r="R213" s="62">
        <v>0</v>
      </c>
      <c r="S213" s="62">
        <v>0</v>
      </c>
      <c r="T213" s="62"/>
      <c r="U213" s="62">
        <v>0</v>
      </c>
      <c r="V213" s="62"/>
      <c r="W213" s="72">
        <f t="shared" si="26"/>
        <v>0</v>
      </c>
      <c r="X213" s="62">
        <v>0</v>
      </c>
      <c r="Y213" s="62">
        <v>0</v>
      </c>
      <c r="Z213" s="62"/>
      <c r="AA213" s="62"/>
      <c r="AB213" s="62"/>
      <c r="AC213" s="72">
        <f t="shared" si="27"/>
        <v>0</v>
      </c>
      <c r="AD213" s="62">
        <v>0</v>
      </c>
      <c r="AE213" s="62"/>
      <c r="AF213" s="62">
        <v>0</v>
      </c>
      <c r="AG213" s="62"/>
      <c r="AH213" s="62"/>
      <c r="AI213" s="72">
        <f t="shared" si="28"/>
        <v>0</v>
      </c>
      <c r="AJ213" s="62"/>
      <c r="AK213" s="62"/>
      <c r="AL213" s="62"/>
      <c r="AM213" s="62"/>
      <c r="AN213" s="62"/>
      <c r="AO213" s="72" t="str">
        <f t="shared" si="29"/>
        <v>A</v>
      </c>
      <c r="AP213" s="62">
        <v>0</v>
      </c>
      <c r="AQ213" s="62">
        <v>0</v>
      </c>
      <c r="AR213" s="62">
        <v>0</v>
      </c>
      <c r="AS213" s="62"/>
      <c r="AT213" s="62"/>
      <c r="AU213" s="72">
        <f t="shared" si="30"/>
        <v>0</v>
      </c>
      <c r="AV213" s="62"/>
      <c r="AW213" s="62"/>
      <c r="AX213" s="62">
        <v>0</v>
      </c>
      <c r="AY213" s="62">
        <v>0</v>
      </c>
      <c r="AZ213" s="62">
        <v>0</v>
      </c>
      <c r="BA213" s="72">
        <f t="shared" si="31"/>
        <v>0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1</v>
      </c>
      <c r="M214" s="62">
        <v>1</v>
      </c>
      <c r="N214" s="62">
        <v>1</v>
      </c>
      <c r="O214" s="62">
        <v>3</v>
      </c>
      <c r="P214" s="62">
        <v>1</v>
      </c>
      <c r="Q214" s="72">
        <f t="shared" si="25"/>
        <v>1.4</v>
      </c>
      <c r="R214" s="62">
        <v>2</v>
      </c>
      <c r="S214" s="62">
        <v>2</v>
      </c>
      <c r="T214" s="7"/>
      <c r="U214" s="62">
        <v>2</v>
      </c>
      <c r="V214" s="7"/>
      <c r="W214" s="72">
        <f t="shared" si="26"/>
        <v>2</v>
      </c>
      <c r="X214" s="62">
        <v>2</v>
      </c>
      <c r="Y214" s="62">
        <v>2</v>
      </c>
      <c r="Z214" s="7"/>
      <c r="AA214" s="7"/>
      <c r="AB214" s="7"/>
      <c r="AC214" s="72">
        <f t="shared" si="27"/>
        <v>2</v>
      </c>
      <c r="AD214" s="62">
        <v>2</v>
      </c>
      <c r="AE214" s="7"/>
      <c r="AF214" s="62">
        <v>2</v>
      </c>
      <c r="AG214" s="7"/>
      <c r="AH214" s="7"/>
      <c r="AI214" s="72">
        <f t="shared" si="28"/>
        <v>2</v>
      </c>
      <c r="AJ214" s="7"/>
      <c r="AK214" s="7"/>
      <c r="AL214" s="7"/>
      <c r="AM214" s="7"/>
      <c r="AN214" s="7"/>
      <c r="AO214" s="72" t="str">
        <f t="shared" si="29"/>
        <v>A</v>
      </c>
      <c r="AP214" s="62">
        <v>2</v>
      </c>
      <c r="AQ214" s="62">
        <v>2</v>
      </c>
      <c r="AR214" s="62">
        <v>2</v>
      </c>
      <c r="AS214" s="7"/>
      <c r="AT214" s="7"/>
      <c r="AU214" s="72">
        <f t="shared" si="30"/>
        <v>2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1</v>
      </c>
      <c r="M215" s="62">
        <v>1</v>
      </c>
      <c r="N215" s="62">
        <v>1</v>
      </c>
      <c r="O215" s="62">
        <v>3</v>
      </c>
      <c r="P215" s="62">
        <v>1</v>
      </c>
      <c r="Q215" s="72">
        <f t="shared" si="25"/>
        <v>1.4</v>
      </c>
      <c r="R215" s="62">
        <v>0</v>
      </c>
      <c r="S215" s="62">
        <v>0</v>
      </c>
      <c r="T215" s="62"/>
      <c r="U215" s="62">
        <v>0</v>
      </c>
      <c r="V215" s="62"/>
      <c r="W215" s="72">
        <f t="shared" si="26"/>
        <v>0</v>
      </c>
      <c r="X215" s="62">
        <v>0</v>
      </c>
      <c r="Y215" s="62">
        <v>0</v>
      </c>
      <c r="Z215" s="62"/>
      <c r="AA215" s="62"/>
      <c r="AB215" s="62"/>
      <c r="AC215" s="72">
        <f t="shared" si="27"/>
        <v>0</v>
      </c>
      <c r="AD215" s="62">
        <v>0</v>
      </c>
      <c r="AE215" s="62"/>
      <c r="AF215" s="62">
        <v>0</v>
      </c>
      <c r="AG215" s="62"/>
      <c r="AH215" s="62"/>
      <c r="AI215" s="72">
        <f t="shared" si="28"/>
        <v>0</v>
      </c>
      <c r="AJ215" s="62"/>
      <c r="AK215" s="62"/>
      <c r="AL215" s="62"/>
      <c r="AM215" s="62"/>
      <c r="AN215" s="62"/>
      <c r="AO215" s="72" t="str">
        <f t="shared" si="29"/>
        <v>A</v>
      </c>
      <c r="AP215" s="62">
        <v>0</v>
      </c>
      <c r="AQ215" s="62">
        <v>0</v>
      </c>
      <c r="AR215" s="62">
        <v>0</v>
      </c>
      <c r="AS215" s="62"/>
      <c r="AT215" s="62"/>
      <c r="AU215" s="72">
        <f t="shared" si="30"/>
        <v>0</v>
      </c>
      <c r="AV215" s="62"/>
      <c r="AW215" s="62"/>
      <c r="AX215" s="62">
        <v>0</v>
      </c>
      <c r="AY215" s="62">
        <v>0</v>
      </c>
      <c r="AZ215" s="62">
        <v>0</v>
      </c>
      <c r="BA215" s="72">
        <f t="shared" si="31"/>
        <v>0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2</v>
      </c>
      <c r="M216" s="62">
        <v>2</v>
      </c>
      <c r="N216" s="62">
        <v>2</v>
      </c>
      <c r="O216" s="62">
        <v>3</v>
      </c>
      <c r="P216" s="62">
        <v>2</v>
      </c>
      <c r="Q216" s="72">
        <f t="shared" si="25"/>
        <v>2.2000000000000002</v>
      </c>
      <c r="R216" s="62">
        <v>0</v>
      </c>
      <c r="S216" s="62">
        <v>0</v>
      </c>
      <c r="T216" s="7"/>
      <c r="U216" s="62">
        <v>0</v>
      </c>
      <c r="V216" s="7"/>
      <c r="W216" s="72">
        <f t="shared" si="26"/>
        <v>0</v>
      </c>
      <c r="X216" s="62">
        <v>0</v>
      </c>
      <c r="Y216" s="62">
        <v>0</v>
      </c>
      <c r="Z216" s="7"/>
      <c r="AA216" s="7"/>
      <c r="AB216" s="7"/>
      <c r="AC216" s="72">
        <f t="shared" si="27"/>
        <v>0</v>
      </c>
      <c r="AD216" s="62">
        <v>0</v>
      </c>
      <c r="AE216" s="7"/>
      <c r="AF216" s="62">
        <v>0</v>
      </c>
      <c r="AG216" s="7"/>
      <c r="AH216" s="7"/>
      <c r="AI216" s="72">
        <f t="shared" si="28"/>
        <v>0</v>
      </c>
      <c r="AJ216" s="7"/>
      <c r="AK216" s="7"/>
      <c r="AL216" s="7"/>
      <c r="AM216" s="7"/>
      <c r="AN216" s="7"/>
      <c r="AO216" s="72" t="str">
        <f t="shared" si="29"/>
        <v>A</v>
      </c>
      <c r="AP216" s="62">
        <v>0</v>
      </c>
      <c r="AQ216" s="62">
        <v>0</v>
      </c>
      <c r="AR216" s="62">
        <v>0</v>
      </c>
      <c r="AS216" s="7"/>
      <c r="AT216" s="7"/>
      <c r="AU216" s="72">
        <f t="shared" si="30"/>
        <v>0</v>
      </c>
      <c r="AV216" s="7"/>
      <c r="AW216" s="7"/>
      <c r="AX216" s="62">
        <v>0</v>
      </c>
      <c r="AY216" s="62">
        <v>0</v>
      </c>
      <c r="AZ216" s="62">
        <v>0</v>
      </c>
      <c r="BA216" s="72">
        <f t="shared" si="31"/>
        <v>0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2</v>
      </c>
      <c r="M217" s="62">
        <v>2</v>
      </c>
      <c r="N217" s="62">
        <v>2</v>
      </c>
      <c r="O217" s="62">
        <v>3</v>
      </c>
      <c r="P217" s="62">
        <v>2</v>
      </c>
      <c r="Q217" s="72">
        <f t="shared" si="25"/>
        <v>2.2000000000000002</v>
      </c>
      <c r="R217" s="62">
        <v>2</v>
      </c>
      <c r="S217" s="62">
        <v>2</v>
      </c>
      <c r="T217" s="62"/>
      <c r="U217" s="62">
        <v>2</v>
      </c>
      <c r="V217" s="62"/>
      <c r="W217" s="72">
        <f t="shared" si="26"/>
        <v>2</v>
      </c>
      <c r="X217" s="62">
        <v>2</v>
      </c>
      <c r="Y217" s="62">
        <v>2</v>
      </c>
      <c r="Z217" s="62"/>
      <c r="AA217" s="62"/>
      <c r="AB217" s="62"/>
      <c r="AC217" s="72">
        <f t="shared" si="27"/>
        <v>2</v>
      </c>
      <c r="AD217" s="62">
        <v>2</v>
      </c>
      <c r="AE217" s="62"/>
      <c r="AF217" s="62">
        <v>2</v>
      </c>
      <c r="AG217" s="62"/>
      <c r="AH217" s="62"/>
      <c r="AI217" s="72">
        <f t="shared" si="28"/>
        <v>2</v>
      </c>
      <c r="AJ217" s="62"/>
      <c r="AK217" s="62"/>
      <c r="AL217" s="62"/>
      <c r="AM217" s="62"/>
      <c r="AN217" s="62"/>
      <c r="AO217" s="72" t="str">
        <f t="shared" si="29"/>
        <v>A</v>
      </c>
      <c r="AP217" s="62">
        <v>2</v>
      </c>
      <c r="AQ217" s="62">
        <v>2</v>
      </c>
      <c r="AR217" s="62">
        <v>2</v>
      </c>
      <c r="AS217" s="62"/>
      <c r="AT217" s="62"/>
      <c r="AU217" s="72">
        <f t="shared" si="30"/>
        <v>2</v>
      </c>
      <c r="AV217" s="62"/>
      <c r="AW217" s="62"/>
      <c r="AX217" s="62">
        <v>2</v>
      </c>
      <c r="AY217" s="62">
        <v>2</v>
      </c>
      <c r="AZ217" s="62">
        <v>2</v>
      </c>
      <c r="BA217" s="72">
        <f t="shared" si="31"/>
        <v>2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2</v>
      </c>
      <c r="M218" s="62">
        <v>2</v>
      </c>
      <c r="N218" s="62">
        <v>2</v>
      </c>
      <c r="O218" s="62">
        <v>3</v>
      </c>
      <c r="P218" s="62">
        <v>2</v>
      </c>
      <c r="Q218" s="72">
        <f t="shared" si="25"/>
        <v>2.2000000000000002</v>
      </c>
      <c r="R218" s="62">
        <v>0</v>
      </c>
      <c r="S218" s="62">
        <v>0</v>
      </c>
      <c r="T218" s="7"/>
      <c r="U218" s="62">
        <v>0</v>
      </c>
      <c r="V218" s="7"/>
      <c r="W218" s="72">
        <f t="shared" si="26"/>
        <v>0</v>
      </c>
      <c r="X218" s="62">
        <v>0</v>
      </c>
      <c r="Y218" s="62">
        <v>0</v>
      </c>
      <c r="Z218" s="7"/>
      <c r="AA218" s="7"/>
      <c r="AB218" s="7"/>
      <c r="AC218" s="72">
        <f t="shared" si="27"/>
        <v>0</v>
      </c>
      <c r="AD218" s="62">
        <v>0</v>
      </c>
      <c r="AE218" s="7"/>
      <c r="AF218" s="62">
        <v>0</v>
      </c>
      <c r="AG218" s="7"/>
      <c r="AH218" s="7"/>
      <c r="AI218" s="72">
        <f t="shared" si="28"/>
        <v>0</v>
      </c>
      <c r="AJ218" s="7"/>
      <c r="AK218" s="7"/>
      <c r="AL218" s="7"/>
      <c r="AM218" s="7"/>
      <c r="AN218" s="7"/>
      <c r="AO218" s="72" t="str">
        <f t="shared" si="29"/>
        <v>A</v>
      </c>
      <c r="AP218" s="62">
        <v>0</v>
      </c>
      <c r="AQ218" s="62">
        <v>0</v>
      </c>
      <c r="AR218" s="62">
        <v>0</v>
      </c>
      <c r="AS218" s="7"/>
      <c r="AT218" s="7"/>
      <c r="AU218" s="72">
        <f t="shared" si="30"/>
        <v>0</v>
      </c>
      <c r="AV218" s="7"/>
      <c r="AW218" s="7"/>
      <c r="AX218" s="62">
        <v>0</v>
      </c>
      <c r="AY218" s="62">
        <v>0</v>
      </c>
      <c r="AZ218" s="62">
        <v>0</v>
      </c>
      <c r="BA218" s="72">
        <f t="shared" si="31"/>
        <v>0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>
        <v>2</v>
      </c>
      <c r="N219" s="62">
        <v>2</v>
      </c>
      <c r="O219" s="62">
        <v>3</v>
      </c>
      <c r="P219" s="62">
        <v>2</v>
      </c>
      <c r="Q219" s="72">
        <f t="shared" si="25"/>
        <v>2.2000000000000002</v>
      </c>
      <c r="R219" s="62">
        <v>2</v>
      </c>
      <c r="S219" s="62">
        <v>2</v>
      </c>
      <c r="T219" s="62"/>
      <c r="U219" s="62">
        <v>2</v>
      </c>
      <c r="V219" s="62"/>
      <c r="W219" s="72">
        <f t="shared" si="26"/>
        <v>2</v>
      </c>
      <c r="X219" s="62">
        <v>2</v>
      </c>
      <c r="Y219" s="62">
        <v>2</v>
      </c>
      <c r="Z219" s="62"/>
      <c r="AA219" s="62"/>
      <c r="AB219" s="62"/>
      <c r="AC219" s="72">
        <f t="shared" si="27"/>
        <v>2</v>
      </c>
      <c r="AD219" s="62">
        <v>2</v>
      </c>
      <c r="AE219" s="62"/>
      <c r="AF219" s="62">
        <v>2</v>
      </c>
      <c r="AG219" s="62"/>
      <c r="AH219" s="62"/>
      <c r="AI219" s="72">
        <f t="shared" si="28"/>
        <v>2</v>
      </c>
      <c r="AJ219" s="62"/>
      <c r="AK219" s="62"/>
      <c r="AL219" s="62"/>
      <c r="AM219" s="62"/>
      <c r="AN219" s="62"/>
      <c r="AO219" s="72" t="str">
        <f t="shared" si="29"/>
        <v>A</v>
      </c>
      <c r="AP219" s="62">
        <v>2</v>
      </c>
      <c r="AQ219" s="62">
        <v>2</v>
      </c>
      <c r="AR219" s="62">
        <v>2</v>
      </c>
      <c r="AS219" s="62"/>
      <c r="AT219" s="62"/>
      <c r="AU219" s="72">
        <f t="shared" si="30"/>
        <v>2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2</v>
      </c>
      <c r="M220" s="62">
        <v>3</v>
      </c>
      <c r="N220" s="62">
        <v>2</v>
      </c>
      <c r="O220" s="62">
        <v>3</v>
      </c>
      <c r="P220" s="62">
        <v>1</v>
      </c>
      <c r="Q220" s="72">
        <f t="shared" si="25"/>
        <v>2.2000000000000002</v>
      </c>
      <c r="R220" s="62">
        <v>2</v>
      </c>
      <c r="S220" s="62">
        <v>2</v>
      </c>
      <c r="T220" s="7"/>
      <c r="U220" s="62">
        <v>2</v>
      </c>
      <c r="V220" s="7"/>
      <c r="W220" s="72">
        <f t="shared" si="26"/>
        <v>2</v>
      </c>
      <c r="X220" s="62">
        <v>2</v>
      </c>
      <c r="Y220" s="62">
        <v>2</v>
      </c>
      <c r="Z220" s="7"/>
      <c r="AA220" s="7"/>
      <c r="AB220" s="7"/>
      <c r="AC220" s="72">
        <f t="shared" si="27"/>
        <v>2</v>
      </c>
      <c r="AD220" s="62">
        <v>2</v>
      </c>
      <c r="AE220" s="7"/>
      <c r="AF220" s="62">
        <v>2</v>
      </c>
      <c r="AG220" s="7"/>
      <c r="AH220" s="7"/>
      <c r="AI220" s="72">
        <f t="shared" si="28"/>
        <v>2</v>
      </c>
      <c r="AJ220" s="7"/>
      <c r="AK220" s="7"/>
      <c r="AL220" s="7"/>
      <c r="AM220" s="7"/>
      <c r="AN220" s="7"/>
      <c r="AO220" s="72" t="str">
        <f t="shared" si="29"/>
        <v>A</v>
      </c>
      <c r="AP220" s="62">
        <v>2</v>
      </c>
      <c r="AQ220" s="62">
        <v>2</v>
      </c>
      <c r="AR220" s="62">
        <v>2</v>
      </c>
      <c r="AS220" s="7"/>
      <c r="AT220" s="7"/>
      <c r="AU220" s="72">
        <f t="shared" si="30"/>
        <v>2</v>
      </c>
      <c r="AV220" s="7"/>
      <c r="AW220" s="7"/>
      <c r="AX220" s="62">
        <v>2</v>
      </c>
      <c r="AY220" s="62">
        <v>2</v>
      </c>
      <c r="AZ220" s="62">
        <v>2</v>
      </c>
      <c r="BA220" s="72">
        <f t="shared" si="31"/>
        <v>2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2</v>
      </c>
      <c r="M221" s="62">
        <v>2</v>
      </c>
      <c r="N221" s="62">
        <v>2</v>
      </c>
      <c r="O221" s="62">
        <v>3</v>
      </c>
      <c r="P221" s="62">
        <v>2</v>
      </c>
      <c r="Q221" s="72">
        <f t="shared" si="25"/>
        <v>2.2000000000000002</v>
      </c>
      <c r="R221" s="62">
        <v>0</v>
      </c>
      <c r="S221" s="62">
        <v>0</v>
      </c>
      <c r="T221" s="62"/>
      <c r="U221" s="62">
        <v>0</v>
      </c>
      <c r="V221" s="62"/>
      <c r="W221" s="72">
        <f t="shared" si="26"/>
        <v>0</v>
      </c>
      <c r="X221" s="62">
        <v>0</v>
      </c>
      <c r="Y221" s="62">
        <v>0</v>
      </c>
      <c r="Z221" s="62"/>
      <c r="AA221" s="62"/>
      <c r="AB221" s="62"/>
      <c r="AC221" s="72">
        <f t="shared" si="27"/>
        <v>0</v>
      </c>
      <c r="AD221" s="62">
        <v>0</v>
      </c>
      <c r="AE221" s="62"/>
      <c r="AF221" s="62">
        <v>0</v>
      </c>
      <c r="AG221" s="62"/>
      <c r="AH221" s="62"/>
      <c r="AI221" s="72">
        <f t="shared" si="28"/>
        <v>0</v>
      </c>
      <c r="AJ221" s="62"/>
      <c r="AK221" s="62"/>
      <c r="AL221" s="62"/>
      <c r="AM221" s="62"/>
      <c r="AN221" s="62"/>
      <c r="AO221" s="72" t="str">
        <f t="shared" si="29"/>
        <v>A</v>
      </c>
      <c r="AP221" s="62">
        <v>0</v>
      </c>
      <c r="AQ221" s="62">
        <v>0</v>
      </c>
      <c r="AR221" s="62">
        <v>0</v>
      </c>
      <c r="AS221" s="62"/>
      <c r="AT221" s="62"/>
      <c r="AU221" s="72">
        <f t="shared" si="30"/>
        <v>0</v>
      </c>
      <c r="AV221" s="62"/>
      <c r="AW221" s="62"/>
      <c r="AX221" s="62">
        <v>0</v>
      </c>
      <c r="AY221" s="62">
        <v>0</v>
      </c>
      <c r="AZ221" s="62">
        <v>0</v>
      </c>
      <c r="BA221" s="72">
        <f t="shared" si="31"/>
        <v>0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>
        <v>2</v>
      </c>
      <c r="M222" s="62">
        <v>2</v>
      </c>
      <c r="N222" s="62">
        <v>2</v>
      </c>
      <c r="O222" s="62">
        <v>3</v>
      </c>
      <c r="P222" s="62">
        <v>2</v>
      </c>
      <c r="Q222" s="72">
        <f t="shared" si="25"/>
        <v>2.2000000000000002</v>
      </c>
      <c r="R222" s="62">
        <v>0</v>
      </c>
      <c r="S222" s="62">
        <v>0</v>
      </c>
      <c r="T222" s="7"/>
      <c r="U222" s="62">
        <v>0</v>
      </c>
      <c r="V222" s="7"/>
      <c r="W222" s="72">
        <f t="shared" si="26"/>
        <v>0</v>
      </c>
      <c r="X222" s="62">
        <v>0</v>
      </c>
      <c r="Y222" s="62">
        <v>0</v>
      </c>
      <c r="Z222" s="7"/>
      <c r="AA222" s="7"/>
      <c r="AB222" s="7"/>
      <c r="AC222" s="72">
        <f t="shared" si="27"/>
        <v>0</v>
      </c>
      <c r="AD222" s="62">
        <v>0</v>
      </c>
      <c r="AE222" s="7"/>
      <c r="AF222" s="62">
        <v>0</v>
      </c>
      <c r="AG222" s="7"/>
      <c r="AH222" s="7"/>
      <c r="AI222" s="72">
        <f t="shared" si="28"/>
        <v>0</v>
      </c>
      <c r="AJ222" s="7"/>
      <c r="AK222" s="7"/>
      <c r="AL222" s="7"/>
      <c r="AM222" s="7"/>
      <c r="AN222" s="7"/>
      <c r="AO222" s="72" t="str">
        <f t="shared" si="29"/>
        <v>A</v>
      </c>
      <c r="AP222" s="62">
        <v>0</v>
      </c>
      <c r="AQ222" s="62">
        <v>0</v>
      </c>
      <c r="AR222" s="62">
        <v>0</v>
      </c>
      <c r="AS222" s="7"/>
      <c r="AT222" s="7"/>
      <c r="AU222" s="72">
        <f t="shared" si="30"/>
        <v>0</v>
      </c>
      <c r="AV222" s="7"/>
      <c r="AW222" s="7"/>
      <c r="AX222" s="62">
        <v>0</v>
      </c>
      <c r="AY222" s="62">
        <v>0</v>
      </c>
      <c r="AZ222" s="62">
        <v>0</v>
      </c>
      <c r="BA222" s="72">
        <f t="shared" si="31"/>
        <v>0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2</v>
      </c>
      <c r="M223" s="62">
        <v>2</v>
      </c>
      <c r="N223" s="62">
        <v>2</v>
      </c>
      <c r="O223" s="62">
        <v>3</v>
      </c>
      <c r="P223" s="62">
        <v>2</v>
      </c>
      <c r="Q223" s="72">
        <f t="shared" si="25"/>
        <v>2.2000000000000002</v>
      </c>
      <c r="R223" s="62">
        <v>2</v>
      </c>
      <c r="S223" s="62">
        <v>2</v>
      </c>
      <c r="T223" s="62"/>
      <c r="U223" s="62">
        <v>2</v>
      </c>
      <c r="V223" s="62"/>
      <c r="W223" s="72">
        <f t="shared" si="26"/>
        <v>2</v>
      </c>
      <c r="X223" s="62">
        <v>2</v>
      </c>
      <c r="Y223" s="62">
        <v>2</v>
      </c>
      <c r="Z223" s="62"/>
      <c r="AA223" s="62"/>
      <c r="AB223" s="62"/>
      <c r="AC223" s="72">
        <f t="shared" si="27"/>
        <v>2</v>
      </c>
      <c r="AD223" s="62">
        <v>2</v>
      </c>
      <c r="AE223" s="62"/>
      <c r="AF223" s="62">
        <v>2</v>
      </c>
      <c r="AG223" s="62"/>
      <c r="AH223" s="62"/>
      <c r="AI223" s="72">
        <f t="shared" si="28"/>
        <v>2</v>
      </c>
      <c r="AJ223" s="62"/>
      <c r="AK223" s="62"/>
      <c r="AL223" s="62"/>
      <c r="AM223" s="62"/>
      <c r="AN223" s="62"/>
      <c r="AO223" s="72" t="str">
        <f t="shared" si="29"/>
        <v>A</v>
      </c>
      <c r="AP223" s="62">
        <v>2</v>
      </c>
      <c r="AQ223" s="62">
        <v>2</v>
      </c>
      <c r="AR223" s="62">
        <v>2</v>
      </c>
      <c r="AS223" s="62"/>
      <c r="AT223" s="62"/>
      <c r="AU223" s="72">
        <f t="shared" si="30"/>
        <v>2</v>
      </c>
      <c r="AV223" s="62"/>
      <c r="AW223" s="62"/>
      <c r="AX223" s="62">
        <v>2</v>
      </c>
      <c r="AY223" s="62">
        <v>2</v>
      </c>
      <c r="AZ223" s="62">
        <v>2</v>
      </c>
      <c r="BA223" s="72">
        <f t="shared" si="31"/>
        <v>2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3</v>
      </c>
      <c r="M224" s="62">
        <v>4</v>
      </c>
      <c r="N224" s="62">
        <v>2</v>
      </c>
      <c r="O224" s="62">
        <v>3</v>
      </c>
      <c r="P224" s="62">
        <v>2</v>
      </c>
      <c r="Q224" s="72">
        <f t="shared" si="25"/>
        <v>2.8</v>
      </c>
      <c r="R224" s="62">
        <v>0</v>
      </c>
      <c r="S224" s="62">
        <v>0</v>
      </c>
      <c r="T224" s="7"/>
      <c r="U224" s="62">
        <v>0</v>
      </c>
      <c r="V224" s="7"/>
      <c r="W224" s="72">
        <f t="shared" si="26"/>
        <v>0</v>
      </c>
      <c r="X224" s="62">
        <v>0</v>
      </c>
      <c r="Y224" s="62">
        <v>0</v>
      </c>
      <c r="Z224" s="7"/>
      <c r="AA224" s="7"/>
      <c r="AB224" s="7"/>
      <c r="AC224" s="72">
        <f t="shared" si="27"/>
        <v>0</v>
      </c>
      <c r="AD224" s="62">
        <v>0</v>
      </c>
      <c r="AE224" s="7"/>
      <c r="AF224" s="62">
        <v>0</v>
      </c>
      <c r="AG224" s="7"/>
      <c r="AH224" s="7"/>
      <c r="AI224" s="72">
        <f t="shared" si="28"/>
        <v>0</v>
      </c>
      <c r="AJ224" s="7"/>
      <c r="AK224" s="7"/>
      <c r="AL224" s="7"/>
      <c r="AM224" s="7"/>
      <c r="AN224" s="7"/>
      <c r="AO224" s="72" t="str">
        <f t="shared" si="29"/>
        <v>A</v>
      </c>
      <c r="AP224" s="62">
        <v>0</v>
      </c>
      <c r="AQ224" s="62">
        <v>0</v>
      </c>
      <c r="AR224" s="62">
        <v>0</v>
      </c>
      <c r="AS224" s="7"/>
      <c r="AT224" s="7"/>
      <c r="AU224" s="72">
        <f t="shared" si="30"/>
        <v>0</v>
      </c>
      <c r="AV224" s="7"/>
      <c r="AW224" s="7"/>
      <c r="AX224" s="62">
        <v>0</v>
      </c>
      <c r="AY224" s="62">
        <v>0</v>
      </c>
      <c r="AZ224" s="62">
        <v>0</v>
      </c>
      <c r="BA224" s="72">
        <f t="shared" si="31"/>
        <v>0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2</v>
      </c>
      <c r="M225" s="62">
        <v>3</v>
      </c>
      <c r="N225" s="62">
        <v>2</v>
      </c>
      <c r="O225" s="62">
        <v>3</v>
      </c>
      <c r="P225" s="62">
        <v>2</v>
      </c>
      <c r="Q225" s="72">
        <f t="shared" si="25"/>
        <v>2.4</v>
      </c>
      <c r="R225" s="62">
        <v>2</v>
      </c>
      <c r="S225" s="62">
        <v>2</v>
      </c>
      <c r="T225" s="62"/>
      <c r="U225" s="62">
        <v>2</v>
      </c>
      <c r="V225" s="62"/>
      <c r="W225" s="72">
        <f t="shared" si="26"/>
        <v>2</v>
      </c>
      <c r="X225" s="62">
        <v>2</v>
      </c>
      <c r="Y225" s="62">
        <v>2</v>
      </c>
      <c r="Z225" s="62"/>
      <c r="AA225" s="62"/>
      <c r="AB225" s="62"/>
      <c r="AC225" s="72">
        <f t="shared" si="27"/>
        <v>2</v>
      </c>
      <c r="AD225" s="62">
        <v>2</v>
      </c>
      <c r="AE225" s="62"/>
      <c r="AF225" s="62">
        <v>2</v>
      </c>
      <c r="AG225" s="62"/>
      <c r="AH225" s="62"/>
      <c r="AI225" s="72">
        <f t="shared" si="28"/>
        <v>2</v>
      </c>
      <c r="AJ225" s="62"/>
      <c r="AK225" s="62"/>
      <c r="AL225" s="62"/>
      <c r="AM225" s="62"/>
      <c r="AN225" s="62"/>
      <c r="AO225" s="72" t="str">
        <f t="shared" si="29"/>
        <v>A</v>
      </c>
      <c r="AP225" s="62">
        <v>2</v>
      </c>
      <c r="AQ225" s="62">
        <v>2</v>
      </c>
      <c r="AR225" s="62">
        <v>2</v>
      </c>
      <c r="AS225" s="62"/>
      <c r="AT225" s="62"/>
      <c r="AU225" s="72">
        <f t="shared" si="30"/>
        <v>2</v>
      </c>
      <c r="AV225" s="62"/>
      <c r="AW225" s="62"/>
      <c r="AX225" s="62">
        <v>2</v>
      </c>
      <c r="AY225" s="62">
        <v>2</v>
      </c>
      <c r="AZ225" s="62">
        <v>2</v>
      </c>
      <c r="BA225" s="72">
        <f t="shared" si="31"/>
        <v>2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2</v>
      </c>
      <c r="M226" s="62">
        <v>3</v>
      </c>
      <c r="N226" s="62">
        <v>2</v>
      </c>
      <c r="O226" s="62">
        <v>3</v>
      </c>
      <c r="P226" s="62">
        <v>2</v>
      </c>
      <c r="Q226" s="72">
        <f t="shared" si="25"/>
        <v>2.4</v>
      </c>
      <c r="R226" s="62">
        <v>0</v>
      </c>
      <c r="S226" s="62">
        <v>0</v>
      </c>
      <c r="T226" s="7"/>
      <c r="U226" s="62">
        <v>0</v>
      </c>
      <c r="V226" s="7"/>
      <c r="W226" s="72">
        <f t="shared" si="26"/>
        <v>0</v>
      </c>
      <c r="X226" s="62">
        <v>0</v>
      </c>
      <c r="Y226" s="62">
        <v>0</v>
      </c>
      <c r="Z226" s="7"/>
      <c r="AA226" s="7"/>
      <c r="AB226" s="7"/>
      <c r="AC226" s="72">
        <f t="shared" si="27"/>
        <v>0</v>
      </c>
      <c r="AD226" s="62">
        <v>0</v>
      </c>
      <c r="AE226" s="7"/>
      <c r="AF226" s="62">
        <v>0</v>
      </c>
      <c r="AG226" s="7"/>
      <c r="AH226" s="7"/>
      <c r="AI226" s="72">
        <f t="shared" si="28"/>
        <v>0</v>
      </c>
      <c r="AJ226" s="7"/>
      <c r="AK226" s="7"/>
      <c r="AL226" s="7"/>
      <c r="AM226" s="7"/>
      <c r="AN226" s="7"/>
      <c r="AO226" s="72" t="str">
        <f t="shared" si="29"/>
        <v>A</v>
      </c>
      <c r="AP226" s="62">
        <v>0</v>
      </c>
      <c r="AQ226" s="62">
        <v>0</v>
      </c>
      <c r="AR226" s="62">
        <v>0</v>
      </c>
      <c r="AS226" s="7"/>
      <c r="AT226" s="7"/>
      <c r="AU226" s="72">
        <f t="shared" si="30"/>
        <v>0</v>
      </c>
      <c r="AV226" s="7"/>
      <c r="AW226" s="7"/>
      <c r="AX226" s="62">
        <v>0</v>
      </c>
      <c r="AY226" s="62">
        <v>0</v>
      </c>
      <c r="AZ226" s="62">
        <v>0</v>
      </c>
      <c r="BA226" s="72">
        <f t="shared" si="31"/>
        <v>0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2</v>
      </c>
      <c r="M227" s="62">
        <v>2</v>
      </c>
      <c r="N227" s="62">
        <v>2</v>
      </c>
      <c r="O227" s="62">
        <v>3</v>
      </c>
      <c r="P227" s="62">
        <v>2</v>
      </c>
      <c r="Q227" s="72">
        <f t="shared" si="25"/>
        <v>2.2000000000000002</v>
      </c>
      <c r="R227" s="62">
        <v>0</v>
      </c>
      <c r="S227" s="62">
        <v>0</v>
      </c>
      <c r="T227" s="62"/>
      <c r="U227" s="62">
        <v>0</v>
      </c>
      <c r="V227" s="62"/>
      <c r="W227" s="72">
        <f t="shared" si="26"/>
        <v>0</v>
      </c>
      <c r="X227" s="62">
        <v>0</v>
      </c>
      <c r="Y227" s="62">
        <v>0</v>
      </c>
      <c r="Z227" s="62"/>
      <c r="AA227" s="62"/>
      <c r="AB227" s="62"/>
      <c r="AC227" s="72">
        <f t="shared" si="27"/>
        <v>0</v>
      </c>
      <c r="AD227" s="62">
        <v>0</v>
      </c>
      <c r="AE227" s="62"/>
      <c r="AF227" s="62">
        <v>0</v>
      </c>
      <c r="AG227" s="62"/>
      <c r="AH227" s="62"/>
      <c r="AI227" s="72">
        <f t="shared" si="28"/>
        <v>0</v>
      </c>
      <c r="AJ227" s="62"/>
      <c r="AK227" s="62"/>
      <c r="AL227" s="62"/>
      <c r="AM227" s="62"/>
      <c r="AN227" s="62"/>
      <c r="AO227" s="72" t="str">
        <f t="shared" si="29"/>
        <v>A</v>
      </c>
      <c r="AP227" s="62">
        <v>0</v>
      </c>
      <c r="AQ227" s="62">
        <v>0</v>
      </c>
      <c r="AR227" s="62">
        <v>0</v>
      </c>
      <c r="AS227" s="62"/>
      <c r="AT227" s="62"/>
      <c r="AU227" s="72">
        <f t="shared" si="30"/>
        <v>0</v>
      </c>
      <c r="AV227" s="62"/>
      <c r="AW227" s="62"/>
      <c r="AX227" s="62">
        <v>0</v>
      </c>
      <c r="AY227" s="62">
        <v>0</v>
      </c>
      <c r="AZ227" s="62">
        <v>0</v>
      </c>
      <c r="BA227" s="72">
        <f t="shared" si="31"/>
        <v>0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2</v>
      </c>
      <c r="M228" s="62">
        <v>2</v>
      </c>
      <c r="N228" s="62">
        <v>2</v>
      </c>
      <c r="O228" s="62">
        <v>3</v>
      </c>
      <c r="P228" s="62">
        <v>2</v>
      </c>
      <c r="Q228" s="72">
        <f t="shared" si="25"/>
        <v>2.2000000000000002</v>
      </c>
      <c r="R228" s="62">
        <v>0</v>
      </c>
      <c r="S228" s="62">
        <v>0</v>
      </c>
      <c r="T228" s="7"/>
      <c r="U228" s="62">
        <v>0</v>
      </c>
      <c r="V228" s="7"/>
      <c r="W228" s="72">
        <f t="shared" si="26"/>
        <v>0</v>
      </c>
      <c r="X228" s="62">
        <v>0</v>
      </c>
      <c r="Y228" s="62">
        <v>0</v>
      </c>
      <c r="Z228" s="7"/>
      <c r="AA228" s="7"/>
      <c r="AB228" s="7"/>
      <c r="AC228" s="72">
        <f t="shared" si="27"/>
        <v>0</v>
      </c>
      <c r="AD228" s="62">
        <v>0</v>
      </c>
      <c r="AE228" s="7"/>
      <c r="AF228" s="62">
        <v>0</v>
      </c>
      <c r="AG228" s="7"/>
      <c r="AH228" s="7"/>
      <c r="AI228" s="72">
        <f t="shared" si="28"/>
        <v>0</v>
      </c>
      <c r="AJ228" s="7"/>
      <c r="AK228" s="7"/>
      <c r="AL228" s="7"/>
      <c r="AM228" s="7"/>
      <c r="AN228" s="7"/>
      <c r="AO228" s="72" t="str">
        <f t="shared" si="29"/>
        <v>A</v>
      </c>
      <c r="AP228" s="62">
        <v>0</v>
      </c>
      <c r="AQ228" s="62">
        <v>0</v>
      </c>
      <c r="AR228" s="62">
        <v>0</v>
      </c>
      <c r="AS228" s="7"/>
      <c r="AT228" s="7"/>
      <c r="AU228" s="72">
        <f t="shared" si="30"/>
        <v>0</v>
      </c>
      <c r="AV228" s="7"/>
      <c r="AW228" s="7"/>
      <c r="AX228" s="62">
        <v>0</v>
      </c>
      <c r="AY228" s="62">
        <v>0</v>
      </c>
      <c r="AZ228" s="62">
        <v>0</v>
      </c>
      <c r="BA228" s="72">
        <f t="shared" si="31"/>
        <v>0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3</v>
      </c>
      <c r="M229" s="62">
        <v>3</v>
      </c>
      <c r="N229" s="62">
        <v>3</v>
      </c>
      <c r="O229" s="62">
        <v>3</v>
      </c>
      <c r="P229" s="62">
        <v>2</v>
      </c>
      <c r="Q229" s="72">
        <f t="shared" si="25"/>
        <v>2.8</v>
      </c>
      <c r="R229" s="62">
        <v>2</v>
      </c>
      <c r="S229" s="62">
        <v>2</v>
      </c>
      <c r="T229" s="62"/>
      <c r="U229" s="62">
        <v>2</v>
      </c>
      <c r="V229" s="62"/>
      <c r="W229" s="72">
        <f t="shared" si="26"/>
        <v>2</v>
      </c>
      <c r="X229" s="62">
        <v>2</v>
      </c>
      <c r="Y229" s="62">
        <v>2</v>
      </c>
      <c r="Z229" s="62"/>
      <c r="AA229" s="62"/>
      <c r="AB229" s="62"/>
      <c r="AC229" s="72">
        <f t="shared" si="27"/>
        <v>2</v>
      </c>
      <c r="AD229" s="62">
        <v>2</v>
      </c>
      <c r="AE229" s="62"/>
      <c r="AF229" s="62">
        <v>2</v>
      </c>
      <c r="AG229" s="62"/>
      <c r="AH229" s="62"/>
      <c r="AI229" s="72">
        <f t="shared" si="28"/>
        <v>2</v>
      </c>
      <c r="AJ229" s="62"/>
      <c r="AK229" s="62"/>
      <c r="AL229" s="62"/>
      <c r="AM229" s="62"/>
      <c r="AN229" s="62"/>
      <c r="AO229" s="72" t="str">
        <f t="shared" si="29"/>
        <v>A</v>
      </c>
      <c r="AP229" s="62">
        <v>2</v>
      </c>
      <c r="AQ229" s="62">
        <v>2</v>
      </c>
      <c r="AR229" s="62">
        <v>2</v>
      </c>
      <c r="AS229" s="62"/>
      <c r="AT229" s="62"/>
      <c r="AU229" s="72">
        <f t="shared" si="30"/>
        <v>2</v>
      </c>
      <c r="AV229" s="62"/>
      <c r="AW229" s="62"/>
      <c r="AX229" s="62">
        <v>2</v>
      </c>
      <c r="AY229" s="62">
        <v>2</v>
      </c>
      <c r="AZ229" s="62">
        <v>2</v>
      </c>
      <c r="BA229" s="72">
        <f t="shared" si="31"/>
        <v>2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2</v>
      </c>
      <c r="M230" s="62">
        <v>2</v>
      </c>
      <c r="N230" s="62">
        <v>2</v>
      </c>
      <c r="O230" s="62">
        <v>3</v>
      </c>
      <c r="P230" s="62">
        <v>2</v>
      </c>
      <c r="Q230" s="72">
        <f t="shared" si="25"/>
        <v>2.2000000000000002</v>
      </c>
      <c r="R230" s="62">
        <v>0</v>
      </c>
      <c r="S230" s="62">
        <v>0</v>
      </c>
      <c r="T230" s="7"/>
      <c r="U230" s="62">
        <v>0</v>
      </c>
      <c r="V230" s="7"/>
      <c r="W230" s="72">
        <f t="shared" si="26"/>
        <v>0</v>
      </c>
      <c r="X230" s="62">
        <v>0</v>
      </c>
      <c r="Y230" s="62">
        <v>0</v>
      </c>
      <c r="Z230" s="7"/>
      <c r="AA230" s="7"/>
      <c r="AB230" s="7"/>
      <c r="AC230" s="72">
        <f t="shared" si="27"/>
        <v>0</v>
      </c>
      <c r="AD230" s="62">
        <v>0</v>
      </c>
      <c r="AE230" s="7"/>
      <c r="AF230" s="62">
        <v>0</v>
      </c>
      <c r="AG230" s="7"/>
      <c r="AH230" s="7"/>
      <c r="AI230" s="72">
        <f t="shared" si="28"/>
        <v>0</v>
      </c>
      <c r="AJ230" s="7"/>
      <c r="AK230" s="7"/>
      <c r="AL230" s="7"/>
      <c r="AM230" s="7"/>
      <c r="AN230" s="7"/>
      <c r="AO230" s="72" t="str">
        <f t="shared" si="29"/>
        <v>A</v>
      </c>
      <c r="AP230" s="62">
        <v>0</v>
      </c>
      <c r="AQ230" s="62">
        <v>0</v>
      </c>
      <c r="AR230" s="62">
        <v>0</v>
      </c>
      <c r="AS230" s="7"/>
      <c r="AT230" s="7"/>
      <c r="AU230" s="72">
        <f t="shared" si="30"/>
        <v>0</v>
      </c>
      <c r="AV230" s="7"/>
      <c r="AW230" s="7"/>
      <c r="AX230" s="62">
        <v>0</v>
      </c>
      <c r="AY230" s="62">
        <v>0</v>
      </c>
      <c r="AZ230" s="62">
        <v>0</v>
      </c>
      <c r="BA230" s="72">
        <f t="shared" si="31"/>
        <v>0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E1:E2"/>
    <mergeCell ref="A1:A2"/>
    <mergeCell ref="B1:B2"/>
    <mergeCell ref="C1:C2"/>
    <mergeCell ref="D1:D2"/>
    <mergeCell ref="W1:W2"/>
    <mergeCell ref="X1:AB1"/>
    <mergeCell ref="AC1:AC2"/>
    <mergeCell ref="F1:J1"/>
    <mergeCell ref="K1:K2"/>
    <mergeCell ref="L1:P1"/>
    <mergeCell ref="Q1:Q2"/>
    <mergeCell ref="R1:V1"/>
    <mergeCell ref="AU1:AU2"/>
    <mergeCell ref="AV1:AZ1"/>
    <mergeCell ref="BA1:BA2"/>
    <mergeCell ref="AD1:AH1"/>
    <mergeCell ref="AI1:AI2"/>
    <mergeCell ref="AJ1:AN1"/>
    <mergeCell ref="AO1:AO2"/>
    <mergeCell ref="AP1:AT1"/>
  </mergeCells>
  <conditionalFormatting sqref="K3:K230">
    <cfRule type="containsText" dxfId="52" priority="8" operator="containsText" text="A">
      <formula>NOT(ISERROR(SEARCH("A",K3)))</formula>
    </cfRule>
  </conditionalFormatting>
  <conditionalFormatting sqref="Q3:Q230">
    <cfRule type="containsText" dxfId="51" priority="7" operator="containsText" text="A">
      <formula>NOT(ISERROR(SEARCH("A",Q3)))</formula>
    </cfRule>
  </conditionalFormatting>
  <conditionalFormatting sqref="W3:W230">
    <cfRule type="containsText" dxfId="50" priority="1" operator="containsText" text="A">
      <formula>NOT(ISERROR(SEARCH("A",W3)))</formula>
    </cfRule>
  </conditionalFormatting>
  <conditionalFormatting sqref="AC3:AC230">
    <cfRule type="containsText" dxfId="49" priority="2" operator="containsText" text="A">
      <formula>NOT(ISERROR(SEARCH("A",AC3)))</formula>
    </cfRule>
  </conditionalFormatting>
  <conditionalFormatting sqref="AI3:AI230">
    <cfRule type="containsText" dxfId="48" priority="3" operator="containsText" text="A">
      <formula>NOT(ISERROR(SEARCH("A",AI3)))</formula>
    </cfRule>
  </conditionalFormatting>
  <conditionalFormatting sqref="AO3:AO230">
    <cfRule type="containsText" dxfId="47" priority="6" operator="containsText" text="A">
      <formula>NOT(ISERROR(SEARCH("A",AO3)))</formula>
    </cfRule>
  </conditionalFormatting>
  <conditionalFormatting sqref="AU3:AU230">
    <cfRule type="containsText" dxfId="46" priority="4" operator="containsText" text="A">
      <formula>NOT(ISERROR(SEARCH("A",AU3)))</formula>
    </cfRule>
  </conditionalFormatting>
  <conditionalFormatting sqref="BA3:BA230">
    <cfRule type="containsText" dxfId="45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C9B5-6547-44BD-AE49-1469A04A744E}">
  <dimension ref="A1:BC232"/>
  <sheetViews>
    <sheetView topLeftCell="AW1" workbookViewId="0">
      <selection activeCell="K1" sqref="A1:XFD1048576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3</v>
      </c>
      <c r="M3" s="62">
        <v>4</v>
      </c>
      <c r="N3" s="62">
        <v>3</v>
      </c>
      <c r="O3" s="62">
        <v>4</v>
      </c>
      <c r="P3" s="62">
        <v>3</v>
      </c>
      <c r="Q3" s="72">
        <f>IFERROR(AVERAGE(M3,N3,L3,O3,P3),"A")</f>
        <v>3.4</v>
      </c>
      <c r="R3" s="62">
        <v>3</v>
      </c>
      <c r="S3" s="62">
        <v>3</v>
      </c>
      <c r="T3" s="62"/>
      <c r="U3" s="62">
        <v>3</v>
      </c>
      <c r="V3" s="62"/>
      <c r="W3" s="72">
        <f>IFERROR(AVERAGE(R3,S3,U3),"A")</f>
        <v>3</v>
      </c>
      <c r="X3" s="62">
        <v>4</v>
      </c>
      <c r="Y3" s="62">
        <v>4</v>
      </c>
      <c r="Z3" s="62"/>
      <c r="AA3" s="62"/>
      <c r="AB3" s="62"/>
      <c r="AC3" s="72">
        <f>IFERROR(AVERAGE(Y3,X3),"A")</f>
        <v>4</v>
      </c>
      <c r="AD3" s="62">
        <v>5</v>
      </c>
      <c r="AE3" s="62"/>
      <c r="AF3" s="62">
        <v>0</v>
      </c>
      <c r="AG3" s="62"/>
      <c r="AH3" s="62"/>
      <c r="AI3" s="72">
        <f>IFERROR(AVERAGE(AF3,AD3),"A")</f>
        <v>2.5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>
        <v>5</v>
      </c>
      <c r="AQ3" s="62">
        <v>4</v>
      </c>
      <c r="AR3" s="62">
        <v>5</v>
      </c>
      <c r="AS3" s="62"/>
      <c r="AT3" s="62"/>
      <c r="AU3" s="72">
        <f>IFERROR(AVERAGE(AR3,AQ3,AP3),"A")</f>
        <v>4.666666666666667</v>
      </c>
      <c r="AV3" s="62"/>
      <c r="AW3" s="62"/>
      <c r="AX3" s="62">
        <v>5</v>
      </c>
      <c r="AY3" s="62">
        <v>5</v>
      </c>
      <c r="AZ3" s="62">
        <v>5</v>
      </c>
      <c r="BA3" s="72">
        <f>IFERROR(AVERAGE(AX3,AY3,AZ3),"A")</f>
        <v>5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3</v>
      </c>
      <c r="M4" s="62">
        <v>3</v>
      </c>
      <c r="N4" s="62">
        <v>3</v>
      </c>
      <c r="O4" s="62">
        <v>3</v>
      </c>
      <c r="P4" s="62">
        <v>4</v>
      </c>
      <c r="Q4" s="72">
        <f t="shared" ref="Q4:Q67" si="1">IFERROR(AVERAGE(M4,N4,L4,O4,P4),"A")</f>
        <v>3.2</v>
      </c>
      <c r="R4" s="62">
        <v>2</v>
      </c>
      <c r="S4" s="62">
        <v>3</v>
      </c>
      <c r="T4" s="7"/>
      <c r="U4" s="62">
        <v>2</v>
      </c>
      <c r="V4" s="7"/>
      <c r="W4" s="72">
        <f t="shared" ref="W4:W67" si="2">IFERROR(AVERAGE(R4,S4,U4),"A")</f>
        <v>2.3333333333333335</v>
      </c>
      <c r="X4" s="62">
        <v>3</v>
      </c>
      <c r="Y4" s="62">
        <v>2</v>
      </c>
      <c r="Z4" s="7"/>
      <c r="AA4" s="7"/>
      <c r="AB4" s="7"/>
      <c r="AC4" s="72">
        <f t="shared" ref="AC4:AC67" si="3">IFERROR(AVERAGE(Y4,X4),"A")</f>
        <v>2.5</v>
      </c>
      <c r="AD4" s="62">
        <v>1</v>
      </c>
      <c r="AE4" s="7"/>
      <c r="AF4" s="62">
        <v>0</v>
      </c>
      <c r="AG4" s="7"/>
      <c r="AH4" s="7"/>
      <c r="AI4" s="72">
        <f t="shared" ref="AI4:AI67" si="4">IFERROR(AVERAGE(AF4,AD4),"A")</f>
        <v>0.5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62">
        <v>1</v>
      </c>
      <c r="AQ4" s="62">
        <v>3</v>
      </c>
      <c r="AR4" s="62">
        <v>3</v>
      </c>
      <c r="AS4" s="7"/>
      <c r="AT4" s="7"/>
      <c r="AU4" s="72">
        <f t="shared" ref="AU4:AU67" si="6">IFERROR(AVERAGE(AR4,AQ4,AP4),"A")</f>
        <v>2.3333333333333335</v>
      </c>
      <c r="AV4" s="7"/>
      <c r="AW4" s="7"/>
      <c r="AX4" s="62">
        <v>3</v>
      </c>
      <c r="AY4" s="62">
        <v>1</v>
      </c>
      <c r="AZ4" s="62">
        <v>3</v>
      </c>
      <c r="BA4" s="72">
        <f t="shared" ref="BA4:BA67" si="7">IFERROR(AVERAGE(AX4,AY4,AZ4),"A")</f>
        <v>2.3333333333333335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3</v>
      </c>
      <c r="M5" s="62">
        <v>4</v>
      </c>
      <c r="N5" s="62">
        <v>4</v>
      </c>
      <c r="O5" s="62">
        <v>3</v>
      </c>
      <c r="P5" s="62">
        <v>4</v>
      </c>
      <c r="Q5" s="72">
        <f t="shared" si="1"/>
        <v>3.6</v>
      </c>
      <c r="R5" s="62">
        <v>4</v>
      </c>
      <c r="S5" s="62">
        <v>3</v>
      </c>
      <c r="T5" s="62"/>
      <c r="U5" s="62">
        <v>2</v>
      </c>
      <c r="V5" s="62"/>
      <c r="W5" s="72">
        <f t="shared" si="2"/>
        <v>3</v>
      </c>
      <c r="X5" s="62">
        <v>2</v>
      </c>
      <c r="Y5" s="62">
        <v>1</v>
      </c>
      <c r="Z5" s="62"/>
      <c r="AA5" s="62"/>
      <c r="AB5" s="62"/>
      <c r="AC5" s="72">
        <f t="shared" si="3"/>
        <v>1.5</v>
      </c>
      <c r="AD5" s="62">
        <v>1</v>
      </c>
      <c r="AE5" s="62"/>
      <c r="AF5" s="62">
        <v>0</v>
      </c>
      <c r="AG5" s="62"/>
      <c r="AH5" s="62"/>
      <c r="AI5" s="72">
        <f t="shared" si="4"/>
        <v>0.5</v>
      </c>
      <c r="AJ5" s="62"/>
      <c r="AK5" s="62"/>
      <c r="AL5" s="62"/>
      <c r="AM5" s="62"/>
      <c r="AN5" s="62"/>
      <c r="AO5" s="72" t="str">
        <f t="shared" si="5"/>
        <v>A</v>
      </c>
      <c r="AP5" s="62">
        <v>1</v>
      </c>
      <c r="AQ5" s="62">
        <v>3</v>
      </c>
      <c r="AR5" s="62">
        <v>2</v>
      </c>
      <c r="AS5" s="62"/>
      <c r="AT5" s="62"/>
      <c r="AU5" s="72">
        <f t="shared" si="6"/>
        <v>2</v>
      </c>
      <c r="AV5" s="62"/>
      <c r="AW5" s="62"/>
      <c r="AX5" s="62">
        <v>2</v>
      </c>
      <c r="AY5" s="62">
        <v>1</v>
      </c>
      <c r="AZ5" s="62">
        <v>1</v>
      </c>
      <c r="BA5" s="72">
        <f t="shared" si="7"/>
        <v>1.3333333333333333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2</v>
      </c>
      <c r="M6" s="62">
        <v>2</v>
      </c>
      <c r="N6" s="62">
        <v>2</v>
      </c>
      <c r="O6" s="62">
        <v>3</v>
      </c>
      <c r="P6" s="62">
        <v>1</v>
      </c>
      <c r="Q6" s="72">
        <f t="shared" si="1"/>
        <v>2</v>
      </c>
      <c r="R6" s="62">
        <v>3</v>
      </c>
      <c r="S6" s="62">
        <v>3</v>
      </c>
      <c r="T6" s="7"/>
      <c r="U6" s="62">
        <v>3</v>
      </c>
      <c r="V6" s="7"/>
      <c r="W6" s="72">
        <f t="shared" si="2"/>
        <v>3</v>
      </c>
      <c r="X6" s="62">
        <v>2</v>
      </c>
      <c r="Y6" s="62">
        <v>3</v>
      </c>
      <c r="Z6" s="7"/>
      <c r="AA6" s="7"/>
      <c r="AB6" s="7"/>
      <c r="AC6" s="72">
        <f t="shared" si="3"/>
        <v>2.5</v>
      </c>
      <c r="AD6" s="62">
        <v>3</v>
      </c>
      <c r="AE6" s="7"/>
      <c r="AF6" s="62">
        <v>0</v>
      </c>
      <c r="AG6" s="7"/>
      <c r="AH6" s="7"/>
      <c r="AI6" s="72">
        <f t="shared" si="4"/>
        <v>1.5</v>
      </c>
      <c r="AJ6" s="7"/>
      <c r="AK6" s="7"/>
      <c r="AL6" s="7"/>
      <c r="AM6" s="7"/>
      <c r="AN6" s="7"/>
      <c r="AO6" s="72" t="str">
        <f t="shared" si="5"/>
        <v>A</v>
      </c>
      <c r="AP6" s="62">
        <v>3</v>
      </c>
      <c r="AQ6" s="62">
        <v>4</v>
      </c>
      <c r="AR6" s="62">
        <v>4</v>
      </c>
      <c r="AS6" s="7"/>
      <c r="AT6" s="7"/>
      <c r="AU6" s="72">
        <f t="shared" si="6"/>
        <v>3.6666666666666665</v>
      </c>
      <c r="AV6" s="7"/>
      <c r="AW6" s="7"/>
      <c r="AX6" s="62">
        <v>4</v>
      </c>
      <c r="AY6" s="62">
        <v>3</v>
      </c>
      <c r="AZ6" s="62">
        <v>3</v>
      </c>
      <c r="BA6" s="72">
        <f t="shared" si="7"/>
        <v>3.3333333333333335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3</v>
      </c>
      <c r="M7" s="62">
        <v>4</v>
      </c>
      <c r="N7" s="62">
        <v>3</v>
      </c>
      <c r="O7" s="62">
        <v>4</v>
      </c>
      <c r="P7" s="62">
        <v>3</v>
      </c>
      <c r="Q7" s="72">
        <f t="shared" si="1"/>
        <v>3.4</v>
      </c>
      <c r="R7" s="62">
        <v>3</v>
      </c>
      <c r="S7" s="62">
        <v>3</v>
      </c>
      <c r="T7" s="62"/>
      <c r="U7" s="62">
        <v>3</v>
      </c>
      <c r="V7" s="62"/>
      <c r="W7" s="72">
        <f t="shared" si="2"/>
        <v>3</v>
      </c>
      <c r="X7" s="62">
        <v>4</v>
      </c>
      <c r="Y7" s="62">
        <v>4</v>
      </c>
      <c r="Z7" s="62"/>
      <c r="AA7" s="62"/>
      <c r="AB7" s="62"/>
      <c r="AC7" s="72">
        <f t="shared" si="3"/>
        <v>4</v>
      </c>
      <c r="AD7" s="62">
        <v>5</v>
      </c>
      <c r="AE7" s="62"/>
      <c r="AF7" s="62">
        <v>5</v>
      </c>
      <c r="AG7" s="62"/>
      <c r="AH7" s="62"/>
      <c r="AI7" s="72">
        <f t="shared" si="4"/>
        <v>5</v>
      </c>
      <c r="AJ7" s="62"/>
      <c r="AK7" s="62"/>
      <c r="AL7" s="62"/>
      <c r="AM7" s="62"/>
      <c r="AN7" s="62"/>
      <c r="AO7" s="72" t="str">
        <f t="shared" si="5"/>
        <v>A</v>
      </c>
      <c r="AP7" s="62">
        <v>4</v>
      </c>
      <c r="AQ7" s="62">
        <v>5</v>
      </c>
      <c r="AR7" s="62">
        <v>5</v>
      </c>
      <c r="AS7" s="62"/>
      <c r="AT7" s="62"/>
      <c r="AU7" s="72">
        <f t="shared" si="6"/>
        <v>4.666666666666667</v>
      </c>
      <c r="AV7" s="62"/>
      <c r="AW7" s="62"/>
      <c r="AX7" s="62">
        <v>5</v>
      </c>
      <c r="AY7" s="62">
        <v>5</v>
      </c>
      <c r="AZ7" s="62">
        <v>5</v>
      </c>
      <c r="BA7" s="72">
        <f t="shared" si="7"/>
        <v>5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2</v>
      </c>
      <c r="M8" s="62">
        <v>4</v>
      </c>
      <c r="N8" s="62">
        <v>2</v>
      </c>
      <c r="O8" s="62">
        <v>4</v>
      </c>
      <c r="P8" s="62">
        <v>3</v>
      </c>
      <c r="Q8" s="72">
        <f t="shared" si="1"/>
        <v>3</v>
      </c>
      <c r="R8" s="62">
        <v>3</v>
      </c>
      <c r="S8" s="62">
        <v>2</v>
      </c>
      <c r="T8" s="7"/>
      <c r="U8" s="62">
        <v>2</v>
      </c>
      <c r="V8" s="7"/>
      <c r="W8" s="72">
        <f t="shared" si="2"/>
        <v>2.3333333333333335</v>
      </c>
      <c r="X8" s="62">
        <v>2</v>
      </c>
      <c r="Y8" s="62">
        <v>3</v>
      </c>
      <c r="Z8" s="7"/>
      <c r="AA8" s="7"/>
      <c r="AB8" s="7"/>
      <c r="AC8" s="72">
        <f t="shared" si="3"/>
        <v>2.5</v>
      </c>
      <c r="AD8" s="62">
        <v>5</v>
      </c>
      <c r="AE8" s="7"/>
      <c r="AF8" s="62">
        <v>0</v>
      </c>
      <c r="AG8" s="7"/>
      <c r="AH8" s="7"/>
      <c r="AI8" s="72">
        <f t="shared" si="4"/>
        <v>2.5</v>
      </c>
      <c r="AJ8" s="7"/>
      <c r="AK8" s="7"/>
      <c r="AL8" s="7"/>
      <c r="AM8" s="7"/>
      <c r="AN8" s="7"/>
      <c r="AO8" s="72" t="str">
        <f t="shared" si="5"/>
        <v>A</v>
      </c>
      <c r="AP8" s="62">
        <v>5</v>
      </c>
      <c r="AQ8" s="62">
        <v>3</v>
      </c>
      <c r="AR8" s="62">
        <v>5</v>
      </c>
      <c r="AS8" s="7"/>
      <c r="AT8" s="7"/>
      <c r="AU8" s="72">
        <f t="shared" si="6"/>
        <v>4.333333333333333</v>
      </c>
      <c r="AV8" s="7"/>
      <c r="AW8" s="7"/>
      <c r="AX8" s="62">
        <v>5</v>
      </c>
      <c r="AY8" s="62">
        <v>5</v>
      </c>
      <c r="AZ8" s="62">
        <v>5</v>
      </c>
      <c r="BA8" s="72">
        <f t="shared" si="7"/>
        <v>5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3</v>
      </c>
      <c r="M9" s="62">
        <v>5</v>
      </c>
      <c r="N9" s="62">
        <v>4</v>
      </c>
      <c r="O9" s="62">
        <v>4</v>
      </c>
      <c r="P9" s="62">
        <v>3</v>
      </c>
      <c r="Q9" s="72">
        <f t="shared" si="1"/>
        <v>3.8</v>
      </c>
      <c r="R9" s="62">
        <v>3</v>
      </c>
      <c r="S9" s="62">
        <v>3</v>
      </c>
      <c r="T9" s="62"/>
      <c r="U9" s="62">
        <v>3</v>
      </c>
      <c r="V9" s="62"/>
      <c r="W9" s="72">
        <f t="shared" si="2"/>
        <v>3</v>
      </c>
      <c r="X9" s="62">
        <v>3</v>
      </c>
      <c r="Y9" s="62">
        <v>3</v>
      </c>
      <c r="Z9" s="62"/>
      <c r="AA9" s="62"/>
      <c r="AB9" s="62"/>
      <c r="AC9" s="72">
        <f t="shared" si="3"/>
        <v>3</v>
      </c>
      <c r="AD9" s="62">
        <v>5</v>
      </c>
      <c r="AE9" s="62"/>
      <c r="AF9" s="62">
        <v>0</v>
      </c>
      <c r="AG9" s="62"/>
      <c r="AH9" s="62"/>
      <c r="AI9" s="72">
        <f t="shared" si="4"/>
        <v>2.5</v>
      </c>
      <c r="AJ9" s="62"/>
      <c r="AK9" s="62"/>
      <c r="AL9" s="62"/>
      <c r="AM9" s="62"/>
      <c r="AN9" s="62"/>
      <c r="AO9" s="72" t="str">
        <f t="shared" si="5"/>
        <v>A</v>
      </c>
      <c r="AP9" s="62">
        <v>5</v>
      </c>
      <c r="AQ9" s="62">
        <v>4</v>
      </c>
      <c r="AR9" s="62">
        <v>3</v>
      </c>
      <c r="AS9" s="62"/>
      <c r="AT9" s="62"/>
      <c r="AU9" s="72">
        <f t="shared" si="6"/>
        <v>4</v>
      </c>
      <c r="AV9" s="62"/>
      <c r="AW9" s="62"/>
      <c r="AX9" s="62">
        <v>4</v>
      </c>
      <c r="AY9" s="62">
        <v>5</v>
      </c>
      <c r="AZ9" s="62">
        <v>5</v>
      </c>
      <c r="BA9" s="72">
        <f t="shared" si="7"/>
        <v>4.666666666666667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3</v>
      </c>
      <c r="M10" s="62">
        <v>4</v>
      </c>
      <c r="N10" s="62">
        <v>3</v>
      </c>
      <c r="O10" s="62">
        <v>4</v>
      </c>
      <c r="P10" s="62">
        <v>3</v>
      </c>
      <c r="Q10" s="72">
        <f t="shared" si="1"/>
        <v>3.4</v>
      </c>
      <c r="R10" s="62">
        <v>3</v>
      </c>
      <c r="S10" s="62">
        <v>3</v>
      </c>
      <c r="T10" s="7"/>
      <c r="U10" s="62">
        <v>3</v>
      </c>
      <c r="V10" s="7"/>
      <c r="W10" s="72">
        <f t="shared" si="2"/>
        <v>3</v>
      </c>
      <c r="X10" s="62">
        <v>4</v>
      </c>
      <c r="Y10" s="62">
        <v>4</v>
      </c>
      <c r="Z10" s="7"/>
      <c r="AA10" s="7"/>
      <c r="AB10" s="7"/>
      <c r="AC10" s="72">
        <f t="shared" si="3"/>
        <v>4</v>
      </c>
      <c r="AD10" s="62">
        <v>5</v>
      </c>
      <c r="AE10" s="7"/>
      <c r="AF10" s="62">
        <v>5</v>
      </c>
      <c r="AG10" s="7"/>
      <c r="AH10" s="7"/>
      <c r="AI10" s="72">
        <f t="shared" si="4"/>
        <v>5</v>
      </c>
      <c r="AJ10" s="7"/>
      <c r="AK10" s="7"/>
      <c r="AL10" s="7"/>
      <c r="AM10" s="7"/>
      <c r="AN10" s="7"/>
      <c r="AO10" s="72" t="str">
        <f t="shared" si="5"/>
        <v>A</v>
      </c>
      <c r="AP10" s="62">
        <v>4</v>
      </c>
      <c r="AQ10" s="62">
        <v>5</v>
      </c>
      <c r="AR10" s="62">
        <v>5</v>
      </c>
      <c r="AS10" s="7"/>
      <c r="AT10" s="7"/>
      <c r="AU10" s="72">
        <f t="shared" si="6"/>
        <v>4.666666666666667</v>
      </c>
      <c r="AV10" s="7"/>
      <c r="AW10" s="7"/>
      <c r="AX10" s="62">
        <v>5</v>
      </c>
      <c r="AY10" s="62">
        <v>5</v>
      </c>
      <c r="AZ10" s="62">
        <v>5</v>
      </c>
      <c r="BA10" s="72">
        <f t="shared" si="7"/>
        <v>5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3</v>
      </c>
      <c r="M11" s="62">
        <v>4</v>
      </c>
      <c r="N11" s="62">
        <v>3</v>
      </c>
      <c r="O11" s="62">
        <v>4</v>
      </c>
      <c r="P11" s="62">
        <v>3</v>
      </c>
      <c r="Q11" s="72">
        <f t="shared" si="1"/>
        <v>3.4</v>
      </c>
      <c r="R11" s="62">
        <v>4</v>
      </c>
      <c r="S11" s="62">
        <v>5</v>
      </c>
      <c r="T11" s="62"/>
      <c r="U11" s="62">
        <v>4</v>
      </c>
      <c r="V11" s="62"/>
      <c r="W11" s="72">
        <f t="shared" si="2"/>
        <v>4.333333333333333</v>
      </c>
      <c r="X11" s="62">
        <v>4</v>
      </c>
      <c r="Y11" s="62">
        <v>4</v>
      </c>
      <c r="Z11" s="62"/>
      <c r="AA11" s="62"/>
      <c r="AB11" s="62"/>
      <c r="AC11" s="72">
        <f t="shared" si="3"/>
        <v>4</v>
      </c>
      <c r="AD11" s="62">
        <v>5</v>
      </c>
      <c r="AE11" s="62"/>
      <c r="AF11" s="62">
        <v>0</v>
      </c>
      <c r="AG11" s="62"/>
      <c r="AH11" s="62"/>
      <c r="AI11" s="72">
        <f t="shared" si="4"/>
        <v>2.5</v>
      </c>
      <c r="AJ11" s="62"/>
      <c r="AK11" s="62"/>
      <c r="AL11" s="62"/>
      <c r="AM11" s="62"/>
      <c r="AN11" s="62"/>
      <c r="AO11" s="72" t="str">
        <f t="shared" si="5"/>
        <v>A</v>
      </c>
      <c r="AP11" s="62">
        <v>5</v>
      </c>
      <c r="AQ11" s="62">
        <v>5</v>
      </c>
      <c r="AR11" s="62">
        <v>5</v>
      </c>
      <c r="AS11" s="62"/>
      <c r="AT11" s="62"/>
      <c r="AU11" s="72">
        <f t="shared" si="6"/>
        <v>5</v>
      </c>
      <c r="AV11" s="62"/>
      <c r="AW11" s="62"/>
      <c r="AX11" s="62">
        <v>5</v>
      </c>
      <c r="AY11" s="62">
        <v>5</v>
      </c>
      <c r="AZ11" s="62">
        <v>5</v>
      </c>
      <c r="BA11" s="72">
        <f t="shared" si="7"/>
        <v>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4</v>
      </c>
      <c r="M12" s="62">
        <v>4</v>
      </c>
      <c r="N12" s="62">
        <v>4</v>
      </c>
      <c r="O12" s="62">
        <v>3</v>
      </c>
      <c r="P12" s="62">
        <v>4</v>
      </c>
      <c r="Q12" s="72">
        <f t="shared" si="1"/>
        <v>3.8</v>
      </c>
      <c r="R12" s="62">
        <v>2</v>
      </c>
      <c r="S12" s="62">
        <v>2</v>
      </c>
      <c r="T12" s="7"/>
      <c r="U12" s="62">
        <v>2</v>
      </c>
      <c r="V12" s="7"/>
      <c r="W12" s="72">
        <f t="shared" si="2"/>
        <v>2</v>
      </c>
      <c r="X12" s="62">
        <v>2</v>
      </c>
      <c r="Y12" s="62">
        <v>2</v>
      </c>
      <c r="Z12" s="7"/>
      <c r="AA12" s="7"/>
      <c r="AB12" s="7"/>
      <c r="AC12" s="72">
        <f t="shared" si="3"/>
        <v>2</v>
      </c>
      <c r="AD12" s="62">
        <v>1</v>
      </c>
      <c r="AE12" s="7"/>
      <c r="AF12" s="62">
        <v>0</v>
      </c>
      <c r="AG12" s="7"/>
      <c r="AH12" s="7"/>
      <c r="AI12" s="72">
        <f t="shared" si="4"/>
        <v>0.5</v>
      </c>
      <c r="AJ12" s="7"/>
      <c r="AK12" s="7"/>
      <c r="AL12" s="7"/>
      <c r="AM12" s="7"/>
      <c r="AN12" s="7"/>
      <c r="AO12" s="72" t="str">
        <f t="shared" si="5"/>
        <v>A</v>
      </c>
      <c r="AP12" s="62">
        <v>1</v>
      </c>
      <c r="AQ12" s="62">
        <v>2</v>
      </c>
      <c r="AR12" s="62">
        <v>2</v>
      </c>
      <c r="AS12" s="7"/>
      <c r="AT12" s="7"/>
      <c r="AU12" s="72">
        <f t="shared" si="6"/>
        <v>1.6666666666666667</v>
      </c>
      <c r="AV12" s="7"/>
      <c r="AW12" s="7"/>
      <c r="AX12" s="62">
        <v>1</v>
      </c>
      <c r="AY12" s="62">
        <v>2</v>
      </c>
      <c r="AZ12" s="62">
        <v>2</v>
      </c>
      <c r="BA12" s="72">
        <f t="shared" si="7"/>
        <v>1.6666666666666667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3</v>
      </c>
      <c r="M13" s="62">
        <v>4</v>
      </c>
      <c r="N13" s="62">
        <v>3</v>
      </c>
      <c r="O13" s="62">
        <v>4</v>
      </c>
      <c r="P13" s="62">
        <v>3</v>
      </c>
      <c r="Q13" s="72">
        <f t="shared" si="1"/>
        <v>3.4</v>
      </c>
      <c r="R13" s="62">
        <v>3</v>
      </c>
      <c r="S13" s="62">
        <v>3</v>
      </c>
      <c r="T13" s="62"/>
      <c r="U13" s="62">
        <v>3</v>
      </c>
      <c r="V13" s="62"/>
      <c r="W13" s="72">
        <f t="shared" si="2"/>
        <v>3</v>
      </c>
      <c r="X13" s="62">
        <v>4</v>
      </c>
      <c r="Y13" s="62">
        <v>4</v>
      </c>
      <c r="Z13" s="62"/>
      <c r="AA13" s="62"/>
      <c r="AB13" s="62"/>
      <c r="AC13" s="72">
        <f t="shared" si="3"/>
        <v>4</v>
      </c>
      <c r="AD13" s="62">
        <v>5</v>
      </c>
      <c r="AE13" s="62"/>
      <c r="AF13" s="62">
        <v>5</v>
      </c>
      <c r="AG13" s="62"/>
      <c r="AH13" s="62"/>
      <c r="AI13" s="72">
        <f t="shared" si="4"/>
        <v>5</v>
      </c>
      <c r="AJ13" s="62"/>
      <c r="AK13" s="62"/>
      <c r="AL13" s="62"/>
      <c r="AM13" s="62"/>
      <c r="AN13" s="62"/>
      <c r="AO13" s="72" t="str">
        <f t="shared" si="5"/>
        <v>A</v>
      </c>
      <c r="AP13" s="62">
        <v>4</v>
      </c>
      <c r="AQ13" s="62">
        <v>5</v>
      </c>
      <c r="AR13" s="62">
        <v>5</v>
      </c>
      <c r="AS13" s="62"/>
      <c r="AT13" s="62"/>
      <c r="AU13" s="72">
        <f t="shared" si="6"/>
        <v>4.666666666666667</v>
      </c>
      <c r="AV13" s="62"/>
      <c r="AW13" s="62"/>
      <c r="AX13" s="62">
        <v>5</v>
      </c>
      <c r="AY13" s="62">
        <v>5</v>
      </c>
      <c r="AZ13" s="62">
        <v>5</v>
      </c>
      <c r="BA13" s="72">
        <f t="shared" si="7"/>
        <v>5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3</v>
      </c>
      <c r="M14" s="62">
        <v>3</v>
      </c>
      <c r="N14" s="62">
        <v>3</v>
      </c>
      <c r="O14" s="62">
        <v>3</v>
      </c>
      <c r="P14" s="62">
        <v>4</v>
      </c>
      <c r="Q14" s="72">
        <f t="shared" si="1"/>
        <v>3.2</v>
      </c>
      <c r="R14" s="62">
        <v>2</v>
      </c>
      <c r="S14" s="62">
        <v>3</v>
      </c>
      <c r="T14" s="7"/>
      <c r="U14" s="62">
        <v>2</v>
      </c>
      <c r="V14" s="7"/>
      <c r="W14" s="72">
        <f t="shared" si="2"/>
        <v>2.3333333333333335</v>
      </c>
      <c r="X14" s="62">
        <v>3</v>
      </c>
      <c r="Y14" s="62">
        <v>2</v>
      </c>
      <c r="Z14" s="7"/>
      <c r="AA14" s="7"/>
      <c r="AB14" s="7"/>
      <c r="AC14" s="72">
        <f t="shared" si="3"/>
        <v>2.5</v>
      </c>
      <c r="AD14" s="62">
        <v>1</v>
      </c>
      <c r="AE14" s="7"/>
      <c r="AF14" s="62">
        <v>1</v>
      </c>
      <c r="AG14" s="7"/>
      <c r="AH14" s="7"/>
      <c r="AI14" s="72">
        <f t="shared" si="4"/>
        <v>1</v>
      </c>
      <c r="AJ14" s="7"/>
      <c r="AK14" s="7"/>
      <c r="AL14" s="7"/>
      <c r="AM14" s="7"/>
      <c r="AN14" s="7"/>
      <c r="AO14" s="72" t="str">
        <f t="shared" si="5"/>
        <v>A</v>
      </c>
      <c r="AP14" s="62">
        <v>3</v>
      </c>
      <c r="AQ14" s="62">
        <v>3</v>
      </c>
      <c r="AR14" s="62">
        <v>3</v>
      </c>
      <c r="AS14" s="7"/>
      <c r="AT14" s="7"/>
      <c r="AU14" s="72">
        <f t="shared" si="6"/>
        <v>3</v>
      </c>
      <c r="AV14" s="7"/>
      <c r="AW14" s="7"/>
      <c r="AX14" s="62">
        <v>1</v>
      </c>
      <c r="AY14" s="62">
        <v>3</v>
      </c>
      <c r="AZ14" s="62">
        <v>4</v>
      </c>
      <c r="BA14" s="72">
        <f t="shared" si="7"/>
        <v>2.6666666666666665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2</v>
      </c>
      <c r="M15" s="62">
        <v>3</v>
      </c>
      <c r="N15" s="62">
        <v>2</v>
      </c>
      <c r="O15" s="62">
        <v>3</v>
      </c>
      <c r="P15" s="62">
        <v>2</v>
      </c>
      <c r="Q15" s="72">
        <f t="shared" si="1"/>
        <v>2.4</v>
      </c>
      <c r="R15" s="62">
        <v>3</v>
      </c>
      <c r="S15" s="62">
        <v>3</v>
      </c>
      <c r="T15" s="62"/>
      <c r="U15" s="62">
        <v>3</v>
      </c>
      <c r="V15" s="62"/>
      <c r="W15" s="72">
        <f t="shared" si="2"/>
        <v>3</v>
      </c>
      <c r="X15" s="62">
        <v>1</v>
      </c>
      <c r="Y15" s="62">
        <v>3</v>
      </c>
      <c r="Z15" s="62"/>
      <c r="AA15" s="62"/>
      <c r="AB15" s="62"/>
      <c r="AC15" s="72">
        <f t="shared" si="3"/>
        <v>2</v>
      </c>
      <c r="AD15" s="62">
        <v>5</v>
      </c>
      <c r="AE15" s="62"/>
      <c r="AF15" s="62">
        <v>0</v>
      </c>
      <c r="AG15" s="62"/>
      <c r="AH15" s="62"/>
      <c r="AI15" s="72">
        <f t="shared" si="4"/>
        <v>2.5</v>
      </c>
      <c r="AJ15" s="62"/>
      <c r="AK15" s="62"/>
      <c r="AL15" s="62"/>
      <c r="AM15" s="62"/>
      <c r="AN15" s="62"/>
      <c r="AO15" s="72" t="str">
        <f t="shared" si="5"/>
        <v>A</v>
      </c>
      <c r="AP15" s="62">
        <v>5</v>
      </c>
      <c r="AQ15" s="62">
        <v>2</v>
      </c>
      <c r="AR15" s="62">
        <v>1</v>
      </c>
      <c r="AS15" s="62"/>
      <c r="AT15" s="62"/>
      <c r="AU15" s="72">
        <f t="shared" si="6"/>
        <v>2.6666666666666665</v>
      </c>
      <c r="AV15" s="62"/>
      <c r="AW15" s="62"/>
      <c r="AX15" s="62">
        <v>2</v>
      </c>
      <c r="AY15" s="62">
        <v>5</v>
      </c>
      <c r="AZ15" s="62">
        <v>5</v>
      </c>
      <c r="BA15" s="72">
        <f t="shared" si="7"/>
        <v>4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3</v>
      </c>
      <c r="M16" s="62">
        <v>4</v>
      </c>
      <c r="N16" s="62">
        <v>4</v>
      </c>
      <c r="O16" s="62">
        <v>3</v>
      </c>
      <c r="P16" s="62">
        <v>4</v>
      </c>
      <c r="Q16" s="72">
        <f t="shared" si="1"/>
        <v>3.6</v>
      </c>
      <c r="R16" s="62">
        <v>4</v>
      </c>
      <c r="S16" s="62">
        <v>3</v>
      </c>
      <c r="T16" s="7"/>
      <c r="U16" s="62">
        <v>2</v>
      </c>
      <c r="V16" s="7"/>
      <c r="W16" s="72">
        <f t="shared" si="2"/>
        <v>3</v>
      </c>
      <c r="X16" s="62">
        <v>2</v>
      </c>
      <c r="Y16" s="62">
        <v>1</v>
      </c>
      <c r="Z16" s="7"/>
      <c r="AA16" s="7"/>
      <c r="AB16" s="7"/>
      <c r="AC16" s="72">
        <f t="shared" si="3"/>
        <v>1.5</v>
      </c>
      <c r="AD16" s="62">
        <v>1</v>
      </c>
      <c r="AE16" s="7"/>
      <c r="AF16" s="62">
        <v>1</v>
      </c>
      <c r="AG16" s="7"/>
      <c r="AH16" s="7"/>
      <c r="AI16" s="72">
        <f t="shared" si="4"/>
        <v>1</v>
      </c>
      <c r="AJ16" s="7"/>
      <c r="AK16" s="7"/>
      <c r="AL16" s="7"/>
      <c r="AM16" s="7"/>
      <c r="AN16" s="7"/>
      <c r="AO16" s="72" t="str">
        <f t="shared" si="5"/>
        <v>A</v>
      </c>
      <c r="AP16" s="62">
        <v>3</v>
      </c>
      <c r="AQ16" s="62">
        <v>2</v>
      </c>
      <c r="AR16" s="62">
        <v>2</v>
      </c>
      <c r="AS16" s="7"/>
      <c r="AT16" s="7"/>
      <c r="AU16" s="72">
        <f t="shared" si="6"/>
        <v>2.3333333333333335</v>
      </c>
      <c r="AV16" s="7"/>
      <c r="AW16" s="7"/>
      <c r="AX16" s="62">
        <v>1</v>
      </c>
      <c r="AY16" s="62">
        <v>1</v>
      </c>
      <c r="AZ16" s="62">
        <v>1</v>
      </c>
      <c r="BA16" s="72">
        <f t="shared" si="7"/>
        <v>1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3</v>
      </c>
      <c r="M17" s="62">
        <v>3</v>
      </c>
      <c r="N17" s="62">
        <v>3</v>
      </c>
      <c r="O17" s="62">
        <v>3</v>
      </c>
      <c r="P17" s="62">
        <v>4</v>
      </c>
      <c r="Q17" s="72">
        <f t="shared" si="1"/>
        <v>3.2</v>
      </c>
      <c r="R17" s="62">
        <v>2</v>
      </c>
      <c r="S17" s="62">
        <v>3</v>
      </c>
      <c r="T17" s="62"/>
      <c r="U17" s="62">
        <v>2</v>
      </c>
      <c r="V17" s="62"/>
      <c r="W17" s="72">
        <f t="shared" si="2"/>
        <v>2.3333333333333335</v>
      </c>
      <c r="X17" s="62">
        <v>3</v>
      </c>
      <c r="Y17" s="62">
        <v>2</v>
      </c>
      <c r="Z17" s="62"/>
      <c r="AA17" s="62"/>
      <c r="AB17" s="62"/>
      <c r="AC17" s="72">
        <f t="shared" si="3"/>
        <v>2.5</v>
      </c>
      <c r="AD17" s="62">
        <v>1</v>
      </c>
      <c r="AE17" s="62"/>
      <c r="AF17" s="62">
        <v>1</v>
      </c>
      <c r="AG17" s="62"/>
      <c r="AH17" s="62"/>
      <c r="AI17" s="72">
        <f t="shared" si="4"/>
        <v>1</v>
      </c>
      <c r="AJ17" s="62"/>
      <c r="AK17" s="62"/>
      <c r="AL17" s="62"/>
      <c r="AM17" s="62"/>
      <c r="AN17" s="62"/>
      <c r="AO17" s="72" t="str">
        <f t="shared" si="5"/>
        <v>A</v>
      </c>
      <c r="AP17" s="62">
        <v>3</v>
      </c>
      <c r="AQ17" s="62">
        <v>3</v>
      </c>
      <c r="AR17" s="62">
        <v>3</v>
      </c>
      <c r="AS17" s="62"/>
      <c r="AT17" s="62"/>
      <c r="AU17" s="72">
        <f t="shared" si="6"/>
        <v>3</v>
      </c>
      <c r="AV17" s="62"/>
      <c r="AW17" s="62"/>
      <c r="AX17" s="62">
        <v>1</v>
      </c>
      <c r="AY17" s="62">
        <v>3</v>
      </c>
      <c r="AZ17" s="62">
        <v>4</v>
      </c>
      <c r="BA17" s="72">
        <f t="shared" si="7"/>
        <v>2.6666666666666665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3</v>
      </c>
      <c r="M18" s="62">
        <v>3</v>
      </c>
      <c r="N18" s="62">
        <v>1</v>
      </c>
      <c r="O18" s="62">
        <v>3</v>
      </c>
      <c r="P18" s="62">
        <v>2</v>
      </c>
      <c r="Q18" s="72">
        <f t="shared" si="1"/>
        <v>2.4</v>
      </c>
      <c r="R18" s="62">
        <v>3</v>
      </c>
      <c r="S18" s="62">
        <v>3</v>
      </c>
      <c r="T18" s="7"/>
      <c r="U18" s="62">
        <v>3</v>
      </c>
      <c r="V18" s="7"/>
      <c r="W18" s="72">
        <f t="shared" si="2"/>
        <v>3</v>
      </c>
      <c r="X18" s="62">
        <v>2</v>
      </c>
      <c r="Y18" s="62">
        <v>2</v>
      </c>
      <c r="Z18" s="7"/>
      <c r="AA18" s="7"/>
      <c r="AB18" s="7"/>
      <c r="AC18" s="72">
        <f t="shared" si="3"/>
        <v>2</v>
      </c>
      <c r="AD18" s="62">
        <v>2</v>
      </c>
      <c r="AE18" s="7"/>
      <c r="AF18" s="62">
        <v>0</v>
      </c>
      <c r="AG18" s="7"/>
      <c r="AH18" s="7"/>
      <c r="AI18" s="72">
        <f t="shared" si="4"/>
        <v>1</v>
      </c>
      <c r="AJ18" s="7"/>
      <c r="AK18" s="7"/>
      <c r="AL18" s="7"/>
      <c r="AM18" s="7"/>
      <c r="AN18" s="7"/>
      <c r="AO18" s="72" t="str">
        <f t="shared" si="5"/>
        <v>A</v>
      </c>
      <c r="AP18" s="62">
        <v>2</v>
      </c>
      <c r="AQ18" s="62">
        <v>3</v>
      </c>
      <c r="AR18" s="62">
        <v>3</v>
      </c>
      <c r="AS18" s="7"/>
      <c r="AT18" s="7"/>
      <c r="AU18" s="72">
        <f t="shared" si="6"/>
        <v>2.6666666666666665</v>
      </c>
      <c r="AV18" s="7"/>
      <c r="AW18" s="7"/>
      <c r="AX18" s="62">
        <v>3</v>
      </c>
      <c r="AY18" s="62">
        <v>1</v>
      </c>
      <c r="AZ18" s="62">
        <v>1</v>
      </c>
      <c r="BA18" s="72">
        <f t="shared" si="7"/>
        <v>1.6666666666666667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3</v>
      </c>
      <c r="M19" s="62">
        <v>4</v>
      </c>
      <c r="N19" s="62">
        <v>4</v>
      </c>
      <c r="O19" s="62">
        <v>3</v>
      </c>
      <c r="P19" s="62">
        <v>4</v>
      </c>
      <c r="Q19" s="72">
        <f t="shared" si="1"/>
        <v>3.6</v>
      </c>
      <c r="R19" s="62">
        <v>4</v>
      </c>
      <c r="S19" s="62">
        <v>3</v>
      </c>
      <c r="T19" s="62"/>
      <c r="U19" s="62">
        <v>2</v>
      </c>
      <c r="V19" s="62"/>
      <c r="W19" s="72">
        <f t="shared" si="2"/>
        <v>3</v>
      </c>
      <c r="X19" s="62">
        <v>2</v>
      </c>
      <c r="Y19" s="62">
        <v>1</v>
      </c>
      <c r="Z19" s="62"/>
      <c r="AA19" s="62"/>
      <c r="AB19" s="62"/>
      <c r="AC19" s="72">
        <f t="shared" si="3"/>
        <v>1.5</v>
      </c>
      <c r="AD19" s="62">
        <v>1</v>
      </c>
      <c r="AE19" s="62"/>
      <c r="AF19" s="62">
        <v>1</v>
      </c>
      <c r="AG19" s="62"/>
      <c r="AH19" s="62"/>
      <c r="AI19" s="72">
        <f t="shared" si="4"/>
        <v>1</v>
      </c>
      <c r="AJ19" s="62"/>
      <c r="AK19" s="62"/>
      <c r="AL19" s="62"/>
      <c r="AM19" s="62"/>
      <c r="AN19" s="62"/>
      <c r="AO19" s="72" t="str">
        <f t="shared" si="5"/>
        <v>A</v>
      </c>
      <c r="AP19" s="62">
        <v>3</v>
      </c>
      <c r="AQ19" s="62">
        <v>2</v>
      </c>
      <c r="AR19" s="62">
        <v>2</v>
      </c>
      <c r="AS19" s="62"/>
      <c r="AT19" s="62"/>
      <c r="AU19" s="72">
        <f t="shared" si="6"/>
        <v>2.3333333333333335</v>
      </c>
      <c r="AV19" s="62"/>
      <c r="AW19" s="62"/>
      <c r="AX19" s="62">
        <v>1</v>
      </c>
      <c r="AY19" s="62">
        <v>1</v>
      </c>
      <c r="AZ19" s="62">
        <v>1</v>
      </c>
      <c r="BA19" s="72">
        <f t="shared" si="7"/>
        <v>1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>
        <v>4</v>
      </c>
      <c r="N20" s="62">
        <v>3</v>
      </c>
      <c r="O20" s="62">
        <v>3</v>
      </c>
      <c r="P20" s="62">
        <v>3</v>
      </c>
      <c r="Q20" s="72">
        <f t="shared" si="1"/>
        <v>3.2</v>
      </c>
      <c r="R20" s="62">
        <v>4</v>
      </c>
      <c r="S20" s="62">
        <v>4</v>
      </c>
      <c r="T20" s="7"/>
      <c r="U20" s="62">
        <v>4</v>
      </c>
      <c r="V20" s="7"/>
      <c r="W20" s="72">
        <f t="shared" si="2"/>
        <v>4</v>
      </c>
      <c r="X20" s="62">
        <v>2</v>
      </c>
      <c r="Y20" s="62">
        <v>2</v>
      </c>
      <c r="Z20" s="7"/>
      <c r="AA20" s="7"/>
      <c r="AB20" s="7"/>
      <c r="AC20" s="72">
        <f t="shared" si="3"/>
        <v>2</v>
      </c>
      <c r="AD20" s="62">
        <v>3</v>
      </c>
      <c r="AE20" s="7"/>
      <c r="AF20" s="62">
        <v>0</v>
      </c>
      <c r="AG20" s="7"/>
      <c r="AH20" s="7"/>
      <c r="AI20" s="72">
        <f t="shared" si="4"/>
        <v>1.5</v>
      </c>
      <c r="AJ20" s="7"/>
      <c r="AK20" s="7"/>
      <c r="AL20" s="7"/>
      <c r="AM20" s="7"/>
      <c r="AN20" s="7"/>
      <c r="AO20" s="72" t="str">
        <f t="shared" si="5"/>
        <v>A</v>
      </c>
      <c r="AP20" s="62">
        <v>1</v>
      </c>
      <c r="AQ20" s="62">
        <v>4</v>
      </c>
      <c r="AR20" s="62">
        <v>4</v>
      </c>
      <c r="AS20" s="7"/>
      <c r="AT20" s="7"/>
      <c r="AU20" s="72">
        <f t="shared" si="6"/>
        <v>3</v>
      </c>
      <c r="AV20" s="7"/>
      <c r="AW20" s="7"/>
      <c r="AX20" s="62">
        <v>4</v>
      </c>
      <c r="AY20" s="62">
        <v>1</v>
      </c>
      <c r="AZ20" s="62">
        <v>1</v>
      </c>
      <c r="BA20" s="72">
        <f t="shared" si="7"/>
        <v>2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4</v>
      </c>
      <c r="M21" s="62">
        <v>4</v>
      </c>
      <c r="N21" s="62">
        <v>4</v>
      </c>
      <c r="O21" s="62">
        <v>4</v>
      </c>
      <c r="P21" s="62">
        <v>4</v>
      </c>
      <c r="Q21" s="72">
        <f t="shared" si="1"/>
        <v>4</v>
      </c>
      <c r="R21" s="62">
        <v>4</v>
      </c>
      <c r="S21" s="62">
        <v>4</v>
      </c>
      <c r="T21" s="62"/>
      <c r="U21" s="62">
        <v>4</v>
      </c>
      <c r="V21" s="62"/>
      <c r="W21" s="72">
        <f t="shared" si="2"/>
        <v>4</v>
      </c>
      <c r="X21" s="62">
        <v>3</v>
      </c>
      <c r="Y21" s="62">
        <v>2</v>
      </c>
      <c r="Z21" s="62"/>
      <c r="AA21" s="62"/>
      <c r="AB21" s="62"/>
      <c r="AC21" s="72">
        <f t="shared" si="3"/>
        <v>2.5</v>
      </c>
      <c r="AD21" s="62">
        <v>1</v>
      </c>
      <c r="AE21" s="62"/>
      <c r="AF21" s="62">
        <v>0</v>
      </c>
      <c r="AG21" s="62"/>
      <c r="AH21" s="62"/>
      <c r="AI21" s="72">
        <f t="shared" si="4"/>
        <v>0.5</v>
      </c>
      <c r="AJ21" s="62"/>
      <c r="AK21" s="62"/>
      <c r="AL21" s="62"/>
      <c r="AM21" s="62"/>
      <c r="AN21" s="62"/>
      <c r="AO21" s="72" t="str">
        <f t="shared" si="5"/>
        <v>A</v>
      </c>
      <c r="AP21" s="62">
        <v>1</v>
      </c>
      <c r="AQ21" s="62">
        <v>4</v>
      </c>
      <c r="AR21" s="62">
        <v>4</v>
      </c>
      <c r="AS21" s="62"/>
      <c r="AT21" s="62"/>
      <c r="AU21" s="72">
        <f t="shared" si="6"/>
        <v>3</v>
      </c>
      <c r="AV21" s="62"/>
      <c r="AW21" s="62"/>
      <c r="AX21" s="62">
        <v>3</v>
      </c>
      <c r="AY21" s="62">
        <v>1</v>
      </c>
      <c r="AZ21" s="62">
        <v>1</v>
      </c>
      <c r="BA21" s="72">
        <f t="shared" si="7"/>
        <v>1.6666666666666667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2</v>
      </c>
      <c r="M22" s="62">
        <v>2</v>
      </c>
      <c r="N22" s="62">
        <v>2</v>
      </c>
      <c r="O22" s="62">
        <v>3</v>
      </c>
      <c r="P22" s="62">
        <v>1</v>
      </c>
      <c r="Q22" s="72">
        <f t="shared" si="1"/>
        <v>2</v>
      </c>
      <c r="R22" s="62">
        <v>3</v>
      </c>
      <c r="S22" s="62">
        <v>3</v>
      </c>
      <c r="T22" s="7"/>
      <c r="U22" s="62">
        <v>3</v>
      </c>
      <c r="V22" s="7"/>
      <c r="W22" s="72">
        <f t="shared" si="2"/>
        <v>3</v>
      </c>
      <c r="X22" s="62">
        <v>2</v>
      </c>
      <c r="Y22" s="62">
        <v>3</v>
      </c>
      <c r="Z22" s="7"/>
      <c r="AA22" s="7"/>
      <c r="AB22" s="7"/>
      <c r="AC22" s="72">
        <f t="shared" si="3"/>
        <v>2.5</v>
      </c>
      <c r="AD22" s="62">
        <v>3</v>
      </c>
      <c r="AE22" s="7"/>
      <c r="AF22" s="62">
        <v>3</v>
      </c>
      <c r="AG22" s="7"/>
      <c r="AH22" s="7"/>
      <c r="AI22" s="72">
        <f t="shared" si="4"/>
        <v>3</v>
      </c>
      <c r="AJ22" s="7"/>
      <c r="AK22" s="7"/>
      <c r="AL22" s="7"/>
      <c r="AM22" s="7"/>
      <c r="AN22" s="7"/>
      <c r="AO22" s="72" t="str">
        <f t="shared" si="5"/>
        <v>A</v>
      </c>
      <c r="AP22" s="62">
        <v>4</v>
      </c>
      <c r="AQ22" s="62">
        <v>4</v>
      </c>
      <c r="AR22" s="62">
        <v>4</v>
      </c>
      <c r="AS22" s="7"/>
      <c r="AT22" s="7"/>
      <c r="AU22" s="72">
        <f t="shared" si="6"/>
        <v>4</v>
      </c>
      <c r="AV22" s="7"/>
      <c r="AW22" s="7"/>
      <c r="AX22" s="62">
        <v>3</v>
      </c>
      <c r="AY22" s="62">
        <v>3</v>
      </c>
      <c r="AZ22" s="62">
        <v>4</v>
      </c>
      <c r="BA22" s="72">
        <f t="shared" si="7"/>
        <v>3.3333333333333335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2</v>
      </c>
      <c r="M23" s="62">
        <v>4</v>
      </c>
      <c r="N23" s="62">
        <v>2</v>
      </c>
      <c r="O23" s="62">
        <v>4</v>
      </c>
      <c r="P23" s="62">
        <v>3</v>
      </c>
      <c r="Q23" s="72">
        <f t="shared" si="1"/>
        <v>3</v>
      </c>
      <c r="R23" s="62">
        <v>3</v>
      </c>
      <c r="S23" s="62">
        <v>2</v>
      </c>
      <c r="T23" s="62"/>
      <c r="U23" s="62">
        <v>2</v>
      </c>
      <c r="V23" s="62"/>
      <c r="W23" s="72">
        <f t="shared" si="2"/>
        <v>2.3333333333333335</v>
      </c>
      <c r="X23" s="62">
        <v>2</v>
      </c>
      <c r="Y23" s="62">
        <v>3</v>
      </c>
      <c r="Z23" s="62"/>
      <c r="AA23" s="62"/>
      <c r="AB23" s="62"/>
      <c r="AC23" s="72">
        <f t="shared" si="3"/>
        <v>2.5</v>
      </c>
      <c r="AD23" s="62">
        <v>5</v>
      </c>
      <c r="AE23" s="62"/>
      <c r="AF23" s="62">
        <v>5</v>
      </c>
      <c r="AG23" s="62"/>
      <c r="AH23" s="62"/>
      <c r="AI23" s="72">
        <f t="shared" si="4"/>
        <v>5</v>
      </c>
      <c r="AJ23" s="62"/>
      <c r="AK23" s="62"/>
      <c r="AL23" s="62"/>
      <c r="AM23" s="62"/>
      <c r="AN23" s="62"/>
      <c r="AO23" s="72" t="str">
        <f t="shared" si="5"/>
        <v>A</v>
      </c>
      <c r="AP23" s="62">
        <v>3</v>
      </c>
      <c r="AQ23" s="62">
        <v>5</v>
      </c>
      <c r="AR23" s="62">
        <v>5</v>
      </c>
      <c r="AS23" s="62"/>
      <c r="AT23" s="62"/>
      <c r="AU23" s="72">
        <f t="shared" si="6"/>
        <v>4.333333333333333</v>
      </c>
      <c r="AV23" s="62"/>
      <c r="AW23" s="62"/>
      <c r="AX23" s="62">
        <v>5</v>
      </c>
      <c r="AY23" s="62">
        <v>5</v>
      </c>
      <c r="AZ23" s="62">
        <v>5</v>
      </c>
      <c r="BA23" s="72">
        <f t="shared" si="7"/>
        <v>5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3</v>
      </c>
      <c r="M24" s="62">
        <v>4</v>
      </c>
      <c r="N24" s="62">
        <v>3</v>
      </c>
      <c r="O24" s="62">
        <v>3</v>
      </c>
      <c r="P24" s="62">
        <v>3</v>
      </c>
      <c r="Q24" s="72">
        <f t="shared" si="1"/>
        <v>3.2</v>
      </c>
      <c r="R24" s="62">
        <v>3</v>
      </c>
      <c r="S24" s="62">
        <v>3</v>
      </c>
      <c r="T24" s="7"/>
      <c r="U24" s="62">
        <v>3</v>
      </c>
      <c r="V24" s="7"/>
      <c r="W24" s="72">
        <f t="shared" si="2"/>
        <v>3</v>
      </c>
      <c r="X24" s="62">
        <v>2</v>
      </c>
      <c r="Y24" s="62">
        <v>1</v>
      </c>
      <c r="Z24" s="7"/>
      <c r="AA24" s="7"/>
      <c r="AB24" s="7"/>
      <c r="AC24" s="72">
        <f t="shared" si="3"/>
        <v>1.5</v>
      </c>
      <c r="AD24" s="62">
        <v>3</v>
      </c>
      <c r="AE24" s="7"/>
      <c r="AF24" s="62">
        <v>0</v>
      </c>
      <c r="AG24" s="7"/>
      <c r="AH24" s="7"/>
      <c r="AI24" s="72">
        <f t="shared" si="4"/>
        <v>1.5</v>
      </c>
      <c r="AJ24" s="7"/>
      <c r="AK24" s="7"/>
      <c r="AL24" s="7"/>
      <c r="AM24" s="7"/>
      <c r="AN24" s="7"/>
      <c r="AO24" s="72" t="str">
        <f t="shared" si="5"/>
        <v>A</v>
      </c>
      <c r="AP24" s="62">
        <v>2</v>
      </c>
      <c r="AQ24" s="62">
        <v>2</v>
      </c>
      <c r="AR24" s="62">
        <v>1</v>
      </c>
      <c r="AS24" s="7"/>
      <c r="AT24" s="7"/>
      <c r="AU24" s="72">
        <f t="shared" si="6"/>
        <v>1.6666666666666667</v>
      </c>
      <c r="AV24" s="7"/>
      <c r="AW24" s="7"/>
      <c r="AX24" s="62">
        <v>1</v>
      </c>
      <c r="AY24" s="62">
        <v>2</v>
      </c>
      <c r="AZ24" s="62">
        <v>2</v>
      </c>
      <c r="BA24" s="72">
        <f t="shared" si="7"/>
        <v>1.6666666666666667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3</v>
      </c>
      <c r="M25" s="62">
        <v>5</v>
      </c>
      <c r="N25" s="62">
        <v>4</v>
      </c>
      <c r="O25" s="62">
        <v>4</v>
      </c>
      <c r="P25" s="62">
        <v>3</v>
      </c>
      <c r="Q25" s="72">
        <f t="shared" si="1"/>
        <v>3.8</v>
      </c>
      <c r="R25" s="62">
        <v>3</v>
      </c>
      <c r="S25" s="62">
        <v>3</v>
      </c>
      <c r="T25" s="62"/>
      <c r="U25" s="62">
        <v>3</v>
      </c>
      <c r="V25" s="62"/>
      <c r="W25" s="72">
        <f t="shared" si="2"/>
        <v>3</v>
      </c>
      <c r="X25" s="62">
        <v>3</v>
      </c>
      <c r="Y25" s="62">
        <v>3</v>
      </c>
      <c r="Z25" s="62"/>
      <c r="AA25" s="62"/>
      <c r="AB25" s="62"/>
      <c r="AC25" s="72">
        <f t="shared" si="3"/>
        <v>3</v>
      </c>
      <c r="AD25" s="62">
        <v>5</v>
      </c>
      <c r="AE25" s="62"/>
      <c r="AF25" s="62">
        <v>5</v>
      </c>
      <c r="AG25" s="62"/>
      <c r="AH25" s="62"/>
      <c r="AI25" s="72">
        <f t="shared" si="4"/>
        <v>5</v>
      </c>
      <c r="AJ25" s="62"/>
      <c r="AK25" s="62"/>
      <c r="AL25" s="62"/>
      <c r="AM25" s="62"/>
      <c r="AN25" s="62"/>
      <c r="AO25" s="72" t="str">
        <f t="shared" si="5"/>
        <v>A</v>
      </c>
      <c r="AP25" s="62">
        <v>4</v>
      </c>
      <c r="AQ25" s="62">
        <v>3</v>
      </c>
      <c r="AR25" s="62">
        <v>4</v>
      </c>
      <c r="AS25" s="62"/>
      <c r="AT25" s="62"/>
      <c r="AU25" s="72">
        <f t="shared" si="6"/>
        <v>3.6666666666666665</v>
      </c>
      <c r="AV25" s="62"/>
      <c r="AW25" s="62"/>
      <c r="AX25" s="62">
        <v>5</v>
      </c>
      <c r="AY25" s="62">
        <v>5</v>
      </c>
      <c r="AZ25" s="62">
        <v>5</v>
      </c>
      <c r="BA25" s="72">
        <f t="shared" si="7"/>
        <v>5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4</v>
      </c>
      <c r="M26" s="62">
        <v>4</v>
      </c>
      <c r="N26" s="62">
        <v>4</v>
      </c>
      <c r="O26" s="62">
        <v>3</v>
      </c>
      <c r="P26" s="62">
        <v>3</v>
      </c>
      <c r="Q26" s="72">
        <f t="shared" si="1"/>
        <v>3.6</v>
      </c>
      <c r="R26" s="62">
        <v>3</v>
      </c>
      <c r="S26" s="62">
        <v>2</v>
      </c>
      <c r="T26" s="7"/>
      <c r="U26" s="62">
        <v>2</v>
      </c>
      <c r="V26" s="7"/>
      <c r="W26" s="72">
        <f t="shared" si="2"/>
        <v>2.3333333333333335</v>
      </c>
      <c r="X26" s="62">
        <v>2</v>
      </c>
      <c r="Y26" s="62">
        <v>2</v>
      </c>
      <c r="Z26" s="7"/>
      <c r="AA26" s="7"/>
      <c r="AB26" s="7"/>
      <c r="AC26" s="72">
        <f t="shared" si="3"/>
        <v>2</v>
      </c>
      <c r="AD26" s="62">
        <v>2</v>
      </c>
      <c r="AE26" s="7"/>
      <c r="AF26" s="62">
        <v>0</v>
      </c>
      <c r="AG26" s="7"/>
      <c r="AH26" s="7"/>
      <c r="AI26" s="72">
        <f t="shared" si="4"/>
        <v>1</v>
      </c>
      <c r="AJ26" s="7"/>
      <c r="AK26" s="7"/>
      <c r="AL26" s="7"/>
      <c r="AM26" s="7"/>
      <c r="AN26" s="7"/>
      <c r="AO26" s="72" t="str">
        <f t="shared" si="5"/>
        <v>A</v>
      </c>
      <c r="AP26" s="62">
        <v>2</v>
      </c>
      <c r="AQ26" s="62">
        <v>2</v>
      </c>
      <c r="AR26" s="62">
        <v>2</v>
      </c>
      <c r="AS26" s="7"/>
      <c r="AT26" s="7"/>
      <c r="AU26" s="72">
        <f t="shared" si="6"/>
        <v>2</v>
      </c>
      <c r="AV26" s="7"/>
      <c r="AW26" s="7"/>
      <c r="AX26" s="62">
        <v>2</v>
      </c>
      <c r="AY26" s="62">
        <v>2</v>
      </c>
      <c r="AZ26" s="62">
        <v>2</v>
      </c>
      <c r="BA26" s="72">
        <f t="shared" si="7"/>
        <v>2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>
        <v>4</v>
      </c>
      <c r="N27" s="62">
        <v>3</v>
      </c>
      <c r="O27" s="62">
        <v>4</v>
      </c>
      <c r="P27" s="62">
        <v>3</v>
      </c>
      <c r="Q27" s="72">
        <f t="shared" si="1"/>
        <v>3.4</v>
      </c>
      <c r="R27" s="62">
        <v>4</v>
      </c>
      <c r="S27" s="62">
        <v>5</v>
      </c>
      <c r="T27" s="62"/>
      <c r="U27" s="62">
        <v>4</v>
      </c>
      <c r="V27" s="62"/>
      <c r="W27" s="72">
        <f t="shared" si="2"/>
        <v>4.333333333333333</v>
      </c>
      <c r="X27" s="62">
        <v>4</v>
      </c>
      <c r="Y27" s="62">
        <v>4</v>
      </c>
      <c r="Z27" s="62"/>
      <c r="AA27" s="62"/>
      <c r="AB27" s="62"/>
      <c r="AC27" s="72">
        <f t="shared" si="3"/>
        <v>4</v>
      </c>
      <c r="AD27" s="62">
        <v>5</v>
      </c>
      <c r="AE27" s="62"/>
      <c r="AF27" s="62">
        <v>5</v>
      </c>
      <c r="AG27" s="62"/>
      <c r="AH27" s="62"/>
      <c r="AI27" s="72">
        <f t="shared" si="4"/>
        <v>5</v>
      </c>
      <c r="AJ27" s="62"/>
      <c r="AK27" s="62"/>
      <c r="AL27" s="62"/>
      <c r="AM27" s="62"/>
      <c r="AN27" s="62"/>
      <c r="AO27" s="72" t="str">
        <f t="shared" si="5"/>
        <v>A</v>
      </c>
      <c r="AP27" s="62">
        <v>5</v>
      </c>
      <c r="AQ27" s="62">
        <v>5</v>
      </c>
      <c r="AR27" s="62">
        <v>5</v>
      </c>
      <c r="AS27" s="62"/>
      <c r="AT27" s="62"/>
      <c r="AU27" s="72">
        <f t="shared" si="6"/>
        <v>5</v>
      </c>
      <c r="AV27" s="62"/>
      <c r="AW27" s="62"/>
      <c r="AX27" s="62">
        <v>5</v>
      </c>
      <c r="AY27" s="62">
        <v>5</v>
      </c>
      <c r="AZ27" s="62">
        <v>5</v>
      </c>
      <c r="BA27" s="72">
        <f t="shared" si="7"/>
        <v>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2</v>
      </c>
      <c r="M28" s="62">
        <v>2</v>
      </c>
      <c r="N28" s="62">
        <v>2</v>
      </c>
      <c r="O28" s="62">
        <v>3</v>
      </c>
      <c r="P28" s="62">
        <v>1</v>
      </c>
      <c r="Q28" s="72">
        <f t="shared" si="1"/>
        <v>2</v>
      </c>
      <c r="R28" s="62">
        <v>3</v>
      </c>
      <c r="S28" s="62">
        <v>3</v>
      </c>
      <c r="T28" s="7"/>
      <c r="U28" s="62">
        <v>3</v>
      </c>
      <c r="V28" s="7"/>
      <c r="W28" s="72">
        <f t="shared" si="2"/>
        <v>3</v>
      </c>
      <c r="X28" s="62">
        <v>2</v>
      </c>
      <c r="Y28" s="62">
        <v>3</v>
      </c>
      <c r="Z28" s="7"/>
      <c r="AA28" s="7"/>
      <c r="AB28" s="7"/>
      <c r="AC28" s="72">
        <f t="shared" si="3"/>
        <v>2.5</v>
      </c>
      <c r="AD28" s="62">
        <v>3</v>
      </c>
      <c r="AE28" s="7"/>
      <c r="AF28" s="62">
        <v>3</v>
      </c>
      <c r="AG28" s="7"/>
      <c r="AH28" s="7"/>
      <c r="AI28" s="72">
        <f t="shared" si="4"/>
        <v>3</v>
      </c>
      <c r="AJ28" s="7"/>
      <c r="AK28" s="7"/>
      <c r="AL28" s="7"/>
      <c r="AM28" s="7"/>
      <c r="AN28" s="7"/>
      <c r="AO28" s="72" t="str">
        <f t="shared" si="5"/>
        <v>A</v>
      </c>
      <c r="AP28" s="62">
        <v>4</v>
      </c>
      <c r="AQ28" s="62">
        <v>4</v>
      </c>
      <c r="AR28" s="62">
        <v>4</v>
      </c>
      <c r="AS28" s="7"/>
      <c r="AT28" s="7"/>
      <c r="AU28" s="72">
        <f t="shared" si="6"/>
        <v>4</v>
      </c>
      <c r="AV28" s="7"/>
      <c r="AW28" s="7"/>
      <c r="AX28" s="62">
        <v>3</v>
      </c>
      <c r="AY28" s="62">
        <v>3</v>
      </c>
      <c r="AZ28" s="62">
        <v>4</v>
      </c>
      <c r="BA28" s="72">
        <f t="shared" si="7"/>
        <v>3.3333333333333335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4</v>
      </c>
      <c r="M29" s="62">
        <v>4</v>
      </c>
      <c r="N29" s="62">
        <v>4</v>
      </c>
      <c r="O29" s="62">
        <v>3</v>
      </c>
      <c r="P29" s="62">
        <v>4</v>
      </c>
      <c r="Q29" s="72">
        <f t="shared" si="1"/>
        <v>3.8</v>
      </c>
      <c r="R29" s="62">
        <v>2</v>
      </c>
      <c r="S29" s="62">
        <v>2</v>
      </c>
      <c r="T29" s="62"/>
      <c r="U29" s="62">
        <v>2</v>
      </c>
      <c r="V29" s="62"/>
      <c r="W29" s="72">
        <f t="shared" si="2"/>
        <v>2</v>
      </c>
      <c r="X29" s="62">
        <v>2</v>
      </c>
      <c r="Y29" s="62">
        <v>2</v>
      </c>
      <c r="Z29" s="62"/>
      <c r="AA29" s="62"/>
      <c r="AB29" s="62"/>
      <c r="AC29" s="72">
        <f t="shared" si="3"/>
        <v>2</v>
      </c>
      <c r="AD29" s="62">
        <v>1</v>
      </c>
      <c r="AE29" s="62"/>
      <c r="AF29" s="62">
        <v>1</v>
      </c>
      <c r="AG29" s="62"/>
      <c r="AH29" s="62"/>
      <c r="AI29" s="72">
        <f t="shared" si="4"/>
        <v>1</v>
      </c>
      <c r="AJ29" s="62"/>
      <c r="AK29" s="62"/>
      <c r="AL29" s="62"/>
      <c r="AM29" s="62"/>
      <c r="AN29" s="62"/>
      <c r="AO29" s="72" t="str">
        <f t="shared" si="5"/>
        <v>A</v>
      </c>
      <c r="AP29" s="62">
        <v>2</v>
      </c>
      <c r="AQ29" s="62">
        <v>2</v>
      </c>
      <c r="AR29" s="62">
        <v>1</v>
      </c>
      <c r="AS29" s="62"/>
      <c r="AT29" s="62"/>
      <c r="AU29" s="72">
        <f t="shared" si="6"/>
        <v>1.6666666666666667</v>
      </c>
      <c r="AV29" s="62"/>
      <c r="AW29" s="62"/>
      <c r="AX29" s="62">
        <v>2</v>
      </c>
      <c r="AY29" s="62">
        <v>2</v>
      </c>
      <c r="AZ29" s="62">
        <v>2</v>
      </c>
      <c r="BA29" s="72">
        <f t="shared" si="7"/>
        <v>2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2</v>
      </c>
      <c r="M30" s="62">
        <v>2</v>
      </c>
      <c r="N30" s="62">
        <v>2</v>
      </c>
      <c r="O30" s="62">
        <v>3</v>
      </c>
      <c r="P30" s="62">
        <v>2</v>
      </c>
      <c r="Q30" s="72">
        <f t="shared" si="1"/>
        <v>2.2000000000000002</v>
      </c>
      <c r="R30" s="62">
        <v>4</v>
      </c>
      <c r="S30" s="62">
        <v>3</v>
      </c>
      <c r="T30" s="7"/>
      <c r="U30" s="62">
        <v>3</v>
      </c>
      <c r="V30" s="7"/>
      <c r="W30" s="72">
        <f t="shared" si="2"/>
        <v>3.3333333333333335</v>
      </c>
      <c r="X30" s="62">
        <v>2</v>
      </c>
      <c r="Y30" s="62">
        <v>2</v>
      </c>
      <c r="Z30" s="7"/>
      <c r="AA30" s="7"/>
      <c r="AB30" s="7"/>
      <c r="AC30" s="72">
        <f t="shared" si="3"/>
        <v>2</v>
      </c>
      <c r="AD30" s="62">
        <v>1</v>
      </c>
      <c r="AE30" s="7"/>
      <c r="AF30" s="62">
        <v>0</v>
      </c>
      <c r="AG30" s="7"/>
      <c r="AH30" s="7"/>
      <c r="AI30" s="72">
        <f t="shared" si="4"/>
        <v>0.5</v>
      </c>
      <c r="AJ30" s="7"/>
      <c r="AK30" s="7"/>
      <c r="AL30" s="7"/>
      <c r="AM30" s="7"/>
      <c r="AN30" s="7"/>
      <c r="AO30" s="72" t="str">
        <f t="shared" si="5"/>
        <v>A</v>
      </c>
      <c r="AP30" s="62">
        <v>1</v>
      </c>
      <c r="AQ30" s="62">
        <v>4</v>
      </c>
      <c r="AR30" s="62">
        <v>4</v>
      </c>
      <c r="AS30" s="7"/>
      <c r="AT30" s="7"/>
      <c r="AU30" s="72">
        <f t="shared" si="6"/>
        <v>3</v>
      </c>
      <c r="AV30" s="7"/>
      <c r="AW30" s="7"/>
      <c r="AX30" s="62">
        <v>3</v>
      </c>
      <c r="AY30" s="62">
        <v>1</v>
      </c>
      <c r="AZ30" s="62">
        <v>1</v>
      </c>
      <c r="BA30" s="72">
        <f t="shared" si="7"/>
        <v>1.6666666666666667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2</v>
      </c>
      <c r="M31" s="62">
        <v>4</v>
      </c>
      <c r="N31" s="62">
        <v>2</v>
      </c>
      <c r="O31" s="62">
        <v>4</v>
      </c>
      <c r="P31" s="62">
        <v>3</v>
      </c>
      <c r="Q31" s="72">
        <f t="shared" si="1"/>
        <v>3</v>
      </c>
      <c r="R31" s="62">
        <v>3</v>
      </c>
      <c r="S31" s="62">
        <v>2</v>
      </c>
      <c r="T31" s="62"/>
      <c r="U31" s="62">
        <v>2</v>
      </c>
      <c r="V31" s="62"/>
      <c r="W31" s="72">
        <f t="shared" si="2"/>
        <v>2.3333333333333335</v>
      </c>
      <c r="X31" s="62">
        <v>2</v>
      </c>
      <c r="Y31" s="62">
        <v>3</v>
      </c>
      <c r="Z31" s="62"/>
      <c r="AA31" s="62"/>
      <c r="AB31" s="62"/>
      <c r="AC31" s="72">
        <f t="shared" si="3"/>
        <v>2.5</v>
      </c>
      <c r="AD31" s="62">
        <v>5</v>
      </c>
      <c r="AE31" s="62"/>
      <c r="AF31" s="62">
        <v>5</v>
      </c>
      <c r="AG31" s="62"/>
      <c r="AH31" s="62"/>
      <c r="AI31" s="72">
        <f t="shared" si="4"/>
        <v>5</v>
      </c>
      <c r="AJ31" s="62"/>
      <c r="AK31" s="62"/>
      <c r="AL31" s="62"/>
      <c r="AM31" s="62"/>
      <c r="AN31" s="62"/>
      <c r="AO31" s="72" t="str">
        <f t="shared" si="5"/>
        <v>A</v>
      </c>
      <c r="AP31" s="62">
        <v>3</v>
      </c>
      <c r="AQ31" s="62">
        <v>5</v>
      </c>
      <c r="AR31" s="62">
        <v>5</v>
      </c>
      <c r="AS31" s="62"/>
      <c r="AT31" s="62"/>
      <c r="AU31" s="72">
        <f t="shared" si="6"/>
        <v>4.333333333333333</v>
      </c>
      <c r="AV31" s="62"/>
      <c r="AW31" s="62"/>
      <c r="AX31" s="62">
        <v>5</v>
      </c>
      <c r="AY31" s="62">
        <v>5</v>
      </c>
      <c r="AZ31" s="62">
        <v>5</v>
      </c>
      <c r="BA31" s="72">
        <f t="shared" si="7"/>
        <v>5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3</v>
      </c>
      <c r="M32" s="62">
        <v>3</v>
      </c>
      <c r="N32" s="62">
        <v>2</v>
      </c>
      <c r="O32" s="62">
        <v>3</v>
      </c>
      <c r="P32" s="62">
        <v>3</v>
      </c>
      <c r="Q32" s="72">
        <f t="shared" si="1"/>
        <v>2.8</v>
      </c>
      <c r="R32" s="62">
        <v>2</v>
      </c>
      <c r="S32" s="62">
        <v>2</v>
      </c>
      <c r="T32" s="7"/>
      <c r="U32" s="62">
        <v>2</v>
      </c>
      <c r="V32" s="7"/>
      <c r="W32" s="72">
        <f t="shared" si="2"/>
        <v>2</v>
      </c>
      <c r="X32" s="62">
        <v>1</v>
      </c>
      <c r="Y32" s="62">
        <v>1</v>
      </c>
      <c r="Z32" s="7"/>
      <c r="AA32" s="7"/>
      <c r="AB32" s="7"/>
      <c r="AC32" s="72">
        <f t="shared" si="3"/>
        <v>1</v>
      </c>
      <c r="AD32" s="62">
        <v>1</v>
      </c>
      <c r="AE32" s="7"/>
      <c r="AF32" s="62">
        <v>0</v>
      </c>
      <c r="AG32" s="7"/>
      <c r="AH32" s="7"/>
      <c r="AI32" s="72">
        <f t="shared" si="4"/>
        <v>0.5</v>
      </c>
      <c r="AJ32" s="7"/>
      <c r="AK32" s="7"/>
      <c r="AL32" s="7"/>
      <c r="AM32" s="7"/>
      <c r="AN32" s="7"/>
      <c r="AO32" s="72" t="str">
        <f t="shared" si="5"/>
        <v>A</v>
      </c>
      <c r="AP32" s="62">
        <v>1</v>
      </c>
      <c r="AQ32" s="62">
        <v>2</v>
      </c>
      <c r="AR32" s="62">
        <v>2</v>
      </c>
      <c r="AS32" s="7"/>
      <c r="AT32" s="7"/>
      <c r="AU32" s="72">
        <f t="shared" si="6"/>
        <v>1.6666666666666667</v>
      </c>
      <c r="AV32" s="7"/>
      <c r="AW32" s="7"/>
      <c r="AX32" s="62">
        <v>1</v>
      </c>
      <c r="AY32" s="62">
        <v>1</v>
      </c>
      <c r="AZ32" s="62">
        <v>1</v>
      </c>
      <c r="BA32" s="72">
        <f t="shared" si="7"/>
        <v>1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72">
        <f t="shared" si="1"/>
        <v>0</v>
      </c>
      <c r="R33" s="62">
        <v>0</v>
      </c>
      <c r="S33" s="62">
        <v>0</v>
      </c>
      <c r="T33" s="62"/>
      <c r="U33" s="62">
        <v>0</v>
      </c>
      <c r="V33" s="62"/>
      <c r="W33" s="72">
        <f t="shared" si="2"/>
        <v>0</v>
      </c>
      <c r="X33" s="62">
        <v>0</v>
      </c>
      <c r="Y33" s="62">
        <v>0</v>
      </c>
      <c r="Z33" s="62"/>
      <c r="AA33" s="62"/>
      <c r="AB33" s="62"/>
      <c r="AC33" s="72">
        <f t="shared" si="3"/>
        <v>0</v>
      </c>
      <c r="AD33" s="62">
        <v>0</v>
      </c>
      <c r="AE33" s="62"/>
      <c r="AF33" s="62">
        <v>0</v>
      </c>
      <c r="AG33" s="62"/>
      <c r="AH33" s="62"/>
      <c r="AI33" s="72">
        <f t="shared" si="4"/>
        <v>0</v>
      </c>
      <c r="AJ33" s="62"/>
      <c r="AK33" s="62"/>
      <c r="AL33" s="62"/>
      <c r="AM33" s="62"/>
      <c r="AN33" s="62"/>
      <c r="AO33" s="72" t="str">
        <f t="shared" si="5"/>
        <v>A</v>
      </c>
      <c r="AP33" s="62">
        <v>0</v>
      </c>
      <c r="AQ33" s="62">
        <v>0</v>
      </c>
      <c r="AR33" s="62">
        <v>0</v>
      </c>
      <c r="AS33" s="62"/>
      <c r="AT33" s="62"/>
      <c r="AU33" s="72">
        <f t="shared" si="6"/>
        <v>0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2</v>
      </c>
      <c r="M34" s="62">
        <v>3</v>
      </c>
      <c r="N34" s="62">
        <v>2</v>
      </c>
      <c r="O34" s="62">
        <v>3</v>
      </c>
      <c r="P34" s="62">
        <v>2</v>
      </c>
      <c r="Q34" s="72">
        <f t="shared" si="1"/>
        <v>2.4</v>
      </c>
      <c r="R34" s="62">
        <v>3</v>
      </c>
      <c r="S34" s="62">
        <v>3</v>
      </c>
      <c r="T34" s="7"/>
      <c r="U34" s="62">
        <v>3</v>
      </c>
      <c r="V34" s="7"/>
      <c r="W34" s="72">
        <f t="shared" si="2"/>
        <v>3</v>
      </c>
      <c r="X34" s="62">
        <v>1</v>
      </c>
      <c r="Y34" s="62">
        <v>3</v>
      </c>
      <c r="Z34" s="7"/>
      <c r="AA34" s="7"/>
      <c r="AB34" s="7"/>
      <c r="AC34" s="72">
        <f t="shared" si="3"/>
        <v>2</v>
      </c>
      <c r="AD34" s="62">
        <v>5</v>
      </c>
      <c r="AE34" s="7"/>
      <c r="AF34" s="62">
        <v>5</v>
      </c>
      <c r="AG34" s="7"/>
      <c r="AH34" s="7"/>
      <c r="AI34" s="72">
        <f t="shared" si="4"/>
        <v>5</v>
      </c>
      <c r="AJ34" s="7"/>
      <c r="AK34" s="7"/>
      <c r="AL34" s="7"/>
      <c r="AM34" s="7"/>
      <c r="AN34" s="7"/>
      <c r="AO34" s="72" t="str">
        <f t="shared" si="5"/>
        <v>A</v>
      </c>
      <c r="AP34" s="62">
        <v>2</v>
      </c>
      <c r="AQ34" s="62">
        <v>1</v>
      </c>
      <c r="AR34" s="62">
        <v>2</v>
      </c>
      <c r="AS34" s="7"/>
      <c r="AT34" s="7"/>
      <c r="AU34" s="72">
        <f t="shared" si="6"/>
        <v>1.6666666666666667</v>
      </c>
      <c r="AV34" s="7"/>
      <c r="AW34" s="7"/>
      <c r="AX34" s="62">
        <v>5</v>
      </c>
      <c r="AY34" s="62">
        <v>5</v>
      </c>
      <c r="AZ34" s="62">
        <v>5</v>
      </c>
      <c r="BA34" s="72">
        <f t="shared" si="7"/>
        <v>5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3</v>
      </c>
      <c r="M35" s="62">
        <v>3</v>
      </c>
      <c r="N35" s="62">
        <v>1</v>
      </c>
      <c r="O35" s="62">
        <v>3</v>
      </c>
      <c r="P35" s="62">
        <v>2</v>
      </c>
      <c r="Q35" s="72">
        <f t="shared" si="1"/>
        <v>2.4</v>
      </c>
      <c r="R35" s="62">
        <v>3</v>
      </c>
      <c r="S35" s="62">
        <v>3</v>
      </c>
      <c r="T35" s="62"/>
      <c r="U35" s="62">
        <v>3</v>
      </c>
      <c r="V35" s="62"/>
      <c r="W35" s="72">
        <f t="shared" si="2"/>
        <v>3</v>
      </c>
      <c r="X35" s="62">
        <v>2</v>
      </c>
      <c r="Y35" s="62">
        <v>2</v>
      </c>
      <c r="Z35" s="62"/>
      <c r="AA35" s="62"/>
      <c r="AB35" s="62"/>
      <c r="AC35" s="72">
        <f t="shared" si="3"/>
        <v>2</v>
      </c>
      <c r="AD35" s="62">
        <v>2</v>
      </c>
      <c r="AE35" s="62"/>
      <c r="AF35" s="62">
        <v>2</v>
      </c>
      <c r="AG35" s="62"/>
      <c r="AH35" s="62"/>
      <c r="AI35" s="72">
        <f t="shared" si="4"/>
        <v>2</v>
      </c>
      <c r="AJ35" s="62"/>
      <c r="AK35" s="62"/>
      <c r="AL35" s="62"/>
      <c r="AM35" s="62"/>
      <c r="AN35" s="62"/>
      <c r="AO35" s="72" t="str">
        <f t="shared" si="5"/>
        <v>A</v>
      </c>
      <c r="AP35" s="62">
        <v>3</v>
      </c>
      <c r="AQ35" s="62">
        <v>3</v>
      </c>
      <c r="AR35" s="62">
        <v>3</v>
      </c>
      <c r="AS35" s="62"/>
      <c r="AT35" s="62"/>
      <c r="AU35" s="72">
        <f t="shared" si="6"/>
        <v>3</v>
      </c>
      <c r="AV35" s="62"/>
      <c r="AW35" s="62"/>
      <c r="AX35" s="62">
        <v>1</v>
      </c>
      <c r="AY35" s="62">
        <v>1</v>
      </c>
      <c r="AZ35" s="62">
        <v>1</v>
      </c>
      <c r="BA35" s="72">
        <f t="shared" si="7"/>
        <v>1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3</v>
      </c>
      <c r="M36" s="62">
        <v>4</v>
      </c>
      <c r="N36" s="62">
        <v>5</v>
      </c>
      <c r="O36" s="62">
        <v>4</v>
      </c>
      <c r="P36" s="62">
        <v>4</v>
      </c>
      <c r="Q36" s="72">
        <f t="shared" si="1"/>
        <v>4</v>
      </c>
      <c r="R36" s="62">
        <v>4</v>
      </c>
      <c r="S36" s="62">
        <v>4</v>
      </c>
      <c r="T36" s="7"/>
      <c r="U36" s="62">
        <v>4</v>
      </c>
      <c r="V36" s="7"/>
      <c r="W36" s="72">
        <f t="shared" si="2"/>
        <v>4</v>
      </c>
      <c r="X36" s="62">
        <v>4</v>
      </c>
      <c r="Y36" s="62">
        <v>2</v>
      </c>
      <c r="Z36" s="7"/>
      <c r="AA36" s="7"/>
      <c r="AB36" s="7"/>
      <c r="AC36" s="72">
        <f t="shared" si="3"/>
        <v>3</v>
      </c>
      <c r="AD36" s="62">
        <v>4</v>
      </c>
      <c r="AE36" s="7"/>
      <c r="AF36" s="62">
        <v>0</v>
      </c>
      <c r="AG36" s="7"/>
      <c r="AH36" s="7"/>
      <c r="AI36" s="72">
        <f t="shared" si="4"/>
        <v>2</v>
      </c>
      <c r="AJ36" s="7"/>
      <c r="AK36" s="7"/>
      <c r="AL36" s="7"/>
      <c r="AM36" s="7"/>
      <c r="AN36" s="7"/>
      <c r="AO36" s="72" t="str">
        <f t="shared" si="5"/>
        <v>A</v>
      </c>
      <c r="AP36" s="62">
        <v>2</v>
      </c>
      <c r="AQ36" s="62">
        <v>4</v>
      </c>
      <c r="AR36" s="62">
        <v>4</v>
      </c>
      <c r="AS36" s="7"/>
      <c r="AT36" s="7"/>
      <c r="AU36" s="72">
        <f t="shared" si="6"/>
        <v>3.3333333333333335</v>
      </c>
      <c r="AV36" s="7"/>
      <c r="AW36" s="7"/>
      <c r="AX36" s="62">
        <v>4</v>
      </c>
      <c r="AY36" s="62">
        <v>2</v>
      </c>
      <c r="AZ36" s="62">
        <v>2</v>
      </c>
      <c r="BA36" s="72">
        <f t="shared" si="7"/>
        <v>2.6666666666666665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3</v>
      </c>
      <c r="M37" s="62">
        <v>4</v>
      </c>
      <c r="N37" s="62">
        <v>3</v>
      </c>
      <c r="O37" s="62">
        <v>3</v>
      </c>
      <c r="P37" s="62">
        <v>3</v>
      </c>
      <c r="Q37" s="72">
        <f t="shared" si="1"/>
        <v>3.2</v>
      </c>
      <c r="R37" s="62">
        <v>4</v>
      </c>
      <c r="S37" s="62">
        <v>4</v>
      </c>
      <c r="T37" s="62"/>
      <c r="U37" s="62">
        <v>4</v>
      </c>
      <c r="V37" s="62"/>
      <c r="W37" s="72">
        <f t="shared" si="2"/>
        <v>4</v>
      </c>
      <c r="X37" s="62">
        <v>2</v>
      </c>
      <c r="Y37" s="62">
        <v>2</v>
      </c>
      <c r="Z37" s="62"/>
      <c r="AA37" s="62"/>
      <c r="AB37" s="62"/>
      <c r="AC37" s="72">
        <f t="shared" si="3"/>
        <v>2</v>
      </c>
      <c r="AD37" s="62">
        <v>3</v>
      </c>
      <c r="AE37" s="62"/>
      <c r="AF37" s="62">
        <v>1</v>
      </c>
      <c r="AG37" s="62"/>
      <c r="AH37" s="62"/>
      <c r="AI37" s="72">
        <f t="shared" si="4"/>
        <v>2</v>
      </c>
      <c r="AJ37" s="62"/>
      <c r="AK37" s="62"/>
      <c r="AL37" s="62"/>
      <c r="AM37" s="62"/>
      <c r="AN37" s="62"/>
      <c r="AO37" s="72" t="str">
        <f t="shared" si="5"/>
        <v>A</v>
      </c>
      <c r="AP37" s="62">
        <v>4</v>
      </c>
      <c r="AQ37" s="62">
        <v>4</v>
      </c>
      <c r="AR37" s="62">
        <v>4</v>
      </c>
      <c r="AS37" s="62"/>
      <c r="AT37" s="62"/>
      <c r="AU37" s="72">
        <f t="shared" si="6"/>
        <v>4</v>
      </c>
      <c r="AV37" s="62"/>
      <c r="AW37" s="62"/>
      <c r="AX37" s="62">
        <v>1</v>
      </c>
      <c r="AY37" s="62">
        <v>1</v>
      </c>
      <c r="AZ37" s="62">
        <v>1</v>
      </c>
      <c r="BA37" s="72">
        <f t="shared" si="7"/>
        <v>1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3</v>
      </c>
      <c r="M38" s="62">
        <v>2</v>
      </c>
      <c r="N38" s="62">
        <v>2</v>
      </c>
      <c r="O38" s="62">
        <v>3</v>
      </c>
      <c r="P38" s="62">
        <v>2</v>
      </c>
      <c r="Q38" s="72">
        <f t="shared" si="1"/>
        <v>2.4</v>
      </c>
      <c r="R38" s="62">
        <v>3</v>
      </c>
      <c r="S38" s="62">
        <v>3</v>
      </c>
      <c r="T38" s="7"/>
      <c r="U38" s="62">
        <v>3</v>
      </c>
      <c r="V38" s="7"/>
      <c r="W38" s="72">
        <f t="shared" si="2"/>
        <v>3</v>
      </c>
      <c r="X38" s="62">
        <v>3</v>
      </c>
      <c r="Y38" s="62">
        <v>2</v>
      </c>
      <c r="Z38" s="7"/>
      <c r="AA38" s="7"/>
      <c r="AB38" s="7"/>
      <c r="AC38" s="72">
        <f t="shared" si="3"/>
        <v>2.5</v>
      </c>
      <c r="AD38" s="62">
        <v>1</v>
      </c>
      <c r="AE38" s="7"/>
      <c r="AF38" s="62">
        <v>0</v>
      </c>
      <c r="AG38" s="7"/>
      <c r="AH38" s="7"/>
      <c r="AI38" s="72">
        <f t="shared" si="4"/>
        <v>0.5</v>
      </c>
      <c r="AJ38" s="7"/>
      <c r="AK38" s="7"/>
      <c r="AL38" s="7"/>
      <c r="AM38" s="7"/>
      <c r="AN38" s="7"/>
      <c r="AO38" s="72" t="str">
        <f t="shared" si="5"/>
        <v>A</v>
      </c>
      <c r="AP38" s="62">
        <v>1</v>
      </c>
      <c r="AQ38" s="62">
        <v>2</v>
      </c>
      <c r="AR38" s="62">
        <v>2</v>
      </c>
      <c r="AS38" s="7"/>
      <c r="AT38" s="7"/>
      <c r="AU38" s="72">
        <f t="shared" si="6"/>
        <v>1.6666666666666667</v>
      </c>
      <c r="AV38" s="7"/>
      <c r="AW38" s="7"/>
      <c r="AX38" s="62">
        <v>3</v>
      </c>
      <c r="AY38" s="62">
        <v>1</v>
      </c>
      <c r="AZ38" s="62">
        <v>1</v>
      </c>
      <c r="BA38" s="72">
        <f t="shared" si="7"/>
        <v>1.6666666666666667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3</v>
      </c>
      <c r="M39" s="62">
        <v>5</v>
      </c>
      <c r="N39" s="62">
        <v>4</v>
      </c>
      <c r="O39" s="62">
        <v>4</v>
      </c>
      <c r="P39" s="62">
        <v>3</v>
      </c>
      <c r="Q39" s="72">
        <f t="shared" si="1"/>
        <v>3.8</v>
      </c>
      <c r="R39" s="62">
        <v>3</v>
      </c>
      <c r="S39" s="62">
        <v>3</v>
      </c>
      <c r="T39" s="62"/>
      <c r="U39" s="62">
        <v>3</v>
      </c>
      <c r="V39" s="62"/>
      <c r="W39" s="72">
        <f t="shared" si="2"/>
        <v>3</v>
      </c>
      <c r="X39" s="62">
        <v>3</v>
      </c>
      <c r="Y39" s="62">
        <v>3</v>
      </c>
      <c r="Z39" s="62"/>
      <c r="AA39" s="62"/>
      <c r="AB39" s="62"/>
      <c r="AC39" s="72">
        <f t="shared" si="3"/>
        <v>3</v>
      </c>
      <c r="AD39" s="62">
        <v>5</v>
      </c>
      <c r="AE39" s="62"/>
      <c r="AF39" s="62">
        <v>5</v>
      </c>
      <c r="AG39" s="62"/>
      <c r="AH39" s="62"/>
      <c r="AI39" s="72">
        <f t="shared" si="4"/>
        <v>5</v>
      </c>
      <c r="AJ39" s="62"/>
      <c r="AK39" s="62"/>
      <c r="AL39" s="62"/>
      <c r="AM39" s="62"/>
      <c r="AN39" s="62"/>
      <c r="AO39" s="72" t="str">
        <f t="shared" si="5"/>
        <v>A</v>
      </c>
      <c r="AP39" s="62">
        <v>4</v>
      </c>
      <c r="AQ39" s="62">
        <v>3</v>
      </c>
      <c r="AR39" s="62">
        <v>4</v>
      </c>
      <c r="AS39" s="62"/>
      <c r="AT39" s="62"/>
      <c r="AU39" s="72">
        <f t="shared" si="6"/>
        <v>3.6666666666666665</v>
      </c>
      <c r="AV39" s="62"/>
      <c r="AW39" s="62"/>
      <c r="AX39" s="62">
        <v>5</v>
      </c>
      <c r="AY39" s="62">
        <v>5</v>
      </c>
      <c r="AZ39" s="62">
        <v>5</v>
      </c>
      <c r="BA39" s="72">
        <f t="shared" si="7"/>
        <v>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4</v>
      </c>
      <c r="M40" s="62">
        <v>4</v>
      </c>
      <c r="N40" s="62">
        <v>4</v>
      </c>
      <c r="O40" s="62">
        <v>4</v>
      </c>
      <c r="P40" s="62">
        <v>4</v>
      </c>
      <c r="Q40" s="72">
        <f t="shared" si="1"/>
        <v>4</v>
      </c>
      <c r="R40" s="62">
        <v>4</v>
      </c>
      <c r="S40" s="62">
        <v>4</v>
      </c>
      <c r="T40" s="7"/>
      <c r="U40" s="62">
        <v>4</v>
      </c>
      <c r="V40" s="7"/>
      <c r="W40" s="72">
        <f t="shared" si="2"/>
        <v>4</v>
      </c>
      <c r="X40" s="62">
        <v>3</v>
      </c>
      <c r="Y40" s="62">
        <v>2</v>
      </c>
      <c r="Z40" s="7"/>
      <c r="AA40" s="7"/>
      <c r="AB40" s="7"/>
      <c r="AC40" s="72">
        <f t="shared" si="3"/>
        <v>2.5</v>
      </c>
      <c r="AD40" s="62">
        <v>1</v>
      </c>
      <c r="AE40" s="7"/>
      <c r="AF40" s="62">
        <v>1</v>
      </c>
      <c r="AG40" s="7"/>
      <c r="AH40" s="7"/>
      <c r="AI40" s="72">
        <f t="shared" si="4"/>
        <v>1</v>
      </c>
      <c r="AJ40" s="7"/>
      <c r="AK40" s="7"/>
      <c r="AL40" s="7"/>
      <c r="AM40" s="7"/>
      <c r="AN40" s="7"/>
      <c r="AO40" s="72" t="str">
        <f t="shared" si="5"/>
        <v>A</v>
      </c>
      <c r="AP40" s="62">
        <v>4</v>
      </c>
      <c r="AQ40" s="62">
        <v>4</v>
      </c>
      <c r="AR40" s="62">
        <v>3</v>
      </c>
      <c r="AS40" s="7"/>
      <c r="AT40" s="7"/>
      <c r="AU40" s="72">
        <f t="shared" si="6"/>
        <v>3.6666666666666665</v>
      </c>
      <c r="AV40" s="7"/>
      <c r="AW40" s="7"/>
      <c r="AX40" s="62">
        <v>1</v>
      </c>
      <c r="AY40" s="62">
        <v>1</v>
      </c>
      <c r="AZ40" s="62">
        <v>1</v>
      </c>
      <c r="BA40" s="72">
        <f t="shared" si="7"/>
        <v>1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>
        <v>4</v>
      </c>
      <c r="N41" s="62">
        <v>3</v>
      </c>
      <c r="O41" s="62">
        <v>4</v>
      </c>
      <c r="P41" s="62">
        <v>3</v>
      </c>
      <c r="Q41" s="72">
        <f t="shared" si="1"/>
        <v>3.4</v>
      </c>
      <c r="R41" s="62">
        <v>4</v>
      </c>
      <c r="S41" s="62">
        <v>5</v>
      </c>
      <c r="T41" s="62"/>
      <c r="U41" s="62">
        <v>4</v>
      </c>
      <c r="V41" s="62"/>
      <c r="W41" s="72">
        <f t="shared" si="2"/>
        <v>4.333333333333333</v>
      </c>
      <c r="X41" s="62">
        <v>4</v>
      </c>
      <c r="Y41" s="62">
        <v>4</v>
      </c>
      <c r="Z41" s="62"/>
      <c r="AA41" s="62"/>
      <c r="AB41" s="62"/>
      <c r="AC41" s="72">
        <f t="shared" si="3"/>
        <v>4</v>
      </c>
      <c r="AD41" s="62">
        <v>5</v>
      </c>
      <c r="AE41" s="62"/>
      <c r="AF41" s="62">
        <v>5</v>
      </c>
      <c r="AG41" s="62"/>
      <c r="AH41" s="62"/>
      <c r="AI41" s="72">
        <f t="shared" si="4"/>
        <v>5</v>
      </c>
      <c r="AJ41" s="62"/>
      <c r="AK41" s="62"/>
      <c r="AL41" s="62"/>
      <c r="AM41" s="62"/>
      <c r="AN41" s="62"/>
      <c r="AO41" s="72" t="str">
        <f t="shared" si="5"/>
        <v>A</v>
      </c>
      <c r="AP41" s="62">
        <v>5</v>
      </c>
      <c r="AQ41" s="62">
        <v>5</v>
      </c>
      <c r="AR41" s="62">
        <v>5</v>
      </c>
      <c r="AS41" s="62"/>
      <c r="AT41" s="62"/>
      <c r="AU41" s="72">
        <f t="shared" si="6"/>
        <v>5</v>
      </c>
      <c r="AV41" s="62"/>
      <c r="AW41" s="62"/>
      <c r="AX41" s="62">
        <v>5</v>
      </c>
      <c r="AY41" s="62">
        <v>5</v>
      </c>
      <c r="AZ41" s="62">
        <v>5</v>
      </c>
      <c r="BA41" s="72">
        <f t="shared" si="7"/>
        <v>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72">
        <f t="shared" si="1"/>
        <v>0</v>
      </c>
      <c r="R42" s="62">
        <v>0</v>
      </c>
      <c r="S42" s="62">
        <v>0</v>
      </c>
      <c r="T42" s="7"/>
      <c r="U42" s="62">
        <v>0</v>
      </c>
      <c r="V42" s="7"/>
      <c r="W42" s="72">
        <f t="shared" si="2"/>
        <v>0</v>
      </c>
      <c r="X42" s="62">
        <v>0</v>
      </c>
      <c r="Y42" s="62">
        <v>0</v>
      </c>
      <c r="Z42" s="7"/>
      <c r="AA42" s="7"/>
      <c r="AB42" s="7"/>
      <c r="AC42" s="72">
        <f t="shared" si="3"/>
        <v>0</v>
      </c>
      <c r="AD42" s="62">
        <v>0</v>
      </c>
      <c r="AE42" s="7"/>
      <c r="AF42" s="62">
        <v>0</v>
      </c>
      <c r="AG42" s="7"/>
      <c r="AH42" s="7"/>
      <c r="AI42" s="72">
        <f t="shared" si="4"/>
        <v>0</v>
      </c>
      <c r="AJ42" s="7"/>
      <c r="AK42" s="7"/>
      <c r="AL42" s="7"/>
      <c r="AM42" s="7"/>
      <c r="AN42" s="7"/>
      <c r="AO42" s="72" t="str">
        <f t="shared" si="5"/>
        <v>A</v>
      </c>
      <c r="AP42" s="62">
        <v>0</v>
      </c>
      <c r="AQ42" s="62">
        <v>0</v>
      </c>
      <c r="AR42" s="62">
        <v>0</v>
      </c>
      <c r="AS42" s="7"/>
      <c r="AT42" s="7"/>
      <c r="AU42" s="72">
        <f t="shared" si="6"/>
        <v>0</v>
      </c>
      <c r="AV42" s="7"/>
      <c r="AW42" s="7"/>
      <c r="AX42" s="62">
        <v>0</v>
      </c>
      <c r="AY42" s="62">
        <v>0</v>
      </c>
      <c r="AZ42" s="62">
        <v>0</v>
      </c>
      <c r="BA42" s="72">
        <f t="shared" si="7"/>
        <v>0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4</v>
      </c>
      <c r="M43" s="62">
        <v>4</v>
      </c>
      <c r="N43" s="62">
        <v>4</v>
      </c>
      <c r="O43" s="62">
        <v>3</v>
      </c>
      <c r="P43" s="62">
        <v>4</v>
      </c>
      <c r="Q43" s="72">
        <f t="shared" si="1"/>
        <v>3.8</v>
      </c>
      <c r="R43" s="62">
        <v>2</v>
      </c>
      <c r="S43" s="62">
        <v>2</v>
      </c>
      <c r="T43" s="62"/>
      <c r="U43" s="62">
        <v>2</v>
      </c>
      <c r="V43" s="62"/>
      <c r="W43" s="72">
        <f t="shared" si="2"/>
        <v>2</v>
      </c>
      <c r="X43" s="62">
        <v>2</v>
      </c>
      <c r="Y43" s="62">
        <v>2</v>
      </c>
      <c r="Z43" s="62"/>
      <c r="AA43" s="62"/>
      <c r="AB43" s="62"/>
      <c r="AC43" s="72">
        <f t="shared" si="3"/>
        <v>2</v>
      </c>
      <c r="AD43" s="62">
        <v>1</v>
      </c>
      <c r="AE43" s="62"/>
      <c r="AF43" s="62">
        <v>1</v>
      </c>
      <c r="AG43" s="62"/>
      <c r="AH43" s="62"/>
      <c r="AI43" s="72">
        <f t="shared" si="4"/>
        <v>1</v>
      </c>
      <c r="AJ43" s="62"/>
      <c r="AK43" s="62"/>
      <c r="AL43" s="62"/>
      <c r="AM43" s="62"/>
      <c r="AN43" s="62"/>
      <c r="AO43" s="72" t="str">
        <f t="shared" si="5"/>
        <v>A</v>
      </c>
      <c r="AP43" s="62">
        <v>2</v>
      </c>
      <c r="AQ43" s="62">
        <v>2</v>
      </c>
      <c r="AR43" s="62">
        <v>1</v>
      </c>
      <c r="AS43" s="62"/>
      <c r="AT43" s="62"/>
      <c r="AU43" s="72">
        <f t="shared" si="6"/>
        <v>1.6666666666666667</v>
      </c>
      <c r="AV43" s="62"/>
      <c r="AW43" s="62"/>
      <c r="AX43" s="62">
        <v>2</v>
      </c>
      <c r="AY43" s="62">
        <v>2</v>
      </c>
      <c r="AZ43" s="62">
        <v>2</v>
      </c>
      <c r="BA43" s="72">
        <f t="shared" si="7"/>
        <v>2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72">
        <f t="shared" si="1"/>
        <v>0</v>
      </c>
      <c r="R44" s="62">
        <v>0</v>
      </c>
      <c r="S44" s="62">
        <v>0</v>
      </c>
      <c r="T44" s="7"/>
      <c r="U44" s="62">
        <v>0</v>
      </c>
      <c r="V44" s="7"/>
      <c r="W44" s="72">
        <f t="shared" si="2"/>
        <v>0</v>
      </c>
      <c r="X44" s="62">
        <v>0</v>
      </c>
      <c r="Y44" s="62">
        <v>0</v>
      </c>
      <c r="Z44" s="7"/>
      <c r="AA44" s="7"/>
      <c r="AB44" s="7"/>
      <c r="AC44" s="72">
        <f t="shared" si="3"/>
        <v>0</v>
      </c>
      <c r="AD44" s="62">
        <v>0</v>
      </c>
      <c r="AE44" s="7"/>
      <c r="AF44" s="62">
        <v>0</v>
      </c>
      <c r="AG44" s="7"/>
      <c r="AH44" s="7"/>
      <c r="AI44" s="72">
        <f t="shared" si="4"/>
        <v>0</v>
      </c>
      <c r="AJ44" s="7"/>
      <c r="AK44" s="7"/>
      <c r="AL44" s="7"/>
      <c r="AM44" s="7"/>
      <c r="AN44" s="7"/>
      <c r="AO44" s="72" t="str">
        <f t="shared" si="5"/>
        <v>A</v>
      </c>
      <c r="AP44" s="62">
        <v>0</v>
      </c>
      <c r="AQ44" s="62">
        <v>0</v>
      </c>
      <c r="AR44" s="62">
        <v>0</v>
      </c>
      <c r="AS44" s="7"/>
      <c r="AT44" s="7"/>
      <c r="AU44" s="72">
        <f t="shared" si="6"/>
        <v>0</v>
      </c>
      <c r="AV44" s="7"/>
      <c r="AW44" s="7"/>
      <c r="AX44" s="62">
        <v>0</v>
      </c>
      <c r="AY44" s="62">
        <v>0</v>
      </c>
      <c r="AZ44" s="62">
        <v>0</v>
      </c>
      <c r="BA44" s="72">
        <f t="shared" si="7"/>
        <v>0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72">
        <f t="shared" si="1"/>
        <v>0</v>
      </c>
      <c r="R45" s="62">
        <v>0</v>
      </c>
      <c r="S45" s="62">
        <v>0</v>
      </c>
      <c r="T45" s="62"/>
      <c r="U45" s="62">
        <v>0</v>
      </c>
      <c r="V45" s="62"/>
      <c r="W45" s="72">
        <f t="shared" si="2"/>
        <v>0</v>
      </c>
      <c r="X45" s="62">
        <v>0</v>
      </c>
      <c r="Y45" s="62">
        <v>0</v>
      </c>
      <c r="Z45" s="62"/>
      <c r="AA45" s="62"/>
      <c r="AB45" s="62"/>
      <c r="AC45" s="72">
        <f t="shared" si="3"/>
        <v>0</v>
      </c>
      <c r="AD45" s="62">
        <v>0</v>
      </c>
      <c r="AE45" s="62"/>
      <c r="AF45" s="62">
        <v>0</v>
      </c>
      <c r="AG45" s="62"/>
      <c r="AH45" s="62"/>
      <c r="AI45" s="72">
        <f t="shared" si="4"/>
        <v>0</v>
      </c>
      <c r="AJ45" s="62"/>
      <c r="AK45" s="62"/>
      <c r="AL45" s="62"/>
      <c r="AM45" s="62"/>
      <c r="AN45" s="62"/>
      <c r="AO45" s="72" t="str">
        <f t="shared" si="5"/>
        <v>A</v>
      </c>
      <c r="AP45" s="62">
        <v>0</v>
      </c>
      <c r="AQ45" s="62">
        <v>0</v>
      </c>
      <c r="AR45" s="62">
        <v>0</v>
      </c>
      <c r="AS45" s="62"/>
      <c r="AT45" s="62"/>
      <c r="AU45" s="72">
        <f t="shared" si="6"/>
        <v>0</v>
      </c>
      <c r="AV45" s="62"/>
      <c r="AW45" s="62"/>
      <c r="AX45" s="62">
        <v>0</v>
      </c>
      <c r="AY45" s="62">
        <v>0</v>
      </c>
      <c r="AZ45" s="62">
        <v>0</v>
      </c>
      <c r="BA45" s="72">
        <f t="shared" si="7"/>
        <v>0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3</v>
      </c>
      <c r="M46" s="62">
        <v>4</v>
      </c>
      <c r="N46" s="62">
        <v>3</v>
      </c>
      <c r="O46" s="62">
        <v>3</v>
      </c>
      <c r="P46" s="62">
        <v>3</v>
      </c>
      <c r="Q46" s="72">
        <f t="shared" si="1"/>
        <v>3.2</v>
      </c>
      <c r="R46" s="62">
        <v>4</v>
      </c>
      <c r="S46" s="62">
        <v>4</v>
      </c>
      <c r="T46" s="7"/>
      <c r="U46" s="62">
        <v>4</v>
      </c>
      <c r="V46" s="7"/>
      <c r="W46" s="72">
        <f t="shared" si="2"/>
        <v>4</v>
      </c>
      <c r="X46" s="62">
        <v>3</v>
      </c>
      <c r="Y46" s="62">
        <v>4</v>
      </c>
      <c r="Z46" s="7"/>
      <c r="AA46" s="7"/>
      <c r="AB46" s="7"/>
      <c r="AC46" s="72">
        <f t="shared" si="3"/>
        <v>3.5</v>
      </c>
      <c r="AD46" s="62">
        <v>5</v>
      </c>
      <c r="AE46" s="7"/>
      <c r="AF46" s="62">
        <v>0</v>
      </c>
      <c r="AG46" s="7"/>
      <c r="AH46" s="7"/>
      <c r="AI46" s="72">
        <f t="shared" si="4"/>
        <v>2.5</v>
      </c>
      <c r="AJ46" s="7"/>
      <c r="AK46" s="7"/>
      <c r="AL46" s="7"/>
      <c r="AM46" s="7"/>
      <c r="AN46" s="7"/>
      <c r="AO46" s="72" t="str">
        <f t="shared" si="5"/>
        <v>A</v>
      </c>
      <c r="AP46" s="62">
        <v>5</v>
      </c>
      <c r="AQ46" s="62">
        <v>3</v>
      </c>
      <c r="AR46" s="62">
        <v>4</v>
      </c>
      <c r="AS46" s="7"/>
      <c r="AT46" s="7"/>
      <c r="AU46" s="72">
        <f t="shared" si="6"/>
        <v>4</v>
      </c>
      <c r="AV46" s="7"/>
      <c r="AW46" s="7"/>
      <c r="AX46" s="62">
        <v>5</v>
      </c>
      <c r="AY46" s="62">
        <v>5</v>
      </c>
      <c r="AZ46" s="62">
        <v>5</v>
      </c>
      <c r="BA46" s="72">
        <f t="shared" si="7"/>
        <v>5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3</v>
      </c>
      <c r="M47" s="62">
        <v>4</v>
      </c>
      <c r="N47" s="62">
        <v>3</v>
      </c>
      <c r="O47" s="62">
        <v>3</v>
      </c>
      <c r="P47" s="62">
        <v>3</v>
      </c>
      <c r="Q47" s="72">
        <f t="shared" si="1"/>
        <v>3.2</v>
      </c>
      <c r="R47" s="62">
        <v>3</v>
      </c>
      <c r="S47" s="62">
        <v>3</v>
      </c>
      <c r="T47" s="62"/>
      <c r="U47" s="62">
        <v>3</v>
      </c>
      <c r="V47" s="62"/>
      <c r="W47" s="72">
        <f t="shared" si="2"/>
        <v>3</v>
      </c>
      <c r="X47" s="62">
        <v>2</v>
      </c>
      <c r="Y47" s="62">
        <v>1</v>
      </c>
      <c r="Z47" s="62"/>
      <c r="AA47" s="62"/>
      <c r="AB47" s="62"/>
      <c r="AC47" s="72">
        <f t="shared" si="3"/>
        <v>1.5</v>
      </c>
      <c r="AD47" s="62">
        <v>3</v>
      </c>
      <c r="AE47" s="62"/>
      <c r="AF47" s="62">
        <v>2</v>
      </c>
      <c r="AG47" s="62"/>
      <c r="AH47" s="62"/>
      <c r="AI47" s="72">
        <f t="shared" si="4"/>
        <v>2.5</v>
      </c>
      <c r="AJ47" s="62"/>
      <c r="AK47" s="62"/>
      <c r="AL47" s="62"/>
      <c r="AM47" s="62"/>
      <c r="AN47" s="62"/>
      <c r="AO47" s="72" t="str">
        <f t="shared" si="5"/>
        <v>A</v>
      </c>
      <c r="AP47" s="62">
        <v>2</v>
      </c>
      <c r="AQ47" s="62">
        <v>1</v>
      </c>
      <c r="AR47" s="62">
        <v>1</v>
      </c>
      <c r="AS47" s="62"/>
      <c r="AT47" s="62"/>
      <c r="AU47" s="72">
        <f t="shared" si="6"/>
        <v>1.3333333333333333</v>
      </c>
      <c r="AV47" s="62"/>
      <c r="AW47" s="62"/>
      <c r="AX47" s="62">
        <v>2</v>
      </c>
      <c r="AY47" s="62">
        <v>2</v>
      </c>
      <c r="AZ47" s="62">
        <v>2</v>
      </c>
      <c r="BA47" s="72">
        <f t="shared" si="7"/>
        <v>2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2</v>
      </c>
      <c r="M48" s="62">
        <v>3</v>
      </c>
      <c r="N48" s="62">
        <v>2</v>
      </c>
      <c r="O48" s="62">
        <v>3</v>
      </c>
      <c r="P48" s="62">
        <v>2</v>
      </c>
      <c r="Q48" s="72">
        <f t="shared" si="1"/>
        <v>2.4</v>
      </c>
      <c r="R48" s="62">
        <v>3</v>
      </c>
      <c r="S48" s="62">
        <v>3</v>
      </c>
      <c r="T48" s="7"/>
      <c r="U48" s="62">
        <v>3</v>
      </c>
      <c r="V48" s="7"/>
      <c r="W48" s="72">
        <f t="shared" si="2"/>
        <v>3</v>
      </c>
      <c r="X48" s="62">
        <v>1</v>
      </c>
      <c r="Y48" s="62">
        <v>3</v>
      </c>
      <c r="Z48" s="7"/>
      <c r="AA48" s="7"/>
      <c r="AB48" s="7"/>
      <c r="AC48" s="72">
        <f t="shared" si="3"/>
        <v>2</v>
      </c>
      <c r="AD48" s="62">
        <v>5</v>
      </c>
      <c r="AE48" s="7"/>
      <c r="AF48" s="62">
        <v>5</v>
      </c>
      <c r="AG48" s="7"/>
      <c r="AH48" s="7"/>
      <c r="AI48" s="72">
        <f t="shared" si="4"/>
        <v>5</v>
      </c>
      <c r="AJ48" s="7"/>
      <c r="AK48" s="7"/>
      <c r="AL48" s="7"/>
      <c r="AM48" s="7"/>
      <c r="AN48" s="7"/>
      <c r="AO48" s="72" t="str">
        <f t="shared" si="5"/>
        <v>A</v>
      </c>
      <c r="AP48" s="62">
        <v>2</v>
      </c>
      <c r="AQ48" s="62">
        <v>1</v>
      </c>
      <c r="AR48" s="62">
        <v>2</v>
      </c>
      <c r="AS48" s="7"/>
      <c r="AT48" s="7"/>
      <c r="AU48" s="72">
        <f t="shared" si="6"/>
        <v>1.6666666666666667</v>
      </c>
      <c r="AV48" s="7"/>
      <c r="AW48" s="7"/>
      <c r="AX48" s="62">
        <v>5</v>
      </c>
      <c r="AY48" s="62">
        <v>5</v>
      </c>
      <c r="AZ48" s="62">
        <v>5</v>
      </c>
      <c r="BA48" s="72">
        <f t="shared" si="7"/>
        <v>5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72">
        <f t="shared" si="1"/>
        <v>0</v>
      </c>
      <c r="R49" s="62">
        <v>0</v>
      </c>
      <c r="S49" s="62">
        <v>0</v>
      </c>
      <c r="T49" s="62"/>
      <c r="U49" s="62">
        <v>0</v>
      </c>
      <c r="V49" s="62"/>
      <c r="W49" s="72">
        <f t="shared" si="2"/>
        <v>0</v>
      </c>
      <c r="X49" s="62">
        <v>0</v>
      </c>
      <c r="Y49" s="62">
        <v>0</v>
      </c>
      <c r="Z49" s="62"/>
      <c r="AA49" s="62"/>
      <c r="AB49" s="62"/>
      <c r="AC49" s="72">
        <f t="shared" si="3"/>
        <v>0</v>
      </c>
      <c r="AD49" s="62">
        <v>0</v>
      </c>
      <c r="AE49" s="62"/>
      <c r="AF49" s="62">
        <v>0</v>
      </c>
      <c r="AG49" s="62"/>
      <c r="AH49" s="62"/>
      <c r="AI49" s="72">
        <f t="shared" si="4"/>
        <v>0</v>
      </c>
      <c r="AJ49" s="62"/>
      <c r="AK49" s="62"/>
      <c r="AL49" s="62"/>
      <c r="AM49" s="62"/>
      <c r="AN49" s="62"/>
      <c r="AO49" s="72" t="str">
        <f t="shared" si="5"/>
        <v>A</v>
      </c>
      <c r="AP49" s="62">
        <v>0</v>
      </c>
      <c r="AQ49" s="62">
        <v>0</v>
      </c>
      <c r="AR49" s="62">
        <v>0</v>
      </c>
      <c r="AS49" s="62"/>
      <c r="AT49" s="62"/>
      <c r="AU49" s="72">
        <f t="shared" si="6"/>
        <v>0</v>
      </c>
      <c r="AV49" s="62"/>
      <c r="AW49" s="62"/>
      <c r="AX49" s="62">
        <v>0</v>
      </c>
      <c r="AY49" s="62">
        <v>0</v>
      </c>
      <c r="AZ49" s="62">
        <v>0</v>
      </c>
      <c r="BA49" s="72">
        <f t="shared" si="7"/>
        <v>0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4</v>
      </c>
      <c r="M50" s="62">
        <v>4</v>
      </c>
      <c r="N50" s="62">
        <v>4</v>
      </c>
      <c r="O50" s="62">
        <v>3</v>
      </c>
      <c r="P50" s="62">
        <v>3</v>
      </c>
      <c r="Q50" s="72">
        <f t="shared" si="1"/>
        <v>3.6</v>
      </c>
      <c r="R50" s="62">
        <v>3</v>
      </c>
      <c r="S50" s="62">
        <v>2</v>
      </c>
      <c r="T50" s="7"/>
      <c r="U50" s="62">
        <v>2</v>
      </c>
      <c r="V50" s="7"/>
      <c r="W50" s="72">
        <f t="shared" si="2"/>
        <v>2.3333333333333335</v>
      </c>
      <c r="X50" s="62">
        <v>2</v>
      </c>
      <c r="Y50" s="62">
        <v>2</v>
      </c>
      <c r="Z50" s="7"/>
      <c r="AA50" s="7"/>
      <c r="AB50" s="7"/>
      <c r="AC50" s="72">
        <f t="shared" si="3"/>
        <v>2</v>
      </c>
      <c r="AD50" s="62">
        <v>2</v>
      </c>
      <c r="AE50" s="7"/>
      <c r="AF50" s="62">
        <v>2</v>
      </c>
      <c r="AG50" s="7"/>
      <c r="AH50" s="7"/>
      <c r="AI50" s="72">
        <f t="shared" si="4"/>
        <v>2</v>
      </c>
      <c r="AJ50" s="7"/>
      <c r="AK50" s="7"/>
      <c r="AL50" s="7"/>
      <c r="AM50" s="7"/>
      <c r="AN50" s="7"/>
      <c r="AO50" s="72" t="str">
        <f t="shared" si="5"/>
        <v>A</v>
      </c>
      <c r="AP50" s="62">
        <v>2</v>
      </c>
      <c r="AQ50" s="62">
        <v>2</v>
      </c>
      <c r="AR50" s="62">
        <v>2</v>
      </c>
      <c r="AS50" s="7"/>
      <c r="AT50" s="7"/>
      <c r="AU50" s="72">
        <f t="shared" si="6"/>
        <v>2</v>
      </c>
      <c r="AV50" s="7"/>
      <c r="AW50" s="7"/>
      <c r="AX50" s="62">
        <v>2</v>
      </c>
      <c r="AY50" s="62">
        <v>2</v>
      </c>
      <c r="AZ50" s="62">
        <v>2</v>
      </c>
      <c r="BA50" s="72">
        <f t="shared" si="7"/>
        <v>2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3</v>
      </c>
      <c r="M51" s="62">
        <v>3</v>
      </c>
      <c r="N51" s="62">
        <v>1</v>
      </c>
      <c r="O51" s="62">
        <v>3</v>
      </c>
      <c r="P51" s="62">
        <v>2</v>
      </c>
      <c r="Q51" s="72">
        <f t="shared" si="1"/>
        <v>2.4</v>
      </c>
      <c r="R51" s="62">
        <v>3</v>
      </c>
      <c r="S51" s="62">
        <v>3</v>
      </c>
      <c r="T51" s="62"/>
      <c r="U51" s="62">
        <v>3</v>
      </c>
      <c r="V51" s="62"/>
      <c r="W51" s="72">
        <f t="shared" si="2"/>
        <v>3</v>
      </c>
      <c r="X51" s="62">
        <v>2</v>
      </c>
      <c r="Y51" s="62">
        <v>2</v>
      </c>
      <c r="Z51" s="62"/>
      <c r="AA51" s="62"/>
      <c r="AB51" s="62"/>
      <c r="AC51" s="72">
        <f t="shared" si="3"/>
        <v>2</v>
      </c>
      <c r="AD51" s="62">
        <v>2</v>
      </c>
      <c r="AE51" s="62"/>
      <c r="AF51" s="62">
        <v>2</v>
      </c>
      <c r="AG51" s="62"/>
      <c r="AH51" s="62"/>
      <c r="AI51" s="72">
        <f t="shared" si="4"/>
        <v>2</v>
      </c>
      <c r="AJ51" s="62"/>
      <c r="AK51" s="62"/>
      <c r="AL51" s="62"/>
      <c r="AM51" s="62"/>
      <c r="AN51" s="62"/>
      <c r="AO51" s="72" t="str">
        <f t="shared" si="5"/>
        <v>A</v>
      </c>
      <c r="AP51" s="62">
        <v>3</v>
      </c>
      <c r="AQ51" s="62">
        <v>3</v>
      </c>
      <c r="AR51" s="62">
        <v>3</v>
      </c>
      <c r="AS51" s="62"/>
      <c r="AT51" s="62"/>
      <c r="AU51" s="72">
        <f t="shared" si="6"/>
        <v>3</v>
      </c>
      <c r="AV51" s="62"/>
      <c r="AW51" s="62"/>
      <c r="AX51" s="62">
        <v>1</v>
      </c>
      <c r="AY51" s="62">
        <v>1</v>
      </c>
      <c r="AZ51" s="62">
        <v>1</v>
      </c>
      <c r="BA51" s="72">
        <f t="shared" si="7"/>
        <v>1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3</v>
      </c>
      <c r="M52" s="62">
        <v>2</v>
      </c>
      <c r="N52" s="62">
        <v>1</v>
      </c>
      <c r="O52" s="62">
        <v>3</v>
      </c>
      <c r="P52" s="62">
        <v>1</v>
      </c>
      <c r="Q52" s="72">
        <f t="shared" si="1"/>
        <v>2</v>
      </c>
      <c r="R52" s="62">
        <v>1</v>
      </c>
      <c r="S52" s="62">
        <v>1</v>
      </c>
      <c r="T52" s="7"/>
      <c r="U52" s="62">
        <v>1</v>
      </c>
      <c r="V52" s="7"/>
      <c r="W52" s="72">
        <f t="shared" si="2"/>
        <v>1</v>
      </c>
      <c r="X52" s="62">
        <v>1</v>
      </c>
      <c r="Y52" s="62">
        <v>1</v>
      </c>
      <c r="Z52" s="7"/>
      <c r="AA52" s="7"/>
      <c r="AB52" s="7"/>
      <c r="AC52" s="72">
        <f t="shared" si="3"/>
        <v>1</v>
      </c>
      <c r="AD52" s="62">
        <v>1</v>
      </c>
      <c r="AE52" s="7"/>
      <c r="AF52" s="62">
        <v>0</v>
      </c>
      <c r="AG52" s="7"/>
      <c r="AH52" s="7"/>
      <c r="AI52" s="72">
        <f t="shared" si="4"/>
        <v>0.5</v>
      </c>
      <c r="AJ52" s="7"/>
      <c r="AK52" s="7"/>
      <c r="AL52" s="7"/>
      <c r="AM52" s="7"/>
      <c r="AN52" s="7"/>
      <c r="AO52" s="72" t="str">
        <f t="shared" si="5"/>
        <v>A</v>
      </c>
      <c r="AP52" s="62">
        <v>1</v>
      </c>
      <c r="AQ52" s="62">
        <v>1</v>
      </c>
      <c r="AR52" s="62">
        <v>1</v>
      </c>
      <c r="AS52" s="7"/>
      <c r="AT52" s="7"/>
      <c r="AU52" s="72">
        <f t="shared" si="6"/>
        <v>1</v>
      </c>
      <c r="AV52" s="7"/>
      <c r="AW52" s="7"/>
      <c r="AX52" s="62">
        <v>1</v>
      </c>
      <c r="AY52" s="62">
        <v>1</v>
      </c>
      <c r="AZ52" s="62">
        <v>1</v>
      </c>
      <c r="BA52" s="72">
        <f t="shared" si="7"/>
        <v>1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2</v>
      </c>
      <c r="M53" s="62">
        <v>2</v>
      </c>
      <c r="N53" s="62">
        <v>2</v>
      </c>
      <c r="O53" s="62">
        <v>3</v>
      </c>
      <c r="P53" s="62">
        <v>2</v>
      </c>
      <c r="Q53" s="72">
        <f t="shared" si="1"/>
        <v>2.2000000000000002</v>
      </c>
      <c r="R53" s="62">
        <v>4</v>
      </c>
      <c r="S53" s="62">
        <v>3</v>
      </c>
      <c r="T53" s="62"/>
      <c r="U53" s="62">
        <v>3</v>
      </c>
      <c r="V53" s="62"/>
      <c r="W53" s="72">
        <f t="shared" si="2"/>
        <v>3.3333333333333335</v>
      </c>
      <c r="X53" s="62">
        <v>2</v>
      </c>
      <c r="Y53" s="62">
        <v>2</v>
      </c>
      <c r="Z53" s="62"/>
      <c r="AA53" s="62"/>
      <c r="AB53" s="62"/>
      <c r="AC53" s="72">
        <f t="shared" si="3"/>
        <v>2</v>
      </c>
      <c r="AD53" s="62">
        <v>1</v>
      </c>
      <c r="AE53" s="62"/>
      <c r="AF53" s="62">
        <v>1</v>
      </c>
      <c r="AG53" s="62"/>
      <c r="AH53" s="62"/>
      <c r="AI53" s="72">
        <f t="shared" si="4"/>
        <v>1</v>
      </c>
      <c r="AJ53" s="62"/>
      <c r="AK53" s="62"/>
      <c r="AL53" s="62"/>
      <c r="AM53" s="62"/>
      <c r="AN53" s="62"/>
      <c r="AO53" s="72" t="str">
        <f t="shared" si="5"/>
        <v>A</v>
      </c>
      <c r="AP53" s="62">
        <v>4</v>
      </c>
      <c r="AQ53" s="62">
        <v>4</v>
      </c>
      <c r="AR53" s="62">
        <v>3</v>
      </c>
      <c r="AS53" s="62"/>
      <c r="AT53" s="62"/>
      <c r="AU53" s="72">
        <f t="shared" si="6"/>
        <v>3.6666666666666665</v>
      </c>
      <c r="AV53" s="62"/>
      <c r="AW53" s="62"/>
      <c r="AX53" s="62">
        <v>1</v>
      </c>
      <c r="AY53" s="62">
        <v>1</v>
      </c>
      <c r="AZ53" s="62">
        <v>1</v>
      </c>
      <c r="BA53" s="72">
        <f t="shared" si="7"/>
        <v>1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3</v>
      </c>
      <c r="M54" s="62">
        <v>3</v>
      </c>
      <c r="N54" s="62">
        <v>2</v>
      </c>
      <c r="O54" s="62">
        <v>3</v>
      </c>
      <c r="P54" s="62">
        <v>3</v>
      </c>
      <c r="Q54" s="72">
        <f t="shared" si="1"/>
        <v>2.8</v>
      </c>
      <c r="R54" s="62">
        <v>2</v>
      </c>
      <c r="S54" s="62">
        <v>2</v>
      </c>
      <c r="T54" s="7"/>
      <c r="U54" s="62">
        <v>2</v>
      </c>
      <c r="V54" s="7"/>
      <c r="W54" s="72">
        <f t="shared" si="2"/>
        <v>2</v>
      </c>
      <c r="X54" s="62">
        <v>1</v>
      </c>
      <c r="Y54" s="62">
        <v>1</v>
      </c>
      <c r="Z54" s="7"/>
      <c r="AA54" s="7"/>
      <c r="AB54" s="7"/>
      <c r="AC54" s="72">
        <f t="shared" si="3"/>
        <v>1</v>
      </c>
      <c r="AD54" s="62">
        <v>1</v>
      </c>
      <c r="AE54" s="7"/>
      <c r="AF54" s="62">
        <v>1</v>
      </c>
      <c r="AG54" s="7"/>
      <c r="AH54" s="7"/>
      <c r="AI54" s="72">
        <f t="shared" si="4"/>
        <v>1</v>
      </c>
      <c r="AJ54" s="7"/>
      <c r="AK54" s="7"/>
      <c r="AL54" s="7"/>
      <c r="AM54" s="7"/>
      <c r="AN54" s="7"/>
      <c r="AO54" s="72" t="str">
        <f t="shared" si="5"/>
        <v>A</v>
      </c>
      <c r="AP54" s="62">
        <v>2</v>
      </c>
      <c r="AQ54" s="62">
        <v>2</v>
      </c>
      <c r="AR54" s="62">
        <v>1</v>
      </c>
      <c r="AS54" s="7"/>
      <c r="AT54" s="7"/>
      <c r="AU54" s="72">
        <f t="shared" si="6"/>
        <v>1.6666666666666667</v>
      </c>
      <c r="AV54" s="7"/>
      <c r="AW54" s="7"/>
      <c r="AX54" s="62">
        <v>1</v>
      </c>
      <c r="AY54" s="62">
        <v>1</v>
      </c>
      <c r="AZ54" s="62">
        <v>1</v>
      </c>
      <c r="BA54" s="72">
        <f t="shared" si="7"/>
        <v>1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72">
        <f t="shared" si="1"/>
        <v>0</v>
      </c>
      <c r="R55" s="62">
        <v>0</v>
      </c>
      <c r="S55" s="62">
        <v>0</v>
      </c>
      <c r="T55" s="62"/>
      <c r="U55" s="62">
        <v>0</v>
      </c>
      <c r="V55" s="62"/>
      <c r="W55" s="72">
        <f t="shared" si="2"/>
        <v>0</v>
      </c>
      <c r="X55" s="62">
        <v>0</v>
      </c>
      <c r="Y55" s="62">
        <v>0</v>
      </c>
      <c r="Z55" s="62"/>
      <c r="AA55" s="62"/>
      <c r="AB55" s="62"/>
      <c r="AC55" s="72">
        <f t="shared" si="3"/>
        <v>0</v>
      </c>
      <c r="AD55" s="62">
        <v>0</v>
      </c>
      <c r="AE55" s="62"/>
      <c r="AF55" s="62">
        <v>0</v>
      </c>
      <c r="AG55" s="62"/>
      <c r="AH55" s="62"/>
      <c r="AI55" s="72">
        <f t="shared" si="4"/>
        <v>0</v>
      </c>
      <c r="AJ55" s="62"/>
      <c r="AK55" s="62"/>
      <c r="AL55" s="62"/>
      <c r="AM55" s="62"/>
      <c r="AN55" s="62"/>
      <c r="AO55" s="72" t="str">
        <f t="shared" si="5"/>
        <v>A</v>
      </c>
      <c r="AP55" s="62">
        <v>0</v>
      </c>
      <c r="AQ55" s="62">
        <v>0</v>
      </c>
      <c r="AR55" s="62">
        <v>0</v>
      </c>
      <c r="AS55" s="62"/>
      <c r="AT55" s="62"/>
      <c r="AU55" s="72">
        <f t="shared" si="6"/>
        <v>0</v>
      </c>
      <c r="AV55" s="62"/>
      <c r="AW55" s="62"/>
      <c r="AX55" s="62">
        <v>0</v>
      </c>
      <c r="AY55" s="62">
        <v>0</v>
      </c>
      <c r="AZ55" s="62">
        <v>0</v>
      </c>
      <c r="BA55" s="72">
        <f t="shared" si="7"/>
        <v>0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>
        <v>4</v>
      </c>
      <c r="N56" s="62">
        <v>3</v>
      </c>
      <c r="O56" s="62">
        <v>3</v>
      </c>
      <c r="P56" s="62">
        <v>3</v>
      </c>
      <c r="Q56" s="72">
        <f t="shared" si="1"/>
        <v>3.2</v>
      </c>
      <c r="R56" s="62">
        <v>4</v>
      </c>
      <c r="S56" s="62">
        <v>4</v>
      </c>
      <c r="T56" s="7"/>
      <c r="U56" s="62">
        <v>4</v>
      </c>
      <c r="V56" s="7"/>
      <c r="W56" s="72">
        <f t="shared" si="2"/>
        <v>4</v>
      </c>
      <c r="X56" s="62">
        <v>2</v>
      </c>
      <c r="Y56" s="62">
        <v>2</v>
      </c>
      <c r="Z56" s="7"/>
      <c r="AA56" s="7"/>
      <c r="AB56" s="7"/>
      <c r="AC56" s="72">
        <f t="shared" si="3"/>
        <v>2</v>
      </c>
      <c r="AD56" s="62">
        <v>3</v>
      </c>
      <c r="AE56" s="7"/>
      <c r="AF56" s="62">
        <v>1</v>
      </c>
      <c r="AG56" s="7"/>
      <c r="AH56" s="7"/>
      <c r="AI56" s="72">
        <f t="shared" si="4"/>
        <v>2</v>
      </c>
      <c r="AJ56" s="7"/>
      <c r="AK56" s="7"/>
      <c r="AL56" s="7"/>
      <c r="AM56" s="7"/>
      <c r="AN56" s="7"/>
      <c r="AO56" s="72" t="str">
        <f t="shared" si="5"/>
        <v>A</v>
      </c>
      <c r="AP56" s="62">
        <v>4</v>
      </c>
      <c r="AQ56" s="62">
        <v>4</v>
      </c>
      <c r="AR56" s="62">
        <v>4</v>
      </c>
      <c r="AS56" s="7"/>
      <c r="AT56" s="7"/>
      <c r="AU56" s="72">
        <f t="shared" si="6"/>
        <v>4</v>
      </c>
      <c r="AV56" s="7"/>
      <c r="AW56" s="7"/>
      <c r="AX56" s="62">
        <v>1</v>
      </c>
      <c r="AY56" s="62">
        <v>1</v>
      </c>
      <c r="AZ56" s="62">
        <v>1</v>
      </c>
      <c r="BA56" s="72">
        <f t="shared" si="7"/>
        <v>1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3</v>
      </c>
      <c r="M57" s="62">
        <v>4</v>
      </c>
      <c r="N57" s="62">
        <v>5</v>
      </c>
      <c r="O57" s="62">
        <v>4</v>
      </c>
      <c r="P57" s="62">
        <v>4</v>
      </c>
      <c r="Q57" s="72">
        <f t="shared" si="1"/>
        <v>4</v>
      </c>
      <c r="R57" s="62">
        <v>4</v>
      </c>
      <c r="S57" s="62">
        <v>4</v>
      </c>
      <c r="T57" s="62"/>
      <c r="U57" s="62">
        <v>4</v>
      </c>
      <c r="V57" s="62"/>
      <c r="W57" s="72">
        <f t="shared" si="2"/>
        <v>4</v>
      </c>
      <c r="X57" s="62">
        <v>4</v>
      </c>
      <c r="Y57" s="62">
        <v>2</v>
      </c>
      <c r="Z57" s="62"/>
      <c r="AA57" s="62"/>
      <c r="AB57" s="62"/>
      <c r="AC57" s="72">
        <f t="shared" si="3"/>
        <v>3</v>
      </c>
      <c r="AD57" s="62">
        <v>4</v>
      </c>
      <c r="AE57" s="62"/>
      <c r="AF57" s="62">
        <v>2</v>
      </c>
      <c r="AG57" s="62"/>
      <c r="AH57" s="62"/>
      <c r="AI57" s="72">
        <f t="shared" si="4"/>
        <v>3</v>
      </c>
      <c r="AJ57" s="62"/>
      <c r="AK57" s="62"/>
      <c r="AL57" s="62"/>
      <c r="AM57" s="62"/>
      <c r="AN57" s="62"/>
      <c r="AO57" s="72" t="str">
        <f t="shared" si="5"/>
        <v>A</v>
      </c>
      <c r="AP57" s="62">
        <v>4</v>
      </c>
      <c r="AQ57" s="62">
        <v>4</v>
      </c>
      <c r="AR57" s="62">
        <v>4</v>
      </c>
      <c r="AS57" s="62"/>
      <c r="AT57" s="62"/>
      <c r="AU57" s="72">
        <f t="shared" si="6"/>
        <v>4</v>
      </c>
      <c r="AV57" s="62"/>
      <c r="AW57" s="62"/>
      <c r="AX57" s="62">
        <v>2</v>
      </c>
      <c r="AY57" s="62">
        <v>2</v>
      </c>
      <c r="AZ57" s="62">
        <v>2</v>
      </c>
      <c r="BA57" s="72">
        <f t="shared" si="7"/>
        <v>2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3</v>
      </c>
      <c r="M58" s="62">
        <v>3</v>
      </c>
      <c r="N58" s="62">
        <v>2</v>
      </c>
      <c r="O58" s="62">
        <v>3</v>
      </c>
      <c r="P58" s="62">
        <v>1</v>
      </c>
      <c r="Q58" s="72">
        <f t="shared" si="1"/>
        <v>2.4</v>
      </c>
      <c r="R58" s="62">
        <v>2</v>
      </c>
      <c r="S58" s="62">
        <v>2</v>
      </c>
      <c r="T58" s="7"/>
      <c r="U58" s="62">
        <v>2</v>
      </c>
      <c r="V58" s="7"/>
      <c r="W58" s="72">
        <f t="shared" si="2"/>
        <v>2</v>
      </c>
      <c r="X58" s="62">
        <v>2</v>
      </c>
      <c r="Y58" s="62">
        <v>2</v>
      </c>
      <c r="Z58" s="7"/>
      <c r="AA58" s="7"/>
      <c r="AB58" s="7"/>
      <c r="AC58" s="72">
        <f t="shared" si="3"/>
        <v>2</v>
      </c>
      <c r="AD58" s="62">
        <v>4</v>
      </c>
      <c r="AE58" s="7"/>
      <c r="AF58" s="62">
        <v>0</v>
      </c>
      <c r="AG58" s="7"/>
      <c r="AH58" s="7"/>
      <c r="AI58" s="72">
        <f t="shared" si="4"/>
        <v>2</v>
      </c>
      <c r="AJ58" s="7"/>
      <c r="AK58" s="7"/>
      <c r="AL58" s="7"/>
      <c r="AM58" s="7"/>
      <c r="AN58" s="7"/>
      <c r="AO58" s="72" t="str">
        <f t="shared" si="5"/>
        <v>A</v>
      </c>
      <c r="AP58" s="62">
        <v>4</v>
      </c>
      <c r="AQ58" s="62">
        <v>3</v>
      </c>
      <c r="AR58" s="62">
        <v>2</v>
      </c>
      <c r="AS58" s="7"/>
      <c r="AT58" s="7"/>
      <c r="AU58" s="72">
        <f t="shared" si="6"/>
        <v>3</v>
      </c>
      <c r="AV58" s="7"/>
      <c r="AW58" s="7"/>
      <c r="AX58" s="62">
        <v>2</v>
      </c>
      <c r="AY58" s="62">
        <v>3</v>
      </c>
      <c r="AZ58" s="62">
        <v>3</v>
      </c>
      <c r="BA58" s="72">
        <f t="shared" si="7"/>
        <v>2.6666666666666665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4</v>
      </c>
      <c r="M59" s="62">
        <v>4</v>
      </c>
      <c r="N59" s="62">
        <v>4</v>
      </c>
      <c r="O59" s="62">
        <v>4</v>
      </c>
      <c r="P59" s="62">
        <v>4</v>
      </c>
      <c r="Q59" s="72">
        <f t="shared" si="1"/>
        <v>4</v>
      </c>
      <c r="R59" s="62">
        <v>4</v>
      </c>
      <c r="S59" s="62">
        <v>4</v>
      </c>
      <c r="T59" s="62"/>
      <c r="U59" s="62">
        <v>4</v>
      </c>
      <c r="V59" s="62"/>
      <c r="W59" s="72">
        <f t="shared" si="2"/>
        <v>4</v>
      </c>
      <c r="X59" s="62">
        <v>3</v>
      </c>
      <c r="Y59" s="62">
        <v>2</v>
      </c>
      <c r="Z59" s="62"/>
      <c r="AA59" s="62"/>
      <c r="AB59" s="62"/>
      <c r="AC59" s="72">
        <f t="shared" si="3"/>
        <v>2.5</v>
      </c>
      <c r="AD59" s="62">
        <v>1</v>
      </c>
      <c r="AE59" s="62"/>
      <c r="AF59" s="62">
        <v>1</v>
      </c>
      <c r="AG59" s="62"/>
      <c r="AH59" s="62"/>
      <c r="AI59" s="72">
        <f t="shared" si="4"/>
        <v>1</v>
      </c>
      <c r="AJ59" s="62"/>
      <c r="AK59" s="62"/>
      <c r="AL59" s="62"/>
      <c r="AM59" s="62"/>
      <c r="AN59" s="62"/>
      <c r="AO59" s="72" t="str">
        <f t="shared" si="5"/>
        <v>A</v>
      </c>
      <c r="AP59" s="62">
        <v>4</v>
      </c>
      <c r="AQ59" s="62">
        <v>4</v>
      </c>
      <c r="AR59" s="62">
        <v>3</v>
      </c>
      <c r="AS59" s="62"/>
      <c r="AT59" s="62"/>
      <c r="AU59" s="72">
        <f t="shared" si="6"/>
        <v>3.6666666666666665</v>
      </c>
      <c r="AV59" s="62"/>
      <c r="AW59" s="62"/>
      <c r="AX59" s="62">
        <v>1</v>
      </c>
      <c r="AY59" s="62">
        <v>1</v>
      </c>
      <c r="AZ59" s="62">
        <v>1</v>
      </c>
      <c r="BA59" s="72">
        <f t="shared" si="7"/>
        <v>1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2</v>
      </c>
      <c r="M60" s="62">
        <v>2</v>
      </c>
      <c r="N60" s="62">
        <v>2</v>
      </c>
      <c r="O60" s="62">
        <v>2</v>
      </c>
      <c r="P60" s="62">
        <v>2</v>
      </c>
      <c r="Q60" s="72">
        <f t="shared" si="1"/>
        <v>2</v>
      </c>
      <c r="R60" s="62">
        <v>2</v>
      </c>
      <c r="S60" s="62">
        <v>2</v>
      </c>
      <c r="T60" s="7"/>
      <c r="U60" s="62">
        <v>2</v>
      </c>
      <c r="V60" s="7"/>
      <c r="W60" s="72">
        <f t="shared" si="2"/>
        <v>2</v>
      </c>
      <c r="X60" s="62">
        <v>2</v>
      </c>
      <c r="Y60" s="62">
        <v>2</v>
      </c>
      <c r="Z60" s="7"/>
      <c r="AA60" s="7"/>
      <c r="AB60" s="7"/>
      <c r="AC60" s="72">
        <f t="shared" si="3"/>
        <v>2</v>
      </c>
      <c r="AD60" s="62">
        <v>2</v>
      </c>
      <c r="AE60" s="7"/>
      <c r="AF60" s="62">
        <v>2</v>
      </c>
      <c r="AG60" s="7"/>
      <c r="AH60" s="7"/>
      <c r="AI60" s="72">
        <f t="shared" si="4"/>
        <v>2</v>
      </c>
      <c r="AJ60" s="7"/>
      <c r="AK60" s="7"/>
      <c r="AL60" s="7"/>
      <c r="AM60" s="7"/>
      <c r="AN60" s="7"/>
      <c r="AO60" s="72" t="str">
        <f t="shared" si="5"/>
        <v>A</v>
      </c>
      <c r="AP60" s="62">
        <v>2</v>
      </c>
      <c r="AQ60" s="62">
        <v>2</v>
      </c>
      <c r="AR60" s="62">
        <v>2</v>
      </c>
      <c r="AS60" s="7"/>
      <c r="AT60" s="7"/>
      <c r="AU60" s="72">
        <f t="shared" si="6"/>
        <v>2</v>
      </c>
      <c r="AV60" s="7"/>
      <c r="AW60" s="7"/>
      <c r="AX60" s="62">
        <v>2</v>
      </c>
      <c r="AY60" s="62">
        <v>2</v>
      </c>
      <c r="AZ60" s="62">
        <v>2</v>
      </c>
      <c r="BA60" s="72">
        <f t="shared" si="7"/>
        <v>2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>
        <v>3</v>
      </c>
      <c r="N61" s="62">
        <v>3</v>
      </c>
      <c r="O61" s="62">
        <v>3</v>
      </c>
      <c r="P61" s="62">
        <v>3</v>
      </c>
      <c r="Q61" s="72">
        <f t="shared" si="1"/>
        <v>3</v>
      </c>
      <c r="R61" s="62">
        <v>4</v>
      </c>
      <c r="S61" s="62">
        <v>4</v>
      </c>
      <c r="T61" s="62"/>
      <c r="U61" s="62">
        <v>4</v>
      </c>
      <c r="V61" s="62"/>
      <c r="W61" s="72">
        <f t="shared" si="2"/>
        <v>4</v>
      </c>
      <c r="X61" s="62">
        <v>3</v>
      </c>
      <c r="Y61" s="62">
        <v>2</v>
      </c>
      <c r="Z61" s="62"/>
      <c r="AA61" s="62"/>
      <c r="AB61" s="62"/>
      <c r="AC61" s="72">
        <f t="shared" si="3"/>
        <v>2.5</v>
      </c>
      <c r="AD61" s="62">
        <v>3</v>
      </c>
      <c r="AE61" s="62"/>
      <c r="AF61" s="62">
        <v>0</v>
      </c>
      <c r="AG61" s="62"/>
      <c r="AH61" s="62"/>
      <c r="AI61" s="72">
        <f t="shared" si="4"/>
        <v>1.5</v>
      </c>
      <c r="AJ61" s="62"/>
      <c r="AK61" s="62"/>
      <c r="AL61" s="62"/>
      <c r="AM61" s="62"/>
      <c r="AN61" s="62"/>
      <c r="AO61" s="72" t="str">
        <f t="shared" si="5"/>
        <v>A</v>
      </c>
      <c r="AP61" s="62">
        <v>3</v>
      </c>
      <c r="AQ61" s="62">
        <v>4</v>
      </c>
      <c r="AR61" s="62">
        <v>4</v>
      </c>
      <c r="AS61" s="62"/>
      <c r="AT61" s="62"/>
      <c r="AU61" s="72">
        <f t="shared" si="6"/>
        <v>3.6666666666666665</v>
      </c>
      <c r="AV61" s="62"/>
      <c r="AW61" s="62"/>
      <c r="AX61" s="62">
        <v>4</v>
      </c>
      <c r="AY61" s="62">
        <v>3</v>
      </c>
      <c r="AZ61" s="62">
        <v>3</v>
      </c>
      <c r="BA61" s="72">
        <f t="shared" si="7"/>
        <v>3.3333333333333335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2</v>
      </c>
      <c r="M62" s="62">
        <v>2</v>
      </c>
      <c r="N62" s="62">
        <v>2</v>
      </c>
      <c r="O62" s="62">
        <v>3</v>
      </c>
      <c r="P62" s="62">
        <v>2</v>
      </c>
      <c r="Q62" s="72">
        <f t="shared" si="1"/>
        <v>2.2000000000000002</v>
      </c>
      <c r="R62" s="62">
        <v>4</v>
      </c>
      <c r="S62" s="62">
        <v>4</v>
      </c>
      <c r="T62" s="7"/>
      <c r="U62" s="62">
        <v>4</v>
      </c>
      <c r="V62" s="7"/>
      <c r="W62" s="72">
        <f t="shared" si="2"/>
        <v>4</v>
      </c>
      <c r="X62" s="62">
        <v>3</v>
      </c>
      <c r="Y62" s="62">
        <v>4</v>
      </c>
      <c r="Z62" s="7"/>
      <c r="AA62" s="7"/>
      <c r="AB62" s="7"/>
      <c r="AC62" s="72">
        <f t="shared" si="3"/>
        <v>3.5</v>
      </c>
      <c r="AD62" s="62">
        <v>5</v>
      </c>
      <c r="AE62" s="7"/>
      <c r="AF62" s="62">
        <v>0</v>
      </c>
      <c r="AG62" s="7"/>
      <c r="AH62" s="7"/>
      <c r="AI62" s="72">
        <f t="shared" si="4"/>
        <v>2.5</v>
      </c>
      <c r="AJ62" s="7"/>
      <c r="AK62" s="7"/>
      <c r="AL62" s="7"/>
      <c r="AM62" s="7"/>
      <c r="AN62" s="7"/>
      <c r="AO62" s="72" t="str">
        <f t="shared" si="5"/>
        <v>A</v>
      </c>
      <c r="AP62" s="62">
        <v>5</v>
      </c>
      <c r="AQ62" s="62">
        <v>5</v>
      </c>
      <c r="AR62" s="62">
        <v>5</v>
      </c>
      <c r="AS62" s="7"/>
      <c r="AT62" s="7"/>
      <c r="AU62" s="72">
        <f t="shared" si="6"/>
        <v>5</v>
      </c>
      <c r="AV62" s="7"/>
      <c r="AW62" s="7"/>
      <c r="AX62" s="62">
        <v>5</v>
      </c>
      <c r="AY62" s="62">
        <v>2</v>
      </c>
      <c r="AZ62" s="62">
        <v>5</v>
      </c>
      <c r="BA62" s="72">
        <f t="shared" si="7"/>
        <v>4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2</v>
      </c>
      <c r="M63" s="62">
        <v>2</v>
      </c>
      <c r="N63" s="62">
        <v>2</v>
      </c>
      <c r="O63" s="62">
        <v>3</v>
      </c>
      <c r="P63" s="62">
        <v>1</v>
      </c>
      <c r="Q63" s="72">
        <f t="shared" si="1"/>
        <v>2</v>
      </c>
      <c r="R63" s="62">
        <v>2</v>
      </c>
      <c r="S63" s="62">
        <v>2</v>
      </c>
      <c r="T63" s="62"/>
      <c r="U63" s="62">
        <v>2</v>
      </c>
      <c r="V63" s="62"/>
      <c r="W63" s="72">
        <f t="shared" si="2"/>
        <v>2</v>
      </c>
      <c r="X63" s="62">
        <v>2</v>
      </c>
      <c r="Y63" s="62">
        <v>2</v>
      </c>
      <c r="Z63" s="62"/>
      <c r="AA63" s="62"/>
      <c r="AB63" s="62"/>
      <c r="AC63" s="72">
        <f t="shared" si="3"/>
        <v>2</v>
      </c>
      <c r="AD63" s="62">
        <v>4</v>
      </c>
      <c r="AE63" s="62"/>
      <c r="AF63" s="62">
        <v>0</v>
      </c>
      <c r="AG63" s="62"/>
      <c r="AH63" s="62"/>
      <c r="AI63" s="72">
        <f t="shared" si="4"/>
        <v>2</v>
      </c>
      <c r="AJ63" s="62"/>
      <c r="AK63" s="62"/>
      <c r="AL63" s="62"/>
      <c r="AM63" s="62"/>
      <c r="AN63" s="62"/>
      <c r="AO63" s="72" t="str">
        <f t="shared" si="5"/>
        <v>A</v>
      </c>
      <c r="AP63" s="62">
        <v>4</v>
      </c>
      <c r="AQ63" s="62">
        <v>4</v>
      </c>
      <c r="AR63" s="62">
        <v>3</v>
      </c>
      <c r="AS63" s="62"/>
      <c r="AT63" s="62"/>
      <c r="AU63" s="72">
        <f t="shared" si="6"/>
        <v>3.6666666666666665</v>
      </c>
      <c r="AV63" s="62"/>
      <c r="AW63" s="62"/>
      <c r="AX63" s="62">
        <v>2</v>
      </c>
      <c r="AY63" s="62">
        <v>2</v>
      </c>
      <c r="AZ63" s="62">
        <v>2</v>
      </c>
      <c r="BA63" s="72">
        <f t="shared" si="7"/>
        <v>2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>
        <v>2</v>
      </c>
      <c r="N64" s="62">
        <v>2</v>
      </c>
      <c r="O64" s="62">
        <v>3</v>
      </c>
      <c r="P64" s="62">
        <v>2</v>
      </c>
      <c r="Q64" s="72">
        <f t="shared" si="1"/>
        <v>2.4</v>
      </c>
      <c r="R64" s="62">
        <v>3</v>
      </c>
      <c r="S64" s="62">
        <v>3</v>
      </c>
      <c r="T64" s="7"/>
      <c r="U64" s="62">
        <v>3</v>
      </c>
      <c r="V64" s="7"/>
      <c r="W64" s="72">
        <f t="shared" si="2"/>
        <v>3</v>
      </c>
      <c r="X64" s="62">
        <v>3</v>
      </c>
      <c r="Y64" s="62">
        <v>2</v>
      </c>
      <c r="Z64" s="7"/>
      <c r="AA64" s="7"/>
      <c r="AB64" s="7"/>
      <c r="AC64" s="72">
        <f t="shared" si="3"/>
        <v>2.5</v>
      </c>
      <c r="AD64" s="62">
        <v>1</v>
      </c>
      <c r="AE64" s="7"/>
      <c r="AF64" s="62">
        <v>1</v>
      </c>
      <c r="AG64" s="7"/>
      <c r="AH64" s="7"/>
      <c r="AI64" s="72">
        <f t="shared" si="4"/>
        <v>1</v>
      </c>
      <c r="AJ64" s="7"/>
      <c r="AK64" s="7"/>
      <c r="AL64" s="7"/>
      <c r="AM64" s="7"/>
      <c r="AN64" s="7"/>
      <c r="AO64" s="72" t="str">
        <f t="shared" si="5"/>
        <v>A</v>
      </c>
      <c r="AP64" s="62">
        <v>2</v>
      </c>
      <c r="AQ64" s="62">
        <v>2</v>
      </c>
      <c r="AR64" s="62">
        <v>3</v>
      </c>
      <c r="AS64" s="7"/>
      <c r="AT64" s="7"/>
      <c r="AU64" s="72">
        <f t="shared" si="6"/>
        <v>2.3333333333333335</v>
      </c>
      <c r="AV64" s="7"/>
      <c r="AW64" s="7"/>
      <c r="AX64" s="62">
        <v>1</v>
      </c>
      <c r="AY64" s="62">
        <v>1</v>
      </c>
      <c r="AZ64" s="62">
        <v>1</v>
      </c>
      <c r="BA64" s="72">
        <f t="shared" si="7"/>
        <v>1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>
        <v>3</v>
      </c>
      <c r="N65" s="62">
        <v>3</v>
      </c>
      <c r="O65" s="62">
        <v>3</v>
      </c>
      <c r="P65" s="62">
        <v>3</v>
      </c>
      <c r="Q65" s="72">
        <f t="shared" si="1"/>
        <v>3</v>
      </c>
      <c r="R65" s="62">
        <v>3</v>
      </c>
      <c r="S65" s="62">
        <v>3</v>
      </c>
      <c r="T65" s="62"/>
      <c r="U65" s="62">
        <v>3</v>
      </c>
      <c r="V65" s="62"/>
      <c r="W65" s="72">
        <f t="shared" si="2"/>
        <v>3</v>
      </c>
      <c r="X65" s="62">
        <v>2</v>
      </c>
      <c r="Y65" s="62">
        <v>2</v>
      </c>
      <c r="Z65" s="62"/>
      <c r="AA65" s="62"/>
      <c r="AB65" s="62"/>
      <c r="AC65" s="72">
        <f t="shared" si="3"/>
        <v>2</v>
      </c>
      <c r="AD65" s="62">
        <v>2</v>
      </c>
      <c r="AE65" s="62"/>
      <c r="AF65" s="62">
        <v>0</v>
      </c>
      <c r="AG65" s="62"/>
      <c r="AH65" s="62"/>
      <c r="AI65" s="72">
        <f t="shared" si="4"/>
        <v>1</v>
      </c>
      <c r="AJ65" s="62"/>
      <c r="AK65" s="62"/>
      <c r="AL65" s="62"/>
      <c r="AM65" s="62"/>
      <c r="AN65" s="62"/>
      <c r="AO65" s="72" t="str">
        <f t="shared" si="5"/>
        <v>A</v>
      </c>
      <c r="AP65" s="62">
        <v>2</v>
      </c>
      <c r="AQ65" s="62">
        <v>3</v>
      </c>
      <c r="AR65" s="62">
        <v>3</v>
      </c>
      <c r="AS65" s="62"/>
      <c r="AT65" s="62"/>
      <c r="AU65" s="72">
        <f t="shared" si="6"/>
        <v>2.6666666666666665</v>
      </c>
      <c r="AV65" s="62"/>
      <c r="AW65" s="62"/>
      <c r="AX65" s="62">
        <v>3</v>
      </c>
      <c r="AY65" s="62">
        <v>1</v>
      </c>
      <c r="AZ65" s="62">
        <v>1</v>
      </c>
      <c r="BA65" s="72">
        <f t="shared" si="7"/>
        <v>1.6666666666666667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3</v>
      </c>
      <c r="M66" s="62">
        <v>4</v>
      </c>
      <c r="N66" s="62">
        <v>3</v>
      </c>
      <c r="O66" s="62">
        <v>3</v>
      </c>
      <c r="P66" s="62">
        <v>3</v>
      </c>
      <c r="Q66" s="72">
        <f t="shared" si="1"/>
        <v>3.2</v>
      </c>
      <c r="R66" s="62">
        <v>3</v>
      </c>
      <c r="S66" s="62">
        <v>3</v>
      </c>
      <c r="T66" s="7"/>
      <c r="U66" s="62">
        <v>3</v>
      </c>
      <c r="V66" s="7"/>
      <c r="W66" s="72">
        <f t="shared" si="2"/>
        <v>3</v>
      </c>
      <c r="X66" s="62">
        <v>2</v>
      </c>
      <c r="Y66" s="62">
        <v>1</v>
      </c>
      <c r="Z66" s="7"/>
      <c r="AA66" s="7"/>
      <c r="AB66" s="7"/>
      <c r="AC66" s="72">
        <f t="shared" si="3"/>
        <v>1.5</v>
      </c>
      <c r="AD66" s="62">
        <v>3</v>
      </c>
      <c r="AE66" s="7"/>
      <c r="AF66" s="62">
        <v>2</v>
      </c>
      <c r="AG66" s="7"/>
      <c r="AH66" s="7"/>
      <c r="AI66" s="72">
        <f t="shared" si="4"/>
        <v>2.5</v>
      </c>
      <c r="AJ66" s="7"/>
      <c r="AK66" s="7"/>
      <c r="AL66" s="7"/>
      <c r="AM66" s="7"/>
      <c r="AN66" s="7"/>
      <c r="AO66" s="72" t="str">
        <f t="shared" si="5"/>
        <v>A</v>
      </c>
      <c r="AP66" s="62">
        <v>2</v>
      </c>
      <c r="AQ66" s="62">
        <v>1</v>
      </c>
      <c r="AR66" s="62">
        <v>1</v>
      </c>
      <c r="AS66" s="7"/>
      <c r="AT66" s="7"/>
      <c r="AU66" s="72">
        <f t="shared" si="6"/>
        <v>1.3333333333333333</v>
      </c>
      <c r="AV66" s="7"/>
      <c r="AW66" s="7"/>
      <c r="AX66" s="62">
        <v>2</v>
      </c>
      <c r="AY66" s="62">
        <v>2</v>
      </c>
      <c r="AZ66" s="62">
        <v>2</v>
      </c>
      <c r="BA66" s="72">
        <f t="shared" si="7"/>
        <v>2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>
        <v>3</v>
      </c>
      <c r="N67" s="62">
        <v>3</v>
      </c>
      <c r="O67" s="62">
        <v>3</v>
      </c>
      <c r="P67" s="62">
        <v>3</v>
      </c>
      <c r="Q67" s="72">
        <f t="shared" si="1"/>
        <v>3</v>
      </c>
      <c r="R67" s="62">
        <v>2</v>
      </c>
      <c r="S67" s="62">
        <v>2</v>
      </c>
      <c r="T67" s="62"/>
      <c r="U67" s="62">
        <v>3</v>
      </c>
      <c r="V67" s="62"/>
      <c r="W67" s="72">
        <f t="shared" si="2"/>
        <v>2.3333333333333335</v>
      </c>
      <c r="X67" s="62">
        <v>3</v>
      </c>
      <c r="Y67" s="62">
        <v>2</v>
      </c>
      <c r="Z67" s="62"/>
      <c r="AA67" s="62"/>
      <c r="AB67" s="62"/>
      <c r="AC67" s="72">
        <f t="shared" si="3"/>
        <v>2.5</v>
      </c>
      <c r="AD67" s="62">
        <v>2</v>
      </c>
      <c r="AE67" s="62"/>
      <c r="AF67" s="62">
        <v>0</v>
      </c>
      <c r="AG67" s="62"/>
      <c r="AH67" s="62"/>
      <c r="AI67" s="72">
        <f t="shared" si="4"/>
        <v>1</v>
      </c>
      <c r="AJ67" s="62"/>
      <c r="AK67" s="62"/>
      <c r="AL67" s="62"/>
      <c r="AM67" s="62"/>
      <c r="AN67" s="62"/>
      <c r="AO67" s="72" t="str">
        <f t="shared" si="5"/>
        <v>A</v>
      </c>
      <c r="AP67" s="62">
        <v>2</v>
      </c>
      <c r="AQ67" s="62">
        <v>4</v>
      </c>
      <c r="AR67" s="62">
        <v>3</v>
      </c>
      <c r="AS67" s="62"/>
      <c r="AT67" s="62"/>
      <c r="AU67" s="72">
        <f t="shared" si="6"/>
        <v>3</v>
      </c>
      <c r="AV67" s="62"/>
      <c r="AW67" s="62"/>
      <c r="AX67" s="62">
        <v>3</v>
      </c>
      <c r="AY67" s="62">
        <v>2</v>
      </c>
      <c r="AZ67" s="62">
        <v>2</v>
      </c>
      <c r="BA67" s="72">
        <f t="shared" si="7"/>
        <v>2.3333333333333335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72">
        <f t="shared" ref="Q68:Q131" si="9">IFERROR(AVERAGE(M68,N68,L68,O68,P68),"A")</f>
        <v>0</v>
      </c>
      <c r="R68" s="62">
        <v>0</v>
      </c>
      <c r="S68" s="62">
        <v>0</v>
      </c>
      <c r="T68" s="7"/>
      <c r="U68" s="62">
        <v>0</v>
      </c>
      <c r="V68" s="7"/>
      <c r="W68" s="72">
        <f t="shared" ref="W68:W131" si="10">IFERROR(AVERAGE(R68,S68,U68),"A")</f>
        <v>0</v>
      </c>
      <c r="X68" s="62">
        <v>0</v>
      </c>
      <c r="Y68" s="62">
        <v>0</v>
      </c>
      <c r="Z68" s="7"/>
      <c r="AA68" s="7"/>
      <c r="AB68" s="7"/>
      <c r="AC68" s="72">
        <f t="shared" ref="AC68:AC131" si="11">IFERROR(AVERAGE(Y68,X68),"A")</f>
        <v>0</v>
      </c>
      <c r="AD68" s="62">
        <v>0</v>
      </c>
      <c r="AE68" s="7"/>
      <c r="AF68" s="62">
        <v>0</v>
      </c>
      <c r="AG68" s="7"/>
      <c r="AH68" s="7"/>
      <c r="AI68" s="72">
        <f t="shared" ref="AI68:AI131" si="12">IFERROR(AVERAGE(AF68,AD68),"A")</f>
        <v>0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62">
        <v>0</v>
      </c>
      <c r="AQ68" s="62">
        <v>0</v>
      </c>
      <c r="AR68" s="62">
        <v>0</v>
      </c>
      <c r="AS68" s="7"/>
      <c r="AT68" s="7"/>
      <c r="AU68" s="72">
        <f t="shared" ref="AU68:AU131" si="14">IFERROR(AVERAGE(AR68,AQ68,AP68),"A")</f>
        <v>0</v>
      </c>
      <c r="AV68" s="7"/>
      <c r="AW68" s="7"/>
      <c r="AX68" s="62">
        <v>0</v>
      </c>
      <c r="AY68" s="62">
        <v>0</v>
      </c>
      <c r="AZ68" s="62">
        <v>0</v>
      </c>
      <c r="BA68" s="72">
        <f t="shared" ref="BA68:BA131" si="15">IFERROR(AVERAGE(AX68,AY68,AZ68),"A")</f>
        <v>0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4</v>
      </c>
      <c r="M69" s="62">
        <v>4</v>
      </c>
      <c r="N69" s="62">
        <v>4</v>
      </c>
      <c r="O69" s="62">
        <v>3</v>
      </c>
      <c r="P69" s="62">
        <v>5</v>
      </c>
      <c r="Q69" s="72">
        <f t="shared" si="9"/>
        <v>4</v>
      </c>
      <c r="R69" s="62">
        <v>4</v>
      </c>
      <c r="S69" s="62">
        <v>4</v>
      </c>
      <c r="T69" s="62"/>
      <c r="U69" s="62">
        <v>4</v>
      </c>
      <c r="V69" s="62"/>
      <c r="W69" s="72">
        <f t="shared" si="10"/>
        <v>4</v>
      </c>
      <c r="X69" s="62">
        <v>3</v>
      </c>
      <c r="Y69" s="62">
        <v>2</v>
      </c>
      <c r="Z69" s="62"/>
      <c r="AA69" s="62"/>
      <c r="AB69" s="62"/>
      <c r="AC69" s="72">
        <f t="shared" si="11"/>
        <v>2.5</v>
      </c>
      <c r="AD69" s="62">
        <v>3</v>
      </c>
      <c r="AE69" s="62"/>
      <c r="AF69" s="62">
        <v>1</v>
      </c>
      <c r="AG69" s="62"/>
      <c r="AH69" s="62"/>
      <c r="AI69" s="72">
        <f t="shared" si="12"/>
        <v>2</v>
      </c>
      <c r="AJ69" s="62"/>
      <c r="AK69" s="62"/>
      <c r="AL69" s="62"/>
      <c r="AM69" s="62"/>
      <c r="AN69" s="62"/>
      <c r="AO69" s="72" t="str">
        <f t="shared" si="13"/>
        <v>A</v>
      </c>
      <c r="AP69" s="62">
        <v>4</v>
      </c>
      <c r="AQ69" s="62">
        <v>4</v>
      </c>
      <c r="AR69" s="62">
        <v>4</v>
      </c>
      <c r="AS69" s="62"/>
      <c r="AT69" s="62"/>
      <c r="AU69" s="72">
        <f t="shared" si="14"/>
        <v>4</v>
      </c>
      <c r="AV69" s="62"/>
      <c r="AW69" s="62"/>
      <c r="AX69" s="62">
        <v>1</v>
      </c>
      <c r="AY69" s="62">
        <v>1</v>
      </c>
      <c r="AZ69" s="62">
        <v>1</v>
      </c>
      <c r="BA69" s="72">
        <f t="shared" si="15"/>
        <v>1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72">
        <f t="shared" si="9"/>
        <v>0</v>
      </c>
      <c r="R70" s="62">
        <v>0</v>
      </c>
      <c r="S70" s="62">
        <v>0</v>
      </c>
      <c r="T70" s="7"/>
      <c r="U70" s="62">
        <v>0</v>
      </c>
      <c r="V70" s="7"/>
      <c r="W70" s="72">
        <f t="shared" si="10"/>
        <v>0</v>
      </c>
      <c r="X70" s="62">
        <v>0</v>
      </c>
      <c r="Y70" s="62">
        <v>0</v>
      </c>
      <c r="Z70" s="7"/>
      <c r="AA70" s="7"/>
      <c r="AB70" s="7"/>
      <c r="AC70" s="72">
        <f t="shared" si="11"/>
        <v>0</v>
      </c>
      <c r="AD70" s="62">
        <v>0</v>
      </c>
      <c r="AE70" s="7"/>
      <c r="AF70" s="62">
        <v>0</v>
      </c>
      <c r="AG70" s="7"/>
      <c r="AH70" s="7"/>
      <c r="AI70" s="72">
        <f t="shared" si="12"/>
        <v>0</v>
      </c>
      <c r="AJ70" s="7"/>
      <c r="AK70" s="7"/>
      <c r="AL70" s="7"/>
      <c r="AM70" s="7"/>
      <c r="AN70" s="7"/>
      <c r="AO70" s="72" t="str">
        <f t="shared" si="13"/>
        <v>A</v>
      </c>
      <c r="AP70" s="62">
        <v>0</v>
      </c>
      <c r="AQ70" s="62">
        <v>0</v>
      </c>
      <c r="AR70" s="62">
        <v>0</v>
      </c>
      <c r="AS70" s="7"/>
      <c r="AT70" s="7"/>
      <c r="AU70" s="72">
        <f t="shared" si="14"/>
        <v>0</v>
      </c>
      <c r="AV70" s="7"/>
      <c r="AW70" s="7"/>
      <c r="AX70" s="62">
        <v>0</v>
      </c>
      <c r="AY70" s="62">
        <v>0</v>
      </c>
      <c r="AZ70" s="62">
        <v>0</v>
      </c>
      <c r="BA70" s="72">
        <f t="shared" si="15"/>
        <v>0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72">
        <f t="shared" si="9"/>
        <v>0</v>
      </c>
      <c r="R71" s="62">
        <v>0</v>
      </c>
      <c r="S71" s="62">
        <v>0</v>
      </c>
      <c r="T71" s="62"/>
      <c r="U71" s="62">
        <v>0</v>
      </c>
      <c r="V71" s="62"/>
      <c r="W71" s="72">
        <f t="shared" si="10"/>
        <v>0</v>
      </c>
      <c r="X71" s="62">
        <v>0</v>
      </c>
      <c r="Y71" s="62">
        <v>0</v>
      </c>
      <c r="Z71" s="62"/>
      <c r="AA71" s="62"/>
      <c r="AB71" s="62"/>
      <c r="AC71" s="72">
        <f t="shared" si="11"/>
        <v>0</v>
      </c>
      <c r="AD71" s="62">
        <v>0</v>
      </c>
      <c r="AE71" s="62"/>
      <c r="AF71" s="62">
        <v>0</v>
      </c>
      <c r="AG71" s="62"/>
      <c r="AH71" s="62"/>
      <c r="AI71" s="72">
        <f t="shared" si="12"/>
        <v>0</v>
      </c>
      <c r="AJ71" s="62"/>
      <c r="AK71" s="62"/>
      <c r="AL71" s="62"/>
      <c r="AM71" s="62"/>
      <c r="AN71" s="62"/>
      <c r="AO71" s="72" t="str">
        <f t="shared" si="13"/>
        <v>A</v>
      </c>
      <c r="AP71" s="62">
        <v>0</v>
      </c>
      <c r="AQ71" s="62">
        <v>0</v>
      </c>
      <c r="AR71" s="62">
        <v>0</v>
      </c>
      <c r="AS71" s="62"/>
      <c r="AT71" s="62"/>
      <c r="AU71" s="72">
        <f t="shared" si="14"/>
        <v>0</v>
      </c>
      <c r="AV71" s="62"/>
      <c r="AW71" s="62"/>
      <c r="AX71" s="62">
        <v>0</v>
      </c>
      <c r="AY71" s="62">
        <v>0</v>
      </c>
      <c r="AZ71" s="62">
        <v>0</v>
      </c>
      <c r="BA71" s="72">
        <f t="shared" si="15"/>
        <v>0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4</v>
      </c>
      <c r="M72" s="62">
        <v>4</v>
      </c>
      <c r="N72" s="62">
        <v>4</v>
      </c>
      <c r="O72" s="62">
        <v>3</v>
      </c>
      <c r="P72" s="62">
        <v>3</v>
      </c>
      <c r="Q72" s="72">
        <f t="shared" si="9"/>
        <v>3.6</v>
      </c>
      <c r="R72" s="62">
        <v>3</v>
      </c>
      <c r="S72" s="62">
        <v>2</v>
      </c>
      <c r="T72" s="7"/>
      <c r="U72" s="62">
        <v>2</v>
      </c>
      <c r="V72" s="7"/>
      <c r="W72" s="72">
        <f t="shared" si="10"/>
        <v>2.3333333333333335</v>
      </c>
      <c r="X72" s="62">
        <v>2</v>
      </c>
      <c r="Y72" s="62">
        <v>2</v>
      </c>
      <c r="Z72" s="7"/>
      <c r="AA72" s="7"/>
      <c r="AB72" s="7"/>
      <c r="AC72" s="72">
        <f t="shared" si="11"/>
        <v>2</v>
      </c>
      <c r="AD72" s="62">
        <v>2</v>
      </c>
      <c r="AE72" s="7"/>
      <c r="AF72" s="62">
        <v>2</v>
      </c>
      <c r="AG72" s="7"/>
      <c r="AH72" s="7"/>
      <c r="AI72" s="72">
        <f t="shared" si="12"/>
        <v>2</v>
      </c>
      <c r="AJ72" s="7"/>
      <c r="AK72" s="7"/>
      <c r="AL72" s="7"/>
      <c r="AM72" s="7"/>
      <c r="AN72" s="7"/>
      <c r="AO72" s="72" t="str">
        <f t="shared" si="13"/>
        <v>A</v>
      </c>
      <c r="AP72" s="62">
        <v>2</v>
      </c>
      <c r="AQ72" s="62">
        <v>2</v>
      </c>
      <c r="AR72" s="62">
        <v>2</v>
      </c>
      <c r="AS72" s="7"/>
      <c r="AT72" s="7"/>
      <c r="AU72" s="72">
        <f t="shared" si="14"/>
        <v>2</v>
      </c>
      <c r="AV72" s="7"/>
      <c r="AW72" s="7"/>
      <c r="AX72" s="62">
        <v>2</v>
      </c>
      <c r="AY72" s="62">
        <v>2</v>
      </c>
      <c r="AZ72" s="62">
        <v>2</v>
      </c>
      <c r="BA72" s="72">
        <f t="shared" si="15"/>
        <v>2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3</v>
      </c>
      <c r="M73" s="62">
        <v>4</v>
      </c>
      <c r="N73" s="62">
        <v>2</v>
      </c>
      <c r="O73" s="62">
        <v>3</v>
      </c>
      <c r="P73" s="62">
        <v>4</v>
      </c>
      <c r="Q73" s="72">
        <f t="shared" si="9"/>
        <v>3.2</v>
      </c>
      <c r="R73" s="62">
        <v>4</v>
      </c>
      <c r="S73" s="62">
        <v>4</v>
      </c>
      <c r="T73" s="62"/>
      <c r="U73" s="62">
        <v>4</v>
      </c>
      <c r="V73" s="62"/>
      <c r="W73" s="72">
        <f t="shared" si="10"/>
        <v>4</v>
      </c>
      <c r="X73" s="62">
        <v>3</v>
      </c>
      <c r="Y73" s="62">
        <v>3</v>
      </c>
      <c r="Z73" s="62"/>
      <c r="AA73" s="62"/>
      <c r="AB73" s="62"/>
      <c r="AC73" s="72">
        <f t="shared" si="11"/>
        <v>3</v>
      </c>
      <c r="AD73" s="62">
        <v>4</v>
      </c>
      <c r="AE73" s="62"/>
      <c r="AF73" s="62">
        <v>0</v>
      </c>
      <c r="AG73" s="62"/>
      <c r="AH73" s="62"/>
      <c r="AI73" s="72">
        <f t="shared" si="12"/>
        <v>2</v>
      </c>
      <c r="AJ73" s="62"/>
      <c r="AK73" s="62"/>
      <c r="AL73" s="62"/>
      <c r="AM73" s="62"/>
      <c r="AN73" s="62"/>
      <c r="AO73" s="72" t="str">
        <f t="shared" si="13"/>
        <v>A</v>
      </c>
      <c r="AP73" s="62">
        <v>4</v>
      </c>
      <c r="AQ73" s="62">
        <v>3</v>
      </c>
      <c r="AR73" s="62">
        <v>2</v>
      </c>
      <c r="AS73" s="62"/>
      <c r="AT73" s="62"/>
      <c r="AU73" s="72">
        <f t="shared" si="14"/>
        <v>3</v>
      </c>
      <c r="AV73" s="62"/>
      <c r="AW73" s="62"/>
      <c r="AX73" s="62">
        <v>3</v>
      </c>
      <c r="AY73" s="62">
        <v>4</v>
      </c>
      <c r="AZ73" s="62">
        <v>4</v>
      </c>
      <c r="BA73" s="72">
        <f t="shared" si="15"/>
        <v>3.6666666666666665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3</v>
      </c>
      <c r="M74" s="62">
        <v>4</v>
      </c>
      <c r="N74" s="62">
        <v>3</v>
      </c>
      <c r="O74" s="62">
        <v>3</v>
      </c>
      <c r="P74" s="62">
        <v>3</v>
      </c>
      <c r="Q74" s="72">
        <f t="shared" si="9"/>
        <v>3.2</v>
      </c>
      <c r="R74" s="62">
        <v>4</v>
      </c>
      <c r="S74" s="62">
        <v>4</v>
      </c>
      <c r="T74" s="7"/>
      <c r="U74" s="62">
        <v>4</v>
      </c>
      <c r="V74" s="7"/>
      <c r="W74" s="72">
        <f t="shared" si="10"/>
        <v>4</v>
      </c>
      <c r="X74" s="62">
        <v>3</v>
      </c>
      <c r="Y74" s="62">
        <v>4</v>
      </c>
      <c r="Z74" s="7"/>
      <c r="AA74" s="7"/>
      <c r="AB74" s="7"/>
      <c r="AC74" s="72">
        <f t="shared" si="11"/>
        <v>3.5</v>
      </c>
      <c r="AD74" s="62">
        <v>5</v>
      </c>
      <c r="AE74" s="7"/>
      <c r="AF74" s="62">
        <v>5</v>
      </c>
      <c r="AG74" s="7"/>
      <c r="AH74" s="7"/>
      <c r="AI74" s="72">
        <f t="shared" si="12"/>
        <v>5</v>
      </c>
      <c r="AJ74" s="7"/>
      <c r="AK74" s="7"/>
      <c r="AL74" s="7"/>
      <c r="AM74" s="7"/>
      <c r="AN74" s="7"/>
      <c r="AO74" s="72" t="str">
        <f t="shared" si="13"/>
        <v>A</v>
      </c>
      <c r="AP74" s="62">
        <v>3</v>
      </c>
      <c r="AQ74" s="62">
        <v>4</v>
      </c>
      <c r="AR74" s="62">
        <v>5</v>
      </c>
      <c r="AS74" s="7"/>
      <c r="AT74" s="7"/>
      <c r="AU74" s="72">
        <f t="shared" si="14"/>
        <v>4</v>
      </c>
      <c r="AV74" s="7"/>
      <c r="AW74" s="7"/>
      <c r="AX74" s="62">
        <v>5</v>
      </c>
      <c r="AY74" s="62">
        <v>5</v>
      </c>
      <c r="AZ74" s="62">
        <v>5</v>
      </c>
      <c r="BA74" s="72">
        <f t="shared" si="15"/>
        <v>5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72">
        <f t="shared" si="9"/>
        <v>0</v>
      </c>
      <c r="R75" s="62">
        <v>0</v>
      </c>
      <c r="S75" s="62">
        <v>0</v>
      </c>
      <c r="T75" s="62"/>
      <c r="U75" s="62">
        <v>0</v>
      </c>
      <c r="V75" s="62"/>
      <c r="W75" s="72">
        <f t="shared" si="10"/>
        <v>0</v>
      </c>
      <c r="X75" s="62">
        <v>0</v>
      </c>
      <c r="Y75" s="62">
        <v>0</v>
      </c>
      <c r="Z75" s="62"/>
      <c r="AA75" s="62"/>
      <c r="AB75" s="62"/>
      <c r="AC75" s="72">
        <f t="shared" si="11"/>
        <v>0</v>
      </c>
      <c r="AD75" s="62">
        <v>0</v>
      </c>
      <c r="AE75" s="62"/>
      <c r="AF75" s="62">
        <v>0</v>
      </c>
      <c r="AG75" s="62"/>
      <c r="AH75" s="62"/>
      <c r="AI75" s="72">
        <f t="shared" si="12"/>
        <v>0</v>
      </c>
      <c r="AJ75" s="62"/>
      <c r="AK75" s="62"/>
      <c r="AL75" s="62"/>
      <c r="AM75" s="62"/>
      <c r="AN75" s="62"/>
      <c r="AO75" s="72" t="str">
        <f t="shared" si="13"/>
        <v>A</v>
      </c>
      <c r="AP75" s="62">
        <v>0</v>
      </c>
      <c r="AQ75" s="62">
        <v>0</v>
      </c>
      <c r="AR75" s="62">
        <v>0</v>
      </c>
      <c r="AS75" s="62"/>
      <c r="AT75" s="62"/>
      <c r="AU75" s="72">
        <f t="shared" si="14"/>
        <v>0</v>
      </c>
      <c r="AV75" s="62"/>
      <c r="AW75" s="62"/>
      <c r="AX75" s="62">
        <v>0</v>
      </c>
      <c r="AY75" s="62">
        <v>0</v>
      </c>
      <c r="AZ75" s="62">
        <v>0</v>
      </c>
      <c r="BA75" s="72">
        <f t="shared" si="15"/>
        <v>0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2</v>
      </c>
      <c r="M76" s="62">
        <v>2</v>
      </c>
      <c r="N76" s="62">
        <v>2</v>
      </c>
      <c r="O76" s="62">
        <v>3</v>
      </c>
      <c r="P76" s="62">
        <v>2</v>
      </c>
      <c r="Q76" s="72">
        <f t="shared" si="9"/>
        <v>2.2000000000000002</v>
      </c>
      <c r="R76" s="62">
        <v>4</v>
      </c>
      <c r="S76" s="62">
        <v>3</v>
      </c>
      <c r="T76" s="7"/>
      <c r="U76" s="62">
        <v>3</v>
      </c>
      <c r="V76" s="7"/>
      <c r="W76" s="72">
        <f t="shared" si="10"/>
        <v>3.3333333333333335</v>
      </c>
      <c r="X76" s="62">
        <v>2</v>
      </c>
      <c r="Y76" s="62">
        <v>2</v>
      </c>
      <c r="Z76" s="7"/>
      <c r="AA76" s="7"/>
      <c r="AB76" s="7"/>
      <c r="AC76" s="72">
        <f t="shared" si="11"/>
        <v>2</v>
      </c>
      <c r="AD76" s="62">
        <v>1</v>
      </c>
      <c r="AE76" s="7"/>
      <c r="AF76" s="62">
        <v>1</v>
      </c>
      <c r="AG76" s="7"/>
      <c r="AH76" s="7"/>
      <c r="AI76" s="72">
        <f t="shared" si="12"/>
        <v>1</v>
      </c>
      <c r="AJ76" s="7"/>
      <c r="AK76" s="7"/>
      <c r="AL76" s="7"/>
      <c r="AM76" s="7"/>
      <c r="AN76" s="7"/>
      <c r="AO76" s="72" t="str">
        <f t="shared" si="13"/>
        <v>A</v>
      </c>
      <c r="AP76" s="62">
        <v>4</v>
      </c>
      <c r="AQ76" s="62">
        <v>4</v>
      </c>
      <c r="AR76" s="62">
        <v>3</v>
      </c>
      <c r="AS76" s="7"/>
      <c r="AT76" s="7"/>
      <c r="AU76" s="72">
        <f t="shared" si="14"/>
        <v>3.6666666666666665</v>
      </c>
      <c r="AV76" s="7"/>
      <c r="AW76" s="7"/>
      <c r="AX76" s="62">
        <v>1</v>
      </c>
      <c r="AY76" s="62">
        <v>1</v>
      </c>
      <c r="AZ76" s="62">
        <v>1</v>
      </c>
      <c r="BA76" s="72">
        <f t="shared" si="15"/>
        <v>1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3</v>
      </c>
      <c r="M77" s="62">
        <v>3</v>
      </c>
      <c r="N77" s="62">
        <v>2</v>
      </c>
      <c r="O77" s="62">
        <v>3</v>
      </c>
      <c r="P77" s="62">
        <v>3</v>
      </c>
      <c r="Q77" s="72">
        <f t="shared" si="9"/>
        <v>2.8</v>
      </c>
      <c r="R77" s="62">
        <v>2</v>
      </c>
      <c r="S77" s="62">
        <v>2</v>
      </c>
      <c r="T77" s="62"/>
      <c r="U77" s="62">
        <v>2</v>
      </c>
      <c r="V77" s="62"/>
      <c r="W77" s="72">
        <f t="shared" si="10"/>
        <v>2</v>
      </c>
      <c r="X77" s="62">
        <v>1</v>
      </c>
      <c r="Y77" s="62">
        <v>1</v>
      </c>
      <c r="Z77" s="62"/>
      <c r="AA77" s="62"/>
      <c r="AB77" s="62"/>
      <c r="AC77" s="72">
        <f t="shared" si="11"/>
        <v>1</v>
      </c>
      <c r="AD77" s="62">
        <v>1</v>
      </c>
      <c r="AE77" s="62"/>
      <c r="AF77" s="62">
        <v>1</v>
      </c>
      <c r="AG77" s="62"/>
      <c r="AH77" s="62"/>
      <c r="AI77" s="72">
        <f t="shared" si="12"/>
        <v>1</v>
      </c>
      <c r="AJ77" s="62"/>
      <c r="AK77" s="62"/>
      <c r="AL77" s="62"/>
      <c r="AM77" s="62"/>
      <c r="AN77" s="62"/>
      <c r="AO77" s="72" t="str">
        <f t="shared" si="13"/>
        <v>A</v>
      </c>
      <c r="AP77" s="62">
        <v>2</v>
      </c>
      <c r="AQ77" s="62">
        <v>2</v>
      </c>
      <c r="AR77" s="62">
        <v>1</v>
      </c>
      <c r="AS77" s="62"/>
      <c r="AT77" s="62"/>
      <c r="AU77" s="72">
        <f t="shared" si="14"/>
        <v>1.6666666666666667</v>
      </c>
      <c r="AV77" s="62"/>
      <c r="AW77" s="62"/>
      <c r="AX77" s="62">
        <v>1</v>
      </c>
      <c r="AY77" s="62">
        <v>1</v>
      </c>
      <c r="AZ77" s="62">
        <v>1</v>
      </c>
      <c r="BA77" s="72">
        <f t="shared" si="15"/>
        <v>1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>
        <v>2</v>
      </c>
      <c r="N78" s="62">
        <v>2</v>
      </c>
      <c r="O78" s="62">
        <v>2</v>
      </c>
      <c r="P78" s="62">
        <v>2</v>
      </c>
      <c r="Q78" s="72">
        <f t="shared" si="9"/>
        <v>2</v>
      </c>
      <c r="R78" s="62">
        <v>2</v>
      </c>
      <c r="S78" s="62">
        <v>2</v>
      </c>
      <c r="T78" s="7"/>
      <c r="U78" s="62">
        <v>2</v>
      </c>
      <c r="V78" s="7"/>
      <c r="W78" s="72">
        <f t="shared" si="10"/>
        <v>2</v>
      </c>
      <c r="X78" s="62">
        <v>2</v>
      </c>
      <c r="Y78" s="62">
        <v>2</v>
      </c>
      <c r="Z78" s="7"/>
      <c r="AA78" s="7"/>
      <c r="AB78" s="7"/>
      <c r="AC78" s="72">
        <f t="shared" si="11"/>
        <v>2</v>
      </c>
      <c r="AD78" s="62">
        <v>2</v>
      </c>
      <c r="AE78" s="7"/>
      <c r="AF78" s="62">
        <v>2</v>
      </c>
      <c r="AG78" s="7"/>
      <c r="AH78" s="7"/>
      <c r="AI78" s="72">
        <f t="shared" si="12"/>
        <v>2</v>
      </c>
      <c r="AJ78" s="7"/>
      <c r="AK78" s="7"/>
      <c r="AL78" s="7"/>
      <c r="AM78" s="7"/>
      <c r="AN78" s="7"/>
      <c r="AO78" s="72" t="str">
        <f t="shared" si="13"/>
        <v>A</v>
      </c>
      <c r="AP78" s="62">
        <v>2</v>
      </c>
      <c r="AQ78" s="62">
        <v>2</v>
      </c>
      <c r="AR78" s="62">
        <v>2</v>
      </c>
      <c r="AS78" s="7"/>
      <c r="AT78" s="7"/>
      <c r="AU78" s="72">
        <f t="shared" si="14"/>
        <v>2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3</v>
      </c>
      <c r="M79" s="62">
        <v>4</v>
      </c>
      <c r="N79" s="62">
        <v>5</v>
      </c>
      <c r="O79" s="62">
        <v>4</v>
      </c>
      <c r="P79" s="62">
        <v>4</v>
      </c>
      <c r="Q79" s="72">
        <f t="shared" si="9"/>
        <v>4</v>
      </c>
      <c r="R79" s="62">
        <v>4</v>
      </c>
      <c r="S79" s="62">
        <v>4</v>
      </c>
      <c r="T79" s="62"/>
      <c r="U79" s="62">
        <v>4</v>
      </c>
      <c r="V79" s="62"/>
      <c r="W79" s="72">
        <f t="shared" si="10"/>
        <v>4</v>
      </c>
      <c r="X79" s="62">
        <v>4</v>
      </c>
      <c r="Y79" s="62">
        <v>2</v>
      </c>
      <c r="Z79" s="62"/>
      <c r="AA79" s="62"/>
      <c r="AB79" s="62"/>
      <c r="AC79" s="72">
        <f t="shared" si="11"/>
        <v>3</v>
      </c>
      <c r="AD79" s="62">
        <v>4</v>
      </c>
      <c r="AE79" s="62"/>
      <c r="AF79" s="62">
        <v>2</v>
      </c>
      <c r="AG79" s="62"/>
      <c r="AH79" s="62"/>
      <c r="AI79" s="72">
        <f t="shared" si="12"/>
        <v>3</v>
      </c>
      <c r="AJ79" s="62"/>
      <c r="AK79" s="62"/>
      <c r="AL79" s="62"/>
      <c r="AM79" s="62"/>
      <c r="AN79" s="62"/>
      <c r="AO79" s="72" t="str">
        <f t="shared" si="13"/>
        <v>A</v>
      </c>
      <c r="AP79" s="62">
        <v>4</v>
      </c>
      <c r="AQ79" s="62">
        <v>4</v>
      </c>
      <c r="AR79" s="62">
        <v>4</v>
      </c>
      <c r="AS79" s="62"/>
      <c r="AT79" s="62"/>
      <c r="AU79" s="72">
        <f t="shared" si="14"/>
        <v>4</v>
      </c>
      <c r="AV79" s="62"/>
      <c r="AW79" s="62"/>
      <c r="AX79" s="62">
        <v>2</v>
      </c>
      <c r="AY79" s="62">
        <v>2</v>
      </c>
      <c r="AZ79" s="62">
        <v>2</v>
      </c>
      <c r="BA79" s="72">
        <f t="shared" si="15"/>
        <v>2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3</v>
      </c>
      <c r="M80" s="62">
        <v>2</v>
      </c>
      <c r="N80" s="62">
        <v>2</v>
      </c>
      <c r="O80" s="62">
        <v>3</v>
      </c>
      <c r="P80" s="62">
        <v>2</v>
      </c>
      <c r="Q80" s="72">
        <f t="shared" si="9"/>
        <v>2.4</v>
      </c>
      <c r="R80" s="62">
        <v>3</v>
      </c>
      <c r="S80" s="62">
        <v>3</v>
      </c>
      <c r="T80" s="7"/>
      <c r="U80" s="62">
        <v>3</v>
      </c>
      <c r="V80" s="7"/>
      <c r="W80" s="72">
        <f t="shared" si="10"/>
        <v>3</v>
      </c>
      <c r="X80" s="62">
        <v>3</v>
      </c>
      <c r="Y80" s="62">
        <v>2</v>
      </c>
      <c r="Z80" s="7"/>
      <c r="AA80" s="7"/>
      <c r="AB80" s="7"/>
      <c r="AC80" s="72">
        <f t="shared" si="11"/>
        <v>2.5</v>
      </c>
      <c r="AD80" s="62">
        <v>1</v>
      </c>
      <c r="AE80" s="7"/>
      <c r="AF80" s="62">
        <v>1</v>
      </c>
      <c r="AG80" s="7"/>
      <c r="AH80" s="7"/>
      <c r="AI80" s="72">
        <f t="shared" si="12"/>
        <v>1</v>
      </c>
      <c r="AJ80" s="7"/>
      <c r="AK80" s="7"/>
      <c r="AL80" s="7"/>
      <c r="AM80" s="7"/>
      <c r="AN80" s="7"/>
      <c r="AO80" s="72" t="str">
        <f t="shared" si="13"/>
        <v>A</v>
      </c>
      <c r="AP80" s="62">
        <v>2</v>
      </c>
      <c r="AQ80" s="62">
        <v>2</v>
      </c>
      <c r="AR80" s="62">
        <v>3</v>
      </c>
      <c r="AS80" s="7"/>
      <c r="AT80" s="7"/>
      <c r="AU80" s="72">
        <f t="shared" si="14"/>
        <v>2.3333333333333335</v>
      </c>
      <c r="AV80" s="7"/>
      <c r="AW80" s="7"/>
      <c r="AX80" s="62">
        <v>1</v>
      </c>
      <c r="AY80" s="62">
        <v>1</v>
      </c>
      <c r="AZ80" s="62">
        <v>1</v>
      </c>
      <c r="BA80" s="72">
        <f t="shared" si="15"/>
        <v>1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3</v>
      </c>
      <c r="M81" s="62">
        <v>2</v>
      </c>
      <c r="N81" s="62">
        <v>1</v>
      </c>
      <c r="O81" s="62">
        <v>3</v>
      </c>
      <c r="P81" s="62">
        <v>1</v>
      </c>
      <c r="Q81" s="72">
        <f t="shared" si="9"/>
        <v>2</v>
      </c>
      <c r="R81" s="62">
        <v>1</v>
      </c>
      <c r="S81" s="62">
        <v>1</v>
      </c>
      <c r="T81" s="62"/>
      <c r="U81" s="62">
        <v>1</v>
      </c>
      <c r="V81" s="62"/>
      <c r="W81" s="72">
        <f t="shared" si="10"/>
        <v>1</v>
      </c>
      <c r="X81" s="62">
        <v>1</v>
      </c>
      <c r="Y81" s="62">
        <v>1</v>
      </c>
      <c r="Z81" s="62"/>
      <c r="AA81" s="62"/>
      <c r="AB81" s="62"/>
      <c r="AC81" s="72">
        <f t="shared" si="11"/>
        <v>1</v>
      </c>
      <c r="AD81" s="62">
        <v>1</v>
      </c>
      <c r="AE81" s="62"/>
      <c r="AF81" s="62">
        <v>1</v>
      </c>
      <c r="AG81" s="62"/>
      <c r="AH81" s="62"/>
      <c r="AI81" s="72">
        <f t="shared" si="12"/>
        <v>1</v>
      </c>
      <c r="AJ81" s="62"/>
      <c r="AK81" s="62"/>
      <c r="AL81" s="62"/>
      <c r="AM81" s="62"/>
      <c r="AN81" s="62"/>
      <c r="AO81" s="72" t="str">
        <f t="shared" si="13"/>
        <v>A</v>
      </c>
      <c r="AP81" s="62">
        <v>1</v>
      </c>
      <c r="AQ81" s="62">
        <v>1</v>
      </c>
      <c r="AR81" s="62">
        <v>1</v>
      </c>
      <c r="AS81" s="62"/>
      <c r="AT81" s="62"/>
      <c r="AU81" s="72">
        <f t="shared" si="14"/>
        <v>1</v>
      </c>
      <c r="AV81" s="62"/>
      <c r="AW81" s="62"/>
      <c r="AX81" s="62">
        <v>1</v>
      </c>
      <c r="AY81" s="62">
        <v>1</v>
      </c>
      <c r="AZ81" s="62">
        <v>1</v>
      </c>
      <c r="BA81" s="72">
        <f t="shared" si="15"/>
        <v>1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72">
        <f t="shared" si="9"/>
        <v>0</v>
      </c>
      <c r="R82" s="62">
        <v>0</v>
      </c>
      <c r="S82" s="62">
        <v>0</v>
      </c>
      <c r="T82" s="7"/>
      <c r="U82" s="62">
        <v>0</v>
      </c>
      <c r="V82" s="7"/>
      <c r="W82" s="72">
        <f t="shared" si="10"/>
        <v>0</v>
      </c>
      <c r="X82" s="62">
        <v>0</v>
      </c>
      <c r="Y82" s="62">
        <v>0</v>
      </c>
      <c r="Z82" s="7"/>
      <c r="AA82" s="7"/>
      <c r="AB82" s="7"/>
      <c r="AC82" s="72">
        <f t="shared" si="11"/>
        <v>0</v>
      </c>
      <c r="AD82" s="62">
        <v>0</v>
      </c>
      <c r="AE82" s="7"/>
      <c r="AF82" s="62">
        <v>0</v>
      </c>
      <c r="AG82" s="7"/>
      <c r="AH82" s="7"/>
      <c r="AI82" s="72">
        <f t="shared" si="12"/>
        <v>0</v>
      </c>
      <c r="AJ82" s="7"/>
      <c r="AK82" s="7"/>
      <c r="AL82" s="7"/>
      <c r="AM82" s="7"/>
      <c r="AN82" s="7"/>
      <c r="AO82" s="72" t="str">
        <f t="shared" si="13"/>
        <v>A</v>
      </c>
      <c r="AP82" s="62">
        <v>0</v>
      </c>
      <c r="AQ82" s="62">
        <v>0</v>
      </c>
      <c r="AR82" s="62">
        <v>0</v>
      </c>
      <c r="AS82" s="7"/>
      <c r="AT82" s="7"/>
      <c r="AU82" s="72">
        <f t="shared" si="14"/>
        <v>0</v>
      </c>
      <c r="AV82" s="7"/>
      <c r="AW82" s="7"/>
      <c r="AX82" s="62">
        <v>0</v>
      </c>
      <c r="AY82" s="62">
        <v>0</v>
      </c>
      <c r="AZ82" s="62">
        <v>0</v>
      </c>
      <c r="BA82" s="72">
        <f t="shared" si="15"/>
        <v>0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4</v>
      </c>
      <c r="M83" s="62">
        <v>4</v>
      </c>
      <c r="N83" s="62">
        <v>4</v>
      </c>
      <c r="O83" s="62">
        <v>3</v>
      </c>
      <c r="P83" s="62">
        <v>5</v>
      </c>
      <c r="Q83" s="72">
        <f t="shared" si="9"/>
        <v>4</v>
      </c>
      <c r="R83" s="62">
        <v>4</v>
      </c>
      <c r="S83" s="62">
        <v>4</v>
      </c>
      <c r="T83" s="62"/>
      <c r="U83" s="62">
        <v>4</v>
      </c>
      <c r="V83" s="62"/>
      <c r="W83" s="72">
        <f t="shared" si="10"/>
        <v>4</v>
      </c>
      <c r="X83" s="62">
        <v>3</v>
      </c>
      <c r="Y83" s="62">
        <v>2</v>
      </c>
      <c r="Z83" s="62"/>
      <c r="AA83" s="62"/>
      <c r="AB83" s="62"/>
      <c r="AC83" s="72">
        <f t="shared" si="11"/>
        <v>2.5</v>
      </c>
      <c r="AD83" s="62">
        <v>3</v>
      </c>
      <c r="AE83" s="62"/>
      <c r="AF83" s="62">
        <v>1</v>
      </c>
      <c r="AG83" s="62"/>
      <c r="AH83" s="62"/>
      <c r="AI83" s="72">
        <f t="shared" si="12"/>
        <v>2</v>
      </c>
      <c r="AJ83" s="62"/>
      <c r="AK83" s="62"/>
      <c r="AL83" s="62"/>
      <c r="AM83" s="62"/>
      <c r="AN83" s="62"/>
      <c r="AO83" s="72" t="str">
        <f t="shared" si="13"/>
        <v>A</v>
      </c>
      <c r="AP83" s="62">
        <v>4</v>
      </c>
      <c r="AQ83" s="62">
        <v>4</v>
      </c>
      <c r="AR83" s="62">
        <v>4</v>
      </c>
      <c r="AS83" s="62"/>
      <c r="AT83" s="62"/>
      <c r="AU83" s="72">
        <f t="shared" si="14"/>
        <v>4</v>
      </c>
      <c r="AV83" s="62"/>
      <c r="AW83" s="62"/>
      <c r="AX83" s="62">
        <v>1</v>
      </c>
      <c r="AY83" s="62">
        <v>1</v>
      </c>
      <c r="AZ83" s="62">
        <v>1</v>
      </c>
      <c r="BA83" s="72">
        <f t="shared" si="15"/>
        <v>1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3</v>
      </c>
      <c r="M84" s="62">
        <v>4</v>
      </c>
      <c r="N84" s="62">
        <v>5</v>
      </c>
      <c r="O84" s="62">
        <v>4</v>
      </c>
      <c r="P84" s="62">
        <v>4</v>
      </c>
      <c r="Q84" s="72">
        <f t="shared" si="9"/>
        <v>4</v>
      </c>
      <c r="R84" s="62">
        <v>4</v>
      </c>
      <c r="S84" s="62">
        <v>4</v>
      </c>
      <c r="T84" s="7"/>
      <c r="U84" s="62">
        <v>4</v>
      </c>
      <c r="V84" s="7"/>
      <c r="W84" s="72">
        <f t="shared" si="10"/>
        <v>4</v>
      </c>
      <c r="X84" s="62">
        <v>4</v>
      </c>
      <c r="Y84" s="62">
        <v>3</v>
      </c>
      <c r="Z84" s="7"/>
      <c r="AA84" s="7"/>
      <c r="AB84" s="7"/>
      <c r="AC84" s="72">
        <f t="shared" si="11"/>
        <v>3.5</v>
      </c>
      <c r="AD84" s="62">
        <v>2</v>
      </c>
      <c r="AE84" s="7"/>
      <c r="AF84" s="62">
        <v>0</v>
      </c>
      <c r="AG84" s="7"/>
      <c r="AH84" s="7"/>
      <c r="AI84" s="72">
        <f t="shared" si="12"/>
        <v>1</v>
      </c>
      <c r="AJ84" s="7"/>
      <c r="AK84" s="7"/>
      <c r="AL84" s="7"/>
      <c r="AM84" s="7"/>
      <c r="AN84" s="7"/>
      <c r="AO84" s="72" t="str">
        <f t="shared" si="13"/>
        <v>A</v>
      </c>
      <c r="AP84" s="62">
        <v>2</v>
      </c>
      <c r="AQ84" s="62">
        <v>4</v>
      </c>
      <c r="AR84" s="62">
        <v>4</v>
      </c>
      <c r="AS84" s="7"/>
      <c r="AT84" s="7"/>
      <c r="AU84" s="72">
        <f t="shared" si="14"/>
        <v>3.3333333333333335</v>
      </c>
      <c r="AV84" s="7"/>
      <c r="AW84" s="7"/>
      <c r="AX84" s="62">
        <v>4</v>
      </c>
      <c r="AY84" s="62">
        <v>2</v>
      </c>
      <c r="AZ84" s="62">
        <v>3</v>
      </c>
      <c r="BA84" s="72">
        <f t="shared" si="15"/>
        <v>3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0</v>
      </c>
      <c r="M85" s="62">
        <v>0</v>
      </c>
      <c r="N85" s="62">
        <v>0</v>
      </c>
      <c r="O85" s="62">
        <v>0</v>
      </c>
      <c r="P85" s="62">
        <v>0</v>
      </c>
      <c r="Q85" s="72">
        <f t="shared" si="9"/>
        <v>0</v>
      </c>
      <c r="R85" s="62">
        <v>0</v>
      </c>
      <c r="S85" s="62">
        <v>0</v>
      </c>
      <c r="T85" s="62"/>
      <c r="U85" s="62">
        <v>0</v>
      </c>
      <c r="V85" s="62"/>
      <c r="W85" s="72">
        <f t="shared" si="10"/>
        <v>0</v>
      </c>
      <c r="X85" s="62">
        <v>0</v>
      </c>
      <c r="Y85" s="62">
        <v>0</v>
      </c>
      <c r="Z85" s="62"/>
      <c r="AA85" s="62"/>
      <c r="AB85" s="62"/>
      <c r="AC85" s="72">
        <f t="shared" si="11"/>
        <v>0</v>
      </c>
      <c r="AD85" s="62">
        <v>0</v>
      </c>
      <c r="AE85" s="62"/>
      <c r="AF85" s="62">
        <v>0</v>
      </c>
      <c r="AG85" s="62"/>
      <c r="AH85" s="62"/>
      <c r="AI85" s="72">
        <f t="shared" si="12"/>
        <v>0</v>
      </c>
      <c r="AJ85" s="62"/>
      <c r="AK85" s="62"/>
      <c r="AL85" s="62"/>
      <c r="AM85" s="62"/>
      <c r="AN85" s="62"/>
      <c r="AO85" s="72" t="str">
        <f t="shared" si="13"/>
        <v>A</v>
      </c>
      <c r="AP85" s="62">
        <v>0</v>
      </c>
      <c r="AQ85" s="62">
        <v>0</v>
      </c>
      <c r="AR85" s="62">
        <v>0</v>
      </c>
      <c r="AS85" s="62"/>
      <c r="AT85" s="62"/>
      <c r="AU85" s="72">
        <f t="shared" si="14"/>
        <v>0</v>
      </c>
      <c r="AV85" s="62"/>
      <c r="AW85" s="62"/>
      <c r="AX85" s="62">
        <v>0</v>
      </c>
      <c r="AY85" s="62">
        <v>0</v>
      </c>
      <c r="AZ85" s="62">
        <v>0</v>
      </c>
      <c r="BA85" s="72">
        <f t="shared" si="15"/>
        <v>0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3</v>
      </c>
      <c r="M86" s="62">
        <v>3</v>
      </c>
      <c r="N86" s="62">
        <v>2</v>
      </c>
      <c r="O86" s="62">
        <v>3</v>
      </c>
      <c r="P86" s="62">
        <v>2</v>
      </c>
      <c r="Q86" s="72">
        <f t="shared" si="9"/>
        <v>2.6</v>
      </c>
      <c r="R86" s="62">
        <v>3</v>
      </c>
      <c r="S86" s="62">
        <v>3</v>
      </c>
      <c r="T86" s="7"/>
      <c r="U86" s="62">
        <v>3</v>
      </c>
      <c r="V86" s="7"/>
      <c r="W86" s="72">
        <f t="shared" si="10"/>
        <v>3</v>
      </c>
      <c r="X86" s="62">
        <v>2</v>
      </c>
      <c r="Y86" s="62">
        <v>3</v>
      </c>
      <c r="Z86" s="7"/>
      <c r="AA86" s="7"/>
      <c r="AB86" s="7"/>
      <c r="AC86" s="72">
        <f t="shared" si="11"/>
        <v>2.5</v>
      </c>
      <c r="AD86" s="62">
        <v>3</v>
      </c>
      <c r="AE86" s="7"/>
      <c r="AF86" s="62">
        <v>3</v>
      </c>
      <c r="AG86" s="7"/>
      <c r="AH86" s="7"/>
      <c r="AI86" s="72">
        <f t="shared" si="12"/>
        <v>3</v>
      </c>
      <c r="AJ86" s="7"/>
      <c r="AK86" s="7"/>
      <c r="AL86" s="7"/>
      <c r="AM86" s="7"/>
      <c r="AN86" s="7"/>
      <c r="AO86" s="72" t="str">
        <f t="shared" si="13"/>
        <v>A</v>
      </c>
      <c r="AP86" s="62">
        <v>3</v>
      </c>
      <c r="AQ86" s="62">
        <v>3</v>
      </c>
      <c r="AR86" s="62">
        <v>3</v>
      </c>
      <c r="AS86" s="7"/>
      <c r="AT86" s="7"/>
      <c r="AU86" s="72">
        <f t="shared" si="14"/>
        <v>3</v>
      </c>
      <c r="AV86" s="7"/>
      <c r="AW86" s="7"/>
      <c r="AX86" s="62">
        <v>3</v>
      </c>
      <c r="AY86" s="62">
        <v>3</v>
      </c>
      <c r="AZ86" s="62">
        <v>3</v>
      </c>
      <c r="BA86" s="72">
        <f t="shared" si="15"/>
        <v>3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2</v>
      </c>
      <c r="M87" s="62">
        <v>3</v>
      </c>
      <c r="N87" s="62">
        <v>2</v>
      </c>
      <c r="O87" s="62">
        <v>3</v>
      </c>
      <c r="P87" s="62">
        <v>2</v>
      </c>
      <c r="Q87" s="72">
        <f t="shared" si="9"/>
        <v>2.4</v>
      </c>
      <c r="R87" s="62">
        <v>3</v>
      </c>
      <c r="S87" s="62">
        <v>3</v>
      </c>
      <c r="T87" s="62"/>
      <c r="U87" s="62">
        <v>3</v>
      </c>
      <c r="V87" s="62"/>
      <c r="W87" s="72">
        <f t="shared" si="10"/>
        <v>3</v>
      </c>
      <c r="X87" s="62">
        <v>2</v>
      </c>
      <c r="Y87" s="62">
        <v>2</v>
      </c>
      <c r="Z87" s="62"/>
      <c r="AA87" s="62"/>
      <c r="AB87" s="62"/>
      <c r="AC87" s="72">
        <f t="shared" si="11"/>
        <v>2</v>
      </c>
      <c r="AD87" s="62">
        <v>3</v>
      </c>
      <c r="AE87" s="62"/>
      <c r="AF87" s="62">
        <v>0</v>
      </c>
      <c r="AG87" s="62"/>
      <c r="AH87" s="62"/>
      <c r="AI87" s="72">
        <f t="shared" si="12"/>
        <v>1.5</v>
      </c>
      <c r="AJ87" s="62"/>
      <c r="AK87" s="62"/>
      <c r="AL87" s="62"/>
      <c r="AM87" s="62"/>
      <c r="AN87" s="62"/>
      <c r="AO87" s="72" t="str">
        <f t="shared" si="13"/>
        <v>A</v>
      </c>
      <c r="AP87" s="62">
        <v>3</v>
      </c>
      <c r="AQ87" s="62">
        <v>3</v>
      </c>
      <c r="AR87" s="62">
        <v>3</v>
      </c>
      <c r="AS87" s="62"/>
      <c r="AT87" s="62"/>
      <c r="AU87" s="72">
        <f t="shared" si="14"/>
        <v>3</v>
      </c>
      <c r="AV87" s="62"/>
      <c r="AW87" s="62"/>
      <c r="AX87" s="62">
        <v>3</v>
      </c>
      <c r="AY87" s="62">
        <v>2</v>
      </c>
      <c r="AZ87" s="62">
        <v>2</v>
      </c>
      <c r="BA87" s="72">
        <f t="shared" si="15"/>
        <v>2.3333333333333335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>
        <v>2</v>
      </c>
      <c r="N88" s="62">
        <v>2</v>
      </c>
      <c r="O88" s="62">
        <v>3</v>
      </c>
      <c r="P88" s="62">
        <v>1</v>
      </c>
      <c r="Q88" s="72">
        <f t="shared" si="9"/>
        <v>2.2000000000000002</v>
      </c>
      <c r="R88" s="62">
        <v>3</v>
      </c>
      <c r="S88" s="62">
        <v>3</v>
      </c>
      <c r="T88" s="7"/>
      <c r="U88" s="62">
        <v>3</v>
      </c>
      <c r="V88" s="7"/>
      <c r="W88" s="72">
        <f t="shared" si="10"/>
        <v>3</v>
      </c>
      <c r="X88" s="62">
        <v>2</v>
      </c>
      <c r="Y88" s="62">
        <v>3</v>
      </c>
      <c r="Z88" s="7"/>
      <c r="AA88" s="7"/>
      <c r="AB88" s="7"/>
      <c r="AC88" s="72">
        <f t="shared" si="11"/>
        <v>2.5</v>
      </c>
      <c r="AD88" s="62">
        <v>2</v>
      </c>
      <c r="AE88" s="7"/>
      <c r="AF88" s="62">
        <v>2</v>
      </c>
      <c r="AG88" s="7"/>
      <c r="AH88" s="7"/>
      <c r="AI88" s="72">
        <f t="shared" si="12"/>
        <v>2</v>
      </c>
      <c r="AJ88" s="7"/>
      <c r="AK88" s="7"/>
      <c r="AL88" s="7"/>
      <c r="AM88" s="7"/>
      <c r="AN88" s="7"/>
      <c r="AO88" s="72" t="str">
        <f t="shared" si="13"/>
        <v>A</v>
      </c>
      <c r="AP88" s="62">
        <v>4</v>
      </c>
      <c r="AQ88" s="62">
        <v>4</v>
      </c>
      <c r="AR88" s="62">
        <v>3</v>
      </c>
      <c r="AS88" s="7"/>
      <c r="AT88" s="7"/>
      <c r="AU88" s="72">
        <f t="shared" si="14"/>
        <v>3.6666666666666665</v>
      </c>
      <c r="AV88" s="7"/>
      <c r="AW88" s="7"/>
      <c r="AX88" s="62">
        <v>2</v>
      </c>
      <c r="AY88" s="62">
        <v>2</v>
      </c>
      <c r="AZ88" s="62">
        <v>2</v>
      </c>
      <c r="BA88" s="72">
        <f t="shared" si="15"/>
        <v>2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3</v>
      </c>
      <c r="M89" s="62">
        <v>4</v>
      </c>
      <c r="N89" s="62">
        <v>3</v>
      </c>
      <c r="O89" s="62">
        <v>3</v>
      </c>
      <c r="P89" s="62">
        <v>3</v>
      </c>
      <c r="Q89" s="72">
        <f t="shared" si="9"/>
        <v>3.2</v>
      </c>
      <c r="R89" s="62">
        <v>4</v>
      </c>
      <c r="S89" s="62">
        <v>4</v>
      </c>
      <c r="T89" s="62"/>
      <c r="U89" s="62">
        <v>4</v>
      </c>
      <c r="V89" s="62"/>
      <c r="W89" s="72">
        <f t="shared" si="10"/>
        <v>4</v>
      </c>
      <c r="X89" s="62">
        <v>3</v>
      </c>
      <c r="Y89" s="62">
        <v>4</v>
      </c>
      <c r="Z89" s="62"/>
      <c r="AA89" s="62"/>
      <c r="AB89" s="62"/>
      <c r="AC89" s="72">
        <f t="shared" si="11"/>
        <v>3.5</v>
      </c>
      <c r="AD89" s="62">
        <v>5</v>
      </c>
      <c r="AE89" s="62"/>
      <c r="AF89" s="62">
        <v>5</v>
      </c>
      <c r="AG89" s="62"/>
      <c r="AH89" s="62"/>
      <c r="AI89" s="72">
        <f t="shared" si="12"/>
        <v>5</v>
      </c>
      <c r="AJ89" s="62"/>
      <c r="AK89" s="62"/>
      <c r="AL89" s="62"/>
      <c r="AM89" s="62"/>
      <c r="AN89" s="62"/>
      <c r="AO89" s="72" t="str">
        <f t="shared" si="13"/>
        <v>A</v>
      </c>
      <c r="AP89" s="62">
        <v>3</v>
      </c>
      <c r="AQ89" s="62">
        <v>4</v>
      </c>
      <c r="AR89" s="62">
        <v>5</v>
      </c>
      <c r="AS89" s="62"/>
      <c r="AT89" s="62"/>
      <c r="AU89" s="72">
        <f t="shared" si="14"/>
        <v>4</v>
      </c>
      <c r="AV89" s="62"/>
      <c r="AW89" s="62"/>
      <c r="AX89" s="62">
        <v>5</v>
      </c>
      <c r="AY89" s="62">
        <v>5</v>
      </c>
      <c r="AZ89" s="62">
        <v>5</v>
      </c>
      <c r="BA89" s="72">
        <f t="shared" si="15"/>
        <v>5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72">
        <f t="shared" si="9"/>
        <v>0</v>
      </c>
      <c r="R90" s="62">
        <v>0</v>
      </c>
      <c r="S90" s="62">
        <v>0</v>
      </c>
      <c r="T90" s="7"/>
      <c r="U90" s="62">
        <v>0</v>
      </c>
      <c r="V90" s="7"/>
      <c r="W90" s="72">
        <f t="shared" si="10"/>
        <v>0</v>
      </c>
      <c r="X90" s="62">
        <v>0</v>
      </c>
      <c r="Y90" s="62">
        <v>0</v>
      </c>
      <c r="Z90" s="7"/>
      <c r="AA90" s="7"/>
      <c r="AB90" s="7"/>
      <c r="AC90" s="72">
        <f t="shared" si="11"/>
        <v>0</v>
      </c>
      <c r="AD90" s="62">
        <v>0</v>
      </c>
      <c r="AE90" s="7"/>
      <c r="AF90" s="62">
        <v>0</v>
      </c>
      <c r="AG90" s="7"/>
      <c r="AH90" s="7"/>
      <c r="AI90" s="72">
        <f t="shared" si="12"/>
        <v>0</v>
      </c>
      <c r="AJ90" s="7"/>
      <c r="AK90" s="7"/>
      <c r="AL90" s="7"/>
      <c r="AM90" s="7"/>
      <c r="AN90" s="7"/>
      <c r="AO90" s="72" t="str">
        <f t="shared" si="13"/>
        <v>A</v>
      </c>
      <c r="AP90" s="62">
        <v>0</v>
      </c>
      <c r="AQ90" s="62">
        <v>0</v>
      </c>
      <c r="AR90" s="62">
        <v>0</v>
      </c>
      <c r="AS90" s="7"/>
      <c r="AT90" s="7"/>
      <c r="AU90" s="72">
        <f t="shared" si="14"/>
        <v>0</v>
      </c>
      <c r="AV90" s="7"/>
      <c r="AW90" s="7"/>
      <c r="AX90" s="62">
        <v>0</v>
      </c>
      <c r="AY90" s="62">
        <v>0</v>
      </c>
      <c r="AZ90" s="62">
        <v>0</v>
      </c>
      <c r="BA90" s="72">
        <f t="shared" si="15"/>
        <v>0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4</v>
      </c>
      <c r="M91" s="62">
        <v>4</v>
      </c>
      <c r="N91" s="62">
        <v>4</v>
      </c>
      <c r="O91" s="62">
        <v>4</v>
      </c>
      <c r="P91" s="62">
        <v>3</v>
      </c>
      <c r="Q91" s="72">
        <f t="shared" si="9"/>
        <v>3.8</v>
      </c>
      <c r="R91" s="62">
        <v>4</v>
      </c>
      <c r="S91" s="62">
        <v>4</v>
      </c>
      <c r="T91" s="62"/>
      <c r="U91" s="62">
        <v>4</v>
      </c>
      <c r="V91" s="62"/>
      <c r="W91" s="72">
        <f t="shared" si="10"/>
        <v>4</v>
      </c>
      <c r="X91" s="62">
        <v>4</v>
      </c>
      <c r="Y91" s="62">
        <v>2</v>
      </c>
      <c r="Z91" s="62"/>
      <c r="AA91" s="62"/>
      <c r="AB91" s="62"/>
      <c r="AC91" s="72">
        <f t="shared" si="11"/>
        <v>3</v>
      </c>
      <c r="AD91" s="62">
        <v>4</v>
      </c>
      <c r="AE91" s="62"/>
      <c r="AF91" s="62">
        <v>0</v>
      </c>
      <c r="AG91" s="62"/>
      <c r="AH91" s="62"/>
      <c r="AI91" s="72">
        <f t="shared" si="12"/>
        <v>2</v>
      </c>
      <c r="AJ91" s="62"/>
      <c r="AK91" s="62"/>
      <c r="AL91" s="62"/>
      <c r="AM91" s="62"/>
      <c r="AN91" s="62"/>
      <c r="AO91" s="72" t="str">
        <f t="shared" si="13"/>
        <v>A</v>
      </c>
      <c r="AP91" s="62">
        <v>2</v>
      </c>
      <c r="AQ91" s="62">
        <v>2</v>
      </c>
      <c r="AR91" s="62">
        <v>2</v>
      </c>
      <c r="AS91" s="62"/>
      <c r="AT91" s="62"/>
      <c r="AU91" s="72">
        <f t="shared" si="14"/>
        <v>2</v>
      </c>
      <c r="AV91" s="62"/>
      <c r="AW91" s="62"/>
      <c r="AX91" s="62">
        <v>2</v>
      </c>
      <c r="AY91" s="62">
        <v>2</v>
      </c>
      <c r="AZ91" s="62">
        <v>3</v>
      </c>
      <c r="BA91" s="72">
        <f t="shared" si="15"/>
        <v>2.3333333333333335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3</v>
      </c>
      <c r="M92" s="62">
        <v>2</v>
      </c>
      <c r="N92" s="62">
        <v>2</v>
      </c>
      <c r="O92" s="62">
        <v>3</v>
      </c>
      <c r="P92" s="62">
        <v>2</v>
      </c>
      <c r="Q92" s="72">
        <f t="shared" si="9"/>
        <v>2.4</v>
      </c>
      <c r="R92" s="62">
        <v>2</v>
      </c>
      <c r="S92" s="62">
        <v>2</v>
      </c>
      <c r="T92" s="7"/>
      <c r="U92" s="62">
        <v>3</v>
      </c>
      <c r="V92" s="7"/>
      <c r="W92" s="72">
        <f t="shared" si="10"/>
        <v>2.3333333333333335</v>
      </c>
      <c r="X92" s="62">
        <v>2</v>
      </c>
      <c r="Y92" s="62">
        <v>2</v>
      </c>
      <c r="Z92" s="7"/>
      <c r="AA92" s="7"/>
      <c r="AB92" s="7"/>
      <c r="AC92" s="72">
        <f t="shared" si="11"/>
        <v>2</v>
      </c>
      <c r="AD92" s="62">
        <v>2</v>
      </c>
      <c r="AE92" s="7"/>
      <c r="AF92" s="62">
        <v>0</v>
      </c>
      <c r="AG92" s="7"/>
      <c r="AH92" s="7"/>
      <c r="AI92" s="72">
        <f t="shared" si="12"/>
        <v>1</v>
      </c>
      <c r="AJ92" s="7"/>
      <c r="AK92" s="7"/>
      <c r="AL92" s="7"/>
      <c r="AM92" s="7"/>
      <c r="AN92" s="7"/>
      <c r="AO92" s="72" t="str">
        <f t="shared" si="13"/>
        <v>A</v>
      </c>
      <c r="AP92" s="62">
        <v>1</v>
      </c>
      <c r="AQ92" s="62">
        <v>4</v>
      </c>
      <c r="AR92" s="62">
        <v>3</v>
      </c>
      <c r="AS92" s="7"/>
      <c r="AT92" s="7"/>
      <c r="AU92" s="72">
        <f t="shared" si="14"/>
        <v>2.6666666666666665</v>
      </c>
      <c r="AV92" s="7"/>
      <c r="AW92" s="7"/>
      <c r="AX92" s="62">
        <v>2</v>
      </c>
      <c r="AY92" s="62">
        <v>1</v>
      </c>
      <c r="AZ92" s="62">
        <v>1</v>
      </c>
      <c r="BA92" s="72">
        <f t="shared" si="15"/>
        <v>1.3333333333333333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2</v>
      </c>
      <c r="M93" s="62">
        <v>3</v>
      </c>
      <c r="N93" s="62">
        <v>2</v>
      </c>
      <c r="O93" s="62">
        <v>4</v>
      </c>
      <c r="P93" s="62">
        <v>3</v>
      </c>
      <c r="Q93" s="72">
        <f t="shared" si="9"/>
        <v>2.8</v>
      </c>
      <c r="R93" s="62">
        <v>4</v>
      </c>
      <c r="S93" s="62">
        <v>4</v>
      </c>
      <c r="T93" s="62"/>
      <c r="U93" s="62">
        <v>3</v>
      </c>
      <c r="V93" s="62"/>
      <c r="W93" s="72">
        <f t="shared" si="10"/>
        <v>3.6666666666666665</v>
      </c>
      <c r="X93" s="62">
        <v>3</v>
      </c>
      <c r="Y93" s="62">
        <v>5</v>
      </c>
      <c r="Z93" s="62"/>
      <c r="AA93" s="62"/>
      <c r="AB93" s="62"/>
      <c r="AC93" s="72">
        <f t="shared" si="11"/>
        <v>4</v>
      </c>
      <c r="AD93" s="62">
        <v>5</v>
      </c>
      <c r="AE93" s="62"/>
      <c r="AF93" s="62">
        <v>0</v>
      </c>
      <c r="AG93" s="62"/>
      <c r="AH93" s="62"/>
      <c r="AI93" s="72">
        <f t="shared" si="12"/>
        <v>2.5</v>
      </c>
      <c r="AJ93" s="62"/>
      <c r="AK93" s="62"/>
      <c r="AL93" s="62"/>
      <c r="AM93" s="62"/>
      <c r="AN93" s="62"/>
      <c r="AO93" s="72" t="str">
        <f t="shared" si="13"/>
        <v>A</v>
      </c>
      <c r="AP93" s="62">
        <v>5</v>
      </c>
      <c r="AQ93" s="62">
        <v>3</v>
      </c>
      <c r="AR93" s="62">
        <v>5</v>
      </c>
      <c r="AS93" s="62"/>
      <c r="AT93" s="62"/>
      <c r="AU93" s="72">
        <f t="shared" si="14"/>
        <v>4.333333333333333</v>
      </c>
      <c r="AV93" s="62"/>
      <c r="AW93" s="62"/>
      <c r="AX93" s="62">
        <v>5</v>
      </c>
      <c r="AY93" s="62">
        <v>5</v>
      </c>
      <c r="AZ93" s="62">
        <v>5</v>
      </c>
      <c r="BA93" s="72">
        <f t="shared" si="15"/>
        <v>5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3</v>
      </c>
      <c r="M94" s="62">
        <v>3</v>
      </c>
      <c r="N94" s="62">
        <v>2</v>
      </c>
      <c r="O94" s="62">
        <v>3</v>
      </c>
      <c r="P94" s="62">
        <v>1</v>
      </c>
      <c r="Q94" s="72">
        <f t="shared" si="9"/>
        <v>2.4</v>
      </c>
      <c r="R94" s="62">
        <v>2</v>
      </c>
      <c r="S94" s="62">
        <v>2</v>
      </c>
      <c r="T94" s="7"/>
      <c r="U94" s="62">
        <v>2</v>
      </c>
      <c r="V94" s="7"/>
      <c r="W94" s="72">
        <f t="shared" si="10"/>
        <v>2</v>
      </c>
      <c r="X94" s="62">
        <v>2</v>
      </c>
      <c r="Y94" s="62">
        <v>2</v>
      </c>
      <c r="Z94" s="7"/>
      <c r="AA94" s="7"/>
      <c r="AB94" s="7"/>
      <c r="AC94" s="72">
        <f t="shared" si="11"/>
        <v>2</v>
      </c>
      <c r="AD94" s="62">
        <v>4</v>
      </c>
      <c r="AE94" s="7"/>
      <c r="AF94" s="62">
        <v>4</v>
      </c>
      <c r="AG94" s="7"/>
      <c r="AH94" s="7"/>
      <c r="AI94" s="72">
        <f t="shared" si="12"/>
        <v>4</v>
      </c>
      <c r="AJ94" s="7"/>
      <c r="AK94" s="7"/>
      <c r="AL94" s="7"/>
      <c r="AM94" s="7"/>
      <c r="AN94" s="7"/>
      <c r="AO94" s="72" t="str">
        <f t="shared" si="13"/>
        <v>A</v>
      </c>
      <c r="AP94" s="62">
        <v>3</v>
      </c>
      <c r="AQ94" s="62">
        <v>2</v>
      </c>
      <c r="AR94" s="62">
        <v>2</v>
      </c>
      <c r="AS94" s="7"/>
      <c r="AT94" s="7"/>
      <c r="AU94" s="72">
        <f t="shared" si="14"/>
        <v>2.3333333333333335</v>
      </c>
      <c r="AV94" s="7"/>
      <c r="AW94" s="7"/>
      <c r="AX94" s="62">
        <v>3</v>
      </c>
      <c r="AY94" s="62">
        <v>3</v>
      </c>
      <c r="AZ94" s="62">
        <v>3</v>
      </c>
      <c r="BA94" s="72">
        <f t="shared" si="15"/>
        <v>3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3</v>
      </c>
      <c r="M95" s="62">
        <v>3</v>
      </c>
      <c r="N95" s="62">
        <v>2</v>
      </c>
      <c r="O95" s="62">
        <v>3</v>
      </c>
      <c r="P95" s="62">
        <v>2</v>
      </c>
      <c r="Q95" s="72">
        <f t="shared" si="9"/>
        <v>2.6</v>
      </c>
      <c r="R95" s="62">
        <v>3</v>
      </c>
      <c r="S95" s="62">
        <v>3</v>
      </c>
      <c r="T95" s="62"/>
      <c r="U95" s="62">
        <v>3</v>
      </c>
      <c r="V95" s="62"/>
      <c r="W95" s="72">
        <f t="shared" si="10"/>
        <v>3</v>
      </c>
      <c r="X95" s="62">
        <v>2</v>
      </c>
      <c r="Y95" s="62">
        <v>3</v>
      </c>
      <c r="Z95" s="62"/>
      <c r="AA95" s="62"/>
      <c r="AB95" s="62"/>
      <c r="AC95" s="72">
        <f t="shared" si="11"/>
        <v>2.5</v>
      </c>
      <c r="AD95" s="62">
        <v>3</v>
      </c>
      <c r="AE95" s="62"/>
      <c r="AF95" s="62">
        <v>3</v>
      </c>
      <c r="AG95" s="62"/>
      <c r="AH95" s="62"/>
      <c r="AI95" s="72">
        <f t="shared" si="12"/>
        <v>3</v>
      </c>
      <c r="AJ95" s="62"/>
      <c r="AK95" s="62"/>
      <c r="AL95" s="62"/>
      <c r="AM95" s="62"/>
      <c r="AN95" s="62"/>
      <c r="AO95" s="72" t="str">
        <f t="shared" si="13"/>
        <v>A</v>
      </c>
      <c r="AP95" s="62">
        <v>3</v>
      </c>
      <c r="AQ95" s="62">
        <v>3</v>
      </c>
      <c r="AR95" s="62">
        <v>3</v>
      </c>
      <c r="AS95" s="62"/>
      <c r="AT95" s="62"/>
      <c r="AU95" s="72">
        <f t="shared" si="14"/>
        <v>3</v>
      </c>
      <c r="AV95" s="62"/>
      <c r="AW95" s="62"/>
      <c r="AX95" s="62">
        <v>3</v>
      </c>
      <c r="AY95" s="62">
        <v>3</v>
      </c>
      <c r="AZ95" s="62">
        <v>3</v>
      </c>
      <c r="BA95" s="72">
        <f t="shared" si="15"/>
        <v>3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2</v>
      </c>
      <c r="M96" s="62">
        <v>3</v>
      </c>
      <c r="N96" s="62">
        <v>2</v>
      </c>
      <c r="O96" s="62">
        <v>3</v>
      </c>
      <c r="P96" s="62">
        <v>2</v>
      </c>
      <c r="Q96" s="72">
        <f t="shared" si="9"/>
        <v>2.4</v>
      </c>
      <c r="R96" s="62">
        <v>4</v>
      </c>
      <c r="S96" s="62">
        <v>4</v>
      </c>
      <c r="T96" s="7"/>
      <c r="U96" s="62">
        <v>4</v>
      </c>
      <c r="V96" s="7"/>
      <c r="W96" s="72">
        <f t="shared" si="10"/>
        <v>4</v>
      </c>
      <c r="X96" s="62">
        <v>3</v>
      </c>
      <c r="Y96" s="62">
        <v>4</v>
      </c>
      <c r="Z96" s="7"/>
      <c r="AA96" s="7"/>
      <c r="AB96" s="7"/>
      <c r="AC96" s="72">
        <f t="shared" si="11"/>
        <v>3.5</v>
      </c>
      <c r="AD96" s="62">
        <v>5</v>
      </c>
      <c r="AE96" s="7"/>
      <c r="AF96" s="62">
        <v>0</v>
      </c>
      <c r="AG96" s="7"/>
      <c r="AH96" s="7"/>
      <c r="AI96" s="72">
        <f t="shared" si="12"/>
        <v>2.5</v>
      </c>
      <c r="AJ96" s="7"/>
      <c r="AK96" s="7"/>
      <c r="AL96" s="7"/>
      <c r="AM96" s="7"/>
      <c r="AN96" s="7"/>
      <c r="AO96" s="72" t="str">
        <f t="shared" si="13"/>
        <v>A</v>
      </c>
      <c r="AP96" s="62">
        <v>5</v>
      </c>
      <c r="AQ96" s="62">
        <v>3</v>
      </c>
      <c r="AR96" s="62">
        <v>3</v>
      </c>
      <c r="AS96" s="7"/>
      <c r="AT96" s="7"/>
      <c r="AU96" s="72">
        <f t="shared" si="14"/>
        <v>3.6666666666666665</v>
      </c>
      <c r="AV96" s="7"/>
      <c r="AW96" s="7"/>
      <c r="AX96" s="62">
        <v>4</v>
      </c>
      <c r="AY96" s="62">
        <v>5</v>
      </c>
      <c r="AZ96" s="62">
        <v>5</v>
      </c>
      <c r="BA96" s="72">
        <f t="shared" si="15"/>
        <v>4.666666666666667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3</v>
      </c>
      <c r="M97" s="62">
        <v>3</v>
      </c>
      <c r="N97" s="62">
        <v>3</v>
      </c>
      <c r="O97" s="62">
        <v>3</v>
      </c>
      <c r="P97" s="62">
        <v>3</v>
      </c>
      <c r="Q97" s="72">
        <f t="shared" si="9"/>
        <v>3</v>
      </c>
      <c r="R97" s="62">
        <v>4</v>
      </c>
      <c r="S97" s="62">
        <v>4</v>
      </c>
      <c r="T97" s="62"/>
      <c r="U97" s="62">
        <v>4</v>
      </c>
      <c r="V97" s="62"/>
      <c r="W97" s="72">
        <f t="shared" si="10"/>
        <v>4</v>
      </c>
      <c r="X97" s="62">
        <v>3</v>
      </c>
      <c r="Y97" s="62">
        <v>2</v>
      </c>
      <c r="Z97" s="62"/>
      <c r="AA97" s="62"/>
      <c r="AB97" s="62"/>
      <c r="AC97" s="72">
        <f t="shared" si="11"/>
        <v>2.5</v>
      </c>
      <c r="AD97" s="62">
        <v>3</v>
      </c>
      <c r="AE97" s="62"/>
      <c r="AF97" s="62">
        <v>3</v>
      </c>
      <c r="AG97" s="62"/>
      <c r="AH97" s="62"/>
      <c r="AI97" s="72">
        <f t="shared" si="12"/>
        <v>3</v>
      </c>
      <c r="AJ97" s="62"/>
      <c r="AK97" s="62"/>
      <c r="AL97" s="62"/>
      <c r="AM97" s="62"/>
      <c r="AN97" s="62"/>
      <c r="AO97" s="72" t="str">
        <f t="shared" si="13"/>
        <v>A</v>
      </c>
      <c r="AP97" s="62">
        <v>4</v>
      </c>
      <c r="AQ97" s="62">
        <v>4</v>
      </c>
      <c r="AR97" s="62">
        <v>4</v>
      </c>
      <c r="AS97" s="62"/>
      <c r="AT97" s="62"/>
      <c r="AU97" s="72">
        <f t="shared" si="14"/>
        <v>4</v>
      </c>
      <c r="AV97" s="62"/>
      <c r="AW97" s="62"/>
      <c r="AX97" s="62">
        <v>3</v>
      </c>
      <c r="AY97" s="62">
        <v>3</v>
      </c>
      <c r="AZ97" s="62">
        <v>3</v>
      </c>
      <c r="BA97" s="72">
        <f t="shared" si="15"/>
        <v>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3</v>
      </c>
      <c r="M98" s="62">
        <v>2</v>
      </c>
      <c r="N98" s="62">
        <v>1</v>
      </c>
      <c r="O98" s="62">
        <v>3</v>
      </c>
      <c r="P98" s="62">
        <v>1</v>
      </c>
      <c r="Q98" s="72">
        <f t="shared" si="9"/>
        <v>2</v>
      </c>
      <c r="R98" s="62">
        <v>1</v>
      </c>
      <c r="S98" s="62">
        <v>1</v>
      </c>
      <c r="T98" s="7"/>
      <c r="U98" s="62">
        <v>1</v>
      </c>
      <c r="V98" s="7"/>
      <c r="W98" s="72">
        <f t="shared" si="10"/>
        <v>1</v>
      </c>
      <c r="X98" s="62">
        <v>1</v>
      </c>
      <c r="Y98" s="62">
        <v>1</v>
      </c>
      <c r="Z98" s="7"/>
      <c r="AA98" s="7"/>
      <c r="AB98" s="7"/>
      <c r="AC98" s="72">
        <f t="shared" si="11"/>
        <v>1</v>
      </c>
      <c r="AD98" s="62">
        <v>1</v>
      </c>
      <c r="AE98" s="7"/>
      <c r="AF98" s="62">
        <v>1</v>
      </c>
      <c r="AG98" s="7"/>
      <c r="AH98" s="7"/>
      <c r="AI98" s="72">
        <f t="shared" si="12"/>
        <v>1</v>
      </c>
      <c r="AJ98" s="7"/>
      <c r="AK98" s="7"/>
      <c r="AL98" s="7"/>
      <c r="AM98" s="7"/>
      <c r="AN98" s="7"/>
      <c r="AO98" s="72" t="str">
        <f t="shared" si="13"/>
        <v>A</v>
      </c>
      <c r="AP98" s="62">
        <v>1</v>
      </c>
      <c r="AQ98" s="62">
        <v>1</v>
      </c>
      <c r="AR98" s="62">
        <v>1</v>
      </c>
      <c r="AS98" s="7"/>
      <c r="AT98" s="7"/>
      <c r="AU98" s="72">
        <f t="shared" si="14"/>
        <v>1</v>
      </c>
      <c r="AV98" s="7"/>
      <c r="AW98" s="7"/>
      <c r="AX98" s="62">
        <v>1</v>
      </c>
      <c r="AY98" s="62">
        <v>1</v>
      </c>
      <c r="AZ98" s="62">
        <v>1</v>
      </c>
      <c r="BA98" s="72">
        <f t="shared" si="15"/>
        <v>1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2</v>
      </c>
      <c r="M99" s="62">
        <v>2</v>
      </c>
      <c r="N99" s="62">
        <v>2</v>
      </c>
      <c r="O99" s="62">
        <v>3</v>
      </c>
      <c r="P99" s="62">
        <v>2</v>
      </c>
      <c r="Q99" s="72">
        <f t="shared" si="9"/>
        <v>2.2000000000000002</v>
      </c>
      <c r="R99" s="62">
        <v>4</v>
      </c>
      <c r="S99" s="62">
        <v>4</v>
      </c>
      <c r="T99" s="62"/>
      <c r="U99" s="62">
        <v>4</v>
      </c>
      <c r="V99" s="62"/>
      <c r="W99" s="72">
        <f t="shared" si="10"/>
        <v>4</v>
      </c>
      <c r="X99" s="62">
        <v>3</v>
      </c>
      <c r="Y99" s="62">
        <v>4</v>
      </c>
      <c r="Z99" s="62"/>
      <c r="AA99" s="62"/>
      <c r="AB99" s="62"/>
      <c r="AC99" s="72">
        <f t="shared" si="11"/>
        <v>3.5</v>
      </c>
      <c r="AD99" s="62">
        <v>5</v>
      </c>
      <c r="AE99" s="62"/>
      <c r="AF99" s="62">
        <v>5</v>
      </c>
      <c r="AG99" s="62"/>
      <c r="AH99" s="62"/>
      <c r="AI99" s="72">
        <f t="shared" si="12"/>
        <v>5</v>
      </c>
      <c r="AJ99" s="62"/>
      <c r="AK99" s="62"/>
      <c r="AL99" s="62"/>
      <c r="AM99" s="62"/>
      <c r="AN99" s="62"/>
      <c r="AO99" s="72" t="str">
        <f t="shared" si="13"/>
        <v>A</v>
      </c>
      <c r="AP99" s="62">
        <v>5</v>
      </c>
      <c r="AQ99" s="62">
        <v>5</v>
      </c>
      <c r="AR99" s="62">
        <v>5</v>
      </c>
      <c r="AS99" s="62"/>
      <c r="AT99" s="62"/>
      <c r="AU99" s="72">
        <f t="shared" si="14"/>
        <v>5</v>
      </c>
      <c r="AV99" s="62"/>
      <c r="AW99" s="62"/>
      <c r="AX99" s="62">
        <v>2</v>
      </c>
      <c r="AY99" s="62">
        <v>5</v>
      </c>
      <c r="AZ99" s="62">
        <v>5</v>
      </c>
      <c r="BA99" s="72">
        <f t="shared" si="15"/>
        <v>4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3</v>
      </c>
      <c r="M100" s="62">
        <v>2</v>
      </c>
      <c r="N100" s="62">
        <v>2</v>
      </c>
      <c r="O100" s="62">
        <v>3</v>
      </c>
      <c r="P100" s="62">
        <v>1</v>
      </c>
      <c r="Q100" s="72">
        <f t="shared" si="9"/>
        <v>2.2000000000000002</v>
      </c>
      <c r="R100" s="62">
        <v>3</v>
      </c>
      <c r="S100" s="62">
        <v>3</v>
      </c>
      <c r="T100" s="7"/>
      <c r="U100" s="62">
        <v>3</v>
      </c>
      <c r="V100" s="7"/>
      <c r="W100" s="72">
        <f t="shared" si="10"/>
        <v>3</v>
      </c>
      <c r="X100" s="62">
        <v>2</v>
      </c>
      <c r="Y100" s="62">
        <v>3</v>
      </c>
      <c r="Z100" s="7"/>
      <c r="AA100" s="7"/>
      <c r="AB100" s="7"/>
      <c r="AC100" s="72">
        <f t="shared" si="11"/>
        <v>2.5</v>
      </c>
      <c r="AD100" s="62">
        <v>2</v>
      </c>
      <c r="AE100" s="7"/>
      <c r="AF100" s="62">
        <v>2</v>
      </c>
      <c r="AG100" s="7"/>
      <c r="AH100" s="7"/>
      <c r="AI100" s="72">
        <f t="shared" si="12"/>
        <v>2</v>
      </c>
      <c r="AJ100" s="7"/>
      <c r="AK100" s="7"/>
      <c r="AL100" s="7"/>
      <c r="AM100" s="7"/>
      <c r="AN100" s="7"/>
      <c r="AO100" s="72" t="str">
        <f t="shared" si="13"/>
        <v>A</v>
      </c>
      <c r="AP100" s="62">
        <v>4</v>
      </c>
      <c r="AQ100" s="62">
        <v>4</v>
      </c>
      <c r="AR100" s="62">
        <v>3</v>
      </c>
      <c r="AS100" s="7"/>
      <c r="AT100" s="7"/>
      <c r="AU100" s="72">
        <f t="shared" si="14"/>
        <v>3.6666666666666665</v>
      </c>
      <c r="AV100" s="7"/>
      <c r="AW100" s="7"/>
      <c r="AX100" s="62">
        <v>2</v>
      </c>
      <c r="AY100" s="62">
        <v>2</v>
      </c>
      <c r="AZ100" s="62">
        <v>2</v>
      </c>
      <c r="BA100" s="72">
        <f t="shared" si="15"/>
        <v>2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2</v>
      </c>
      <c r="M101" s="62">
        <v>2</v>
      </c>
      <c r="N101" s="62">
        <v>2</v>
      </c>
      <c r="O101" s="62">
        <v>3</v>
      </c>
      <c r="P101" s="62">
        <v>1</v>
      </c>
      <c r="Q101" s="72">
        <f t="shared" si="9"/>
        <v>2</v>
      </c>
      <c r="R101" s="62">
        <v>2</v>
      </c>
      <c r="S101" s="62">
        <v>2</v>
      </c>
      <c r="T101" s="62"/>
      <c r="U101" s="62">
        <v>2</v>
      </c>
      <c r="V101" s="62"/>
      <c r="W101" s="72">
        <f t="shared" si="10"/>
        <v>2</v>
      </c>
      <c r="X101" s="62">
        <v>2</v>
      </c>
      <c r="Y101" s="62">
        <v>2</v>
      </c>
      <c r="Z101" s="62"/>
      <c r="AA101" s="62"/>
      <c r="AB101" s="62"/>
      <c r="AC101" s="72">
        <f t="shared" si="11"/>
        <v>2</v>
      </c>
      <c r="AD101" s="62">
        <v>4</v>
      </c>
      <c r="AE101" s="62"/>
      <c r="AF101" s="62">
        <v>4</v>
      </c>
      <c r="AG101" s="62"/>
      <c r="AH101" s="62"/>
      <c r="AI101" s="72">
        <f t="shared" si="12"/>
        <v>4</v>
      </c>
      <c r="AJ101" s="62"/>
      <c r="AK101" s="62"/>
      <c r="AL101" s="62"/>
      <c r="AM101" s="62"/>
      <c r="AN101" s="62"/>
      <c r="AO101" s="72" t="str">
        <f t="shared" si="13"/>
        <v>A</v>
      </c>
      <c r="AP101" s="62">
        <v>4</v>
      </c>
      <c r="AQ101" s="62">
        <v>3</v>
      </c>
      <c r="AR101" s="62">
        <v>2</v>
      </c>
      <c r="AS101" s="62"/>
      <c r="AT101" s="62"/>
      <c r="AU101" s="72">
        <f t="shared" si="14"/>
        <v>3</v>
      </c>
      <c r="AV101" s="62"/>
      <c r="AW101" s="62"/>
      <c r="AX101" s="62">
        <v>2</v>
      </c>
      <c r="AY101" s="62">
        <v>2</v>
      </c>
      <c r="AZ101" s="62">
        <v>2</v>
      </c>
      <c r="BA101" s="72">
        <f t="shared" si="15"/>
        <v>2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2</v>
      </c>
      <c r="M102" s="62">
        <v>2</v>
      </c>
      <c r="N102" s="62">
        <v>2</v>
      </c>
      <c r="O102" s="62">
        <v>3</v>
      </c>
      <c r="P102" s="62">
        <v>2</v>
      </c>
      <c r="Q102" s="72">
        <f t="shared" si="9"/>
        <v>2.2000000000000002</v>
      </c>
      <c r="R102" s="62">
        <v>3</v>
      </c>
      <c r="S102" s="62">
        <v>3</v>
      </c>
      <c r="T102" s="7"/>
      <c r="U102" s="62">
        <v>3</v>
      </c>
      <c r="V102" s="7"/>
      <c r="W102" s="72">
        <f t="shared" si="10"/>
        <v>3</v>
      </c>
      <c r="X102" s="62">
        <v>2</v>
      </c>
      <c r="Y102" s="62">
        <v>3</v>
      </c>
      <c r="Z102" s="7"/>
      <c r="AA102" s="7"/>
      <c r="AB102" s="7"/>
      <c r="AC102" s="72">
        <f t="shared" si="11"/>
        <v>2.5</v>
      </c>
      <c r="AD102" s="62">
        <v>5</v>
      </c>
      <c r="AE102" s="7"/>
      <c r="AF102" s="62">
        <v>0</v>
      </c>
      <c r="AG102" s="7"/>
      <c r="AH102" s="7"/>
      <c r="AI102" s="72">
        <f t="shared" si="12"/>
        <v>2.5</v>
      </c>
      <c r="AJ102" s="7"/>
      <c r="AK102" s="7"/>
      <c r="AL102" s="7"/>
      <c r="AM102" s="7"/>
      <c r="AN102" s="7"/>
      <c r="AO102" s="72" t="str">
        <f t="shared" si="13"/>
        <v>A</v>
      </c>
      <c r="AP102" s="62">
        <v>5</v>
      </c>
      <c r="AQ102" s="62">
        <v>4</v>
      </c>
      <c r="AR102" s="62">
        <v>3</v>
      </c>
      <c r="AS102" s="7"/>
      <c r="AT102" s="7"/>
      <c r="AU102" s="72">
        <f t="shared" si="14"/>
        <v>4</v>
      </c>
      <c r="AV102" s="7"/>
      <c r="AW102" s="7"/>
      <c r="AX102" s="62">
        <v>3</v>
      </c>
      <c r="AY102" s="62">
        <v>5</v>
      </c>
      <c r="AZ102" s="62">
        <v>5</v>
      </c>
      <c r="BA102" s="72">
        <f t="shared" si="15"/>
        <v>4.333333333333333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3</v>
      </c>
      <c r="M103" s="62">
        <v>3</v>
      </c>
      <c r="N103" s="62">
        <v>2</v>
      </c>
      <c r="O103" s="62">
        <v>3</v>
      </c>
      <c r="P103" s="62">
        <v>1</v>
      </c>
      <c r="Q103" s="72">
        <f t="shared" si="9"/>
        <v>2.4</v>
      </c>
      <c r="R103" s="62">
        <v>2</v>
      </c>
      <c r="S103" s="62">
        <v>2</v>
      </c>
      <c r="T103" s="62"/>
      <c r="U103" s="62">
        <v>2</v>
      </c>
      <c r="V103" s="62"/>
      <c r="W103" s="72">
        <f t="shared" si="10"/>
        <v>2</v>
      </c>
      <c r="X103" s="62">
        <v>2</v>
      </c>
      <c r="Y103" s="62">
        <v>2</v>
      </c>
      <c r="Z103" s="62"/>
      <c r="AA103" s="62"/>
      <c r="AB103" s="62"/>
      <c r="AC103" s="72">
        <f t="shared" si="11"/>
        <v>2</v>
      </c>
      <c r="AD103" s="62">
        <v>4</v>
      </c>
      <c r="AE103" s="62"/>
      <c r="AF103" s="62">
        <v>4</v>
      </c>
      <c r="AG103" s="62"/>
      <c r="AH103" s="62"/>
      <c r="AI103" s="72">
        <f t="shared" si="12"/>
        <v>4</v>
      </c>
      <c r="AJ103" s="62"/>
      <c r="AK103" s="62"/>
      <c r="AL103" s="62"/>
      <c r="AM103" s="62"/>
      <c r="AN103" s="62"/>
      <c r="AO103" s="72" t="str">
        <f t="shared" si="13"/>
        <v>A</v>
      </c>
      <c r="AP103" s="62">
        <v>3</v>
      </c>
      <c r="AQ103" s="62">
        <v>2</v>
      </c>
      <c r="AR103" s="62">
        <v>2</v>
      </c>
      <c r="AS103" s="62"/>
      <c r="AT103" s="62"/>
      <c r="AU103" s="72">
        <f t="shared" si="14"/>
        <v>2.3333333333333335</v>
      </c>
      <c r="AV103" s="62"/>
      <c r="AW103" s="62"/>
      <c r="AX103" s="62">
        <v>3</v>
      </c>
      <c r="AY103" s="62">
        <v>3</v>
      </c>
      <c r="AZ103" s="62">
        <v>3</v>
      </c>
      <c r="BA103" s="72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3</v>
      </c>
      <c r="M104" s="62">
        <v>3</v>
      </c>
      <c r="N104" s="62">
        <v>3</v>
      </c>
      <c r="O104" s="62">
        <v>3</v>
      </c>
      <c r="P104" s="62">
        <v>3</v>
      </c>
      <c r="Q104" s="72">
        <f t="shared" si="9"/>
        <v>3</v>
      </c>
      <c r="R104" s="62">
        <v>4</v>
      </c>
      <c r="S104" s="62">
        <v>4</v>
      </c>
      <c r="T104" s="7"/>
      <c r="U104" s="62">
        <v>4</v>
      </c>
      <c r="V104" s="7"/>
      <c r="W104" s="72">
        <f t="shared" si="10"/>
        <v>4</v>
      </c>
      <c r="X104" s="62">
        <v>3</v>
      </c>
      <c r="Y104" s="62">
        <v>2</v>
      </c>
      <c r="Z104" s="7"/>
      <c r="AA104" s="7"/>
      <c r="AB104" s="7"/>
      <c r="AC104" s="72">
        <f t="shared" si="11"/>
        <v>2.5</v>
      </c>
      <c r="AD104" s="62">
        <v>3</v>
      </c>
      <c r="AE104" s="7"/>
      <c r="AF104" s="62">
        <v>3</v>
      </c>
      <c r="AG104" s="7"/>
      <c r="AH104" s="7"/>
      <c r="AI104" s="72">
        <f t="shared" si="12"/>
        <v>3</v>
      </c>
      <c r="AJ104" s="7"/>
      <c r="AK104" s="7"/>
      <c r="AL104" s="7"/>
      <c r="AM104" s="7"/>
      <c r="AN104" s="7"/>
      <c r="AO104" s="72" t="str">
        <f t="shared" si="13"/>
        <v>A</v>
      </c>
      <c r="AP104" s="62">
        <v>4</v>
      </c>
      <c r="AQ104" s="62">
        <v>4</v>
      </c>
      <c r="AR104" s="62">
        <v>4</v>
      </c>
      <c r="AS104" s="7"/>
      <c r="AT104" s="7"/>
      <c r="AU104" s="72">
        <f t="shared" si="14"/>
        <v>4</v>
      </c>
      <c r="AV104" s="7"/>
      <c r="AW104" s="7"/>
      <c r="AX104" s="62">
        <v>3</v>
      </c>
      <c r="AY104" s="62">
        <v>3</v>
      </c>
      <c r="AZ104" s="62">
        <v>3</v>
      </c>
      <c r="BA104" s="72">
        <f t="shared" si="15"/>
        <v>3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>
        <v>3</v>
      </c>
      <c r="N105" s="62">
        <v>2</v>
      </c>
      <c r="O105" s="62">
        <v>3</v>
      </c>
      <c r="P105" s="62">
        <v>1</v>
      </c>
      <c r="Q105" s="72">
        <f t="shared" si="9"/>
        <v>2.4</v>
      </c>
      <c r="R105" s="62">
        <v>3</v>
      </c>
      <c r="S105" s="62">
        <v>3</v>
      </c>
      <c r="T105" s="62"/>
      <c r="U105" s="62">
        <v>3</v>
      </c>
      <c r="V105" s="62"/>
      <c r="W105" s="72">
        <f t="shared" si="10"/>
        <v>3</v>
      </c>
      <c r="X105" s="62">
        <v>3</v>
      </c>
      <c r="Y105" s="62">
        <v>2</v>
      </c>
      <c r="Z105" s="62"/>
      <c r="AA105" s="62"/>
      <c r="AB105" s="62"/>
      <c r="AC105" s="72">
        <f t="shared" si="11"/>
        <v>2.5</v>
      </c>
      <c r="AD105" s="62">
        <v>5</v>
      </c>
      <c r="AE105" s="62"/>
      <c r="AF105" s="62">
        <v>0</v>
      </c>
      <c r="AG105" s="62"/>
      <c r="AH105" s="62"/>
      <c r="AI105" s="72">
        <f t="shared" si="12"/>
        <v>2.5</v>
      </c>
      <c r="AJ105" s="62"/>
      <c r="AK105" s="62"/>
      <c r="AL105" s="62"/>
      <c r="AM105" s="62"/>
      <c r="AN105" s="62"/>
      <c r="AO105" s="72" t="str">
        <f t="shared" si="13"/>
        <v>A</v>
      </c>
      <c r="AP105" s="62">
        <v>5</v>
      </c>
      <c r="AQ105" s="62">
        <v>2</v>
      </c>
      <c r="AR105" s="62">
        <v>2</v>
      </c>
      <c r="AS105" s="62"/>
      <c r="AT105" s="62"/>
      <c r="AU105" s="72">
        <f t="shared" si="14"/>
        <v>3</v>
      </c>
      <c r="AV105" s="62"/>
      <c r="AW105" s="62"/>
      <c r="AX105" s="62">
        <v>2</v>
      </c>
      <c r="AY105" s="62">
        <v>5</v>
      </c>
      <c r="AZ105" s="62">
        <v>5</v>
      </c>
      <c r="BA105" s="72">
        <f t="shared" si="15"/>
        <v>4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5</v>
      </c>
      <c r="M106" s="62">
        <v>4</v>
      </c>
      <c r="N106" s="62">
        <v>4</v>
      </c>
      <c r="O106" s="62">
        <v>3</v>
      </c>
      <c r="P106" s="62">
        <v>4</v>
      </c>
      <c r="Q106" s="72">
        <f t="shared" si="9"/>
        <v>4</v>
      </c>
      <c r="R106" s="62">
        <v>2</v>
      </c>
      <c r="S106" s="62">
        <v>3</v>
      </c>
      <c r="T106" s="7"/>
      <c r="U106" s="62">
        <v>2</v>
      </c>
      <c r="V106" s="7"/>
      <c r="W106" s="72">
        <f t="shared" si="10"/>
        <v>2.3333333333333335</v>
      </c>
      <c r="X106" s="62">
        <v>2</v>
      </c>
      <c r="Y106" s="62">
        <v>1</v>
      </c>
      <c r="Z106" s="7"/>
      <c r="AA106" s="7"/>
      <c r="AB106" s="7"/>
      <c r="AC106" s="72">
        <f t="shared" si="11"/>
        <v>1.5</v>
      </c>
      <c r="AD106" s="62">
        <v>2</v>
      </c>
      <c r="AE106" s="7"/>
      <c r="AF106" s="62">
        <v>0</v>
      </c>
      <c r="AG106" s="7"/>
      <c r="AH106" s="7"/>
      <c r="AI106" s="72">
        <f t="shared" si="12"/>
        <v>1</v>
      </c>
      <c r="AJ106" s="7"/>
      <c r="AK106" s="7"/>
      <c r="AL106" s="7"/>
      <c r="AM106" s="7"/>
      <c r="AN106" s="7"/>
      <c r="AO106" s="72" t="str">
        <f t="shared" si="13"/>
        <v>A</v>
      </c>
      <c r="AP106" s="62">
        <v>2</v>
      </c>
      <c r="AQ106" s="62">
        <v>1</v>
      </c>
      <c r="AR106" s="62">
        <v>1</v>
      </c>
      <c r="AS106" s="7"/>
      <c r="AT106" s="7"/>
      <c r="AU106" s="72">
        <f t="shared" si="14"/>
        <v>1.3333333333333333</v>
      </c>
      <c r="AV106" s="7"/>
      <c r="AW106" s="7"/>
      <c r="AX106" s="62">
        <v>1</v>
      </c>
      <c r="AY106" s="62">
        <v>1</v>
      </c>
      <c r="AZ106" s="62">
        <v>1</v>
      </c>
      <c r="BA106" s="72">
        <f t="shared" si="15"/>
        <v>1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2</v>
      </c>
      <c r="M107" s="62">
        <v>3</v>
      </c>
      <c r="N107" s="62">
        <v>3</v>
      </c>
      <c r="O107" s="62">
        <v>4</v>
      </c>
      <c r="P107" s="62">
        <v>2</v>
      </c>
      <c r="Q107" s="72">
        <f t="shared" si="9"/>
        <v>2.8</v>
      </c>
      <c r="R107" s="62">
        <v>2</v>
      </c>
      <c r="S107" s="62">
        <v>3</v>
      </c>
      <c r="T107" s="62"/>
      <c r="U107" s="62">
        <v>4</v>
      </c>
      <c r="V107" s="62"/>
      <c r="W107" s="72">
        <f t="shared" si="10"/>
        <v>3</v>
      </c>
      <c r="X107" s="62">
        <v>4</v>
      </c>
      <c r="Y107" s="62">
        <v>5</v>
      </c>
      <c r="Z107" s="62"/>
      <c r="AA107" s="62"/>
      <c r="AB107" s="62"/>
      <c r="AC107" s="72">
        <f t="shared" si="11"/>
        <v>4.5</v>
      </c>
      <c r="AD107" s="62">
        <v>5</v>
      </c>
      <c r="AE107" s="62"/>
      <c r="AF107" s="62">
        <v>0</v>
      </c>
      <c r="AG107" s="62"/>
      <c r="AH107" s="62"/>
      <c r="AI107" s="72">
        <f t="shared" si="12"/>
        <v>2.5</v>
      </c>
      <c r="AJ107" s="62"/>
      <c r="AK107" s="62"/>
      <c r="AL107" s="62"/>
      <c r="AM107" s="62"/>
      <c r="AN107" s="62"/>
      <c r="AO107" s="72" t="str">
        <f t="shared" si="13"/>
        <v>A</v>
      </c>
      <c r="AP107" s="62">
        <v>5</v>
      </c>
      <c r="AQ107" s="62">
        <v>5</v>
      </c>
      <c r="AR107" s="62">
        <v>3</v>
      </c>
      <c r="AS107" s="62"/>
      <c r="AT107" s="62"/>
      <c r="AU107" s="72">
        <f t="shared" si="14"/>
        <v>4.333333333333333</v>
      </c>
      <c r="AV107" s="62"/>
      <c r="AW107" s="62"/>
      <c r="AX107" s="62">
        <v>5</v>
      </c>
      <c r="AY107" s="62">
        <v>5</v>
      </c>
      <c r="AZ107" s="62">
        <v>5</v>
      </c>
      <c r="BA107" s="72">
        <f t="shared" si="15"/>
        <v>5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2</v>
      </c>
      <c r="M108" s="62">
        <v>2</v>
      </c>
      <c r="N108" s="62">
        <v>2</v>
      </c>
      <c r="O108" s="62">
        <v>3</v>
      </c>
      <c r="P108" s="62">
        <v>2</v>
      </c>
      <c r="Q108" s="72">
        <f t="shared" si="9"/>
        <v>2.2000000000000002</v>
      </c>
      <c r="R108" s="62">
        <v>4</v>
      </c>
      <c r="S108" s="62">
        <v>4</v>
      </c>
      <c r="T108" s="7"/>
      <c r="U108" s="62">
        <v>4</v>
      </c>
      <c r="V108" s="7"/>
      <c r="W108" s="72">
        <f t="shared" si="10"/>
        <v>4</v>
      </c>
      <c r="X108" s="62">
        <v>3</v>
      </c>
      <c r="Y108" s="62">
        <v>4</v>
      </c>
      <c r="Z108" s="7"/>
      <c r="AA108" s="7"/>
      <c r="AB108" s="7"/>
      <c r="AC108" s="72">
        <f t="shared" si="11"/>
        <v>3.5</v>
      </c>
      <c r="AD108" s="62">
        <v>5</v>
      </c>
      <c r="AE108" s="7"/>
      <c r="AF108" s="62">
        <v>5</v>
      </c>
      <c r="AG108" s="7"/>
      <c r="AH108" s="7"/>
      <c r="AI108" s="72">
        <f t="shared" si="12"/>
        <v>5</v>
      </c>
      <c r="AJ108" s="7"/>
      <c r="AK108" s="7"/>
      <c r="AL108" s="7"/>
      <c r="AM108" s="7"/>
      <c r="AN108" s="7"/>
      <c r="AO108" s="72" t="str">
        <f t="shared" si="13"/>
        <v>A</v>
      </c>
      <c r="AP108" s="62">
        <v>5</v>
      </c>
      <c r="AQ108" s="62">
        <v>5</v>
      </c>
      <c r="AR108" s="62">
        <v>5</v>
      </c>
      <c r="AS108" s="7"/>
      <c r="AT108" s="7"/>
      <c r="AU108" s="72">
        <f t="shared" si="14"/>
        <v>5</v>
      </c>
      <c r="AV108" s="7"/>
      <c r="AW108" s="7"/>
      <c r="AX108" s="62">
        <v>2</v>
      </c>
      <c r="AY108" s="62">
        <v>5</v>
      </c>
      <c r="AZ108" s="62">
        <v>5</v>
      </c>
      <c r="BA108" s="72">
        <f t="shared" si="15"/>
        <v>4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2</v>
      </c>
      <c r="M109" s="62">
        <v>2</v>
      </c>
      <c r="N109" s="62">
        <v>2</v>
      </c>
      <c r="O109" s="62">
        <v>3</v>
      </c>
      <c r="P109" s="62">
        <v>1</v>
      </c>
      <c r="Q109" s="72">
        <f t="shared" si="9"/>
        <v>2</v>
      </c>
      <c r="R109" s="62">
        <v>2</v>
      </c>
      <c r="S109" s="62">
        <v>2</v>
      </c>
      <c r="T109" s="62"/>
      <c r="U109" s="62">
        <v>2</v>
      </c>
      <c r="V109" s="62"/>
      <c r="W109" s="72">
        <f t="shared" si="10"/>
        <v>2</v>
      </c>
      <c r="X109" s="62">
        <v>2</v>
      </c>
      <c r="Y109" s="62">
        <v>2</v>
      </c>
      <c r="Z109" s="62"/>
      <c r="AA109" s="62"/>
      <c r="AB109" s="62"/>
      <c r="AC109" s="72">
        <f t="shared" si="11"/>
        <v>2</v>
      </c>
      <c r="AD109" s="62">
        <v>4</v>
      </c>
      <c r="AE109" s="62"/>
      <c r="AF109" s="62">
        <v>4</v>
      </c>
      <c r="AG109" s="62"/>
      <c r="AH109" s="62"/>
      <c r="AI109" s="72">
        <f t="shared" si="12"/>
        <v>4</v>
      </c>
      <c r="AJ109" s="62"/>
      <c r="AK109" s="62"/>
      <c r="AL109" s="62"/>
      <c r="AM109" s="62"/>
      <c r="AN109" s="62"/>
      <c r="AO109" s="72" t="str">
        <f t="shared" si="13"/>
        <v>A</v>
      </c>
      <c r="AP109" s="62">
        <v>4</v>
      </c>
      <c r="AQ109" s="62">
        <v>3</v>
      </c>
      <c r="AR109" s="62">
        <v>2</v>
      </c>
      <c r="AS109" s="62"/>
      <c r="AT109" s="62"/>
      <c r="AU109" s="72">
        <f t="shared" si="14"/>
        <v>3</v>
      </c>
      <c r="AV109" s="62"/>
      <c r="AW109" s="62"/>
      <c r="AX109" s="62">
        <v>2</v>
      </c>
      <c r="AY109" s="62">
        <v>2</v>
      </c>
      <c r="AZ109" s="62">
        <v>2</v>
      </c>
      <c r="BA109" s="72">
        <f t="shared" si="15"/>
        <v>2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3</v>
      </c>
      <c r="M110" s="62">
        <v>3</v>
      </c>
      <c r="N110" s="62">
        <v>3</v>
      </c>
      <c r="O110" s="62">
        <v>3</v>
      </c>
      <c r="P110" s="62">
        <v>3</v>
      </c>
      <c r="Q110" s="72">
        <f t="shared" si="9"/>
        <v>3</v>
      </c>
      <c r="R110" s="62">
        <v>3</v>
      </c>
      <c r="S110" s="62">
        <v>3</v>
      </c>
      <c r="T110" s="7"/>
      <c r="U110" s="62">
        <v>3</v>
      </c>
      <c r="V110" s="7"/>
      <c r="W110" s="72">
        <f t="shared" si="10"/>
        <v>3</v>
      </c>
      <c r="X110" s="62">
        <v>2</v>
      </c>
      <c r="Y110" s="62">
        <v>2</v>
      </c>
      <c r="Z110" s="7"/>
      <c r="AA110" s="7"/>
      <c r="AB110" s="7"/>
      <c r="AC110" s="72">
        <f t="shared" si="11"/>
        <v>2</v>
      </c>
      <c r="AD110" s="62">
        <v>2</v>
      </c>
      <c r="AE110" s="7"/>
      <c r="AF110" s="62">
        <v>2</v>
      </c>
      <c r="AG110" s="7"/>
      <c r="AH110" s="7"/>
      <c r="AI110" s="72">
        <f t="shared" si="12"/>
        <v>2</v>
      </c>
      <c r="AJ110" s="7"/>
      <c r="AK110" s="7"/>
      <c r="AL110" s="7"/>
      <c r="AM110" s="7"/>
      <c r="AN110" s="7"/>
      <c r="AO110" s="72" t="str">
        <f t="shared" si="13"/>
        <v>A</v>
      </c>
      <c r="AP110" s="62">
        <v>3</v>
      </c>
      <c r="AQ110" s="62">
        <v>3</v>
      </c>
      <c r="AR110" s="62">
        <v>3</v>
      </c>
      <c r="AS110" s="7"/>
      <c r="AT110" s="7"/>
      <c r="AU110" s="72">
        <f t="shared" si="14"/>
        <v>3</v>
      </c>
      <c r="AV110" s="7"/>
      <c r="AW110" s="7"/>
      <c r="AX110" s="62">
        <v>1</v>
      </c>
      <c r="AY110" s="62">
        <v>1</v>
      </c>
      <c r="AZ110" s="62">
        <v>1</v>
      </c>
      <c r="BA110" s="72">
        <f t="shared" si="15"/>
        <v>1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3</v>
      </c>
      <c r="M111" s="62">
        <v>3</v>
      </c>
      <c r="N111" s="62">
        <v>3</v>
      </c>
      <c r="O111" s="62">
        <v>3</v>
      </c>
      <c r="P111" s="62">
        <v>3</v>
      </c>
      <c r="Q111" s="72">
        <f t="shared" si="9"/>
        <v>3</v>
      </c>
      <c r="R111" s="62">
        <v>2</v>
      </c>
      <c r="S111" s="62">
        <v>2</v>
      </c>
      <c r="T111" s="62"/>
      <c r="U111" s="62">
        <v>3</v>
      </c>
      <c r="V111" s="62"/>
      <c r="W111" s="72">
        <f t="shared" si="10"/>
        <v>2.3333333333333335</v>
      </c>
      <c r="X111" s="62">
        <v>3</v>
      </c>
      <c r="Y111" s="62">
        <v>2</v>
      </c>
      <c r="Z111" s="62"/>
      <c r="AA111" s="62"/>
      <c r="AB111" s="62"/>
      <c r="AC111" s="72">
        <f t="shared" si="11"/>
        <v>2.5</v>
      </c>
      <c r="AD111" s="62">
        <v>2</v>
      </c>
      <c r="AE111" s="62"/>
      <c r="AF111" s="62">
        <v>2</v>
      </c>
      <c r="AG111" s="62"/>
      <c r="AH111" s="62"/>
      <c r="AI111" s="72">
        <f t="shared" si="12"/>
        <v>2</v>
      </c>
      <c r="AJ111" s="62"/>
      <c r="AK111" s="62"/>
      <c r="AL111" s="62"/>
      <c r="AM111" s="62"/>
      <c r="AN111" s="62"/>
      <c r="AO111" s="72" t="str">
        <f t="shared" si="13"/>
        <v>A</v>
      </c>
      <c r="AP111" s="62">
        <v>4</v>
      </c>
      <c r="AQ111" s="62">
        <v>3</v>
      </c>
      <c r="AR111" s="62">
        <v>3</v>
      </c>
      <c r="AS111" s="62"/>
      <c r="AT111" s="62"/>
      <c r="AU111" s="72">
        <f t="shared" si="14"/>
        <v>3.3333333333333335</v>
      </c>
      <c r="AV111" s="62"/>
      <c r="AW111" s="62"/>
      <c r="AX111" s="62">
        <v>2</v>
      </c>
      <c r="AY111" s="62">
        <v>2</v>
      </c>
      <c r="AZ111" s="62">
        <v>2</v>
      </c>
      <c r="BA111" s="72">
        <f t="shared" si="15"/>
        <v>2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0</v>
      </c>
      <c r="M112" s="62">
        <v>0</v>
      </c>
      <c r="N112" s="62">
        <v>0</v>
      </c>
      <c r="O112" s="62">
        <v>0</v>
      </c>
      <c r="P112" s="62">
        <v>0</v>
      </c>
      <c r="Q112" s="72">
        <f t="shared" si="9"/>
        <v>0</v>
      </c>
      <c r="R112" s="62">
        <v>0</v>
      </c>
      <c r="S112" s="62">
        <v>0</v>
      </c>
      <c r="T112" s="7"/>
      <c r="U112" s="62">
        <v>0</v>
      </c>
      <c r="V112" s="7"/>
      <c r="W112" s="72">
        <f t="shared" si="10"/>
        <v>0</v>
      </c>
      <c r="X112" s="62">
        <v>0</v>
      </c>
      <c r="Y112" s="62">
        <v>0</v>
      </c>
      <c r="Z112" s="7"/>
      <c r="AA112" s="7"/>
      <c r="AB112" s="7"/>
      <c r="AC112" s="72">
        <f t="shared" si="11"/>
        <v>0</v>
      </c>
      <c r="AD112" s="62">
        <v>0</v>
      </c>
      <c r="AE112" s="7"/>
      <c r="AF112" s="62">
        <v>0</v>
      </c>
      <c r="AG112" s="7"/>
      <c r="AH112" s="7"/>
      <c r="AI112" s="72">
        <f t="shared" si="12"/>
        <v>0</v>
      </c>
      <c r="AJ112" s="7"/>
      <c r="AK112" s="7"/>
      <c r="AL112" s="7"/>
      <c r="AM112" s="7"/>
      <c r="AN112" s="7"/>
      <c r="AO112" s="72" t="str">
        <f t="shared" si="13"/>
        <v>A</v>
      </c>
      <c r="AP112" s="62">
        <v>0</v>
      </c>
      <c r="AQ112" s="62">
        <v>0</v>
      </c>
      <c r="AR112" s="62">
        <v>0</v>
      </c>
      <c r="AS112" s="7"/>
      <c r="AT112" s="7"/>
      <c r="AU112" s="72">
        <f t="shared" si="14"/>
        <v>0</v>
      </c>
      <c r="AV112" s="7"/>
      <c r="AW112" s="7"/>
      <c r="AX112" s="62">
        <v>0</v>
      </c>
      <c r="AY112" s="62">
        <v>0</v>
      </c>
      <c r="AZ112" s="62">
        <v>0</v>
      </c>
      <c r="BA112" s="72">
        <f t="shared" si="15"/>
        <v>0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3</v>
      </c>
      <c r="M113" s="62">
        <v>4</v>
      </c>
      <c r="N113" s="62">
        <v>2</v>
      </c>
      <c r="O113" s="62">
        <v>3</v>
      </c>
      <c r="P113" s="62">
        <v>4</v>
      </c>
      <c r="Q113" s="72">
        <f t="shared" si="9"/>
        <v>3.2</v>
      </c>
      <c r="R113" s="62">
        <v>4</v>
      </c>
      <c r="S113" s="62">
        <v>4</v>
      </c>
      <c r="T113" s="62"/>
      <c r="U113" s="62">
        <v>4</v>
      </c>
      <c r="V113" s="62"/>
      <c r="W113" s="72">
        <f t="shared" si="10"/>
        <v>4</v>
      </c>
      <c r="X113" s="62">
        <v>3</v>
      </c>
      <c r="Y113" s="62">
        <v>3</v>
      </c>
      <c r="Z113" s="62"/>
      <c r="AA113" s="62"/>
      <c r="AB113" s="62"/>
      <c r="AC113" s="72">
        <f t="shared" si="11"/>
        <v>3</v>
      </c>
      <c r="AD113" s="62">
        <v>4</v>
      </c>
      <c r="AE113" s="62"/>
      <c r="AF113" s="62">
        <v>4</v>
      </c>
      <c r="AG113" s="62"/>
      <c r="AH113" s="62"/>
      <c r="AI113" s="72">
        <f t="shared" si="12"/>
        <v>4</v>
      </c>
      <c r="AJ113" s="62"/>
      <c r="AK113" s="62"/>
      <c r="AL113" s="62"/>
      <c r="AM113" s="62"/>
      <c r="AN113" s="62"/>
      <c r="AO113" s="72" t="str">
        <f t="shared" si="13"/>
        <v>A</v>
      </c>
      <c r="AP113" s="62">
        <v>3</v>
      </c>
      <c r="AQ113" s="62">
        <v>2</v>
      </c>
      <c r="AR113" s="62">
        <v>3</v>
      </c>
      <c r="AS113" s="62"/>
      <c r="AT113" s="62"/>
      <c r="AU113" s="72">
        <f t="shared" si="14"/>
        <v>2.6666666666666665</v>
      </c>
      <c r="AV113" s="62"/>
      <c r="AW113" s="62"/>
      <c r="AX113" s="62">
        <v>4</v>
      </c>
      <c r="AY113" s="62">
        <v>4</v>
      </c>
      <c r="AZ113" s="62">
        <v>4</v>
      </c>
      <c r="BA113" s="72">
        <f t="shared" si="15"/>
        <v>4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>
        <v>3</v>
      </c>
      <c r="N114" s="62">
        <v>4</v>
      </c>
      <c r="O114" s="62">
        <v>3</v>
      </c>
      <c r="P114" s="62">
        <v>2</v>
      </c>
      <c r="Q114" s="72">
        <f t="shared" si="9"/>
        <v>3</v>
      </c>
      <c r="R114" s="62">
        <v>2</v>
      </c>
      <c r="S114" s="62">
        <v>2</v>
      </c>
      <c r="T114" s="7"/>
      <c r="U114" s="62">
        <v>2</v>
      </c>
      <c r="V114" s="7"/>
      <c r="W114" s="72">
        <f t="shared" si="10"/>
        <v>2</v>
      </c>
      <c r="X114" s="62">
        <v>2</v>
      </c>
      <c r="Y114" s="62">
        <v>2</v>
      </c>
      <c r="Z114" s="7"/>
      <c r="AA114" s="7"/>
      <c r="AB114" s="7"/>
      <c r="AC114" s="72">
        <f t="shared" si="11"/>
        <v>2</v>
      </c>
      <c r="AD114" s="62">
        <v>1</v>
      </c>
      <c r="AE114" s="7"/>
      <c r="AF114" s="62">
        <v>0</v>
      </c>
      <c r="AG114" s="7"/>
      <c r="AH114" s="7"/>
      <c r="AI114" s="72">
        <f t="shared" si="12"/>
        <v>0.5</v>
      </c>
      <c r="AJ114" s="7"/>
      <c r="AK114" s="7"/>
      <c r="AL114" s="7"/>
      <c r="AM114" s="7"/>
      <c r="AN114" s="7"/>
      <c r="AO114" s="72" t="str">
        <f t="shared" si="13"/>
        <v>A</v>
      </c>
      <c r="AP114" s="62">
        <v>1</v>
      </c>
      <c r="AQ114" s="62">
        <v>1</v>
      </c>
      <c r="AR114" s="62">
        <v>2</v>
      </c>
      <c r="AS114" s="7"/>
      <c r="AT114" s="7"/>
      <c r="AU114" s="72">
        <f t="shared" si="14"/>
        <v>1.3333333333333333</v>
      </c>
      <c r="AV114" s="7"/>
      <c r="AW114" s="7"/>
      <c r="AX114" s="62">
        <v>3</v>
      </c>
      <c r="AY114" s="62">
        <v>1</v>
      </c>
      <c r="AZ114" s="62">
        <v>1</v>
      </c>
      <c r="BA114" s="72">
        <f t="shared" si="15"/>
        <v>1.6666666666666667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1</v>
      </c>
      <c r="M115" s="62">
        <v>1</v>
      </c>
      <c r="N115" s="62">
        <v>1</v>
      </c>
      <c r="O115" s="62">
        <v>1</v>
      </c>
      <c r="P115" s="62">
        <v>1</v>
      </c>
      <c r="Q115" s="72">
        <f t="shared" si="9"/>
        <v>1</v>
      </c>
      <c r="R115" s="62">
        <v>1</v>
      </c>
      <c r="S115" s="62">
        <v>1</v>
      </c>
      <c r="T115" s="62"/>
      <c r="U115" s="62">
        <v>1</v>
      </c>
      <c r="V115" s="62"/>
      <c r="W115" s="72">
        <f t="shared" si="10"/>
        <v>1</v>
      </c>
      <c r="X115" s="62">
        <v>1</v>
      </c>
      <c r="Y115" s="62">
        <v>1</v>
      </c>
      <c r="Z115" s="62"/>
      <c r="AA115" s="62"/>
      <c r="AB115" s="62"/>
      <c r="AC115" s="72">
        <f t="shared" si="11"/>
        <v>1</v>
      </c>
      <c r="AD115" s="62">
        <v>1</v>
      </c>
      <c r="AE115" s="62"/>
      <c r="AF115" s="62">
        <v>1</v>
      </c>
      <c r="AG115" s="62"/>
      <c r="AH115" s="62"/>
      <c r="AI115" s="72">
        <f t="shared" si="12"/>
        <v>1</v>
      </c>
      <c r="AJ115" s="62"/>
      <c r="AK115" s="62"/>
      <c r="AL115" s="62"/>
      <c r="AM115" s="62"/>
      <c r="AN115" s="62"/>
      <c r="AO115" s="72" t="str">
        <f t="shared" si="13"/>
        <v>A</v>
      </c>
      <c r="AP115" s="62">
        <v>1</v>
      </c>
      <c r="AQ115" s="62">
        <v>1</v>
      </c>
      <c r="AR115" s="62">
        <v>1</v>
      </c>
      <c r="AS115" s="62"/>
      <c r="AT115" s="62"/>
      <c r="AU115" s="72">
        <f t="shared" si="14"/>
        <v>1</v>
      </c>
      <c r="AV115" s="62"/>
      <c r="AW115" s="62"/>
      <c r="AX115" s="62">
        <v>1</v>
      </c>
      <c r="AY115" s="62">
        <v>1</v>
      </c>
      <c r="AZ115" s="62">
        <v>1</v>
      </c>
      <c r="BA115" s="72">
        <f t="shared" si="15"/>
        <v>1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3</v>
      </c>
      <c r="M116" s="62">
        <v>4</v>
      </c>
      <c r="N116" s="62">
        <v>5</v>
      </c>
      <c r="O116" s="62">
        <v>4</v>
      </c>
      <c r="P116" s="62">
        <v>4</v>
      </c>
      <c r="Q116" s="72">
        <f t="shared" si="9"/>
        <v>4</v>
      </c>
      <c r="R116" s="62">
        <v>4</v>
      </c>
      <c r="S116" s="62">
        <v>4</v>
      </c>
      <c r="T116" s="7"/>
      <c r="U116" s="62">
        <v>4</v>
      </c>
      <c r="V116" s="7"/>
      <c r="W116" s="72">
        <f t="shared" si="10"/>
        <v>4</v>
      </c>
      <c r="X116" s="62">
        <v>4</v>
      </c>
      <c r="Y116" s="62">
        <v>3</v>
      </c>
      <c r="Z116" s="7"/>
      <c r="AA116" s="7"/>
      <c r="AB116" s="7"/>
      <c r="AC116" s="72">
        <f t="shared" si="11"/>
        <v>3.5</v>
      </c>
      <c r="AD116" s="62">
        <v>2</v>
      </c>
      <c r="AE116" s="7"/>
      <c r="AF116" s="62">
        <v>2</v>
      </c>
      <c r="AG116" s="7"/>
      <c r="AH116" s="7"/>
      <c r="AI116" s="72">
        <f t="shared" si="12"/>
        <v>2</v>
      </c>
      <c r="AJ116" s="7"/>
      <c r="AK116" s="7"/>
      <c r="AL116" s="7"/>
      <c r="AM116" s="7"/>
      <c r="AN116" s="7"/>
      <c r="AO116" s="72" t="str">
        <f t="shared" si="13"/>
        <v>A</v>
      </c>
      <c r="AP116" s="62">
        <v>4</v>
      </c>
      <c r="AQ116" s="62">
        <v>4</v>
      </c>
      <c r="AR116" s="62">
        <v>4</v>
      </c>
      <c r="AS116" s="7"/>
      <c r="AT116" s="7"/>
      <c r="AU116" s="72">
        <f t="shared" si="14"/>
        <v>4</v>
      </c>
      <c r="AV116" s="7"/>
      <c r="AW116" s="7"/>
      <c r="AX116" s="62">
        <v>2</v>
      </c>
      <c r="AY116" s="62">
        <v>3</v>
      </c>
      <c r="AZ116" s="62">
        <v>3</v>
      </c>
      <c r="BA116" s="72">
        <f t="shared" si="15"/>
        <v>2.6666666666666665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0</v>
      </c>
      <c r="M117" s="62">
        <v>0</v>
      </c>
      <c r="N117" s="62">
        <v>0</v>
      </c>
      <c r="O117" s="62">
        <v>0</v>
      </c>
      <c r="P117" s="62">
        <v>0</v>
      </c>
      <c r="Q117" s="72">
        <f t="shared" si="9"/>
        <v>0</v>
      </c>
      <c r="R117" s="62">
        <v>0</v>
      </c>
      <c r="S117" s="62">
        <v>0</v>
      </c>
      <c r="T117" s="62"/>
      <c r="U117" s="62">
        <v>0</v>
      </c>
      <c r="V117" s="62"/>
      <c r="W117" s="72">
        <f t="shared" si="10"/>
        <v>0</v>
      </c>
      <c r="X117" s="62">
        <v>0</v>
      </c>
      <c r="Y117" s="62">
        <v>0</v>
      </c>
      <c r="Z117" s="62"/>
      <c r="AA117" s="62"/>
      <c r="AB117" s="62"/>
      <c r="AC117" s="72">
        <f t="shared" si="11"/>
        <v>0</v>
      </c>
      <c r="AD117" s="62">
        <v>0</v>
      </c>
      <c r="AE117" s="62"/>
      <c r="AF117" s="62">
        <v>0</v>
      </c>
      <c r="AG117" s="62"/>
      <c r="AH117" s="62"/>
      <c r="AI117" s="72">
        <f t="shared" si="12"/>
        <v>0</v>
      </c>
      <c r="AJ117" s="62"/>
      <c r="AK117" s="62"/>
      <c r="AL117" s="62"/>
      <c r="AM117" s="62"/>
      <c r="AN117" s="62"/>
      <c r="AO117" s="72" t="str">
        <f t="shared" si="13"/>
        <v>A</v>
      </c>
      <c r="AP117" s="62">
        <v>0</v>
      </c>
      <c r="AQ117" s="62">
        <v>0</v>
      </c>
      <c r="AR117" s="62">
        <v>0</v>
      </c>
      <c r="AS117" s="62"/>
      <c r="AT117" s="62"/>
      <c r="AU117" s="72">
        <f t="shared" si="14"/>
        <v>0</v>
      </c>
      <c r="AV117" s="62"/>
      <c r="AW117" s="62"/>
      <c r="AX117" s="62">
        <v>0</v>
      </c>
      <c r="AY117" s="62">
        <v>0</v>
      </c>
      <c r="AZ117" s="62">
        <v>0</v>
      </c>
      <c r="BA117" s="72">
        <f t="shared" si="15"/>
        <v>0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>
        <v>3</v>
      </c>
      <c r="N118" s="62">
        <v>3</v>
      </c>
      <c r="O118" s="62">
        <v>3</v>
      </c>
      <c r="P118" s="62">
        <v>3</v>
      </c>
      <c r="Q118" s="72">
        <f t="shared" si="9"/>
        <v>3</v>
      </c>
      <c r="R118" s="62">
        <v>3</v>
      </c>
      <c r="S118" s="62">
        <v>3</v>
      </c>
      <c r="T118" s="7"/>
      <c r="U118" s="62">
        <v>3</v>
      </c>
      <c r="V118" s="7"/>
      <c r="W118" s="72">
        <f t="shared" si="10"/>
        <v>3</v>
      </c>
      <c r="X118" s="62">
        <v>2</v>
      </c>
      <c r="Y118" s="62">
        <v>2</v>
      </c>
      <c r="Z118" s="7"/>
      <c r="AA118" s="7"/>
      <c r="AB118" s="7"/>
      <c r="AC118" s="72">
        <f t="shared" si="11"/>
        <v>2</v>
      </c>
      <c r="AD118" s="62">
        <v>2</v>
      </c>
      <c r="AE118" s="7"/>
      <c r="AF118" s="62">
        <v>2</v>
      </c>
      <c r="AG118" s="7"/>
      <c r="AH118" s="7"/>
      <c r="AI118" s="72">
        <f t="shared" si="12"/>
        <v>2</v>
      </c>
      <c r="AJ118" s="7"/>
      <c r="AK118" s="7"/>
      <c r="AL118" s="7"/>
      <c r="AM118" s="7"/>
      <c r="AN118" s="7"/>
      <c r="AO118" s="72" t="str">
        <f t="shared" si="13"/>
        <v>A</v>
      </c>
      <c r="AP118" s="62">
        <v>3</v>
      </c>
      <c r="AQ118" s="62">
        <v>3</v>
      </c>
      <c r="AR118" s="62">
        <v>3</v>
      </c>
      <c r="AS118" s="7"/>
      <c r="AT118" s="7"/>
      <c r="AU118" s="72">
        <f t="shared" si="14"/>
        <v>3</v>
      </c>
      <c r="AV118" s="7"/>
      <c r="AW118" s="7"/>
      <c r="AX118" s="62">
        <v>1</v>
      </c>
      <c r="AY118" s="62">
        <v>1</v>
      </c>
      <c r="AZ118" s="62">
        <v>1</v>
      </c>
      <c r="BA118" s="72">
        <f t="shared" si="15"/>
        <v>1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2</v>
      </c>
      <c r="M119" s="62">
        <v>3</v>
      </c>
      <c r="N119" s="62">
        <v>2</v>
      </c>
      <c r="O119" s="62">
        <v>3</v>
      </c>
      <c r="P119" s="62">
        <v>2</v>
      </c>
      <c r="Q119" s="72">
        <f t="shared" si="9"/>
        <v>2.4</v>
      </c>
      <c r="R119" s="62">
        <v>3</v>
      </c>
      <c r="S119" s="62">
        <v>3</v>
      </c>
      <c r="T119" s="62"/>
      <c r="U119" s="62">
        <v>3</v>
      </c>
      <c r="V119" s="62"/>
      <c r="W119" s="72">
        <f t="shared" si="10"/>
        <v>3</v>
      </c>
      <c r="X119" s="62">
        <v>2</v>
      </c>
      <c r="Y119" s="62">
        <v>2</v>
      </c>
      <c r="Z119" s="62"/>
      <c r="AA119" s="62"/>
      <c r="AB119" s="62"/>
      <c r="AC119" s="72">
        <f t="shared" si="11"/>
        <v>2</v>
      </c>
      <c r="AD119" s="62">
        <v>3</v>
      </c>
      <c r="AE119" s="62"/>
      <c r="AF119" s="62">
        <v>3</v>
      </c>
      <c r="AG119" s="62"/>
      <c r="AH119" s="62"/>
      <c r="AI119" s="72">
        <f t="shared" si="12"/>
        <v>3</v>
      </c>
      <c r="AJ119" s="62"/>
      <c r="AK119" s="62"/>
      <c r="AL119" s="62"/>
      <c r="AM119" s="62"/>
      <c r="AN119" s="62"/>
      <c r="AO119" s="72" t="str">
        <f t="shared" si="13"/>
        <v>A</v>
      </c>
      <c r="AP119" s="62">
        <v>3</v>
      </c>
      <c r="AQ119" s="62">
        <v>3</v>
      </c>
      <c r="AR119" s="62">
        <v>3</v>
      </c>
      <c r="AS119" s="62"/>
      <c r="AT119" s="62"/>
      <c r="AU119" s="72">
        <f t="shared" si="14"/>
        <v>3</v>
      </c>
      <c r="AV119" s="62"/>
      <c r="AW119" s="62"/>
      <c r="AX119" s="62">
        <v>2</v>
      </c>
      <c r="AY119" s="62">
        <v>2</v>
      </c>
      <c r="AZ119" s="62">
        <v>2</v>
      </c>
      <c r="BA119" s="72">
        <f t="shared" si="15"/>
        <v>2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3</v>
      </c>
      <c r="M120" s="62">
        <v>3</v>
      </c>
      <c r="N120" s="62">
        <v>3</v>
      </c>
      <c r="O120" s="62">
        <v>3</v>
      </c>
      <c r="P120" s="62">
        <v>3</v>
      </c>
      <c r="Q120" s="72">
        <f t="shared" si="9"/>
        <v>3</v>
      </c>
      <c r="R120" s="62">
        <v>2</v>
      </c>
      <c r="S120" s="62">
        <v>2</v>
      </c>
      <c r="T120" s="7"/>
      <c r="U120" s="62">
        <v>3</v>
      </c>
      <c r="V120" s="7"/>
      <c r="W120" s="72">
        <f t="shared" si="10"/>
        <v>2.3333333333333335</v>
      </c>
      <c r="X120" s="62">
        <v>3</v>
      </c>
      <c r="Y120" s="62">
        <v>2</v>
      </c>
      <c r="Z120" s="7"/>
      <c r="AA120" s="7"/>
      <c r="AB120" s="7"/>
      <c r="AC120" s="72">
        <f t="shared" si="11"/>
        <v>2.5</v>
      </c>
      <c r="AD120" s="62">
        <v>2</v>
      </c>
      <c r="AE120" s="7"/>
      <c r="AF120" s="62">
        <v>2</v>
      </c>
      <c r="AG120" s="7"/>
      <c r="AH120" s="7"/>
      <c r="AI120" s="72">
        <f t="shared" si="12"/>
        <v>2</v>
      </c>
      <c r="AJ120" s="7"/>
      <c r="AK120" s="7"/>
      <c r="AL120" s="7"/>
      <c r="AM120" s="7"/>
      <c r="AN120" s="7"/>
      <c r="AO120" s="72" t="str">
        <f t="shared" si="13"/>
        <v>A</v>
      </c>
      <c r="AP120" s="62">
        <v>4</v>
      </c>
      <c r="AQ120" s="62">
        <v>3</v>
      </c>
      <c r="AR120" s="62">
        <v>3</v>
      </c>
      <c r="AS120" s="7"/>
      <c r="AT120" s="7"/>
      <c r="AU120" s="72">
        <f t="shared" si="14"/>
        <v>3.3333333333333335</v>
      </c>
      <c r="AV120" s="7"/>
      <c r="AW120" s="7"/>
      <c r="AX120" s="62">
        <v>2</v>
      </c>
      <c r="AY120" s="62">
        <v>2</v>
      </c>
      <c r="AZ120" s="62">
        <v>2</v>
      </c>
      <c r="BA120" s="72">
        <f t="shared" si="15"/>
        <v>2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>
        <v>2</v>
      </c>
      <c r="N121" s="62">
        <v>2</v>
      </c>
      <c r="O121" s="62">
        <v>2</v>
      </c>
      <c r="P121" s="62">
        <v>2</v>
      </c>
      <c r="Q121" s="72">
        <f t="shared" si="9"/>
        <v>2</v>
      </c>
      <c r="R121" s="62">
        <v>2</v>
      </c>
      <c r="S121" s="62">
        <v>2</v>
      </c>
      <c r="T121" s="62"/>
      <c r="U121" s="62">
        <v>2</v>
      </c>
      <c r="V121" s="62"/>
      <c r="W121" s="72">
        <f t="shared" si="10"/>
        <v>2</v>
      </c>
      <c r="X121" s="62">
        <v>2</v>
      </c>
      <c r="Y121" s="62">
        <v>2</v>
      </c>
      <c r="Z121" s="62"/>
      <c r="AA121" s="62"/>
      <c r="AB121" s="62"/>
      <c r="AC121" s="72">
        <f t="shared" si="11"/>
        <v>2</v>
      </c>
      <c r="AD121" s="62">
        <v>2</v>
      </c>
      <c r="AE121" s="62"/>
      <c r="AF121" s="62">
        <v>2</v>
      </c>
      <c r="AG121" s="62"/>
      <c r="AH121" s="62"/>
      <c r="AI121" s="72">
        <f t="shared" si="12"/>
        <v>2</v>
      </c>
      <c r="AJ121" s="62"/>
      <c r="AK121" s="62"/>
      <c r="AL121" s="62"/>
      <c r="AM121" s="62"/>
      <c r="AN121" s="62"/>
      <c r="AO121" s="72" t="str">
        <f t="shared" si="13"/>
        <v>A</v>
      </c>
      <c r="AP121" s="62">
        <v>2</v>
      </c>
      <c r="AQ121" s="62">
        <v>2</v>
      </c>
      <c r="AR121" s="62">
        <v>2</v>
      </c>
      <c r="AS121" s="62"/>
      <c r="AT121" s="62"/>
      <c r="AU121" s="72">
        <f t="shared" si="14"/>
        <v>2</v>
      </c>
      <c r="AV121" s="62"/>
      <c r="AW121" s="62"/>
      <c r="AX121" s="62">
        <v>2</v>
      </c>
      <c r="AY121" s="62">
        <v>2</v>
      </c>
      <c r="AZ121" s="62">
        <v>2</v>
      </c>
      <c r="BA121" s="72">
        <f t="shared" si="15"/>
        <v>2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3</v>
      </c>
      <c r="M122" s="62">
        <v>3</v>
      </c>
      <c r="N122" s="62">
        <v>3</v>
      </c>
      <c r="O122" s="62">
        <v>3</v>
      </c>
      <c r="P122" s="62">
        <v>3</v>
      </c>
      <c r="Q122" s="72">
        <f t="shared" si="9"/>
        <v>3</v>
      </c>
      <c r="R122" s="62">
        <v>2</v>
      </c>
      <c r="S122" s="62">
        <v>2</v>
      </c>
      <c r="T122" s="7"/>
      <c r="U122" s="62">
        <v>2</v>
      </c>
      <c r="V122" s="7"/>
      <c r="W122" s="72">
        <f t="shared" si="10"/>
        <v>2</v>
      </c>
      <c r="X122" s="62">
        <v>1</v>
      </c>
      <c r="Y122" s="62">
        <v>1</v>
      </c>
      <c r="Z122" s="7"/>
      <c r="AA122" s="7"/>
      <c r="AB122" s="7"/>
      <c r="AC122" s="72">
        <f t="shared" si="11"/>
        <v>1</v>
      </c>
      <c r="AD122" s="62">
        <v>1</v>
      </c>
      <c r="AE122" s="7"/>
      <c r="AF122" s="62">
        <v>0</v>
      </c>
      <c r="AG122" s="7"/>
      <c r="AH122" s="7"/>
      <c r="AI122" s="72">
        <f t="shared" si="12"/>
        <v>0.5</v>
      </c>
      <c r="AJ122" s="7"/>
      <c r="AK122" s="7"/>
      <c r="AL122" s="7"/>
      <c r="AM122" s="7"/>
      <c r="AN122" s="7"/>
      <c r="AO122" s="72" t="str">
        <f t="shared" si="13"/>
        <v>A</v>
      </c>
      <c r="AP122" s="62">
        <v>1</v>
      </c>
      <c r="AQ122" s="62">
        <v>1</v>
      </c>
      <c r="AR122" s="62">
        <v>1</v>
      </c>
      <c r="AS122" s="7"/>
      <c r="AT122" s="7"/>
      <c r="AU122" s="72">
        <f t="shared" si="14"/>
        <v>1</v>
      </c>
      <c r="AV122" s="7"/>
      <c r="AW122" s="7"/>
      <c r="AX122" s="62">
        <v>1</v>
      </c>
      <c r="AY122" s="62">
        <v>1</v>
      </c>
      <c r="AZ122" s="62">
        <v>1</v>
      </c>
      <c r="BA122" s="72">
        <f t="shared" si="15"/>
        <v>1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3</v>
      </c>
      <c r="M123" s="62">
        <v>4</v>
      </c>
      <c r="N123" s="62">
        <v>2</v>
      </c>
      <c r="O123" s="62">
        <v>3</v>
      </c>
      <c r="P123" s="62">
        <v>4</v>
      </c>
      <c r="Q123" s="72">
        <f t="shared" si="9"/>
        <v>3.2</v>
      </c>
      <c r="R123" s="62">
        <v>4</v>
      </c>
      <c r="S123" s="62">
        <v>4</v>
      </c>
      <c r="T123" s="62"/>
      <c r="U123" s="62">
        <v>4</v>
      </c>
      <c r="V123" s="62"/>
      <c r="W123" s="72">
        <f t="shared" si="10"/>
        <v>4</v>
      </c>
      <c r="X123" s="62">
        <v>3</v>
      </c>
      <c r="Y123" s="62">
        <v>3</v>
      </c>
      <c r="Z123" s="62"/>
      <c r="AA123" s="62"/>
      <c r="AB123" s="62"/>
      <c r="AC123" s="72">
        <f t="shared" si="11"/>
        <v>3</v>
      </c>
      <c r="AD123" s="62">
        <v>4</v>
      </c>
      <c r="AE123" s="62"/>
      <c r="AF123" s="62">
        <v>4</v>
      </c>
      <c r="AG123" s="62"/>
      <c r="AH123" s="62"/>
      <c r="AI123" s="72">
        <f t="shared" si="12"/>
        <v>4</v>
      </c>
      <c r="AJ123" s="62"/>
      <c r="AK123" s="62"/>
      <c r="AL123" s="62"/>
      <c r="AM123" s="62"/>
      <c r="AN123" s="62"/>
      <c r="AO123" s="72" t="str">
        <f t="shared" si="13"/>
        <v>A</v>
      </c>
      <c r="AP123" s="62">
        <v>3</v>
      </c>
      <c r="AQ123" s="62">
        <v>2</v>
      </c>
      <c r="AR123" s="62">
        <v>3</v>
      </c>
      <c r="AS123" s="62"/>
      <c r="AT123" s="62"/>
      <c r="AU123" s="72">
        <f t="shared" si="14"/>
        <v>2.6666666666666665</v>
      </c>
      <c r="AV123" s="62"/>
      <c r="AW123" s="62"/>
      <c r="AX123" s="62">
        <v>4</v>
      </c>
      <c r="AY123" s="62">
        <v>4</v>
      </c>
      <c r="AZ123" s="62">
        <v>4</v>
      </c>
      <c r="BA123" s="72">
        <f t="shared" si="15"/>
        <v>4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1</v>
      </c>
      <c r="M124" s="62">
        <v>1</v>
      </c>
      <c r="N124" s="62">
        <v>1</v>
      </c>
      <c r="O124" s="62">
        <v>1</v>
      </c>
      <c r="P124" s="62">
        <v>1</v>
      </c>
      <c r="Q124" s="72">
        <f t="shared" si="9"/>
        <v>1</v>
      </c>
      <c r="R124" s="62">
        <v>1</v>
      </c>
      <c r="S124" s="62">
        <v>1</v>
      </c>
      <c r="T124" s="7"/>
      <c r="U124" s="62">
        <v>1</v>
      </c>
      <c r="V124" s="7"/>
      <c r="W124" s="72">
        <f t="shared" si="10"/>
        <v>1</v>
      </c>
      <c r="X124" s="62">
        <v>1</v>
      </c>
      <c r="Y124" s="62">
        <v>1</v>
      </c>
      <c r="Z124" s="7"/>
      <c r="AA124" s="7"/>
      <c r="AB124" s="7"/>
      <c r="AC124" s="72">
        <f t="shared" si="11"/>
        <v>1</v>
      </c>
      <c r="AD124" s="62">
        <v>1</v>
      </c>
      <c r="AE124" s="7"/>
      <c r="AF124" s="62">
        <v>1</v>
      </c>
      <c r="AG124" s="7"/>
      <c r="AH124" s="7"/>
      <c r="AI124" s="72">
        <f t="shared" si="12"/>
        <v>1</v>
      </c>
      <c r="AJ124" s="7"/>
      <c r="AK124" s="7"/>
      <c r="AL124" s="7"/>
      <c r="AM124" s="7"/>
      <c r="AN124" s="7"/>
      <c r="AO124" s="72" t="str">
        <f t="shared" si="13"/>
        <v>A</v>
      </c>
      <c r="AP124" s="62">
        <v>1</v>
      </c>
      <c r="AQ124" s="62">
        <v>1</v>
      </c>
      <c r="AR124" s="62">
        <v>1</v>
      </c>
      <c r="AS124" s="7"/>
      <c r="AT124" s="7"/>
      <c r="AU124" s="72">
        <f t="shared" si="14"/>
        <v>1</v>
      </c>
      <c r="AV124" s="7"/>
      <c r="AW124" s="7"/>
      <c r="AX124" s="62">
        <v>1</v>
      </c>
      <c r="AY124" s="62">
        <v>1</v>
      </c>
      <c r="AZ124" s="62">
        <v>1</v>
      </c>
      <c r="BA124" s="72">
        <f t="shared" si="15"/>
        <v>1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3</v>
      </c>
      <c r="M125" s="62">
        <v>4</v>
      </c>
      <c r="N125" s="62">
        <v>5</v>
      </c>
      <c r="O125" s="62">
        <v>4</v>
      </c>
      <c r="P125" s="62">
        <v>4</v>
      </c>
      <c r="Q125" s="72">
        <f t="shared" si="9"/>
        <v>4</v>
      </c>
      <c r="R125" s="62">
        <v>4</v>
      </c>
      <c r="S125" s="62">
        <v>4</v>
      </c>
      <c r="T125" s="62"/>
      <c r="U125" s="62">
        <v>4</v>
      </c>
      <c r="V125" s="62"/>
      <c r="W125" s="72">
        <f t="shared" si="10"/>
        <v>4</v>
      </c>
      <c r="X125" s="62">
        <v>4</v>
      </c>
      <c r="Y125" s="62">
        <v>3</v>
      </c>
      <c r="Z125" s="62"/>
      <c r="AA125" s="62"/>
      <c r="AB125" s="62"/>
      <c r="AC125" s="72">
        <f t="shared" si="11"/>
        <v>3.5</v>
      </c>
      <c r="AD125" s="62">
        <v>2</v>
      </c>
      <c r="AE125" s="62"/>
      <c r="AF125" s="62">
        <v>2</v>
      </c>
      <c r="AG125" s="62"/>
      <c r="AH125" s="62"/>
      <c r="AI125" s="72">
        <f t="shared" si="12"/>
        <v>2</v>
      </c>
      <c r="AJ125" s="62"/>
      <c r="AK125" s="62"/>
      <c r="AL125" s="62"/>
      <c r="AM125" s="62"/>
      <c r="AN125" s="62"/>
      <c r="AO125" s="72" t="str">
        <f t="shared" si="13"/>
        <v>A</v>
      </c>
      <c r="AP125" s="62">
        <v>4</v>
      </c>
      <c r="AQ125" s="62">
        <v>4</v>
      </c>
      <c r="AR125" s="62">
        <v>4</v>
      </c>
      <c r="AS125" s="62"/>
      <c r="AT125" s="62"/>
      <c r="AU125" s="72">
        <f t="shared" si="14"/>
        <v>4</v>
      </c>
      <c r="AV125" s="62"/>
      <c r="AW125" s="62"/>
      <c r="AX125" s="62">
        <v>2</v>
      </c>
      <c r="AY125" s="62">
        <v>3</v>
      </c>
      <c r="AZ125" s="62">
        <v>3</v>
      </c>
      <c r="BA125" s="72">
        <f t="shared" si="15"/>
        <v>2.6666666666666665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2</v>
      </c>
      <c r="M126" s="62">
        <v>2</v>
      </c>
      <c r="N126" s="62">
        <v>3</v>
      </c>
      <c r="O126" s="62">
        <v>4</v>
      </c>
      <c r="P126" s="62">
        <v>2</v>
      </c>
      <c r="Q126" s="72">
        <f t="shared" si="9"/>
        <v>2.6</v>
      </c>
      <c r="R126" s="62">
        <v>4</v>
      </c>
      <c r="S126" s="62">
        <v>3</v>
      </c>
      <c r="T126" s="7"/>
      <c r="U126" s="62">
        <v>4</v>
      </c>
      <c r="V126" s="7"/>
      <c r="W126" s="72">
        <f t="shared" si="10"/>
        <v>3.6666666666666665</v>
      </c>
      <c r="X126" s="62">
        <v>4</v>
      </c>
      <c r="Y126" s="62">
        <v>4</v>
      </c>
      <c r="Z126" s="7"/>
      <c r="AA126" s="7"/>
      <c r="AB126" s="7"/>
      <c r="AC126" s="72">
        <f t="shared" si="11"/>
        <v>4</v>
      </c>
      <c r="AD126" s="62">
        <v>5</v>
      </c>
      <c r="AE126" s="7"/>
      <c r="AF126" s="62">
        <v>0</v>
      </c>
      <c r="AG126" s="7"/>
      <c r="AH126" s="7"/>
      <c r="AI126" s="72">
        <f t="shared" si="12"/>
        <v>2.5</v>
      </c>
      <c r="AJ126" s="7"/>
      <c r="AK126" s="7"/>
      <c r="AL126" s="7"/>
      <c r="AM126" s="7"/>
      <c r="AN126" s="7"/>
      <c r="AO126" s="72" t="str">
        <f t="shared" si="13"/>
        <v>A</v>
      </c>
      <c r="AP126" s="62">
        <v>5</v>
      </c>
      <c r="AQ126" s="62">
        <v>5</v>
      </c>
      <c r="AR126" s="62">
        <v>5</v>
      </c>
      <c r="AS126" s="7"/>
      <c r="AT126" s="7"/>
      <c r="AU126" s="72">
        <f t="shared" si="14"/>
        <v>5</v>
      </c>
      <c r="AV126" s="7"/>
      <c r="AW126" s="7"/>
      <c r="AX126" s="62">
        <v>5</v>
      </c>
      <c r="AY126" s="62">
        <v>5</v>
      </c>
      <c r="AZ126" s="62">
        <v>5</v>
      </c>
      <c r="BA126" s="72">
        <f t="shared" si="15"/>
        <v>5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0</v>
      </c>
      <c r="M127" s="62">
        <v>0</v>
      </c>
      <c r="N127" s="62">
        <v>0</v>
      </c>
      <c r="O127" s="62">
        <v>0</v>
      </c>
      <c r="P127" s="62">
        <v>0</v>
      </c>
      <c r="Q127" s="72">
        <f t="shared" si="9"/>
        <v>0</v>
      </c>
      <c r="R127" s="62">
        <v>0</v>
      </c>
      <c r="S127" s="62">
        <v>0</v>
      </c>
      <c r="T127" s="62"/>
      <c r="U127" s="62">
        <v>0</v>
      </c>
      <c r="V127" s="62"/>
      <c r="W127" s="72">
        <f t="shared" si="10"/>
        <v>0</v>
      </c>
      <c r="X127" s="62">
        <v>0</v>
      </c>
      <c r="Y127" s="62">
        <v>0</v>
      </c>
      <c r="Z127" s="62"/>
      <c r="AA127" s="62"/>
      <c r="AB127" s="62"/>
      <c r="AC127" s="72">
        <f t="shared" si="11"/>
        <v>0</v>
      </c>
      <c r="AD127" s="62">
        <v>0</v>
      </c>
      <c r="AE127" s="62"/>
      <c r="AF127" s="62">
        <v>0</v>
      </c>
      <c r="AG127" s="62"/>
      <c r="AH127" s="62"/>
      <c r="AI127" s="72">
        <f t="shared" si="12"/>
        <v>0</v>
      </c>
      <c r="AJ127" s="62"/>
      <c r="AK127" s="62"/>
      <c r="AL127" s="62"/>
      <c r="AM127" s="62"/>
      <c r="AN127" s="62"/>
      <c r="AO127" s="72" t="str">
        <f t="shared" si="13"/>
        <v>A</v>
      </c>
      <c r="AP127" s="62">
        <v>0</v>
      </c>
      <c r="AQ127" s="62">
        <v>0</v>
      </c>
      <c r="AR127" s="62">
        <v>0</v>
      </c>
      <c r="AS127" s="62"/>
      <c r="AT127" s="62"/>
      <c r="AU127" s="72">
        <f t="shared" si="14"/>
        <v>0</v>
      </c>
      <c r="AV127" s="62"/>
      <c r="AW127" s="62"/>
      <c r="AX127" s="62">
        <v>0</v>
      </c>
      <c r="AY127" s="62">
        <v>0</v>
      </c>
      <c r="AZ127" s="62">
        <v>0</v>
      </c>
      <c r="BA127" s="72">
        <f t="shared" si="15"/>
        <v>0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4</v>
      </c>
      <c r="M128" s="62">
        <v>4</v>
      </c>
      <c r="N128" s="62">
        <v>4</v>
      </c>
      <c r="O128" s="62">
        <v>4</v>
      </c>
      <c r="P128" s="62">
        <v>3</v>
      </c>
      <c r="Q128" s="72">
        <f t="shared" si="9"/>
        <v>3.8</v>
      </c>
      <c r="R128" s="62">
        <v>4</v>
      </c>
      <c r="S128" s="62">
        <v>4</v>
      </c>
      <c r="T128" s="7"/>
      <c r="U128" s="62">
        <v>4</v>
      </c>
      <c r="V128" s="7"/>
      <c r="W128" s="72">
        <f t="shared" si="10"/>
        <v>4</v>
      </c>
      <c r="X128" s="62">
        <v>4</v>
      </c>
      <c r="Y128" s="62">
        <v>2</v>
      </c>
      <c r="Z128" s="7"/>
      <c r="AA128" s="7"/>
      <c r="AB128" s="7"/>
      <c r="AC128" s="72">
        <f t="shared" si="11"/>
        <v>3</v>
      </c>
      <c r="AD128" s="62">
        <v>4</v>
      </c>
      <c r="AE128" s="7"/>
      <c r="AF128" s="62">
        <v>2</v>
      </c>
      <c r="AG128" s="7"/>
      <c r="AH128" s="7"/>
      <c r="AI128" s="72">
        <f t="shared" si="12"/>
        <v>3</v>
      </c>
      <c r="AJ128" s="7"/>
      <c r="AK128" s="7"/>
      <c r="AL128" s="7"/>
      <c r="AM128" s="7"/>
      <c r="AN128" s="7"/>
      <c r="AO128" s="72" t="str">
        <f t="shared" si="13"/>
        <v>A</v>
      </c>
      <c r="AP128" s="62">
        <v>2</v>
      </c>
      <c r="AQ128" s="62">
        <v>2</v>
      </c>
      <c r="AR128" s="62">
        <v>2</v>
      </c>
      <c r="AS128" s="7"/>
      <c r="AT128" s="7"/>
      <c r="AU128" s="72">
        <f t="shared" si="14"/>
        <v>2</v>
      </c>
      <c r="AV128" s="7"/>
      <c r="AW128" s="7"/>
      <c r="AX128" s="62">
        <v>2</v>
      </c>
      <c r="AY128" s="62">
        <v>3</v>
      </c>
      <c r="AZ128" s="62">
        <v>2</v>
      </c>
      <c r="BA128" s="72">
        <f t="shared" si="15"/>
        <v>2.3333333333333335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3</v>
      </c>
      <c r="M129" s="62">
        <v>3</v>
      </c>
      <c r="N129" s="62">
        <v>2</v>
      </c>
      <c r="O129" s="62">
        <v>3</v>
      </c>
      <c r="P129" s="62">
        <v>2</v>
      </c>
      <c r="Q129" s="72">
        <f t="shared" si="9"/>
        <v>2.6</v>
      </c>
      <c r="R129" s="62">
        <v>3</v>
      </c>
      <c r="S129" s="62">
        <v>3</v>
      </c>
      <c r="T129" s="62"/>
      <c r="U129" s="62">
        <v>3</v>
      </c>
      <c r="V129" s="62"/>
      <c r="W129" s="72">
        <f t="shared" si="10"/>
        <v>3</v>
      </c>
      <c r="X129" s="62">
        <v>2</v>
      </c>
      <c r="Y129" s="62">
        <v>3</v>
      </c>
      <c r="Z129" s="62"/>
      <c r="AA129" s="62"/>
      <c r="AB129" s="62"/>
      <c r="AC129" s="72">
        <f t="shared" si="11"/>
        <v>2.5</v>
      </c>
      <c r="AD129" s="62">
        <v>3</v>
      </c>
      <c r="AE129" s="62"/>
      <c r="AF129" s="62">
        <v>3</v>
      </c>
      <c r="AG129" s="62"/>
      <c r="AH129" s="62"/>
      <c r="AI129" s="72">
        <f t="shared" si="12"/>
        <v>3</v>
      </c>
      <c r="AJ129" s="62"/>
      <c r="AK129" s="62"/>
      <c r="AL129" s="62"/>
      <c r="AM129" s="62"/>
      <c r="AN129" s="62"/>
      <c r="AO129" s="72" t="str">
        <f t="shared" si="13"/>
        <v>A</v>
      </c>
      <c r="AP129" s="62">
        <v>3</v>
      </c>
      <c r="AQ129" s="62">
        <v>3</v>
      </c>
      <c r="AR129" s="62">
        <v>3</v>
      </c>
      <c r="AS129" s="62"/>
      <c r="AT129" s="62"/>
      <c r="AU129" s="72">
        <f t="shared" si="14"/>
        <v>3</v>
      </c>
      <c r="AV129" s="62"/>
      <c r="AW129" s="62"/>
      <c r="AX129" s="62">
        <v>3</v>
      </c>
      <c r="AY129" s="62">
        <v>3</v>
      </c>
      <c r="AZ129" s="62">
        <v>3</v>
      </c>
      <c r="BA129" s="72">
        <f t="shared" si="15"/>
        <v>3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2</v>
      </c>
      <c r="M130" s="62">
        <v>3</v>
      </c>
      <c r="N130" s="62">
        <v>2</v>
      </c>
      <c r="O130" s="62">
        <v>3</v>
      </c>
      <c r="P130" s="62">
        <v>2</v>
      </c>
      <c r="Q130" s="72">
        <f t="shared" si="9"/>
        <v>2.4</v>
      </c>
      <c r="R130" s="62">
        <v>3</v>
      </c>
      <c r="S130" s="62">
        <v>3</v>
      </c>
      <c r="T130" s="7"/>
      <c r="U130" s="62">
        <v>3</v>
      </c>
      <c r="V130" s="7"/>
      <c r="W130" s="72">
        <f t="shared" si="10"/>
        <v>3</v>
      </c>
      <c r="X130" s="62">
        <v>2</v>
      </c>
      <c r="Y130" s="62">
        <v>2</v>
      </c>
      <c r="Z130" s="7"/>
      <c r="AA130" s="7"/>
      <c r="AB130" s="7"/>
      <c r="AC130" s="72">
        <f t="shared" si="11"/>
        <v>2</v>
      </c>
      <c r="AD130" s="62">
        <v>3</v>
      </c>
      <c r="AE130" s="7"/>
      <c r="AF130" s="62">
        <v>3</v>
      </c>
      <c r="AG130" s="7"/>
      <c r="AH130" s="7"/>
      <c r="AI130" s="72">
        <f t="shared" si="12"/>
        <v>3</v>
      </c>
      <c r="AJ130" s="7"/>
      <c r="AK130" s="7"/>
      <c r="AL130" s="7"/>
      <c r="AM130" s="7"/>
      <c r="AN130" s="7"/>
      <c r="AO130" s="72" t="str">
        <f t="shared" si="13"/>
        <v>A</v>
      </c>
      <c r="AP130" s="62">
        <v>3</v>
      </c>
      <c r="AQ130" s="62">
        <v>3</v>
      </c>
      <c r="AR130" s="62">
        <v>3</v>
      </c>
      <c r="AS130" s="7"/>
      <c r="AT130" s="7"/>
      <c r="AU130" s="72">
        <f t="shared" si="14"/>
        <v>3</v>
      </c>
      <c r="AV130" s="7"/>
      <c r="AW130" s="7"/>
      <c r="AX130" s="62">
        <v>2</v>
      </c>
      <c r="AY130" s="62">
        <v>2</v>
      </c>
      <c r="AZ130" s="62">
        <v>2</v>
      </c>
      <c r="BA130" s="72">
        <f t="shared" si="15"/>
        <v>2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3</v>
      </c>
      <c r="M131" s="62">
        <v>2</v>
      </c>
      <c r="N131" s="62">
        <v>2</v>
      </c>
      <c r="O131" s="62">
        <v>3</v>
      </c>
      <c r="P131" s="62">
        <v>2</v>
      </c>
      <c r="Q131" s="72">
        <f t="shared" si="9"/>
        <v>2.4</v>
      </c>
      <c r="R131" s="62">
        <v>2</v>
      </c>
      <c r="S131" s="62">
        <v>2</v>
      </c>
      <c r="T131" s="62"/>
      <c r="U131" s="62">
        <v>3</v>
      </c>
      <c r="V131" s="62"/>
      <c r="W131" s="72">
        <f t="shared" si="10"/>
        <v>2.3333333333333335</v>
      </c>
      <c r="X131" s="62">
        <v>2</v>
      </c>
      <c r="Y131" s="62">
        <v>2</v>
      </c>
      <c r="Z131" s="62"/>
      <c r="AA131" s="62"/>
      <c r="AB131" s="62"/>
      <c r="AC131" s="72">
        <f t="shared" si="11"/>
        <v>2</v>
      </c>
      <c r="AD131" s="62">
        <v>2</v>
      </c>
      <c r="AE131" s="62"/>
      <c r="AF131" s="62">
        <v>1</v>
      </c>
      <c r="AG131" s="62"/>
      <c r="AH131" s="62"/>
      <c r="AI131" s="72">
        <f t="shared" si="12"/>
        <v>1.5</v>
      </c>
      <c r="AJ131" s="62"/>
      <c r="AK131" s="62"/>
      <c r="AL131" s="62"/>
      <c r="AM131" s="62"/>
      <c r="AN131" s="62"/>
      <c r="AO131" s="72" t="str">
        <f t="shared" si="13"/>
        <v>A</v>
      </c>
      <c r="AP131" s="62">
        <v>4</v>
      </c>
      <c r="AQ131" s="62">
        <v>3</v>
      </c>
      <c r="AR131" s="62">
        <v>2</v>
      </c>
      <c r="AS131" s="62"/>
      <c r="AT131" s="62"/>
      <c r="AU131" s="72">
        <f t="shared" si="14"/>
        <v>3</v>
      </c>
      <c r="AV131" s="62"/>
      <c r="AW131" s="62"/>
      <c r="AX131" s="62">
        <v>1</v>
      </c>
      <c r="AY131" s="62">
        <v>1</v>
      </c>
      <c r="AZ131" s="62">
        <v>1</v>
      </c>
      <c r="BA131" s="72">
        <f t="shared" si="15"/>
        <v>1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2</v>
      </c>
      <c r="M132" s="62">
        <v>3</v>
      </c>
      <c r="N132" s="62">
        <v>3</v>
      </c>
      <c r="O132" s="62">
        <v>3</v>
      </c>
      <c r="P132" s="62">
        <v>3</v>
      </c>
      <c r="Q132" s="72">
        <f t="shared" ref="Q132:Q195" si="17">IFERROR(AVERAGE(M132,N132,L132,O132,P132),"A")</f>
        <v>2.8</v>
      </c>
      <c r="R132" s="62">
        <v>3</v>
      </c>
      <c r="S132" s="62">
        <v>3</v>
      </c>
      <c r="T132" s="7"/>
      <c r="U132" s="62">
        <v>4</v>
      </c>
      <c r="V132" s="7"/>
      <c r="W132" s="72">
        <f t="shared" ref="W132:W195" si="18">IFERROR(AVERAGE(R132,S132,U132),"A")</f>
        <v>3.3333333333333335</v>
      </c>
      <c r="X132" s="62">
        <v>3</v>
      </c>
      <c r="Y132" s="62">
        <v>1</v>
      </c>
      <c r="Z132" s="7"/>
      <c r="AA132" s="7"/>
      <c r="AB132" s="7"/>
      <c r="AC132" s="72">
        <f t="shared" ref="AC132:AC195" si="19">IFERROR(AVERAGE(Y132,X132),"A")</f>
        <v>2</v>
      </c>
      <c r="AD132" s="62">
        <v>2</v>
      </c>
      <c r="AE132" s="7"/>
      <c r="AF132" s="62">
        <v>0</v>
      </c>
      <c r="AG132" s="7"/>
      <c r="AH132" s="7"/>
      <c r="AI132" s="72">
        <f t="shared" ref="AI132:AI195" si="20">IFERROR(AVERAGE(AF132,AD132),"A")</f>
        <v>1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62">
        <v>2</v>
      </c>
      <c r="AQ132" s="62">
        <v>3</v>
      </c>
      <c r="AR132" s="62">
        <v>2</v>
      </c>
      <c r="AS132" s="7"/>
      <c r="AT132" s="7"/>
      <c r="AU132" s="72">
        <f t="shared" ref="AU132:AU195" si="22">IFERROR(AVERAGE(AR132,AQ132,AP132),"A")</f>
        <v>2.3333333333333335</v>
      </c>
      <c r="AV132" s="7"/>
      <c r="AW132" s="7"/>
      <c r="AX132" s="62">
        <v>2</v>
      </c>
      <c r="AY132" s="62">
        <v>2</v>
      </c>
      <c r="AZ132" s="62">
        <v>2</v>
      </c>
      <c r="BA132" s="72">
        <f t="shared" ref="BA132:BA195" si="23">IFERROR(AVERAGE(AX132,AY132,AZ132),"A")</f>
        <v>2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2</v>
      </c>
      <c r="M133" s="62">
        <v>3</v>
      </c>
      <c r="N133" s="62">
        <v>2</v>
      </c>
      <c r="O133" s="62">
        <v>4</v>
      </c>
      <c r="P133" s="62">
        <v>3</v>
      </c>
      <c r="Q133" s="72">
        <f t="shared" si="17"/>
        <v>2.8</v>
      </c>
      <c r="R133" s="62">
        <v>4</v>
      </c>
      <c r="S133" s="62">
        <v>4</v>
      </c>
      <c r="T133" s="62"/>
      <c r="U133" s="62">
        <v>3</v>
      </c>
      <c r="V133" s="62"/>
      <c r="W133" s="72">
        <f t="shared" si="18"/>
        <v>3.6666666666666665</v>
      </c>
      <c r="X133" s="62">
        <v>3</v>
      </c>
      <c r="Y133" s="62">
        <v>5</v>
      </c>
      <c r="Z133" s="62"/>
      <c r="AA133" s="62"/>
      <c r="AB133" s="62"/>
      <c r="AC133" s="72">
        <f t="shared" si="19"/>
        <v>4</v>
      </c>
      <c r="AD133" s="62">
        <v>5</v>
      </c>
      <c r="AE133" s="62"/>
      <c r="AF133" s="62">
        <v>5</v>
      </c>
      <c r="AG133" s="62"/>
      <c r="AH133" s="62"/>
      <c r="AI133" s="72">
        <f t="shared" si="20"/>
        <v>5</v>
      </c>
      <c r="AJ133" s="62"/>
      <c r="AK133" s="62"/>
      <c r="AL133" s="62"/>
      <c r="AM133" s="62"/>
      <c r="AN133" s="62"/>
      <c r="AO133" s="72" t="str">
        <f t="shared" si="21"/>
        <v>A</v>
      </c>
      <c r="AP133" s="62">
        <v>3</v>
      </c>
      <c r="AQ133" s="62">
        <v>5</v>
      </c>
      <c r="AR133" s="62">
        <v>5</v>
      </c>
      <c r="AS133" s="62"/>
      <c r="AT133" s="62"/>
      <c r="AU133" s="72">
        <f t="shared" si="22"/>
        <v>4.333333333333333</v>
      </c>
      <c r="AV133" s="62"/>
      <c r="AW133" s="62"/>
      <c r="AX133" s="62">
        <v>5</v>
      </c>
      <c r="AY133" s="62">
        <v>5</v>
      </c>
      <c r="AZ133" s="62">
        <v>5</v>
      </c>
      <c r="BA133" s="72">
        <f t="shared" si="23"/>
        <v>5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>
        <v>2</v>
      </c>
      <c r="N134" s="62">
        <v>3</v>
      </c>
      <c r="O134" s="62">
        <v>3</v>
      </c>
      <c r="P134" s="62">
        <v>2</v>
      </c>
      <c r="Q134" s="72">
        <f t="shared" si="17"/>
        <v>2.6</v>
      </c>
      <c r="R134" s="62">
        <v>3</v>
      </c>
      <c r="S134" s="62">
        <v>3</v>
      </c>
      <c r="T134" s="7"/>
      <c r="U134" s="62">
        <v>3</v>
      </c>
      <c r="V134" s="7"/>
      <c r="W134" s="72">
        <f t="shared" si="18"/>
        <v>3</v>
      </c>
      <c r="X134" s="62">
        <v>1</v>
      </c>
      <c r="Y134" s="62">
        <v>2</v>
      </c>
      <c r="Z134" s="7"/>
      <c r="AA134" s="7"/>
      <c r="AB134" s="7"/>
      <c r="AC134" s="72">
        <f t="shared" si="19"/>
        <v>1.5</v>
      </c>
      <c r="AD134" s="62">
        <v>1</v>
      </c>
      <c r="AE134" s="7"/>
      <c r="AF134" s="62">
        <v>0</v>
      </c>
      <c r="AG134" s="7"/>
      <c r="AH134" s="7"/>
      <c r="AI134" s="72">
        <f t="shared" si="20"/>
        <v>0.5</v>
      </c>
      <c r="AJ134" s="7"/>
      <c r="AK134" s="7"/>
      <c r="AL134" s="7"/>
      <c r="AM134" s="7"/>
      <c r="AN134" s="7"/>
      <c r="AO134" s="72" t="str">
        <f t="shared" si="21"/>
        <v>A</v>
      </c>
      <c r="AP134" s="62">
        <v>1</v>
      </c>
      <c r="AQ134" s="62">
        <v>3</v>
      </c>
      <c r="AR134" s="62">
        <v>2</v>
      </c>
      <c r="AS134" s="7"/>
      <c r="AT134" s="7"/>
      <c r="AU134" s="72">
        <f t="shared" si="22"/>
        <v>2</v>
      </c>
      <c r="AV134" s="7"/>
      <c r="AW134" s="7"/>
      <c r="AX134" s="62">
        <v>2</v>
      </c>
      <c r="AY134" s="62">
        <v>1</v>
      </c>
      <c r="AZ134" s="62">
        <v>1</v>
      </c>
      <c r="BA134" s="72">
        <f t="shared" si="23"/>
        <v>1.3333333333333333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1</v>
      </c>
      <c r="M135" s="62">
        <v>1</v>
      </c>
      <c r="N135" s="62">
        <v>1</v>
      </c>
      <c r="O135" s="62">
        <v>1</v>
      </c>
      <c r="P135" s="62">
        <v>1</v>
      </c>
      <c r="Q135" s="72">
        <f t="shared" si="17"/>
        <v>1</v>
      </c>
      <c r="R135" s="62">
        <v>1</v>
      </c>
      <c r="S135" s="62">
        <v>1</v>
      </c>
      <c r="T135" s="62"/>
      <c r="U135" s="62">
        <v>1</v>
      </c>
      <c r="V135" s="62"/>
      <c r="W135" s="72">
        <f t="shared" si="18"/>
        <v>1</v>
      </c>
      <c r="X135" s="62">
        <v>1</v>
      </c>
      <c r="Y135" s="62">
        <v>1</v>
      </c>
      <c r="Z135" s="62"/>
      <c r="AA135" s="62"/>
      <c r="AB135" s="62"/>
      <c r="AC135" s="72">
        <f t="shared" si="19"/>
        <v>1</v>
      </c>
      <c r="AD135" s="62">
        <v>1</v>
      </c>
      <c r="AE135" s="62"/>
      <c r="AF135" s="62">
        <v>0</v>
      </c>
      <c r="AG135" s="62"/>
      <c r="AH135" s="62"/>
      <c r="AI135" s="72">
        <f t="shared" si="20"/>
        <v>0.5</v>
      </c>
      <c r="AJ135" s="62"/>
      <c r="AK135" s="62"/>
      <c r="AL135" s="62"/>
      <c r="AM135" s="62"/>
      <c r="AN135" s="62"/>
      <c r="AO135" s="72" t="str">
        <f t="shared" si="21"/>
        <v>A</v>
      </c>
      <c r="AP135" s="62">
        <v>1</v>
      </c>
      <c r="AQ135" s="62">
        <v>1</v>
      </c>
      <c r="AR135" s="62">
        <v>1</v>
      </c>
      <c r="AS135" s="62"/>
      <c r="AT135" s="62"/>
      <c r="AU135" s="72">
        <f t="shared" si="22"/>
        <v>1</v>
      </c>
      <c r="AV135" s="62"/>
      <c r="AW135" s="62"/>
      <c r="AX135" s="62">
        <v>1</v>
      </c>
      <c r="AY135" s="62">
        <v>1</v>
      </c>
      <c r="AZ135" s="62">
        <v>1</v>
      </c>
      <c r="BA135" s="72">
        <f t="shared" si="23"/>
        <v>1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5</v>
      </c>
      <c r="M136" s="62">
        <v>4</v>
      </c>
      <c r="N136" s="62">
        <v>4</v>
      </c>
      <c r="O136" s="62">
        <v>3</v>
      </c>
      <c r="P136" s="62">
        <v>4</v>
      </c>
      <c r="Q136" s="72">
        <f t="shared" si="17"/>
        <v>4</v>
      </c>
      <c r="R136" s="62">
        <v>2</v>
      </c>
      <c r="S136" s="62">
        <v>3</v>
      </c>
      <c r="T136" s="7"/>
      <c r="U136" s="62">
        <v>2</v>
      </c>
      <c r="V136" s="7"/>
      <c r="W136" s="72">
        <f t="shared" si="18"/>
        <v>2.3333333333333335</v>
      </c>
      <c r="X136" s="62">
        <v>2</v>
      </c>
      <c r="Y136" s="62">
        <v>1</v>
      </c>
      <c r="Z136" s="7"/>
      <c r="AA136" s="7"/>
      <c r="AB136" s="7"/>
      <c r="AC136" s="72">
        <f t="shared" si="19"/>
        <v>1.5</v>
      </c>
      <c r="AD136" s="62">
        <v>2</v>
      </c>
      <c r="AE136" s="7"/>
      <c r="AF136" s="62">
        <v>2</v>
      </c>
      <c r="AG136" s="7"/>
      <c r="AH136" s="7"/>
      <c r="AI136" s="72">
        <f t="shared" si="20"/>
        <v>2</v>
      </c>
      <c r="AJ136" s="7"/>
      <c r="AK136" s="7"/>
      <c r="AL136" s="7"/>
      <c r="AM136" s="7"/>
      <c r="AN136" s="7"/>
      <c r="AO136" s="72" t="str">
        <f t="shared" si="21"/>
        <v>A</v>
      </c>
      <c r="AP136" s="62">
        <v>1</v>
      </c>
      <c r="AQ136" s="62">
        <v>1</v>
      </c>
      <c r="AR136" s="62">
        <v>1</v>
      </c>
      <c r="AS136" s="7"/>
      <c r="AT136" s="7"/>
      <c r="AU136" s="72">
        <f t="shared" si="22"/>
        <v>1</v>
      </c>
      <c r="AV136" s="7"/>
      <c r="AW136" s="7"/>
      <c r="AX136" s="62">
        <v>1</v>
      </c>
      <c r="AY136" s="62">
        <v>1</v>
      </c>
      <c r="AZ136" s="62">
        <v>1</v>
      </c>
      <c r="BA136" s="72">
        <f t="shared" si="23"/>
        <v>1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2</v>
      </c>
      <c r="M137" s="62">
        <v>2</v>
      </c>
      <c r="N137" s="62">
        <v>2</v>
      </c>
      <c r="O137" s="62">
        <v>2</v>
      </c>
      <c r="P137" s="62">
        <v>2</v>
      </c>
      <c r="Q137" s="72">
        <f t="shared" si="17"/>
        <v>2</v>
      </c>
      <c r="R137" s="62">
        <v>2</v>
      </c>
      <c r="S137" s="62">
        <v>2</v>
      </c>
      <c r="T137" s="62"/>
      <c r="U137" s="62">
        <v>2</v>
      </c>
      <c r="V137" s="62"/>
      <c r="W137" s="72">
        <f t="shared" si="18"/>
        <v>2</v>
      </c>
      <c r="X137" s="62">
        <v>2</v>
      </c>
      <c r="Y137" s="62">
        <v>2</v>
      </c>
      <c r="Z137" s="62"/>
      <c r="AA137" s="62"/>
      <c r="AB137" s="62"/>
      <c r="AC137" s="72">
        <f t="shared" si="19"/>
        <v>2</v>
      </c>
      <c r="AD137" s="62">
        <v>2</v>
      </c>
      <c r="AE137" s="62"/>
      <c r="AF137" s="62">
        <v>2</v>
      </c>
      <c r="AG137" s="62"/>
      <c r="AH137" s="62"/>
      <c r="AI137" s="72">
        <f t="shared" si="20"/>
        <v>2</v>
      </c>
      <c r="AJ137" s="62"/>
      <c r="AK137" s="62"/>
      <c r="AL137" s="62"/>
      <c r="AM137" s="62"/>
      <c r="AN137" s="62"/>
      <c r="AO137" s="72" t="str">
        <f t="shared" si="21"/>
        <v>A</v>
      </c>
      <c r="AP137" s="62">
        <v>2</v>
      </c>
      <c r="AQ137" s="62">
        <v>2</v>
      </c>
      <c r="AR137" s="62">
        <v>2</v>
      </c>
      <c r="AS137" s="62"/>
      <c r="AT137" s="62"/>
      <c r="AU137" s="72">
        <f t="shared" si="22"/>
        <v>2</v>
      </c>
      <c r="AV137" s="62"/>
      <c r="AW137" s="62"/>
      <c r="AX137" s="62">
        <v>2</v>
      </c>
      <c r="AY137" s="62">
        <v>2</v>
      </c>
      <c r="AZ137" s="62">
        <v>2</v>
      </c>
      <c r="BA137" s="72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4</v>
      </c>
      <c r="M138" s="62">
        <v>4</v>
      </c>
      <c r="N138" s="62">
        <v>4</v>
      </c>
      <c r="O138" s="62">
        <v>4</v>
      </c>
      <c r="P138" s="62">
        <v>3</v>
      </c>
      <c r="Q138" s="72">
        <f t="shared" si="17"/>
        <v>3.8</v>
      </c>
      <c r="R138" s="62">
        <v>4</v>
      </c>
      <c r="S138" s="62">
        <v>4</v>
      </c>
      <c r="T138" s="7"/>
      <c r="U138" s="62">
        <v>4</v>
      </c>
      <c r="V138" s="7"/>
      <c r="W138" s="72">
        <f t="shared" si="18"/>
        <v>4</v>
      </c>
      <c r="X138" s="62">
        <v>4</v>
      </c>
      <c r="Y138" s="62">
        <v>2</v>
      </c>
      <c r="Z138" s="7"/>
      <c r="AA138" s="7"/>
      <c r="AB138" s="7"/>
      <c r="AC138" s="72">
        <f t="shared" si="19"/>
        <v>3</v>
      </c>
      <c r="AD138" s="62">
        <v>4</v>
      </c>
      <c r="AE138" s="7"/>
      <c r="AF138" s="62">
        <v>2</v>
      </c>
      <c r="AG138" s="7"/>
      <c r="AH138" s="7"/>
      <c r="AI138" s="72">
        <f t="shared" si="20"/>
        <v>3</v>
      </c>
      <c r="AJ138" s="7"/>
      <c r="AK138" s="7"/>
      <c r="AL138" s="7"/>
      <c r="AM138" s="7"/>
      <c r="AN138" s="7"/>
      <c r="AO138" s="72" t="str">
        <f t="shared" si="21"/>
        <v>A</v>
      </c>
      <c r="AP138" s="62">
        <v>2</v>
      </c>
      <c r="AQ138" s="62">
        <v>2</v>
      </c>
      <c r="AR138" s="62">
        <v>2</v>
      </c>
      <c r="AS138" s="7"/>
      <c r="AT138" s="7"/>
      <c r="AU138" s="72">
        <f t="shared" si="22"/>
        <v>2</v>
      </c>
      <c r="AV138" s="7"/>
      <c r="AW138" s="7"/>
      <c r="AX138" s="62">
        <v>2</v>
      </c>
      <c r="AY138" s="62">
        <v>3</v>
      </c>
      <c r="AZ138" s="62">
        <v>2</v>
      </c>
      <c r="BA138" s="72">
        <f t="shared" si="23"/>
        <v>2.3333333333333335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2</v>
      </c>
      <c r="M139" s="62">
        <v>3</v>
      </c>
      <c r="N139" s="62">
        <v>2</v>
      </c>
      <c r="O139" s="62">
        <v>3</v>
      </c>
      <c r="P139" s="62">
        <v>2</v>
      </c>
      <c r="Q139" s="72">
        <f t="shared" si="17"/>
        <v>2.4</v>
      </c>
      <c r="R139" s="62">
        <v>4</v>
      </c>
      <c r="S139" s="62">
        <v>4</v>
      </c>
      <c r="T139" s="62"/>
      <c r="U139" s="62">
        <v>4</v>
      </c>
      <c r="V139" s="62"/>
      <c r="W139" s="72">
        <f t="shared" si="18"/>
        <v>4</v>
      </c>
      <c r="X139" s="62">
        <v>3</v>
      </c>
      <c r="Y139" s="62">
        <v>4</v>
      </c>
      <c r="Z139" s="62"/>
      <c r="AA139" s="62"/>
      <c r="AB139" s="62"/>
      <c r="AC139" s="72">
        <f t="shared" si="19"/>
        <v>3.5</v>
      </c>
      <c r="AD139" s="62">
        <v>5</v>
      </c>
      <c r="AE139" s="62"/>
      <c r="AF139" s="62">
        <v>5</v>
      </c>
      <c r="AG139" s="62"/>
      <c r="AH139" s="62"/>
      <c r="AI139" s="72">
        <f t="shared" si="20"/>
        <v>5</v>
      </c>
      <c r="AJ139" s="62"/>
      <c r="AK139" s="62"/>
      <c r="AL139" s="62"/>
      <c r="AM139" s="62"/>
      <c r="AN139" s="62"/>
      <c r="AO139" s="72" t="str">
        <f t="shared" si="21"/>
        <v>A</v>
      </c>
      <c r="AP139" s="62">
        <v>3</v>
      </c>
      <c r="AQ139" s="62">
        <v>3</v>
      </c>
      <c r="AR139" s="62">
        <v>4</v>
      </c>
      <c r="AS139" s="62"/>
      <c r="AT139" s="62"/>
      <c r="AU139" s="72">
        <f t="shared" si="22"/>
        <v>3.3333333333333335</v>
      </c>
      <c r="AV139" s="62"/>
      <c r="AW139" s="62"/>
      <c r="AX139" s="62">
        <v>5</v>
      </c>
      <c r="AY139" s="62">
        <v>5</v>
      </c>
      <c r="AZ139" s="62">
        <v>5</v>
      </c>
      <c r="BA139" s="72">
        <f t="shared" si="23"/>
        <v>5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1</v>
      </c>
      <c r="M140" s="62">
        <v>1</v>
      </c>
      <c r="N140" s="62">
        <v>1</v>
      </c>
      <c r="O140" s="62">
        <v>3</v>
      </c>
      <c r="P140" s="62">
        <v>1</v>
      </c>
      <c r="Q140" s="72">
        <f t="shared" si="17"/>
        <v>1.4</v>
      </c>
      <c r="R140" s="62">
        <v>3</v>
      </c>
      <c r="S140" s="62">
        <v>2</v>
      </c>
      <c r="T140" s="7"/>
      <c r="U140" s="62">
        <v>2</v>
      </c>
      <c r="V140" s="7"/>
      <c r="W140" s="72">
        <f t="shared" si="18"/>
        <v>2.3333333333333335</v>
      </c>
      <c r="X140" s="62">
        <v>2</v>
      </c>
      <c r="Y140" s="62">
        <v>1</v>
      </c>
      <c r="Z140" s="7"/>
      <c r="AA140" s="7"/>
      <c r="AB140" s="7"/>
      <c r="AC140" s="72">
        <f t="shared" si="19"/>
        <v>1.5</v>
      </c>
      <c r="AD140" s="62">
        <v>1</v>
      </c>
      <c r="AE140" s="7"/>
      <c r="AF140" s="62">
        <v>1</v>
      </c>
      <c r="AG140" s="7"/>
      <c r="AH140" s="7"/>
      <c r="AI140" s="72">
        <f t="shared" si="20"/>
        <v>1</v>
      </c>
      <c r="AJ140" s="7"/>
      <c r="AK140" s="7"/>
      <c r="AL140" s="7"/>
      <c r="AM140" s="7"/>
      <c r="AN140" s="7"/>
      <c r="AO140" s="72" t="str">
        <f t="shared" si="21"/>
        <v>A</v>
      </c>
      <c r="AP140" s="62">
        <v>3</v>
      </c>
      <c r="AQ140" s="62">
        <v>3</v>
      </c>
      <c r="AR140" s="62">
        <v>2</v>
      </c>
      <c r="AS140" s="7"/>
      <c r="AT140" s="7"/>
      <c r="AU140" s="72">
        <f t="shared" si="22"/>
        <v>2.6666666666666665</v>
      </c>
      <c r="AV140" s="7"/>
      <c r="AW140" s="7"/>
      <c r="AX140" s="62">
        <v>1</v>
      </c>
      <c r="AY140" s="62">
        <v>1</v>
      </c>
      <c r="AZ140" s="62">
        <v>1</v>
      </c>
      <c r="BA140" s="72">
        <f t="shared" si="23"/>
        <v>1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0</v>
      </c>
      <c r="M141" s="62">
        <v>0</v>
      </c>
      <c r="N141" s="62">
        <v>0</v>
      </c>
      <c r="O141" s="62">
        <v>0</v>
      </c>
      <c r="P141" s="62">
        <v>0</v>
      </c>
      <c r="Q141" s="72">
        <f t="shared" si="17"/>
        <v>0</v>
      </c>
      <c r="R141" s="62">
        <v>0</v>
      </c>
      <c r="S141" s="62">
        <v>0</v>
      </c>
      <c r="T141" s="62"/>
      <c r="U141" s="62">
        <v>0</v>
      </c>
      <c r="V141" s="62"/>
      <c r="W141" s="72">
        <f t="shared" si="18"/>
        <v>0</v>
      </c>
      <c r="X141" s="62">
        <v>0</v>
      </c>
      <c r="Y141" s="62">
        <v>0</v>
      </c>
      <c r="Z141" s="62"/>
      <c r="AA141" s="62"/>
      <c r="AB141" s="62"/>
      <c r="AC141" s="72">
        <f t="shared" si="19"/>
        <v>0</v>
      </c>
      <c r="AD141" s="62">
        <v>0</v>
      </c>
      <c r="AE141" s="62"/>
      <c r="AF141" s="62">
        <v>0</v>
      </c>
      <c r="AG141" s="62"/>
      <c r="AH141" s="62"/>
      <c r="AI141" s="72">
        <f t="shared" si="20"/>
        <v>0</v>
      </c>
      <c r="AJ141" s="62"/>
      <c r="AK141" s="62"/>
      <c r="AL141" s="62"/>
      <c r="AM141" s="62"/>
      <c r="AN141" s="62"/>
      <c r="AO141" s="72" t="str">
        <f t="shared" si="21"/>
        <v>A</v>
      </c>
      <c r="AP141" s="62">
        <v>0</v>
      </c>
      <c r="AQ141" s="62">
        <v>0</v>
      </c>
      <c r="AR141" s="62">
        <v>0</v>
      </c>
      <c r="AS141" s="62"/>
      <c r="AT141" s="62"/>
      <c r="AU141" s="72">
        <f t="shared" si="22"/>
        <v>0</v>
      </c>
      <c r="AV141" s="62"/>
      <c r="AW141" s="62"/>
      <c r="AX141" s="62">
        <v>0</v>
      </c>
      <c r="AY141" s="62">
        <v>0</v>
      </c>
      <c r="AZ141" s="62">
        <v>0</v>
      </c>
      <c r="BA141" s="72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3</v>
      </c>
      <c r="M142" s="62">
        <v>2</v>
      </c>
      <c r="N142" s="62">
        <v>2</v>
      </c>
      <c r="O142" s="62">
        <v>3</v>
      </c>
      <c r="P142" s="62">
        <v>2</v>
      </c>
      <c r="Q142" s="72">
        <f t="shared" si="17"/>
        <v>2.4</v>
      </c>
      <c r="R142" s="62">
        <v>2</v>
      </c>
      <c r="S142" s="62">
        <v>2</v>
      </c>
      <c r="T142" s="7"/>
      <c r="U142" s="62">
        <v>3</v>
      </c>
      <c r="V142" s="7"/>
      <c r="W142" s="72">
        <f t="shared" si="18"/>
        <v>2.3333333333333335</v>
      </c>
      <c r="X142" s="62">
        <v>2</v>
      </c>
      <c r="Y142" s="62">
        <v>2</v>
      </c>
      <c r="Z142" s="7"/>
      <c r="AA142" s="7"/>
      <c r="AB142" s="7"/>
      <c r="AC142" s="72">
        <f t="shared" si="19"/>
        <v>2</v>
      </c>
      <c r="AD142" s="62">
        <v>2</v>
      </c>
      <c r="AE142" s="7"/>
      <c r="AF142" s="62">
        <v>1</v>
      </c>
      <c r="AG142" s="7"/>
      <c r="AH142" s="7"/>
      <c r="AI142" s="72">
        <f t="shared" si="20"/>
        <v>1.5</v>
      </c>
      <c r="AJ142" s="7"/>
      <c r="AK142" s="7"/>
      <c r="AL142" s="7"/>
      <c r="AM142" s="7"/>
      <c r="AN142" s="7"/>
      <c r="AO142" s="72" t="str">
        <f t="shared" si="21"/>
        <v>A</v>
      </c>
      <c r="AP142" s="62">
        <v>4</v>
      </c>
      <c r="AQ142" s="62">
        <v>3</v>
      </c>
      <c r="AR142" s="62">
        <v>2</v>
      </c>
      <c r="AS142" s="7"/>
      <c r="AT142" s="7"/>
      <c r="AU142" s="72">
        <f t="shared" si="22"/>
        <v>3</v>
      </c>
      <c r="AV142" s="7"/>
      <c r="AW142" s="7"/>
      <c r="AX142" s="62">
        <v>1</v>
      </c>
      <c r="AY142" s="62">
        <v>1</v>
      </c>
      <c r="AZ142" s="62">
        <v>1</v>
      </c>
      <c r="BA142" s="72">
        <f t="shared" si="23"/>
        <v>1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0</v>
      </c>
      <c r="M143" s="62">
        <v>0</v>
      </c>
      <c r="N143" s="62">
        <v>0</v>
      </c>
      <c r="O143" s="62">
        <v>0</v>
      </c>
      <c r="P143" s="62">
        <v>0</v>
      </c>
      <c r="Q143" s="72">
        <f t="shared" si="17"/>
        <v>0</v>
      </c>
      <c r="R143" s="62">
        <v>0</v>
      </c>
      <c r="S143" s="62">
        <v>0</v>
      </c>
      <c r="T143" s="62"/>
      <c r="U143" s="62">
        <v>0</v>
      </c>
      <c r="V143" s="62"/>
      <c r="W143" s="72">
        <f t="shared" si="18"/>
        <v>0</v>
      </c>
      <c r="X143" s="62">
        <v>0</v>
      </c>
      <c r="Y143" s="62">
        <v>0</v>
      </c>
      <c r="Z143" s="62"/>
      <c r="AA143" s="62"/>
      <c r="AB143" s="62"/>
      <c r="AC143" s="72">
        <f t="shared" si="19"/>
        <v>0</v>
      </c>
      <c r="AD143" s="62">
        <v>0</v>
      </c>
      <c r="AE143" s="62"/>
      <c r="AF143" s="62">
        <v>0</v>
      </c>
      <c r="AG143" s="62"/>
      <c r="AH143" s="62"/>
      <c r="AI143" s="72">
        <f t="shared" si="20"/>
        <v>0</v>
      </c>
      <c r="AJ143" s="62"/>
      <c r="AK143" s="62"/>
      <c r="AL143" s="62"/>
      <c r="AM143" s="62"/>
      <c r="AN143" s="62"/>
      <c r="AO143" s="72" t="str">
        <f t="shared" si="21"/>
        <v>A</v>
      </c>
      <c r="AP143" s="62">
        <v>0</v>
      </c>
      <c r="AQ143" s="62">
        <v>0</v>
      </c>
      <c r="AR143" s="62">
        <v>0</v>
      </c>
      <c r="AS143" s="62"/>
      <c r="AT143" s="62"/>
      <c r="AU143" s="72">
        <f t="shared" si="22"/>
        <v>0</v>
      </c>
      <c r="AV143" s="62"/>
      <c r="AW143" s="62"/>
      <c r="AX143" s="62">
        <v>0</v>
      </c>
      <c r="AY143" s="62">
        <v>0</v>
      </c>
      <c r="AZ143" s="62">
        <v>0</v>
      </c>
      <c r="BA143" s="72">
        <f t="shared" si="23"/>
        <v>0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2</v>
      </c>
      <c r="M144" s="62">
        <v>2</v>
      </c>
      <c r="N144" s="62">
        <v>2</v>
      </c>
      <c r="O144" s="62">
        <v>3</v>
      </c>
      <c r="P144" s="62">
        <v>2</v>
      </c>
      <c r="Q144" s="72">
        <f t="shared" si="17"/>
        <v>2.2000000000000002</v>
      </c>
      <c r="R144" s="62">
        <v>3</v>
      </c>
      <c r="S144" s="62">
        <v>3</v>
      </c>
      <c r="T144" s="7"/>
      <c r="U144" s="62">
        <v>3</v>
      </c>
      <c r="V144" s="7"/>
      <c r="W144" s="72">
        <f t="shared" si="18"/>
        <v>3</v>
      </c>
      <c r="X144" s="62">
        <v>2</v>
      </c>
      <c r="Y144" s="62">
        <v>3</v>
      </c>
      <c r="Z144" s="7"/>
      <c r="AA144" s="7"/>
      <c r="AB144" s="7"/>
      <c r="AC144" s="72">
        <f t="shared" si="19"/>
        <v>2.5</v>
      </c>
      <c r="AD144" s="62">
        <v>5</v>
      </c>
      <c r="AE144" s="7"/>
      <c r="AF144" s="62">
        <v>5</v>
      </c>
      <c r="AG144" s="7"/>
      <c r="AH144" s="7"/>
      <c r="AI144" s="72">
        <f t="shared" si="20"/>
        <v>5</v>
      </c>
      <c r="AJ144" s="7"/>
      <c r="AK144" s="7"/>
      <c r="AL144" s="7"/>
      <c r="AM144" s="7"/>
      <c r="AN144" s="7"/>
      <c r="AO144" s="72" t="str">
        <f t="shared" si="21"/>
        <v>A</v>
      </c>
      <c r="AP144" s="62">
        <v>4</v>
      </c>
      <c r="AQ144" s="62">
        <v>3</v>
      </c>
      <c r="AR144" s="62">
        <v>3</v>
      </c>
      <c r="AS144" s="7"/>
      <c r="AT144" s="7"/>
      <c r="AU144" s="72">
        <f t="shared" si="22"/>
        <v>3.3333333333333335</v>
      </c>
      <c r="AV144" s="7"/>
      <c r="AW144" s="7"/>
      <c r="AX144" s="62">
        <v>5</v>
      </c>
      <c r="AY144" s="62">
        <v>5</v>
      </c>
      <c r="AZ144" s="62">
        <v>5</v>
      </c>
      <c r="BA144" s="72">
        <f t="shared" si="23"/>
        <v>5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3</v>
      </c>
      <c r="M145" s="62">
        <v>3</v>
      </c>
      <c r="N145" s="62">
        <v>2</v>
      </c>
      <c r="O145" s="62">
        <v>3</v>
      </c>
      <c r="P145" s="62">
        <v>1</v>
      </c>
      <c r="Q145" s="72">
        <f t="shared" si="17"/>
        <v>2.4</v>
      </c>
      <c r="R145" s="62">
        <v>3</v>
      </c>
      <c r="S145" s="62">
        <v>3</v>
      </c>
      <c r="T145" s="62"/>
      <c r="U145" s="62">
        <v>3</v>
      </c>
      <c r="V145" s="62"/>
      <c r="W145" s="72">
        <f t="shared" si="18"/>
        <v>3</v>
      </c>
      <c r="X145" s="62">
        <v>3</v>
      </c>
      <c r="Y145" s="62">
        <v>2</v>
      </c>
      <c r="Z145" s="62"/>
      <c r="AA145" s="62"/>
      <c r="AB145" s="62"/>
      <c r="AC145" s="72">
        <f t="shared" si="19"/>
        <v>2.5</v>
      </c>
      <c r="AD145" s="62">
        <v>5</v>
      </c>
      <c r="AE145" s="62"/>
      <c r="AF145" s="62">
        <v>5</v>
      </c>
      <c r="AG145" s="62"/>
      <c r="AH145" s="62"/>
      <c r="AI145" s="72">
        <f t="shared" si="20"/>
        <v>5</v>
      </c>
      <c r="AJ145" s="62"/>
      <c r="AK145" s="62"/>
      <c r="AL145" s="62"/>
      <c r="AM145" s="62"/>
      <c r="AN145" s="62"/>
      <c r="AO145" s="72" t="str">
        <f t="shared" si="21"/>
        <v>A</v>
      </c>
      <c r="AP145" s="62">
        <v>2</v>
      </c>
      <c r="AQ145" s="62">
        <v>2</v>
      </c>
      <c r="AR145" s="62">
        <v>2</v>
      </c>
      <c r="AS145" s="62"/>
      <c r="AT145" s="62"/>
      <c r="AU145" s="72">
        <f t="shared" si="22"/>
        <v>2</v>
      </c>
      <c r="AV145" s="62"/>
      <c r="AW145" s="62"/>
      <c r="AX145" s="62">
        <v>5</v>
      </c>
      <c r="AY145" s="62">
        <v>5</v>
      </c>
      <c r="AZ145" s="62">
        <v>5</v>
      </c>
      <c r="BA145" s="72">
        <f t="shared" si="23"/>
        <v>5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2</v>
      </c>
      <c r="M146" s="62">
        <v>3</v>
      </c>
      <c r="N146" s="62">
        <v>3</v>
      </c>
      <c r="O146" s="62">
        <v>4</v>
      </c>
      <c r="P146" s="62">
        <v>2</v>
      </c>
      <c r="Q146" s="72">
        <f t="shared" si="17"/>
        <v>2.8</v>
      </c>
      <c r="R146" s="62">
        <v>2</v>
      </c>
      <c r="S146" s="62">
        <v>3</v>
      </c>
      <c r="T146" s="7"/>
      <c r="U146" s="62">
        <v>4</v>
      </c>
      <c r="V146" s="7"/>
      <c r="W146" s="72">
        <f t="shared" si="18"/>
        <v>3</v>
      </c>
      <c r="X146" s="62">
        <v>4</v>
      </c>
      <c r="Y146" s="62">
        <v>5</v>
      </c>
      <c r="Z146" s="7"/>
      <c r="AA146" s="7"/>
      <c r="AB146" s="7"/>
      <c r="AC146" s="72">
        <f t="shared" si="19"/>
        <v>4.5</v>
      </c>
      <c r="AD146" s="62">
        <v>5</v>
      </c>
      <c r="AE146" s="7"/>
      <c r="AF146" s="62">
        <v>5</v>
      </c>
      <c r="AG146" s="7"/>
      <c r="AH146" s="7"/>
      <c r="AI146" s="72">
        <f t="shared" si="20"/>
        <v>5</v>
      </c>
      <c r="AJ146" s="7"/>
      <c r="AK146" s="7"/>
      <c r="AL146" s="7"/>
      <c r="AM146" s="7"/>
      <c r="AN146" s="7"/>
      <c r="AO146" s="72" t="str">
        <f t="shared" si="21"/>
        <v>A</v>
      </c>
      <c r="AP146" s="62">
        <v>5</v>
      </c>
      <c r="AQ146" s="62">
        <v>3</v>
      </c>
      <c r="AR146" s="62">
        <v>5</v>
      </c>
      <c r="AS146" s="7"/>
      <c r="AT146" s="7"/>
      <c r="AU146" s="72">
        <f t="shared" si="22"/>
        <v>4.333333333333333</v>
      </c>
      <c r="AV146" s="7"/>
      <c r="AW146" s="7"/>
      <c r="AX146" s="62">
        <v>5</v>
      </c>
      <c r="AY146" s="62">
        <v>5</v>
      </c>
      <c r="AZ146" s="62">
        <v>5</v>
      </c>
      <c r="BA146" s="72">
        <f t="shared" si="23"/>
        <v>5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>
        <v>3</v>
      </c>
      <c r="N147" s="62">
        <v>2</v>
      </c>
      <c r="O147" s="62">
        <v>4</v>
      </c>
      <c r="P147" s="62">
        <v>3</v>
      </c>
      <c r="Q147" s="72">
        <f t="shared" si="17"/>
        <v>2.8</v>
      </c>
      <c r="R147" s="62">
        <v>4</v>
      </c>
      <c r="S147" s="62">
        <v>4</v>
      </c>
      <c r="T147" s="62"/>
      <c r="U147" s="62">
        <v>3</v>
      </c>
      <c r="V147" s="62"/>
      <c r="W147" s="72">
        <f t="shared" si="18"/>
        <v>3.6666666666666665</v>
      </c>
      <c r="X147" s="62">
        <v>3</v>
      </c>
      <c r="Y147" s="62">
        <v>5</v>
      </c>
      <c r="Z147" s="62"/>
      <c r="AA147" s="62"/>
      <c r="AB147" s="62"/>
      <c r="AC147" s="72">
        <f t="shared" si="19"/>
        <v>4</v>
      </c>
      <c r="AD147" s="62">
        <v>5</v>
      </c>
      <c r="AE147" s="62"/>
      <c r="AF147" s="62">
        <v>5</v>
      </c>
      <c r="AG147" s="62"/>
      <c r="AH147" s="62"/>
      <c r="AI147" s="72">
        <f t="shared" si="20"/>
        <v>5</v>
      </c>
      <c r="AJ147" s="62"/>
      <c r="AK147" s="62"/>
      <c r="AL147" s="62"/>
      <c r="AM147" s="62"/>
      <c r="AN147" s="62"/>
      <c r="AO147" s="72" t="str">
        <f t="shared" si="21"/>
        <v>A</v>
      </c>
      <c r="AP147" s="62">
        <v>3</v>
      </c>
      <c r="AQ147" s="62">
        <v>5</v>
      </c>
      <c r="AR147" s="62">
        <v>5</v>
      </c>
      <c r="AS147" s="62"/>
      <c r="AT147" s="62"/>
      <c r="AU147" s="72">
        <f t="shared" si="22"/>
        <v>4.333333333333333</v>
      </c>
      <c r="AV147" s="62"/>
      <c r="AW147" s="62"/>
      <c r="AX147" s="62">
        <v>5</v>
      </c>
      <c r="AY147" s="62">
        <v>5</v>
      </c>
      <c r="AZ147" s="62">
        <v>5</v>
      </c>
      <c r="BA147" s="72">
        <f t="shared" si="23"/>
        <v>5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5</v>
      </c>
      <c r="M148" s="62">
        <v>4</v>
      </c>
      <c r="N148" s="62">
        <v>4</v>
      </c>
      <c r="O148" s="62">
        <v>3</v>
      </c>
      <c r="P148" s="62">
        <v>4</v>
      </c>
      <c r="Q148" s="72">
        <f t="shared" si="17"/>
        <v>4</v>
      </c>
      <c r="R148" s="62">
        <v>2</v>
      </c>
      <c r="S148" s="62">
        <v>3</v>
      </c>
      <c r="T148" s="7"/>
      <c r="U148" s="62">
        <v>2</v>
      </c>
      <c r="V148" s="7"/>
      <c r="W148" s="72">
        <f t="shared" si="18"/>
        <v>2.3333333333333335</v>
      </c>
      <c r="X148" s="62">
        <v>2</v>
      </c>
      <c r="Y148" s="62">
        <v>1</v>
      </c>
      <c r="Z148" s="7"/>
      <c r="AA148" s="7"/>
      <c r="AB148" s="7"/>
      <c r="AC148" s="72">
        <f t="shared" si="19"/>
        <v>1.5</v>
      </c>
      <c r="AD148" s="62">
        <v>2</v>
      </c>
      <c r="AE148" s="7"/>
      <c r="AF148" s="62">
        <v>2</v>
      </c>
      <c r="AG148" s="7"/>
      <c r="AH148" s="7"/>
      <c r="AI148" s="72">
        <f t="shared" si="20"/>
        <v>2</v>
      </c>
      <c r="AJ148" s="7"/>
      <c r="AK148" s="7"/>
      <c r="AL148" s="7"/>
      <c r="AM148" s="7"/>
      <c r="AN148" s="7"/>
      <c r="AO148" s="72" t="str">
        <f t="shared" si="21"/>
        <v>A</v>
      </c>
      <c r="AP148" s="62">
        <v>1</v>
      </c>
      <c r="AQ148" s="62">
        <v>1</v>
      </c>
      <c r="AR148" s="62">
        <v>1</v>
      </c>
      <c r="AS148" s="7"/>
      <c r="AT148" s="7"/>
      <c r="AU148" s="72">
        <f t="shared" si="22"/>
        <v>1</v>
      </c>
      <c r="AV148" s="7"/>
      <c r="AW148" s="7"/>
      <c r="AX148" s="62">
        <v>1</v>
      </c>
      <c r="AY148" s="62">
        <v>1</v>
      </c>
      <c r="AZ148" s="62">
        <v>1</v>
      </c>
      <c r="BA148" s="72">
        <f t="shared" si="23"/>
        <v>1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0</v>
      </c>
      <c r="M149" s="62">
        <v>0</v>
      </c>
      <c r="N149" s="62">
        <v>0</v>
      </c>
      <c r="O149" s="62">
        <v>0</v>
      </c>
      <c r="P149" s="62">
        <v>0</v>
      </c>
      <c r="Q149" s="72">
        <f t="shared" si="17"/>
        <v>0</v>
      </c>
      <c r="R149" s="62">
        <v>0</v>
      </c>
      <c r="S149" s="62">
        <v>0</v>
      </c>
      <c r="T149" s="62"/>
      <c r="U149" s="62">
        <v>0</v>
      </c>
      <c r="V149" s="62"/>
      <c r="W149" s="72">
        <f t="shared" si="18"/>
        <v>0</v>
      </c>
      <c r="X149" s="62">
        <v>0</v>
      </c>
      <c r="Y149" s="62">
        <v>0</v>
      </c>
      <c r="Z149" s="62"/>
      <c r="AA149" s="62"/>
      <c r="AB149" s="62"/>
      <c r="AC149" s="72">
        <f t="shared" si="19"/>
        <v>0</v>
      </c>
      <c r="AD149" s="62">
        <v>0</v>
      </c>
      <c r="AE149" s="62"/>
      <c r="AF149" s="62">
        <v>0</v>
      </c>
      <c r="AG149" s="62"/>
      <c r="AH149" s="62"/>
      <c r="AI149" s="72">
        <f t="shared" si="20"/>
        <v>0</v>
      </c>
      <c r="AJ149" s="62"/>
      <c r="AK149" s="62"/>
      <c r="AL149" s="62"/>
      <c r="AM149" s="62"/>
      <c r="AN149" s="62"/>
      <c r="AO149" s="72" t="str">
        <f t="shared" si="21"/>
        <v>A</v>
      </c>
      <c r="AP149" s="62">
        <v>0</v>
      </c>
      <c r="AQ149" s="62">
        <v>0</v>
      </c>
      <c r="AR149" s="62">
        <v>0</v>
      </c>
      <c r="AS149" s="62"/>
      <c r="AT149" s="62"/>
      <c r="AU149" s="72">
        <f t="shared" si="22"/>
        <v>0</v>
      </c>
      <c r="AV149" s="62"/>
      <c r="AW149" s="62"/>
      <c r="AX149" s="62">
        <v>0</v>
      </c>
      <c r="AY149" s="62">
        <v>0</v>
      </c>
      <c r="AZ149" s="62">
        <v>0</v>
      </c>
      <c r="BA149" s="72">
        <f t="shared" si="23"/>
        <v>0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2</v>
      </c>
      <c r="M150" s="62">
        <v>3</v>
      </c>
      <c r="N150" s="62">
        <v>2</v>
      </c>
      <c r="O150" s="62">
        <v>3</v>
      </c>
      <c r="P150" s="62">
        <v>2</v>
      </c>
      <c r="Q150" s="72">
        <f t="shared" si="17"/>
        <v>2.4</v>
      </c>
      <c r="R150" s="62">
        <v>4</v>
      </c>
      <c r="S150" s="62">
        <v>4</v>
      </c>
      <c r="T150" s="7"/>
      <c r="U150" s="62">
        <v>4</v>
      </c>
      <c r="V150" s="7"/>
      <c r="W150" s="72">
        <f t="shared" si="18"/>
        <v>4</v>
      </c>
      <c r="X150" s="62">
        <v>3</v>
      </c>
      <c r="Y150" s="62">
        <v>4</v>
      </c>
      <c r="Z150" s="7"/>
      <c r="AA150" s="7"/>
      <c r="AB150" s="7"/>
      <c r="AC150" s="72">
        <f t="shared" si="19"/>
        <v>3.5</v>
      </c>
      <c r="AD150" s="62">
        <v>5</v>
      </c>
      <c r="AE150" s="7"/>
      <c r="AF150" s="62">
        <v>5</v>
      </c>
      <c r="AG150" s="7"/>
      <c r="AH150" s="7"/>
      <c r="AI150" s="72">
        <f t="shared" si="20"/>
        <v>5</v>
      </c>
      <c r="AJ150" s="7"/>
      <c r="AK150" s="7"/>
      <c r="AL150" s="7"/>
      <c r="AM150" s="7"/>
      <c r="AN150" s="7"/>
      <c r="AO150" s="72" t="str">
        <f t="shared" si="21"/>
        <v>A</v>
      </c>
      <c r="AP150" s="62">
        <v>3</v>
      </c>
      <c r="AQ150" s="62">
        <v>3</v>
      </c>
      <c r="AR150" s="62">
        <v>4</v>
      </c>
      <c r="AS150" s="7"/>
      <c r="AT150" s="7"/>
      <c r="AU150" s="72">
        <f t="shared" si="22"/>
        <v>3.3333333333333335</v>
      </c>
      <c r="AV150" s="7"/>
      <c r="AW150" s="7"/>
      <c r="AX150" s="62">
        <v>5</v>
      </c>
      <c r="AY150" s="62">
        <v>5</v>
      </c>
      <c r="AZ150" s="62">
        <v>5</v>
      </c>
      <c r="BA150" s="72">
        <f t="shared" si="23"/>
        <v>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1</v>
      </c>
      <c r="M151" s="62">
        <v>1</v>
      </c>
      <c r="N151" s="62">
        <v>1</v>
      </c>
      <c r="O151" s="62">
        <v>3</v>
      </c>
      <c r="P151" s="62">
        <v>1</v>
      </c>
      <c r="Q151" s="72">
        <f t="shared" si="17"/>
        <v>1.4</v>
      </c>
      <c r="R151" s="62">
        <v>2</v>
      </c>
      <c r="S151" s="62">
        <v>1</v>
      </c>
      <c r="T151" s="62"/>
      <c r="U151" s="62">
        <v>1</v>
      </c>
      <c r="V151" s="62"/>
      <c r="W151" s="72">
        <f t="shared" si="18"/>
        <v>1.3333333333333333</v>
      </c>
      <c r="X151" s="62">
        <v>1</v>
      </c>
      <c r="Y151" s="62">
        <v>1</v>
      </c>
      <c r="Z151" s="62"/>
      <c r="AA151" s="62"/>
      <c r="AB151" s="62"/>
      <c r="AC151" s="72">
        <f t="shared" si="19"/>
        <v>1</v>
      </c>
      <c r="AD151" s="62">
        <v>1</v>
      </c>
      <c r="AE151" s="62"/>
      <c r="AF151" s="62">
        <v>0</v>
      </c>
      <c r="AG151" s="62"/>
      <c r="AH151" s="62"/>
      <c r="AI151" s="72">
        <f t="shared" si="20"/>
        <v>0.5</v>
      </c>
      <c r="AJ151" s="62"/>
      <c r="AK151" s="62"/>
      <c r="AL151" s="62"/>
      <c r="AM151" s="62"/>
      <c r="AN151" s="62"/>
      <c r="AO151" s="72" t="str">
        <f t="shared" si="21"/>
        <v>A</v>
      </c>
      <c r="AP151" s="62">
        <v>1</v>
      </c>
      <c r="AQ151" s="62">
        <v>2</v>
      </c>
      <c r="AR151" s="62">
        <v>1</v>
      </c>
      <c r="AS151" s="62"/>
      <c r="AT151" s="62"/>
      <c r="AU151" s="72">
        <f t="shared" si="22"/>
        <v>1.3333333333333333</v>
      </c>
      <c r="AV151" s="62"/>
      <c r="AW151" s="62"/>
      <c r="AX151" s="62">
        <v>1</v>
      </c>
      <c r="AY151" s="62">
        <v>1</v>
      </c>
      <c r="AZ151" s="62">
        <v>1</v>
      </c>
      <c r="BA151" s="72">
        <f t="shared" si="23"/>
        <v>1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1</v>
      </c>
      <c r="M152" s="62">
        <v>1</v>
      </c>
      <c r="N152" s="62">
        <v>1</v>
      </c>
      <c r="O152" s="62">
        <v>3</v>
      </c>
      <c r="P152" s="62">
        <v>1</v>
      </c>
      <c r="Q152" s="72">
        <f t="shared" si="17"/>
        <v>1.4</v>
      </c>
      <c r="R152" s="62">
        <v>3</v>
      </c>
      <c r="S152" s="62">
        <v>2</v>
      </c>
      <c r="T152" s="7"/>
      <c r="U152" s="62">
        <v>2</v>
      </c>
      <c r="V152" s="7"/>
      <c r="W152" s="72">
        <f t="shared" si="18"/>
        <v>2.3333333333333335</v>
      </c>
      <c r="X152" s="62">
        <v>2</v>
      </c>
      <c r="Y152" s="62">
        <v>1</v>
      </c>
      <c r="Z152" s="7"/>
      <c r="AA152" s="7"/>
      <c r="AB152" s="7"/>
      <c r="AC152" s="72">
        <f t="shared" si="19"/>
        <v>1.5</v>
      </c>
      <c r="AD152" s="62">
        <v>1</v>
      </c>
      <c r="AE152" s="7"/>
      <c r="AF152" s="62">
        <v>1</v>
      </c>
      <c r="AG152" s="7"/>
      <c r="AH152" s="7"/>
      <c r="AI152" s="72">
        <f t="shared" si="20"/>
        <v>1</v>
      </c>
      <c r="AJ152" s="7"/>
      <c r="AK152" s="7"/>
      <c r="AL152" s="7"/>
      <c r="AM152" s="7"/>
      <c r="AN152" s="7"/>
      <c r="AO152" s="72" t="str">
        <f t="shared" si="21"/>
        <v>A</v>
      </c>
      <c r="AP152" s="62">
        <v>3</v>
      </c>
      <c r="AQ152" s="62">
        <v>3</v>
      </c>
      <c r="AR152" s="62">
        <v>2</v>
      </c>
      <c r="AS152" s="7"/>
      <c r="AT152" s="7"/>
      <c r="AU152" s="72">
        <f t="shared" si="22"/>
        <v>2.6666666666666665</v>
      </c>
      <c r="AV152" s="7"/>
      <c r="AW152" s="7"/>
      <c r="AX152" s="62">
        <v>1</v>
      </c>
      <c r="AY152" s="62">
        <v>1</v>
      </c>
      <c r="AZ152" s="62">
        <v>1</v>
      </c>
      <c r="BA152" s="72">
        <f t="shared" si="23"/>
        <v>1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0</v>
      </c>
      <c r="M153" s="62">
        <v>0</v>
      </c>
      <c r="N153" s="62">
        <v>0</v>
      </c>
      <c r="O153" s="62">
        <v>0</v>
      </c>
      <c r="P153" s="62">
        <v>0</v>
      </c>
      <c r="Q153" s="72">
        <f t="shared" si="17"/>
        <v>0</v>
      </c>
      <c r="R153" s="62">
        <v>0</v>
      </c>
      <c r="S153" s="62">
        <v>0</v>
      </c>
      <c r="T153" s="62"/>
      <c r="U153" s="62">
        <v>0</v>
      </c>
      <c r="V153" s="62"/>
      <c r="W153" s="72">
        <f t="shared" si="18"/>
        <v>0</v>
      </c>
      <c r="X153" s="62">
        <v>0</v>
      </c>
      <c r="Y153" s="62">
        <v>0</v>
      </c>
      <c r="Z153" s="62"/>
      <c r="AA153" s="62"/>
      <c r="AB153" s="62"/>
      <c r="AC153" s="72">
        <f t="shared" si="19"/>
        <v>0</v>
      </c>
      <c r="AD153" s="62">
        <v>0</v>
      </c>
      <c r="AE153" s="62"/>
      <c r="AF153" s="62">
        <v>0</v>
      </c>
      <c r="AG153" s="62"/>
      <c r="AH153" s="62"/>
      <c r="AI153" s="72">
        <f t="shared" si="20"/>
        <v>0</v>
      </c>
      <c r="AJ153" s="62"/>
      <c r="AK153" s="62"/>
      <c r="AL153" s="62"/>
      <c r="AM153" s="62"/>
      <c r="AN153" s="62"/>
      <c r="AO153" s="72" t="str">
        <f t="shared" si="21"/>
        <v>A</v>
      </c>
      <c r="AP153" s="62">
        <v>0</v>
      </c>
      <c r="AQ153" s="62">
        <v>0</v>
      </c>
      <c r="AR153" s="62">
        <v>0</v>
      </c>
      <c r="AS153" s="62"/>
      <c r="AT153" s="62"/>
      <c r="AU153" s="72">
        <f t="shared" si="22"/>
        <v>0</v>
      </c>
      <c r="AV153" s="62"/>
      <c r="AW153" s="62"/>
      <c r="AX153" s="62">
        <v>0</v>
      </c>
      <c r="AY153" s="62">
        <v>0</v>
      </c>
      <c r="AZ153" s="62">
        <v>0</v>
      </c>
      <c r="BA153" s="72">
        <f t="shared" si="23"/>
        <v>0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>
        <v>2</v>
      </c>
      <c r="N154" s="62">
        <v>2</v>
      </c>
      <c r="O154" s="62">
        <v>3</v>
      </c>
      <c r="P154" s="62">
        <v>2</v>
      </c>
      <c r="Q154" s="72">
        <f t="shared" si="17"/>
        <v>2.4</v>
      </c>
      <c r="R154" s="62">
        <v>1</v>
      </c>
      <c r="S154" s="62">
        <v>1</v>
      </c>
      <c r="T154" s="7"/>
      <c r="U154" s="62">
        <v>1</v>
      </c>
      <c r="V154" s="7"/>
      <c r="W154" s="72">
        <f t="shared" si="18"/>
        <v>1</v>
      </c>
      <c r="X154" s="62">
        <v>1</v>
      </c>
      <c r="Y154" s="62">
        <v>1</v>
      </c>
      <c r="Z154" s="7"/>
      <c r="AA154" s="7"/>
      <c r="AB154" s="7"/>
      <c r="AC154" s="72">
        <f t="shared" si="19"/>
        <v>1</v>
      </c>
      <c r="AD154" s="62">
        <v>1</v>
      </c>
      <c r="AE154" s="7"/>
      <c r="AF154" s="62">
        <v>0</v>
      </c>
      <c r="AG154" s="7"/>
      <c r="AH154" s="7"/>
      <c r="AI154" s="72">
        <f t="shared" si="20"/>
        <v>0.5</v>
      </c>
      <c r="AJ154" s="7"/>
      <c r="AK154" s="7"/>
      <c r="AL154" s="7"/>
      <c r="AM154" s="7"/>
      <c r="AN154" s="7"/>
      <c r="AO154" s="72" t="str">
        <f t="shared" si="21"/>
        <v>A</v>
      </c>
      <c r="AP154" s="62">
        <v>1</v>
      </c>
      <c r="AQ154" s="62">
        <v>1</v>
      </c>
      <c r="AR154" s="62">
        <v>1</v>
      </c>
      <c r="AS154" s="7"/>
      <c r="AT154" s="7"/>
      <c r="AU154" s="72">
        <f t="shared" si="22"/>
        <v>1</v>
      </c>
      <c r="AV154" s="7"/>
      <c r="AW154" s="7"/>
      <c r="AX154" s="62">
        <v>1</v>
      </c>
      <c r="AY154" s="62">
        <v>1</v>
      </c>
      <c r="AZ154" s="62">
        <v>1</v>
      </c>
      <c r="BA154" s="72">
        <f t="shared" si="23"/>
        <v>1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2</v>
      </c>
      <c r="M155" s="62">
        <v>2</v>
      </c>
      <c r="N155" s="62">
        <v>2</v>
      </c>
      <c r="O155" s="62">
        <v>2</v>
      </c>
      <c r="P155" s="62">
        <v>2</v>
      </c>
      <c r="Q155" s="72">
        <f t="shared" si="17"/>
        <v>2</v>
      </c>
      <c r="R155" s="62">
        <v>2</v>
      </c>
      <c r="S155" s="62">
        <v>2</v>
      </c>
      <c r="T155" s="62"/>
      <c r="U155" s="62">
        <v>2</v>
      </c>
      <c r="V155" s="62"/>
      <c r="W155" s="72">
        <f t="shared" si="18"/>
        <v>2</v>
      </c>
      <c r="X155" s="62">
        <v>2</v>
      </c>
      <c r="Y155" s="62">
        <v>2</v>
      </c>
      <c r="Z155" s="62"/>
      <c r="AA155" s="62"/>
      <c r="AB155" s="62"/>
      <c r="AC155" s="72">
        <f t="shared" si="19"/>
        <v>2</v>
      </c>
      <c r="AD155" s="62">
        <v>2</v>
      </c>
      <c r="AE155" s="62"/>
      <c r="AF155" s="62">
        <v>2</v>
      </c>
      <c r="AG155" s="62"/>
      <c r="AH155" s="62"/>
      <c r="AI155" s="72">
        <f t="shared" si="20"/>
        <v>2</v>
      </c>
      <c r="AJ155" s="62"/>
      <c r="AK155" s="62"/>
      <c r="AL155" s="62"/>
      <c r="AM155" s="62"/>
      <c r="AN155" s="62"/>
      <c r="AO155" s="72" t="str">
        <f t="shared" si="21"/>
        <v>A</v>
      </c>
      <c r="AP155" s="62">
        <v>2</v>
      </c>
      <c r="AQ155" s="62">
        <v>2</v>
      </c>
      <c r="AR155" s="62">
        <v>2</v>
      </c>
      <c r="AS155" s="62"/>
      <c r="AT155" s="62"/>
      <c r="AU155" s="72">
        <f t="shared" si="22"/>
        <v>2</v>
      </c>
      <c r="AV155" s="62"/>
      <c r="AW155" s="62"/>
      <c r="AX155" s="62">
        <v>2</v>
      </c>
      <c r="AY155" s="62">
        <v>2</v>
      </c>
      <c r="AZ155" s="62">
        <v>2</v>
      </c>
      <c r="BA155" s="72">
        <f t="shared" si="23"/>
        <v>2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3</v>
      </c>
      <c r="M156" s="62">
        <v>2</v>
      </c>
      <c r="N156" s="62">
        <v>2</v>
      </c>
      <c r="O156" s="62">
        <v>3</v>
      </c>
      <c r="P156" s="62">
        <v>2</v>
      </c>
      <c r="Q156" s="72">
        <f t="shared" si="17"/>
        <v>2.4</v>
      </c>
      <c r="R156" s="62">
        <v>2</v>
      </c>
      <c r="S156" s="62">
        <v>3</v>
      </c>
      <c r="T156" s="7"/>
      <c r="U156" s="62">
        <v>2</v>
      </c>
      <c r="V156" s="7"/>
      <c r="W156" s="72">
        <f t="shared" si="18"/>
        <v>2.3333333333333335</v>
      </c>
      <c r="X156" s="62">
        <v>1</v>
      </c>
      <c r="Y156" s="62">
        <v>1</v>
      </c>
      <c r="Z156" s="7"/>
      <c r="AA156" s="7"/>
      <c r="AB156" s="7"/>
      <c r="AC156" s="72">
        <f t="shared" si="19"/>
        <v>1</v>
      </c>
      <c r="AD156" s="62">
        <v>1</v>
      </c>
      <c r="AE156" s="7"/>
      <c r="AF156" s="62">
        <v>0</v>
      </c>
      <c r="AG156" s="7"/>
      <c r="AH156" s="7"/>
      <c r="AI156" s="72">
        <f t="shared" si="20"/>
        <v>0.5</v>
      </c>
      <c r="AJ156" s="7"/>
      <c r="AK156" s="7"/>
      <c r="AL156" s="7"/>
      <c r="AM156" s="7"/>
      <c r="AN156" s="7"/>
      <c r="AO156" s="72" t="str">
        <f t="shared" si="21"/>
        <v>A</v>
      </c>
      <c r="AP156" s="62">
        <v>1</v>
      </c>
      <c r="AQ156" s="62">
        <v>1</v>
      </c>
      <c r="AR156" s="62">
        <v>1</v>
      </c>
      <c r="AS156" s="7"/>
      <c r="AT156" s="7"/>
      <c r="AU156" s="72">
        <f t="shared" si="22"/>
        <v>1</v>
      </c>
      <c r="AV156" s="7"/>
      <c r="AW156" s="7"/>
      <c r="AX156" s="62">
        <v>1</v>
      </c>
      <c r="AY156" s="62">
        <v>1</v>
      </c>
      <c r="AZ156" s="62">
        <v>2</v>
      </c>
      <c r="BA156" s="72">
        <f t="shared" si="23"/>
        <v>1.3333333333333333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3</v>
      </c>
      <c r="M157" s="62">
        <v>2</v>
      </c>
      <c r="N157" s="62">
        <v>2</v>
      </c>
      <c r="O157" s="62">
        <v>3</v>
      </c>
      <c r="P157" s="62">
        <v>2</v>
      </c>
      <c r="Q157" s="72">
        <f t="shared" si="17"/>
        <v>2.4</v>
      </c>
      <c r="R157" s="62">
        <v>2</v>
      </c>
      <c r="S157" s="62">
        <v>3</v>
      </c>
      <c r="T157" s="62"/>
      <c r="U157" s="62">
        <v>2</v>
      </c>
      <c r="V157" s="62"/>
      <c r="W157" s="72">
        <f t="shared" si="18"/>
        <v>2.3333333333333335</v>
      </c>
      <c r="X157" s="62">
        <v>1</v>
      </c>
      <c r="Y157" s="62">
        <v>1</v>
      </c>
      <c r="Z157" s="62"/>
      <c r="AA157" s="62"/>
      <c r="AB157" s="62"/>
      <c r="AC157" s="72">
        <f t="shared" si="19"/>
        <v>1</v>
      </c>
      <c r="AD157" s="62">
        <v>1</v>
      </c>
      <c r="AE157" s="62"/>
      <c r="AF157" s="62">
        <v>1</v>
      </c>
      <c r="AG157" s="62"/>
      <c r="AH157" s="62"/>
      <c r="AI157" s="72">
        <f t="shared" si="20"/>
        <v>1</v>
      </c>
      <c r="AJ157" s="62"/>
      <c r="AK157" s="62"/>
      <c r="AL157" s="62"/>
      <c r="AM157" s="62"/>
      <c r="AN157" s="62"/>
      <c r="AO157" s="72" t="str">
        <f t="shared" si="21"/>
        <v>A</v>
      </c>
      <c r="AP157" s="62">
        <v>1</v>
      </c>
      <c r="AQ157" s="62">
        <v>1</v>
      </c>
      <c r="AR157" s="62">
        <v>1</v>
      </c>
      <c r="AS157" s="62"/>
      <c r="AT157" s="62"/>
      <c r="AU157" s="72">
        <f t="shared" si="22"/>
        <v>1</v>
      </c>
      <c r="AV157" s="62"/>
      <c r="AW157" s="62"/>
      <c r="AX157" s="62">
        <v>1</v>
      </c>
      <c r="AY157" s="62">
        <v>2</v>
      </c>
      <c r="AZ157" s="62">
        <v>3</v>
      </c>
      <c r="BA157" s="72">
        <f t="shared" si="23"/>
        <v>2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3</v>
      </c>
      <c r="M158" s="62">
        <v>3</v>
      </c>
      <c r="N158" s="62">
        <v>4</v>
      </c>
      <c r="O158" s="62">
        <v>3</v>
      </c>
      <c r="P158" s="62">
        <v>2</v>
      </c>
      <c r="Q158" s="72">
        <f t="shared" si="17"/>
        <v>3</v>
      </c>
      <c r="R158" s="62">
        <v>2</v>
      </c>
      <c r="S158" s="62">
        <v>2</v>
      </c>
      <c r="T158" s="7"/>
      <c r="U158" s="62">
        <v>2</v>
      </c>
      <c r="V158" s="7"/>
      <c r="W158" s="72">
        <f t="shared" si="18"/>
        <v>2</v>
      </c>
      <c r="X158" s="62">
        <v>2</v>
      </c>
      <c r="Y158" s="62">
        <v>2</v>
      </c>
      <c r="Z158" s="7"/>
      <c r="AA158" s="7"/>
      <c r="AB158" s="7"/>
      <c r="AC158" s="72">
        <f t="shared" si="19"/>
        <v>2</v>
      </c>
      <c r="AD158" s="62">
        <v>1</v>
      </c>
      <c r="AE158" s="7"/>
      <c r="AF158" s="62">
        <v>1</v>
      </c>
      <c r="AG158" s="7"/>
      <c r="AH158" s="7"/>
      <c r="AI158" s="72">
        <f t="shared" si="20"/>
        <v>1</v>
      </c>
      <c r="AJ158" s="7"/>
      <c r="AK158" s="7"/>
      <c r="AL158" s="7"/>
      <c r="AM158" s="7"/>
      <c r="AN158" s="7"/>
      <c r="AO158" s="72" t="str">
        <f t="shared" si="21"/>
        <v>A</v>
      </c>
      <c r="AP158" s="62">
        <v>1</v>
      </c>
      <c r="AQ158" s="62">
        <v>2</v>
      </c>
      <c r="AR158" s="62">
        <v>3</v>
      </c>
      <c r="AS158" s="7"/>
      <c r="AT158" s="7"/>
      <c r="AU158" s="72">
        <f t="shared" si="22"/>
        <v>2</v>
      </c>
      <c r="AV158" s="7"/>
      <c r="AW158" s="7"/>
      <c r="AX158" s="62">
        <v>1</v>
      </c>
      <c r="AY158" s="62">
        <v>1</v>
      </c>
      <c r="AZ158" s="62">
        <v>1</v>
      </c>
      <c r="BA158" s="72">
        <f t="shared" si="23"/>
        <v>1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3</v>
      </c>
      <c r="M159" s="62">
        <v>3</v>
      </c>
      <c r="N159" s="62">
        <v>3</v>
      </c>
      <c r="O159" s="62">
        <v>3</v>
      </c>
      <c r="P159" s="62">
        <v>3</v>
      </c>
      <c r="Q159" s="72">
        <f t="shared" si="17"/>
        <v>3</v>
      </c>
      <c r="R159" s="62">
        <v>2</v>
      </c>
      <c r="S159" s="62">
        <v>2</v>
      </c>
      <c r="T159" s="62"/>
      <c r="U159" s="62">
        <v>2</v>
      </c>
      <c r="V159" s="62"/>
      <c r="W159" s="72">
        <f t="shared" si="18"/>
        <v>2</v>
      </c>
      <c r="X159" s="62">
        <v>1</v>
      </c>
      <c r="Y159" s="62">
        <v>1</v>
      </c>
      <c r="Z159" s="62"/>
      <c r="AA159" s="62"/>
      <c r="AB159" s="62"/>
      <c r="AC159" s="72">
        <f t="shared" si="19"/>
        <v>1</v>
      </c>
      <c r="AD159" s="62">
        <v>1</v>
      </c>
      <c r="AE159" s="62"/>
      <c r="AF159" s="62">
        <v>1</v>
      </c>
      <c r="AG159" s="62"/>
      <c r="AH159" s="62"/>
      <c r="AI159" s="72">
        <f t="shared" si="20"/>
        <v>1</v>
      </c>
      <c r="AJ159" s="62"/>
      <c r="AK159" s="62"/>
      <c r="AL159" s="62"/>
      <c r="AM159" s="62"/>
      <c r="AN159" s="62"/>
      <c r="AO159" s="72" t="str">
        <f t="shared" si="21"/>
        <v>A</v>
      </c>
      <c r="AP159" s="62">
        <v>1</v>
      </c>
      <c r="AQ159" s="62">
        <v>1</v>
      </c>
      <c r="AR159" s="62">
        <v>1</v>
      </c>
      <c r="AS159" s="62"/>
      <c r="AT159" s="62"/>
      <c r="AU159" s="72">
        <f t="shared" si="22"/>
        <v>1</v>
      </c>
      <c r="AV159" s="62"/>
      <c r="AW159" s="62"/>
      <c r="AX159" s="62">
        <v>1</v>
      </c>
      <c r="AY159" s="62">
        <v>1</v>
      </c>
      <c r="AZ159" s="62">
        <v>1</v>
      </c>
      <c r="BA159" s="72">
        <f t="shared" si="23"/>
        <v>1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2</v>
      </c>
      <c r="M160" s="62">
        <v>2</v>
      </c>
      <c r="N160" s="62">
        <v>2</v>
      </c>
      <c r="O160" s="62">
        <v>3</v>
      </c>
      <c r="P160" s="62">
        <v>2</v>
      </c>
      <c r="Q160" s="72">
        <f t="shared" si="17"/>
        <v>2.2000000000000002</v>
      </c>
      <c r="R160" s="62">
        <v>3</v>
      </c>
      <c r="S160" s="62">
        <v>3</v>
      </c>
      <c r="T160" s="7"/>
      <c r="U160" s="62">
        <v>3</v>
      </c>
      <c r="V160" s="7"/>
      <c r="W160" s="72">
        <f t="shared" si="18"/>
        <v>3</v>
      </c>
      <c r="X160" s="62">
        <v>2</v>
      </c>
      <c r="Y160" s="62">
        <v>3</v>
      </c>
      <c r="Z160" s="7"/>
      <c r="AA160" s="7"/>
      <c r="AB160" s="7"/>
      <c r="AC160" s="72">
        <f t="shared" si="19"/>
        <v>2.5</v>
      </c>
      <c r="AD160" s="62">
        <v>5</v>
      </c>
      <c r="AE160" s="7"/>
      <c r="AF160" s="62">
        <v>5</v>
      </c>
      <c r="AG160" s="7"/>
      <c r="AH160" s="7"/>
      <c r="AI160" s="72">
        <f t="shared" si="20"/>
        <v>5</v>
      </c>
      <c r="AJ160" s="7"/>
      <c r="AK160" s="7"/>
      <c r="AL160" s="7"/>
      <c r="AM160" s="7"/>
      <c r="AN160" s="7"/>
      <c r="AO160" s="72" t="str">
        <f t="shared" si="21"/>
        <v>A</v>
      </c>
      <c r="AP160" s="62">
        <v>4</v>
      </c>
      <c r="AQ160" s="62">
        <v>3</v>
      </c>
      <c r="AR160" s="62">
        <v>3</v>
      </c>
      <c r="AS160" s="7"/>
      <c r="AT160" s="7"/>
      <c r="AU160" s="72">
        <f t="shared" si="22"/>
        <v>3.3333333333333335</v>
      </c>
      <c r="AV160" s="7"/>
      <c r="AW160" s="7"/>
      <c r="AX160" s="62">
        <v>5</v>
      </c>
      <c r="AY160" s="62">
        <v>5</v>
      </c>
      <c r="AZ160" s="62">
        <v>5</v>
      </c>
      <c r="BA160" s="72">
        <f t="shared" si="23"/>
        <v>5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2</v>
      </c>
      <c r="M161" s="62">
        <v>2</v>
      </c>
      <c r="N161" s="62">
        <v>3</v>
      </c>
      <c r="O161" s="62">
        <v>4</v>
      </c>
      <c r="P161" s="62">
        <v>2</v>
      </c>
      <c r="Q161" s="72">
        <f t="shared" si="17"/>
        <v>2.6</v>
      </c>
      <c r="R161" s="62">
        <v>4</v>
      </c>
      <c r="S161" s="62">
        <v>3</v>
      </c>
      <c r="T161" s="62"/>
      <c r="U161" s="62">
        <v>4</v>
      </c>
      <c r="V161" s="62"/>
      <c r="W161" s="72">
        <f t="shared" si="18"/>
        <v>3.6666666666666665</v>
      </c>
      <c r="X161" s="62">
        <v>4</v>
      </c>
      <c r="Y161" s="62">
        <v>4</v>
      </c>
      <c r="Z161" s="62"/>
      <c r="AA161" s="62"/>
      <c r="AB161" s="62"/>
      <c r="AC161" s="72">
        <f t="shared" si="19"/>
        <v>4</v>
      </c>
      <c r="AD161" s="62">
        <v>5</v>
      </c>
      <c r="AE161" s="62"/>
      <c r="AF161" s="62">
        <v>5</v>
      </c>
      <c r="AG161" s="62"/>
      <c r="AH161" s="62"/>
      <c r="AI161" s="72">
        <f t="shared" si="20"/>
        <v>5</v>
      </c>
      <c r="AJ161" s="62"/>
      <c r="AK161" s="62"/>
      <c r="AL161" s="62"/>
      <c r="AM161" s="62"/>
      <c r="AN161" s="62"/>
      <c r="AO161" s="72" t="str">
        <f t="shared" si="21"/>
        <v>A</v>
      </c>
      <c r="AP161" s="62">
        <v>5</v>
      </c>
      <c r="AQ161" s="62">
        <v>5</v>
      </c>
      <c r="AR161" s="62">
        <v>5</v>
      </c>
      <c r="AS161" s="62"/>
      <c r="AT161" s="62"/>
      <c r="AU161" s="72">
        <f t="shared" si="22"/>
        <v>5</v>
      </c>
      <c r="AV161" s="62"/>
      <c r="AW161" s="62"/>
      <c r="AX161" s="62">
        <v>5</v>
      </c>
      <c r="AY161" s="62">
        <v>5</v>
      </c>
      <c r="AZ161" s="62">
        <v>5</v>
      </c>
      <c r="BA161" s="72">
        <f t="shared" si="23"/>
        <v>5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1</v>
      </c>
      <c r="M162" s="62">
        <v>1</v>
      </c>
      <c r="N162" s="62">
        <v>1</v>
      </c>
      <c r="O162" s="62">
        <v>1</v>
      </c>
      <c r="P162" s="62">
        <v>1</v>
      </c>
      <c r="Q162" s="72">
        <f t="shared" si="17"/>
        <v>1</v>
      </c>
      <c r="R162" s="62">
        <v>1</v>
      </c>
      <c r="S162" s="62">
        <v>1</v>
      </c>
      <c r="T162" s="7"/>
      <c r="U162" s="62">
        <v>1</v>
      </c>
      <c r="V162" s="7"/>
      <c r="W162" s="72">
        <f t="shared" si="18"/>
        <v>1</v>
      </c>
      <c r="X162" s="62">
        <v>1</v>
      </c>
      <c r="Y162" s="62">
        <v>1</v>
      </c>
      <c r="Z162" s="7"/>
      <c r="AA162" s="7"/>
      <c r="AB162" s="7"/>
      <c r="AC162" s="72">
        <f t="shared" si="19"/>
        <v>1</v>
      </c>
      <c r="AD162" s="62">
        <v>1</v>
      </c>
      <c r="AE162" s="7"/>
      <c r="AF162" s="62">
        <v>0</v>
      </c>
      <c r="AG162" s="7"/>
      <c r="AH162" s="7"/>
      <c r="AI162" s="72">
        <f t="shared" si="20"/>
        <v>0.5</v>
      </c>
      <c r="AJ162" s="7"/>
      <c r="AK162" s="7"/>
      <c r="AL162" s="7"/>
      <c r="AM162" s="7"/>
      <c r="AN162" s="7"/>
      <c r="AO162" s="72" t="str">
        <f t="shared" si="21"/>
        <v>A</v>
      </c>
      <c r="AP162" s="62">
        <v>1</v>
      </c>
      <c r="AQ162" s="62">
        <v>1</v>
      </c>
      <c r="AR162" s="62">
        <v>1</v>
      </c>
      <c r="AS162" s="7"/>
      <c r="AT162" s="7"/>
      <c r="AU162" s="72">
        <f t="shared" si="22"/>
        <v>1</v>
      </c>
      <c r="AV162" s="7"/>
      <c r="AW162" s="7"/>
      <c r="AX162" s="62">
        <v>1</v>
      </c>
      <c r="AY162" s="62">
        <v>1</v>
      </c>
      <c r="AZ162" s="62">
        <v>1</v>
      </c>
      <c r="BA162" s="72">
        <f t="shared" si="23"/>
        <v>1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>
        <v>3</v>
      </c>
      <c r="N163" s="62">
        <v>2</v>
      </c>
      <c r="O163" s="62">
        <v>3</v>
      </c>
      <c r="P163" s="62">
        <v>1</v>
      </c>
      <c r="Q163" s="72">
        <f t="shared" si="17"/>
        <v>2.4</v>
      </c>
      <c r="R163" s="62">
        <v>3</v>
      </c>
      <c r="S163" s="62">
        <v>3</v>
      </c>
      <c r="T163" s="62"/>
      <c r="U163" s="62">
        <v>3</v>
      </c>
      <c r="V163" s="62"/>
      <c r="W163" s="72">
        <f t="shared" si="18"/>
        <v>3</v>
      </c>
      <c r="X163" s="62">
        <v>3</v>
      </c>
      <c r="Y163" s="62">
        <v>2</v>
      </c>
      <c r="Z163" s="62"/>
      <c r="AA163" s="62"/>
      <c r="AB163" s="62"/>
      <c r="AC163" s="72">
        <f t="shared" si="19"/>
        <v>2.5</v>
      </c>
      <c r="AD163" s="62">
        <v>5</v>
      </c>
      <c r="AE163" s="62"/>
      <c r="AF163" s="62">
        <v>5</v>
      </c>
      <c r="AG163" s="62"/>
      <c r="AH163" s="62"/>
      <c r="AI163" s="72">
        <f t="shared" si="20"/>
        <v>5</v>
      </c>
      <c r="AJ163" s="62"/>
      <c r="AK163" s="62"/>
      <c r="AL163" s="62"/>
      <c r="AM163" s="62"/>
      <c r="AN163" s="62"/>
      <c r="AO163" s="72" t="str">
        <f t="shared" si="21"/>
        <v>A</v>
      </c>
      <c r="AP163" s="62">
        <v>2</v>
      </c>
      <c r="AQ163" s="62">
        <v>2</v>
      </c>
      <c r="AR163" s="62">
        <v>2</v>
      </c>
      <c r="AS163" s="62"/>
      <c r="AT163" s="62"/>
      <c r="AU163" s="72">
        <f t="shared" si="22"/>
        <v>2</v>
      </c>
      <c r="AV163" s="62"/>
      <c r="AW163" s="62"/>
      <c r="AX163" s="62">
        <v>5</v>
      </c>
      <c r="AY163" s="62">
        <v>5</v>
      </c>
      <c r="AZ163" s="62">
        <v>5</v>
      </c>
      <c r="BA163" s="72">
        <f t="shared" si="23"/>
        <v>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2</v>
      </c>
      <c r="M164" s="62">
        <v>3</v>
      </c>
      <c r="N164" s="62">
        <v>3</v>
      </c>
      <c r="O164" s="62">
        <v>4</v>
      </c>
      <c r="P164" s="62">
        <v>2</v>
      </c>
      <c r="Q164" s="72">
        <f t="shared" si="17"/>
        <v>2.8</v>
      </c>
      <c r="R164" s="62">
        <v>2</v>
      </c>
      <c r="S164" s="62">
        <v>3</v>
      </c>
      <c r="T164" s="7"/>
      <c r="U164" s="62">
        <v>4</v>
      </c>
      <c r="V164" s="7"/>
      <c r="W164" s="72">
        <f t="shared" si="18"/>
        <v>3</v>
      </c>
      <c r="X164" s="62">
        <v>4</v>
      </c>
      <c r="Y164" s="62">
        <v>5</v>
      </c>
      <c r="Z164" s="7"/>
      <c r="AA164" s="7"/>
      <c r="AB164" s="7"/>
      <c r="AC164" s="72">
        <f t="shared" si="19"/>
        <v>4.5</v>
      </c>
      <c r="AD164" s="62">
        <v>5</v>
      </c>
      <c r="AE164" s="7"/>
      <c r="AF164" s="62">
        <v>5</v>
      </c>
      <c r="AG164" s="7"/>
      <c r="AH164" s="7"/>
      <c r="AI164" s="72">
        <f t="shared" si="20"/>
        <v>5</v>
      </c>
      <c r="AJ164" s="7"/>
      <c r="AK164" s="7"/>
      <c r="AL164" s="7"/>
      <c r="AM164" s="7"/>
      <c r="AN164" s="7"/>
      <c r="AO164" s="72" t="str">
        <f t="shared" si="21"/>
        <v>A</v>
      </c>
      <c r="AP164" s="62">
        <v>5</v>
      </c>
      <c r="AQ164" s="62">
        <v>3</v>
      </c>
      <c r="AR164" s="62">
        <v>5</v>
      </c>
      <c r="AS164" s="7"/>
      <c r="AT164" s="7"/>
      <c r="AU164" s="72">
        <f t="shared" si="22"/>
        <v>4.333333333333333</v>
      </c>
      <c r="AV164" s="7"/>
      <c r="AW164" s="7"/>
      <c r="AX164" s="62">
        <v>5</v>
      </c>
      <c r="AY164" s="62">
        <v>5</v>
      </c>
      <c r="AZ164" s="62">
        <v>5</v>
      </c>
      <c r="BA164" s="72">
        <f t="shared" si="23"/>
        <v>5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3</v>
      </c>
      <c r="M165" s="62">
        <v>2</v>
      </c>
      <c r="N165" s="62">
        <v>2</v>
      </c>
      <c r="O165" s="62">
        <v>3</v>
      </c>
      <c r="P165" s="62">
        <v>2</v>
      </c>
      <c r="Q165" s="72">
        <f t="shared" si="17"/>
        <v>2.4</v>
      </c>
      <c r="R165" s="62">
        <v>1</v>
      </c>
      <c r="S165" s="62">
        <v>1</v>
      </c>
      <c r="T165" s="62"/>
      <c r="U165" s="62">
        <v>1</v>
      </c>
      <c r="V165" s="62"/>
      <c r="W165" s="72">
        <f t="shared" si="18"/>
        <v>1</v>
      </c>
      <c r="X165" s="62">
        <v>1</v>
      </c>
      <c r="Y165" s="62">
        <v>1</v>
      </c>
      <c r="Z165" s="62"/>
      <c r="AA165" s="62"/>
      <c r="AB165" s="62"/>
      <c r="AC165" s="72">
        <f t="shared" si="19"/>
        <v>1</v>
      </c>
      <c r="AD165" s="62">
        <v>1</v>
      </c>
      <c r="AE165" s="62"/>
      <c r="AF165" s="62">
        <v>1</v>
      </c>
      <c r="AG165" s="62"/>
      <c r="AH165" s="62"/>
      <c r="AI165" s="72">
        <f t="shared" si="20"/>
        <v>1</v>
      </c>
      <c r="AJ165" s="62"/>
      <c r="AK165" s="62"/>
      <c r="AL165" s="62"/>
      <c r="AM165" s="62"/>
      <c r="AN165" s="62"/>
      <c r="AO165" s="72" t="str">
        <f t="shared" si="21"/>
        <v>A</v>
      </c>
      <c r="AP165" s="62">
        <v>1</v>
      </c>
      <c r="AQ165" s="62">
        <v>1</v>
      </c>
      <c r="AR165" s="62">
        <v>1</v>
      </c>
      <c r="AS165" s="62"/>
      <c r="AT165" s="62"/>
      <c r="AU165" s="72">
        <f t="shared" si="22"/>
        <v>1</v>
      </c>
      <c r="AV165" s="62"/>
      <c r="AW165" s="62"/>
      <c r="AX165" s="62">
        <v>1</v>
      </c>
      <c r="AY165" s="62">
        <v>1</v>
      </c>
      <c r="AZ165" s="62">
        <v>1</v>
      </c>
      <c r="BA165" s="72">
        <f t="shared" si="23"/>
        <v>1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2</v>
      </c>
      <c r="M166" s="62">
        <v>3</v>
      </c>
      <c r="N166" s="62">
        <v>3</v>
      </c>
      <c r="O166" s="62">
        <v>3</v>
      </c>
      <c r="P166" s="62">
        <v>3</v>
      </c>
      <c r="Q166" s="72">
        <f t="shared" si="17"/>
        <v>2.8</v>
      </c>
      <c r="R166" s="62">
        <v>3</v>
      </c>
      <c r="S166" s="62">
        <v>3</v>
      </c>
      <c r="T166" s="7"/>
      <c r="U166" s="62">
        <v>4</v>
      </c>
      <c r="V166" s="7"/>
      <c r="W166" s="72">
        <f t="shared" si="18"/>
        <v>3.3333333333333335</v>
      </c>
      <c r="X166" s="62">
        <v>3</v>
      </c>
      <c r="Y166" s="62">
        <v>1</v>
      </c>
      <c r="Z166" s="7"/>
      <c r="AA166" s="7"/>
      <c r="AB166" s="7"/>
      <c r="AC166" s="72">
        <f t="shared" si="19"/>
        <v>2</v>
      </c>
      <c r="AD166" s="62">
        <v>2</v>
      </c>
      <c r="AE166" s="7"/>
      <c r="AF166" s="62">
        <v>2</v>
      </c>
      <c r="AG166" s="7"/>
      <c r="AH166" s="7"/>
      <c r="AI166" s="72">
        <f t="shared" si="20"/>
        <v>2</v>
      </c>
      <c r="AJ166" s="7"/>
      <c r="AK166" s="7"/>
      <c r="AL166" s="7"/>
      <c r="AM166" s="7"/>
      <c r="AN166" s="7"/>
      <c r="AO166" s="72" t="str">
        <f t="shared" si="21"/>
        <v>A</v>
      </c>
      <c r="AP166" s="62">
        <v>3</v>
      </c>
      <c r="AQ166" s="62">
        <v>2</v>
      </c>
      <c r="AR166" s="62">
        <v>2</v>
      </c>
      <c r="AS166" s="7"/>
      <c r="AT166" s="7"/>
      <c r="AU166" s="72">
        <f t="shared" si="22"/>
        <v>2.3333333333333335</v>
      </c>
      <c r="AV166" s="7"/>
      <c r="AW166" s="7"/>
      <c r="AX166" s="62">
        <v>2</v>
      </c>
      <c r="AY166" s="62">
        <v>2</v>
      </c>
      <c r="AZ166" s="62">
        <v>2</v>
      </c>
      <c r="BA166" s="72">
        <f t="shared" si="23"/>
        <v>2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2</v>
      </c>
      <c r="M167" s="62">
        <v>1</v>
      </c>
      <c r="N167" s="62">
        <v>1</v>
      </c>
      <c r="O167" s="62">
        <v>3</v>
      </c>
      <c r="P167" s="62">
        <v>1</v>
      </c>
      <c r="Q167" s="72">
        <f t="shared" si="17"/>
        <v>1.6</v>
      </c>
      <c r="R167" s="62">
        <v>2</v>
      </c>
      <c r="S167" s="62">
        <v>1</v>
      </c>
      <c r="T167" s="62"/>
      <c r="U167" s="62">
        <v>1</v>
      </c>
      <c r="V167" s="62"/>
      <c r="W167" s="72">
        <f t="shared" si="18"/>
        <v>1.3333333333333333</v>
      </c>
      <c r="X167" s="62">
        <v>1</v>
      </c>
      <c r="Y167" s="62">
        <v>1</v>
      </c>
      <c r="Z167" s="62"/>
      <c r="AA167" s="62"/>
      <c r="AB167" s="62"/>
      <c r="AC167" s="72">
        <f t="shared" si="19"/>
        <v>1</v>
      </c>
      <c r="AD167" s="62">
        <v>1</v>
      </c>
      <c r="AE167" s="62"/>
      <c r="AF167" s="62">
        <v>0</v>
      </c>
      <c r="AG167" s="62"/>
      <c r="AH167" s="62"/>
      <c r="AI167" s="72">
        <f t="shared" si="20"/>
        <v>0.5</v>
      </c>
      <c r="AJ167" s="62"/>
      <c r="AK167" s="62"/>
      <c r="AL167" s="62"/>
      <c r="AM167" s="62"/>
      <c r="AN167" s="62"/>
      <c r="AO167" s="72" t="str">
        <f t="shared" si="21"/>
        <v>A</v>
      </c>
      <c r="AP167" s="62">
        <v>1</v>
      </c>
      <c r="AQ167" s="62">
        <v>1</v>
      </c>
      <c r="AR167" s="62">
        <v>1</v>
      </c>
      <c r="AS167" s="62"/>
      <c r="AT167" s="62"/>
      <c r="AU167" s="72">
        <f t="shared" si="22"/>
        <v>1</v>
      </c>
      <c r="AV167" s="62"/>
      <c r="AW167" s="62"/>
      <c r="AX167" s="62">
        <v>1</v>
      </c>
      <c r="AY167" s="62">
        <v>1</v>
      </c>
      <c r="AZ167" s="62">
        <v>1</v>
      </c>
      <c r="BA167" s="72">
        <f t="shared" si="23"/>
        <v>1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0</v>
      </c>
      <c r="M168" s="62">
        <v>0</v>
      </c>
      <c r="N168" s="62">
        <v>0</v>
      </c>
      <c r="O168" s="62">
        <v>0</v>
      </c>
      <c r="P168" s="62">
        <v>0</v>
      </c>
      <c r="Q168" s="72">
        <f t="shared" si="17"/>
        <v>0</v>
      </c>
      <c r="R168" s="62">
        <v>0</v>
      </c>
      <c r="S168" s="62">
        <v>0</v>
      </c>
      <c r="T168" s="7"/>
      <c r="U168" s="62">
        <v>0</v>
      </c>
      <c r="V168" s="7"/>
      <c r="W168" s="72">
        <f t="shared" si="18"/>
        <v>0</v>
      </c>
      <c r="X168" s="62">
        <v>0</v>
      </c>
      <c r="Y168" s="62">
        <v>0</v>
      </c>
      <c r="Z168" s="7"/>
      <c r="AA168" s="7"/>
      <c r="AB168" s="7"/>
      <c r="AC168" s="72">
        <f t="shared" si="19"/>
        <v>0</v>
      </c>
      <c r="AD168" s="62">
        <v>0</v>
      </c>
      <c r="AE168" s="7"/>
      <c r="AF168" s="62">
        <v>0</v>
      </c>
      <c r="AG168" s="7"/>
      <c r="AH168" s="7"/>
      <c r="AI168" s="72">
        <f t="shared" si="20"/>
        <v>0</v>
      </c>
      <c r="AJ168" s="7"/>
      <c r="AK168" s="7"/>
      <c r="AL168" s="7"/>
      <c r="AM168" s="7"/>
      <c r="AN168" s="7"/>
      <c r="AO168" s="72" t="str">
        <f t="shared" si="21"/>
        <v>A</v>
      </c>
      <c r="AP168" s="62">
        <v>0</v>
      </c>
      <c r="AQ168" s="62">
        <v>0</v>
      </c>
      <c r="AR168" s="62">
        <v>0</v>
      </c>
      <c r="AS168" s="7"/>
      <c r="AT168" s="7"/>
      <c r="AU168" s="72">
        <f t="shared" si="22"/>
        <v>0</v>
      </c>
      <c r="AV168" s="7"/>
      <c r="AW168" s="7"/>
      <c r="AX168" s="62">
        <v>0</v>
      </c>
      <c r="AY168" s="62">
        <v>0</v>
      </c>
      <c r="AZ168" s="62">
        <v>0</v>
      </c>
      <c r="BA168" s="72">
        <f t="shared" si="23"/>
        <v>0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3</v>
      </c>
      <c r="M169" s="62">
        <v>2</v>
      </c>
      <c r="N169" s="62">
        <v>3</v>
      </c>
      <c r="O169" s="62">
        <v>3</v>
      </c>
      <c r="P169" s="62">
        <v>2</v>
      </c>
      <c r="Q169" s="72">
        <f t="shared" si="17"/>
        <v>2.6</v>
      </c>
      <c r="R169" s="62">
        <v>3</v>
      </c>
      <c r="S169" s="62">
        <v>3</v>
      </c>
      <c r="T169" s="62"/>
      <c r="U169" s="62">
        <v>3</v>
      </c>
      <c r="V169" s="62"/>
      <c r="W169" s="72">
        <f t="shared" si="18"/>
        <v>3</v>
      </c>
      <c r="X169" s="62">
        <v>1</v>
      </c>
      <c r="Y169" s="62">
        <v>2</v>
      </c>
      <c r="Z169" s="62"/>
      <c r="AA169" s="62"/>
      <c r="AB169" s="62"/>
      <c r="AC169" s="72">
        <f t="shared" si="19"/>
        <v>1.5</v>
      </c>
      <c r="AD169" s="62">
        <v>1</v>
      </c>
      <c r="AE169" s="62"/>
      <c r="AF169" s="62">
        <v>1</v>
      </c>
      <c r="AG169" s="62"/>
      <c r="AH169" s="62"/>
      <c r="AI169" s="72">
        <f t="shared" si="20"/>
        <v>1</v>
      </c>
      <c r="AJ169" s="62"/>
      <c r="AK169" s="62"/>
      <c r="AL169" s="62"/>
      <c r="AM169" s="62"/>
      <c r="AN169" s="62"/>
      <c r="AO169" s="72" t="str">
        <f t="shared" si="21"/>
        <v>A</v>
      </c>
      <c r="AP169" s="62">
        <v>3</v>
      </c>
      <c r="AQ169" s="62">
        <v>2</v>
      </c>
      <c r="AR169" s="62">
        <v>2</v>
      </c>
      <c r="AS169" s="62"/>
      <c r="AT169" s="62"/>
      <c r="AU169" s="72">
        <f t="shared" si="22"/>
        <v>2.3333333333333335</v>
      </c>
      <c r="AV169" s="62"/>
      <c r="AW169" s="62"/>
      <c r="AX169" s="62">
        <v>1</v>
      </c>
      <c r="AY169" s="62">
        <v>1</v>
      </c>
      <c r="AZ169" s="62">
        <v>1</v>
      </c>
      <c r="BA169" s="72">
        <f t="shared" si="23"/>
        <v>1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1</v>
      </c>
      <c r="M170" s="62">
        <v>1</v>
      </c>
      <c r="N170" s="62">
        <v>1</v>
      </c>
      <c r="O170" s="62">
        <v>1</v>
      </c>
      <c r="P170" s="62">
        <v>1</v>
      </c>
      <c r="Q170" s="72">
        <f t="shared" si="17"/>
        <v>1</v>
      </c>
      <c r="R170" s="62">
        <v>1</v>
      </c>
      <c r="S170" s="62">
        <v>1</v>
      </c>
      <c r="T170" s="7"/>
      <c r="U170" s="62">
        <v>1</v>
      </c>
      <c r="V170" s="7"/>
      <c r="W170" s="72">
        <f t="shared" si="18"/>
        <v>1</v>
      </c>
      <c r="X170" s="62">
        <v>1</v>
      </c>
      <c r="Y170" s="62">
        <v>1</v>
      </c>
      <c r="Z170" s="7"/>
      <c r="AA170" s="7"/>
      <c r="AB170" s="7"/>
      <c r="AC170" s="72">
        <f t="shared" si="19"/>
        <v>1</v>
      </c>
      <c r="AD170" s="62">
        <v>1</v>
      </c>
      <c r="AE170" s="7"/>
      <c r="AF170" s="62">
        <v>1</v>
      </c>
      <c r="AG170" s="7"/>
      <c r="AH170" s="7"/>
      <c r="AI170" s="72">
        <f t="shared" si="20"/>
        <v>1</v>
      </c>
      <c r="AJ170" s="7"/>
      <c r="AK170" s="7"/>
      <c r="AL170" s="7"/>
      <c r="AM170" s="7"/>
      <c r="AN170" s="7"/>
      <c r="AO170" s="72" t="str">
        <f t="shared" si="21"/>
        <v>A</v>
      </c>
      <c r="AP170" s="62">
        <v>1</v>
      </c>
      <c r="AQ170" s="62">
        <v>1</v>
      </c>
      <c r="AR170" s="62">
        <v>1</v>
      </c>
      <c r="AS170" s="7"/>
      <c r="AT170" s="7"/>
      <c r="AU170" s="72">
        <f t="shared" si="22"/>
        <v>1</v>
      </c>
      <c r="AV170" s="7"/>
      <c r="AW170" s="7"/>
      <c r="AX170" s="62">
        <v>1</v>
      </c>
      <c r="AY170" s="62">
        <v>1</v>
      </c>
      <c r="AZ170" s="62">
        <v>1</v>
      </c>
      <c r="BA170" s="72">
        <f t="shared" si="23"/>
        <v>1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3</v>
      </c>
      <c r="M171" s="62">
        <v>2</v>
      </c>
      <c r="N171" s="62">
        <v>2</v>
      </c>
      <c r="O171" s="62">
        <v>3</v>
      </c>
      <c r="P171" s="62">
        <v>2</v>
      </c>
      <c r="Q171" s="72">
        <f t="shared" si="17"/>
        <v>2.4</v>
      </c>
      <c r="R171" s="62">
        <v>2</v>
      </c>
      <c r="S171" s="62">
        <v>3</v>
      </c>
      <c r="T171" s="62"/>
      <c r="U171" s="62">
        <v>2</v>
      </c>
      <c r="V171" s="62"/>
      <c r="W171" s="72">
        <f t="shared" si="18"/>
        <v>2.3333333333333335</v>
      </c>
      <c r="X171" s="62">
        <v>1</v>
      </c>
      <c r="Y171" s="62">
        <v>1</v>
      </c>
      <c r="Z171" s="62"/>
      <c r="AA171" s="62"/>
      <c r="AB171" s="62"/>
      <c r="AC171" s="72">
        <f t="shared" si="19"/>
        <v>1</v>
      </c>
      <c r="AD171" s="62">
        <v>1</v>
      </c>
      <c r="AE171" s="62"/>
      <c r="AF171" s="62">
        <v>1</v>
      </c>
      <c r="AG171" s="62"/>
      <c r="AH171" s="62"/>
      <c r="AI171" s="72">
        <f t="shared" si="20"/>
        <v>1</v>
      </c>
      <c r="AJ171" s="62"/>
      <c r="AK171" s="62"/>
      <c r="AL171" s="62"/>
      <c r="AM171" s="62"/>
      <c r="AN171" s="62"/>
      <c r="AO171" s="72" t="str">
        <f t="shared" si="21"/>
        <v>A</v>
      </c>
      <c r="AP171" s="62">
        <v>1</v>
      </c>
      <c r="AQ171" s="62">
        <v>1</v>
      </c>
      <c r="AR171" s="62">
        <v>1</v>
      </c>
      <c r="AS171" s="62"/>
      <c r="AT171" s="62"/>
      <c r="AU171" s="72">
        <f t="shared" si="22"/>
        <v>1</v>
      </c>
      <c r="AV171" s="62"/>
      <c r="AW171" s="62"/>
      <c r="AX171" s="62">
        <v>1</v>
      </c>
      <c r="AY171" s="62">
        <v>2</v>
      </c>
      <c r="AZ171" s="62">
        <v>3</v>
      </c>
      <c r="BA171" s="72">
        <f t="shared" si="23"/>
        <v>2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3</v>
      </c>
      <c r="M172" s="62">
        <v>3</v>
      </c>
      <c r="N172" s="62">
        <v>4</v>
      </c>
      <c r="O172" s="62">
        <v>3</v>
      </c>
      <c r="P172" s="62">
        <v>2</v>
      </c>
      <c r="Q172" s="72">
        <f t="shared" si="17"/>
        <v>3</v>
      </c>
      <c r="R172" s="62">
        <v>2</v>
      </c>
      <c r="S172" s="62">
        <v>2</v>
      </c>
      <c r="T172" s="7"/>
      <c r="U172" s="62">
        <v>2</v>
      </c>
      <c r="V172" s="7"/>
      <c r="W172" s="72">
        <f t="shared" si="18"/>
        <v>2</v>
      </c>
      <c r="X172" s="62">
        <v>2</v>
      </c>
      <c r="Y172" s="62">
        <v>2</v>
      </c>
      <c r="Z172" s="7"/>
      <c r="AA172" s="7"/>
      <c r="AB172" s="7"/>
      <c r="AC172" s="72">
        <f t="shared" si="19"/>
        <v>2</v>
      </c>
      <c r="AD172" s="62">
        <v>1</v>
      </c>
      <c r="AE172" s="7"/>
      <c r="AF172" s="62">
        <v>1</v>
      </c>
      <c r="AG172" s="7"/>
      <c r="AH172" s="7"/>
      <c r="AI172" s="72">
        <f t="shared" si="20"/>
        <v>1</v>
      </c>
      <c r="AJ172" s="7"/>
      <c r="AK172" s="7"/>
      <c r="AL172" s="7"/>
      <c r="AM172" s="7"/>
      <c r="AN172" s="7"/>
      <c r="AO172" s="72" t="str">
        <f t="shared" si="21"/>
        <v>A</v>
      </c>
      <c r="AP172" s="62">
        <v>1</v>
      </c>
      <c r="AQ172" s="62">
        <v>2</v>
      </c>
      <c r="AR172" s="62">
        <v>3</v>
      </c>
      <c r="AS172" s="7"/>
      <c r="AT172" s="7"/>
      <c r="AU172" s="72">
        <f t="shared" si="22"/>
        <v>2</v>
      </c>
      <c r="AV172" s="7"/>
      <c r="AW172" s="7"/>
      <c r="AX172" s="62">
        <v>1</v>
      </c>
      <c r="AY172" s="62">
        <v>1</v>
      </c>
      <c r="AZ172" s="62">
        <v>1</v>
      </c>
      <c r="BA172" s="72">
        <f t="shared" si="23"/>
        <v>1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72">
        <f t="shared" si="17"/>
        <v>0</v>
      </c>
      <c r="R173" s="62">
        <v>0</v>
      </c>
      <c r="S173" s="62">
        <v>0</v>
      </c>
      <c r="T173" s="62"/>
      <c r="U173" s="62">
        <v>0</v>
      </c>
      <c r="V173" s="62"/>
      <c r="W173" s="72">
        <f t="shared" si="18"/>
        <v>0</v>
      </c>
      <c r="X173" s="62">
        <v>0</v>
      </c>
      <c r="Y173" s="62">
        <v>0</v>
      </c>
      <c r="Z173" s="62"/>
      <c r="AA173" s="62"/>
      <c r="AB173" s="62"/>
      <c r="AC173" s="72">
        <f t="shared" si="19"/>
        <v>0</v>
      </c>
      <c r="AD173" s="62">
        <v>0</v>
      </c>
      <c r="AE173" s="62"/>
      <c r="AF173" s="62">
        <v>0</v>
      </c>
      <c r="AG173" s="62"/>
      <c r="AH173" s="62"/>
      <c r="AI173" s="72">
        <f t="shared" si="20"/>
        <v>0</v>
      </c>
      <c r="AJ173" s="62"/>
      <c r="AK173" s="62"/>
      <c r="AL173" s="62"/>
      <c r="AM173" s="62"/>
      <c r="AN173" s="62"/>
      <c r="AO173" s="72" t="str">
        <f t="shared" si="21"/>
        <v>A</v>
      </c>
      <c r="AP173" s="62">
        <v>0</v>
      </c>
      <c r="AQ173" s="62">
        <v>0</v>
      </c>
      <c r="AR173" s="62">
        <v>0</v>
      </c>
      <c r="AS173" s="62"/>
      <c r="AT173" s="62"/>
      <c r="AU173" s="72">
        <f t="shared" si="22"/>
        <v>0</v>
      </c>
      <c r="AV173" s="62"/>
      <c r="AW173" s="62"/>
      <c r="AX173" s="62">
        <v>0</v>
      </c>
      <c r="AY173" s="62">
        <v>0</v>
      </c>
      <c r="AZ173" s="62">
        <v>0</v>
      </c>
      <c r="BA173" s="72">
        <f t="shared" si="23"/>
        <v>0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3</v>
      </c>
      <c r="M174" s="62">
        <v>3</v>
      </c>
      <c r="N174" s="62">
        <v>3</v>
      </c>
      <c r="O174" s="62">
        <v>3</v>
      </c>
      <c r="P174" s="62">
        <v>3</v>
      </c>
      <c r="Q174" s="72">
        <f t="shared" si="17"/>
        <v>3</v>
      </c>
      <c r="R174" s="62">
        <v>2</v>
      </c>
      <c r="S174" s="62">
        <v>2</v>
      </c>
      <c r="T174" s="7"/>
      <c r="U174" s="62">
        <v>2</v>
      </c>
      <c r="V174" s="7"/>
      <c r="W174" s="72">
        <f t="shared" si="18"/>
        <v>2</v>
      </c>
      <c r="X174" s="62">
        <v>1</v>
      </c>
      <c r="Y174" s="62">
        <v>1</v>
      </c>
      <c r="Z174" s="7"/>
      <c r="AA174" s="7"/>
      <c r="AB174" s="7"/>
      <c r="AC174" s="72">
        <f t="shared" si="19"/>
        <v>1</v>
      </c>
      <c r="AD174" s="62">
        <v>1</v>
      </c>
      <c r="AE174" s="7"/>
      <c r="AF174" s="62">
        <v>1</v>
      </c>
      <c r="AG174" s="7"/>
      <c r="AH174" s="7"/>
      <c r="AI174" s="72">
        <f t="shared" si="20"/>
        <v>1</v>
      </c>
      <c r="AJ174" s="7"/>
      <c r="AK174" s="7"/>
      <c r="AL174" s="7"/>
      <c r="AM174" s="7"/>
      <c r="AN174" s="7"/>
      <c r="AO174" s="72" t="str">
        <f t="shared" si="21"/>
        <v>A</v>
      </c>
      <c r="AP174" s="62">
        <v>1</v>
      </c>
      <c r="AQ174" s="62">
        <v>1</v>
      </c>
      <c r="AR174" s="62">
        <v>1</v>
      </c>
      <c r="AS174" s="7"/>
      <c r="AT174" s="7"/>
      <c r="AU174" s="72">
        <f t="shared" si="22"/>
        <v>1</v>
      </c>
      <c r="AV174" s="7"/>
      <c r="AW174" s="7"/>
      <c r="AX174" s="62">
        <v>1</v>
      </c>
      <c r="AY174" s="62">
        <v>1</v>
      </c>
      <c r="AZ174" s="62">
        <v>1</v>
      </c>
      <c r="BA174" s="72">
        <f t="shared" si="23"/>
        <v>1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2</v>
      </c>
      <c r="M175" s="62">
        <v>2</v>
      </c>
      <c r="N175" s="62">
        <v>3</v>
      </c>
      <c r="O175" s="62">
        <v>4</v>
      </c>
      <c r="P175" s="62">
        <v>2</v>
      </c>
      <c r="Q175" s="72">
        <f t="shared" si="17"/>
        <v>2.6</v>
      </c>
      <c r="R175" s="62">
        <v>4</v>
      </c>
      <c r="S175" s="62">
        <v>3</v>
      </c>
      <c r="T175" s="62"/>
      <c r="U175" s="62">
        <v>4</v>
      </c>
      <c r="V175" s="62"/>
      <c r="W175" s="72">
        <f t="shared" si="18"/>
        <v>3.6666666666666665</v>
      </c>
      <c r="X175" s="62">
        <v>4</v>
      </c>
      <c r="Y175" s="62">
        <v>4</v>
      </c>
      <c r="Z175" s="62"/>
      <c r="AA175" s="62"/>
      <c r="AB175" s="62"/>
      <c r="AC175" s="72">
        <f t="shared" si="19"/>
        <v>4</v>
      </c>
      <c r="AD175" s="62">
        <v>5</v>
      </c>
      <c r="AE175" s="62"/>
      <c r="AF175" s="62">
        <v>5</v>
      </c>
      <c r="AG175" s="62"/>
      <c r="AH175" s="62"/>
      <c r="AI175" s="72">
        <f t="shared" si="20"/>
        <v>5</v>
      </c>
      <c r="AJ175" s="62"/>
      <c r="AK175" s="62"/>
      <c r="AL175" s="62"/>
      <c r="AM175" s="62"/>
      <c r="AN175" s="62"/>
      <c r="AO175" s="72" t="str">
        <f t="shared" si="21"/>
        <v>A</v>
      </c>
      <c r="AP175" s="62">
        <v>5</v>
      </c>
      <c r="AQ175" s="62">
        <v>5</v>
      </c>
      <c r="AR175" s="62">
        <v>5</v>
      </c>
      <c r="AS175" s="62"/>
      <c r="AT175" s="62"/>
      <c r="AU175" s="72">
        <f t="shared" si="22"/>
        <v>5</v>
      </c>
      <c r="AV175" s="62"/>
      <c r="AW175" s="62"/>
      <c r="AX175" s="62">
        <v>5</v>
      </c>
      <c r="AY175" s="62">
        <v>5</v>
      </c>
      <c r="AZ175" s="62">
        <v>5</v>
      </c>
      <c r="BA175" s="72">
        <f t="shared" si="23"/>
        <v>5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3</v>
      </c>
      <c r="M176" s="62">
        <v>2</v>
      </c>
      <c r="N176" s="62">
        <v>2</v>
      </c>
      <c r="O176" s="62">
        <v>3</v>
      </c>
      <c r="P176" s="62">
        <v>2</v>
      </c>
      <c r="Q176" s="72">
        <f t="shared" si="17"/>
        <v>2.4</v>
      </c>
      <c r="R176" s="62">
        <v>1</v>
      </c>
      <c r="S176" s="62">
        <v>1</v>
      </c>
      <c r="T176" s="7"/>
      <c r="U176" s="62">
        <v>1</v>
      </c>
      <c r="V176" s="7"/>
      <c r="W176" s="72">
        <f t="shared" si="18"/>
        <v>1</v>
      </c>
      <c r="X176" s="62">
        <v>1</v>
      </c>
      <c r="Y176" s="62">
        <v>1</v>
      </c>
      <c r="Z176" s="7"/>
      <c r="AA176" s="7"/>
      <c r="AB176" s="7"/>
      <c r="AC176" s="72">
        <f t="shared" si="19"/>
        <v>1</v>
      </c>
      <c r="AD176" s="62">
        <v>1</v>
      </c>
      <c r="AE176" s="7"/>
      <c r="AF176" s="62">
        <v>1</v>
      </c>
      <c r="AG176" s="7"/>
      <c r="AH176" s="7"/>
      <c r="AI176" s="72">
        <f t="shared" si="20"/>
        <v>1</v>
      </c>
      <c r="AJ176" s="7"/>
      <c r="AK176" s="7"/>
      <c r="AL176" s="7"/>
      <c r="AM176" s="7"/>
      <c r="AN176" s="7"/>
      <c r="AO176" s="72" t="str">
        <f t="shared" si="21"/>
        <v>A</v>
      </c>
      <c r="AP176" s="62">
        <v>1</v>
      </c>
      <c r="AQ176" s="62">
        <v>1</v>
      </c>
      <c r="AR176" s="62">
        <v>1</v>
      </c>
      <c r="AS176" s="7"/>
      <c r="AT176" s="7"/>
      <c r="AU176" s="72">
        <f t="shared" si="22"/>
        <v>1</v>
      </c>
      <c r="AV176" s="7"/>
      <c r="AW176" s="7"/>
      <c r="AX176" s="62">
        <v>1</v>
      </c>
      <c r="AY176" s="62">
        <v>1</v>
      </c>
      <c r="AZ176" s="62">
        <v>1</v>
      </c>
      <c r="BA176" s="72">
        <f t="shared" si="23"/>
        <v>1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1</v>
      </c>
      <c r="M177" s="62">
        <v>1</v>
      </c>
      <c r="N177" s="62">
        <v>1</v>
      </c>
      <c r="O177" s="62">
        <v>3</v>
      </c>
      <c r="P177" s="62">
        <v>1</v>
      </c>
      <c r="Q177" s="72">
        <f t="shared" si="17"/>
        <v>1.4</v>
      </c>
      <c r="R177" s="62">
        <v>3</v>
      </c>
      <c r="S177" s="62">
        <v>2</v>
      </c>
      <c r="T177" s="62"/>
      <c r="U177" s="62">
        <v>2</v>
      </c>
      <c r="V177" s="62"/>
      <c r="W177" s="72">
        <f t="shared" si="18"/>
        <v>2.3333333333333335</v>
      </c>
      <c r="X177" s="62">
        <v>2</v>
      </c>
      <c r="Y177" s="62">
        <v>1</v>
      </c>
      <c r="Z177" s="62"/>
      <c r="AA177" s="62"/>
      <c r="AB177" s="62"/>
      <c r="AC177" s="72">
        <f t="shared" si="19"/>
        <v>1.5</v>
      </c>
      <c r="AD177" s="62">
        <v>1</v>
      </c>
      <c r="AE177" s="62"/>
      <c r="AF177" s="62">
        <v>0</v>
      </c>
      <c r="AG177" s="62"/>
      <c r="AH177" s="62"/>
      <c r="AI177" s="72">
        <f t="shared" si="20"/>
        <v>0.5</v>
      </c>
      <c r="AJ177" s="62"/>
      <c r="AK177" s="62"/>
      <c r="AL177" s="62"/>
      <c r="AM177" s="62"/>
      <c r="AN177" s="62"/>
      <c r="AO177" s="72" t="str">
        <f t="shared" si="21"/>
        <v>A</v>
      </c>
      <c r="AP177" s="62">
        <v>1</v>
      </c>
      <c r="AQ177" s="62">
        <v>3</v>
      </c>
      <c r="AR177" s="62">
        <v>3</v>
      </c>
      <c r="AS177" s="62"/>
      <c r="AT177" s="62"/>
      <c r="AU177" s="72">
        <f t="shared" si="22"/>
        <v>2.3333333333333335</v>
      </c>
      <c r="AV177" s="62"/>
      <c r="AW177" s="62"/>
      <c r="AX177" s="62">
        <v>2</v>
      </c>
      <c r="AY177" s="62">
        <v>1</v>
      </c>
      <c r="AZ177" s="62">
        <v>1</v>
      </c>
      <c r="BA177" s="72">
        <f t="shared" si="23"/>
        <v>1.3333333333333333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3</v>
      </c>
      <c r="M178" s="62">
        <v>3</v>
      </c>
      <c r="N178" s="62">
        <v>2</v>
      </c>
      <c r="O178" s="62">
        <v>3</v>
      </c>
      <c r="P178" s="62">
        <v>2</v>
      </c>
      <c r="Q178" s="72">
        <f t="shared" si="17"/>
        <v>2.6</v>
      </c>
      <c r="R178" s="62">
        <v>3</v>
      </c>
      <c r="S178" s="62">
        <v>3</v>
      </c>
      <c r="T178" s="7"/>
      <c r="U178" s="62">
        <v>3</v>
      </c>
      <c r="V178" s="7"/>
      <c r="W178" s="72">
        <f t="shared" si="18"/>
        <v>3</v>
      </c>
      <c r="X178" s="62">
        <v>2</v>
      </c>
      <c r="Y178" s="62">
        <v>3</v>
      </c>
      <c r="Z178" s="7"/>
      <c r="AA178" s="7"/>
      <c r="AB178" s="7"/>
      <c r="AC178" s="72">
        <f t="shared" si="19"/>
        <v>2.5</v>
      </c>
      <c r="AD178" s="62">
        <v>3</v>
      </c>
      <c r="AE178" s="7"/>
      <c r="AF178" s="62">
        <v>3</v>
      </c>
      <c r="AG178" s="7"/>
      <c r="AH178" s="7"/>
      <c r="AI178" s="72">
        <f t="shared" si="20"/>
        <v>3</v>
      </c>
      <c r="AJ178" s="7"/>
      <c r="AK178" s="7"/>
      <c r="AL178" s="7"/>
      <c r="AM178" s="7"/>
      <c r="AN178" s="7"/>
      <c r="AO178" s="72" t="str">
        <f t="shared" si="21"/>
        <v>A</v>
      </c>
      <c r="AP178" s="62">
        <v>3</v>
      </c>
      <c r="AQ178" s="62">
        <v>3</v>
      </c>
      <c r="AR178" s="62">
        <v>3</v>
      </c>
      <c r="AS178" s="7"/>
      <c r="AT178" s="7"/>
      <c r="AU178" s="72">
        <f t="shared" si="22"/>
        <v>3</v>
      </c>
      <c r="AV178" s="7"/>
      <c r="AW178" s="7"/>
      <c r="AX178" s="62">
        <v>3</v>
      </c>
      <c r="AY178" s="62">
        <v>3</v>
      </c>
      <c r="AZ178" s="62">
        <v>3</v>
      </c>
      <c r="BA178" s="72">
        <f t="shared" si="23"/>
        <v>3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4</v>
      </c>
      <c r="M179" s="62">
        <v>4</v>
      </c>
      <c r="N179" s="62">
        <v>3</v>
      </c>
      <c r="O179" s="62">
        <v>3</v>
      </c>
      <c r="P179" s="62">
        <v>3</v>
      </c>
      <c r="Q179" s="72">
        <f t="shared" si="17"/>
        <v>3.4</v>
      </c>
      <c r="R179" s="62">
        <v>2</v>
      </c>
      <c r="S179" s="62">
        <v>2</v>
      </c>
      <c r="T179" s="62"/>
      <c r="U179" s="62">
        <v>2</v>
      </c>
      <c r="V179" s="62"/>
      <c r="W179" s="72">
        <f t="shared" si="18"/>
        <v>2</v>
      </c>
      <c r="X179" s="62">
        <v>2</v>
      </c>
      <c r="Y179" s="62">
        <v>1</v>
      </c>
      <c r="Z179" s="62"/>
      <c r="AA179" s="62"/>
      <c r="AB179" s="62"/>
      <c r="AC179" s="72">
        <f t="shared" si="19"/>
        <v>1.5</v>
      </c>
      <c r="AD179" s="62">
        <v>1</v>
      </c>
      <c r="AE179" s="62"/>
      <c r="AF179" s="62">
        <v>1</v>
      </c>
      <c r="AG179" s="62"/>
      <c r="AH179" s="62"/>
      <c r="AI179" s="72">
        <f t="shared" si="20"/>
        <v>1</v>
      </c>
      <c r="AJ179" s="62"/>
      <c r="AK179" s="62"/>
      <c r="AL179" s="62"/>
      <c r="AM179" s="62"/>
      <c r="AN179" s="62"/>
      <c r="AO179" s="72" t="str">
        <f t="shared" si="21"/>
        <v>A</v>
      </c>
      <c r="AP179" s="62">
        <v>4</v>
      </c>
      <c r="AQ179" s="62">
        <v>3</v>
      </c>
      <c r="AR179" s="62">
        <v>4</v>
      </c>
      <c r="AS179" s="62"/>
      <c r="AT179" s="62"/>
      <c r="AU179" s="72">
        <f t="shared" si="22"/>
        <v>3.6666666666666665</v>
      </c>
      <c r="AV179" s="62"/>
      <c r="AW179" s="62"/>
      <c r="AX179" s="62">
        <v>1</v>
      </c>
      <c r="AY179" s="62">
        <v>1</v>
      </c>
      <c r="AZ179" s="62">
        <v>1</v>
      </c>
      <c r="BA179" s="72">
        <f t="shared" si="23"/>
        <v>1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4</v>
      </c>
      <c r="M180" s="62">
        <v>4</v>
      </c>
      <c r="N180" s="62">
        <v>3</v>
      </c>
      <c r="O180" s="62">
        <v>3</v>
      </c>
      <c r="P180" s="62">
        <v>3</v>
      </c>
      <c r="Q180" s="72">
        <f t="shared" si="17"/>
        <v>3.4</v>
      </c>
      <c r="R180" s="62">
        <v>2</v>
      </c>
      <c r="S180" s="62">
        <v>2</v>
      </c>
      <c r="T180" s="7"/>
      <c r="U180" s="62">
        <v>2</v>
      </c>
      <c r="V180" s="7"/>
      <c r="W180" s="72">
        <f t="shared" si="18"/>
        <v>2</v>
      </c>
      <c r="X180" s="62">
        <v>2</v>
      </c>
      <c r="Y180" s="62">
        <v>1</v>
      </c>
      <c r="Z180" s="7"/>
      <c r="AA180" s="7"/>
      <c r="AB180" s="7"/>
      <c r="AC180" s="72">
        <f t="shared" si="19"/>
        <v>1.5</v>
      </c>
      <c r="AD180" s="62">
        <v>1</v>
      </c>
      <c r="AE180" s="7"/>
      <c r="AF180" s="62">
        <v>0</v>
      </c>
      <c r="AG180" s="7"/>
      <c r="AH180" s="7"/>
      <c r="AI180" s="72">
        <f t="shared" si="20"/>
        <v>0.5</v>
      </c>
      <c r="AJ180" s="7"/>
      <c r="AK180" s="7"/>
      <c r="AL180" s="7"/>
      <c r="AM180" s="7"/>
      <c r="AN180" s="7"/>
      <c r="AO180" s="72" t="str">
        <f t="shared" si="21"/>
        <v>A</v>
      </c>
      <c r="AP180" s="62">
        <v>1</v>
      </c>
      <c r="AQ180" s="62">
        <v>4</v>
      </c>
      <c r="AR180" s="62">
        <v>3</v>
      </c>
      <c r="AS180" s="7"/>
      <c r="AT180" s="7"/>
      <c r="AU180" s="72">
        <f t="shared" si="22"/>
        <v>2.6666666666666665</v>
      </c>
      <c r="AV180" s="7"/>
      <c r="AW180" s="7"/>
      <c r="AX180" s="62">
        <v>4</v>
      </c>
      <c r="AY180" s="62">
        <v>1</v>
      </c>
      <c r="AZ180" s="62">
        <v>1</v>
      </c>
      <c r="BA180" s="72">
        <f t="shared" si="23"/>
        <v>2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2</v>
      </c>
      <c r="M181" s="62">
        <v>1</v>
      </c>
      <c r="N181" s="62">
        <v>1</v>
      </c>
      <c r="O181" s="62">
        <v>3</v>
      </c>
      <c r="P181" s="62">
        <v>1</v>
      </c>
      <c r="Q181" s="72">
        <f t="shared" si="17"/>
        <v>1.6</v>
      </c>
      <c r="R181" s="62">
        <v>2</v>
      </c>
      <c r="S181" s="62">
        <v>1</v>
      </c>
      <c r="T181" s="62"/>
      <c r="U181" s="62">
        <v>1</v>
      </c>
      <c r="V181" s="62"/>
      <c r="W181" s="72">
        <f t="shared" si="18"/>
        <v>1.3333333333333333</v>
      </c>
      <c r="X181" s="62">
        <v>1</v>
      </c>
      <c r="Y181" s="62">
        <v>1</v>
      </c>
      <c r="Z181" s="62"/>
      <c r="AA181" s="62"/>
      <c r="AB181" s="62"/>
      <c r="AC181" s="72">
        <f t="shared" si="19"/>
        <v>1</v>
      </c>
      <c r="AD181" s="62">
        <v>1</v>
      </c>
      <c r="AE181" s="62"/>
      <c r="AF181" s="62">
        <v>1</v>
      </c>
      <c r="AG181" s="62"/>
      <c r="AH181" s="62"/>
      <c r="AI181" s="72">
        <f t="shared" si="20"/>
        <v>1</v>
      </c>
      <c r="AJ181" s="62"/>
      <c r="AK181" s="62"/>
      <c r="AL181" s="62"/>
      <c r="AM181" s="62"/>
      <c r="AN181" s="62"/>
      <c r="AO181" s="72" t="str">
        <f t="shared" si="21"/>
        <v>A</v>
      </c>
      <c r="AP181" s="62">
        <v>1</v>
      </c>
      <c r="AQ181" s="62">
        <v>1</v>
      </c>
      <c r="AR181" s="62">
        <v>1</v>
      </c>
      <c r="AS181" s="62"/>
      <c r="AT181" s="62"/>
      <c r="AU181" s="72">
        <f t="shared" si="22"/>
        <v>1</v>
      </c>
      <c r="AV181" s="62"/>
      <c r="AW181" s="62"/>
      <c r="AX181" s="62">
        <v>1</v>
      </c>
      <c r="AY181" s="62">
        <v>1</v>
      </c>
      <c r="AZ181" s="62">
        <v>1</v>
      </c>
      <c r="BA181" s="72">
        <f t="shared" si="23"/>
        <v>1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0</v>
      </c>
      <c r="M182" s="62">
        <v>0</v>
      </c>
      <c r="N182" s="62">
        <v>0</v>
      </c>
      <c r="O182" s="62">
        <v>0</v>
      </c>
      <c r="P182" s="62">
        <v>0</v>
      </c>
      <c r="Q182" s="72">
        <f t="shared" si="17"/>
        <v>0</v>
      </c>
      <c r="R182" s="62">
        <v>0</v>
      </c>
      <c r="S182" s="62">
        <v>0</v>
      </c>
      <c r="T182" s="7"/>
      <c r="U182" s="62">
        <v>0</v>
      </c>
      <c r="V182" s="7"/>
      <c r="W182" s="72">
        <f t="shared" si="18"/>
        <v>0</v>
      </c>
      <c r="X182" s="62">
        <v>0</v>
      </c>
      <c r="Y182" s="62">
        <v>0</v>
      </c>
      <c r="Z182" s="7"/>
      <c r="AA182" s="7"/>
      <c r="AB182" s="7"/>
      <c r="AC182" s="72">
        <f t="shared" si="19"/>
        <v>0</v>
      </c>
      <c r="AD182" s="62">
        <v>0</v>
      </c>
      <c r="AE182" s="7"/>
      <c r="AF182" s="62">
        <v>0</v>
      </c>
      <c r="AG182" s="7"/>
      <c r="AH182" s="7"/>
      <c r="AI182" s="72">
        <f t="shared" si="20"/>
        <v>0</v>
      </c>
      <c r="AJ182" s="7"/>
      <c r="AK182" s="7"/>
      <c r="AL182" s="7"/>
      <c r="AM182" s="7"/>
      <c r="AN182" s="7"/>
      <c r="AO182" s="72" t="str">
        <f t="shared" si="21"/>
        <v>A</v>
      </c>
      <c r="AP182" s="62">
        <v>0</v>
      </c>
      <c r="AQ182" s="62">
        <v>0</v>
      </c>
      <c r="AR182" s="62">
        <v>0</v>
      </c>
      <c r="AS182" s="7"/>
      <c r="AT182" s="7"/>
      <c r="AU182" s="72">
        <f t="shared" si="22"/>
        <v>0</v>
      </c>
      <c r="AV182" s="7"/>
      <c r="AW182" s="7"/>
      <c r="AX182" s="62">
        <v>0</v>
      </c>
      <c r="AY182" s="62">
        <v>0</v>
      </c>
      <c r="AZ182" s="62">
        <v>0</v>
      </c>
      <c r="BA182" s="72">
        <f t="shared" si="23"/>
        <v>0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3</v>
      </c>
      <c r="M183" s="62">
        <v>2</v>
      </c>
      <c r="N183" s="62">
        <v>3</v>
      </c>
      <c r="O183" s="62">
        <v>3</v>
      </c>
      <c r="P183" s="62">
        <v>2</v>
      </c>
      <c r="Q183" s="72">
        <f t="shared" si="17"/>
        <v>2.6</v>
      </c>
      <c r="R183" s="62">
        <v>3</v>
      </c>
      <c r="S183" s="62">
        <v>3</v>
      </c>
      <c r="T183" s="62"/>
      <c r="U183" s="62">
        <v>3</v>
      </c>
      <c r="V183" s="62"/>
      <c r="W183" s="72">
        <f t="shared" si="18"/>
        <v>3</v>
      </c>
      <c r="X183" s="62">
        <v>1</v>
      </c>
      <c r="Y183" s="62">
        <v>2</v>
      </c>
      <c r="Z183" s="62"/>
      <c r="AA183" s="62"/>
      <c r="AB183" s="62"/>
      <c r="AC183" s="72">
        <f t="shared" si="19"/>
        <v>1.5</v>
      </c>
      <c r="AD183" s="62">
        <v>1</v>
      </c>
      <c r="AE183" s="62"/>
      <c r="AF183" s="62">
        <v>1</v>
      </c>
      <c r="AG183" s="62"/>
      <c r="AH183" s="62"/>
      <c r="AI183" s="72">
        <f t="shared" si="20"/>
        <v>1</v>
      </c>
      <c r="AJ183" s="62"/>
      <c r="AK183" s="62"/>
      <c r="AL183" s="62"/>
      <c r="AM183" s="62"/>
      <c r="AN183" s="62"/>
      <c r="AO183" s="72" t="str">
        <f t="shared" si="21"/>
        <v>A</v>
      </c>
      <c r="AP183" s="62">
        <v>3</v>
      </c>
      <c r="AQ183" s="62">
        <v>2</v>
      </c>
      <c r="AR183" s="62">
        <v>2</v>
      </c>
      <c r="AS183" s="62"/>
      <c r="AT183" s="62"/>
      <c r="AU183" s="72">
        <f t="shared" si="22"/>
        <v>2.3333333333333335</v>
      </c>
      <c r="AV183" s="62"/>
      <c r="AW183" s="62"/>
      <c r="AX183" s="62">
        <v>1</v>
      </c>
      <c r="AY183" s="62">
        <v>1</v>
      </c>
      <c r="AZ183" s="62">
        <v>1</v>
      </c>
      <c r="BA183" s="72">
        <f t="shared" si="23"/>
        <v>1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>
        <v>4</v>
      </c>
      <c r="N184" s="62">
        <v>4</v>
      </c>
      <c r="O184" s="62">
        <v>3</v>
      </c>
      <c r="P184" s="62">
        <v>5</v>
      </c>
      <c r="Q184" s="72">
        <f t="shared" si="17"/>
        <v>4</v>
      </c>
      <c r="R184" s="62">
        <v>4</v>
      </c>
      <c r="S184" s="62">
        <v>4</v>
      </c>
      <c r="T184" s="7"/>
      <c r="U184" s="62">
        <v>4</v>
      </c>
      <c r="V184" s="7"/>
      <c r="W184" s="72">
        <f t="shared" si="18"/>
        <v>4</v>
      </c>
      <c r="X184" s="62">
        <v>3</v>
      </c>
      <c r="Y184" s="62">
        <v>2</v>
      </c>
      <c r="Z184" s="7"/>
      <c r="AA184" s="7"/>
      <c r="AB184" s="7"/>
      <c r="AC184" s="72">
        <f t="shared" si="19"/>
        <v>2.5</v>
      </c>
      <c r="AD184" s="62">
        <v>3</v>
      </c>
      <c r="AE184" s="7"/>
      <c r="AF184" s="62">
        <v>0</v>
      </c>
      <c r="AG184" s="7"/>
      <c r="AH184" s="7"/>
      <c r="AI184" s="72">
        <f t="shared" si="20"/>
        <v>1.5</v>
      </c>
      <c r="AJ184" s="7"/>
      <c r="AK184" s="7"/>
      <c r="AL184" s="7"/>
      <c r="AM184" s="7"/>
      <c r="AN184" s="7"/>
      <c r="AO184" s="72" t="str">
        <f t="shared" si="21"/>
        <v>A</v>
      </c>
      <c r="AP184" s="62">
        <v>1</v>
      </c>
      <c r="AQ184" s="62">
        <v>4</v>
      </c>
      <c r="AR184" s="62">
        <v>4</v>
      </c>
      <c r="AS184" s="7"/>
      <c r="AT184" s="7"/>
      <c r="AU184" s="72">
        <f t="shared" si="22"/>
        <v>3</v>
      </c>
      <c r="AV184" s="7"/>
      <c r="AW184" s="7"/>
      <c r="AX184" s="62">
        <v>4</v>
      </c>
      <c r="AY184" s="62">
        <v>1</v>
      </c>
      <c r="AZ184" s="62">
        <v>1</v>
      </c>
      <c r="BA184" s="72">
        <f t="shared" si="23"/>
        <v>2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1</v>
      </c>
      <c r="M185" s="62">
        <v>1</v>
      </c>
      <c r="N185" s="62">
        <v>1</v>
      </c>
      <c r="O185" s="62">
        <v>1</v>
      </c>
      <c r="P185" s="62">
        <v>1</v>
      </c>
      <c r="Q185" s="72">
        <f t="shared" si="17"/>
        <v>1</v>
      </c>
      <c r="R185" s="62">
        <v>1</v>
      </c>
      <c r="S185" s="62">
        <v>1</v>
      </c>
      <c r="T185" s="62"/>
      <c r="U185" s="62">
        <v>1</v>
      </c>
      <c r="V185" s="62"/>
      <c r="W185" s="72">
        <f t="shared" si="18"/>
        <v>1</v>
      </c>
      <c r="X185" s="62">
        <v>1</v>
      </c>
      <c r="Y185" s="62">
        <v>1</v>
      </c>
      <c r="Z185" s="62"/>
      <c r="AA185" s="62"/>
      <c r="AB185" s="62"/>
      <c r="AC185" s="72">
        <f t="shared" si="19"/>
        <v>1</v>
      </c>
      <c r="AD185" s="62">
        <v>1</v>
      </c>
      <c r="AE185" s="62"/>
      <c r="AF185" s="62">
        <v>1</v>
      </c>
      <c r="AG185" s="62"/>
      <c r="AH185" s="62"/>
      <c r="AI185" s="72">
        <f t="shared" si="20"/>
        <v>1</v>
      </c>
      <c r="AJ185" s="62"/>
      <c r="AK185" s="62"/>
      <c r="AL185" s="62"/>
      <c r="AM185" s="62"/>
      <c r="AN185" s="62"/>
      <c r="AO185" s="72" t="str">
        <f t="shared" si="21"/>
        <v>A</v>
      </c>
      <c r="AP185" s="62">
        <v>1</v>
      </c>
      <c r="AQ185" s="62">
        <v>1</v>
      </c>
      <c r="AR185" s="62">
        <v>1</v>
      </c>
      <c r="AS185" s="62"/>
      <c r="AT185" s="62"/>
      <c r="AU185" s="72">
        <f t="shared" si="22"/>
        <v>1</v>
      </c>
      <c r="AV185" s="62"/>
      <c r="AW185" s="62"/>
      <c r="AX185" s="62">
        <v>1</v>
      </c>
      <c r="AY185" s="62">
        <v>1</v>
      </c>
      <c r="AZ185" s="62">
        <v>1</v>
      </c>
      <c r="BA185" s="72">
        <f t="shared" si="23"/>
        <v>1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1</v>
      </c>
      <c r="M186" s="62">
        <v>1</v>
      </c>
      <c r="N186" s="62">
        <v>1</v>
      </c>
      <c r="O186" s="62">
        <v>3</v>
      </c>
      <c r="P186" s="62">
        <v>1</v>
      </c>
      <c r="Q186" s="72">
        <f t="shared" si="17"/>
        <v>1.4</v>
      </c>
      <c r="R186" s="62">
        <v>2</v>
      </c>
      <c r="S186" s="62">
        <v>1</v>
      </c>
      <c r="T186" s="7"/>
      <c r="U186" s="62">
        <v>1</v>
      </c>
      <c r="V186" s="7"/>
      <c r="W186" s="72">
        <f t="shared" si="18"/>
        <v>1.3333333333333333</v>
      </c>
      <c r="X186" s="62">
        <v>1</v>
      </c>
      <c r="Y186" s="62">
        <v>1</v>
      </c>
      <c r="Z186" s="7"/>
      <c r="AA186" s="7"/>
      <c r="AB186" s="7"/>
      <c r="AC186" s="72">
        <f t="shared" si="19"/>
        <v>1</v>
      </c>
      <c r="AD186" s="62">
        <v>1</v>
      </c>
      <c r="AE186" s="7"/>
      <c r="AF186" s="62">
        <v>1</v>
      </c>
      <c r="AG186" s="7"/>
      <c r="AH186" s="7"/>
      <c r="AI186" s="72">
        <f t="shared" si="20"/>
        <v>1</v>
      </c>
      <c r="AJ186" s="7"/>
      <c r="AK186" s="7"/>
      <c r="AL186" s="7"/>
      <c r="AM186" s="7"/>
      <c r="AN186" s="7"/>
      <c r="AO186" s="72" t="str">
        <f t="shared" si="21"/>
        <v>A</v>
      </c>
      <c r="AP186" s="62">
        <v>2</v>
      </c>
      <c r="AQ186" s="62">
        <v>1</v>
      </c>
      <c r="AR186" s="62">
        <v>1</v>
      </c>
      <c r="AS186" s="7"/>
      <c r="AT186" s="7"/>
      <c r="AU186" s="72">
        <f t="shared" si="22"/>
        <v>1.3333333333333333</v>
      </c>
      <c r="AV186" s="7"/>
      <c r="AW186" s="7"/>
      <c r="AX186" s="62">
        <v>1</v>
      </c>
      <c r="AY186" s="62">
        <v>1</v>
      </c>
      <c r="AZ186" s="62">
        <v>1</v>
      </c>
      <c r="BA186" s="72">
        <f t="shared" si="23"/>
        <v>1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2</v>
      </c>
      <c r="M187" s="62">
        <v>2</v>
      </c>
      <c r="N187" s="62">
        <v>2</v>
      </c>
      <c r="O187" s="62">
        <v>2</v>
      </c>
      <c r="P187" s="62">
        <v>2</v>
      </c>
      <c r="Q187" s="72">
        <f t="shared" si="17"/>
        <v>2</v>
      </c>
      <c r="R187" s="62">
        <v>2</v>
      </c>
      <c r="S187" s="62">
        <v>2</v>
      </c>
      <c r="T187" s="62"/>
      <c r="U187" s="62">
        <v>2</v>
      </c>
      <c r="V187" s="62"/>
      <c r="W187" s="72">
        <f t="shared" si="18"/>
        <v>2</v>
      </c>
      <c r="X187" s="62">
        <v>2</v>
      </c>
      <c r="Y187" s="62">
        <v>2</v>
      </c>
      <c r="Z187" s="62"/>
      <c r="AA187" s="62"/>
      <c r="AB187" s="62"/>
      <c r="AC187" s="72">
        <f t="shared" si="19"/>
        <v>2</v>
      </c>
      <c r="AD187" s="62">
        <v>2</v>
      </c>
      <c r="AE187" s="62"/>
      <c r="AF187" s="62">
        <v>2</v>
      </c>
      <c r="AG187" s="62"/>
      <c r="AH187" s="62"/>
      <c r="AI187" s="72">
        <f t="shared" si="20"/>
        <v>2</v>
      </c>
      <c r="AJ187" s="62"/>
      <c r="AK187" s="62"/>
      <c r="AL187" s="62"/>
      <c r="AM187" s="62"/>
      <c r="AN187" s="62"/>
      <c r="AO187" s="72" t="str">
        <f t="shared" si="21"/>
        <v>A</v>
      </c>
      <c r="AP187" s="62">
        <v>2</v>
      </c>
      <c r="AQ187" s="62">
        <v>2</v>
      </c>
      <c r="AR187" s="62">
        <v>2</v>
      </c>
      <c r="AS187" s="62"/>
      <c r="AT187" s="62"/>
      <c r="AU187" s="72">
        <f t="shared" si="22"/>
        <v>2</v>
      </c>
      <c r="AV187" s="62"/>
      <c r="AW187" s="62"/>
      <c r="AX187" s="62">
        <v>2</v>
      </c>
      <c r="AY187" s="62">
        <v>2</v>
      </c>
      <c r="AZ187" s="62">
        <v>2</v>
      </c>
      <c r="BA187" s="72">
        <f t="shared" si="23"/>
        <v>2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4</v>
      </c>
      <c r="M188" s="62">
        <v>4</v>
      </c>
      <c r="N188" s="62">
        <v>3</v>
      </c>
      <c r="O188" s="62">
        <v>3</v>
      </c>
      <c r="P188" s="62">
        <v>3</v>
      </c>
      <c r="Q188" s="72">
        <f t="shared" si="17"/>
        <v>3.4</v>
      </c>
      <c r="R188" s="62">
        <v>2</v>
      </c>
      <c r="S188" s="62">
        <v>2</v>
      </c>
      <c r="T188" s="7"/>
      <c r="U188" s="62">
        <v>2</v>
      </c>
      <c r="V188" s="7"/>
      <c r="W188" s="72">
        <f t="shared" si="18"/>
        <v>2</v>
      </c>
      <c r="X188" s="62">
        <v>2</v>
      </c>
      <c r="Y188" s="62">
        <v>1</v>
      </c>
      <c r="Z188" s="7"/>
      <c r="AA188" s="7"/>
      <c r="AB188" s="7"/>
      <c r="AC188" s="72">
        <f t="shared" si="19"/>
        <v>1.5</v>
      </c>
      <c r="AD188" s="62">
        <v>1</v>
      </c>
      <c r="AE188" s="7"/>
      <c r="AF188" s="62">
        <v>1</v>
      </c>
      <c r="AG188" s="7"/>
      <c r="AH188" s="7"/>
      <c r="AI188" s="72">
        <f t="shared" si="20"/>
        <v>1</v>
      </c>
      <c r="AJ188" s="7"/>
      <c r="AK188" s="7"/>
      <c r="AL188" s="7"/>
      <c r="AM188" s="7"/>
      <c r="AN188" s="7"/>
      <c r="AO188" s="72" t="str">
        <f t="shared" si="21"/>
        <v>A</v>
      </c>
      <c r="AP188" s="62">
        <v>4</v>
      </c>
      <c r="AQ188" s="62">
        <v>3</v>
      </c>
      <c r="AR188" s="62">
        <v>4</v>
      </c>
      <c r="AS188" s="7"/>
      <c r="AT188" s="7"/>
      <c r="AU188" s="72">
        <f t="shared" si="22"/>
        <v>3.6666666666666665</v>
      </c>
      <c r="AV188" s="7"/>
      <c r="AW188" s="7"/>
      <c r="AX188" s="62">
        <v>1</v>
      </c>
      <c r="AY188" s="62">
        <v>1</v>
      </c>
      <c r="AZ188" s="62">
        <v>1</v>
      </c>
      <c r="BA188" s="72">
        <f t="shared" si="23"/>
        <v>1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>
        <v>1</v>
      </c>
      <c r="N189" s="62">
        <v>1</v>
      </c>
      <c r="O189" s="62">
        <v>3</v>
      </c>
      <c r="P189" s="62">
        <v>1</v>
      </c>
      <c r="Q189" s="72">
        <f t="shared" si="17"/>
        <v>1.6</v>
      </c>
      <c r="R189" s="62">
        <v>2</v>
      </c>
      <c r="S189" s="62">
        <v>1</v>
      </c>
      <c r="T189" s="62"/>
      <c r="U189" s="62">
        <v>1</v>
      </c>
      <c r="V189" s="62"/>
      <c r="W189" s="72">
        <f t="shared" si="18"/>
        <v>1.3333333333333333</v>
      </c>
      <c r="X189" s="62">
        <v>1</v>
      </c>
      <c r="Y189" s="62">
        <v>1</v>
      </c>
      <c r="Z189" s="62"/>
      <c r="AA189" s="62"/>
      <c r="AB189" s="62"/>
      <c r="AC189" s="72">
        <f t="shared" si="19"/>
        <v>1</v>
      </c>
      <c r="AD189" s="62">
        <v>1</v>
      </c>
      <c r="AE189" s="62"/>
      <c r="AF189" s="62">
        <v>1</v>
      </c>
      <c r="AG189" s="62"/>
      <c r="AH189" s="62"/>
      <c r="AI189" s="72">
        <f t="shared" si="20"/>
        <v>1</v>
      </c>
      <c r="AJ189" s="62"/>
      <c r="AK189" s="62"/>
      <c r="AL189" s="62"/>
      <c r="AM189" s="62"/>
      <c r="AN189" s="62"/>
      <c r="AO189" s="72" t="str">
        <f t="shared" si="21"/>
        <v>A</v>
      </c>
      <c r="AP189" s="62">
        <v>1</v>
      </c>
      <c r="AQ189" s="62">
        <v>1</v>
      </c>
      <c r="AR189" s="62">
        <v>1</v>
      </c>
      <c r="AS189" s="62"/>
      <c r="AT189" s="62"/>
      <c r="AU189" s="72">
        <f t="shared" si="22"/>
        <v>1</v>
      </c>
      <c r="AV189" s="62"/>
      <c r="AW189" s="62"/>
      <c r="AX189" s="62">
        <v>1</v>
      </c>
      <c r="AY189" s="62">
        <v>1</v>
      </c>
      <c r="AZ189" s="62">
        <v>1</v>
      </c>
      <c r="BA189" s="72">
        <f t="shared" si="23"/>
        <v>1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>
        <v>2</v>
      </c>
      <c r="N190" s="62">
        <v>2</v>
      </c>
      <c r="O190" s="62">
        <v>3</v>
      </c>
      <c r="P190" s="62">
        <v>1</v>
      </c>
      <c r="Q190" s="72">
        <f t="shared" si="17"/>
        <v>2.2000000000000002</v>
      </c>
      <c r="R190" s="62">
        <v>3</v>
      </c>
      <c r="S190" s="62">
        <v>3</v>
      </c>
      <c r="T190" s="7"/>
      <c r="U190" s="62">
        <v>3</v>
      </c>
      <c r="V190" s="7"/>
      <c r="W190" s="72">
        <f t="shared" si="18"/>
        <v>3</v>
      </c>
      <c r="X190" s="62">
        <v>2</v>
      </c>
      <c r="Y190" s="62">
        <v>3</v>
      </c>
      <c r="Z190" s="7"/>
      <c r="AA190" s="7"/>
      <c r="AB190" s="7"/>
      <c r="AC190" s="72">
        <f t="shared" si="19"/>
        <v>2.5</v>
      </c>
      <c r="AD190" s="62">
        <v>2</v>
      </c>
      <c r="AE190" s="7"/>
      <c r="AF190" s="62">
        <v>0</v>
      </c>
      <c r="AG190" s="7"/>
      <c r="AH190" s="7"/>
      <c r="AI190" s="72">
        <f t="shared" si="20"/>
        <v>1</v>
      </c>
      <c r="AJ190" s="7"/>
      <c r="AK190" s="7"/>
      <c r="AL190" s="7"/>
      <c r="AM190" s="7"/>
      <c r="AN190" s="7"/>
      <c r="AO190" s="72" t="str">
        <f t="shared" si="21"/>
        <v>A</v>
      </c>
      <c r="AP190" s="62">
        <v>2</v>
      </c>
      <c r="AQ190" s="62">
        <v>4</v>
      </c>
      <c r="AR190" s="62">
        <v>4</v>
      </c>
      <c r="AS190" s="7"/>
      <c r="AT190" s="7"/>
      <c r="AU190" s="72">
        <f t="shared" si="22"/>
        <v>3.3333333333333335</v>
      </c>
      <c r="AV190" s="7"/>
      <c r="AW190" s="7"/>
      <c r="AX190" s="62">
        <v>3</v>
      </c>
      <c r="AY190" s="62">
        <v>2</v>
      </c>
      <c r="AZ190" s="62">
        <v>2</v>
      </c>
      <c r="BA190" s="72">
        <f t="shared" si="23"/>
        <v>2.3333333333333335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3</v>
      </c>
      <c r="M191" s="62">
        <v>3</v>
      </c>
      <c r="N191" s="62">
        <v>2</v>
      </c>
      <c r="O191" s="62">
        <v>3</v>
      </c>
      <c r="P191" s="62">
        <v>2</v>
      </c>
      <c r="Q191" s="72">
        <f t="shared" si="17"/>
        <v>2.6</v>
      </c>
      <c r="R191" s="62">
        <v>3</v>
      </c>
      <c r="S191" s="62">
        <v>3</v>
      </c>
      <c r="T191" s="62"/>
      <c r="U191" s="62">
        <v>3</v>
      </c>
      <c r="V191" s="62"/>
      <c r="W191" s="72">
        <f t="shared" si="18"/>
        <v>3</v>
      </c>
      <c r="X191" s="62">
        <v>2</v>
      </c>
      <c r="Y191" s="62">
        <v>3</v>
      </c>
      <c r="Z191" s="62"/>
      <c r="AA191" s="62"/>
      <c r="AB191" s="62"/>
      <c r="AC191" s="72">
        <f t="shared" si="19"/>
        <v>2.5</v>
      </c>
      <c r="AD191" s="62">
        <v>3</v>
      </c>
      <c r="AE191" s="62"/>
      <c r="AF191" s="62">
        <v>3</v>
      </c>
      <c r="AG191" s="62"/>
      <c r="AH191" s="62"/>
      <c r="AI191" s="72">
        <f t="shared" si="20"/>
        <v>3</v>
      </c>
      <c r="AJ191" s="62"/>
      <c r="AK191" s="62"/>
      <c r="AL191" s="62"/>
      <c r="AM191" s="62"/>
      <c r="AN191" s="62"/>
      <c r="AO191" s="72" t="str">
        <f t="shared" si="21"/>
        <v>A</v>
      </c>
      <c r="AP191" s="62">
        <v>3</v>
      </c>
      <c r="AQ191" s="62">
        <v>3</v>
      </c>
      <c r="AR191" s="62">
        <v>3</v>
      </c>
      <c r="AS191" s="62"/>
      <c r="AT191" s="62"/>
      <c r="AU191" s="72">
        <f t="shared" si="22"/>
        <v>3</v>
      </c>
      <c r="AV191" s="62"/>
      <c r="AW191" s="62"/>
      <c r="AX191" s="62">
        <v>3</v>
      </c>
      <c r="AY191" s="62">
        <v>3</v>
      </c>
      <c r="AZ191" s="62">
        <v>3</v>
      </c>
      <c r="BA191" s="72">
        <f t="shared" si="23"/>
        <v>3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3</v>
      </c>
      <c r="M192" s="62">
        <v>3</v>
      </c>
      <c r="N192" s="62">
        <v>3</v>
      </c>
      <c r="O192" s="62">
        <v>3</v>
      </c>
      <c r="P192" s="62">
        <v>4</v>
      </c>
      <c r="Q192" s="72">
        <f t="shared" si="17"/>
        <v>3.2</v>
      </c>
      <c r="R192" s="62">
        <v>2</v>
      </c>
      <c r="S192" s="62">
        <v>3</v>
      </c>
      <c r="T192" s="7"/>
      <c r="U192" s="62">
        <v>2</v>
      </c>
      <c r="V192" s="7"/>
      <c r="W192" s="72">
        <f t="shared" si="18"/>
        <v>2.3333333333333335</v>
      </c>
      <c r="X192" s="62">
        <v>3</v>
      </c>
      <c r="Y192" s="62">
        <v>2</v>
      </c>
      <c r="Z192" s="7"/>
      <c r="AA192" s="7"/>
      <c r="AB192" s="7"/>
      <c r="AC192" s="72">
        <f t="shared" si="19"/>
        <v>2.5</v>
      </c>
      <c r="AD192" s="62">
        <v>1</v>
      </c>
      <c r="AE192" s="7"/>
      <c r="AF192" s="62">
        <v>1</v>
      </c>
      <c r="AG192" s="7"/>
      <c r="AH192" s="7"/>
      <c r="AI192" s="72">
        <f t="shared" si="20"/>
        <v>1</v>
      </c>
      <c r="AJ192" s="7"/>
      <c r="AK192" s="7"/>
      <c r="AL192" s="7"/>
      <c r="AM192" s="7"/>
      <c r="AN192" s="7"/>
      <c r="AO192" s="72" t="str">
        <f t="shared" si="21"/>
        <v>A</v>
      </c>
      <c r="AP192" s="62">
        <v>3</v>
      </c>
      <c r="AQ192" s="62">
        <v>3</v>
      </c>
      <c r="AR192" s="62">
        <v>3</v>
      </c>
      <c r="AS192" s="7"/>
      <c r="AT192" s="7"/>
      <c r="AU192" s="72">
        <f t="shared" si="22"/>
        <v>3</v>
      </c>
      <c r="AV192" s="7"/>
      <c r="AW192" s="7"/>
      <c r="AX192" s="62">
        <v>1</v>
      </c>
      <c r="AY192" s="62">
        <v>3</v>
      </c>
      <c r="AZ192" s="62">
        <v>4</v>
      </c>
      <c r="BA192" s="72">
        <f t="shared" si="23"/>
        <v>2.6666666666666665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1</v>
      </c>
      <c r="M193" s="62">
        <v>1</v>
      </c>
      <c r="N193" s="62">
        <v>1</v>
      </c>
      <c r="O193" s="62">
        <v>3</v>
      </c>
      <c r="P193" s="62">
        <v>1</v>
      </c>
      <c r="Q193" s="72">
        <f t="shared" si="17"/>
        <v>1.4</v>
      </c>
      <c r="R193" s="62">
        <v>2</v>
      </c>
      <c r="S193" s="62">
        <v>1</v>
      </c>
      <c r="T193" s="62"/>
      <c r="U193" s="62">
        <v>1</v>
      </c>
      <c r="V193" s="62"/>
      <c r="W193" s="72">
        <f t="shared" si="18"/>
        <v>1.3333333333333333</v>
      </c>
      <c r="X193" s="62">
        <v>1</v>
      </c>
      <c r="Y193" s="62">
        <v>1</v>
      </c>
      <c r="Z193" s="62"/>
      <c r="AA193" s="62"/>
      <c r="AB193" s="62"/>
      <c r="AC193" s="72">
        <f t="shared" si="19"/>
        <v>1</v>
      </c>
      <c r="AD193" s="62">
        <v>1</v>
      </c>
      <c r="AE193" s="62"/>
      <c r="AF193" s="62">
        <v>1</v>
      </c>
      <c r="AG193" s="62"/>
      <c r="AH193" s="62"/>
      <c r="AI193" s="72">
        <f t="shared" si="20"/>
        <v>1</v>
      </c>
      <c r="AJ193" s="62"/>
      <c r="AK193" s="62"/>
      <c r="AL193" s="62"/>
      <c r="AM193" s="62"/>
      <c r="AN193" s="62"/>
      <c r="AO193" s="72" t="str">
        <f t="shared" si="21"/>
        <v>A</v>
      </c>
      <c r="AP193" s="62">
        <v>2</v>
      </c>
      <c r="AQ193" s="62">
        <v>1</v>
      </c>
      <c r="AR193" s="62">
        <v>1</v>
      </c>
      <c r="AS193" s="62"/>
      <c r="AT193" s="62"/>
      <c r="AU193" s="72">
        <f t="shared" si="22"/>
        <v>1.3333333333333333</v>
      </c>
      <c r="AV193" s="62"/>
      <c r="AW193" s="62"/>
      <c r="AX193" s="62">
        <v>1</v>
      </c>
      <c r="AY193" s="62">
        <v>1</v>
      </c>
      <c r="AZ193" s="62">
        <v>1</v>
      </c>
      <c r="BA193" s="72">
        <f t="shared" si="23"/>
        <v>1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72">
        <f t="shared" si="17"/>
        <v>0</v>
      </c>
      <c r="R194" s="62">
        <v>0</v>
      </c>
      <c r="S194" s="62">
        <v>0</v>
      </c>
      <c r="T194" s="7"/>
      <c r="U194" s="62">
        <v>0</v>
      </c>
      <c r="V194" s="7"/>
      <c r="W194" s="72">
        <f t="shared" si="18"/>
        <v>0</v>
      </c>
      <c r="X194" s="62">
        <v>0</v>
      </c>
      <c r="Y194" s="62">
        <v>0</v>
      </c>
      <c r="Z194" s="7"/>
      <c r="AA194" s="7"/>
      <c r="AB194" s="7"/>
      <c r="AC194" s="72">
        <f t="shared" si="19"/>
        <v>0</v>
      </c>
      <c r="AD194" s="62">
        <v>0</v>
      </c>
      <c r="AE194" s="7"/>
      <c r="AF194" s="62">
        <v>0</v>
      </c>
      <c r="AG194" s="7"/>
      <c r="AH194" s="7"/>
      <c r="AI194" s="72">
        <f t="shared" si="20"/>
        <v>0</v>
      </c>
      <c r="AJ194" s="7"/>
      <c r="AK194" s="7"/>
      <c r="AL194" s="7"/>
      <c r="AM194" s="7"/>
      <c r="AN194" s="7"/>
      <c r="AO194" s="72" t="str">
        <f t="shared" si="21"/>
        <v>A</v>
      </c>
      <c r="AP194" s="62">
        <v>0</v>
      </c>
      <c r="AQ194" s="62">
        <v>0</v>
      </c>
      <c r="AR194" s="62">
        <v>0</v>
      </c>
      <c r="AS194" s="7"/>
      <c r="AT194" s="7"/>
      <c r="AU194" s="72">
        <f t="shared" si="22"/>
        <v>0</v>
      </c>
      <c r="AV194" s="7"/>
      <c r="AW194" s="7"/>
      <c r="AX194" s="62">
        <v>0</v>
      </c>
      <c r="AY194" s="62">
        <v>0</v>
      </c>
      <c r="AZ194" s="62">
        <v>0</v>
      </c>
      <c r="BA194" s="72">
        <f t="shared" si="23"/>
        <v>0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>
        <v>4</v>
      </c>
      <c r="N195" s="62">
        <v>2</v>
      </c>
      <c r="O195" s="62">
        <v>3</v>
      </c>
      <c r="P195" s="62">
        <v>3</v>
      </c>
      <c r="Q195" s="72">
        <f t="shared" si="17"/>
        <v>3</v>
      </c>
      <c r="R195" s="62">
        <v>2</v>
      </c>
      <c r="S195" s="62">
        <v>2</v>
      </c>
      <c r="T195" s="62"/>
      <c r="U195" s="62">
        <v>2</v>
      </c>
      <c r="V195" s="62"/>
      <c r="W195" s="72">
        <f t="shared" si="18"/>
        <v>2</v>
      </c>
      <c r="X195" s="62">
        <v>3</v>
      </c>
      <c r="Y195" s="62">
        <v>1</v>
      </c>
      <c r="Z195" s="62"/>
      <c r="AA195" s="62"/>
      <c r="AB195" s="62"/>
      <c r="AC195" s="72">
        <f t="shared" si="19"/>
        <v>2</v>
      </c>
      <c r="AD195" s="62">
        <v>1</v>
      </c>
      <c r="AE195" s="62"/>
      <c r="AF195" s="62">
        <v>1</v>
      </c>
      <c r="AG195" s="62"/>
      <c r="AH195" s="62"/>
      <c r="AI195" s="72">
        <f t="shared" si="20"/>
        <v>1</v>
      </c>
      <c r="AJ195" s="62"/>
      <c r="AK195" s="62"/>
      <c r="AL195" s="62"/>
      <c r="AM195" s="62"/>
      <c r="AN195" s="62"/>
      <c r="AO195" s="72" t="str">
        <f t="shared" si="21"/>
        <v>A</v>
      </c>
      <c r="AP195" s="62">
        <v>1</v>
      </c>
      <c r="AQ195" s="62">
        <v>1</v>
      </c>
      <c r="AR195" s="62">
        <v>1</v>
      </c>
      <c r="AS195" s="62"/>
      <c r="AT195" s="62"/>
      <c r="AU195" s="72">
        <f t="shared" si="22"/>
        <v>1</v>
      </c>
      <c r="AV195" s="62"/>
      <c r="AW195" s="62"/>
      <c r="AX195" s="62">
        <v>1</v>
      </c>
      <c r="AY195" s="62">
        <v>1</v>
      </c>
      <c r="AZ195" s="62">
        <v>1</v>
      </c>
      <c r="BA195" s="72">
        <f t="shared" si="23"/>
        <v>1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3</v>
      </c>
      <c r="M196" s="62">
        <v>4</v>
      </c>
      <c r="N196" s="62">
        <v>3</v>
      </c>
      <c r="O196" s="62">
        <v>3</v>
      </c>
      <c r="P196" s="62">
        <v>3</v>
      </c>
      <c r="Q196" s="72">
        <f t="shared" ref="Q196:Q230" si="25">IFERROR(AVERAGE(M196,N196,L196,O196,P196),"A")</f>
        <v>3.2</v>
      </c>
      <c r="R196" s="62">
        <v>3</v>
      </c>
      <c r="S196" s="62">
        <v>3</v>
      </c>
      <c r="T196" s="7"/>
      <c r="U196" s="62">
        <v>3</v>
      </c>
      <c r="V196" s="7"/>
      <c r="W196" s="72">
        <f t="shared" ref="W196:W230" si="26">IFERROR(AVERAGE(R196,S196,U196),"A")</f>
        <v>3</v>
      </c>
      <c r="X196" s="62">
        <v>3</v>
      </c>
      <c r="Y196" s="62">
        <v>2</v>
      </c>
      <c r="Z196" s="7"/>
      <c r="AA196" s="7"/>
      <c r="AB196" s="7"/>
      <c r="AC196" s="72">
        <f t="shared" ref="AC196:AC230" si="27">IFERROR(AVERAGE(Y196,X196),"A")</f>
        <v>2.5</v>
      </c>
      <c r="AD196" s="62">
        <v>3</v>
      </c>
      <c r="AE196" s="7"/>
      <c r="AF196" s="62">
        <v>3</v>
      </c>
      <c r="AG196" s="7"/>
      <c r="AH196" s="7"/>
      <c r="AI196" s="72">
        <f t="shared" ref="AI196:AI230" si="28">IFERROR(AVERAGE(AF196,AD196),"A")</f>
        <v>3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62">
        <v>3</v>
      </c>
      <c r="AQ196" s="62">
        <v>3</v>
      </c>
      <c r="AR196" s="62">
        <v>3</v>
      </c>
      <c r="AS196" s="7"/>
      <c r="AT196" s="7"/>
      <c r="AU196" s="72">
        <f t="shared" ref="AU196:AU230" si="30">IFERROR(AVERAGE(AR196,AQ196,AP196),"A")</f>
        <v>3</v>
      </c>
      <c r="AV196" s="7"/>
      <c r="AW196" s="7"/>
      <c r="AX196" s="62">
        <v>3</v>
      </c>
      <c r="AY196" s="62">
        <v>3</v>
      </c>
      <c r="AZ196" s="62">
        <v>3</v>
      </c>
      <c r="BA196" s="72">
        <f t="shared" ref="BA196:BA230" si="31">IFERROR(AVERAGE(AX196,AY196,AZ196),"A")</f>
        <v>3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3</v>
      </c>
      <c r="M197" s="62">
        <v>4</v>
      </c>
      <c r="N197" s="62">
        <v>4</v>
      </c>
      <c r="O197" s="62">
        <v>3</v>
      </c>
      <c r="P197" s="62">
        <v>4</v>
      </c>
      <c r="Q197" s="72">
        <f t="shared" si="25"/>
        <v>3.6</v>
      </c>
      <c r="R197" s="62">
        <v>4</v>
      </c>
      <c r="S197" s="62">
        <v>3</v>
      </c>
      <c r="T197" s="62"/>
      <c r="U197" s="62">
        <v>2</v>
      </c>
      <c r="V197" s="62"/>
      <c r="W197" s="72">
        <f t="shared" si="26"/>
        <v>3</v>
      </c>
      <c r="X197" s="62">
        <v>2</v>
      </c>
      <c r="Y197" s="62">
        <v>1</v>
      </c>
      <c r="Z197" s="62"/>
      <c r="AA197" s="62"/>
      <c r="AB197" s="62"/>
      <c r="AC197" s="72">
        <f t="shared" si="27"/>
        <v>1.5</v>
      </c>
      <c r="AD197" s="62">
        <v>1</v>
      </c>
      <c r="AE197" s="62"/>
      <c r="AF197" s="62">
        <v>1</v>
      </c>
      <c r="AG197" s="62"/>
      <c r="AH197" s="62"/>
      <c r="AI197" s="72">
        <f t="shared" si="28"/>
        <v>1</v>
      </c>
      <c r="AJ197" s="62"/>
      <c r="AK197" s="62"/>
      <c r="AL197" s="62"/>
      <c r="AM197" s="62"/>
      <c r="AN197" s="62"/>
      <c r="AO197" s="72" t="str">
        <f t="shared" si="29"/>
        <v>A</v>
      </c>
      <c r="AP197" s="62">
        <v>3</v>
      </c>
      <c r="AQ197" s="62">
        <v>2</v>
      </c>
      <c r="AR197" s="62">
        <v>2</v>
      </c>
      <c r="AS197" s="62"/>
      <c r="AT197" s="62"/>
      <c r="AU197" s="72">
        <f t="shared" si="30"/>
        <v>2.3333333333333335</v>
      </c>
      <c r="AV197" s="62"/>
      <c r="AW197" s="62"/>
      <c r="AX197" s="62">
        <v>1</v>
      </c>
      <c r="AY197" s="62">
        <v>1</v>
      </c>
      <c r="AZ197" s="62">
        <v>1</v>
      </c>
      <c r="BA197" s="72">
        <f t="shared" si="31"/>
        <v>1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3</v>
      </c>
      <c r="M198" s="62">
        <v>4</v>
      </c>
      <c r="N198" s="62">
        <v>3</v>
      </c>
      <c r="O198" s="62">
        <v>3</v>
      </c>
      <c r="P198" s="62">
        <v>3</v>
      </c>
      <c r="Q198" s="72">
        <f t="shared" si="25"/>
        <v>3.2</v>
      </c>
      <c r="R198" s="62">
        <v>3</v>
      </c>
      <c r="S198" s="62">
        <v>3</v>
      </c>
      <c r="T198" s="7"/>
      <c r="U198" s="62">
        <v>3</v>
      </c>
      <c r="V198" s="7"/>
      <c r="W198" s="72">
        <f t="shared" si="26"/>
        <v>3</v>
      </c>
      <c r="X198" s="62">
        <v>3</v>
      </c>
      <c r="Y198" s="62">
        <v>2</v>
      </c>
      <c r="Z198" s="7"/>
      <c r="AA198" s="7"/>
      <c r="AB198" s="7"/>
      <c r="AC198" s="72">
        <f t="shared" si="27"/>
        <v>2.5</v>
      </c>
      <c r="AD198" s="62">
        <v>3</v>
      </c>
      <c r="AE198" s="7"/>
      <c r="AF198" s="62">
        <v>3</v>
      </c>
      <c r="AG198" s="7"/>
      <c r="AH198" s="7"/>
      <c r="AI198" s="72">
        <f t="shared" si="28"/>
        <v>3</v>
      </c>
      <c r="AJ198" s="7"/>
      <c r="AK198" s="7"/>
      <c r="AL198" s="7"/>
      <c r="AM198" s="7"/>
      <c r="AN198" s="7"/>
      <c r="AO198" s="72" t="str">
        <f t="shared" si="29"/>
        <v>A</v>
      </c>
      <c r="AP198" s="62">
        <v>3</v>
      </c>
      <c r="AQ198" s="62">
        <v>3</v>
      </c>
      <c r="AR198" s="62">
        <v>3</v>
      </c>
      <c r="AS198" s="7"/>
      <c r="AT198" s="7"/>
      <c r="AU198" s="72">
        <f t="shared" si="30"/>
        <v>3</v>
      </c>
      <c r="AV198" s="7"/>
      <c r="AW198" s="7"/>
      <c r="AX198" s="62">
        <v>3</v>
      </c>
      <c r="AY198" s="62">
        <v>3</v>
      </c>
      <c r="AZ198" s="62">
        <v>3</v>
      </c>
      <c r="BA198" s="72">
        <f t="shared" si="31"/>
        <v>3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>
        <v>4</v>
      </c>
      <c r="N199" s="62">
        <v>3</v>
      </c>
      <c r="O199" s="62">
        <v>3</v>
      </c>
      <c r="P199" s="62">
        <v>3</v>
      </c>
      <c r="Q199" s="72">
        <f t="shared" si="25"/>
        <v>3.2</v>
      </c>
      <c r="R199" s="62">
        <v>3</v>
      </c>
      <c r="S199" s="62">
        <v>3</v>
      </c>
      <c r="T199" s="62"/>
      <c r="U199" s="62">
        <v>3</v>
      </c>
      <c r="V199" s="62"/>
      <c r="W199" s="72">
        <f t="shared" si="26"/>
        <v>3</v>
      </c>
      <c r="X199" s="62">
        <v>3</v>
      </c>
      <c r="Y199" s="62">
        <v>2</v>
      </c>
      <c r="Z199" s="62"/>
      <c r="AA199" s="62"/>
      <c r="AB199" s="62"/>
      <c r="AC199" s="72">
        <f t="shared" si="27"/>
        <v>2.5</v>
      </c>
      <c r="AD199" s="62">
        <v>3</v>
      </c>
      <c r="AE199" s="62"/>
      <c r="AF199" s="62">
        <v>3</v>
      </c>
      <c r="AG199" s="62"/>
      <c r="AH199" s="62"/>
      <c r="AI199" s="72">
        <f t="shared" si="28"/>
        <v>3</v>
      </c>
      <c r="AJ199" s="62"/>
      <c r="AK199" s="62"/>
      <c r="AL199" s="62"/>
      <c r="AM199" s="62"/>
      <c r="AN199" s="62"/>
      <c r="AO199" s="72" t="str">
        <f t="shared" si="29"/>
        <v>A</v>
      </c>
      <c r="AP199" s="62">
        <v>3</v>
      </c>
      <c r="AQ199" s="62">
        <v>3</v>
      </c>
      <c r="AR199" s="62">
        <v>3</v>
      </c>
      <c r="AS199" s="62"/>
      <c r="AT199" s="62"/>
      <c r="AU199" s="72">
        <f t="shared" si="30"/>
        <v>3</v>
      </c>
      <c r="AV199" s="62"/>
      <c r="AW199" s="62"/>
      <c r="AX199" s="62">
        <v>3</v>
      </c>
      <c r="AY199" s="62">
        <v>3</v>
      </c>
      <c r="AZ199" s="62">
        <v>3</v>
      </c>
      <c r="BA199" s="72">
        <f t="shared" si="31"/>
        <v>3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0</v>
      </c>
      <c r="M200" s="62">
        <v>0</v>
      </c>
      <c r="N200" s="62">
        <v>0</v>
      </c>
      <c r="O200" s="62">
        <v>0</v>
      </c>
      <c r="P200" s="62">
        <v>0</v>
      </c>
      <c r="Q200" s="72">
        <f t="shared" si="25"/>
        <v>0</v>
      </c>
      <c r="R200" s="62">
        <v>0</v>
      </c>
      <c r="S200" s="62">
        <v>0</v>
      </c>
      <c r="T200" s="7"/>
      <c r="U200" s="62">
        <v>0</v>
      </c>
      <c r="V200" s="7"/>
      <c r="W200" s="72">
        <f t="shared" si="26"/>
        <v>0</v>
      </c>
      <c r="X200" s="62">
        <v>0</v>
      </c>
      <c r="Y200" s="62">
        <v>0</v>
      </c>
      <c r="Z200" s="7"/>
      <c r="AA200" s="7"/>
      <c r="AB200" s="7"/>
      <c r="AC200" s="72">
        <f t="shared" si="27"/>
        <v>0</v>
      </c>
      <c r="AD200" s="62">
        <v>0</v>
      </c>
      <c r="AE200" s="7"/>
      <c r="AF200" s="62">
        <v>0</v>
      </c>
      <c r="AG200" s="7"/>
      <c r="AH200" s="7"/>
      <c r="AI200" s="72">
        <f t="shared" si="28"/>
        <v>0</v>
      </c>
      <c r="AJ200" s="7"/>
      <c r="AK200" s="7"/>
      <c r="AL200" s="7"/>
      <c r="AM200" s="7"/>
      <c r="AN200" s="7"/>
      <c r="AO200" s="72" t="str">
        <f t="shared" si="29"/>
        <v>A</v>
      </c>
      <c r="AP200" s="62">
        <v>0</v>
      </c>
      <c r="AQ200" s="62">
        <v>0</v>
      </c>
      <c r="AR200" s="62">
        <v>0</v>
      </c>
      <c r="AS200" s="7"/>
      <c r="AT200" s="7"/>
      <c r="AU200" s="72">
        <f t="shared" si="30"/>
        <v>0</v>
      </c>
      <c r="AV200" s="7"/>
      <c r="AW200" s="7"/>
      <c r="AX200" s="62">
        <v>0</v>
      </c>
      <c r="AY200" s="62">
        <v>0</v>
      </c>
      <c r="AZ200" s="62">
        <v>0</v>
      </c>
      <c r="BA200" s="72">
        <f t="shared" si="31"/>
        <v>0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2</v>
      </c>
      <c r="M201" s="62">
        <v>2</v>
      </c>
      <c r="N201" s="62">
        <v>2</v>
      </c>
      <c r="O201" s="62">
        <v>3</v>
      </c>
      <c r="P201" s="62">
        <v>1</v>
      </c>
      <c r="Q201" s="72">
        <f t="shared" si="25"/>
        <v>2</v>
      </c>
      <c r="R201" s="62">
        <v>3</v>
      </c>
      <c r="S201" s="62">
        <v>3</v>
      </c>
      <c r="T201" s="62"/>
      <c r="U201" s="62">
        <v>3</v>
      </c>
      <c r="V201" s="62"/>
      <c r="W201" s="72">
        <f t="shared" si="26"/>
        <v>3</v>
      </c>
      <c r="X201" s="62">
        <v>2</v>
      </c>
      <c r="Y201" s="62">
        <v>3</v>
      </c>
      <c r="Z201" s="62"/>
      <c r="AA201" s="62"/>
      <c r="AB201" s="62"/>
      <c r="AC201" s="72">
        <f t="shared" si="27"/>
        <v>2.5</v>
      </c>
      <c r="AD201" s="62">
        <v>3</v>
      </c>
      <c r="AE201" s="62"/>
      <c r="AF201" s="62">
        <v>3</v>
      </c>
      <c r="AG201" s="62"/>
      <c r="AH201" s="62"/>
      <c r="AI201" s="72">
        <f t="shared" si="28"/>
        <v>3</v>
      </c>
      <c r="AJ201" s="62"/>
      <c r="AK201" s="62"/>
      <c r="AL201" s="62"/>
      <c r="AM201" s="62"/>
      <c r="AN201" s="62"/>
      <c r="AO201" s="72" t="str">
        <f t="shared" si="29"/>
        <v>A</v>
      </c>
      <c r="AP201" s="62">
        <v>4</v>
      </c>
      <c r="AQ201" s="62">
        <v>4</v>
      </c>
      <c r="AR201" s="62">
        <v>4</v>
      </c>
      <c r="AS201" s="62"/>
      <c r="AT201" s="62"/>
      <c r="AU201" s="72">
        <f t="shared" si="30"/>
        <v>4</v>
      </c>
      <c r="AV201" s="62"/>
      <c r="AW201" s="62"/>
      <c r="AX201" s="62">
        <v>3</v>
      </c>
      <c r="AY201" s="62">
        <v>3</v>
      </c>
      <c r="AZ201" s="62">
        <v>4</v>
      </c>
      <c r="BA201" s="72">
        <f t="shared" si="31"/>
        <v>3.3333333333333335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1</v>
      </c>
      <c r="M202" s="62">
        <v>1</v>
      </c>
      <c r="N202" s="62">
        <v>1</v>
      </c>
      <c r="O202" s="62">
        <v>3</v>
      </c>
      <c r="P202" s="62">
        <v>1</v>
      </c>
      <c r="Q202" s="72">
        <f t="shared" si="25"/>
        <v>1.4</v>
      </c>
      <c r="R202" s="62">
        <v>2</v>
      </c>
      <c r="S202" s="62">
        <v>1</v>
      </c>
      <c r="T202" s="7"/>
      <c r="U202" s="62">
        <v>2</v>
      </c>
      <c r="V202" s="7"/>
      <c r="W202" s="72">
        <f t="shared" si="26"/>
        <v>1.6666666666666667</v>
      </c>
      <c r="X202" s="62">
        <v>2</v>
      </c>
      <c r="Y202" s="62">
        <v>1</v>
      </c>
      <c r="Z202" s="7"/>
      <c r="AA202" s="7"/>
      <c r="AB202" s="7"/>
      <c r="AC202" s="72">
        <f t="shared" si="27"/>
        <v>1.5</v>
      </c>
      <c r="AD202" s="62">
        <v>1</v>
      </c>
      <c r="AE202" s="7"/>
      <c r="AF202" s="62">
        <v>1</v>
      </c>
      <c r="AG202" s="7"/>
      <c r="AH202" s="7"/>
      <c r="AI202" s="72">
        <f t="shared" si="28"/>
        <v>1</v>
      </c>
      <c r="AJ202" s="7"/>
      <c r="AK202" s="7"/>
      <c r="AL202" s="7"/>
      <c r="AM202" s="7"/>
      <c r="AN202" s="7"/>
      <c r="AO202" s="72" t="str">
        <f t="shared" si="29"/>
        <v>A</v>
      </c>
      <c r="AP202" s="62">
        <v>4</v>
      </c>
      <c r="AQ202" s="62">
        <v>3</v>
      </c>
      <c r="AR202" s="62">
        <v>4</v>
      </c>
      <c r="AS202" s="7"/>
      <c r="AT202" s="7"/>
      <c r="AU202" s="72">
        <f t="shared" si="30"/>
        <v>3.6666666666666665</v>
      </c>
      <c r="AV202" s="7"/>
      <c r="AW202" s="7"/>
      <c r="AX202" s="62">
        <v>2</v>
      </c>
      <c r="AY202" s="62">
        <v>2</v>
      </c>
      <c r="AZ202" s="62">
        <v>2</v>
      </c>
      <c r="BA202" s="72">
        <f t="shared" si="31"/>
        <v>2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3</v>
      </c>
      <c r="M203" s="62">
        <v>4</v>
      </c>
      <c r="N203" s="62">
        <v>2</v>
      </c>
      <c r="O203" s="62">
        <v>3</v>
      </c>
      <c r="P203" s="62">
        <v>3</v>
      </c>
      <c r="Q203" s="72">
        <f t="shared" si="25"/>
        <v>3</v>
      </c>
      <c r="R203" s="62">
        <v>2</v>
      </c>
      <c r="S203" s="62">
        <v>2</v>
      </c>
      <c r="T203" s="62"/>
      <c r="U203" s="62">
        <v>0</v>
      </c>
      <c r="V203" s="62"/>
      <c r="W203" s="72">
        <f t="shared" si="26"/>
        <v>1.3333333333333333</v>
      </c>
      <c r="X203" s="62">
        <v>1</v>
      </c>
      <c r="Y203" s="62">
        <v>1</v>
      </c>
      <c r="Z203" s="62"/>
      <c r="AA203" s="62"/>
      <c r="AB203" s="62"/>
      <c r="AC203" s="72">
        <f t="shared" si="27"/>
        <v>1</v>
      </c>
      <c r="AD203" s="62">
        <v>1</v>
      </c>
      <c r="AE203" s="62"/>
      <c r="AF203" s="62">
        <v>1</v>
      </c>
      <c r="AG203" s="62"/>
      <c r="AH203" s="62"/>
      <c r="AI203" s="72">
        <f t="shared" si="28"/>
        <v>1</v>
      </c>
      <c r="AJ203" s="62"/>
      <c r="AK203" s="62"/>
      <c r="AL203" s="62"/>
      <c r="AM203" s="62"/>
      <c r="AN203" s="62"/>
      <c r="AO203" s="72" t="str">
        <f t="shared" si="29"/>
        <v>A</v>
      </c>
      <c r="AP203" s="62">
        <v>1</v>
      </c>
      <c r="AQ203" s="62">
        <v>1</v>
      </c>
      <c r="AR203" s="62">
        <v>1</v>
      </c>
      <c r="AS203" s="62"/>
      <c r="AT203" s="62"/>
      <c r="AU203" s="72">
        <f t="shared" si="30"/>
        <v>1</v>
      </c>
      <c r="AV203" s="62"/>
      <c r="AW203" s="62"/>
      <c r="AX203" s="62">
        <v>0</v>
      </c>
      <c r="AY203" s="62">
        <v>0</v>
      </c>
      <c r="AZ203" s="62">
        <v>0</v>
      </c>
      <c r="BA203" s="72">
        <f t="shared" si="31"/>
        <v>0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2</v>
      </c>
      <c r="M204" s="62">
        <v>4</v>
      </c>
      <c r="N204" s="62">
        <v>2</v>
      </c>
      <c r="O204" s="62">
        <v>4</v>
      </c>
      <c r="P204" s="62">
        <v>3</v>
      </c>
      <c r="Q204" s="72">
        <f t="shared" si="25"/>
        <v>3</v>
      </c>
      <c r="R204" s="62">
        <v>3</v>
      </c>
      <c r="S204" s="62">
        <v>2</v>
      </c>
      <c r="T204" s="7"/>
      <c r="U204" s="62">
        <v>2</v>
      </c>
      <c r="V204" s="7"/>
      <c r="W204" s="72">
        <f t="shared" si="26"/>
        <v>2.3333333333333335</v>
      </c>
      <c r="X204" s="62">
        <v>2</v>
      </c>
      <c r="Y204" s="62">
        <v>3</v>
      </c>
      <c r="Z204" s="7"/>
      <c r="AA204" s="7"/>
      <c r="AB204" s="7"/>
      <c r="AC204" s="72">
        <f t="shared" si="27"/>
        <v>2.5</v>
      </c>
      <c r="AD204" s="62">
        <v>5</v>
      </c>
      <c r="AE204" s="7"/>
      <c r="AF204" s="62">
        <v>5</v>
      </c>
      <c r="AG204" s="7"/>
      <c r="AH204" s="7"/>
      <c r="AI204" s="72">
        <f t="shared" si="28"/>
        <v>5</v>
      </c>
      <c r="AJ204" s="7"/>
      <c r="AK204" s="7"/>
      <c r="AL204" s="7"/>
      <c r="AM204" s="7"/>
      <c r="AN204" s="7"/>
      <c r="AO204" s="72" t="str">
        <f t="shared" si="29"/>
        <v>A</v>
      </c>
      <c r="AP204" s="62">
        <v>3</v>
      </c>
      <c r="AQ204" s="62">
        <v>5</v>
      </c>
      <c r="AR204" s="62">
        <v>5</v>
      </c>
      <c r="AS204" s="7"/>
      <c r="AT204" s="7"/>
      <c r="AU204" s="72">
        <f t="shared" si="30"/>
        <v>4.333333333333333</v>
      </c>
      <c r="AV204" s="7"/>
      <c r="AW204" s="7"/>
      <c r="AX204" s="62">
        <v>5</v>
      </c>
      <c r="AY204" s="62">
        <v>5</v>
      </c>
      <c r="AZ204" s="62">
        <v>5</v>
      </c>
      <c r="BA204" s="72">
        <f t="shared" si="31"/>
        <v>5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3</v>
      </c>
      <c r="M205" s="62">
        <v>5</v>
      </c>
      <c r="N205" s="62">
        <v>4</v>
      </c>
      <c r="O205" s="62">
        <v>4</v>
      </c>
      <c r="P205" s="62">
        <v>3</v>
      </c>
      <c r="Q205" s="72">
        <f t="shared" si="25"/>
        <v>3.8</v>
      </c>
      <c r="R205" s="62">
        <v>3</v>
      </c>
      <c r="S205" s="62">
        <v>3</v>
      </c>
      <c r="T205" s="62"/>
      <c r="U205" s="62">
        <v>3</v>
      </c>
      <c r="V205" s="62"/>
      <c r="W205" s="72">
        <f t="shared" si="26"/>
        <v>3</v>
      </c>
      <c r="X205" s="62">
        <v>3</v>
      </c>
      <c r="Y205" s="62">
        <v>3</v>
      </c>
      <c r="Z205" s="62"/>
      <c r="AA205" s="62"/>
      <c r="AB205" s="62"/>
      <c r="AC205" s="72">
        <f t="shared" si="27"/>
        <v>3</v>
      </c>
      <c r="AD205" s="62">
        <v>5</v>
      </c>
      <c r="AE205" s="62"/>
      <c r="AF205" s="62">
        <v>5</v>
      </c>
      <c r="AG205" s="62"/>
      <c r="AH205" s="62"/>
      <c r="AI205" s="72">
        <f t="shared" si="28"/>
        <v>5</v>
      </c>
      <c r="AJ205" s="62"/>
      <c r="AK205" s="62"/>
      <c r="AL205" s="62"/>
      <c r="AM205" s="62"/>
      <c r="AN205" s="62"/>
      <c r="AO205" s="72" t="str">
        <f t="shared" si="29"/>
        <v>A</v>
      </c>
      <c r="AP205" s="62">
        <v>4</v>
      </c>
      <c r="AQ205" s="62">
        <v>3</v>
      </c>
      <c r="AR205" s="62">
        <v>4</v>
      </c>
      <c r="AS205" s="62"/>
      <c r="AT205" s="62"/>
      <c r="AU205" s="72">
        <f t="shared" si="30"/>
        <v>3.6666666666666665</v>
      </c>
      <c r="AV205" s="62"/>
      <c r="AW205" s="62"/>
      <c r="AX205" s="62">
        <v>5</v>
      </c>
      <c r="AY205" s="62">
        <v>5</v>
      </c>
      <c r="AZ205" s="62">
        <v>5</v>
      </c>
      <c r="BA205" s="72">
        <f t="shared" si="31"/>
        <v>5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>
        <v>4</v>
      </c>
      <c r="N206" s="62">
        <v>3</v>
      </c>
      <c r="O206" s="62">
        <v>4</v>
      </c>
      <c r="P206" s="62">
        <v>3</v>
      </c>
      <c r="Q206" s="72">
        <f t="shared" si="25"/>
        <v>3.4</v>
      </c>
      <c r="R206" s="62">
        <v>4</v>
      </c>
      <c r="S206" s="62">
        <v>5</v>
      </c>
      <c r="T206" s="7"/>
      <c r="U206" s="62">
        <v>4</v>
      </c>
      <c r="V206" s="7"/>
      <c r="W206" s="72">
        <f t="shared" si="26"/>
        <v>4.333333333333333</v>
      </c>
      <c r="X206" s="62">
        <v>4</v>
      </c>
      <c r="Y206" s="62">
        <v>4</v>
      </c>
      <c r="Z206" s="7"/>
      <c r="AA206" s="7"/>
      <c r="AB206" s="7"/>
      <c r="AC206" s="72">
        <f t="shared" si="27"/>
        <v>4</v>
      </c>
      <c r="AD206" s="62">
        <v>5</v>
      </c>
      <c r="AE206" s="7"/>
      <c r="AF206" s="62">
        <v>5</v>
      </c>
      <c r="AG206" s="7"/>
      <c r="AH206" s="7"/>
      <c r="AI206" s="72">
        <f t="shared" si="28"/>
        <v>5</v>
      </c>
      <c r="AJ206" s="7"/>
      <c r="AK206" s="7"/>
      <c r="AL206" s="7"/>
      <c r="AM206" s="7"/>
      <c r="AN206" s="7"/>
      <c r="AO206" s="72" t="str">
        <f t="shared" si="29"/>
        <v>A</v>
      </c>
      <c r="AP206" s="62">
        <v>5</v>
      </c>
      <c r="AQ206" s="62">
        <v>5</v>
      </c>
      <c r="AR206" s="62">
        <v>5</v>
      </c>
      <c r="AS206" s="7"/>
      <c r="AT206" s="7"/>
      <c r="AU206" s="72">
        <f t="shared" si="30"/>
        <v>5</v>
      </c>
      <c r="AV206" s="7"/>
      <c r="AW206" s="7"/>
      <c r="AX206" s="62">
        <v>5</v>
      </c>
      <c r="AY206" s="62">
        <v>5</v>
      </c>
      <c r="AZ206" s="62">
        <v>5</v>
      </c>
      <c r="BA206" s="72">
        <f t="shared" si="31"/>
        <v>5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4</v>
      </c>
      <c r="M207" s="62">
        <v>4</v>
      </c>
      <c r="N207" s="62">
        <v>4</v>
      </c>
      <c r="O207" s="62">
        <v>3</v>
      </c>
      <c r="P207" s="62">
        <v>4</v>
      </c>
      <c r="Q207" s="72">
        <f t="shared" si="25"/>
        <v>3.8</v>
      </c>
      <c r="R207" s="62">
        <v>2</v>
      </c>
      <c r="S207" s="62">
        <v>2</v>
      </c>
      <c r="T207" s="62"/>
      <c r="U207" s="62">
        <v>2</v>
      </c>
      <c r="V207" s="62"/>
      <c r="W207" s="72">
        <f t="shared" si="26"/>
        <v>2</v>
      </c>
      <c r="X207" s="62">
        <v>2</v>
      </c>
      <c r="Y207" s="62">
        <v>2</v>
      </c>
      <c r="Z207" s="62"/>
      <c r="AA207" s="62"/>
      <c r="AB207" s="62"/>
      <c r="AC207" s="72">
        <f t="shared" si="27"/>
        <v>2</v>
      </c>
      <c r="AD207" s="62">
        <v>1</v>
      </c>
      <c r="AE207" s="62"/>
      <c r="AF207" s="62">
        <v>1</v>
      </c>
      <c r="AG207" s="62"/>
      <c r="AH207" s="62"/>
      <c r="AI207" s="72">
        <f t="shared" si="28"/>
        <v>1</v>
      </c>
      <c r="AJ207" s="62"/>
      <c r="AK207" s="62"/>
      <c r="AL207" s="62"/>
      <c r="AM207" s="62"/>
      <c r="AN207" s="62"/>
      <c r="AO207" s="72" t="str">
        <f t="shared" si="29"/>
        <v>A</v>
      </c>
      <c r="AP207" s="62">
        <v>2</v>
      </c>
      <c r="AQ207" s="62">
        <v>2</v>
      </c>
      <c r="AR207" s="62">
        <v>1</v>
      </c>
      <c r="AS207" s="62"/>
      <c r="AT207" s="62"/>
      <c r="AU207" s="72">
        <f t="shared" si="30"/>
        <v>1.6666666666666667</v>
      </c>
      <c r="AV207" s="62"/>
      <c r="AW207" s="62"/>
      <c r="AX207" s="62">
        <v>2</v>
      </c>
      <c r="AY207" s="62">
        <v>2</v>
      </c>
      <c r="AZ207" s="62">
        <v>2</v>
      </c>
      <c r="BA207" s="72">
        <f t="shared" si="31"/>
        <v>2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2</v>
      </c>
      <c r="M208" s="62">
        <v>3</v>
      </c>
      <c r="N208" s="62">
        <v>2</v>
      </c>
      <c r="O208" s="62">
        <v>3</v>
      </c>
      <c r="P208" s="62">
        <v>2</v>
      </c>
      <c r="Q208" s="72">
        <f t="shared" si="25"/>
        <v>2.4</v>
      </c>
      <c r="R208" s="62">
        <v>3</v>
      </c>
      <c r="S208" s="62">
        <v>3</v>
      </c>
      <c r="T208" s="7"/>
      <c r="U208" s="62">
        <v>3</v>
      </c>
      <c r="V208" s="7"/>
      <c r="W208" s="72">
        <f t="shared" si="26"/>
        <v>3</v>
      </c>
      <c r="X208" s="62">
        <v>1</v>
      </c>
      <c r="Y208" s="62">
        <v>3</v>
      </c>
      <c r="Z208" s="7"/>
      <c r="AA208" s="7"/>
      <c r="AB208" s="7"/>
      <c r="AC208" s="72">
        <f t="shared" si="27"/>
        <v>2</v>
      </c>
      <c r="AD208" s="62">
        <v>5</v>
      </c>
      <c r="AE208" s="7"/>
      <c r="AF208" s="62">
        <v>5</v>
      </c>
      <c r="AG208" s="7"/>
      <c r="AH208" s="7"/>
      <c r="AI208" s="72">
        <f t="shared" si="28"/>
        <v>5</v>
      </c>
      <c r="AJ208" s="7"/>
      <c r="AK208" s="7"/>
      <c r="AL208" s="7"/>
      <c r="AM208" s="7"/>
      <c r="AN208" s="7"/>
      <c r="AO208" s="72" t="str">
        <f t="shared" si="29"/>
        <v>A</v>
      </c>
      <c r="AP208" s="62">
        <v>2</v>
      </c>
      <c r="AQ208" s="62">
        <v>1</v>
      </c>
      <c r="AR208" s="62">
        <v>2</v>
      </c>
      <c r="AS208" s="7"/>
      <c r="AT208" s="7"/>
      <c r="AU208" s="72">
        <f t="shared" si="30"/>
        <v>1.6666666666666667</v>
      </c>
      <c r="AV208" s="7"/>
      <c r="AW208" s="7"/>
      <c r="AX208" s="62">
        <v>5</v>
      </c>
      <c r="AY208" s="62">
        <v>5</v>
      </c>
      <c r="AZ208" s="62">
        <v>5</v>
      </c>
      <c r="BA208" s="72">
        <f t="shared" si="31"/>
        <v>5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3</v>
      </c>
      <c r="M209" s="62">
        <v>3</v>
      </c>
      <c r="N209" s="62">
        <v>1</v>
      </c>
      <c r="O209" s="62">
        <v>3</v>
      </c>
      <c r="P209" s="62">
        <v>2</v>
      </c>
      <c r="Q209" s="72">
        <f t="shared" si="25"/>
        <v>2.4</v>
      </c>
      <c r="R209" s="62">
        <v>3</v>
      </c>
      <c r="S209" s="62">
        <v>3</v>
      </c>
      <c r="T209" s="62"/>
      <c r="U209" s="62">
        <v>3</v>
      </c>
      <c r="V209" s="62"/>
      <c r="W209" s="72">
        <f t="shared" si="26"/>
        <v>3</v>
      </c>
      <c r="X209" s="62">
        <v>2</v>
      </c>
      <c r="Y209" s="62">
        <v>2</v>
      </c>
      <c r="Z209" s="62"/>
      <c r="AA209" s="62"/>
      <c r="AB209" s="62"/>
      <c r="AC209" s="72">
        <f t="shared" si="27"/>
        <v>2</v>
      </c>
      <c r="AD209" s="62">
        <v>2</v>
      </c>
      <c r="AE209" s="62"/>
      <c r="AF209" s="62">
        <v>2</v>
      </c>
      <c r="AG209" s="62"/>
      <c r="AH209" s="62"/>
      <c r="AI209" s="72">
        <f t="shared" si="28"/>
        <v>2</v>
      </c>
      <c r="AJ209" s="62"/>
      <c r="AK209" s="62"/>
      <c r="AL209" s="62"/>
      <c r="AM209" s="62"/>
      <c r="AN209" s="62"/>
      <c r="AO209" s="72" t="str">
        <f t="shared" si="29"/>
        <v>A</v>
      </c>
      <c r="AP209" s="62">
        <v>3</v>
      </c>
      <c r="AQ209" s="62">
        <v>3</v>
      </c>
      <c r="AR209" s="62">
        <v>3</v>
      </c>
      <c r="AS209" s="62"/>
      <c r="AT209" s="62"/>
      <c r="AU209" s="72">
        <f t="shared" si="30"/>
        <v>3</v>
      </c>
      <c r="AV209" s="62"/>
      <c r="AW209" s="62"/>
      <c r="AX209" s="62">
        <v>1</v>
      </c>
      <c r="AY209" s="62">
        <v>1</v>
      </c>
      <c r="AZ209" s="62">
        <v>1</v>
      </c>
      <c r="BA209" s="72">
        <f t="shared" si="31"/>
        <v>1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0</v>
      </c>
      <c r="M210" s="62">
        <v>0</v>
      </c>
      <c r="N210" s="62">
        <v>0</v>
      </c>
      <c r="O210" s="62">
        <v>0</v>
      </c>
      <c r="P210" s="62">
        <v>0</v>
      </c>
      <c r="Q210" s="72">
        <f t="shared" si="25"/>
        <v>0</v>
      </c>
      <c r="R210" s="62">
        <v>0</v>
      </c>
      <c r="S210" s="62">
        <v>0</v>
      </c>
      <c r="T210" s="7"/>
      <c r="U210" s="62">
        <v>0</v>
      </c>
      <c r="V210" s="7"/>
      <c r="W210" s="72">
        <f t="shared" si="26"/>
        <v>0</v>
      </c>
      <c r="X210" s="62">
        <v>0</v>
      </c>
      <c r="Y210" s="62">
        <v>0</v>
      </c>
      <c r="Z210" s="7"/>
      <c r="AA210" s="7"/>
      <c r="AB210" s="7"/>
      <c r="AC210" s="72">
        <f t="shared" si="27"/>
        <v>0</v>
      </c>
      <c r="AD210" s="62">
        <v>0</v>
      </c>
      <c r="AE210" s="7"/>
      <c r="AF210" s="62">
        <v>0</v>
      </c>
      <c r="AG210" s="7"/>
      <c r="AH210" s="7"/>
      <c r="AI210" s="72">
        <f t="shared" si="28"/>
        <v>0</v>
      </c>
      <c r="AJ210" s="7"/>
      <c r="AK210" s="7"/>
      <c r="AL210" s="7"/>
      <c r="AM210" s="7"/>
      <c r="AN210" s="7"/>
      <c r="AO210" s="72" t="str">
        <f t="shared" si="29"/>
        <v>A</v>
      </c>
      <c r="AP210" s="62">
        <v>0</v>
      </c>
      <c r="AQ210" s="62">
        <v>0</v>
      </c>
      <c r="AR210" s="62">
        <v>0</v>
      </c>
      <c r="AS210" s="7"/>
      <c r="AT210" s="7"/>
      <c r="AU210" s="72">
        <f t="shared" si="30"/>
        <v>0</v>
      </c>
      <c r="AV210" s="7"/>
      <c r="AW210" s="7"/>
      <c r="AX210" s="62">
        <v>0</v>
      </c>
      <c r="AY210" s="62">
        <v>0</v>
      </c>
      <c r="AZ210" s="62">
        <v>0</v>
      </c>
      <c r="BA210" s="72">
        <f t="shared" si="31"/>
        <v>0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4</v>
      </c>
      <c r="M211" s="62">
        <v>4</v>
      </c>
      <c r="N211" s="62">
        <v>3</v>
      </c>
      <c r="O211" s="62">
        <v>3</v>
      </c>
      <c r="P211" s="62">
        <v>3</v>
      </c>
      <c r="Q211" s="72">
        <f t="shared" si="25"/>
        <v>3.4</v>
      </c>
      <c r="R211" s="62">
        <v>2</v>
      </c>
      <c r="S211" s="62">
        <v>1</v>
      </c>
      <c r="T211" s="62"/>
      <c r="U211" s="62">
        <v>2</v>
      </c>
      <c r="V211" s="62"/>
      <c r="W211" s="72">
        <f t="shared" si="26"/>
        <v>1.6666666666666667</v>
      </c>
      <c r="X211" s="62">
        <v>1</v>
      </c>
      <c r="Y211" s="62">
        <v>1</v>
      </c>
      <c r="Z211" s="62"/>
      <c r="AA211" s="62"/>
      <c r="AB211" s="62"/>
      <c r="AC211" s="72">
        <f t="shared" si="27"/>
        <v>1</v>
      </c>
      <c r="AD211" s="62">
        <v>2</v>
      </c>
      <c r="AE211" s="62"/>
      <c r="AF211" s="62">
        <v>2</v>
      </c>
      <c r="AG211" s="62"/>
      <c r="AH211" s="62"/>
      <c r="AI211" s="72">
        <f t="shared" si="28"/>
        <v>2</v>
      </c>
      <c r="AJ211" s="62"/>
      <c r="AK211" s="62"/>
      <c r="AL211" s="62"/>
      <c r="AM211" s="62"/>
      <c r="AN211" s="62"/>
      <c r="AO211" s="72" t="str">
        <f t="shared" si="29"/>
        <v>A</v>
      </c>
      <c r="AP211" s="62">
        <v>2</v>
      </c>
      <c r="AQ211" s="62">
        <v>1</v>
      </c>
      <c r="AR211" s="62">
        <v>1</v>
      </c>
      <c r="AS211" s="62"/>
      <c r="AT211" s="62"/>
      <c r="AU211" s="72">
        <f t="shared" si="30"/>
        <v>1.3333333333333333</v>
      </c>
      <c r="AV211" s="62"/>
      <c r="AW211" s="62"/>
      <c r="AX211" s="62">
        <v>2</v>
      </c>
      <c r="AY211" s="62">
        <v>2</v>
      </c>
      <c r="AZ211" s="62">
        <v>2</v>
      </c>
      <c r="BA211" s="72">
        <f t="shared" si="31"/>
        <v>2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>
        <v>4</v>
      </c>
      <c r="N212" s="62">
        <v>3</v>
      </c>
      <c r="O212" s="62">
        <v>3</v>
      </c>
      <c r="P212" s="62">
        <v>3</v>
      </c>
      <c r="Q212" s="72">
        <f t="shared" si="25"/>
        <v>3.2</v>
      </c>
      <c r="R212" s="62">
        <v>4</v>
      </c>
      <c r="S212" s="62">
        <v>4</v>
      </c>
      <c r="T212" s="7"/>
      <c r="U212" s="62">
        <v>4</v>
      </c>
      <c r="V212" s="7"/>
      <c r="W212" s="72">
        <f t="shared" si="26"/>
        <v>4</v>
      </c>
      <c r="X212" s="62">
        <v>2</v>
      </c>
      <c r="Y212" s="62">
        <v>2</v>
      </c>
      <c r="Z212" s="7"/>
      <c r="AA212" s="7"/>
      <c r="AB212" s="7"/>
      <c r="AC212" s="72">
        <f t="shared" si="27"/>
        <v>2</v>
      </c>
      <c r="AD212" s="62">
        <v>3</v>
      </c>
      <c r="AE212" s="7"/>
      <c r="AF212" s="62">
        <v>1</v>
      </c>
      <c r="AG212" s="7"/>
      <c r="AH212" s="7"/>
      <c r="AI212" s="72">
        <f t="shared" si="28"/>
        <v>2</v>
      </c>
      <c r="AJ212" s="7"/>
      <c r="AK212" s="7"/>
      <c r="AL212" s="7"/>
      <c r="AM212" s="7"/>
      <c r="AN212" s="7"/>
      <c r="AO212" s="72" t="str">
        <f t="shared" si="29"/>
        <v>A</v>
      </c>
      <c r="AP212" s="62">
        <v>4</v>
      </c>
      <c r="AQ212" s="62">
        <v>4</v>
      </c>
      <c r="AR212" s="62">
        <v>4</v>
      </c>
      <c r="AS212" s="7"/>
      <c r="AT212" s="7"/>
      <c r="AU212" s="72">
        <f t="shared" si="30"/>
        <v>4</v>
      </c>
      <c r="AV212" s="7"/>
      <c r="AW212" s="7"/>
      <c r="AX212" s="62">
        <v>1</v>
      </c>
      <c r="AY212" s="62">
        <v>1</v>
      </c>
      <c r="AZ212" s="62">
        <v>1</v>
      </c>
      <c r="BA212" s="72">
        <f t="shared" si="31"/>
        <v>1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>
        <v>4</v>
      </c>
      <c r="M213" s="62">
        <v>4</v>
      </c>
      <c r="N213" s="62">
        <v>4</v>
      </c>
      <c r="O213" s="62">
        <v>4</v>
      </c>
      <c r="P213" s="62">
        <v>4</v>
      </c>
      <c r="Q213" s="72">
        <f t="shared" si="25"/>
        <v>4</v>
      </c>
      <c r="R213" s="62">
        <v>4</v>
      </c>
      <c r="S213" s="62">
        <v>4</v>
      </c>
      <c r="T213" s="62"/>
      <c r="U213" s="62">
        <v>4</v>
      </c>
      <c r="V213" s="62"/>
      <c r="W213" s="72">
        <f t="shared" si="26"/>
        <v>4</v>
      </c>
      <c r="X213" s="62">
        <v>3</v>
      </c>
      <c r="Y213" s="62">
        <v>2</v>
      </c>
      <c r="Z213" s="62"/>
      <c r="AA213" s="62"/>
      <c r="AB213" s="62"/>
      <c r="AC213" s="72">
        <f t="shared" si="27"/>
        <v>2.5</v>
      </c>
      <c r="AD213" s="62">
        <v>1</v>
      </c>
      <c r="AE213" s="62"/>
      <c r="AF213" s="62">
        <v>1</v>
      </c>
      <c r="AG213" s="62"/>
      <c r="AH213" s="62"/>
      <c r="AI213" s="72">
        <f t="shared" si="28"/>
        <v>1</v>
      </c>
      <c r="AJ213" s="62"/>
      <c r="AK213" s="62"/>
      <c r="AL213" s="62"/>
      <c r="AM213" s="62"/>
      <c r="AN213" s="62"/>
      <c r="AO213" s="72" t="str">
        <f t="shared" si="29"/>
        <v>A</v>
      </c>
      <c r="AP213" s="62">
        <v>4</v>
      </c>
      <c r="AQ213" s="62">
        <v>4</v>
      </c>
      <c r="AR213" s="62">
        <v>3</v>
      </c>
      <c r="AS213" s="62"/>
      <c r="AT213" s="62"/>
      <c r="AU213" s="72">
        <f t="shared" si="30"/>
        <v>3.6666666666666665</v>
      </c>
      <c r="AV213" s="62"/>
      <c r="AW213" s="62"/>
      <c r="AX213" s="62">
        <v>1</v>
      </c>
      <c r="AY213" s="62">
        <v>1</v>
      </c>
      <c r="AZ213" s="62">
        <v>1</v>
      </c>
      <c r="BA213" s="72">
        <f t="shared" si="31"/>
        <v>1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2</v>
      </c>
      <c r="M214" s="62">
        <v>2</v>
      </c>
      <c r="N214" s="62">
        <v>2</v>
      </c>
      <c r="O214" s="62">
        <v>2</v>
      </c>
      <c r="P214" s="62">
        <v>2</v>
      </c>
      <c r="Q214" s="72">
        <f t="shared" si="25"/>
        <v>2</v>
      </c>
      <c r="R214" s="62">
        <v>2</v>
      </c>
      <c r="S214" s="62">
        <v>2</v>
      </c>
      <c r="T214" s="7"/>
      <c r="U214" s="62">
        <v>2</v>
      </c>
      <c r="V214" s="7"/>
      <c r="W214" s="72">
        <f t="shared" si="26"/>
        <v>2</v>
      </c>
      <c r="X214" s="62">
        <v>2</v>
      </c>
      <c r="Y214" s="62">
        <v>2</v>
      </c>
      <c r="Z214" s="7"/>
      <c r="AA214" s="7"/>
      <c r="AB214" s="7"/>
      <c r="AC214" s="72">
        <f t="shared" si="27"/>
        <v>2</v>
      </c>
      <c r="AD214" s="62">
        <v>2</v>
      </c>
      <c r="AE214" s="7"/>
      <c r="AF214" s="62">
        <v>2</v>
      </c>
      <c r="AG214" s="7"/>
      <c r="AH214" s="7"/>
      <c r="AI214" s="72">
        <f t="shared" si="28"/>
        <v>2</v>
      </c>
      <c r="AJ214" s="7"/>
      <c r="AK214" s="7"/>
      <c r="AL214" s="7"/>
      <c r="AM214" s="7"/>
      <c r="AN214" s="7"/>
      <c r="AO214" s="72" t="str">
        <f t="shared" si="29"/>
        <v>A</v>
      </c>
      <c r="AP214" s="62">
        <v>2</v>
      </c>
      <c r="AQ214" s="62">
        <v>2</v>
      </c>
      <c r="AR214" s="62">
        <v>2</v>
      </c>
      <c r="AS214" s="7"/>
      <c r="AT214" s="7"/>
      <c r="AU214" s="72">
        <f t="shared" si="30"/>
        <v>2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3</v>
      </c>
      <c r="M215" s="62">
        <v>4</v>
      </c>
      <c r="N215" s="62">
        <v>3</v>
      </c>
      <c r="O215" s="62">
        <v>3</v>
      </c>
      <c r="P215" s="62">
        <v>3</v>
      </c>
      <c r="Q215" s="72">
        <f t="shared" si="25"/>
        <v>3.2</v>
      </c>
      <c r="R215" s="62">
        <v>3</v>
      </c>
      <c r="S215" s="62">
        <v>3</v>
      </c>
      <c r="T215" s="62"/>
      <c r="U215" s="62">
        <v>3</v>
      </c>
      <c r="V215" s="62"/>
      <c r="W215" s="72">
        <f t="shared" si="26"/>
        <v>3</v>
      </c>
      <c r="X215" s="62">
        <v>2</v>
      </c>
      <c r="Y215" s="62">
        <v>1</v>
      </c>
      <c r="Z215" s="62"/>
      <c r="AA215" s="62"/>
      <c r="AB215" s="62"/>
      <c r="AC215" s="72">
        <f t="shared" si="27"/>
        <v>1.5</v>
      </c>
      <c r="AD215" s="62">
        <v>3</v>
      </c>
      <c r="AE215" s="62"/>
      <c r="AF215" s="62">
        <v>2</v>
      </c>
      <c r="AG215" s="62"/>
      <c r="AH215" s="62"/>
      <c r="AI215" s="72">
        <f t="shared" si="28"/>
        <v>2.5</v>
      </c>
      <c r="AJ215" s="62"/>
      <c r="AK215" s="62"/>
      <c r="AL215" s="62"/>
      <c r="AM215" s="62"/>
      <c r="AN215" s="62"/>
      <c r="AO215" s="72" t="str">
        <f t="shared" si="29"/>
        <v>A</v>
      </c>
      <c r="AP215" s="62">
        <v>2</v>
      </c>
      <c r="AQ215" s="62">
        <v>1</v>
      </c>
      <c r="AR215" s="62">
        <v>1</v>
      </c>
      <c r="AS215" s="62"/>
      <c r="AT215" s="62"/>
      <c r="AU215" s="72">
        <f t="shared" si="30"/>
        <v>1.3333333333333333</v>
      </c>
      <c r="AV215" s="62"/>
      <c r="AW215" s="62"/>
      <c r="AX215" s="62">
        <v>2</v>
      </c>
      <c r="AY215" s="62">
        <v>2</v>
      </c>
      <c r="AZ215" s="62">
        <v>2</v>
      </c>
      <c r="BA215" s="72">
        <f t="shared" si="31"/>
        <v>2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4</v>
      </c>
      <c r="M216" s="62">
        <v>4</v>
      </c>
      <c r="N216" s="62">
        <v>4</v>
      </c>
      <c r="O216" s="62">
        <v>3</v>
      </c>
      <c r="P216" s="62">
        <v>3</v>
      </c>
      <c r="Q216" s="72">
        <f t="shared" si="25"/>
        <v>3.6</v>
      </c>
      <c r="R216" s="62">
        <v>3</v>
      </c>
      <c r="S216" s="62">
        <v>2</v>
      </c>
      <c r="T216" s="7"/>
      <c r="U216" s="62">
        <v>2</v>
      </c>
      <c r="V216" s="7"/>
      <c r="W216" s="72">
        <f t="shared" si="26"/>
        <v>2.3333333333333335</v>
      </c>
      <c r="X216" s="62">
        <v>2</v>
      </c>
      <c r="Y216" s="62">
        <v>2</v>
      </c>
      <c r="Z216" s="7"/>
      <c r="AA216" s="7"/>
      <c r="AB216" s="7"/>
      <c r="AC216" s="72">
        <f t="shared" si="27"/>
        <v>2</v>
      </c>
      <c r="AD216" s="62">
        <v>2</v>
      </c>
      <c r="AE216" s="7"/>
      <c r="AF216" s="62">
        <v>2</v>
      </c>
      <c r="AG216" s="7"/>
      <c r="AH216" s="7"/>
      <c r="AI216" s="72">
        <f t="shared" si="28"/>
        <v>2</v>
      </c>
      <c r="AJ216" s="7"/>
      <c r="AK216" s="7"/>
      <c r="AL216" s="7"/>
      <c r="AM216" s="7"/>
      <c r="AN216" s="7"/>
      <c r="AO216" s="72" t="str">
        <f t="shared" si="29"/>
        <v>A</v>
      </c>
      <c r="AP216" s="62">
        <v>2</v>
      </c>
      <c r="AQ216" s="62">
        <v>2</v>
      </c>
      <c r="AR216" s="62">
        <v>2</v>
      </c>
      <c r="AS216" s="7"/>
      <c r="AT216" s="7"/>
      <c r="AU216" s="72">
        <f t="shared" si="30"/>
        <v>2</v>
      </c>
      <c r="AV216" s="7"/>
      <c r="AW216" s="7"/>
      <c r="AX216" s="62">
        <v>2</v>
      </c>
      <c r="AY216" s="62">
        <v>2</v>
      </c>
      <c r="AZ216" s="62">
        <v>2</v>
      </c>
      <c r="BA216" s="72">
        <f t="shared" si="31"/>
        <v>2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2</v>
      </c>
      <c r="M217" s="62">
        <v>2</v>
      </c>
      <c r="N217" s="62">
        <v>2</v>
      </c>
      <c r="O217" s="62">
        <v>3</v>
      </c>
      <c r="P217" s="62">
        <v>2</v>
      </c>
      <c r="Q217" s="72">
        <f t="shared" si="25"/>
        <v>2.2000000000000002</v>
      </c>
      <c r="R217" s="62">
        <v>4</v>
      </c>
      <c r="S217" s="62">
        <v>3</v>
      </c>
      <c r="T217" s="62"/>
      <c r="U217" s="62">
        <v>3</v>
      </c>
      <c r="V217" s="62"/>
      <c r="W217" s="72">
        <f t="shared" si="26"/>
        <v>3.3333333333333335</v>
      </c>
      <c r="X217" s="62">
        <v>2</v>
      </c>
      <c r="Y217" s="62">
        <v>2</v>
      </c>
      <c r="Z217" s="62"/>
      <c r="AA217" s="62"/>
      <c r="AB217" s="62"/>
      <c r="AC217" s="72">
        <f t="shared" si="27"/>
        <v>2</v>
      </c>
      <c r="AD217" s="62">
        <v>1</v>
      </c>
      <c r="AE217" s="62"/>
      <c r="AF217" s="62">
        <v>1</v>
      </c>
      <c r="AG217" s="62"/>
      <c r="AH217" s="62"/>
      <c r="AI217" s="72">
        <f t="shared" si="28"/>
        <v>1</v>
      </c>
      <c r="AJ217" s="62"/>
      <c r="AK217" s="62"/>
      <c r="AL217" s="62"/>
      <c r="AM217" s="62"/>
      <c r="AN217" s="62"/>
      <c r="AO217" s="72" t="str">
        <f t="shared" si="29"/>
        <v>A</v>
      </c>
      <c r="AP217" s="62">
        <v>4</v>
      </c>
      <c r="AQ217" s="62">
        <v>4</v>
      </c>
      <c r="AR217" s="62">
        <v>3</v>
      </c>
      <c r="AS217" s="62"/>
      <c r="AT217" s="62"/>
      <c r="AU217" s="72">
        <f t="shared" si="30"/>
        <v>3.6666666666666665</v>
      </c>
      <c r="AV217" s="62"/>
      <c r="AW217" s="62"/>
      <c r="AX217" s="62">
        <v>1</v>
      </c>
      <c r="AY217" s="62">
        <v>1</v>
      </c>
      <c r="AZ217" s="62">
        <v>1</v>
      </c>
      <c r="BA217" s="72">
        <f t="shared" si="31"/>
        <v>1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3</v>
      </c>
      <c r="M218" s="62">
        <v>3</v>
      </c>
      <c r="N218" s="62">
        <v>2</v>
      </c>
      <c r="O218" s="62">
        <v>3</v>
      </c>
      <c r="P218" s="62">
        <v>3</v>
      </c>
      <c r="Q218" s="72">
        <f t="shared" si="25"/>
        <v>2.8</v>
      </c>
      <c r="R218" s="62">
        <v>2</v>
      </c>
      <c r="S218" s="62">
        <v>2</v>
      </c>
      <c r="T218" s="7"/>
      <c r="U218" s="62">
        <v>2</v>
      </c>
      <c r="V218" s="7"/>
      <c r="W218" s="72">
        <f t="shared" si="26"/>
        <v>2</v>
      </c>
      <c r="X218" s="62">
        <v>1</v>
      </c>
      <c r="Y218" s="62">
        <v>1</v>
      </c>
      <c r="Z218" s="7"/>
      <c r="AA218" s="7"/>
      <c r="AB218" s="7"/>
      <c r="AC218" s="72">
        <f t="shared" si="27"/>
        <v>1</v>
      </c>
      <c r="AD218" s="62">
        <v>1</v>
      </c>
      <c r="AE218" s="7"/>
      <c r="AF218" s="62">
        <v>1</v>
      </c>
      <c r="AG218" s="7"/>
      <c r="AH218" s="7"/>
      <c r="AI218" s="72">
        <f t="shared" si="28"/>
        <v>1</v>
      </c>
      <c r="AJ218" s="7"/>
      <c r="AK218" s="7"/>
      <c r="AL218" s="7"/>
      <c r="AM218" s="7"/>
      <c r="AN218" s="7"/>
      <c r="AO218" s="72" t="str">
        <f t="shared" si="29"/>
        <v>A</v>
      </c>
      <c r="AP218" s="62">
        <v>2</v>
      </c>
      <c r="AQ218" s="62">
        <v>2</v>
      </c>
      <c r="AR218" s="62">
        <v>1</v>
      </c>
      <c r="AS218" s="7"/>
      <c r="AT218" s="7"/>
      <c r="AU218" s="72">
        <f t="shared" si="30"/>
        <v>1.6666666666666667</v>
      </c>
      <c r="AV218" s="7"/>
      <c r="AW218" s="7"/>
      <c r="AX218" s="62">
        <v>1</v>
      </c>
      <c r="AY218" s="62">
        <v>1</v>
      </c>
      <c r="AZ218" s="62">
        <v>1</v>
      </c>
      <c r="BA218" s="72">
        <f t="shared" si="31"/>
        <v>1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>
        <v>2</v>
      </c>
      <c r="N219" s="62">
        <v>2</v>
      </c>
      <c r="O219" s="62">
        <v>2</v>
      </c>
      <c r="P219" s="62">
        <v>2</v>
      </c>
      <c r="Q219" s="72">
        <f t="shared" si="25"/>
        <v>2</v>
      </c>
      <c r="R219" s="62">
        <v>2</v>
      </c>
      <c r="S219" s="62">
        <v>2</v>
      </c>
      <c r="T219" s="62"/>
      <c r="U219" s="62">
        <v>2</v>
      </c>
      <c r="V219" s="62"/>
      <c r="W219" s="72">
        <f t="shared" si="26"/>
        <v>2</v>
      </c>
      <c r="X219" s="62">
        <v>2</v>
      </c>
      <c r="Y219" s="62">
        <v>2</v>
      </c>
      <c r="Z219" s="62"/>
      <c r="AA219" s="62"/>
      <c r="AB219" s="62"/>
      <c r="AC219" s="72">
        <f t="shared" si="27"/>
        <v>2</v>
      </c>
      <c r="AD219" s="62">
        <v>2</v>
      </c>
      <c r="AE219" s="62"/>
      <c r="AF219" s="62">
        <v>2</v>
      </c>
      <c r="AG219" s="62"/>
      <c r="AH219" s="62"/>
      <c r="AI219" s="72">
        <f t="shared" si="28"/>
        <v>2</v>
      </c>
      <c r="AJ219" s="62"/>
      <c r="AK219" s="62"/>
      <c r="AL219" s="62"/>
      <c r="AM219" s="62"/>
      <c r="AN219" s="62"/>
      <c r="AO219" s="72" t="str">
        <f t="shared" si="29"/>
        <v>A</v>
      </c>
      <c r="AP219" s="62">
        <v>2</v>
      </c>
      <c r="AQ219" s="62">
        <v>2</v>
      </c>
      <c r="AR219" s="62">
        <v>2</v>
      </c>
      <c r="AS219" s="62"/>
      <c r="AT219" s="62"/>
      <c r="AU219" s="72">
        <f t="shared" si="30"/>
        <v>2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3</v>
      </c>
      <c r="M220" s="62">
        <v>4</v>
      </c>
      <c r="N220" s="62">
        <v>5</v>
      </c>
      <c r="O220" s="62">
        <v>4</v>
      </c>
      <c r="P220" s="62">
        <v>4</v>
      </c>
      <c r="Q220" s="72">
        <f t="shared" si="25"/>
        <v>4</v>
      </c>
      <c r="R220" s="62">
        <v>4</v>
      </c>
      <c r="S220" s="62">
        <v>4</v>
      </c>
      <c r="T220" s="7"/>
      <c r="U220" s="62">
        <v>4</v>
      </c>
      <c r="V220" s="7"/>
      <c r="W220" s="72">
        <f t="shared" si="26"/>
        <v>4</v>
      </c>
      <c r="X220" s="62">
        <v>4</v>
      </c>
      <c r="Y220" s="62">
        <v>2</v>
      </c>
      <c r="Z220" s="7"/>
      <c r="AA220" s="7"/>
      <c r="AB220" s="7"/>
      <c r="AC220" s="72">
        <f t="shared" si="27"/>
        <v>3</v>
      </c>
      <c r="AD220" s="62">
        <v>4</v>
      </c>
      <c r="AE220" s="7"/>
      <c r="AF220" s="62">
        <v>2</v>
      </c>
      <c r="AG220" s="7"/>
      <c r="AH220" s="7"/>
      <c r="AI220" s="72">
        <f t="shared" si="28"/>
        <v>3</v>
      </c>
      <c r="AJ220" s="7"/>
      <c r="AK220" s="7"/>
      <c r="AL220" s="7"/>
      <c r="AM220" s="7"/>
      <c r="AN220" s="7"/>
      <c r="AO220" s="72" t="str">
        <f t="shared" si="29"/>
        <v>A</v>
      </c>
      <c r="AP220" s="62">
        <v>4</v>
      </c>
      <c r="AQ220" s="62">
        <v>4</v>
      </c>
      <c r="AR220" s="62">
        <v>4</v>
      </c>
      <c r="AS220" s="7"/>
      <c r="AT220" s="7"/>
      <c r="AU220" s="72">
        <f t="shared" si="30"/>
        <v>4</v>
      </c>
      <c r="AV220" s="7"/>
      <c r="AW220" s="7"/>
      <c r="AX220" s="62">
        <v>2</v>
      </c>
      <c r="AY220" s="62">
        <v>2</v>
      </c>
      <c r="AZ220" s="62">
        <v>2</v>
      </c>
      <c r="BA220" s="72">
        <f t="shared" si="31"/>
        <v>2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3</v>
      </c>
      <c r="M221" s="62">
        <v>2</v>
      </c>
      <c r="N221" s="62">
        <v>2</v>
      </c>
      <c r="O221" s="62">
        <v>3</v>
      </c>
      <c r="P221" s="62">
        <v>2</v>
      </c>
      <c r="Q221" s="72">
        <f t="shared" si="25"/>
        <v>2.4</v>
      </c>
      <c r="R221" s="62">
        <v>3</v>
      </c>
      <c r="S221" s="62">
        <v>3</v>
      </c>
      <c r="T221" s="62"/>
      <c r="U221" s="62">
        <v>3</v>
      </c>
      <c r="V221" s="62"/>
      <c r="W221" s="72">
        <f t="shared" si="26"/>
        <v>3</v>
      </c>
      <c r="X221" s="62">
        <v>3</v>
      </c>
      <c r="Y221" s="62">
        <v>2</v>
      </c>
      <c r="Z221" s="62"/>
      <c r="AA221" s="62"/>
      <c r="AB221" s="62"/>
      <c r="AC221" s="72">
        <f t="shared" si="27"/>
        <v>2.5</v>
      </c>
      <c r="AD221" s="62">
        <v>1</v>
      </c>
      <c r="AE221" s="62"/>
      <c r="AF221" s="62">
        <v>1</v>
      </c>
      <c r="AG221" s="62"/>
      <c r="AH221" s="62"/>
      <c r="AI221" s="72">
        <f t="shared" si="28"/>
        <v>1</v>
      </c>
      <c r="AJ221" s="62"/>
      <c r="AK221" s="62"/>
      <c r="AL221" s="62"/>
      <c r="AM221" s="62"/>
      <c r="AN221" s="62"/>
      <c r="AO221" s="72" t="str">
        <f t="shared" si="29"/>
        <v>A</v>
      </c>
      <c r="AP221" s="62">
        <v>2</v>
      </c>
      <c r="AQ221" s="62">
        <v>2</v>
      </c>
      <c r="AR221" s="62">
        <v>3</v>
      </c>
      <c r="AS221" s="62"/>
      <c r="AT221" s="62"/>
      <c r="AU221" s="72">
        <f t="shared" si="30"/>
        <v>2.3333333333333335</v>
      </c>
      <c r="AV221" s="62"/>
      <c r="AW221" s="62"/>
      <c r="AX221" s="62">
        <v>1</v>
      </c>
      <c r="AY221" s="62">
        <v>1</v>
      </c>
      <c r="AZ221" s="62">
        <v>1</v>
      </c>
      <c r="BA221" s="72">
        <f t="shared" si="31"/>
        <v>1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>
        <v>0</v>
      </c>
      <c r="M222" s="62">
        <v>0</v>
      </c>
      <c r="N222" s="62">
        <v>0</v>
      </c>
      <c r="O222" s="62">
        <v>0</v>
      </c>
      <c r="P222" s="62">
        <v>0</v>
      </c>
      <c r="Q222" s="72">
        <f t="shared" si="25"/>
        <v>0</v>
      </c>
      <c r="R222" s="62">
        <v>0</v>
      </c>
      <c r="S222" s="62">
        <v>0</v>
      </c>
      <c r="T222" s="7"/>
      <c r="U222" s="62">
        <v>0</v>
      </c>
      <c r="V222" s="7"/>
      <c r="W222" s="72">
        <f t="shared" si="26"/>
        <v>0</v>
      </c>
      <c r="X222" s="62">
        <v>0</v>
      </c>
      <c r="Y222" s="62">
        <v>0</v>
      </c>
      <c r="Z222" s="7"/>
      <c r="AA222" s="7"/>
      <c r="AB222" s="7"/>
      <c r="AC222" s="72">
        <f t="shared" si="27"/>
        <v>0</v>
      </c>
      <c r="AD222" s="62">
        <v>0</v>
      </c>
      <c r="AE222" s="7"/>
      <c r="AF222" s="62">
        <v>0</v>
      </c>
      <c r="AG222" s="7"/>
      <c r="AH222" s="7"/>
      <c r="AI222" s="72">
        <f t="shared" si="28"/>
        <v>0</v>
      </c>
      <c r="AJ222" s="7"/>
      <c r="AK222" s="7"/>
      <c r="AL222" s="7"/>
      <c r="AM222" s="7"/>
      <c r="AN222" s="7"/>
      <c r="AO222" s="72" t="str">
        <f t="shared" si="29"/>
        <v>A</v>
      </c>
      <c r="AP222" s="62">
        <v>0</v>
      </c>
      <c r="AQ222" s="62">
        <v>0</v>
      </c>
      <c r="AR222" s="62">
        <v>0</v>
      </c>
      <c r="AS222" s="7"/>
      <c r="AT222" s="7"/>
      <c r="AU222" s="72">
        <f t="shared" si="30"/>
        <v>0</v>
      </c>
      <c r="AV222" s="7"/>
      <c r="AW222" s="7"/>
      <c r="AX222" s="62">
        <v>0</v>
      </c>
      <c r="AY222" s="62">
        <v>0</v>
      </c>
      <c r="AZ222" s="62">
        <v>0</v>
      </c>
      <c r="BA222" s="72">
        <f t="shared" si="31"/>
        <v>0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4</v>
      </c>
      <c r="M223" s="62">
        <v>4</v>
      </c>
      <c r="N223" s="62">
        <v>4</v>
      </c>
      <c r="O223" s="62">
        <v>3</v>
      </c>
      <c r="P223" s="62">
        <v>5</v>
      </c>
      <c r="Q223" s="72">
        <f t="shared" si="25"/>
        <v>4</v>
      </c>
      <c r="R223" s="62">
        <v>4</v>
      </c>
      <c r="S223" s="62">
        <v>4</v>
      </c>
      <c r="T223" s="62"/>
      <c r="U223" s="62">
        <v>4</v>
      </c>
      <c r="V223" s="62"/>
      <c r="W223" s="72">
        <f t="shared" si="26"/>
        <v>4</v>
      </c>
      <c r="X223" s="62">
        <v>3</v>
      </c>
      <c r="Y223" s="62">
        <v>2</v>
      </c>
      <c r="Z223" s="62"/>
      <c r="AA223" s="62"/>
      <c r="AB223" s="62"/>
      <c r="AC223" s="72">
        <f t="shared" si="27"/>
        <v>2.5</v>
      </c>
      <c r="AD223" s="62">
        <v>3</v>
      </c>
      <c r="AE223" s="62"/>
      <c r="AF223" s="62">
        <v>1</v>
      </c>
      <c r="AG223" s="62"/>
      <c r="AH223" s="62"/>
      <c r="AI223" s="72">
        <f t="shared" si="28"/>
        <v>2</v>
      </c>
      <c r="AJ223" s="62"/>
      <c r="AK223" s="62"/>
      <c r="AL223" s="62"/>
      <c r="AM223" s="62"/>
      <c r="AN223" s="62"/>
      <c r="AO223" s="72" t="str">
        <f t="shared" si="29"/>
        <v>A</v>
      </c>
      <c r="AP223" s="62">
        <v>4</v>
      </c>
      <c r="AQ223" s="62">
        <v>4</v>
      </c>
      <c r="AR223" s="62">
        <v>4</v>
      </c>
      <c r="AS223" s="62"/>
      <c r="AT223" s="62"/>
      <c r="AU223" s="72">
        <f t="shared" si="30"/>
        <v>4</v>
      </c>
      <c r="AV223" s="62"/>
      <c r="AW223" s="62"/>
      <c r="AX223" s="62">
        <v>1</v>
      </c>
      <c r="AY223" s="62">
        <v>1</v>
      </c>
      <c r="AZ223" s="62">
        <v>1</v>
      </c>
      <c r="BA223" s="72">
        <f t="shared" si="31"/>
        <v>1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0</v>
      </c>
      <c r="M224" s="62">
        <v>0</v>
      </c>
      <c r="N224" s="62">
        <v>0</v>
      </c>
      <c r="O224" s="62">
        <v>0</v>
      </c>
      <c r="P224" s="62">
        <v>0</v>
      </c>
      <c r="Q224" s="72">
        <f t="shared" si="25"/>
        <v>0</v>
      </c>
      <c r="R224" s="62">
        <v>0</v>
      </c>
      <c r="S224" s="62">
        <v>0</v>
      </c>
      <c r="T224" s="7"/>
      <c r="U224" s="62">
        <v>0</v>
      </c>
      <c r="V224" s="7"/>
      <c r="W224" s="72">
        <f t="shared" si="26"/>
        <v>0</v>
      </c>
      <c r="X224" s="62">
        <v>0</v>
      </c>
      <c r="Y224" s="62">
        <v>0</v>
      </c>
      <c r="Z224" s="7"/>
      <c r="AA224" s="7"/>
      <c r="AB224" s="7"/>
      <c r="AC224" s="72">
        <f t="shared" si="27"/>
        <v>0</v>
      </c>
      <c r="AD224" s="62">
        <v>0</v>
      </c>
      <c r="AE224" s="7"/>
      <c r="AF224" s="62">
        <v>0</v>
      </c>
      <c r="AG224" s="7"/>
      <c r="AH224" s="7"/>
      <c r="AI224" s="72">
        <f t="shared" si="28"/>
        <v>0</v>
      </c>
      <c r="AJ224" s="7"/>
      <c r="AK224" s="7"/>
      <c r="AL224" s="7"/>
      <c r="AM224" s="7"/>
      <c r="AN224" s="7"/>
      <c r="AO224" s="72" t="str">
        <f t="shared" si="29"/>
        <v>A</v>
      </c>
      <c r="AP224" s="62">
        <v>0</v>
      </c>
      <c r="AQ224" s="62">
        <v>0</v>
      </c>
      <c r="AR224" s="62">
        <v>0</v>
      </c>
      <c r="AS224" s="7"/>
      <c r="AT224" s="7"/>
      <c r="AU224" s="72">
        <f t="shared" si="30"/>
        <v>0</v>
      </c>
      <c r="AV224" s="7"/>
      <c r="AW224" s="7"/>
      <c r="AX224" s="62">
        <v>0</v>
      </c>
      <c r="AY224" s="62">
        <v>0</v>
      </c>
      <c r="AZ224" s="62">
        <v>0</v>
      </c>
      <c r="BA224" s="72">
        <f t="shared" si="31"/>
        <v>0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3</v>
      </c>
      <c r="M225" s="62">
        <v>4</v>
      </c>
      <c r="N225" s="62">
        <v>3</v>
      </c>
      <c r="O225" s="62">
        <v>3</v>
      </c>
      <c r="P225" s="62">
        <v>3</v>
      </c>
      <c r="Q225" s="72">
        <f t="shared" si="25"/>
        <v>3.2</v>
      </c>
      <c r="R225" s="62">
        <v>4</v>
      </c>
      <c r="S225" s="62">
        <v>4</v>
      </c>
      <c r="T225" s="62"/>
      <c r="U225" s="62">
        <v>4</v>
      </c>
      <c r="V225" s="62"/>
      <c r="W225" s="72">
        <f t="shared" si="26"/>
        <v>4</v>
      </c>
      <c r="X225" s="62">
        <v>3</v>
      </c>
      <c r="Y225" s="62">
        <v>4</v>
      </c>
      <c r="Z225" s="62"/>
      <c r="AA225" s="62"/>
      <c r="AB225" s="62"/>
      <c r="AC225" s="72">
        <f t="shared" si="27"/>
        <v>3.5</v>
      </c>
      <c r="AD225" s="62">
        <v>5</v>
      </c>
      <c r="AE225" s="62"/>
      <c r="AF225" s="62">
        <v>5</v>
      </c>
      <c r="AG225" s="62"/>
      <c r="AH225" s="62"/>
      <c r="AI225" s="72">
        <f t="shared" si="28"/>
        <v>5</v>
      </c>
      <c r="AJ225" s="62"/>
      <c r="AK225" s="62"/>
      <c r="AL225" s="62"/>
      <c r="AM225" s="62"/>
      <c r="AN225" s="62"/>
      <c r="AO225" s="72" t="str">
        <f t="shared" si="29"/>
        <v>A</v>
      </c>
      <c r="AP225" s="62">
        <v>3</v>
      </c>
      <c r="AQ225" s="62">
        <v>4</v>
      </c>
      <c r="AR225" s="62">
        <v>5</v>
      </c>
      <c r="AS225" s="62"/>
      <c r="AT225" s="62"/>
      <c r="AU225" s="72">
        <f t="shared" si="30"/>
        <v>4</v>
      </c>
      <c r="AV225" s="62"/>
      <c r="AW225" s="62"/>
      <c r="AX225" s="62">
        <v>5</v>
      </c>
      <c r="AY225" s="62">
        <v>5</v>
      </c>
      <c r="AZ225" s="62">
        <v>5</v>
      </c>
      <c r="BA225" s="72">
        <f t="shared" si="31"/>
        <v>5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0</v>
      </c>
      <c r="M226" s="62">
        <v>0</v>
      </c>
      <c r="N226" s="62">
        <v>0</v>
      </c>
      <c r="O226" s="62">
        <v>0</v>
      </c>
      <c r="P226" s="62">
        <v>0</v>
      </c>
      <c r="Q226" s="72">
        <f t="shared" si="25"/>
        <v>0</v>
      </c>
      <c r="R226" s="62">
        <v>0</v>
      </c>
      <c r="S226" s="62">
        <v>0</v>
      </c>
      <c r="T226" s="7"/>
      <c r="U226" s="62">
        <v>0</v>
      </c>
      <c r="V226" s="7"/>
      <c r="W226" s="72">
        <f t="shared" si="26"/>
        <v>0</v>
      </c>
      <c r="X226" s="62">
        <v>0</v>
      </c>
      <c r="Y226" s="62">
        <v>0</v>
      </c>
      <c r="Z226" s="7"/>
      <c r="AA226" s="7"/>
      <c r="AB226" s="7"/>
      <c r="AC226" s="72">
        <f t="shared" si="27"/>
        <v>0</v>
      </c>
      <c r="AD226" s="62">
        <v>0</v>
      </c>
      <c r="AE226" s="7"/>
      <c r="AF226" s="62">
        <v>0</v>
      </c>
      <c r="AG226" s="7"/>
      <c r="AH226" s="7"/>
      <c r="AI226" s="72">
        <f t="shared" si="28"/>
        <v>0</v>
      </c>
      <c r="AJ226" s="7"/>
      <c r="AK226" s="7"/>
      <c r="AL226" s="7"/>
      <c r="AM226" s="7"/>
      <c r="AN226" s="7"/>
      <c r="AO226" s="72" t="str">
        <f t="shared" si="29"/>
        <v>A</v>
      </c>
      <c r="AP226" s="62">
        <v>0</v>
      </c>
      <c r="AQ226" s="62">
        <v>0</v>
      </c>
      <c r="AR226" s="62">
        <v>0</v>
      </c>
      <c r="AS226" s="7"/>
      <c r="AT226" s="7"/>
      <c r="AU226" s="72">
        <f t="shared" si="30"/>
        <v>0</v>
      </c>
      <c r="AV226" s="7"/>
      <c r="AW226" s="7"/>
      <c r="AX226" s="62">
        <v>0</v>
      </c>
      <c r="AY226" s="62">
        <v>0</v>
      </c>
      <c r="AZ226" s="62">
        <v>0</v>
      </c>
      <c r="BA226" s="72">
        <f t="shared" si="31"/>
        <v>0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3</v>
      </c>
      <c r="M227" s="62">
        <v>2</v>
      </c>
      <c r="N227" s="62">
        <v>1</v>
      </c>
      <c r="O227" s="62">
        <v>3</v>
      </c>
      <c r="P227" s="62">
        <v>1</v>
      </c>
      <c r="Q227" s="72">
        <f t="shared" si="25"/>
        <v>2</v>
      </c>
      <c r="R227" s="62">
        <v>1</v>
      </c>
      <c r="S227" s="62">
        <v>1</v>
      </c>
      <c r="T227" s="62"/>
      <c r="U227" s="62">
        <v>1</v>
      </c>
      <c r="V227" s="62"/>
      <c r="W227" s="72">
        <f t="shared" si="26"/>
        <v>1</v>
      </c>
      <c r="X227" s="62">
        <v>1</v>
      </c>
      <c r="Y227" s="62">
        <v>1</v>
      </c>
      <c r="Z227" s="62"/>
      <c r="AA227" s="62"/>
      <c r="AB227" s="62"/>
      <c r="AC227" s="72">
        <f t="shared" si="27"/>
        <v>1</v>
      </c>
      <c r="AD227" s="62">
        <v>1</v>
      </c>
      <c r="AE227" s="62"/>
      <c r="AF227" s="62">
        <v>1</v>
      </c>
      <c r="AG227" s="62"/>
      <c r="AH227" s="62"/>
      <c r="AI227" s="72">
        <f t="shared" si="28"/>
        <v>1</v>
      </c>
      <c r="AJ227" s="62"/>
      <c r="AK227" s="62"/>
      <c r="AL227" s="62"/>
      <c r="AM227" s="62"/>
      <c r="AN227" s="62"/>
      <c r="AO227" s="72" t="str">
        <f t="shared" si="29"/>
        <v>A</v>
      </c>
      <c r="AP227" s="62">
        <v>1</v>
      </c>
      <c r="AQ227" s="62">
        <v>1</v>
      </c>
      <c r="AR227" s="62">
        <v>1</v>
      </c>
      <c r="AS227" s="62"/>
      <c r="AT227" s="62"/>
      <c r="AU227" s="72">
        <f t="shared" si="30"/>
        <v>1</v>
      </c>
      <c r="AV227" s="62"/>
      <c r="AW227" s="62"/>
      <c r="AX227" s="62">
        <v>1</v>
      </c>
      <c r="AY227" s="62">
        <v>1</v>
      </c>
      <c r="AZ227" s="62">
        <v>1</v>
      </c>
      <c r="BA227" s="72">
        <f t="shared" si="31"/>
        <v>1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3</v>
      </c>
      <c r="M228" s="62">
        <v>2</v>
      </c>
      <c r="N228" s="62">
        <v>2</v>
      </c>
      <c r="O228" s="62">
        <v>3</v>
      </c>
      <c r="P228" s="62">
        <v>1</v>
      </c>
      <c r="Q228" s="72">
        <f t="shared" si="25"/>
        <v>2.2000000000000002</v>
      </c>
      <c r="R228" s="62">
        <v>3</v>
      </c>
      <c r="S228" s="62">
        <v>3</v>
      </c>
      <c r="T228" s="7"/>
      <c r="U228" s="62">
        <v>3</v>
      </c>
      <c r="V228" s="7"/>
      <c r="W228" s="72">
        <f t="shared" si="26"/>
        <v>3</v>
      </c>
      <c r="X228" s="62">
        <v>2</v>
      </c>
      <c r="Y228" s="62">
        <v>3</v>
      </c>
      <c r="Z228" s="7"/>
      <c r="AA228" s="7"/>
      <c r="AB228" s="7"/>
      <c r="AC228" s="72">
        <f t="shared" si="27"/>
        <v>2.5</v>
      </c>
      <c r="AD228" s="62">
        <v>2</v>
      </c>
      <c r="AE228" s="7"/>
      <c r="AF228" s="62">
        <v>2</v>
      </c>
      <c r="AG228" s="7"/>
      <c r="AH228" s="7"/>
      <c r="AI228" s="72">
        <f t="shared" si="28"/>
        <v>2</v>
      </c>
      <c r="AJ228" s="7"/>
      <c r="AK228" s="7"/>
      <c r="AL228" s="7"/>
      <c r="AM228" s="7"/>
      <c r="AN228" s="7"/>
      <c r="AO228" s="72" t="str">
        <f t="shared" si="29"/>
        <v>A</v>
      </c>
      <c r="AP228" s="62">
        <v>4</v>
      </c>
      <c r="AQ228" s="62">
        <v>4</v>
      </c>
      <c r="AR228" s="62">
        <v>3</v>
      </c>
      <c r="AS228" s="7"/>
      <c r="AT228" s="7"/>
      <c r="AU228" s="72">
        <f t="shared" si="30"/>
        <v>3.6666666666666665</v>
      </c>
      <c r="AV228" s="7"/>
      <c r="AW228" s="7"/>
      <c r="AX228" s="62">
        <v>2</v>
      </c>
      <c r="AY228" s="62">
        <v>2</v>
      </c>
      <c r="AZ228" s="62">
        <v>2</v>
      </c>
      <c r="BA228" s="72">
        <f t="shared" si="31"/>
        <v>2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3</v>
      </c>
      <c r="M229" s="62">
        <v>3</v>
      </c>
      <c r="N229" s="62">
        <v>2</v>
      </c>
      <c r="O229" s="62">
        <v>3</v>
      </c>
      <c r="P229" s="62">
        <v>1</v>
      </c>
      <c r="Q229" s="72">
        <f t="shared" si="25"/>
        <v>2.4</v>
      </c>
      <c r="R229" s="62">
        <v>2</v>
      </c>
      <c r="S229" s="62">
        <v>2</v>
      </c>
      <c r="T229" s="62"/>
      <c r="U229" s="62">
        <v>2</v>
      </c>
      <c r="V229" s="62"/>
      <c r="W229" s="72">
        <f t="shared" si="26"/>
        <v>2</v>
      </c>
      <c r="X229" s="62">
        <v>2</v>
      </c>
      <c r="Y229" s="62">
        <v>2</v>
      </c>
      <c r="Z229" s="62"/>
      <c r="AA229" s="62"/>
      <c r="AB229" s="62"/>
      <c r="AC229" s="72">
        <f t="shared" si="27"/>
        <v>2</v>
      </c>
      <c r="AD229" s="62">
        <v>4</v>
      </c>
      <c r="AE229" s="62"/>
      <c r="AF229" s="62">
        <v>4</v>
      </c>
      <c r="AG229" s="62"/>
      <c r="AH229" s="62"/>
      <c r="AI229" s="72">
        <f t="shared" si="28"/>
        <v>4</v>
      </c>
      <c r="AJ229" s="62"/>
      <c r="AK229" s="62"/>
      <c r="AL229" s="62"/>
      <c r="AM229" s="62"/>
      <c r="AN229" s="62"/>
      <c r="AO229" s="72" t="str">
        <f t="shared" si="29"/>
        <v>A</v>
      </c>
      <c r="AP229" s="62">
        <v>3</v>
      </c>
      <c r="AQ229" s="62">
        <v>2</v>
      </c>
      <c r="AR229" s="62">
        <v>2</v>
      </c>
      <c r="AS229" s="62"/>
      <c r="AT229" s="62"/>
      <c r="AU229" s="72">
        <f t="shared" si="30"/>
        <v>2.3333333333333335</v>
      </c>
      <c r="AV229" s="62"/>
      <c r="AW229" s="62"/>
      <c r="AX229" s="62">
        <v>3</v>
      </c>
      <c r="AY229" s="62">
        <v>3</v>
      </c>
      <c r="AZ229" s="62">
        <v>3</v>
      </c>
      <c r="BA229" s="72">
        <f t="shared" si="31"/>
        <v>3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3</v>
      </c>
      <c r="M230" s="62">
        <v>3</v>
      </c>
      <c r="N230" s="62">
        <v>3</v>
      </c>
      <c r="O230" s="62">
        <v>3</v>
      </c>
      <c r="P230" s="62">
        <v>3</v>
      </c>
      <c r="Q230" s="72">
        <f t="shared" si="25"/>
        <v>3</v>
      </c>
      <c r="R230" s="62">
        <v>4</v>
      </c>
      <c r="S230" s="62">
        <v>4</v>
      </c>
      <c r="T230" s="7"/>
      <c r="U230" s="62">
        <v>4</v>
      </c>
      <c r="V230" s="7"/>
      <c r="W230" s="72">
        <f t="shared" si="26"/>
        <v>4</v>
      </c>
      <c r="X230" s="62">
        <v>3</v>
      </c>
      <c r="Y230" s="62">
        <v>2</v>
      </c>
      <c r="Z230" s="7"/>
      <c r="AA230" s="7"/>
      <c r="AB230" s="7"/>
      <c r="AC230" s="72">
        <f t="shared" si="27"/>
        <v>2.5</v>
      </c>
      <c r="AD230" s="62">
        <v>3</v>
      </c>
      <c r="AE230" s="7"/>
      <c r="AF230" s="62">
        <v>3</v>
      </c>
      <c r="AG230" s="7"/>
      <c r="AH230" s="7"/>
      <c r="AI230" s="72">
        <f t="shared" si="28"/>
        <v>3</v>
      </c>
      <c r="AJ230" s="7"/>
      <c r="AK230" s="7"/>
      <c r="AL230" s="7"/>
      <c r="AM230" s="7"/>
      <c r="AN230" s="7"/>
      <c r="AO230" s="72" t="str">
        <f t="shared" si="29"/>
        <v>A</v>
      </c>
      <c r="AP230" s="62">
        <v>4</v>
      </c>
      <c r="AQ230" s="62">
        <v>4</v>
      </c>
      <c r="AR230" s="62">
        <v>4</v>
      </c>
      <c r="AS230" s="7"/>
      <c r="AT230" s="7"/>
      <c r="AU230" s="72">
        <f t="shared" si="30"/>
        <v>4</v>
      </c>
      <c r="AV230" s="7"/>
      <c r="AW230" s="7"/>
      <c r="AX230" s="62">
        <v>3</v>
      </c>
      <c r="AY230" s="62">
        <v>3</v>
      </c>
      <c r="AZ230" s="62">
        <v>3</v>
      </c>
      <c r="BA230" s="72">
        <f t="shared" si="31"/>
        <v>3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L1:P1"/>
    <mergeCell ref="K1:K2"/>
    <mergeCell ref="A1:A2"/>
    <mergeCell ref="B1:B2"/>
    <mergeCell ref="C1:C2"/>
    <mergeCell ref="D1:D2"/>
    <mergeCell ref="E1:E2"/>
    <mergeCell ref="F1:J1"/>
    <mergeCell ref="Q1:Q2"/>
    <mergeCell ref="R1:V1"/>
    <mergeCell ref="W1:W2"/>
    <mergeCell ref="X1:AB1"/>
    <mergeCell ref="AC1:AC2"/>
    <mergeCell ref="AU1:AU2"/>
    <mergeCell ref="AV1:AZ1"/>
    <mergeCell ref="BA1:BA2"/>
    <mergeCell ref="AD1:AH1"/>
    <mergeCell ref="AI1:AI2"/>
    <mergeCell ref="AJ1:AN1"/>
    <mergeCell ref="AO1:AO2"/>
    <mergeCell ref="AP1:AT1"/>
  </mergeCells>
  <phoneticPr fontId="9" type="noConversion"/>
  <conditionalFormatting sqref="K3:K230">
    <cfRule type="containsText" dxfId="44" priority="8" operator="containsText" text="A">
      <formula>NOT(ISERROR(SEARCH("A",K3)))</formula>
    </cfRule>
  </conditionalFormatting>
  <conditionalFormatting sqref="Q3:Q230">
    <cfRule type="containsText" dxfId="43" priority="7" operator="containsText" text="A">
      <formula>NOT(ISERROR(SEARCH("A",Q3)))</formula>
    </cfRule>
  </conditionalFormatting>
  <conditionalFormatting sqref="W3:W230">
    <cfRule type="containsText" dxfId="42" priority="1" operator="containsText" text="A">
      <formula>NOT(ISERROR(SEARCH("A",W3)))</formula>
    </cfRule>
  </conditionalFormatting>
  <conditionalFormatting sqref="AC3:AC230">
    <cfRule type="containsText" dxfId="41" priority="2" operator="containsText" text="A">
      <formula>NOT(ISERROR(SEARCH("A",AC3)))</formula>
    </cfRule>
  </conditionalFormatting>
  <conditionalFormatting sqref="AI3:AI230">
    <cfRule type="containsText" dxfId="40" priority="3" operator="containsText" text="A">
      <formula>NOT(ISERROR(SEARCH("A",AI3)))</formula>
    </cfRule>
  </conditionalFormatting>
  <conditionalFormatting sqref="AO3:AO230">
    <cfRule type="containsText" dxfId="39" priority="6" operator="containsText" text="A">
      <formula>NOT(ISERROR(SEARCH("A",AO3)))</formula>
    </cfRule>
  </conditionalFormatting>
  <conditionalFormatting sqref="AU3:AU230">
    <cfRule type="containsText" dxfId="38" priority="4" operator="containsText" text="A">
      <formula>NOT(ISERROR(SEARCH("A",AU3)))</formula>
    </cfRule>
  </conditionalFormatting>
  <conditionalFormatting sqref="BA3:BA230">
    <cfRule type="containsText" dxfId="37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088B-F3E3-4CFE-9F44-FD571787F1F9}">
  <dimension ref="A1:BC232"/>
  <sheetViews>
    <sheetView topLeftCell="AM1" workbookViewId="0">
      <selection sqref="A1:XFD1048576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3</v>
      </c>
      <c r="M3" s="62"/>
      <c r="N3" s="62">
        <v>3</v>
      </c>
      <c r="O3" s="62">
        <v>2</v>
      </c>
      <c r="P3" s="62"/>
      <c r="Q3" s="72">
        <f>IFERROR(AVERAGE(N3,L3,O3),"A")</f>
        <v>2.6666666666666665</v>
      </c>
      <c r="R3" s="62"/>
      <c r="S3" s="62"/>
      <c r="T3" s="62"/>
      <c r="U3" s="62"/>
      <c r="V3" s="62"/>
      <c r="W3" s="72" t="str">
        <f>IFERROR(AVERAGE(R3,S3,U3),"A")</f>
        <v>A</v>
      </c>
      <c r="X3" s="62"/>
      <c r="Y3" s="62"/>
      <c r="Z3" s="62"/>
      <c r="AA3" s="62"/>
      <c r="AB3" s="62"/>
      <c r="AC3" s="72" t="str">
        <f>IFERROR(AVERAGE(Y3,X3),"A")</f>
        <v>A</v>
      </c>
      <c r="AD3" s="62"/>
      <c r="AE3" s="62"/>
      <c r="AF3" s="62"/>
      <c r="AG3" s="62"/>
      <c r="AH3" s="62"/>
      <c r="AI3" s="72" t="str">
        <f>IFERROR(AVERAGE(AF3,AD3),"A")</f>
        <v>A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/>
      <c r="AQ3" s="62"/>
      <c r="AR3" s="62"/>
      <c r="AS3" s="62"/>
      <c r="AT3" s="62"/>
      <c r="AU3" s="72" t="str">
        <f>IFERROR(AVERAGE(AR3,AQ3,AP3),"A")</f>
        <v>A</v>
      </c>
      <c r="AV3" s="62"/>
      <c r="AW3" s="62"/>
      <c r="AX3" s="62">
        <v>5</v>
      </c>
      <c r="AY3" s="62">
        <v>0</v>
      </c>
      <c r="AZ3" s="62">
        <v>2</v>
      </c>
      <c r="BA3" s="72">
        <f>IFERROR(AVERAGE(AX3,AY3,AZ3),"A")</f>
        <v>2.3333333333333335</v>
      </c>
      <c r="BC3" s="141" t="str">
        <f>IFERROR(VLOOKUP(B3,'[1]Reflection -1 '!$B$4:$I$231,9,FALSE),"ER")</f>
        <v>ER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4</v>
      </c>
      <c r="M4" s="62"/>
      <c r="N4" s="62">
        <v>4</v>
      </c>
      <c r="O4" s="62">
        <v>4</v>
      </c>
      <c r="P4" s="62"/>
      <c r="Q4" s="72">
        <f t="shared" ref="Q4:Q67" si="1">IFERROR(AVERAGE(N4,L4,O4),"A")</f>
        <v>4</v>
      </c>
      <c r="R4" s="7"/>
      <c r="S4" s="7"/>
      <c r="T4" s="7"/>
      <c r="U4" s="7"/>
      <c r="V4" s="7"/>
      <c r="W4" s="72" t="str">
        <f t="shared" ref="W4:W67" si="2">IFERROR(AVERAGE(R4,S4,U4),"A")</f>
        <v>A</v>
      </c>
      <c r="X4" s="7"/>
      <c r="Y4" s="7"/>
      <c r="Z4" s="7"/>
      <c r="AA4" s="7"/>
      <c r="AB4" s="7"/>
      <c r="AC4" s="72" t="str">
        <f t="shared" ref="AC4:AC67" si="3">IFERROR(AVERAGE(Y4,X4),"A")</f>
        <v>A</v>
      </c>
      <c r="AD4" s="7"/>
      <c r="AE4" s="7"/>
      <c r="AF4" s="7"/>
      <c r="AG4" s="7"/>
      <c r="AH4" s="7"/>
      <c r="AI4" s="72" t="str">
        <f t="shared" ref="AI4:AI67" si="4">IFERROR(AVERAGE(AF4,AD4),"A")</f>
        <v>A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7"/>
      <c r="AQ4" s="7"/>
      <c r="AR4" s="7"/>
      <c r="AS4" s="7"/>
      <c r="AT4" s="7"/>
      <c r="AU4" s="72" t="str">
        <f t="shared" ref="AU4:AU67" si="6">IFERROR(AVERAGE(AR4,AQ4,AP4),"A")</f>
        <v>A</v>
      </c>
      <c r="AV4" s="7"/>
      <c r="AW4" s="7"/>
      <c r="AX4" s="62">
        <v>5</v>
      </c>
      <c r="AY4" s="62">
        <v>0</v>
      </c>
      <c r="AZ4" s="62">
        <v>4</v>
      </c>
      <c r="BA4" s="72">
        <f t="shared" ref="BA4:BA67" si="7">IFERROR(AVERAGE(AX4,AY4,AZ4),"A")</f>
        <v>3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4</v>
      </c>
      <c r="M5" s="62"/>
      <c r="N5" s="62">
        <v>4</v>
      </c>
      <c r="O5" s="62">
        <v>3</v>
      </c>
      <c r="P5" s="62"/>
      <c r="Q5" s="72">
        <f t="shared" si="1"/>
        <v>3.6666666666666665</v>
      </c>
      <c r="R5" s="62"/>
      <c r="S5" s="62"/>
      <c r="T5" s="62"/>
      <c r="U5" s="62"/>
      <c r="V5" s="62"/>
      <c r="W5" s="72" t="str">
        <f t="shared" si="2"/>
        <v>A</v>
      </c>
      <c r="X5" s="62"/>
      <c r="Y5" s="62"/>
      <c r="Z5" s="62"/>
      <c r="AA5" s="62"/>
      <c r="AB5" s="62"/>
      <c r="AC5" s="72" t="str">
        <f t="shared" si="3"/>
        <v>A</v>
      </c>
      <c r="AD5" s="62"/>
      <c r="AE5" s="62"/>
      <c r="AF5" s="62"/>
      <c r="AG5" s="62"/>
      <c r="AH5" s="62"/>
      <c r="AI5" s="72" t="str">
        <f t="shared" si="4"/>
        <v>A</v>
      </c>
      <c r="AJ5" s="62"/>
      <c r="AK5" s="62"/>
      <c r="AL5" s="62"/>
      <c r="AM5" s="62"/>
      <c r="AN5" s="62"/>
      <c r="AO5" s="72" t="str">
        <f t="shared" si="5"/>
        <v>A</v>
      </c>
      <c r="AP5" s="62"/>
      <c r="AQ5" s="62"/>
      <c r="AR5" s="62"/>
      <c r="AS5" s="62"/>
      <c r="AT5" s="62"/>
      <c r="AU5" s="72" t="str">
        <f t="shared" si="6"/>
        <v>A</v>
      </c>
      <c r="AV5" s="62"/>
      <c r="AW5" s="62"/>
      <c r="AX5" s="62">
        <v>5</v>
      </c>
      <c r="AY5" s="62">
        <v>0</v>
      </c>
      <c r="AZ5" s="62">
        <v>3</v>
      </c>
      <c r="BA5" s="72">
        <f t="shared" si="7"/>
        <v>2.6666666666666665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3</v>
      </c>
      <c r="M6" s="62"/>
      <c r="N6" s="62">
        <v>3</v>
      </c>
      <c r="O6" s="62">
        <v>3</v>
      </c>
      <c r="P6" s="62"/>
      <c r="Q6" s="72">
        <f t="shared" si="1"/>
        <v>3</v>
      </c>
      <c r="R6" s="7"/>
      <c r="S6" s="7"/>
      <c r="T6" s="7"/>
      <c r="U6" s="7"/>
      <c r="V6" s="7"/>
      <c r="W6" s="72" t="str">
        <f t="shared" si="2"/>
        <v>A</v>
      </c>
      <c r="X6" s="7"/>
      <c r="Y6" s="7"/>
      <c r="Z6" s="7"/>
      <c r="AA6" s="7"/>
      <c r="AB6" s="7"/>
      <c r="AC6" s="72" t="str">
        <f t="shared" si="3"/>
        <v>A</v>
      </c>
      <c r="AD6" s="7"/>
      <c r="AE6" s="7"/>
      <c r="AF6" s="7"/>
      <c r="AG6" s="7"/>
      <c r="AH6" s="7"/>
      <c r="AI6" s="72" t="str">
        <f t="shared" si="4"/>
        <v>A</v>
      </c>
      <c r="AJ6" s="7"/>
      <c r="AK6" s="7"/>
      <c r="AL6" s="7"/>
      <c r="AM6" s="7"/>
      <c r="AN6" s="7"/>
      <c r="AO6" s="72" t="str">
        <f t="shared" si="5"/>
        <v>A</v>
      </c>
      <c r="AP6" s="7"/>
      <c r="AQ6" s="7"/>
      <c r="AR6" s="7"/>
      <c r="AS6" s="7"/>
      <c r="AT6" s="7"/>
      <c r="AU6" s="72" t="str">
        <f t="shared" si="6"/>
        <v>A</v>
      </c>
      <c r="AV6" s="7"/>
      <c r="AW6" s="7"/>
      <c r="AX6" s="62">
        <v>5</v>
      </c>
      <c r="AY6" s="62">
        <v>0</v>
      </c>
      <c r="AZ6" s="62">
        <v>3</v>
      </c>
      <c r="BA6" s="72">
        <f t="shared" si="7"/>
        <v>2.6666666666666665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3</v>
      </c>
      <c r="M7" s="62"/>
      <c r="N7" s="62">
        <v>3</v>
      </c>
      <c r="O7" s="62">
        <v>2</v>
      </c>
      <c r="P7" s="62"/>
      <c r="Q7" s="72">
        <f t="shared" si="1"/>
        <v>2.6666666666666665</v>
      </c>
      <c r="R7" s="62"/>
      <c r="S7" s="62"/>
      <c r="T7" s="62"/>
      <c r="U7" s="62"/>
      <c r="V7" s="62"/>
      <c r="W7" s="72" t="str">
        <f t="shared" si="2"/>
        <v>A</v>
      </c>
      <c r="X7" s="62"/>
      <c r="Y7" s="62"/>
      <c r="Z7" s="62"/>
      <c r="AA7" s="62"/>
      <c r="AB7" s="62"/>
      <c r="AC7" s="72" t="str">
        <f t="shared" si="3"/>
        <v>A</v>
      </c>
      <c r="AD7" s="62"/>
      <c r="AE7" s="62"/>
      <c r="AF7" s="62"/>
      <c r="AG7" s="62"/>
      <c r="AH7" s="62"/>
      <c r="AI7" s="72" t="str">
        <f t="shared" si="4"/>
        <v>A</v>
      </c>
      <c r="AJ7" s="62"/>
      <c r="AK7" s="62"/>
      <c r="AL7" s="62"/>
      <c r="AM7" s="62"/>
      <c r="AN7" s="62"/>
      <c r="AO7" s="72" t="str">
        <f t="shared" si="5"/>
        <v>A</v>
      </c>
      <c r="AP7" s="62"/>
      <c r="AQ7" s="62"/>
      <c r="AR7" s="62"/>
      <c r="AS7" s="62"/>
      <c r="AT7" s="62"/>
      <c r="AU7" s="72" t="str">
        <f t="shared" si="6"/>
        <v>A</v>
      </c>
      <c r="AV7" s="62"/>
      <c r="AW7" s="62"/>
      <c r="AX7" s="62">
        <v>4</v>
      </c>
      <c r="AY7" s="62">
        <v>2</v>
      </c>
      <c r="AZ7" s="62">
        <v>2</v>
      </c>
      <c r="BA7" s="72">
        <f t="shared" si="7"/>
        <v>2.6666666666666665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3</v>
      </c>
      <c r="M8" s="62"/>
      <c r="N8" s="62">
        <v>3</v>
      </c>
      <c r="O8" s="62">
        <v>2</v>
      </c>
      <c r="P8" s="62"/>
      <c r="Q8" s="72">
        <f t="shared" si="1"/>
        <v>2.6666666666666665</v>
      </c>
      <c r="R8" s="7"/>
      <c r="S8" s="7"/>
      <c r="T8" s="7"/>
      <c r="U8" s="7"/>
      <c r="V8" s="7"/>
      <c r="W8" s="72" t="str">
        <f t="shared" si="2"/>
        <v>A</v>
      </c>
      <c r="X8" s="7"/>
      <c r="Y8" s="7"/>
      <c r="Z8" s="7"/>
      <c r="AA8" s="7"/>
      <c r="AB8" s="7"/>
      <c r="AC8" s="72" t="str">
        <f t="shared" si="3"/>
        <v>A</v>
      </c>
      <c r="AD8" s="7"/>
      <c r="AE8" s="7"/>
      <c r="AF8" s="7"/>
      <c r="AG8" s="7"/>
      <c r="AH8" s="7"/>
      <c r="AI8" s="72" t="str">
        <f t="shared" si="4"/>
        <v>A</v>
      </c>
      <c r="AJ8" s="7"/>
      <c r="AK8" s="7"/>
      <c r="AL8" s="7"/>
      <c r="AM8" s="7"/>
      <c r="AN8" s="7"/>
      <c r="AO8" s="72" t="str">
        <f t="shared" si="5"/>
        <v>A</v>
      </c>
      <c r="AP8" s="7"/>
      <c r="AQ8" s="7"/>
      <c r="AR8" s="7"/>
      <c r="AS8" s="7"/>
      <c r="AT8" s="7"/>
      <c r="AU8" s="72" t="str">
        <f t="shared" si="6"/>
        <v>A</v>
      </c>
      <c r="AV8" s="7"/>
      <c r="AW8" s="7"/>
      <c r="AX8" s="62">
        <v>5</v>
      </c>
      <c r="AY8" s="62">
        <v>0</v>
      </c>
      <c r="AZ8" s="62">
        <v>2</v>
      </c>
      <c r="BA8" s="72">
        <f t="shared" si="7"/>
        <v>2.3333333333333335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0</v>
      </c>
      <c r="M9" s="62"/>
      <c r="N9" s="62">
        <v>0</v>
      </c>
      <c r="O9" s="62">
        <v>0</v>
      </c>
      <c r="P9" s="62"/>
      <c r="Q9" s="72">
        <f t="shared" si="1"/>
        <v>0</v>
      </c>
      <c r="R9" s="62"/>
      <c r="S9" s="62"/>
      <c r="T9" s="62"/>
      <c r="U9" s="62"/>
      <c r="V9" s="62"/>
      <c r="W9" s="72" t="str">
        <f t="shared" si="2"/>
        <v>A</v>
      </c>
      <c r="X9" s="62"/>
      <c r="Y9" s="62"/>
      <c r="Z9" s="62"/>
      <c r="AA9" s="62"/>
      <c r="AB9" s="62"/>
      <c r="AC9" s="72" t="str">
        <f t="shared" si="3"/>
        <v>A</v>
      </c>
      <c r="AD9" s="62"/>
      <c r="AE9" s="62"/>
      <c r="AF9" s="62"/>
      <c r="AG9" s="62"/>
      <c r="AH9" s="62"/>
      <c r="AI9" s="72" t="str">
        <f t="shared" si="4"/>
        <v>A</v>
      </c>
      <c r="AJ9" s="62"/>
      <c r="AK9" s="62"/>
      <c r="AL9" s="62"/>
      <c r="AM9" s="62"/>
      <c r="AN9" s="62"/>
      <c r="AO9" s="72" t="str">
        <f t="shared" si="5"/>
        <v>A</v>
      </c>
      <c r="AP9" s="62"/>
      <c r="AQ9" s="62"/>
      <c r="AR9" s="62"/>
      <c r="AS9" s="62"/>
      <c r="AT9" s="62"/>
      <c r="AU9" s="72" t="str">
        <f t="shared" si="6"/>
        <v>A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3</v>
      </c>
      <c r="M10" s="62"/>
      <c r="N10" s="62">
        <v>3</v>
      </c>
      <c r="O10" s="62">
        <v>2</v>
      </c>
      <c r="P10" s="62"/>
      <c r="Q10" s="72">
        <f t="shared" si="1"/>
        <v>2.6666666666666665</v>
      </c>
      <c r="R10" s="7"/>
      <c r="S10" s="7"/>
      <c r="T10" s="7"/>
      <c r="U10" s="7"/>
      <c r="V10" s="7"/>
      <c r="W10" s="72" t="str">
        <f t="shared" si="2"/>
        <v>A</v>
      </c>
      <c r="X10" s="7"/>
      <c r="Y10" s="7"/>
      <c r="Z10" s="7"/>
      <c r="AA10" s="7"/>
      <c r="AB10" s="7"/>
      <c r="AC10" s="72" t="str">
        <f t="shared" si="3"/>
        <v>A</v>
      </c>
      <c r="AD10" s="7"/>
      <c r="AE10" s="7"/>
      <c r="AF10" s="7"/>
      <c r="AG10" s="7"/>
      <c r="AH10" s="7"/>
      <c r="AI10" s="72" t="str">
        <f t="shared" si="4"/>
        <v>A</v>
      </c>
      <c r="AJ10" s="7"/>
      <c r="AK10" s="7"/>
      <c r="AL10" s="7"/>
      <c r="AM10" s="7"/>
      <c r="AN10" s="7"/>
      <c r="AO10" s="72" t="str">
        <f t="shared" si="5"/>
        <v>A</v>
      </c>
      <c r="AP10" s="7"/>
      <c r="AQ10" s="7"/>
      <c r="AR10" s="7"/>
      <c r="AS10" s="7"/>
      <c r="AT10" s="7"/>
      <c r="AU10" s="72" t="str">
        <f t="shared" si="6"/>
        <v>A</v>
      </c>
      <c r="AV10" s="7"/>
      <c r="AW10" s="7"/>
      <c r="AX10" s="62">
        <v>5</v>
      </c>
      <c r="AY10" s="62">
        <v>2</v>
      </c>
      <c r="AZ10" s="62">
        <v>2</v>
      </c>
      <c r="BA10" s="72">
        <f t="shared" si="7"/>
        <v>3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3</v>
      </c>
      <c r="M11" s="62"/>
      <c r="N11" s="62">
        <v>3</v>
      </c>
      <c r="O11" s="62">
        <v>2</v>
      </c>
      <c r="P11" s="62"/>
      <c r="Q11" s="72">
        <f t="shared" si="1"/>
        <v>2.6666666666666665</v>
      </c>
      <c r="R11" s="62"/>
      <c r="S11" s="62"/>
      <c r="T11" s="62"/>
      <c r="U11" s="62"/>
      <c r="V11" s="62"/>
      <c r="W11" s="72" t="str">
        <f t="shared" si="2"/>
        <v>A</v>
      </c>
      <c r="X11" s="62"/>
      <c r="Y11" s="62"/>
      <c r="Z11" s="62"/>
      <c r="AA11" s="62"/>
      <c r="AB11" s="62"/>
      <c r="AC11" s="72" t="str">
        <f t="shared" si="3"/>
        <v>A</v>
      </c>
      <c r="AD11" s="62"/>
      <c r="AE11" s="62"/>
      <c r="AF11" s="62"/>
      <c r="AG11" s="62"/>
      <c r="AH11" s="62"/>
      <c r="AI11" s="72" t="str">
        <f t="shared" si="4"/>
        <v>A</v>
      </c>
      <c r="AJ11" s="62"/>
      <c r="AK11" s="62"/>
      <c r="AL11" s="62"/>
      <c r="AM11" s="62"/>
      <c r="AN11" s="62"/>
      <c r="AO11" s="72" t="str">
        <f t="shared" si="5"/>
        <v>A</v>
      </c>
      <c r="AP11" s="62"/>
      <c r="AQ11" s="62"/>
      <c r="AR11" s="62"/>
      <c r="AS11" s="62"/>
      <c r="AT11" s="62"/>
      <c r="AU11" s="72" t="str">
        <f t="shared" si="6"/>
        <v>A</v>
      </c>
      <c r="AV11" s="62"/>
      <c r="AW11" s="62"/>
      <c r="AX11" s="62">
        <v>5</v>
      </c>
      <c r="AY11" s="62">
        <v>0</v>
      </c>
      <c r="AZ11" s="62">
        <v>2</v>
      </c>
      <c r="BA11" s="72">
        <f t="shared" si="7"/>
        <v>2.3333333333333335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3</v>
      </c>
      <c r="M12" s="62"/>
      <c r="N12" s="62">
        <v>2</v>
      </c>
      <c r="O12" s="62">
        <v>2</v>
      </c>
      <c r="P12" s="62"/>
      <c r="Q12" s="72">
        <f t="shared" si="1"/>
        <v>2.3333333333333335</v>
      </c>
      <c r="R12" s="7"/>
      <c r="S12" s="7"/>
      <c r="T12" s="7"/>
      <c r="U12" s="7"/>
      <c r="V12" s="7"/>
      <c r="W12" s="72" t="str">
        <f t="shared" si="2"/>
        <v>A</v>
      </c>
      <c r="X12" s="7"/>
      <c r="Y12" s="7"/>
      <c r="Z12" s="7"/>
      <c r="AA12" s="7"/>
      <c r="AB12" s="7"/>
      <c r="AC12" s="72" t="str">
        <f t="shared" si="3"/>
        <v>A</v>
      </c>
      <c r="AD12" s="7"/>
      <c r="AE12" s="7"/>
      <c r="AF12" s="7"/>
      <c r="AG12" s="7"/>
      <c r="AH12" s="7"/>
      <c r="AI12" s="72" t="str">
        <f t="shared" si="4"/>
        <v>A</v>
      </c>
      <c r="AJ12" s="7"/>
      <c r="AK12" s="7"/>
      <c r="AL12" s="7"/>
      <c r="AM12" s="7"/>
      <c r="AN12" s="7"/>
      <c r="AO12" s="72" t="str">
        <f t="shared" si="5"/>
        <v>A</v>
      </c>
      <c r="AP12" s="7"/>
      <c r="AQ12" s="7"/>
      <c r="AR12" s="7"/>
      <c r="AS12" s="7"/>
      <c r="AT12" s="7"/>
      <c r="AU12" s="72" t="str">
        <f t="shared" si="6"/>
        <v>A</v>
      </c>
      <c r="AV12" s="7"/>
      <c r="AW12" s="7"/>
      <c r="AX12" s="62">
        <v>5</v>
      </c>
      <c r="AY12" s="62">
        <v>0</v>
      </c>
      <c r="AZ12" s="62">
        <v>2</v>
      </c>
      <c r="BA12" s="72">
        <f t="shared" si="7"/>
        <v>2.3333333333333335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3</v>
      </c>
      <c r="M13" s="62"/>
      <c r="N13" s="62">
        <v>3</v>
      </c>
      <c r="O13" s="62">
        <v>2</v>
      </c>
      <c r="P13" s="62"/>
      <c r="Q13" s="72">
        <f t="shared" si="1"/>
        <v>2.6666666666666665</v>
      </c>
      <c r="R13" s="62"/>
      <c r="S13" s="62"/>
      <c r="T13" s="62"/>
      <c r="U13" s="62"/>
      <c r="V13" s="62"/>
      <c r="W13" s="72" t="str">
        <f t="shared" si="2"/>
        <v>A</v>
      </c>
      <c r="X13" s="62"/>
      <c r="Y13" s="62"/>
      <c r="Z13" s="62"/>
      <c r="AA13" s="62"/>
      <c r="AB13" s="62"/>
      <c r="AC13" s="72" t="str">
        <f t="shared" si="3"/>
        <v>A</v>
      </c>
      <c r="AD13" s="62"/>
      <c r="AE13" s="62"/>
      <c r="AF13" s="62"/>
      <c r="AG13" s="62"/>
      <c r="AH13" s="62"/>
      <c r="AI13" s="72" t="str">
        <f t="shared" si="4"/>
        <v>A</v>
      </c>
      <c r="AJ13" s="62"/>
      <c r="AK13" s="62"/>
      <c r="AL13" s="62"/>
      <c r="AM13" s="62"/>
      <c r="AN13" s="62"/>
      <c r="AO13" s="72" t="str">
        <f t="shared" si="5"/>
        <v>A</v>
      </c>
      <c r="AP13" s="62"/>
      <c r="AQ13" s="62"/>
      <c r="AR13" s="62"/>
      <c r="AS13" s="62"/>
      <c r="AT13" s="62"/>
      <c r="AU13" s="72" t="str">
        <f t="shared" si="6"/>
        <v>A</v>
      </c>
      <c r="AV13" s="62"/>
      <c r="AW13" s="62"/>
      <c r="AX13" s="62">
        <v>5</v>
      </c>
      <c r="AY13" s="62">
        <v>0</v>
      </c>
      <c r="AZ13" s="62">
        <v>2</v>
      </c>
      <c r="BA13" s="72">
        <f t="shared" si="7"/>
        <v>2.3333333333333335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4</v>
      </c>
      <c r="M14" s="62"/>
      <c r="N14" s="62">
        <v>4</v>
      </c>
      <c r="O14" s="62">
        <v>4</v>
      </c>
      <c r="P14" s="62"/>
      <c r="Q14" s="72">
        <f t="shared" si="1"/>
        <v>4</v>
      </c>
      <c r="R14" s="7"/>
      <c r="S14" s="7"/>
      <c r="T14" s="7"/>
      <c r="U14" s="7"/>
      <c r="V14" s="7"/>
      <c r="W14" s="72" t="str">
        <f t="shared" si="2"/>
        <v>A</v>
      </c>
      <c r="X14" s="7"/>
      <c r="Y14" s="7"/>
      <c r="Z14" s="7"/>
      <c r="AA14" s="7"/>
      <c r="AB14" s="7"/>
      <c r="AC14" s="72" t="str">
        <f t="shared" si="3"/>
        <v>A</v>
      </c>
      <c r="AD14" s="7"/>
      <c r="AE14" s="7"/>
      <c r="AF14" s="7"/>
      <c r="AG14" s="7"/>
      <c r="AH14" s="7"/>
      <c r="AI14" s="72" t="str">
        <f t="shared" si="4"/>
        <v>A</v>
      </c>
      <c r="AJ14" s="7"/>
      <c r="AK14" s="7"/>
      <c r="AL14" s="7"/>
      <c r="AM14" s="7"/>
      <c r="AN14" s="7"/>
      <c r="AO14" s="72" t="str">
        <f t="shared" si="5"/>
        <v>A</v>
      </c>
      <c r="AP14" s="7"/>
      <c r="AQ14" s="7"/>
      <c r="AR14" s="7"/>
      <c r="AS14" s="7"/>
      <c r="AT14" s="7"/>
      <c r="AU14" s="72" t="str">
        <f t="shared" si="6"/>
        <v>A</v>
      </c>
      <c r="AV14" s="7"/>
      <c r="AW14" s="7"/>
      <c r="AX14" s="62">
        <v>5</v>
      </c>
      <c r="AY14" s="62">
        <v>0</v>
      </c>
      <c r="AZ14" s="62">
        <v>4</v>
      </c>
      <c r="BA14" s="72">
        <f t="shared" si="7"/>
        <v>3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3</v>
      </c>
      <c r="M15" s="62"/>
      <c r="N15" s="62">
        <v>4</v>
      </c>
      <c r="O15" s="62">
        <v>4</v>
      </c>
      <c r="P15" s="62"/>
      <c r="Q15" s="72">
        <f t="shared" si="1"/>
        <v>3.6666666666666665</v>
      </c>
      <c r="R15" s="62"/>
      <c r="S15" s="62"/>
      <c r="T15" s="62"/>
      <c r="U15" s="62"/>
      <c r="V15" s="62"/>
      <c r="W15" s="72" t="str">
        <f t="shared" si="2"/>
        <v>A</v>
      </c>
      <c r="X15" s="62"/>
      <c r="Y15" s="62"/>
      <c r="Z15" s="62"/>
      <c r="AA15" s="62"/>
      <c r="AB15" s="62"/>
      <c r="AC15" s="72" t="str">
        <f t="shared" si="3"/>
        <v>A</v>
      </c>
      <c r="AD15" s="62"/>
      <c r="AE15" s="62"/>
      <c r="AF15" s="62"/>
      <c r="AG15" s="62"/>
      <c r="AH15" s="62"/>
      <c r="AI15" s="72" t="str">
        <f t="shared" si="4"/>
        <v>A</v>
      </c>
      <c r="AJ15" s="62"/>
      <c r="AK15" s="62"/>
      <c r="AL15" s="62"/>
      <c r="AM15" s="62"/>
      <c r="AN15" s="62"/>
      <c r="AO15" s="72" t="str">
        <f t="shared" si="5"/>
        <v>A</v>
      </c>
      <c r="AP15" s="62"/>
      <c r="AQ15" s="62"/>
      <c r="AR15" s="62"/>
      <c r="AS15" s="62"/>
      <c r="AT15" s="62"/>
      <c r="AU15" s="72" t="str">
        <f t="shared" si="6"/>
        <v>A</v>
      </c>
      <c r="AV15" s="62"/>
      <c r="AW15" s="62"/>
      <c r="AX15" s="62">
        <v>5</v>
      </c>
      <c r="AY15" s="62">
        <v>0</v>
      </c>
      <c r="AZ15" s="62">
        <v>4</v>
      </c>
      <c r="BA15" s="72">
        <f t="shared" si="7"/>
        <v>3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4</v>
      </c>
      <c r="M16" s="62"/>
      <c r="N16" s="62">
        <v>4</v>
      </c>
      <c r="O16" s="62">
        <v>3</v>
      </c>
      <c r="P16" s="62"/>
      <c r="Q16" s="72">
        <f t="shared" si="1"/>
        <v>3.6666666666666665</v>
      </c>
      <c r="R16" s="7"/>
      <c r="S16" s="7"/>
      <c r="T16" s="7"/>
      <c r="U16" s="7"/>
      <c r="V16" s="7"/>
      <c r="W16" s="72" t="str">
        <f t="shared" si="2"/>
        <v>A</v>
      </c>
      <c r="X16" s="7"/>
      <c r="Y16" s="7"/>
      <c r="Z16" s="7"/>
      <c r="AA16" s="7"/>
      <c r="AB16" s="7"/>
      <c r="AC16" s="72" t="str">
        <f t="shared" si="3"/>
        <v>A</v>
      </c>
      <c r="AD16" s="7"/>
      <c r="AE16" s="7"/>
      <c r="AF16" s="7"/>
      <c r="AG16" s="7"/>
      <c r="AH16" s="7"/>
      <c r="AI16" s="72" t="str">
        <f t="shared" si="4"/>
        <v>A</v>
      </c>
      <c r="AJ16" s="7"/>
      <c r="AK16" s="7"/>
      <c r="AL16" s="7"/>
      <c r="AM16" s="7"/>
      <c r="AN16" s="7"/>
      <c r="AO16" s="72" t="str">
        <f t="shared" si="5"/>
        <v>A</v>
      </c>
      <c r="AP16" s="7"/>
      <c r="AQ16" s="7"/>
      <c r="AR16" s="7"/>
      <c r="AS16" s="7"/>
      <c r="AT16" s="7"/>
      <c r="AU16" s="72" t="str">
        <f t="shared" si="6"/>
        <v>A</v>
      </c>
      <c r="AV16" s="7"/>
      <c r="AW16" s="7"/>
      <c r="AX16" s="62">
        <v>5</v>
      </c>
      <c r="AY16" s="62">
        <v>0</v>
      </c>
      <c r="AZ16" s="62">
        <v>3</v>
      </c>
      <c r="BA16" s="72">
        <f t="shared" si="7"/>
        <v>2.6666666666666665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4</v>
      </c>
      <c r="M17" s="62"/>
      <c r="N17" s="62">
        <v>4</v>
      </c>
      <c r="O17" s="62">
        <v>4</v>
      </c>
      <c r="P17" s="62"/>
      <c r="Q17" s="72">
        <f t="shared" si="1"/>
        <v>4</v>
      </c>
      <c r="R17" s="62"/>
      <c r="S17" s="62"/>
      <c r="T17" s="62"/>
      <c r="U17" s="62"/>
      <c r="V17" s="62"/>
      <c r="W17" s="72" t="str">
        <f t="shared" si="2"/>
        <v>A</v>
      </c>
      <c r="X17" s="62"/>
      <c r="Y17" s="62"/>
      <c r="Z17" s="62"/>
      <c r="AA17" s="62"/>
      <c r="AB17" s="62"/>
      <c r="AC17" s="72" t="str">
        <f t="shared" si="3"/>
        <v>A</v>
      </c>
      <c r="AD17" s="62"/>
      <c r="AE17" s="62"/>
      <c r="AF17" s="62"/>
      <c r="AG17" s="62"/>
      <c r="AH17" s="62"/>
      <c r="AI17" s="72" t="str">
        <f t="shared" si="4"/>
        <v>A</v>
      </c>
      <c r="AJ17" s="62"/>
      <c r="AK17" s="62"/>
      <c r="AL17" s="62"/>
      <c r="AM17" s="62"/>
      <c r="AN17" s="62"/>
      <c r="AO17" s="72" t="str">
        <f t="shared" si="5"/>
        <v>A</v>
      </c>
      <c r="AP17" s="62"/>
      <c r="AQ17" s="62"/>
      <c r="AR17" s="62"/>
      <c r="AS17" s="62"/>
      <c r="AT17" s="62"/>
      <c r="AU17" s="72" t="str">
        <f t="shared" si="6"/>
        <v>A</v>
      </c>
      <c r="AV17" s="62"/>
      <c r="AW17" s="62"/>
      <c r="AX17" s="62">
        <v>5</v>
      </c>
      <c r="AY17" s="62">
        <v>2</v>
      </c>
      <c r="AZ17" s="62">
        <v>4</v>
      </c>
      <c r="BA17" s="72">
        <f t="shared" si="7"/>
        <v>3.6666666666666665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3</v>
      </c>
      <c r="M18" s="62"/>
      <c r="N18" s="62">
        <v>3</v>
      </c>
      <c r="O18" s="62">
        <v>3</v>
      </c>
      <c r="P18" s="62"/>
      <c r="Q18" s="72">
        <f t="shared" si="1"/>
        <v>3</v>
      </c>
      <c r="R18" s="7"/>
      <c r="S18" s="7"/>
      <c r="T18" s="7"/>
      <c r="U18" s="7"/>
      <c r="V18" s="7"/>
      <c r="W18" s="72" t="str">
        <f t="shared" si="2"/>
        <v>A</v>
      </c>
      <c r="X18" s="7"/>
      <c r="Y18" s="7"/>
      <c r="Z18" s="7"/>
      <c r="AA18" s="7"/>
      <c r="AB18" s="7"/>
      <c r="AC18" s="72" t="str">
        <f t="shared" si="3"/>
        <v>A</v>
      </c>
      <c r="AD18" s="7"/>
      <c r="AE18" s="7"/>
      <c r="AF18" s="7"/>
      <c r="AG18" s="7"/>
      <c r="AH18" s="7"/>
      <c r="AI18" s="72" t="str">
        <f t="shared" si="4"/>
        <v>A</v>
      </c>
      <c r="AJ18" s="7"/>
      <c r="AK18" s="7"/>
      <c r="AL18" s="7"/>
      <c r="AM18" s="7"/>
      <c r="AN18" s="7"/>
      <c r="AO18" s="72" t="str">
        <f t="shared" si="5"/>
        <v>A</v>
      </c>
      <c r="AP18" s="7"/>
      <c r="AQ18" s="7"/>
      <c r="AR18" s="7"/>
      <c r="AS18" s="7"/>
      <c r="AT18" s="7"/>
      <c r="AU18" s="72" t="str">
        <f t="shared" si="6"/>
        <v>A</v>
      </c>
      <c r="AV18" s="7"/>
      <c r="AW18" s="7"/>
      <c r="AX18" s="62">
        <v>5</v>
      </c>
      <c r="AY18" s="62">
        <v>0</v>
      </c>
      <c r="AZ18" s="62">
        <v>3</v>
      </c>
      <c r="BA18" s="72">
        <f t="shared" si="7"/>
        <v>2.6666666666666665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4</v>
      </c>
      <c r="M19" s="62"/>
      <c r="N19" s="62">
        <v>4</v>
      </c>
      <c r="O19" s="62">
        <v>3</v>
      </c>
      <c r="P19" s="62"/>
      <c r="Q19" s="72">
        <f t="shared" si="1"/>
        <v>3.6666666666666665</v>
      </c>
      <c r="R19" s="62"/>
      <c r="S19" s="62"/>
      <c r="T19" s="62"/>
      <c r="U19" s="62"/>
      <c r="V19" s="62"/>
      <c r="W19" s="72" t="str">
        <f t="shared" si="2"/>
        <v>A</v>
      </c>
      <c r="X19" s="62"/>
      <c r="Y19" s="62"/>
      <c r="Z19" s="62"/>
      <c r="AA19" s="62"/>
      <c r="AB19" s="62"/>
      <c r="AC19" s="72" t="str">
        <f t="shared" si="3"/>
        <v>A</v>
      </c>
      <c r="AD19" s="62"/>
      <c r="AE19" s="62"/>
      <c r="AF19" s="62"/>
      <c r="AG19" s="62"/>
      <c r="AH19" s="62"/>
      <c r="AI19" s="72" t="str">
        <f t="shared" si="4"/>
        <v>A</v>
      </c>
      <c r="AJ19" s="62"/>
      <c r="AK19" s="62"/>
      <c r="AL19" s="62"/>
      <c r="AM19" s="62"/>
      <c r="AN19" s="62"/>
      <c r="AO19" s="72" t="str">
        <f t="shared" si="5"/>
        <v>A</v>
      </c>
      <c r="AP19" s="62"/>
      <c r="AQ19" s="62"/>
      <c r="AR19" s="62"/>
      <c r="AS19" s="62"/>
      <c r="AT19" s="62"/>
      <c r="AU19" s="72" t="str">
        <f t="shared" si="6"/>
        <v>A</v>
      </c>
      <c r="AV19" s="62"/>
      <c r="AW19" s="62"/>
      <c r="AX19" s="62">
        <v>5</v>
      </c>
      <c r="AY19" s="62">
        <v>2</v>
      </c>
      <c r="AZ19" s="62">
        <v>3</v>
      </c>
      <c r="BA19" s="72">
        <f t="shared" si="7"/>
        <v>3.3333333333333335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/>
      <c r="N20" s="62">
        <v>3</v>
      </c>
      <c r="O20" s="62">
        <v>2</v>
      </c>
      <c r="P20" s="62"/>
      <c r="Q20" s="72">
        <f t="shared" si="1"/>
        <v>2.6666666666666665</v>
      </c>
      <c r="R20" s="7"/>
      <c r="S20" s="7"/>
      <c r="T20" s="7"/>
      <c r="U20" s="7"/>
      <c r="V20" s="7"/>
      <c r="W20" s="72" t="str">
        <f t="shared" si="2"/>
        <v>A</v>
      </c>
      <c r="X20" s="7"/>
      <c r="Y20" s="7"/>
      <c r="Z20" s="7"/>
      <c r="AA20" s="7"/>
      <c r="AB20" s="7"/>
      <c r="AC20" s="72" t="str">
        <f t="shared" si="3"/>
        <v>A</v>
      </c>
      <c r="AD20" s="7"/>
      <c r="AE20" s="7"/>
      <c r="AF20" s="7"/>
      <c r="AG20" s="7"/>
      <c r="AH20" s="7"/>
      <c r="AI20" s="72" t="str">
        <f t="shared" si="4"/>
        <v>A</v>
      </c>
      <c r="AJ20" s="7"/>
      <c r="AK20" s="7"/>
      <c r="AL20" s="7"/>
      <c r="AM20" s="7"/>
      <c r="AN20" s="7"/>
      <c r="AO20" s="72" t="str">
        <f t="shared" si="5"/>
        <v>A</v>
      </c>
      <c r="AP20" s="7"/>
      <c r="AQ20" s="7"/>
      <c r="AR20" s="7"/>
      <c r="AS20" s="7"/>
      <c r="AT20" s="7"/>
      <c r="AU20" s="72" t="str">
        <f t="shared" si="6"/>
        <v>A</v>
      </c>
      <c r="AV20" s="7"/>
      <c r="AW20" s="7"/>
      <c r="AX20" s="62">
        <v>5</v>
      </c>
      <c r="AY20" s="62">
        <v>0</v>
      </c>
      <c r="AZ20" s="62">
        <v>2</v>
      </c>
      <c r="BA20" s="72">
        <f t="shared" si="7"/>
        <v>2.3333333333333335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1</v>
      </c>
      <c r="M21" s="62"/>
      <c r="N21" s="62">
        <v>1</v>
      </c>
      <c r="O21" s="62">
        <v>1</v>
      </c>
      <c r="P21" s="62"/>
      <c r="Q21" s="72">
        <f t="shared" si="1"/>
        <v>1</v>
      </c>
      <c r="R21" s="62"/>
      <c r="S21" s="62"/>
      <c r="T21" s="62"/>
      <c r="U21" s="62"/>
      <c r="V21" s="62"/>
      <c r="W21" s="72" t="str">
        <f t="shared" si="2"/>
        <v>A</v>
      </c>
      <c r="X21" s="62"/>
      <c r="Y21" s="62"/>
      <c r="Z21" s="62"/>
      <c r="AA21" s="62"/>
      <c r="AB21" s="62"/>
      <c r="AC21" s="72" t="str">
        <f t="shared" si="3"/>
        <v>A</v>
      </c>
      <c r="AD21" s="62"/>
      <c r="AE21" s="62"/>
      <c r="AF21" s="62"/>
      <c r="AG21" s="62"/>
      <c r="AH21" s="62"/>
      <c r="AI21" s="72" t="str">
        <f t="shared" si="4"/>
        <v>A</v>
      </c>
      <c r="AJ21" s="62"/>
      <c r="AK21" s="62"/>
      <c r="AL21" s="62"/>
      <c r="AM21" s="62"/>
      <c r="AN21" s="62"/>
      <c r="AO21" s="72" t="str">
        <f t="shared" si="5"/>
        <v>A</v>
      </c>
      <c r="AP21" s="62"/>
      <c r="AQ21" s="62"/>
      <c r="AR21" s="62"/>
      <c r="AS21" s="62"/>
      <c r="AT21" s="62"/>
      <c r="AU21" s="72" t="str">
        <f t="shared" si="6"/>
        <v>A</v>
      </c>
      <c r="AV21" s="62"/>
      <c r="AW21" s="62"/>
      <c r="AX21" s="62">
        <v>1</v>
      </c>
      <c r="AY21" s="62">
        <v>0</v>
      </c>
      <c r="AZ21" s="62">
        <v>1</v>
      </c>
      <c r="BA21" s="72">
        <f t="shared" si="7"/>
        <v>0.66666666666666663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/>
      <c r="N22" s="62">
        <v>3</v>
      </c>
      <c r="O22" s="62">
        <v>3</v>
      </c>
      <c r="P22" s="62"/>
      <c r="Q22" s="72">
        <f t="shared" si="1"/>
        <v>3</v>
      </c>
      <c r="R22" s="7"/>
      <c r="S22" s="7"/>
      <c r="T22" s="7"/>
      <c r="U22" s="7"/>
      <c r="V22" s="7"/>
      <c r="W22" s="72" t="str">
        <f t="shared" si="2"/>
        <v>A</v>
      </c>
      <c r="X22" s="7"/>
      <c r="Y22" s="7"/>
      <c r="Z22" s="7"/>
      <c r="AA22" s="7"/>
      <c r="AB22" s="7"/>
      <c r="AC22" s="72" t="str">
        <f t="shared" si="3"/>
        <v>A</v>
      </c>
      <c r="AD22" s="7"/>
      <c r="AE22" s="7"/>
      <c r="AF22" s="7"/>
      <c r="AG22" s="7"/>
      <c r="AH22" s="7"/>
      <c r="AI22" s="72" t="str">
        <f t="shared" si="4"/>
        <v>A</v>
      </c>
      <c r="AJ22" s="7"/>
      <c r="AK22" s="7"/>
      <c r="AL22" s="7"/>
      <c r="AM22" s="7"/>
      <c r="AN22" s="7"/>
      <c r="AO22" s="72" t="str">
        <f t="shared" si="5"/>
        <v>A</v>
      </c>
      <c r="AP22" s="7"/>
      <c r="AQ22" s="7"/>
      <c r="AR22" s="7"/>
      <c r="AS22" s="7"/>
      <c r="AT22" s="7"/>
      <c r="AU22" s="72" t="str">
        <f t="shared" si="6"/>
        <v>A</v>
      </c>
      <c r="AV22" s="7"/>
      <c r="AW22" s="7"/>
      <c r="AX22" s="62">
        <v>5</v>
      </c>
      <c r="AY22" s="62">
        <v>0</v>
      </c>
      <c r="AZ22" s="62">
        <v>3</v>
      </c>
      <c r="BA22" s="72">
        <f t="shared" si="7"/>
        <v>2.6666666666666665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3</v>
      </c>
      <c r="M23" s="62"/>
      <c r="N23" s="62">
        <v>3</v>
      </c>
      <c r="O23" s="62">
        <v>2</v>
      </c>
      <c r="P23" s="62"/>
      <c r="Q23" s="72">
        <f t="shared" si="1"/>
        <v>2.6666666666666665</v>
      </c>
      <c r="R23" s="62"/>
      <c r="S23" s="62"/>
      <c r="T23" s="62"/>
      <c r="U23" s="62"/>
      <c r="V23" s="62"/>
      <c r="W23" s="72" t="str">
        <f t="shared" si="2"/>
        <v>A</v>
      </c>
      <c r="X23" s="62"/>
      <c r="Y23" s="62"/>
      <c r="Z23" s="62"/>
      <c r="AA23" s="62"/>
      <c r="AB23" s="62"/>
      <c r="AC23" s="72" t="str">
        <f t="shared" si="3"/>
        <v>A</v>
      </c>
      <c r="AD23" s="62"/>
      <c r="AE23" s="62"/>
      <c r="AF23" s="62"/>
      <c r="AG23" s="62"/>
      <c r="AH23" s="62"/>
      <c r="AI23" s="72" t="str">
        <f t="shared" si="4"/>
        <v>A</v>
      </c>
      <c r="AJ23" s="62"/>
      <c r="AK23" s="62"/>
      <c r="AL23" s="62"/>
      <c r="AM23" s="62"/>
      <c r="AN23" s="62"/>
      <c r="AO23" s="72" t="str">
        <f t="shared" si="5"/>
        <v>A</v>
      </c>
      <c r="AP23" s="62"/>
      <c r="AQ23" s="62"/>
      <c r="AR23" s="62"/>
      <c r="AS23" s="62"/>
      <c r="AT23" s="62"/>
      <c r="AU23" s="72" t="str">
        <f t="shared" si="6"/>
        <v>A</v>
      </c>
      <c r="AV23" s="62"/>
      <c r="AW23" s="62"/>
      <c r="AX23" s="62">
        <v>5</v>
      </c>
      <c r="AY23" s="62">
        <v>0</v>
      </c>
      <c r="AZ23" s="62">
        <v>2</v>
      </c>
      <c r="BA23" s="72">
        <f t="shared" si="7"/>
        <v>2.3333333333333335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1</v>
      </c>
      <c r="M24" s="62"/>
      <c r="N24" s="62">
        <v>1</v>
      </c>
      <c r="O24" s="62">
        <v>1</v>
      </c>
      <c r="P24" s="62"/>
      <c r="Q24" s="72">
        <f t="shared" si="1"/>
        <v>1</v>
      </c>
      <c r="R24" s="7"/>
      <c r="S24" s="7"/>
      <c r="T24" s="7"/>
      <c r="U24" s="7"/>
      <c r="V24" s="7"/>
      <c r="W24" s="72" t="str">
        <f t="shared" si="2"/>
        <v>A</v>
      </c>
      <c r="X24" s="7"/>
      <c r="Y24" s="7"/>
      <c r="Z24" s="7"/>
      <c r="AA24" s="7"/>
      <c r="AB24" s="7"/>
      <c r="AC24" s="72" t="str">
        <f t="shared" si="3"/>
        <v>A</v>
      </c>
      <c r="AD24" s="7"/>
      <c r="AE24" s="7"/>
      <c r="AF24" s="7"/>
      <c r="AG24" s="7"/>
      <c r="AH24" s="7"/>
      <c r="AI24" s="72" t="str">
        <f t="shared" si="4"/>
        <v>A</v>
      </c>
      <c r="AJ24" s="7"/>
      <c r="AK24" s="7"/>
      <c r="AL24" s="7"/>
      <c r="AM24" s="7"/>
      <c r="AN24" s="7"/>
      <c r="AO24" s="72" t="str">
        <f t="shared" si="5"/>
        <v>A</v>
      </c>
      <c r="AP24" s="7"/>
      <c r="AQ24" s="7"/>
      <c r="AR24" s="7"/>
      <c r="AS24" s="7"/>
      <c r="AT24" s="7"/>
      <c r="AU24" s="72" t="str">
        <f t="shared" si="6"/>
        <v>A</v>
      </c>
      <c r="AV24" s="7"/>
      <c r="AW24" s="7"/>
      <c r="AX24" s="62">
        <v>1</v>
      </c>
      <c r="AY24" s="62">
        <v>0</v>
      </c>
      <c r="AZ24" s="62">
        <v>1</v>
      </c>
      <c r="BA24" s="72">
        <f t="shared" si="7"/>
        <v>0.66666666666666663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0</v>
      </c>
      <c r="M25" s="62"/>
      <c r="N25" s="62">
        <v>0</v>
      </c>
      <c r="O25" s="62">
        <v>0</v>
      </c>
      <c r="P25" s="62"/>
      <c r="Q25" s="72">
        <f t="shared" si="1"/>
        <v>0</v>
      </c>
      <c r="R25" s="62"/>
      <c r="S25" s="62"/>
      <c r="T25" s="62"/>
      <c r="U25" s="62"/>
      <c r="V25" s="62"/>
      <c r="W25" s="72" t="str">
        <f t="shared" si="2"/>
        <v>A</v>
      </c>
      <c r="X25" s="62"/>
      <c r="Y25" s="62"/>
      <c r="Z25" s="62"/>
      <c r="AA25" s="62"/>
      <c r="AB25" s="62"/>
      <c r="AC25" s="72" t="str">
        <f t="shared" si="3"/>
        <v>A</v>
      </c>
      <c r="AD25" s="62"/>
      <c r="AE25" s="62"/>
      <c r="AF25" s="62"/>
      <c r="AG25" s="62"/>
      <c r="AH25" s="62"/>
      <c r="AI25" s="72" t="str">
        <f t="shared" si="4"/>
        <v>A</v>
      </c>
      <c r="AJ25" s="62"/>
      <c r="AK25" s="62"/>
      <c r="AL25" s="62"/>
      <c r="AM25" s="62"/>
      <c r="AN25" s="62"/>
      <c r="AO25" s="72" t="str">
        <f t="shared" si="5"/>
        <v>A</v>
      </c>
      <c r="AP25" s="62"/>
      <c r="AQ25" s="62"/>
      <c r="AR25" s="62"/>
      <c r="AS25" s="62"/>
      <c r="AT25" s="62"/>
      <c r="AU25" s="72" t="str">
        <f t="shared" si="6"/>
        <v>A</v>
      </c>
      <c r="AV25" s="62"/>
      <c r="AW25" s="62"/>
      <c r="AX25" s="62">
        <v>0</v>
      </c>
      <c r="AY25" s="62">
        <v>0</v>
      </c>
      <c r="AZ25" s="62">
        <v>0</v>
      </c>
      <c r="BA25" s="72">
        <f t="shared" si="7"/>
        <v>0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3</v>
      </c>
      <c r="M26" s="62"/>
      <c r="N26" s="62">
        <v>3</v>
      </c>
      <c r="O26" s="62">
        <v>2</v>
      </c>
      <c r="P26" s="62"/>
      <c r="Q26" s="72">
        <f t="shared" si="1"/>
        <v>2.6666666666666665</v>
      </c>
      <c r="R26" s="7"/>
      <c r="S26" s="7"/>
      <c r="T26" s="7"/>
      <c r="U26" s="7"/>
      <c r="V26" s="7"/>
      <c r="W26" s="72" t="str">
        <f t="shared" si="2"/>
        <v>A</v>
      </c>
      <c r="X26" s="7"/>
      <c r="Y26" s="7"/>
      <c r="Z26" s="7"/>
      <c r="AA26" s="7"/>
      <c r="AB26" s="7"/>
      <c r="AC26" s="72" t="str">
        <f t="shared" si="3"/>
        <v>A</v>
      </c>
      <c r="AD26" s="7"/>
      <c r="AE26" s="7"/>
      <c r="AF26" s="7"/>
      <c r="AG26" s="7"/>
      <c r="AH26" s="7"/>
      <c r="AI26" s="72" t="str">
        <f t="shared" si="4"/>
        <v>A</v>
      </c>
      <c r="AJ26" s="7"/>
      <c r="AK26" s="7"/>
      <c r="AL26" s="7"/>
      <c r="AM26" s="7"/>
      <c r="AN26" s="7"/>
      <c r="AO26" s="72" t="str">
        <f t="shared" si="5"/>
        <v>A</v>
      </c>
      <c r="AP26" s="7"/>
      <c r="AQ26" s="7"/>
      <c r="AR26" s="7"/>
      <c r="AS26" s="7"/>
      <c r="AT26" s="7"/>
      <c r="AU26" s="72" t="str">
        <f t="shared" si="6"/>
        <v>A</v>
      </c>
      <c r="AV26" s="7"/>
      <c r="AW26" s="7"/>
      <c r="AX26" s="62">
        <v>5</v>
      </c>
      <c r="AY26" s="62">
        <v>0</v>
      </c>
      <c r="AZ26" s="62">
        <v>2</v>
      </c>
      <c r="BA26" s="72">
        <f t="shared" si="7"/>
        <v>2.3333333333333335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/>
      <c r="N27" s="62">
        <v>3</v>
      </c>
      <c r="O27" s="62">
        <v>2</v>
      </c>
      <c r="P27" s="62"/>
      <c r="Q27" s="72">
        <f t="shared" si="1"/>
        <v>2.6666666666666665</v>
      </c>
      <c r="R27" s="62"/>
      <c r="S27" s="62"/>
      <c r="T27" s="62"/>
      <c r="U27" s="62"/>
      <c r="V27" s="62"/>
      <c r="W27" s="72" t="str">
        <f t="shared" si="2"/>
        <v>A</v>
      </c>
      <c r="X27" s="62"/>
      <c r="Y27" s="62"/>
      <c r="Z27" s="62"/>
      <c r="AA27" s="62"/>
      <c r="AB27" s="62"/>
      <c r="AC27" s="72" t="str">
        <f t="shared" si="3"/>
        <v>A</v>
      </c>
      <c r="AD27" s="62"/>
      <c r="AE27" s="62"/>
      <c r="AF27" s="62"/>
      <c r="AG27" s="62"/>
      <c r="AH27" s="62"/>
      <c r="AI27" s="72" t="str">
        <f t="shared" si="4"/>
        <v>A</v>
      </c>
      <c r="AJ27" s="62"/>
      <c r="AK27" s="62"/>
      <c r="AL27" s="62"/>
      <c r="AM27" s="62"/>
      <c r="AN27" s="62"/>
      <c r="AO27" s="72" t="str">
        <f t="shared" si="5"/>
        <v>A</v>
      </c>
      <c r="AP27" s="62"/>
      <c r="AQ27" s="62"/>
      <c r="AR27" s="62"/>
      <c r="AS27" s="62"/>
      <c r="AT27" s="62"/>
      <c r="AU27" s="72" t="str">
        <f t="shared" si="6"/>
        <v>A</v>
      </c>
      <c r="AV27" s="62"/>
      <c r="AW27" s="62"/>
      <c r="AX27" s="62">
        <v>5</v>
      </c>
      <c r="AY27" s="62">
        <v>0</v>
      </c>
      <c r="AZ27" s="62">
        <v>2</v>
      </c>
      <c r="BA27" s="72">
        <f t="shared" si="7"/>
        <v>2.3333333333333335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3</v>
      </c>
      <c r="M28" s="62"/>
      <c r="N28" s="62">
        <v>3</v>
      </c>
      <c r="O28" s="62">
        <v>3</v>
      </c>
      <c r="P28" s="62"/>
      <c r="Q28" s="72">
        <f t="shared" si="1"/>
        <v>3</v>
      </c>
      <c r="R28" s="7"/>
      <c r="S28" s="7"/>
      <c r="T28" s="7"/>
      <c r="U28" s="7"/>
      <c r="V28" s="7"/>
      <c r="W28" s="72" t="str">
        <f t="shared" si="2"/>
        <v>A</v>
      </c>
      <c r="X28" s="7"/>
      <c r="Y28" s="7"/>
      <c r="Z28" s="7"/>
      <c r="AA28" s="7"/>
      <c r="AB28" s="7"/>
      <c r="AC28" s="72" t="str">
        <f t="shared" si="3"/>
        <v>A</v>
      </c>
      <c r="AD28" s="7"/>
      <c r="AE28" s="7"/>
      <c r="AF28" s="7"/>
      <c r="AG28" s="7"/>
      <c r="AH28" s="7"/>
      <c r="AI28" s="72" t="str">
        <f t="shared" si="4"/>
        <v>A</v>
      </c>
      <c r="AJ28" s="7"/>
      <c r="AK28" s="7"/>
      <c r="AL28" s="7"/>
      <c r="AM28" s="7"/>
      <c r="AN28" s="7"/>
      <c r="AO28" s="72" t="str">
        <f t="shared" si="5"/>
        <v>A</v>
      </c>
      <c r="AP28" s="7"/>
      <c r="AQ28" s="7"/>
      <c r="AR28" s="7"/>
      <c r="AS28" s="7"/>
      <c r="AT28" s="7"/>
      <c r="AU28" s="72" t="str">
        <f t="shared" si="6"/>
        <v>A</v>
      </c>
      <c r="AV28" s="7"/>
      <c r="AW28" s="7"/>
      <c r="AX28" s="62">
        <v>5</v>
      </c>
      <c r="AY28" s="62">
        <v>2</v>
      </c>
      <c r="AZ28" s="62">
        <v>3</v>
      </c>
      <c r="BA28" s="72">
        <f t="shared" si="7"/>
        <v>3.3333333333333335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3</v>
      </c>
      <c r="M29" s="62"/>
      <c r="N29" s="62">
        <v>2</v>
      </c>
      <c r="O29" s="62">
        <v>2</v>
      </c>
      <c r="P29" s="62"/>
      <c r="Q29" s="72">
        <f t="shared" si="1"/>
        <v>2.3333333333333335</v>
      </c>
      <c r="R29" s="62"/>
      <c r="S29" s="62"/>
      <c r="T29" s="62"/>
      <c r="U29" s="62"/>
      <c r="V29" s="62"/>
      <c r="W29" s="72" t="str">
        <f t="shared" si="2"/>
        <v>A</v>
      </c>
      <c r="X29" s="62"/>
      <c r="Y29" s="62"/>
      <c r="Z29" s="62"/>
      <c r="AA29" s="62"/>
      <c r="AB29" s="62"/>
      <c r="AC29" s="72" t="str">
        <f t="shared" si="3"/>
        <v>A</v>
      </c>
      <c r="AD29" s="62"/>
      <c r="AE29" s="62"/>
      <c r="AF29" s="62"/>
      <c r="AG29" s="62"/>
      <c r="AH29" s="62"/>
      <c r="AI29" s="72" t="str">
        <f t="shared" si="4"/>
        <v>A</v>
      </c>
      <c r="AJ29" s="62"/>
      <c r="AK29" s="62"/>
      <c r="AL29" s="62"/>
      <c r="AM29" s="62"/>
      <c r="AN29" s="62"/>
      <c r="AO29" s="72" t="str">
        <f t="shared" si="5"/>
        <v>A</v>
      </c>
      <c r="AP29" s="62"/>
      <c r="AQ29" s="62"/>
      <c r="AR29" s="62"/>
      <c r="AS29" s="62"/>
      <c r="AT29" s="62"/>
      <c r="AU29" s="72" t="str">
        <f t="shared" si="6"/>
        <v>A</v>
      </c>
      <c r="AV29" s="62"/>
      <c r="AW29" s="62"/>
      <c r="AX29" s="62">
        <v>5</v>
      </c>
      <c r="AY29" s="62">
        <v>0</v>
      </c>
      <c r="AZ29" s="62">
        <v>2</v>
      </c>
      <c r="BA29" s="72">
        <f t="shared" si="7"/>
        <v>2.3333333333333335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3</v>
      </c>
      <c r="M30" s="62"/>
      <c r="N30" s="62">
        <v>2</v>
      </c>
      <c r="O30" s="62">
        <v>2</v>
      </c>
      <c r="P30" s="62"/>
      <c r="Q30" s="72">
        <f t="shared" si="1"/>
        <v>2.3333333333333335</v>
      </c>
      <c r="R30" s="7"/>
      <c r="S30" s="7"/>
      <c r="T30" s="7"/>
      <c r="U30" s="7"/>
      <c r="V30" s="7"/>
      <c r="W30" s="72" t="str">
        <f t="shared" si="2"/>
        <v>A</v>
      </c>
      <c r="X30" s="7"/>
      <c r="Y30" s="7"/>
      <c r="Z30" s="7"/>
      <c r="AA30" s="7"/>
      <c r="AB30" s="7"/>
      <c r="AC30" s="72" t="str">
        <f t="shared" si="3"/>
        <v>A</v>
      </c>
      <c r="AD30" s="7"/>
      <c r="AE30" s="7"/>
      <c r="AF30" s="7"/>
      <c r="AG30" s="7"/>
      <c r="AH30" s="7"/>
      <c r="AI30" s="72" t="str">
        <f t="shared" si="4"/>
        <v>A</v>
      </c>
      <c r="AJ30" s="7"/>
      <c r="AK30" s="7"/>
      <c r="AL30" s="7"/>
      <c r="AM30" s="7"/>
      <c r="AN30" s="7"/>
      <c r="AO30" s="72" t="str">
        <f t="shared" si="5"/>
        <v>A</v>
      </c>
      <c r="AP30" s="7"/>
      <c r="AQ30" s="7"/>
      <c r="AR30" s="7"/>
      <c r="AS30" s="7"/>
      <c r="AT30" s="7"/>
      <c r="AU30" s="72" t="str">
        <f t="shared" si="6"/>
        <v>A</v>
      </c>
      <c r="AV30" s="7"/>
      <c r="AW30" s="7"/>
      <c r="AX30" s="62">
        <v>5</v>
      </c>
      <c r="AY30" s="62">
        <v>0</v>
      </c>
      <c r="AZ30" s="62">
        <v>2</v>
      </c>
      <c r="BA30" s="72">
        <f t="shared" si="7"/>
        <v>2.3333333333333335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3</v>
      </c>
      <c r="M31" s="62"/>
      <c r="N31" s="62">
        <v>3</v>
      </c>
      <c r="O31" s="62">
        <v>2</v>
      </c>
      <c r="P31" s="62"/>
      <c r="Q31" s="72">
        <f t="shared" si="1"/>
        <v>2.6666666666666665</v>
      </c>
      <c r="R31" s="62"/>
      <c r="S31" s="62"/>
      <c r="T31" s="62"/>
      <c r="U31" s="62"/>
      <c r="V31" s="62"/>
      <c r="W31" s="72" t="str">
        <f t="shared" si="2"/>
        <v>A</v>
      </c>
      <c r="X31" s="62"/>
      <c r="Y31" s="62"/>
      <c r="Z31" s="62"/>
      <c r="AA31" s="62"/>
      <c r="AB31" s="62"/>
      <c r="AC31" s="72" t="str">
        <f t="shared" si="3"/>
        <v>A</v>
      </c>
      <c r="AD31" s="62"/>
      <c r="AE31" s="62"/>
      <c r="AF31" s="62"/>
      <c r="AG31" s="62"/>
      <c r="AH31" s="62"/>
      <c r="AI31" s="72" t="str">
        <f t="shared" si="4"/>
        <v>A</v>
      </c>
      <c r="AJ31" s="62"/>
      <c r="AK31" s="62"/>
      <c r="AL31" s="62"/>
      <c r="AM31" s="62"/>
      <c r="AN31" s="62"/>
      <c r="AO31" s="72" t="str">
        <f t="shared" si="5"/>
        <v>A</v>
      </c>
      <c r="AP31" s="62"/>
      <c r="AQ31" s="62"/>
      <c r="AR31" s="62"/>
      <c r="AS31" s="62"/>
      <c r="AT31" s="62"/>
      <c r="AU31" s="72" t="str">
        <f t="shared" si="6"/>
        <v>A</v>
      </c>
      <c r="AV31" s="62"/>
      <c r="AW31" s="62"/>
      <c r="AX31" s="62">
        <v>5</v>
      </c>
      <c r="AY31" s="62">
        <v>2</v>
      </c>
      <c r="AZ31" s="62">
        <v>2</v>
      </c>
      <c r="BA31" s="72">
        <f t="shared" si="7"/>
        <v>3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3</v>
      </c>
      <c r="M32" s="62"/>
      <c r="N32" s="62">
        <v>3</v>
      </c>
      <c r="O32" s="62">
        <v>4</v>
      </c>
      <c r="P32" s="62"/>
      <c r="Q32" s="72">
        <f t="shared" si="1"/>
        <v>3.3333333333333335</v>
      </c>
      <c r="R32" s="7"/>
      <c r="S32" s="7"/>
      <c r="T32" s="7"/>
      <c r="U32" s="7"/>
      <c r="V32" s="7"/>
      <c r="W32" s="72" t="str">
        <f t="shared" si="2"/>
        <v>A</v>
      </c>
      <c r="X32" s="7"/>
      <c r="Y32" s="7"/>
      <c r="Z32" s="7"/>
      <c r="AA32" s="7"/>
      <c r="AB32" s="7"/>
      <c r="AC32" s="72" t="str">
        <f t="shared" si="3"/>
        <v>A</v>
      </c>
      <c r="AD32" s="7"/>
      <c r="AE32" s="7"/>
      <c r="AF32" s="7"/>
      <c r="AG32" s="7"/>
      <c r="AH32" s="7"/>
      <c r="AI32" s="72" t="str">
        <f t="shared" si="4"/>
        <v>A</v>
      </c>
      <c r="AJ32" s="7"/>
      <c r="AK32" s="7"/>
      <c r="AL32" s="7"/>
      <c r="AM32" s="7"/>
      <c r="AN32" s="7"/>
      <c r="AO32" s="72" t="str">
        <f t="shared" si="5"/>
        <v>A</v>
      </c>
      <c r="AP32" s="7"/>
      <c r="AQ32" s="7"/>
      <c r="AR32" s="7"/>
      <c r="AS32" s="7"/>
      <c r="AT32" s="7"/>
      <c r="AU32" s="72" t="str">
        <f t="shared" si="6"/>
        <v>A</v>
      </c>
      <c r="AV32" s="7"/>
      <c r="AW32" s="7"/>
      <c r="AX32" s="62">
        <v>5</v>
      </c>
      <c r="AY32" s="62">
        <v>0</v>
      </c>
      <c r="AZ32" s="62">
        <v>4</v>
      </c>
      <c r="BA32" s="72">
        <f t="shared" si="7"/>
        <v>3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/>
      <c r="N33" s="62">
        <v>0</v>
      </c>
      <c r="O33" s="62">
        <v>0</v>
      </c>
      <c r="P33" s="62"/>
      <c r="Q33" s="72">
        <f t="shared" si="1"/>
        <v>0</v>
      </c>
      <c r="R33" s="62"/>
      <c r="S33" s="62"/>
      <c r="T33" s="62"/>
      <c r="U33" s="62"/>
      <c r="V33" s="62"/>
      <c r="W33" s="72" t="str">
        <f t="shared" si="2"/>
        <v>A</v>
      </c>
      <c r="X33" s="62"/>
      <c r="Y33" s="62"/>
      <c r="Z33" s="62"/>
      <c r="AA33" s="62"/>
      <c r="AB33" s="62"/>
      <c r="AC33" s="72" t="str">
        <f t="shared" si="3"/>
        <v>A</v>
      </c>
      <c r="AD33" s="62"/>
      <c r="AE33" s="62"/>
      <c r="AF33" s="62"/>
      <c r="AG33" s="62"/>
      <c r="AH33" s="62"/>
      <c r="AI33" s="72" t="str">
        <f t="shared" si="4"/>
        <v>A</v>
      </c>
      <c r="AJ33" s="62"/>
      <c r="AK33" s="62"/>
      <c r="AL33" s="62"/>
      <c r="AM33" s="62"/>
      <c r="AN33" s="62"/>
      <c r="AO33" s="72" t="str">
        <f t="shared" si="5"/>
        <v>A</v>
      </c>
      <c r="AP33" s="62"/>
      <c r="AQ33" s="62"/>
      <c r="AR33" s="62"/>
      <c r="AS33" s="62"/>
      <c r="AT33" s="62"/>
      <c r="AU33" s="72" t="str">
        <f t="shared" si="6"/>
        <v>A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3</v>
      </c>
      <c r="M34" s="62"/>
      <c r="N34" s="62">
        <v>4</v>
      </c>
      <c r="O34" s="62">
        <v>4</v>
      </c>
      <c r="P34" s="62"/>
      <c r="Q34" s="72">
        <f t="shared" si="1"/>
        <v>3.6666666666666665</v>
      </c>
      <c r="R34" s="7"/>
      <c r="S34" s="7"/>
      <c r="T34" s="7"/>
      <c r="U34" s="7"/>
      <c r="V34" s="7"/>
      <c r="W34" s="72" t="str">
        <f t="shared" si="2"/>
        <v>A</v>
      </c>
      <c r="X34" s="7"/>
      <c r="Y34" s="7"/>
      <c r="Z34" s="7"/>
      <c r="AA34" s="7"/>
      <c r="AB34" s="7"/>
      <c r="AC34" s="72" t="str">
        <f t="shared" si="3"/>
        <v>A</v>
      </c>
      <c r="AD34" s="7"/>
      <c r="AE34" s="7"/>
      <c r="AF34" s="7"/>
      <c r="AG34" s="7"/>
      <c r="AH34" s="7"/>
      <c r="AI34" s="72" t="str">
        <f t="shared" si="4"/>
        <v>A</v>
      </c>
      <c r="AJ34" s="7"/>
      <c r="AK34" s="7"/>
      <c r="AL34" s="7"/>
      <c r="AM34" s="7"/>
      <c r="AN34" s="7"/>
      <c r="AO34" s="72" t="str">
        <f t="shared" si="5"/>
        <v>A</v>
      </c>
      <c r="AP34" s="7"/>
      <c r="AQ34" s="7"/>
      <c r="AR34" s="7"/>
      <c r="AS34" s="7"/>
      <c r="AT34" s="7"/>
      <c r="AU34" s="72" t="str">
        <f t="shared" si="6"/>
        <v>A</v>
      </c>
      <c r="AV34" s="7"/>
      <c r="AW34" s="7"/>
      <c r="AX34" s="62">
        <v>5</v>
      </c>
      <c r="AY34" s="62">
        <v>0</v>
      </c>
      <c r="AZ34" s="62">
        <v>4</v>
      </c>
      <c r="BA34" s="72">
        <f t="shared" si="7"/>
        <v>3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3</v>
      </c>
      <c r="M35" s="62"/>
      <c r="N35" s="62">
        <v>3</v>
      </c>
      <c r="O35" s="62">
        <v>3</v>
      </c>
      <c r="P35" s="62"/>
      <c r="Q35" s="72">
        <f t="shared" si="1"/>
        <v>3</v>
      </c>
      <c r="R35" s="62"/>
      <c r="S35" s="62"/>
      <c r="T35" s="62"/>
      <c r="U35" s="62"/>
      <c r="V35" s="62"/>
      <c r="W35" s="72" t="str">
        <f t="shared" si="2"/>
        <v>A</v>
      </c>
      <c r="X35" s="62"/>
      <c r="Y35" s="62"/>
      <c r="Z35" s="62"/>
      <c r="AA35" s="62"/>
      <c r="AB35" s="62"/>
      <c r="AC35" s="72" t="str">
        <f t="shared" si="3"/>
        <v>A</v>
      </c>
      <c r="AD35" s="62"/>
      <c r="AE35" s="62"/>
      <c r="AF35" s="62"/>
      <c r="AG35" s="62"/>
      <c r="AH35" s="62"/>
      <c r="AI35" s="72" t="str">
        <f t="shared" si="4"/>
        <v>A</v>
      </c>
      <c r="AJ35" s="62"/>
      <c r="AK35" s="62"/>
      <c r="AL35" s="62"/>
      <c r="AM35" s="62"/>
      <c r="AN35" s="62"/>
      <c r="AO35" s="72" t="str">
        <f t="shared" si="5"/>
        <v>A</v>
      </c>
      <c r="AP35" s="62"/>
      <c r="AQ35" s="62"/>
      <c r="AR35" s="62"/>
      <c r="AS35" s="62"/>
      <c r="AT35" s="62"/>
      <c r="AU35" s="72" t="str">
        <f t="shared" si="6"/>
        <v>A</v>
      </c>
      <c r="AV35" s="62"/>
      <c r="AW35" s="62"/>
      <c r="AX35" s="62">
        <v>5</v>
      </c>
      <c r="AY35" s="62">
        <v>0</v>
      </c>
      <c r="AZ35" s="62">
        <v>3</v>
      </c>
      <c r="BA35" s="72">
        <f t="shared" si="7"/>
        <v>2.6666666666666665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4</v>
      </c>
      <c r="M36" s="62"/>
      <c r="N36" s="62">
        <v>4</v>
      </c>
      <c r="O36" s="62">
        <v>4</v>
      </c>
      <c r="P36" s="62"/>
      <c r="Q36" s="72">
        <f t="shared" si="1"/>
        <v>4</v>
      </c>
      <c r="R36" s="7"/>
      <c r="S36" s="7"/>
      <c r="T36" s="7"/>
      <c r="U36" s="7"/>
      <c r="V36" s="7"/>
      <c r="W36" s="72" t="str">
        <f t="shared" si="2"/>
        <v>A</v>
      </c>
      <c r="X36" s="7"/>
      <c r="Y36" s="7"/>
      <c r="Z36" s="7"/>
      <c r="AA36" s="7"/>
      <c r="AB36" s="7"/>
      <c r="AC36" s="72" t="str">
        <f t="shared" si="3"/>
        <v>A</v>
      </c>
      <c r="AD36" s="7"/>
      <c r="AE36" s="7"/>
      <c r="AF36" s="7"/>
      <c r="AG36" s="7"/>
      <c r="AH36" s="7"/>
      <c r="AI36" s="72" t="str">
        <f t="shared" si="4"/>
        <v>A</v>
      </c>
      <c r="AJ36" s="7"/>
      <c r="AK36" s="7"/>
      <c r="AL36" s="7"/>
      <c r="AM36" s="7"/>
      <c r="AN36" s="7"/>
      <c r="AO36" s="72" t="str">
        <f t="shared" si="5"/>
        <v>A</v>
      </c>
      <c r="AP36" s="7"/>
      <c r="AQ36" s="7"/>
      <c r="AR36" s="7"/>
      <c r="AS36" s="7"/>
      <c r="AT36" s="7"/>
      <c r="AU36" s="72" t="str">
        <f t="shared" si="6"/>
        <v>A</v>
      </c>
      <c r="AV36" s="7"/>
      <c r="AW36" s="7"/>
      <c r="AX36" s="62">
        <v>5</v>
      </c>
      <c r="AY36" s="62">
        <v>0</v>
      </c>
      <c r="AZ36" s="62">
        <v>4</v>
      </c>
      <c r="BA36" s="72">
        <f t="shared" si="7"/>
        <v>3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3</v>
      </c>
      <c r="M37" s="62"/>
      <c r="N37" s="62">
        <v>3</v>
      </c>
      <c r="O37" s="62">
        <v>2</v>
      </c>
      <c r="P37" s="62"/>
      <c r="Q37" s="72">
        <f t="shared" si="1"/>
        <v>2.6666666666666665</v>
      </c>
      <c r="R37" s="62"/>
      <c r="S37" s="62"/>
      <c r="T37" s="62"/>
      <c r="U37" s="62"/>
      <c r="V37" s="62"/>
      <c r="W37" s="72" t="str">
        <f t="shared" si="2"/>
        <v>A</v>
      </c>
      <c r="X37" s="62"/>
      <c r="Y37" s="62"/>
      <c r="Z37" s="62"/>
      <c r="AA37" s="62"/>
      <c r="AB37" s="62"/>
      <c r="AC37" s="72" t="str">
        <f t="shared" si="3"/>
        <v>A</v>
      </c>
      <c r="AD37" s="62"/>
      <c r="AE37" s="62"/>
      <c r="AF37" s="62"/>
      <c r="AG37" s="62"/>
      <c r="AH37" s="62"/>
      <c r="AI37" s="72" t="str">
        <f t="shared" si="4"/>
        <v>A</v>
      </c>
      <c r="AJ37" s="62"/>
      <c r="AK37" s="62"/>
      <c r="AL37" s="62"/>
      <c r="AM37" s="62"/>
      <c r="AN37" s="62"/>
      <c r="AO37" s="72" t="str">
        <f t="shared" si="5"/>
        <v>A</v>
      </c>
      <c r="AP37" s="62"/>
      <c r="AQ37" s="62"/>
      <c r="AR37" s="62"/>
      <c r="AS37" s="62"/>
      <c r="AT37" s="62"/>
      <c r="AU37" s="72" t="str">
        <f t="shared" si="6"/>
        <v>A</v>
      </c>
      <c r="AV37" s="62"/>
      <c r="AW37" s="62"/>
      <c r="AX37" s="62">
        <v>5</v>
      </c>
      <c r="AY37" s="62">
        <v>0</v>
      </c>
      <c r="AZ37" s="62">
        <v>2</v>
      </c>
      <c r="BA37" s="72">
        <f t="shared" si="7"/>
        <v>2.3333333333333335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3</v>
      </c>
      <c r="M38" s="62"/>
      <c r="N38" s="62">
        <v>3</v>
      </c>
      <c r="O38" s="62">
        <v>1</v>
      </c>
      <c r="P38" s="62"/>
      <c r="Q38" s="72">
        <f t="shared" si="1"/>
        <v>2.3333333333333335</v>
      </c>
      <c r="R38" s="7"/>
      <c r="S38" s="7"/>
      <c r="T38" s="7"/>
      <c r="U38" s="7"/>
      <c r="V38" s="7"/>
      <c r="W38" s="72" t="str">
        <f t="shared" si="2"/>
        <v>A</v>
      </c>
      <c r="X38" s="7"/>
      <c r="Y38" s="7"/>
      <c r="Z38" s="7"/>
      <c r="AA38" s="7"/>
      <c r="AB38" s="7"/>
      <c r="AC38" s="72" t="str">
        <f t="shared" si="3"/>
        <v>A</v>
      </c>
      <c r="AD38" s="7"/>
      <c r="AE38" s="7"/>
      <c r="AF38" s="7"/>
      <c r="AG38" s="7"/>
      <c r="AH38" s="7"/>
      <c r="AI38" s="72" t="str">
        <f t="shared" si="4"/>
        <v>A</v>
      </c>
      <c r="AJ38" s="7"/>
      <c r="AK38" s="7"/>
      <c r="AL38" s="7"/>
      <c r="AM38" s="7"/>
      <c r="AN38" s="7"/>
      <c r="AO38" s="72" t="str">
        <f t="shared" si="5"/>
        <v>A</v>
      </c>
      <c r="AP38" s="7"/>
      <c r="AQ38" s="7"/>
      <c r="AR38" s="7"/>
      <c r="AS38" s="7"/>
      <c r="AT38" s="7"/>
      <c r="AU38" s="72" t="str">
        <f t="shared" si="6"/>
        <v>A</v>
      </c>
      <c r="AV38" s="7"/>
      <c r="AW38" s="7"/>
      <c r="AX38" s="62">
        <v>5</v>
      </c>
      <c r="AY38" s="62">
        <v>0</v>
      </c>
      <c r="AZ38" s="62">
        <v>1</v>
      </c>
      <c r="BA38" s="72">
        <f t="shared" si="7"/>
        <v>2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/>
      <c r="N39" s="62">
        <v>2</v>
      </c>
      <c r="O39" s="62">
        <v>2</v>
      </c>
      <c r="P39" s="62"/>
      <c r="Q39" s="72">
        <f t="shared" si="1"/>
        <v>2</v>
      </c>
      <c r="R39" s="62"/>
      <c r="S39" s="62"/>
      <c r="T39" s="62"/>
      <c r="U39" s="62"/>
      <c r="V39" s="62"/>
      <c r="W39" s="72" t="str">
        <f t="shared" si="2"/>
        <v>A</v>
      </c>
      <c r="X39" s="62"/>
      <c r="Y39" s="62"/>
      <c r="Z39" s="62"/>
      <c r="AA39" s="62"/>
      <c r="AB39" s="62"/>
      <c r="AC39" s="72" t="str">
        <f t="shared" si="3"/>
        <v>A</v>
      </c>
      <c r="AD39" s="62"/>
      <c r="AE39" s="62"/>
      <c r="AF39" s="62"/>
      <c r="AG39" s="62"/>
      <c r="AH39" s="62"/>
      <c r="AI39" s="72" t="str">
        <f t="shared" si="4"/>
        <v>A</v>
      </c>
      <c r="AJ39" s="62"/>
      <c r="AK39" s="62"/>
      <c r="AL39" s="62"/>
      <c r="AM39" s="62"/>
      <c r="AN39" s="62"/>
      <c r="AO39" s="72" t="str">
        <f t="shared" si="5"/>
        <v>A</v>
      </c>
      <c r="AP39" s="62"/>
      <c r="AQ39" s="62"/>
      <c r="AR39" s="62"/>
      <c r="AS39" s="62"/>
      <c r="AT39" s="62"/>
      <c r="AU39" s="72" t="str">
        <f t="shared" si="6"/>
        <v>A</v>
      </c>
      <c r="AV39" s="62"/>
      <c r="AW39" s="62"/>
      <c r="AX39" s="62">
        <v>2</v>
      </c>
      <c r="AY39" s="62">
        <v>2</v>
      </c>
      <c r="AZ39" s="62">
        <v>2</v>
      </c>
      <c r="BA39" s="72">
        <f t="shared" si="7"/>
        <v>2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1</v>
      </c>
      <c r="M40" s="62"/>
      <c r="N40" s="62">
        <v>1</v>
      </c>
      <c r="O40" s="62">
        <v>1</v>
      </c>
      <c r="P40" s="62"/>
      <c r="Q40" s="72">
        <f t="shared" si="1"/>
        <v>1</v>
      </c>
      <c r="R40" s="7"/>
      <c r="S40" s="7"/>
      <c r="T40" s="7"/>
      <c r="U40" s="7"/>
      <c r="V40" s="7"/>
      <c r="W40" s="72" t="str">
        <f t="shared" si="2"/>
        <v>A</v>
      </c>
      <c r="X40" s="7"/>
      <c r="Y40" s="7"/>
      <c r="Z40" s="7"/>
      <c r="AA40" s="7"/>
      <c r="AB40" s="7"/>
      <c r="AC40" s="72" t="str">
        <f t="shared" si="3"/>
        <v>A</v>
      </c>
      <c r="AD40" s="7"/>
      <c r="AE40" s="7"/>
      <c r="AF40" s="7"/>
      <c r="AG40" s="7"/>
      <c r="AH40" s="7"/>
      <c r="AI40" s="72" t="str">
        <f t="shared" si="4"/>
        <v>A</v>
      </c>
      <c r="AJ40" s="7"/>
      <c r="AK40" s="7"/>
      <c r="AL40" s="7"/>
      <c r="AM40" s="7"/>
      <c r="AN40" s="7"/>
      <c r="AO40" s="72" t="str">
        <f t="shared" si="5"/>
        <v>A</v>
      </c>
      <c r="AP40" s="7"/>
      <c r="AQ40" s="7"/>
      <c r="AR40" s="7"/>
      <c r="AS40" s="7"/>
      <c r="AT40" s="7"/>
      <c r="AU40" s="72" t="str">
        <f t="shared" si="6"/>
        <v>A</v>
      </c>
      <c r="AV40" s="7"/>
      <c r="AW40" s="7"/>
      <c r="AX40" s="62">
        <v>1</v>
      </c>
      <c r="AY40" s="62">
        <v>0</v>
      </c>
      <c r="AZ40" s="62">
        <v>1</v>
      </c>
      <c r="BA40" s="72">
        <f t="shared" si="7"/>
        <v>0.66666666666666663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/>
      <c r="N41" s="62">
        <v>3</v>
      </c>
      <c r="O41" s="62">
        <v>2</v>
      </c>
      <c r="P41" s="62"/>
      <c r="Q41" s="72">
        <f t="shared" si="1"/>
        <v>2.6666666666666665</v>
      </c>
      <c r="R41" s="62"/>
      <c r="S41" s="62"/>
      <c r="T41" s="62"/>
      <c r="U41" s="62"/>
      <c r="V41" s="62"/>
      <c r="W41" s="72" t="str">
        <f t="shared" si="2"/>
        <v>A</v>
      </c>
      <c r="X41" s="62"/>
      <c r="Y41" s="62"/>
      <c r="Z41" s="62"/>
      <c r="AA41" s="62"/>
      <c r="AB41" s="62"/>
      <c r="AC41" s="72" t="str">
        <f t="shared" si="3"/>
        <v>A</v>
      </c>
      <c r="AD41" s="62"/>
      <c r="AE41" s="62"/>
      <c r="AF41" s="62"/>
      <c r="AG41" s="62"/>
      <c r="AH41" s="62"/>
      <c r="AI41" s="72" t="str">
        <f t="shared" si="4"/>
        <v>A</v>
      </c>
      <c r="AJ41" s="62"/>
      <c r="AK41" s="62"/>
      <c r="AL41" s="62"/>
      <c r="AM41" s="62"/>
      <c r="AN41" s="62"/>
      <c r="AO41" s="72" t="str">
        <f t="shared" si="5"/>
        <v>A</v>
      </c>
      <c r="AP41" s="62"/>
      <c r="AQ41" s="62"/>
      <c r="AR41" s="62"/>
      <c r="AS41" s="62"/>
      <c r="AT41" s="62"/>
      <c r="AU41" s="72" t="str">
        <f t="shared" si="6"/>
        <v>A</v>
      </c>
      <c r="AV41" s="62"/>
      <c r="AW41" s="62"/>
      <c r="AX41" s="62">
        <v>5</v>
      </c>
      <c r="AY41" s="62">
        <v>2</v>
      </c>
      <c r="AZ41" s="62">
        <v>2</v>
      </c>
      <c r="BA41" s="72">
        <f t="shared" si="7"/>
        <v>3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3</v>
      </c>
      <c r="M42" s="62"/>
      <c r="N42" s="62">
        <v>2</v>
      </c>
      <c r="O42" s="62">
        <v>2</v>
      </c>
      <c r="P42" s="62"/>
      <c r="Q42" s="72">
        <f t="shared" si="1"/>
        <v>2.3333333333333335</v>
      </c>
      <c r="R42" s="7"/>
      <c r="S42" s="7"/>
      <c r="T42" s="7"/>
      <c r="U42" s="7"/>
      <c r="V42" s="7"/>
      <c r="W42" s="72" t="str">
        <f t="shared" si="2"/>
        <v>A</v>
      </c>
      <c r="X42" s="7"/>
      <c r="Y42" s="7"/>
      <c r="Z42" s="7"/>
      <c r="AA42" s="7"/>
      <c r="AB42" s="7"/>
      <c r="AC42" s="72" t="str">
        <f t="shared" si="3"/>
        <v>A</v>
      </c>
      <c r="AD42" s="7"/>
      <c r="AE42" s="7"/>
      <c r="AF42" s="7"/>
      <c r="AG42" s="7"/>
      <c r="AH42" s="7"/>
      <c r="AI42" s="72" t="str">
        <f t="shared" si="4"/>
        <v>A</v>
      </c>
      <c r="AJ42" s="7"/>
      <c r="AK42" s="7"/>
      <c r="AL42" s="7"/>
      <c r="AM42" s="7"/>
      <c r="AN42" s="7"/>
      <c r="AO42" s="72" t="str">
        <f t="shared" si="5"/>
        <v>A</v>
      </c>
      <c r="AP42" s="7"/>
      <c r="AQ42" s="7"/>
      <c r="AR42" s="7"/>
      <c r="AS42" s="7"/>
      <c r="AT42" s="7"/>
      <c r="AU42" s="72" t="str">
        <f t="shared" si="6"/>
        <v>A</v>
      </c>
      <c r="AV42" s="7"/>
      <c r="AW42" s="7"/>
      <c r="AX42" s="62">
        <v>5</v>
      </c>
      <c r="AY42" s="62">
        <v>0</v>
      </c>
      <c r="AZ42" s="62">
        <v>2</v>
      </c>
      <c r="BA42" s="72">
        <f t="shared" si="7"/>
        <v>2.3333333333333335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3</v>
      </c>
      <c r="M43" s="62"/>
      <c r="N43" s="62">
        <v>2</v>
      </c>
      <c r="O43" s="62">
        <v>2</v>
      </c>
      <c r="P43" s="62"/>
      <c r="Q43" s="72">
        <f t="shared" si="1"/>
        <v>2.3333333333333335</v>
      </c>
      <c r="R43" s="62"/>
      <c r="S43" s="62"/>
      <c r="T43" s="62"/>
      <c r="U43" s="62"/>
      <c r="V43" s="62"/>
      <c r="W43" s="72" t="str">
        <f t="shared" si="2"/>
        <v>A</v>
      </c>
      <c r="X43" s="62"/>
      <c r="Y43" s="62"/>
      <c r="Z43" s="62"/>
      <c r="AA43" s="62"/>
      <c r="AB43" s="62"/>
      <c r="AC43" s="72" t="str">
        <f t="shared" si="3"/>
        <v>A</v>
      </c>
      <c r="AD43" s="62"/>
      <c r="AE43" s="62"/>
      <c r="AF43" s="62"/>
      <c r="AG43" s="62"/>
      <c r="AH43" s="62"/>
      <c r="AI43" s="72" t="str">
        <f t="shared" si="4"/>
        <v>A</v>
      </c>
      <c r="AJ43" s="62"/>
      <c r="AK43" s="62"/>
      <c r="AL43" s="62"/>
      <c r="AM43" s="62"/>
      <c r="AN43" s="62"/>
      <c r="AO43" s="72" t="str">
        <f t="shared" si="5"/>
        <v>A</v>
      </c>
      <c r="AP43" s="62"/>
      <c r="AQ43" s="62"/>
      <c r="AR43" s="62"/>
      <c r="AS43" s="62"/>
      <c r="AT43" s="62"/>
      <c r="AU43" s="72" t="str">
        <f t="shared" si="6"/>
        <v>A</v>
      </c>
      <c r="AV43" s="62"/>
      <c r="AW43" s="62"/>
      <c r="AX43" s="62">
        <v>5</v>
      </c>
      <c r="AY43" s="62">
        <v>2</v>
      </c>
      <c r="AZ43" s="62">
        <v>2</v>
      </c>
      <c r="BA43" s="72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3</v>
      </c>
      <c r="M44" s="62"/>
      <c r="N44" s="62">
        <v>2</v>
      </c>
      <c r="O44" s="62">
        <v>2</v>
      </c>
      <c r="P44" s="62"/>
      <c r="Q44" s="72">
        <f t="shared" si="1"/>
        <v>2.3333333333333335</v>
      </c>
      <c r="R44" s="7"/>
      <c r="S44" s="7"/>
      <c r="T44" s="7"/>
      <c r="U44" s="7"/>
      <c r="V44" s="7"/>
      <c r="W44" s="72" t="str">
        <f t="shared" si="2"/>
        <v>A</v>
      </c>
      <c r="X44" s="7"/>
      <c r="Y44" s="7"/>
      <c r="Z44" s="7"/>
      <c r="AA44" s="7"/>
      <c r="AB44" s="7"/>
      <c r="AC44" s="72" t="str">
        <f t="shared" si="3"/>
        <v>A</v>
      </c>
      <c r="AD44" s="7"/>
      <c r="AE44" s="7"/>
      <c r="AF44" s="7"/>
      <c r="AG44" s="7"/>
      <c r="AH44" s="7"/>
      <c r="AI44" s="72" t="str">
        <f t="shared" si="4"/>
        <v>A</v>
      </c>
      <c r="AJ44" s="7"/>
      <c r="AK44" s="7"/>
      <c r="AL44" s="7"/>
      <c r="AM44" s="7"/>
      <c r="AN44" s="7"/>
      <c r="AO44" s="72" t="str">
        <f t="shared" si="5"/>
        <v>A</v>
      </c>
      <c r="AP44" s="7"/>
      <c r="AQ44" s="7"/>
      <c r="AR44" s="7"/>
      <c r="AS44" s="7"/>
      <c r="AT44" s="7"/>
      <c r="AU44" s="72" t="str">
        <f t="shared" si="6"/>
        <v>A</v>
      </c>
      <c r="AV44" s="7"/>
      <c r="AW44" s="7"/>
      <c r="AX44" s="62">
        <v>5</v>
      </c>
      <c r="AY44" s="62">
        <v>0</v>
      </c>
      <c r="AZ44" s="62">
        <v>2</v>
      </c>
      <c r="BA44" s="72">
        <f t="shared" si="7"/>
        <v>2.3333333333333335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3</v>
      </c>
      <c r="M45" s="62"/>
      <c r="N45" s="62">
        <v>4</v>
      </c>
      <c r="O45" s="62">
        <v>4</v>
      </c>
      <c r="P45" s="62"/>
      <c r="Q45" s="72">
        <f t="shared" si="1"/>
        <v>3.6666666666666665</v>
      </c>
      <c r="R45" s="62"/>
      <c r="S45" s="62"/>
      <c r="T45" s="62"/>
      <c r="U45" s="62"/>
      <c r="V45" s="62"/>
      <c r="W45" s="72" t="str">
        <f t="shared" si="2"/>
        <v>A</v>
      </c>
      <c r="X45" s="62"/>
      <c r="Y45" s="62"/>
      <c r="Z45" s="62"/>
      <c r="AA45" s="62"/>
      <c r="AB45" s="62"/>
      <c r="AC45" s="72" t="str">
        <f t="shared" si="3"/>
        <v>A</v>
      </c>
      <c r="AD45" s="62"/>
      <c r="AE45" s="62"/>
      <c r="AF45" s="62"/>
      <c r="AG45" s="62"/>
      <c r="AH45" s="62"/>
      <c r="AI45" s="72" t="str">
        <f t="shared" si="4"/>
        <v>A</v>
      </c>
      <c r="AJ45" s="62"/>
      <c r="AK45" s="62"/>
      <c r="AL45" s="62"/>
      <c r="AM45" s="62"/>
      <c r="AN45" s="62"/>
      <c r="AO45" s="72" t="str">
        <f t="shared" si="5"/>
        <v>A</v>
      </c>
      <c r="AP45" s="62"/>
      <c r="AQ45" s="62"/>
      <c r="AR45" s="62"/>
      <c r="AS45" s="62"/>
      <c r="AT45" s="62"/>
      <c r="AU45" s="72" t="str">
        <f t="shared" si="6"/>
        <v>A</v>
      </c>
      <c r="AV45" s="62"/>
      <c r="AW45" s="62"/>
      <c r="AX45" s="62">
        <v>5</v>
      </c>
      <c r="AY45" s="62">
        <v>0</v>
      </c>
      <c r="AZ45" s="62">
        <v>4</v>
      </c>
      <c r="BA45" s="72">
        <f t="shared" si="7"/>
        <v>3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3</v>
      </c>
      <c r="M46" s="62"/>
      <c r="N46" s="62">
        <v>4</v>
      </c>
      <c r="O46" s="62">
        <v>4</v>
      </c>
      <c r="P46" s="62"/>
      <c r="Q46" s="72">
        <f t="shared" si="1"/>
        <v>3.6666666666666665</v>
      </c>
      <c r="R46" s="7"/>
      <c r="S46" s="7"/>
      <c r="T46" s="7"/>
      <c r="U46" s="7"/>
      <c r="V46" s="7"/>
      <c r="W46" s="72" t="str">
        <f t="shared" si="2"/>
        <v>A</v>
      </c>
      <c r="X46" s="7"/>
      <c r="Y46" s="7"/>
      <c r="Z46" s="7"/>
      <c r="AA46" s="7"/>
      <c r="AB46" s="7"/>
      <c r="AC46" s="72" t="str">
        <f t="shared" si="3"/>
        <v>A</v>
      </c>
      <c r="AD46" s="7"/>
      <c r="AE46" s="7"/>
      <c r="AF46" s="7"/>
      <c r="AG46" s="7"/>
      <c r="AH46" s="7"/>
      <c r="AI46" s="72" t="str">
        <f t="shared" si="4"/>
        <v>A</v>
      </c>
      <c r="AJ46" s="7"/>
      <c r="AK46" s="7"/>
      <c r="AL46" s="7"/>
      <c r="AM46" s="7"/>
      <c r="AN46" s="7"/>
      <c r="AO46" s="72" t="str">
        <f t="shared" si="5"/>
        <v>A</v>
      </c>
      <c r="AP46" s="7"/>
      <c r="AQ46" s="7"/>
      <c r="AR46" s="7"/>
      <c r="AS46" s="7"/>
      <c r="AT46" s="7"/>
      <c r="AU46" s="72" t="str">
        <f t="shared" si="6"/>
        <v>A</v>
      </c>
      <c r="AV46" s="7"/>
      <c r="AW46" s="7"/>
      <c r="AX46" s="62">
        <v>5</v>
      </c>
      <c r="AY46" s="62">
        <v>0</v>
      </c>
      <c r="AZ46" s="62">
        <v>4</v>
      </c>
      <c r="BA46" s="72">
        <f t="shared" si="7"/>
        <v>3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1</v>
      </c>
      <c r="M47" s="62"/>
      <c r="N47" s="62">
        <v>1</v>
      </c>
      <c r="O47" s="62">
        <v>1</v>
      </c>
      <c r="P47" s="62"/>
      <c r="Q47" s="72">
        <f t="shared" si="1"/>
        <v>1</v>
      </c>
      <c r="R47" s="62"/>
      <c r="S47" s="62"/>
      <c r="T47" s="62"/>
      <c r="U47" s="62"/>
      <c r="V47" s="62"/>
      <c r="W47" s="72" t="str">
        <f t="shared" si="2"/>
        <v>A</v>
      </c>
      <c r="X47" s="62"/>
      <c r="Y47" s="62"/>
      <c r="Z47" s="62"/>
      <c r="AA47" s="62"/>
      <c r="AB47" s="62"/>
      <c r="AC47" s="72" t="str">
        <f t="shared" si="3"/>
        <v>A</v>
      </c>
      <c r="AD47" s="62"/>
      <c r="AE47" s="62"/>
      <c r="AF47" s="62"/>
      <c r="AG47" s="62"/>
      <c r="AH47" s="62"/>
      <c r="AI47" s="72" t="str">
        <f t="shared" si="4"/>
        <v>A</v>
      </c>
      <c r="AJ47" s="62"/>
      <c r="AK47" s="62"/>
      <c r="AL47" s="62"/>
      <c r="AM47" s="62"/>
      <c r="AN47" s="62"/>
      <c r="AO47" s="72" t="str">
        <f t="shared" si="5"/>
        <v>A</v>
      </c>
      <c r="AP47" s="62"/>
      <c r="AQ47" s="62"/>
      <c r="AR47" s="62"/>
      <c r="AS47" s="62"/>
      <c r="AT47" s="62"/>
      <c r="AU47" s="72" t="str">
        <f t="shared" si="6"/>
        <v>A</v>
      </c>
      <c r="AV47" s="62"/>
      <c r="AW47" s="62"/>
      <c r="AX47" s="62">
        <v>1</v>
      </c>
      <c r="AY47" s="62">
        <v>0</v>
      </c>
      <c r="AZ47" s="62">
        <v>1</v>
      </c>
      <c r="BA47" s="72">
        <f t="shared" si="7"/>
        <v>0.66666666666666663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3</v>
      </c>
      <c r="M48" s="62"/>
      <c r="N48" s="62">
        <v>4</v>
      </c>
      <c r="O48" s="62">
        <v>4</v>
      </c>
      <c r="P48" s="62"/>
      <c r="Q48" s="72">
        <f t="shared" si="1"/>
        <v>3.6666666666666665</v>
      </c>
      <c r="R48" s="7"/>
      <c r="S48" s="7"/>
      <c r="T48" s="7"/>
      <c r="U48" s="7"/>
      <c r="V48" s="7"/>
      <c r="W48" s="72" t="str">
        <f t="shared" si="2"/>
        <v>A</v>
      </c>
      <c r="X48" s="7"/>
      <c r="Y48" s="7"/>
      <c r="Z48" s="7"/>
      <c r="AA48" s="7"/>
      <c r="AB48" s="7"/>
      <c r="AC48" s="72" t="str">
        <f t="shared" si="3"/>
        <v>A</v>
      </c>
      <c r="AD48" s="7"/>
      <c r="AE48" s="7"/>
      <c r="AF48" s="7"/>
      <c r="AG48" s="7"/>
      <c r="AH48" s="7"/>
      <c r="AI48" s="72" t="str">
        <f t="shared" si="4"/>
        <v>A</v>
      </c>
      <c r="AJ48" s="7"/>
      <c r="AK48" s="7"/>
      <c r="AL48" s="7"/>
      <c r="AM48" s="7"/>
      <c r="AN48" s="7"/>
      <c r="AO48" s="72" t="str">
        <f t="shared" si="5"/>
        <v>A</v>
      </c>
      <c r="AP48" s="7"/>
      <c r="AQ48" s="7"/>
      <c r="AR48" s="7"/>
      <c r="AS48" s="7"/>
      <c r="AT48" s="7"/>
      <c r="AU48" s="72" t="str">
        <f t="shared" si="6"/>
        <v>A</v>
      </c>
      <c r="AV48" s="7"/>
      <c r="AW48" s="7"/>
      <c r="AX48" s="62">
        <v>5</v>
      </c>
      <c r="AY48" s="62">
        <v>2</v>
      </c>
      <c r="AZ48" s="62">
        <v>4</v>
      </c>
      <c r="BA48" s="72">
        <f t="shared" si="7"/>
        <v>3.6666666666666665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3</v>
      </c>
      <c r="M49" s="62"/>
      <c r="N49" s="62">
        <v>2</v>
      </c>
      <c r="O49" s="62">
        <v>3</v>
      </c>
      <c r="P49" s="62"/>
      <c r="Q49" s="72">
        <f t="shared" si="1"/>
        <v>2.6666666666666665</v>
      </c>
      <c r="R49" s="62"/>
      <c r="S49" s="62"/>
      <c r="T49" s="62"/>
      <c r="U49" s="62"/>
      <c r="V49" s="62"/>
      <c r="W49" s="72" t="str">
        <f t="shared" si="2"/>
        <v>A</v>
      </c>
      <c r="X49" s="62"/>
      <c r="Y49" s="62"/>
      <c r="Z49" s="62"/>
      <c r="AA49" s="62"/>
      <c r="AB49" s="62"/>
      <c r="AC49" s="72" t="str">
        <f t="shared" si="3"/>
        <v>A</v>
      </c>
      <c r="AD49" s="62"/>
      <c r="AE49" s="62"/>
      <c r="AF49" s="62"/>
      <c r="AG49" s="62"/>
      <c r="AH49" s="62"/>
      <c r="AI49" s="72" t="str">
        <f t="shared" si="4"/>
        <v>A</v>
      </c>
      <c r="AJ49" s="62"/>
      <c r="AK49" s="62"/>
      <c r="AL49" s="62"/>
      <c r="AM49" s="62"/>
      <c r="AN49" s="62"/>
      <c r="AO49" s="72" t="str">
        <f t="shared" si="5"/>
        <v>A</v>
      </c>
      <c r="AP49" s="62"/>
      <c r="AQ49" s="62"/>
      <c r="AR49" s="62"/>
      <c r="AS49" s="62"/>
      <c r="AT49" s="62"/>
      <c r="AU49" s="72" t="str">
        <f t="shared" si="6"/>
        <v>A</v>
      </c>
      <c r="AV49" s="62"/>
      <c r="AW49" s="62"/>
      <c r="AX49" s="62">
        <v>5</v>
      </c>
      <c r="AY49" s="62">
        <v>0</v>
      </c>
      <c r="AZ49" s="62">
        <v>3</v>
      </c>
      <c r="BA49" s="72">
        <f t="shared" si="7"/>
        <v>2.6666666666666665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3</v>
      </c>
      <c r="M50" s="62"/>
      <c r="N50" s="62">
        <v>3</v>
      </c>
      <c r="O50" s="62">
        <v>2</v>
      </c>
      <c r="P50" s="62"/>
      <c r="Q50" s="72">
        <f t="shared" si="1"/>
        <v>2.6666666666666665</v>
      </c>
      <c r="R50" s="7"/>
      <c r="S50" s="7"/>
      <c r="T50" s="7"/>
      <c r="U50" s="7"/>
      <c r="V50" s="7"/>
      <c r="W50" s="72" t="str">
        <f t="shared" si="2"/>
        <v>A</v>
      </c>
      <c r="X50" s="7"/>
      <c r="Y50" s="7"/>
      <c r="Z50" s="7"/>
      <c r="AA50" s="7"/>
      <c r="AB50" s="7"/>
      <c r="AC50" s="72" t="str">
        <f t="shared" si="3"/>
        <v>A</v>
      </c>
      <c r="AD50" s="7"/>
      <c r="AE50" s="7"/>
      <c r="AF50" s="7"/>
      <c r="AG50" s="7"/>
      <c r="AH50" s="7"/>
      <c r="AI50" s="72" t="str">
        <f t="shared" si="4"/>
        <v>A</v>
      </c>
      <c r="AJ50" s="7"/>
      <c r="AK50" s="7"/>
      <c r="AL50" s="7"/>
      <c r="AM50" s="7"/>
      <c r="AN50" s="7"/>
      <c r="AO50" s="72" t="str">
        <f t="shared" si="5"/>
        <v>A</v>
      </c>
      <c r="AP50" s="7"/>
      <c r="AQ50" s="7"/>
      <c r="AR50" s="7"/>
      <c r="AS50" s="7"/>
      <c r="AT50" s="7"/>
      <c r="AU50" s="72" t="str">
        <f t="shared" si="6"/>
        <v>A</v>
      </c>
      <c r="AV50" s="7"/>
      <c r="AW50" s="7"/>
      <c r="AX50" s="62">
        <v>5</v>
      </c>
      <c r="AY50" s="62">
        <v>0</v>
      </c>
      <c r="AZ50" s="62">
        <v>2</v>
      </c>
      <c r="BA50" s="72">
        <f t="shared" si="7"/>
        <v>2.3333333333333335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3</v>
      </c>
      <c r="M51" s="62"/>
      <c r="N51" s="62">
        <v>3</v>
      </c>
      <c r="O51" s="62">
        <v>3</v>
      </c>
      <c r="P51" s="62"/>
      <c r="Q51" s="72">
        <f t="shared" si="1"/>
        <v>3</v>
      </c>
      <c r="R51" s="62"/>
      <c r="S51" s="62"/>
      <c r="T51" s="62"/>
      <c r="U51" s="62"/>
      <c r="V51" s="62"/>
      <c r="W51" s="72" t="str">
        <f t="shared" si="2"/>
        <v>A</v>
      </c>
      <c r="X51" s="62"/>
      <c r="Y51" s="62"/>
      <c r="Z51" s="62"/>
      <c r="AA51" s="62"/>
      <c r="AB51" s="62"/>
      <c r="AC51" s="72" t="str">
        <f t="shared" si="3"/>
        <v>A</v>
      </c>
      <c r="AD51" s="62"/>
      <c r="AE51" s="62"/>
      <c r="AF51" s="62"/>
      <c r="AG51" s="62"/>
      <c r="AH51" s="62"/>
      <c r="AI51" s="72" t="str">
        <f t="shared" si="4"/>
        <v>A</v>
      </c>
      <c r="AJ51" s="62"/>
      <c r="AK51" s="62"/>
      <c r="AL51" s="62"/>
      <c r="AM51" s="62"/>
      <c r="AN51" s="62"/>
      <c r="AO51" s="72" t="str">
        <f t="shared" si="5"/>
        <v>A</v>
      </c>
      <c r="AP51" s="62"/>
      <c r="AQ51" s="62"/>
      <c r="AR51" s="62"/>
      <c r="AS51" s="62"/>
      <c r="AT51" s="62"/>
      <c r="AU51" s="72" t="str">
        <f t="shared" si="6"/>
        <v>A</v>
      </c>
      <c r="AV51" s="62"/>
      <c r="AW51" s="62"/>
      <c r="AX51" s="62">
        <v>5</v>
      </c>
      <c r="AY51" s="62">
        <v>2</v>
      </c>
      <c r="AZ51" s="62">
        <v>3</v>
      </c>
      <c r="BA51" s="72">
        <f t="shared" si="7"/>
        <v>3.3333333333333335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0</v>
      </c>
      <c r="M52" s="62"/>
      <c r="N52" s="62">
        <v>0</v>
      </c>
      <c r="O52" s="62">
        <v>0</v>
      </c>
      <c r="P52" s="62"/>
      <c r="Q52" s="72">
        <f t="shared" si="1"/>
        <v>0</v>
      </c>
      <c r="R52" s="7"/>
      <c r="S52" s="7"/>
      <c r="T52" s="7"/>
      <c r="U52" s="7"/>
      <c r="V52" s="7"/>
      <c r="W52" s="72" t="str">
        <f t="shared" si="2"/>
        <v>A</v>
      </c>
      <c r="X52" s="7"/>
      <c r="Y52" s="7"/>
      <c r="Z52" s="7"/>
      <c r="AA52" s="7"/>
      <c r="AB52" s="7"/>
      <c r="AC52" s="72" t="str">
        <f t="shared" si="3"/>
        <v>A</v>
      </c>
      <c r="AD52" s="7"/>
      <c r="AE52" s="7"/>
      <c r="AF52" s="7"/>
      <c r="AG52" s="7"/>
      <c r="AH52" s="7"/>
      <c r="AI52" s="72" t="str">
        <f t="shared" si="4"/>
        <v>A</v>
      </c>
      <c r="AJ52" s="7"/>
      <c r="AK52" s="7"/>
      <c r="AL52" s="7"/>
      <c r="AM52" s="7"/>
      <c r="AN52" s="7"/>
      <c r="AO52" s="72" t="str">
        <f t="shared" si="5"/>
        <v>A</v>
      </c>
      <c r="AP52" s="7"/>
      <c r="AQ52" s="7"/>
      <c r="AR52" s="7"/>
      <c r="AS52" s="7"/>
      <c r="AT52" s="7"/>
      <c r="AU52" s="72" t="str">
        <f t="shared" si="6"/>
        <v>A</v>
      </c>
      <c r="AV52" s="7"/>
      <c r="AW52" s="7"/>
      <c r="AX52" s="62">
        <v>0</v>
      </c>
      <c r="AY52" s="62">
        <v>0</v>
      </c>
      <c r="AZ52" s="62">
        <v>0</v>
      </c>
      <c r="BA52" s="72">
        <f t="shared" si="7"/>
        <v>0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3</v>
      </c>
      <c r="M53" s="62"/>
      <c r="N53" s="62">
        <v>2</v>
      </c>
      <c r="O53" s="62">
        <v>2</v>
      </c>
      <c r="P53" s="62"/>
      <c r="Q53" s="72">
        <f t="shared" si="1"/>
        <v>2.3333333333333335</v>
      </c>
      <c r="R53" s="62"/>
      <c r="S53" s="62"/>
      <c r="T53" s="62"/>
      <c r="U53" s="62"/>
      <c r="V53" s="62"/>
      <c r="W53" s="72" t="str">
        <f t="shared" si="2"/>
        <v>A</v>
      </c>
      <c r="X53" s="62"/>
      <c r="Y53" s="62"/>
      <c r="Z53" s="62"/>
      <c r="AA53" s="62"/>
      <c r="AB53" s="62"/>
      <c r="AC53" s="72" t="str">
        <f t="shared" si="3"/>
        <v>A</v>
      </c>
      <c r="AD53" s="62"/>
      <c r="AE53" s="62"/>
      <c r="AF53" s="62"/>
      <c r="AG53" s="62"/>
      <c r="AH53" s="62"/>
      <c r="AI53" s="72" t="str">
        <f t="shared" si="4"/>
        <v>A</v>
      </c>
      <c r="AJ53" s="62"/>
      <c r="AK53" s="62"/>
      <c r="AL53" s="62"/>
      <c r="AM53" s="62"/>
      <c r="AN53" s="62"/>
      <c r="AO53" s="72" t="str">
        <f t="shared" si="5"/>
        <v>A</v>
      </c>
      <c r="AP53" s="62"/>
      <c r="AQ53" s="62"/>
      <c r="AR53" s="62"/>
      <c r="AS53" s="62"/>
      <c r="AT53" s="62"/>
      <c r="AU53" s="72" t="str">
        <f t="shared" si="6"/>
        <v>A</v>
      </c>
      <c r="AV53" s="62"/>
      <c r="AW53" s="62"/>
      <c r="AX53" s="62">
        <v>5</v>
      </c>
      <c r="AY53" s="62">
        <v>0</v>
      </c>
      <c r="AZ53" s="62">
        <v>2</v>
      </c>
      <c r="BA53" s="72">
        <f t="shared" si="7"/>
        <v>2.3333333333333335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3</v>
      </c>
      <c r="M54" s="62"/>
      <c r="N54" s="62">
        <v>3</v>
      </c>
      <c r="O54" s="62">
        <v>4</v>
      </c>
      <c r="P54" s="62"/>
      <c r="Q54" s="72">
        <f t="shared" si="1"/>
        <v>3.3333333333333335</v>
      </c>
      <c r="R54" s="7"/>
      <c r="S54" s="7"/>
      <c r="T54" s="7"/>
      <c r="U54" s="7"/>
      <c r="V54" s="7"/>
      <c r="W54" s="72" t="str">
        <f t="shared" si="2"/>
        <v>A</v>
      </c>
      <c r="X54" s="7"/>
      <c r="Y54" s="7"/>
      <c r="Z54" s="7"/>
      <c r="AA54" s="7"/>
      <c r="AB54" s="7"/>
      <c r="AC54" s="72" t="str">
        <f t="shared" si="3"/>
        <v>A</v>
      </c>
      <c r="AD54" s="7"/>
      <c r="AE54" s="7"/>
      <c r="AF54" s="7"/>
      <c r="AG54" s="7"/>
      <c r="AH54" s="7"/>
      <c r="AI54" s="72" t="str">
        <f t="shared" si="4"/>
        <v>A</v>
      </c>
      <c r="AJ54" s="7"/>
      <c r="AK54" s="7"/>
      <c r="AL54" s="7"/>
      <c r="AM54" s="7"/>
      <c r="AN54" s="7"/>
      <c r="AO54" s="72" t="str">
        <f t="shared" si="5"/>
        <v>A</v>
      </c>
      <c r="AP54" s="7"/>
      <c r="AQ54" s="7"/>
      <c r="AR54" s="7"/>
      <c r="AS54" s="7"/>
      <c r="AT54" s="7"/>
      <c r="AU54" s="72" t="str">
        <f t="shared" si="6"/>
        <v>A</v>
      </c>
      <c r="AV54" s="7"/>
      <c r="AW54" s="7"/>
      <c r="AX54" s="62">
        <v>5</v>
      </c>
      <c r="AY54" s="62">
        <v>0</v>
      </c>
      <c r="AZ54" s="62">
        <v>4</v>
      </c>
      <c r="BA54" s="72">
        <f t="shared" si="7"/>
        <v>3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0</v>
      </c>
      <c r="M55" s="62"/>
      <c r="N55" s="62">
        <v>0</v>
      </c>
      <c r="O55" s="62">
        <v>0</v>
      </c>
      <c r="P55" s="62"/>
      <c r="Q55" s="72">
        <f t="shared" si="1"/>
        <v>0</v>
      </c>
      <c r="R55" s="62"/>
      <c r="S55" s="62"/>
      <c r="T55" s="62"/>
      <c r="U55" s="62"/>
      <c r="V55" s="62"/>
      <c r="W55" s="72" t="str">
        <f t="shared" si="2"/>
        <v>A</v>
      </c>
      <c r="X55" s="62"/>
      <c r="Y55" s="62"/>
      <c r="Z55" s="62"/>
      <c r="AA55" s="62"/>
      <c r="AB55" s="62"/>
      <c r="AC55" s="72" t="str">
        <f t="shared" si="3"/>
        <v>A</v>
      </c>
      <c r="AD55" s="62"/>
      <c r="AE55" s="62"/>
      <c r="AF55" s="62"/>
      <c r="AG55" s="62"/>
      <c r="AH55" s="62"/>
      <c r="AI55" s="72" t="str">
        <f t="shared" si="4"/>
        <v>A</v>
      </c>
      <c r="AJ55" s="62"/>
      <c r="AK55" s="62"/>
      <c r="AL55" s="62"/>
      <c r="AM55" s="62"/>
      <c r="AN55" s="62"/>
      <c r="AO55" s="72" t="str">
        <f t="shared" si="5"/>
        <v>A</v>
      </c>
      <c r="AP55" s="62"/>
      <c r="AQ55" s="62"/>
      <c r="AR55" s="62"/>
      <c r="AS55" s="62"/>
      <c r="AT55" s="62"/>
      <c r="AU55" s="72" t="str">
        <f t="shared" si="6"/>
        <v>A</v>
      </c>
      <c r="AV55" s="62"/>
      <c r="AW55" s="62"/>
      <c r="AX55" s="62">
        <v>0</v>
      </c>
      <c r="AY55" s="62">
        <v>0</v>
      </c>
      <c r="AZ55" s="62">
        <v>0</v>
      </c>
      <c r="BA55" s="72">
        <f t="shared" si="7"/>
        <v>0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/>
      <c r="N56" s="62">
        <v>3</v>
      </c>
      <c r="O56" s="62">
        <v>2</v>
      </c>
      <c r="P56" s="62"/>
      <c r="Q56" s="72">
        <f t="shared" si="1"/>
        <v>2.6666666666666665</v>
      </c>
      <c r="R56" s="7"/>
      <c r="S56" s="7"/>
      <c r="T56" s="7"/>
      <c r="U56" s="7"/>
      <c r="V56" s="7"/>
      <c r="W56" s="72" t="str">
        <f t="shared" si="2"/>
        <v>A</v>
      </c>
      <c r="X56" s="7"/>
      <c r="Y56" s="7"/>
      <c r="Z56" s="7"/>
      <c r="AA56" s="7"/>
      <c r="AB56" s="7"/>
      <c r="AC56" s="72" t="str">
        <f t="shared" si="3"/>
        <v>A</v>
      </c>
      <c r="AD56" s="7"/>
      <c r="AE56" s="7"/>
      <c r="AF56" s="7"/>
      <c r="AG56" s="7"/>
      <c r="AH56" s="7"/>
      <c r="AI56" s="72" t="str">
        <f t="shared" si="4"/>
        <v>A</v>
      </c>
      <c r="AJ56" s="7"/>
      <c r="AK56" s="7"/>
      <c r="AL56" s="7"/>
      <c r="AM56" s="7"/>
      <c r="AN56" s="7"/>
      <c r="AO56" s="72" t="str">
        <f t="shared" si="5"/>
        <v>A</v>
      </c>
      <c r="AP56" s="7"/>
      <c r="AQ56" s="7"/>
      <c r="AR56" s="7"/>
      <c r="AS56" s="7"/>
      <c r="AT56" s="7"/>
      <c r="AU56" s="72" t="str">
        <f t="shared" si="6"/>
        <v>A</v>
      </c>
      <c r="AV56" s="7"/>
      <c r="AW56" s="7"/>
      <c r="AX56" s="62">
        <v>5</v>
      </c>
      <c r="AY56" s="62">
        <v>2</v>
      </c>
      <c r="AZ56" s="62">
        <v>2</v>
      </c>
      <c r="BA56" s="72">
        <f t="shared" si="7"/>
        <v>3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4</v>
      </c>
      <c r="M57" s="62"/>
      <c r="N57" s="62">
        <v>4</v>
      </c>
      <c r="O57" s="62">
        <v>4</v>
      </c>
      <c r="P57" s="62"/>
      <c r="Q57" s="72">
        <f t="shared" si="1"/>
        <v>4</v>
      </c>
      <c r="R57" s="62"/>
      <c r="S57" s="62"/>
      <c r="T57" s="62"/>
      <c r="U57" s="62"/>
      <c r="V57" s="62"/>
      <c r="W57" s="72" t="str">
        <f t="shared" si="2"/>
        <v>A</v>
      </c>
      <c r="X57" s="62"/>
      <c r="Y57" s="62"/>
      <c r="Z57" s="62"/>
      <c r="AA57" s="62"/>
      <c r="AB57" s="62"/>
      <c r="AC57" s="72" t="str">
        <f t="shared" si="3"/>
        <v>A</v>
      </c>
      <c r="AD57" s="62"/>
      <c r="AE57" s="62"/>
      <c r="AF57" s="62"/>
      <c r="AG57" s="62"/>
      <c r="AH57" s="62"/>
      <c r="AI57" s="72" t="str">
        <f t="shared" si="4"/>
        <v>A</v>
      </c>
      <c r="AJ57" s="62"/>
      <c r="AK57" s="62"/>
      <c r="AL57" s="62"/>
      <c r="AM57" s="62"/>
      <c r="AN57" s="62"/>
      <c r="AO57" s="72" t="str">
        <f t="shared" si="5"/>
        <v>A</v>
      </c>
      <c r="AP57" s="62"/>
      <c r="AQ57" s="62"/>
      <c r="AR57" s="62"/>
      <c r="AS57" s="62"/>
      <c r="AT57" s="62"/>
      <c r="AU57" s="72" t="str">
        <f t="shared" si="6"/>
        <v>A</v>
      </c>
      <c r="AV57" s="62"/>
      <c r="AW57" s="62"/>
      <c r="AX57" s="62">
        <v>5</v>
      </c>
      <c r="AY57" s="62">
        <v>0</v>
      </c>
      <c r="AZ57" s="62">
        <v>4</v>
      </c>
      <c r="BA57" s="72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5</v>
      </c>
      <c r="M58" s="62"/>
      <c r="N58" s="62">
        <v>4</v>
      </c>
      <c r="O58" s="62">
        <v>4</v>
      </c>
      <c r="P58" s="62"/>
      <c r="Q58" s="72">
        <f t="shared" si="1"/>
        <v>4.333333333333333</v>
      </c>
      <c r="R58" s="7"/>
      <c r="S58" s="7"/>
      <c r="T58" s="7"/>
      <c r="U58" s="7"/>
      <c r="V58" s="7"/>
      <c r="W58" s="72" t="str">
        <f t="shared" si="2"/>
        <v>A</v>
      </c>
      <c r="X58" s="7"/>
      <c r="Y58" s="7"/>
      <c r="Z58" s="7"/>
      <c r="AA58" s="7"/>
      <c r="AB58" s="7"/>
      <c r="AC58" s="72" t="str">
        <f t="shared" si="3"/>
        <v>A</v>
      </c>
      <c r="AD58" s="7"/>
      <c r="AE58" s="7"/>
      <c r="AF58" s="7"/>
      <c r="AG58" s="7"/>
      <c r="AH58" s="7"/>
      <c r="AI58" s="72" t="str">
        <f t="shared" si="4"/>
        <v>A</v>
      </c>
      <c r="AJ58" s="7"/>
      <c r="AK58" s="7"/>
      <c r="AL58" s="7"/>
      <c r="AM58" s="7"/>
      <c r="AN58" s="7"/>
      <c r="AO58" s="72" t="str">
        <f t="shared" si="5"/>
        <v>A</v>
      </c>
      <c r="AP58" s="7"/>
      <c r="AQ58" s="7"/>
      <c r="AR58" s="7"/>
      <c r="AS58" s="7"/>
      <c r="AT58" s="7"/>
      <c r="AU58" s="72" t="str">
        <f t="shared" si="6"/>
        <v>A</v>
      </c>
      <c r="AV58" s="7"/>
      <c r="AW58" s="7"/>
      <c r="AX58" s="62">
        <v>5</v>
      </c>
      <c r="AY58" s="62">
        <v>0</v>
      </c>
      <c r="AZ58" s="62">
        <v>4</v>
      </c>
      <c r="BA58" s="72">
        <f t="shared" si="7"/>
        <v>3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1</v>
      </c>
      <c r="M59" s="62"/>
      <c r="N59" s="62">
        <v>1</v>
      </c>
      <c r="O59" s="62">
        <v>1</v>
      </c>
      <c r="P59" s="62"/>
      <c r="Q59" s="72">
        <f t="shared" si="1"/>
        <v>1</v>
      </c>
      <c r="R59" s="62"/>
      <c r="S59" s="62"/>
      <c r="T59" s="62"/>
      <c r="U59" s="62"/>
      <c r="V59" s="62"/>
      <c r="W59" s="72" t="str">
        <f t="shared" si="2"/>
        <v>A</v>
      </c>
      <c r="X59" s="62"/>
      <c r="Y59" s="62"/>
      <c r="Z59" s="62"/>
      <c r="AA59" s="62"/>
      <c r="AB59" s="62"/>
      <c r="AC59" s="72" t="str">
        <f t="shared" si="3"/>
        <v>A</v>
      </c>
      <c r="AD59" s="62"/>
      <c r="AE59" s="62"/>
      <c r="AF59" s="62"/>
      <c r="AG59" s="62"/>
      <c r="AH59" s="62"/>
      <c r="AI59" s="72" t="str">
        <f t="shared" si="4"/>
        <v>A</v>
      </c>
      <c r="AJ59" s="62"/>
      <c r="AK59" s="62"/>
      <c r="AL59" s="62"/>
      <c r="AM59" s="62"/>
      <c r="AN59" s="62"/>
      <c r="AO59" s="72" t="str">
        <f t="shared" si="5"/>
        <v>A</v>
      </c>
      <c r="AP59" s="62"/>
      <c r="AQ59" s="62"/>
      <c r="AR59" s="62"/>
      <c r="AS59" s="62"/>
      <c r="AT59" s="62"/>
      <c r="AU59" s="72" t="str">
        <f t="shared" si="6"/>
        <v>A</v>
      </c>
      <c r="AV59" s="62"/>
      <c r="AW59" s="62"/>
      <c r="AX59" s="62">
        <v>1</v>
      </c>
      <c r="AY59" s="62">
        <v>2</v>
      </c>
      <c r="AZ59" s="62">
        <v>1</v>
      </c>
      <c r="BA59" s="72">
        <f t="shared" si="7"/>
        <v>1.3333333333333333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3</v>
      </c>
      <c r="M60" s="62"/>
      <c r="N60" s="62">
        <v>2</v>
      </c>
      <c r="O60" s="62">
        <v>2</v>
      </c>
      <c r="P60" s="62"/>
      <c r="Q60" s="72">
        <f t="shared" si="1"/>
        <v>2.3333333333333335</v>
      </c>
      <c r="R60" s="7"/>
      <c r="S60" s="7"/>
      <c r="T60" s="7"/>
      <c r="U60" s="7"/>
      <c r="V60" s="7"/>
      <c r="W60" s="72" t="str">
        <f t="shared" si="2"/>
        <v>A</v>
      </c>
      <c r="X60" s="7"/>
      <c r="Y60" s="7"/>
      <c r="Z60" s="7"/>
      <c r="AA60" s="7"/>
      <c r="AB60" s="7"/>
      <c r="AC60" s="72" t="str">
        <f t="shared" si="3"/>
        <v>A</v>
      </c>
      <c r="AD60" s="7"/>
      <c r="AE60" s="7"/>
      <c r="AF60" s="7"/>
      <c r="AG60" s="7"/>
      <c r="AH60" s="7"/>
      <c r="AI60" s="72" t="str">
        <f t="shared" si="4"/>
        <v>A</v>
      </c>
      <c r="AJ60" s="7"/>
      <c r="AK60" s="7"/>
      <c r="AL60" s="7"/>
      <c r="AM60" s="7"/>
      <c r="AN60" s="7"/>
      <c r="AO60" s="72" t="str">
        <f t="shared" si="5"/>
        <v>A</v>
      </c>
      <c r="AP60" s="7"/>
      <c r="AQ60" s="7"/>
      <c r="AR60" s="7"/>
      <c r="AS60" s="7"/>
      <c r="AT60" s="7"/>
      <c r="AU60" s="72" t="str">
        <f t="shared" si="6"/>
        <v>A</v>
      </c>
      <c r="AV60" s="7"/>
      <c r="AW60" s="7"/>
      <c r="AX60" s="62">
        <v>5</v>
      </c>
      <c r="AY60" s="62">
        <v>2</v>
      </c>
      <c r="AZ60" s="62">
        <v>2</v>
      </c>
      <c r="BA60" s="72">
        <f t="shared" si="7"/>
        <v>3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/>
      <c r="N61" s="62">
        <v>3</v>
      </c>
      <c r="O61" s="62">
        <v>3</v>
      </c>
      <c r="P61" s="62"/>
      <c r="Q61" s="72">
        <f t="shared" si="1"/>
        <v>3</v>
      </c>
      <c r="R61" s="62"/>
      <c r="S61" s="62"/>
      <c r="T61" s="62"/>
      <c r="U61" s="62"/>
      <c r="V61" s="62"/>
      <c r="W61" s="72" t="str">
        <f t="shared" si="2"/>
        <v>A</v>
      </c>
      <c r="X61" s="62"/>
      <c r="Y61" s="62"/>
      <c r="Z61" s="62"/>
      <c r="AA61" s="62"/>
      <c r="AB61" s="62"/>
      <c r="AC61" s="72" t="str">
        <f t="shared" si="3"/>
        <v>A</v>
      </c>
      <c r="AD61" s="62"/>
      <c r="AE61" s="62"/>
      <c r="AF61" s="62"/>
      <c r="AG61" s="62"/>
      <c r="AH61" s="62"/>
      <c r="AI61" s="72" t="str">
        <f t="shared" si="4"/>
        <v>A</v>
      </c>
      <c r="AJ61" s="62"/>
      <c r="AK61" s="62"/>
      <c r="AL61" s="62"/>
      <c r="AM61" s="62"/>
      <c r="AN61" s="62"/>
      <c r="AO61" s="72" t="str">
        <f t="shared" si="5"/>
        <v>A</v>
      </c>
      <c r="AP61" s="62"/>
      <c r="AQ61" s="62"/>
      <c r="AR61" s="62"/>
      <c r="AS61" s="62"/>
      <c r="AT61" s="62"/>
      <c r="AU61" s="72" t="str">
        <f t="shared" si="6"/>
        <v>A</v>
      </c>
      <c r="AV61" s="62"/>
      <c r="AW61" s="62"/>
      <c r="AX61" s="62">
        <v>5</v>
      </c>
      <c r="AY61" s="62">
        <v>0</v>
      </c>
      <c r="AZ61" s="62">
        <v>3</v>
      </c>
      <c r="BA61" s="72">
        <f t="shared" si="7"/>
        <v>2.6666666666666665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3</v>
      </c>
      <c r="M62" s="62"/>
      <c r="N62" s="62">
        <v>3</v>
      </c>
      <c r="O62" s="62">
        <v>4</v>
      </c>
      <c r="P62" s="62"/>
      <c r="Q62" s="72">
        <f t="shared" si="1"/>
        <v>3.3333333333333335</v>
      </c>
      <c r="R62" s="7"/>
      <c r="S62" s="7"/>
      <c r="T62" s="7"/>
      <c r="U62" s="7"/>
      <c r="V62" s="7"/>
      <c r="W62" s="72" t="str">
        <f t="shared" si="2"/>
        <v>A</v>
      </c>
      <c r="X62" s="7"/>
      <c r="Y62" s="7"/>
      <c r="Z62" s="7"/>
      <c r="AA62" s="7"/>
      <c r="AB62" s="7"/>
      <c r="AC62" s="72" t="str">
        <f t="shared" si="3"/>
        <v>A</v>
      </c>
      <c r="AD62" s="7"/>
      <c r="AE62" s="7"/>
      <c r="AF62" s="7"/>
      <c r="AG62" s="7"/>
      <c r="AH62" s="7"/>
      <c r="AI62" s="72" t="str">
        <f t="shared" si="4"/>
        <v>A</v>
      </c>
      <c r="AJ62" s="7"/>
      <c r="AK62" s="7"/>
      <c r="AL62" s="7"/>
      <c r="AM62" s="7"/>
      <c r="AN62" s="7"/>
      <c r="AO62" s="72" t="str">
        <f t="shared" si="5"/>
        <v>A</v>
      </c>
      <c r="AP62" s="7"/>
      <c r="AQ62" s="7"/>
      <c r="AR62" s="7"/>
      <c r="AS62" s="7"/>
      <c r="AT62" s="7"/>
      <c r="AU62" s="72" t="str">
        <f t="shared" si="6"/>
        <v>A</v>
      </c>
      <c r="AV62" s="7"/>
      <c r="AW62" s="7"/>
      <c r="AX62" s="62">
        <v>5</v>
      </c>
      <c r="AY62" s="62">
        <v>0</v>
      </c>
      <c r="AZ62" s="62">
        <v>4</v>
      </c>
      <c r="BA62" s="72">
        <f t="shared" si="7"/>
        <v>3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3</v>
      </c>
      <c r="M63" s="62"/>
      <c r="N63" s="62">
        <v>3</v>
      </c>
      <c r="O63" s="62">
        <v>4</v>
      </c>
      <c r="P63" s="62"/>
      <c r="Q63" s="72">
        <f t="shared" si="1"/>
        <v>3.3333333333333335</v>
      </c>
      <c r="R63" s="62"/>
      <c r="S63" s="62"/>
      <c r="T63" s="62"/>
      <c r="U63" s="62"/>
      <c r="V63" s="62"/>
      <c r="W63" s="72" t="str">
        <f t="shared" si="2"/>
        <v>A</v>
      </c>
      <c r="X63" s="62"/>
      <c r="Y63" s="62"/>
      <c r="Z63" s="62"/>
      <c r="AA63" s="62"/>
      <c r="AB63" s="62"/>
      <c r="AC63" s="72" t="str">
        <f t="shared" si="3"/>
        <v>A</v>
      </c>
      <c r="AD63" s="62"/>
      <c r="AE63" s="62"/>
      <c r="AF63" s="62"/>
      <c r="AG63" s="62"/>
      <c r="AH63" s="62"/>
      <c r="AI63" s="72" t="str">
        <f t="shared" si="4"/>
        <v>A</v>
      </c>
      <c r="AJ63" s="62"/>
      <c r="AK63" s="62"/>
      <c r="AL63" s="62"/>
      <c r="AM63" s="62"/>
      <c r="AN63" s="62"/>
      <c r="AO63" s="72" t="str">
        <f t="shared" si="5"/>
        <v>A</v>
      </c>
      <c r="AP63" s="62"/>
      <c r="AQ63" s="62"/>
      <c r="AR63" s="62"/>
      <c r="AS63" s="62"/>
      <c r="AT63" s="62"/>
      <c r="AU63" s="72" t="str">
        <f t="shared" si="6"/>
        <v>A</v>
      </c>
      <c r="AV63" s="62"/>
      <c r="AW63" s="62"/>
      <c r="AX63" s="62">
        <v>5</v>
      </c>
      <c r="AY63" s="62">
        <v>0</v>
      </c>
      <c r="AZ63" s="62">
        <v>3</v>
      </c>
      <c r="BA63" s="72">
        <f t="shared" si="7"/>
        <v>2.6666666666666665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/>
      <c r="N64" s="62">
        <v>3</v>
      </c>
      <c r="O64" s="62">
        <v>1</v>
      </c>
      <c r="P64" s="62"/>
      <c r="Q64" s="72">
        <f t="shared" si="1"/>
        <v>2.3333333333333335</v>
      </c>
      <c r="R64" s="7"/>
      <c r="S64" s="7"/>
      <c r="T64" s="7"/>
      <c r="U64" s="7"/>
      <c r="V64" s="7"/>
      <c r="W64" s="72" t="str">
        <f t="shared" si="2"/>
        <v>A</v>
      </c>
      <c r="X64" s="7"/>
      <c r="Y64" s="7"/>
      <c r="Z64" s="7"/>
      <c r="AA64" s="7"/>
      <c r="AB64" s="7"/>
      <c r="AC64" s="72" t="str">
        <f t="shared" si="3"/>
        <v>A</v>
      </c>
      <c r="AD64" s="7"/>
      <c r="AE64" s="7"/>
      <c r="AF64" s="7"/>
      <c r="AG64" s="7"/>
      <c r="AH64" s="7"/>
      <c r="AI64" s="72" t="str">
        <f t="shared" si="4"/>
        <v>A</v>
      </c>
      <c r="AJ64" s="7"/>
      <c r="AK64" s="7"/>
      <c r="AL64" s="7"/>
      <c r="AM64" s="7"/>
      <c r="AN64" s="7"/>
      <c r="AO64" s="72" t="str">
        <f t="shared" si="5"/>
        <v>A</v>
      </c>
      <c r="AP64" s="7"/>
      <c r="AQ64" s="7"/>
      <c r="AR64" s="7"/>
      <c r="AS64" s="7"/>
      <c r="AT64" s="7"/>
      <c r="AU64" s="72" t="str">
        <f t="shared" si="6"/>
        <v>A</v>
      </c>
      <c r="AV64" s="7"/>
      <c r="AW64" s="7"/>
      <c r="AX64" s="62">
        <v>5</v>
      </c>
      <c r="AY64" s="62">
        <v>0</v>
      </c>
      <c r="AZ64" s="62">
        <v>1</v>
      </c>
      <c r="BA64" s="72">
        <f t="shared" si="7"/>
        <v>2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/>
      <c r="N65" s="62">
        <v>3</v>
      </c>
      <c r="O65" s="62">
        <v>4</v>
      </c>
      <c r="P65" s="62"/>
      <c r="Q65" s="72">
        <f t="shared" si="1"/>
        <v>3.3333333333333335</v>
      </c>
      <c r="R65" s="62"/>
      <c r="S65" s="62"/>
      <c r="T65" s="62"/>
      <c r="U65" s="62"/>
      <c r="V65" s="62"/>
      <c r="W65" s="72" t="str">
        <f t="shared" si="2"/>
        <v>A</v>
      </c>
      <c r="X65" s="62"/>
      <c r="Y65" s="62"/>
      <c r="Z65" s="62"/>
      <c r="AA65" s="62"/>
      <c r="AB65" s="62"/>
      <c r="AC65" s="72" t="str">
        <f t="shared" si="3"/>
        <v>A</v>
      </c>
      <c r="AD65" s="62"/>
      <c r="AE65" s="62"/>
      <c r="AF65" s="62"/>
      <c r="AG65" s="62"/>
      <c r="AH65" s="62"/>
      <c r="AI65" s="72" t="str">
        <f t="shared" si="4"/>
        <v>A</v>
      </c>
      <c r="AJ65" s="62"/>
      <c r="AK65" s="62"/>
      <c r="AL65" s="62"/>
      <c r="AM65" s="62"/>
      <c r="AN65" s="62"/>
      <c r="AO65" s="72" t="str">
        <f t="shared" si="5"/>
        <v>A</v>
      </c>
      <c r="AP65" s="62"/>
      <c r="AQ65" s="62"/>
      <c r="AR65" s="62"/>
      <c r="AS65" s="62"/>
      <c r="AT65" s="62"/>
      <c r="AU65" s="72" t="str">
        <f t="shared" si="6"/>
        <v>A</v>
      </c>
      <c r="AV65" s="62"/>
      <c r="AW65" s="62"/>
      <c r="AX65" s="62">
        <v>5</v>
      </c>
      <c r="AY65" s="62">
        <v>0</v>
      </c>
      <c r="AZ65" s="62">
        <v>3</v>
      </c>
      <c r="BA65" s="72">
        <f t="shared" si="7"/>
        <v>2.6666666666666665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1</v>
      </c>
      <c r="M66" s="62"/>
      <c r="N66" s="62">
        <v>1</v>
      </c>
      <c r="O66" s="62">
        <v>1</v>
      </c>
      <c r="P66" s="62"/>
      <c r="Q66" s="72">
        <f t="shared" si="1"/>
        <v>1</v>
      </c>
      <c r="R66" s="7"/>
      <c r="S66" s="7"/>
      <c r="T66" s="7"/>
      <c r="U66" s="7"/>
      <c r="V66" s="7"/>
      <c r="W66" s="72" t="str">
        <f t="shared" si="2"/>
        <v>A</v>
      </c>
      <c r="X66" s="7"/>
      <c r="Y66" s="7"/>
      <c r="Z66" s="7"/>
      <c r="AA66" s="7"/>
      <c r="AB66" s="7"/>
      <c r="AC66" s="72" t="str">
        <f t="shared" si="3"/>
        <v>A</v>
      </c>
      <c r="AD66" s="7"/>
      <c r="AE66" s="7"/>
      <c r="AF66" s="7"/>
      <c r="AG66" s="7"/>
      <c r="AH66" s="7"/>
      <c r="AI66" s="72" t="str">
        <f t="shared" si="4"/>
        <v>A</v>
      </c>
      <c r="AJ66" s="7"/>
      <c r="AK66" s="7"/>
      <c r="AL66" s="7"/>
      <c r="AM66" s="7"/>
      <c r="AN66" s="7"/>
      <c r="AO66" s="72" t="str">
        <f t="shared" si="5"/>
        <v>A</v>
      </c>
      <c r="AP66" s="7"/>
      <c r="AQ66" s="7"/>
      <c r="AR66" s="7"/>
      <c r="AS66" s="7"/>
      <c r="AT66" s="7"/>
      <c r="AU66" s="72" t="str">
        <f t="shared" si="6"/>
        <v>A</v>
      </c>
      <c r="AV66" s="7"/>
      <c r="AW66" s="7"/>
      <c r="AX66" s="62">
        <v>1</v>
      </c>
      <c r="AY66" s="62">
        <v>2</v>
      </c>
      <c r="AZ66" s="62">
        <v>1</v>
      </c>
      <c r="BA66" s="72">
        <f t="shared" si="7"/>
        <v>1.3333333333333333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4</v>
      </c>
      <c r="M67" s="62"/>
      <c r="N67" s="62">
        <v>3</v>
      </c>
      <c r="O67" s="62">
        <v>3</v>
      </c>
      <c r="P67" s="62"/>
      <c r="Q67" s="72">
        <f t="shared" si="1"/>
        <v>3.3333333333333335</v>
      </c>
      <c r="R67" s="62"/>
      <c r="S67" s="62"/>
      <c r="T67" s="62"/>
      <c r="U67" s="62"/>
      <c r="V67" s="62"/>
      <c r="W67" s="72" t="str">
        <f t="shared" si="2"/>
        <v>A</v>
      </c>
      <c r="X67" s="62"/>
      <c r="Y67" s="62"/>
      <c r="Z67" s="62"/>
      <c r="AA67" s="62"/>
      <c r="AB67" s="62"/>
      <c r="AC67" s="72" t="str">
        <f t="shared" si="3"/>
        <v>A</v>
      </c>
      <c r="AD67" s="62"/>
      <c r="AE67" s="62"/>
      <c r="AF67" s="62"/>
      <c r="AG67" s="62"/>
      <c r="AH67" s="62"/>
      <c r="AI67" s="72" t="str">
        <f t="shared" si="4"/>
        <v>A</v>
      </c>
      <c r="AJ67" s="62"/>
      <c r="AK67" s="62"/>
      <c r="AL67" s="62"/>
      <c r="AM67" s="62"/>
      <c r="AN67" s="62"/>
      <c r="AO67" s="72" t="str">
        <f t="shared" si="5"/>
        <v>A</v>
      </c>
      <c r="AP67" s="62"/>
      <c r="AQ67" s="62"/>
      <c r="AR67" s="62"/>
      <c r="AS67" s="62"/>
      <c r="AT67" s="62"/>
      <c r="AU67" s="72" t="str">
        <f t="shared" si="6"/>
        <v>A</v>
      </c>
      <c r="AV67" s="62"/>
      <c r="AW67" s="62"/>
      <c r="AX67" s="62">
        <v>5</v>
      </c>
      <c r="AY67" s="62">
        <v>0</v>
      </c>
      <c r="AZ67" s="62">
        <v>3</v>
      </c>
      <c r="BA67" s="72">
        <f t="shared" si="7"/>
        <v>2.6666666666666665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3</v>
      </c>
      <c r="M68" s="62"/>
      <c r="N68" s="62">
        <v>2</v>
      </c>
      <c r="O68" s="62">
        <v>2</v>
      </c>
      <c r="P68" s="62"/>
      <c r="Q68" s="72">
        <f t="shared" ref="Q68:Q131" si="9">IFERROR(AVERAGE(N68,L68,O68),"A")</f>
        <v>2.3333333333333335</v>
      </c>
      <c r="R68" s="7"/>
      <c r="S68" s="7"/>
      <c r="T68" s="7"/>
      <c r="U68" s="7"/>
      <c r="V68" s="7"/>
      <c r="W68" s="72" t="str">
        <f t="shared" ref="W68:W131" si="10">IFERROR(AVERAGE(R68,S68,U68),"A")</f>
        <v>A</v>
      </c>
      <c r="X68" s="7"/>
      <c r="Y68" s="7"/>
      <c r="Z68" s="7"/>
      <c r="AA68" s="7"/>
      <c r="AB68" s="7"/>
      <c r="AC68" s="72" t="str">
        <f t="shared" ref="AC68:AC131" si="11">IFERROR(AVERAGE(Y68,X68),"A")</f>
        <v>A</v>
      </c>
      <c r="AD68" s="7"/>
      <c r="AE68" s="7"/>
      <c r="AF68" s="7"/>
      <c r="AG68" s="7"/>
      <c r="AH68" s="7"/>
      <c r="AI68" s="72" t="str">
        <f t="shared" ref="AI68:AI131" si="12">IFERROR(AVERAGE(AF68,AD68),"A")</f>
        <v>A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7"/>
      <c r="AQ68" s="7"/>
      <c r="AR68" s="7"/>
      <c r="AS68" s="7"/>
      <c r="AT68" s="7"/>
      <c r="AU68" s="72" t="str">
        <f t="shared" ref="AU68:AU131" si="14">IFERROR(AVERAGE(AR68,AQ68,AP68),"A")</f>
        <v>A</v>
      </c>
      <c r="AV68" s="7"/>
      <c r="AW68" s="7"/>
      <c r="AX68" s="62">
        <v>5</v>
      </c>
      <c r="AY68" s="62">
        <v>0</v>
      </c>
      <c r="AZ68" s="62">
        <v>2</v>
      </c>
      <c r="BA68" s="72">
        <f t="shared" ref="BA68:BA131" si="15">IFERROR(AVERAGE(AX68,AY68,AZ68),"A")</f>
        <v>2.3333333333333335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3</v>
      </c>
      <c r="M69" s="62"/>
      <c r="N69" s="62">
        <v>4</v>
      </c>
      <c r="O69" s="62">
        <v>4</v>
      </c>
      <c r="P69" s="62"/>
      <c r="Q69" s="72">
        <f t="shared" si="9"/>
        <v>3.6666666666666665</v>
      </c>
      <c r="R69" s="62"/>
      <c r="S69" s="62"/>
      <c r="T69" s="62"/>
      <c r="U69" s="62"/>
      <c r="V69" s="62"/>
      <c r="W69" s="72" t="str">
        <f t="shared" si="10"/>
        <v>A</v>
      </c>
      <c r="X69" s="62"/>
      <c r="Y69" s="62"/>
      <c r="Z69" s="62"/>
      <c r="AA69" s="62"/>
      <c r="AB69" s="62"/>
      <c r="AC69" s="72" t="str">
        <f t="shared" si="11"/>
        <v>A</v>
      </c>
      <c r="AD69" s="62"/>
      <c r="AE69" s="62"/>
      <c r="AF69" s="62"/>
      <c r="AG69" s="62"/>
      <c r="AH69" s="62"/>
      <c r="AI69" s="72" t="str">
        <f t="shared" si="12"/>
        <v>A</v>
      </c>
      <c r="AJ69" s="62"/>
      <c r="AK69" s="62"/>
      <c r="AL69" s="62"/>
      <c r="AM69" s="62"/>
      <c r="AN69" s="62"/>
      <c r="AO69" s="72" t="str">
        <f t="shared" si="13"/>
        <v>A</v>
      </c>
      <c r="AP69" s="62"/>
      <c r="AQ69" s="62"/>
      <c r="AR69" s="62"/>
      <c r="AS69" s="62"/>
      <c r="AT69" s="62"/>
      <c r="AU69" s="72" t="str">
        <f t="shared" si="14"/>
        <v>A</v>
      </c>
      <c r="AV69" s="62"/>
      <c r="AW69" s="62"/>
      <c r="AX69" s="62">
        <v>5</v>
      </c>
      <c r="AY69" s="62">
        <v>0</v>
      </c>
      <c r="AZ69" s="62">
        <v>4</v>
      </c>
      <c r="BA69" s="72">
        <f t="shared" si="15"/>
        <v>3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3</v>
      </c>
      <c r="M70" s="62"/>
      <c r="N70" s="62">
        <v>4</v>
      </c>
      <c r="O70" s="62">
        <v>4</v>
      </c>
      <c r="P70" s="62"/>
      <c r="Q70" s="72">
        <f t="shared" si="9"/>
        <v>3.6666666666666665</v>
      </c>
      <c r="R70" s="7"/>
      <c r="S70" s="7"/>
      <c r="T70" s="7"/>
      <c r="U70" s="7"/>
      <c r="V70" s="7"/>
      <c r="W70" s="72" t="str">
        <f t="shared" si="10"/>
        <v>A</v>
      </c>
      <c r="X70" s="7"/>
      <c r="Y70" s="7"/>
      <c r="Z70" s="7"/>
      <c r="AA70" s="7"/>
      <c r="AB70" s="7"/>
      <c r="AC70" s="72" t="str">
        <f t="shared" si="11"/>
        <v>A</v>
      </c>
      <c r="AD70" s="7"/>
      <c r="AE70" s="7"/>
      <c r="AF70" s="7"/>
      <c r="AG70" s="7"/>
      <c r="AH70" s="7"/>
      <c r="AI70" s="72" t="str">
        <f t="shared" si="12"/>
        <v>A</v>
      </c>
      <c r="AJ70" s="7"/>
      <c r="AK70" s="7"/>
      <c r="AL70" s="7"/>
      <c r="AM70" s="7"/>
      <c r="AN70" s="7"/>
      <c r="AO70" s="72" t="str">
        <f t="shared" si="13"/>
        <v>A</v>
      </c>
      <c r="AP70" s="7"/>
      <c r="AQ70" s="7"/>
      <c r="AR70" s="7"/>
      <c r="AS70" s="7"/>
      <c r="AT70" s="7"/>
      <c r="AU70" s="72" t="str">
        <f t="shared" si="14"/>
        <v>A</v>
      </c>
      <c r="AV70" s="7"/>
      <c r="AW70" s="7"/>
      <c r="AX70" s="62">
        <v>5</v>
      </c>
      <c r="AY70" s="62">
        <v>0</v>
      </c>
      <c r="AZ70" s="62">
        <v>4</v>
      </c>
      <c r="BA70" s="72">
        <f t="shared" si="15"/>
        <v>3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2</v>
      </c>
      <c r="M71" s="62"/>
      <c r="N71" s="62">
        <v>2</v>
      </c>
      <c r="O71" s="62">
        <v>1</v>
      </c>
      <c r="P71" s="62"/>
      <c r="Q71" s="72">
        <f t="shared" si="9"/>
        <v>1.6666666666666667</v>
      </c>
      <c r="R71" s="62"/>
      <c r="S71" s="62"/>
      <c r="T71" s="62"/>
      <c r="U71" s="62"/>
      <c r="V71" s="62"/>
      <c r="W71" s="72" t="str">
        <f t="shared" si="10"/>
        <v>A</v>
      </c>
      <c r="X71" s="62"/>
      <c r="Y71" s="62"/>
      <c r="Z71" s="62"/>
      <c r="AA71" s="62"/>
      <c r="AB71" s="62"/>
      <c r="AC71" s="72" t="str">
        <f t="shared" si="11"/>
        <v>A</v>
      </c>
      <c r="AD71" s="62"/>
      <c r="AE71" s="62"/>
      <c r="AF71" s="62"/>
      <c r="AG71" s="62"/>
      <c r="AH71" s="62"/>
      <c r="AI71" s="72" t="str">
        <f t="shared" si="12"/>
        <v>A</v>
      </c>
      <c r="AJ71" s="62"/>
      <c r="AK71" s="62"/>
      <c r="AL71" s="62"/>
      <c r="AM71" s="62"/>
      <c r="AN71" s="62"/>
      <c r="AO71" s="72" t="str">
        <f t="shared" si="13"/>
        <v>A</v>
      </c>
      <c r="AP71" s="62"/>
      <c r="AQ71" s="62"/>
      <c r="AR71" s="62"/>
      <c r="AS71" s="62"/>
      <c r="AT71" s="62"/>
      <c r="AU71" s="72" t="str">
        <f t="shared" si="14"/>
        <v>A</v>
      </c>
      <c r="AV71" s="62"/>
      <c r="AW71" s="62"/>
      <c r="AX71" s="62">
        <v>5</v>
      </c>
      <c r="AY71" s="62">
        <v>0</v>
      </c>
      <c r="AZ71" s="62">
        <v>1</v>
      </c>
      <c r="BA71" s="72">
        <f t="shared" si="15"/>
        <v>2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3</v>
      </c>
      <c r="M72" s="62"/>
      <c r="N72" s="62">
        <v>3</v>
      </c>
      <c r="O72" s="62">
        <v>2</v>
      </c>
      <c r="P72" s="62"/>
      <c r="Q72" s="72">
        <f t="shared" si="9"/>
        <v>2.6666666666666665</v>
      </c>
      <c r="R72" s="7"/>
      <c r="S72" s="7"/>
      <c r="T72" s="7"/>
      <c r="U72" s="7"/>
      <c r="V72" s="7"/>
      <c r="W72" s="72" t="str">
        <f t="shared" si="10"/>
        <v>A</v>
      </c>
      <c r="X72" s="7"/>
      <c r="Y72" s="7"/>
      <c r="Z72" s="7"/>
      <c r="AA72" s="7"/>
      <c r="AB72" s="7"/>
      <c r="AC72" s="72" t="str">
        <f t="shared" si="11"/>
        <v>A</v>
      </c>
      <c r="AD72" s="7"/>
      <c r="AE72" s="7"/>
      <c r="AF72" s="7"/>
      <c r="AG72" s="7"/>
      <c r="AH72" s="7"/>
      <c r="AI72" s="72" t="str">
        <f t="shared" si="12"/>
        <v>A</v>
      </c>
      <c r="AJ72" s="7"/>
      <c r="AK72" s="7"/>
      <c r="AL72" s="7"/>
      <c r="AM72" s="7"/>
      <c r="AN72" s="7"/>
      <c r="AO72" s="72" t="str">
        <f t="shared" si="13"/>
        <v>A</v>
      </c>
      <c r="AP72" s="7"/>
      <c r="AQ72" s="7"/>
      <c r="AR72" s="7"/>
      <c r="AS72" s="7"/>
      <c r="AT72" s="7"/>
      <c r="AU72" s="72" t="str">
        <f t="shared" si="14"/>
        <v>A</v>
      </c>
      <c r="AV72" s="7"/>
      <c r="AW72" s="7"/>
      <c r="AX72" s="62">
        <v>5</v>
      </c>
      <c r="AY72" s="62">
        <v>2</v>
      </c>
      <c r="AZ72" s="62">
        <v>2</v>
      </c>
      <c r="BA72" s="72">
        <f t="shared" si="15"/>
        <v>3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3</v>
      </c>
      <c r="M73" s="62"/>
      <c r="N73" s="62">
        <v>4</v>
      </c>
      <c r="O73" s="62">
        <v>2</v>
      </c>
      <c r="P73" s="62"/>
      <c r="Q73" s="72">
        <f t="shared" si="9"/>
        <v>3</v>
      </c>
      <c r="R73" s="62"/>
      <c r="S73" s="62"/>
      <c r="T73" s="62"/>
      <c r="U73" s="62"/>
      <c r="V73" s="62"/>
      <c r="W73" s="72" t="str">
        <f t="shared" si="10"/>
        <v>A</v>
      </c>
      <c r="X73" s="62"/>
      <c r="Y73" s="62"/>
      <c r="Z73" s="62"/>
      <c r="AA73" s="62"/>
      <c r="AB73" s="62"/>
      <c r="AC73" s="72" t="str">
        <f t="shared" si="11"/>
        <v>A</v>
      </c>
      <c r="AD73" s="62"/>
      <c r="AE73" s="62"/>
      <c r="AF73" s="62"/>
      <c r="AG73" s="62"/>
      <c r="AH73" s="62"/>
      <c r="AI73" s="72" t="str">
        <f t="shared" si="12"/>
        <v>A</v>
      </c>
      <c r="AJ73" s="62"/>
      <c r="AK73" s="62"/>
      <c r="AL73" s="62"/>
      <c r="AM73" s="62"/>
      <c r="AN73" s="62"/>
      <c r="AO73" s="72" t="str">
        <f t="shared" si="13"/>
        <v>A</v>
      </c>
      <c r="AP73" s="62"/>
      <c r="AQ73" s="62"/>
      <c r="AR73" s="62"/>
      <c r="AS73" s="62"/>
      <c r="AT73" s="62"/>
      <c r="AU73" s="72" t="str">
        <f t="shared" si="14"/>
        <v>A</v>
      </c>
      <c r="AV73" s="62"/>
      <c r="AW73" s="62"/>
      <c r="AX73" s="62">
        <v>5</v>
      </c>
      <c r="AY73" s="62">
        <v>0</v>
      </c>
      <c r="AZ73" s="62">
        <v>2</v>
      </c>
      <c r="BA73" s="72">
        <f t="shared" si="15"/>
        <v>2.3333333333333335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3</v>
      </c>
      <c r="M74" s="62"/>
      <c r="N74" s="62">
        <v>4</v>
      </c>
      <c r="O74" s="62">
        <v>4</v>
      </c>
      <c r="P74" s="62"/>
      <c r="Q74" s="72">
        <f t="shared" si="9"/>
        <v>3.6666666666666665</v>
      </c>
      <c r="R74" s="7"/>
      <c r="S74" s="7"/>
      <c r="T74" s="7"/>
      <c r="U74" s="7"/>
      <c r="V74" s="7"/>
      <c r="W74" s="72" t="str">
        <f t="shared" si="10"/>
        <v>A</v>
      </c>
      <c r="X74" s="7"/>
      <c r="Y74" s="7"/>
      <c r="Z74" s="7"/>
      <c r="AA74" s="7"/>
      <c r="AB74" s="7"/>
      <c r="AC74" s="72" t="str">
        <f t="shared" si="11"/>
        <v>A</v>
      </c>
      <c r="AD74" s="7"/>
      <c r="AE74" s="7"/>
      <c r="AF74" s="7"/>
      <c r="AG74" s="7"/>
      <c r="AH74" s="7"/>
      <c r="AI74" s="72" t="str">
        <f t="shared" si="12"/>
        <v>A</v>
      </c>
      <c r="AJ74" s="7"/>
      <c r="AK74" s="7"/>
      <c r="AL74" s="7"/>
      <c r="AM74" s="7"/>
      <c r="AN74" s="7"/>
      <c r="AO74" s="72" t="str">
        <f t="shared" si="13"/>
        <v>A</v>
      </c>
      <c r="AP74" s="7"/>
      <c r="AQ74" s="7"/>
      <c r="AR74" s="7"/>
      <c r="AS74" s="7"/>
      <c r="AT74" s="7"/>
      <c r="AU74" s="72" t="str">
        <f t="shared" si="14"/>
        <v>A</v>
      </c>
      <c r="AV74" s="7"/>
      <c r="AW74" s="7"/>
      <c r="AX74" s="62">
        <v>5</v>
      </c>
      <c r="AY74" s="62">
        <v>0</v>
      </c>
      <c r="AZ74" s="62">
        <v>4</v>
      </c>
      <c r="BA74" s="72">
        <f t="shared" si="15"/>
        <v>3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3</v>
      </c>
      <c r="M75" s="62"/>
      <c r="N75" s="62">
        <v>2</v>
      </c>
      <c r="O75" s="62">
        <v>3</v>
      </c>
      <c r="P75" s="62"/>
      <c r="Q75" s="72">
        <f t="shared" si="9"/>
        <v>2.6666666666666665</v>
      </c>
      <c r="R75" s="62"/>
      <c r="S75" s="62"/>
      <c r="T75" s="62"/>
      <c r="U75" s="62"/>
      <c r="V75" s="62"/>
      <c r="W75" s="72" t="str">
        <f t="shared" si="10"/>
        <v>A</v>
      </c>
      <c r="X75" s="62"/>
      <c r="Y75" s="62"/>
      <c r="Z75" s="62"/>
      <c r="AA75" s="62"/>
      <c r="AB75" s="62"/>
      <c r="AC75" s="72" t="str">
        <f t="shared" si="11"/>
        <v>A</v>
      </c>
      <c r="AD75" s="62"/>
      <c r="AE75" s="62"/>
      <c r="AF75" s="62"/>
      <c r="AG75" s="62"/>
      <c r="AH75" s="62"/>
      <c r="AI75" s="72" t="str">
        <f t="shared" si="12"/>
        <v>A</v>
      </c>
      <c r="AJ75" s="62"/>
      <c r="AK75" s="62"/>
      <c r="AL75" s="62"/>
      <c r="AM75" s="62"/>
      <c r="AN75" s="62"/>
      <c r="AO75" s="72" t="str">
        <f t="shared" si="13"/>
        <v>A</v>
      </c>
      <c r="AP75" s="62"/>
      <c r="AQ75" s="62"/>
      <c r="AR75" s="62"/>
      <c r="AS75" s="62"/>
      <c r="AT75" s="62"/>
      <c r="AU75" s="72" t="str">
        <f t="shared" si="14"/>
        <v>A</v>
      </c>
      <c r="AV75" s="62"/>
      <c r="AW75" s="62"/>
      <c r="AX75" s="62">
        <v>5</v>
      </c>
      <c r="AY75" s="62">
        <v>0</v>
      </c>
      <c r="AZ75" s="62">
        <v>3</v>
      </c>
      <c r="BA75" s="72">
        <f t="shared" si="15"/>
        <v>2.6666666666666665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3</v>
      </c>
      <c r="M76" s="62"/>
      <c r="N76" s="62">
        <v>2</v>
      </c>
      <c r="O76" s="62">
        <v>2</v>
      </c>
      <c r="P76" s="62"/>
      <c r="Q76" s="72">
        <f t="shared" si="9"/>
        <v>2.3333333333333335</v>
      </c>
      <c r="R76" s="7"/>
      <c r="S76" s="7"/>
      <c r="T76" s="7"/>
      <c r="U76" s="7"/>
      <c r="V76" s="7"/>
      <c r="W76" s="72" t="str">
        <f t="shared" si="10"/>
        <v>A</v>
      </c>
      <c r="X76" s="7"/>
      <c r="Y76" s="7"/>
      <c r="Z76" s="7"/>
      <c r="AA76" s="7"/>
      <c r="AB76" s="7"/>
      <c r="AC76" s="72" t="str">
        <f t="shared" si="11"/>
        <v>A</v>
      </c>
      <c r="AD76" s="7"/>
      <c r="AE76" s="7"/>
      <c r="AF76" s="7"/>
      <c r="AG76" s="7"/>
      <c r="AH76" s="7"/>
      <c r="AI76" s="72" t="str">
        <f t="shared" si="12"/>
        <v>A</v>
      </c>
      <c r="AJ76" s="7"/>
      <c r="AK76" s="7"/>
      <c r="AL76" s="7"/>
      <c r="AM76" s="7"/>
      <c r="AN76" s="7"/>
      <c r="AO76" s="72" t="str">
        <f t="shared" si="13"/>
        <v>A</v>
      </c>
      <c r="AP76" s="7"/>
      <c r="AQ76" s="7"/>
      <c r="AR76" s="7"/>
      <c r="AS76" s="7"/>
      <c r="AT76" s="7"/>
      <c r="AU76" s="72" t="str">
        <f t="shared" si="14"/>
        <v>A</v>
      </c>
      <c r="AV76" s="7"/>
      <c r="AW76" s="7"/>
      <c r="AX76" s="62">
        <v>5</v>
      </c>
      <c r="AY76" s="62">
        <v>2</v>
      </c>
      <c r="AZ76" s="62">
        <v>2</v>
      </c>
      <c r="BA76" s="72">
        <f t="shared" si="15"/>
        <v>3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3</v>
      </c>
      <c r="M77" s="62"/>
      <c r="N77" s="62">
        <v>3</v>
      </c>
      <c r="O77" s="62">
        <v>4</v>
      </c>
      <c r="P77" s="62"/>
      <c r="Q77" s="72">
        <f t="shared" si="9"/>
        <v>3.3333333333333335</v>
      </c>
      <c r="R77" s="62"/>
      <c r="S77" s="62"/>
      <c r="T77" s="62"/>
      <c r="U77" s="62"/>
      <c r="V77" s="62"/>
      <c r="W77" s="72" t="str">
        <f t="shared" si="10"/>
        <v>A</v>
      </c>
      <c r="X77" s="62"/>
      <c r="Y77" s="62"/>
      <c r="Z77" s="62"/>
      <c r="AA77" s="62"/>
      <c r="AB77" s="62"/>
      <c r="AC77" s="72" t="str">
        <f t="shared" si="11"/>
        <v>A</v>
      </c>
      <c r="AD77" s="62"/>
      <c r="AE77" s="62"/>
      <c r="AF77" s="62"/>
      <c r="AG77" s="62"/>
      <c r="AH77" s="62"/>
      <c r="AI77" s="72" t="str">
        <f t="shared" si="12"/>
        <v>A</v>
      </c>
      <c r="AJ77" s="62"/>
      <c r="AK77" s="62"/>
      <c r="AL77" s="62"/>
      <c r="AM77" s="62"/>
      <c r="AN77" s="62"/>
      <c r="AO77" s="72" t="str">
        <f t="shared" si="13"/>
        <v>A</v>
      </c>
      <c r="AP77" s="62"/>
      <c r="AQ77" s="62"/>
      <c r="AR77" s="62"/>
      <c r="AS77" s="62"/>
      <c r="AT77" s="62"/>
      <c r="AU77" s="72" t="str">
        <f t="shared" si="14"/>
        <v>A</v>
      </c>
      <c r="AV77" s="62"/>
      <c r="AW77" s="62"/>
      <c r="AX77" s="62">
        <v>5</v>
      </c>
      <c r="AY77" s="62">
        <v>2</v>
      </c>
      <c r="AZ77" s="62">
        <v>4</v>
      </c>
      <c r="BA77" s="72">
        <f t="shared" si="15"/>
        <v>3.6666666666666665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/>
      <c r="N78" s="62">
        <v>2</v>
      </c>
      <c r="O78" s="62">
        <v>2</v>
      </c>
      <c r="P78" s="62"/>
      <c r="Q78" s="72">
        <f t="shared" si="9"/>
        <v>2</v>
      </c>
      <c r="R78" s="7"/>
      <c r="S78" s="7"/>
      <c r="T78" s="7"/>
      <c r="U78" s="7"/>
      <c r="V78" s="7"/>
      <c r="W78" s="72" t="str">
        <f t="shared" si="10"/>
        <v>A</v>
      </c>
      <c r="X78" s="7"/>
      <c r="Y78" s="7"/>
      <c r="Z78" s="7"/>
      <c r="AA78" s="7"/>
      <c r="AB78" s="7"/>
      <c r="AC78" s="72" t="str">
        <f t="shared" si="11"/>
        <v>A</v>
      </c>
      <c r="AD78" s="7"/>
      <c r="AE78" s="7"/>
      <c r="AF78" s="7"/>
      <c r="AG78" s="7"/>
      <c r="AH78" s="7"/>
      <c r="AI78" s="72" t="str">
        <f t="shared" si="12"/>
        <v>A</v>
      </c>
      <c r="AJ78" s="7"/>
      <c r="AK78" s="7"/>
      <c r="AL78" s="7"/>
      <c r="AM78" s="7"/>
      <c r="AN78" s="7"/>
      <c r="AO78" s="72" t="str">
        <f t="shared" si="13"/>
        <v>A</v>
      </c>
      <c r="AP78" s="7"/>
      <c r="AQ78" s="7"/>
      <c r="AR78" s="7"/>
      <c r="AS78" s="7"/>
      <c r="AT78" s="7"/>
      <c r="AU78" s="72" t="str">
        <f t="shared" si="14"/>
        <v>A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4</v>
      </c>
      <c r="M79" s="62"/>
      <c r="N79" s="62">
        <v>4</v>
      </c>
      <c r="O79" s="62">
        <v>4</v>
      </c>
      <c r="P79" s="62"/>
      <c r="Q79" s="72">
        <f t="shared" si="9"/>
        <v>4</v>
      </c>
      <c r="R79" s="62"/>
      <c r="S79" s="62"/>
      <c r="T79" s="62"/>
      <c r="U79" s="62"/>
      <c r="V79" s="62"/>
      <c r="W79" s="72" t="str">
        <f t="shared" si="10"/>
        <v>A</v>
      </c>
      <c r="X79" s="62"/>
      <c r="Y79" s="62"/>
      <c r="Z79" s="62"/>
      <c r="AA79" s="62"/>
      <c r="AB79" s="62"/>
      <c r="AC79" s="72" t="str">
        <f t="shared" si="11"/>
        <v>A</v>
      </c>
      <c r="AD79" s="62"/>
      <c r="AE79" s="62"/>
      <c r="AF79" s="62"/>
      <c r="AG79" s="62"/>
      <c r="AH79" s="62"/>
      <c r="AI79" s="72" t="str">
        <f t="shared" si="12"/>
        <v>A</v>
      </c>
      <c r="AJ79" s="62"/>
      <c r="AK79" s="62"/>
      <c r="AL79" s="62"/>
      <c r="AM79" s="62"/>
      <c r="AN79" s="62"/>
      <c r="AO79" s="72" t="str">
        <f t="shared" si="13"/>
        <v>A</v>
      </c>
      <c r="AP79" s="62"/>
      <c r="AQ79" s="62"/>
      <c r="AR79" s="62"/>
      <c r="AS79" s="62"/>
      <c r="AT79" s="62"/>
      <c r="AU79" s="72" t="str">
        <f t="shared" si="14"/>
        <v>A</v>
      </c>
      <c r="AV79" s="62"/>
      <c r="AW79" s="62"/>
      <c r="AX79" s="62">
        <v>5</v>
      </c>
      <c r="AY79" s="62">
        <v>2</v>
      </c>
      <c r="AZ79" s="62">
        <v>4</v>
      </c>
      <c r="BA79" s="72">
        <f t="shared" si="15"/>
        <v>3.6666666666666665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3</v>
      </c>
      <c r="M80" s="62"/>
      <c r="N80" s="62">
        <v>3</v>
      </c>
      <c r="O80" s="62">
        <v>1</v>
      </c>
      <c r="P80" s="62"/>
      <c r="Q80" s="72">
        <f t="shared" si="9"/>
        <v>2.3333333333333335</v>
      </c>
      <c r="R80" s="7"/>
      <c r="S80" s="7"/>
      <c r="T80" s="7"/>
      <c r="U80" s="7"/>
      <c r="V80" s="7"/>
      <c r="W80" s="72" t="str">
        <f t="shared" si="10"/>
        <v>A</v>
      </c>
      <c r="X80" s="7"/>
      <c r="Y80" s="7"/>
      <c r="Z80" s="7"/>
      <c r="AA80" s="7"/>
      <c r="AB80" s="7"/>
      <c r="AC80" s="72" t="str">
        <f t="shared" si="11"/>
        <v>A</v>
      </c>
      <c r="AD80" s="7"/>
      <c r="AE80" s="7"/>
      <c r="AF80" s="7"/>
      <c r="AG80" s="7"/>
      <c r="AH80" s="7"/>
      <c r="AI80" s="72" t="str">
        <f t="shared" si="12"/>
        <v>A</v>
      </c>
      <c r="AJ80" s="7"/>
      <c r="AK80" s="7"/>
      <c r="AL80" s="7"/>
      <c r="AM80" s="7"/>
      <c r="AN80" s="7"/>
      <c r="AO80" s="72" t="str">
        <f t="shared" si="13"/>
        <v>A</v>
      </c>
      <c r="AP80" s="7"/>
      <c r="AQ80" s="7"/>
      <c r="AR80" s="7"/>
      <c r="AS80" s="7"/>
      <c r="AT80" s="7"/>
      <c r="AU80" s="72" t="str">
        <f t="shared" si="14"/>
        <v>A</v>
      </c>
      <c r="AV80" s="7"/>
      <c r="AW80" s="7"/>
      <c r="AX80" s="62">
        <v>5</v>
      </c>
      <c r="AY80" s="62">
        <v>2</v>
      </c>
      <c r="AZ80" s="62">
        <v>1</v>
      </c>
      <c r="BA80" s="72">
        <f t="shared" si="15"/>
        <v>2.6666666666666665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0</v>
      </c>
      <c r="M81" s="62"/>
      <c r="N81" s="62">
        <v>0</v>
      </c>
      <c r="O81" s="62">
        <v>0</v>
      </c>
      <c r="P81" s="62"/>
      <c r="Q81" s="72">
        <f t="shared" si="9"/>
        <v>0</v>
      </c>
      <c r="R81" s="62"/>
      <c r="S81" s="62"/>
      <c r="T81" s="62"/>
      <c r="U81" s="62"/>
      <c r="V81" s="62"/>
      <c r="W81" s="72" t="str">
        <f t="shared" si="10"/>
        <v>A</v>
      </c>
      <c r="X81" s="62"/>
      <c r="Y81" s="62"/>
      <c r="Z81" s="62"/>
      <c r="AA81" s="62"/>
      <c r="AB81" s="62"/>
      <c r="AC81" s="72" t="str">
        <f t="shared" si="11"/>
        <v>A</v>
      </c>
      <c r="AD81" s="62"/>
      <c r="AE81" s="62"/>
      <c r="AF81" s="62"/>
      <c r="AG81" s="62"/>
      <c r="AH81" s="62"/>
      <c r="AI81" s="72" t="str">
        <f t="shared" si="12"/>
        <v>A</v>
      </c>
      <c r="AJ81" s="62"/>
      <c r="AK81" s="62"/>
      <c r="AL81" s="62"/>
      <c r="AM81" s="62"/>
      <c r="AN81" s="62"/>
      <c r="AO81" s="72" t="str">
        <f t="shared" si="13"/>
        <v>A</v>
      </c>
      <c r="AP81" s="62"/>
      <c r="AQ81" s="62"/>
      <c r="AR81" s="62"/>
      <c r="AS81" s="62"/>
      <c r="AT81" s="62"/>
      <c r="AU81" s="72" t="str">
        <f t="shared" si="14"/>
        <v>A</v>
      </c>
      <c r="AV81" s="62"/>
      <c r="AW81" s="62"/>
      <c r="AX81" s="62">
        <v>0</v>
      </c>
      <c r="AY81" s="62">
        <v>0</v>
      </c>
      <c r="AZ81" s="62">
        <v>0</v>
      </c>
      <c r="BA81" s="72">
        <f t="shared" si="15"/>
        <v>0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3</v>
      </c>
      <c r="M82" s="62"/>
      <c r="N82" s="62">
        <v>2</v>
      </c>
      <c r="O82" s="62">
        <v>2</v>
      </c>
      <c r="P82" s="62"/>
      <c r="Q82" s="72">
        <f t="shared" si="9"/>
        <v>2.3333333333333335</v>
      </c>
      <c r="R82" s="7"/>
      <c r="S82" s="7"/>
      <c r="T82" s="7"/>
      <c r="U82" s="7"/>
      <c r="V82" s="7"/>
      <c r="W82" s="72" t="str">
        <f t="shared" si="10"/>
        <v>A</v>
      </c>
      <c r="X82" s="7"/>
      <c r="Y82" s="7"/>
      <c r="Z82" s="7"/>
      <c r="AA82" s="7"/>
      <c r="AB82" s="7"/>
      <c r="AC82" s="72" t="str">
        <f t="shared" si="11"/>
        <v>A</v>
      </c>
      <c r="AD82" s="7"/>
      <c r="AE82" s="7"/>
      <c r="AF82" s="7"/>
      <c r="AG82" s="7"/>
      <c r="AH82" s="7"/>
      <c r="AI82" s="72" t="str">
        <f t="shared" si="12"/>
        <v>A</v>
      </c>
      <c r="AJ82" s="7"/>
      <c r="AK82" s="7"/>
      <c r="AL82" s="7"/>
      <c r="AM82" s="7"/>
      <c r="AN82" s="7"/>
      <c r="AO82" s="72" t="str">
        <f t="shared" si="13"/>
        <v>A</v>
      </c>
      <c r="AP82" s="7"/>
      <c r="AQ82" s="7"/>
      <c r="AR82" s="7"/>
      <c r="AS82" s="7"/>
      <c r="AT82" s="7"/>
      <c r="AU82" s="72" t="str">
        <f t="shared" si="14"/>
        <v>A</v>
      </c>
      <c r="AV82" s="7"/>
      <c r="AW82" s="7"/>
      <c r="AX82" s="62">
        <v>5</v>
      </c>
      <c r="AY82" s="62">
        <v>2</v>
      </c>
      <c r="AZ82" s="62">
        <v>2</v>
      </c>
      <c r="BA82" s="72">
        <f t="shared" si="15"/>
        <v>3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3</v>
      </c>
      <c r="M83" s="62"/>
      <c r="N83" s="62">
        <v>4</v>
      </c>
      <c r="O83" s="62">
        <v>4</v>
      </c>
      <c r="P83" s="62"/>
      <c r="Q83" s="72">
        <f t="shared" si="9"/>
        <v>3.6666666666666665</v>
      </c>
      <c r="R83" s="62"/>
      <c r="S83" s="62"/>
      <c r="T83" s="62"/>
      <c r="U83" s="62"/>
      <c r="V83" s="62"/>
      <c r="W83" s="72" t="str">
        <f t="shared" si="10"/>
        <v>A</v>
      </c>
      <c r="X83" s="62"/>
      <c r="Y83" s="62"/>
      <c r="Z83" s="62"/>
      <c r="AA83" s="62"/>
      <c r="AB83" s="62"/>
      <c r="AC83" s="72" t="str">
        <f t="shared" si="11"/>
        <v>A</v>
      </c>
      <c r="AD83" s="62"/>
      <c r="AE83" s="62"/>
      <c r="AF83" s="62"/>
      <c r="AG83" s="62"/>
      <c r="AH83" s="62"/>
      <c r="AI83" s="72" t="str">
        <f t="shared" si="12"/>
        <v>A</v>
      </c>
      <c r="AJ83" s="62"/>
      <c r="AK83" s="62"/>
      <c r="AL83" s="62"/>
      <c r="AM83" s="62"/>
      <c r="AN83" s="62"/>
      <c r="AO83" s="72" t="str">
        <f t="shared" si="13"/>
        <v>A</v>
      </c>
      <c r="AP83" s="62"/>
      <c r="AQ83" s="62"/>
      <c r="AR83" s="62"/>
      <c r="AS83" s="62"/>
      <c r="AT83" s="62"/>
      <c r="AU83" s="72" t="str">
        <f t="shared" si="14"/>
        <v>A</v>
      </c>
      <c r="AV83" s="62"/>
      <c r="AW83" s="62"/>
      <c r="AX83" s="62">
        <v>5</v>
      </c>
      <c r="AY83" s="62">
        <v>2</v>
      </c>
      <c r="AZ83" s="62">
        <v>4</v>
      </c>
      <c r="BA83" s="72">
        <f t="shared" si="15"/>
        <v>3.6666666666666665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3</v>
      </c>
      <c r="M84" s="62"/>
      <c r="N84" s="62">
        <v>2</v>
      </c>
      <c r="O84" s="62">
        <v>3</v>
      </c>
      <c r="P84" s="62"/>
      <c r="Q84" s="72">
        <f t="shared" si="9"/>
        <v>2.6666666666666665</v>
      </c>
      <c r="R84" s="7"/>
      <c r="S84" s="7"/>
      <c r="T84" s="7"/>
      <c r="U84" s="7"/>
      <c r="V84" s="7"/>
      <c r="W84" s="72" t="str">
        <f t="shared" si="10"/>
        <v>A</v>
      </c>
      <c r="X84" s="7"/>
      <c r="Y84" s="7"/>
      <c r="Z84" s="7"/>
      <c r="AA84" s="7"/>
      <c r="AB84" s="7"/>
      <c r="AC84" s="72" t="str">
        <f t="shared" si="11"/>
        <v>A</v>
      </c>
      <c r="AD84" s="7"/>
      <c r="AE84" s="7"/>
      <c r="AF84" s="7"/>
      <c r="AG84" s="7"/>
      <c r="AH84" s="7"/>
      <c r="AI84" s="72" t="str">
        <f t="shared" si="12"/>
        <v>A</v>
      </c>
      <c r="AJ84" s="7"/>
      <c r="AK84" s="7"/>
      <c r="AL84" s="7"/>
      <c r="AM84" s="7"/>
      <c r="AN84" s="7"/>
      <c r="AO84" s="72" t="str">
        <f t="shared" si="13"/>
        <v>A</v>
      </c>
      <c r="AP84" s="7"/>
      <c r="AQ84" s="7"/>
      <c r="AR84" s="7"/>
      <c r="AS84" s="7"/>
      <c r="AT84" s="7"/>
      <c r="AU84" s="72" t="str">
        <f t="shared" si="14"/>
        <v>A</v>
      </c>
      <c r="AV84" s="7"/>
      <c r="AW84" s="7"/>
      <c r="AX84" s="62">
        <v>5</v>
      </c>
      <c r="AY84" s="62">
        <v>0</v>
      </c>
      <c r="AZ84" s="62">
        <v>3</v>
      </c>
      <c r="BA84" s="72">
        <f t="shared" si="15"/>
        <v>2.6666666666666665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2</v>
      </c>
      <c r="M85" s="62"/>
      <c r="N85" s="62">
        <v>2</v>
      </c>
      <c r="O85" s="62">
        <v>2</v>
      </c>
      <c r="P85" s="62"/>
      <c r="Q85" s="72">
        <f t="shared" si="9"/>
        <v>2</v>
      </c>
      <c r="R85" s="62"/>
      <c r="S85" s="62"/>
      <c r="T85" s="62"/>
      <c r="U85" s="62"/>
      <c r="V85" s="62"/>
      <c r="W85" s="72" t="str">
        <f t="shared" si="10"/>
        <v>A</v>
      </c>
      <c r="X85" s="62"/>
      <c r="Y85" s="62"/>
      <c r="Z85" s="62"/>
      <c r="AA85" s="62"/>
      <c r="AB85" s="62"/>
      <c r="AC85" s="72" t="str">
        <f t="shared" si="11"/>
        <v>A</v>
      </c>
      <c r="AD85" s="62"/>
      <c r="AE85" s="62"/>
      <c r="AF85" s="62"/>
      <c r="AG85" s="62"/>
      <c r="AH85" s="62"/>
      <c r="AI85" s="72" t="str">
        <f t="shared" si="12"/>
        <v>A</v>
      </c>
      <c r="AJ85" s="62"/>
      <c r="AK85" s="62"/>
      <c r="AL85" s="62"/>
      <c r="AM85" s="62"/>
      <c r="AN85" s="62"/>
      <c r="AO85" s="72" t="str">
        <f t="shared" si="13"/>
        <v>A</v>
      </c>
      <c r="AP85" s="62"/>
      <c r="AQ85" s="62"/>
      <c r="AR85" s="62"/>
      <c r="AS85" s="62"/>
      <c r="AT85" s="62"/>
      <c r="AU85" s="72" t="str">
        <f t="shared" si="14"/>
        <v>A</v>
      </c>
      <c r="AV85" s="62"/>
      <c r="AW85" s="62"/>
      <c r="AX85" s="62">
        <v>5</v>
      </c>
      <c r="AY85" s="62">
        <v>0</v>
      </c>
      <c r="AZ85" s="62">
        <v>2</v>
      </c>
      <c r="BA85" s="72">
        <f t="shared" si="15"/>
        <v>2.3333333333333335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3</v>
      </c>
      <c r="M86" s="62"/>
      <c r="N86" s="62">
        <v>4</v>
      </c>
      <c r="O86" s="62">
        <v>4</v>
      </c>
      <c r="P86" s="62"/>
      <c r="Q86" s="72">
        <f t="shared" si="9"/>
        <v>3.6666666666666665</v>
      </c>
      <c r="R86" s="7"/>
      <c r="S86" s="7"/>
      <c r="T86" s="7"/>
      <c r="U86" s="7"/>
      <c r="V86" s="7"/>
      <c r="W86" s="72" t="str">
        <f t="shared" si="10"/>
        <v>A</v>
      </c>
      <c r="X86" s="7"/>
      <c r="Y86" s="7"/>
      <c r="Z86" s="7"/>
      <c r="AA86" s="7"/>
      <c r="AB86" s="7"/>
      <c r="AC86" s="72" t="str">
        <f t="shared" si="11"/>
        <v>A</v>
      </c>
      <c r="AD86" s="7"/>
      <c r="AE86" s="7"/>
      <c r="AF86" s="7"/>
      <c r="AG86" s="7"/>
      <c r="AH86" s="7"/>
      <c r="AI86" s="72" t="str">
        <f t="shared" si="12"/>
        <v>A</v>
      </c>
      <c r="AJ86" s="7"/>
      <c r="AK86" s="7"/>
      <c r="AL86" s="7"/>
      <c r="AM86" s="7"/>
      <c r="AN86" s="7"/>
      <c r="AO86" s="72" t="str">
        <f t="shared" si="13"/>
        <v>A</v>
      </c>
      <c r="AP86" s="7"/>
      <c r="AQ86" s="7"/>
      <c r="AR86" s="7"/>
      <c r="AS86" s="7"/>
      <c r="AT86" s="7"/>
      <c r="AU86" s="72" t="str">
        <f t="shared" si="14"/>
        <v>A</v>
      </c>
      <c r="AV86" s="7"/>
      <c r="AW86" s="7"/>
      <c r="AX86" s="62">
        <v>5</v>
      </c>
      <c r="AY86" s="62">
        <v>2</v>
      </c>
      <c r="AZ86" s="62">
        <v>4</v>
      </c>
      <c r="BA86" s="72">
        <f t="shared" si="15"/>
        <v>3.6666666666666665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3</v>
      </c>
      <c r="M87" s="62"/>
      <c r="N87" s="62">
        <v>3</v>
      </c>
      <c r="O87" s="62">
        <v>4</v>
      </c>
      <c r="P87" s="62"/>
      <c r="Q87" s="72">
        <f t="shared" si="9"/>
        <v>3.3333333333333335</v>
      </c>
      <c r="R87" s="62"/>
      <c r="S87" s="62"/>
      <c r="T87" s="62"/>
      <c r="U87" s="62"/>
      <c r="V87" s="62"/>
      <c r="W87" s="72" t="str">
        <f t="shared" si="10"/>
        <v>A</v>
      </c>
      <c r="X87" s="62"/>
      <c r="Y87" s="62"/>
      <c r="Z87" s="62"/>
      <c r="AA87" s="62"/>
      <c r="AB87" s="62"/>
      <c r="AC87" s="72" t="str">
        <f t="shared" si="11"/>
        <v>A</v>
      </c>
      <c r="AD87" s="62"/>
      <c r="AE87" s="62"/>
      <c r="AF87" s="62"/>
      <c r="AG87" s="62"/>
      <c r="AH87" s="62"/>
      <c r="AI87" s="72" t="str">
        <f t="shared" si="12"/>
        <v>A</v>
      </c>
      <c r="AJ87" s="62"/>
      <c r="AK87" s="62"/>
      <c r="AL87" s="62"/>
      <c r="AM87" s="62"/>
      <c r="AN87" s="62"/>
      <c r="AO87" s="72" t="str">
        <f t="shared" si="13"/>
        <v>A</v>
      </c>
      <c r="AP87" s="62"/>
      <c r="AQ87" s="62"/>
      <c r="AR87" s="62"/>
      <c r="AS87" s="62"/>
      <c r="AT87" s="62"/>
      <c r="AU87" s="72" t="str">
        <f t="shared" si="14"/>
        <v>A</v>
      </c>
      <c r="AV87" s="62"/>
      <c r="AW87" s="62"/>
      <c r="AX87" s="62">
        <v>4</v>
      </c>
      <c r="AY87" s="62">
        <v>0</v>
      </c>
      <c r="AZ87" s="62">
        <v>4</v>
      </c>
      <c r="BA87" s="72">
        <f t="shared" si="15"/>
        <v>2.6666666666666665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/>
      <c r="N88" s="62">
        <v>2</v>
      </c>
      <c r="O88" s="62">
        <v>2</v>
      </c>
      <c r="P88" s="62"/>
      <c r="Q88" s="72">
        <f t="shared" si="9"/>
        <v>2.3333333333333335</v>
      </c>
      <c r="R88" s="7"/>
      <c r="S88" s="7"/>
      <c r="T88" s="7"/>
      <c r="U88" s="7"/>
      <c r="V88" s="7"/>
      <c r="W88" s="72" t="str">
        <f t="shared" si="10"/>
        <v>A</v>
      </c>
      <c r="X88" s="7"/>
      <c r="Y88" s="7"/>
      <c r="Z88" s="7"/>
      <c r="AA88" s="7"/>
      <c r="AB88" s="7"/>
      <c r="AC88" s="72" t="str">
        <f t="shared" si="11"/>
        <v>A</v>
      </c>
      <c r="AD88" s="7"/>
      <c r="AE88" s="7"/>
      <c r="AF88" s="7"/>
      <c r="AG88" s="7"/>
      <c r="AH88" s="7"/>
      <c r="AI88" s="72" t="str">
        <f t="shared" si="12"/>
        <v>A</v>
      </c>
      <c r="AJ88" s="7"/>
      <c r="AK88" s="7"/>
      <c r="AL88" s="7"/>
      <c r="AM88" s="7"/>
      <c r="AN88" s="7"/>
      <c r="AO88" s="72" t="str">
        <f t="shared" si="13"/>
        <v>A</v>
      </c>
      <c r="AP88" s="7"/>
      <c r="AQ88" s="7"/>
      <c r="AR88" s="7"/>
      <c r="AS88" s="7"/>
      <c r="AT88" s="7"/>
      <c r="AU88" s="72" t="str">
        <f t="shared" si="14"/>
        <v>A</v>
      </c>
      <c r="AV88" s="7"/>
      <c r="AW88" s="7"/>
      <c r="AX88" s="62">
        <v>5</v>
      </c>
      <c r="AY88" s="62">
        <v>0</v>
      </c>
      <c r="AZ88" s="62">
        <v>2</v>
      </c>
      <c r="BA88" s="72">
        <f t="shared" si="15"/>
        <v>2.3333333333333335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3</v>
      </c>
      <c r="M89" s="62"/>
      <c r="N89" s="62">
        <v>4</v>
      </c>
      <c r="O89" s="62">
        <v>4</v>
      </c>
      <c r="P89" s="62"/>
      <c r="Q89" s="72">
        <f t="shared" si="9"/>
        <v>3.6666666666666665</v>
      </c>
      <c r="R89" s="62"/>
      <c r="S89" s="62"/>
      <c r="T89" s="62"/>
      <c r="U89" s="62"/>
      <c r="V89" s="62"/>
      <c r="W89" s="72" t="str">
        <f t="shared" si="10"/>
        <v>A</v>
      </c>
      <c r="X89" s="62"/>
      <c r="Y89" s="62"/>
      <c r="Z89" s="62"/>
      <c r="AA89" s="62"/>
      <c r="AB89" s="62"/>
      <c r="AC89" s="72" t="str">
        <f t="shared" si="11"/>
        <v>A</v>
      </c>
      <c r="AD89" s="62"/>
      <c r="AE89" s="62"/>
      <c r="AF89" s="62"/>
      <c r="AG89" s="62"/>
      <c r="AH89" s="62"/>
      <c r="AI89" s="72" t="str">
        <f t="shared" si="12"/>
        <v>A</v>
      </c>
      <c r="AJ89" s="62"/>
      <c r="AK89" s="62"/>
      <c r="AL89" s="62"/>
      <c r="AM89" s="62"/>
      <c r="AN89" s="62"/>
      <c r="AO89" s="72" t="str">
        <f t="shared" si="13"/>
        <v>A</v>
      </c>
      <c r="AP89" s="62"/>
      <c r="AQ89" s="62"/>
      <c r="AR89" s="62"/>
      <c r="AS89" s="62"/>
      <c r="AT89" s="62"/>
      <c r="AU89" s="72" t="str">
        <f t="shared" si="14"/>
        <v>A</v>
      </c>
      <c r="AV89" s="62"/>
      <c r="AW89" s="62"/>
      <c r="AX89" s="62">
        <v>5</v>
      </c>
      <c r="AY89" s="62">
        <v>2</v>
      </c>
      <c r="AZ89" s="62">
        <v>4</v>
      </c>
      <c r="BA89" s="72">
        <f t="shared" si="15"/>
        <v>3.6666666666666665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4</v>
      </c>
      <c r="M90" s="62"/>
      <c r="N90" s="62">
        <v>4</v>
      </c>
      <c r="O90" s="62">
        <v>4</v>
      </c>
      <c r="P90" s="62"/>
      <c r="Q90" s="72">
        <f t="shared" si="9"/>
        <v>4</v>
      </c>
      <c r="R90" s="7"/>
      <c r="S90" s="7"/>
      <c r="T90" s="7"/>
      <c r="U90" s="7"/>
      <c r="V90" s="7"/>
      <c r="W90" s="72" t="str">
        <f t="shared" si="10"/>
        <v>A</v>
      </c>
      <c r="X90" s="7"/>
      <c r="Y90" s="7"/>
      <c r="Z90" s="7"/>
      <c r="AA90" s="7"/>
      <c r="AB90" s="7"/>
      <c r="AC90" s="72" t="str">
        <f t="shared" si="11"/>
        <v>A</v>
      </c>
      <c r="AD90" s="7"/>
      <c r="AE90" s="7"/>
      <c r="AF90" s="7"/>
      <c r="AG90" s="7"/>
      <c r="AH90" s="7"/>
      <c r="AI90" s="72" t="str">
        <f t="shared" si="12"/>
        <v>A</v>
      </c>
      <c r="AJ90" s="7"/>
      <c r="AK90" s="7"/>
      <c r="AL90" s="7"/>
      <c r="AM90" s="7"/>
      <c r="AN90" s="7"/>
      <c r="AO90" s="72" t="str">
        <f t="shared" si="13"/>
        <v>A</v>
      </c>
      <c r="AP90" s="7"/>
      <c r="AQ90" s="7"/>
      <c r="AR90" s="7"/>
      <c r="AS90" s="7"/>
      <c r="AT90" s="7"/>
      <c r="AU90" s="72" t="str">
        <f t="shared" si="14"/>
        <v>A</v>
      </c>
      <c r="AV90" s="7"/>
      <c r="AW90" s="7"/>
      <c r="AX90" s="62">
        <v>5</v>
      </c>
      <c r="AY90" s="62">
        <v>0</v>
      </c>
      <c r="AZ90" s="62">
        <v>4</v>
      </c>
      <c r="BA90" s="72">
        <f t="shared" si="15"/>
        <v>3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3</v>
      </c>
      <c r="M91" s="62"/>
      <c r="N91" s="62">
        <v>2</v>
      </c>
      <c r="O91" s="62">
        <v>2</v>
      </c>
      <c r="P91" s="62"/>
      <c r="Q91" s="72">
        <f t="shared" si="9"/>
        <v>2.3333333333333335</v>
      </c>
      <c r="R91" s="62"/>
      <c r="S91" s="62"/>
      <c r="T91" s="62"/>
      <c r="U91" s="62"/>
      <c r="V91" s="62"/>
      <c r="W91" s="72" t="str">
        <f t="shared" si="10"/>
        <v>A</v>
      </c>
      <c r="X91" s="62"/>
      <c r="Y91" s="62"/>
      <c r="Z91" s="62"/>
      <c r="AA91" s="62"/>
      <c r="AB91" s="62"/>
      <c r="AC91" s="72" t="str">
        <f t="shared" si="11"/>
        <v>A</v>
      </c>
      <c r="AD91" s="62"/>
      <c r="AE91" s="62"/>
      <c r="AF91" s="62"/>
      <c r="AG91" s="62"/>
      <c r="AH91" s="62"/>
      <c r="AI91" s="72" t="str">
        <f t="shared" si="12"/>
        <v>A</v>
      </c>
      <c r="AJ91" s="62"/>
      <c r="AK91" s="62"/>
      <c r="AL91" s="62"/>
      <c r="AM91" s="62"/>
      <c r="AN91" s="62"/>
      <c r="AO91" s="72" t="str">
        <f t="shared" si="13"/>
        <v>A</v>
      </c>
      <c r="AP91" s="62"/>
      <c r="AQ91" s="62"/>
      <c r="AR91" s="62"/>
      <c r="AS91" s="62"/>
      <c r="AT91" s="62"/>
      <c r="AU91" s="72" t="str">
        <f t="shared" si="14"/>
        <v>A</v>
      </c>
      <c r="AV91" s="62"/>
      <c r="AW91" s="62"/>
      <c r="AX91" s="62">
        <v>5</v>
      </c>
      <c r="AY91" s="62">
        <v>0</v>
      </c>
      <c r="AZ91" s="62">
        <v>2</v>
      </c>
      <c r="BA91" s="72">
        <f t="shared" si="15"/>
        <v>2.3333333333333335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3</v>
      </c>
      <c r="M92" s="62"/>
      <c r="N92" s="62">
        <v>3</v>
      </c>
      <c r="O92" s="62">
        <v>4</v>
      </c>
      <c r="P92" s="62"/>
      <c r="Q92" s="72">
        <f t="shared" si="9"/>
        <v>3.3333333333333335</v>
      </c>
      <c r="R92" s="7"/>
      <c r="S92" s="7"/>
      <c r="T92" s="7"/>
      <c r="U92" s="7"/>
      <c r="V92" s="7"/>
      <c r="W92" s="72" t="str">
        <f t="shared" si="10"/>
        <v>A</v>
      </c>
      <c r="X92" s="7"/>
      <c r="Y92" s="7"/>
      <c r="Z92" s="7"/>
      <c r="AA92" s="7"/>
      <c r="AB92" s="7"/>
      <c r="AC92" s="72" t="str">
        <f t="shared" si="11"/>
        <v>A</v>
      </c>
      <c r="AD92" s="7"/>
      <c r="AE92" s="7"/>
      <c r="AF92" s="7"/>
      <c r="AG92" s="7"/>
      <c r="AH92" s="7"/>
      <c r="AI92" s="72" t="str">
        <f t="shared" si="12"/>
        <v>A</v>
      </c>
      <c r="AJ92" s="7"/>
      <c r="AK92" s="7"/>
      <c r="AL92" s="7"/>
      <c r="AM92" s="7"/>
      <c r="AN92" s="7"/>
      <c r="AO92" s="72" t="str">
        <f t="shared" si="13"/>
        <v>A</v>
      </c>
      <c r="AP92" s="7"/>
      <c r="AQ92" s="7"/>
      <c r="AR92" s="7"/>
      <c r="AS92" s="7"/>
      <c r="AT92" s="7"/>
      <c r="AU92" s="72" t="str">
        <f t="shared" si="14"/>
        <v>A</v>
      </c>
      <c r="AV92" s="7"/>
      <c r="AW92" s="7"/>
      <c r="AX92" s="62">
        <v>5</v>
      </c>
      <c r="AY92" s="62">
        <v>0</v>
      </c>
      <c r="AZ92" s="62">
        <v>4</v>
      </c>
      <c r="BA92" s="72">
        <f t="shared" si="15"/>
        <v>3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3</v>
      </c>
      <c r="M93" s="62"/>
      <c r="N93" s="62">
        <v>3</v>
      </c>
      <c r="O93" s="62">
        <v>2</v>
      </c>
      <c r="P93" s="62"/>
      <c r="Q93" s="72">
        <f t="shared" si="9"/>
        <v>2.6666666666666665</v>
      </c>
      <c r="R93" s="62"/>
      <c r="S93" s="62"/>
      <c r="T93" s="62"/>
      <c r="U93" s="62"/>
      <c r="V93" s="62"/>
      <c r="W93" s="72" t="str">
        <f t="shared" si="10"/>
        <v>A</v>
      </c>
      <c r="X93" s="62"/>
      <c r="Y93" s="62"/>
      <c r="Z93" s="62"/>
      <c r="AA93" s="62"/>
      <c r="AB93" s="62"/>
      <c r="AC93" s="72" t="str">
        <f t="shared" si="11"/>
        <v>A</v>
      </c>
      <c r="AD93" s="62"/>
      <c r="AE93" s="62"/>
      <c r="AF93" s="62"/>
      <c r="AG93" s="62"/>
      <c r="AH93" s="62"/>
      <c r="AI93" s="72" t="str">
        <f t="shared" si="12"/>
        <v>A</v>
      </c>
      <c r="AJ93" s="62"/>
      <c r="AK93" s="62"/>
      <c r="AL93" s="62"/>
      <c r="AM93" s="62"/>
      <c r="AN93" s="62"/>
      <c r="AO93" s="72" t="str">
        <f t="shared" si="13"/>
        <v>A</v>
      </c>
      <c r="AP93" s="62"/>
      <c r="AQ93" s="62"/>
      <c r="AR93" s="62"/>
      <c r="AS93" s="62"/>
      <c r="AT93" s="62"/>
      <c r="AU93" s="72" t="str">
        <f t="shared" si="14"/>
        <v>A</v>
      </c>
      <c r="AV93" s="62"/>
      <c r="AW93" s="62"/>
      <c r="AX93" s="62">
        <v>5</v>
      </c>
      <c r="AY93" s="62">
        <v>0</v>
      </c>
      <c r="AZ93" s="62">
        <v>2</v>
      </c>
      <c r="BA93" s="72">
        <f t="shared" si="15"/>
        <v>2.3333333333333335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5</v>
      </c>
      <c r="M94" s="62"/>
      <c r="N94" s="62">
        <v>4</v>
      </c>
      <c r="O94" s="62">
        <v>4</v>
      </c>
      <c r="P94" s="62"/>
      <c r="Q94" s="72">
        <f t="shared" si="9"/>
        <v>4.333333333333333</v>
      </c>
      <c r="R94" s="7"/>
      <c r="S94" s="7"/>
      <c r="T94" s="7"/>
      <c r="U94" s="7"/>
      <c r="V94" s="7"/>
      <c r="W94" s="72" t="str">
        <f t="shared" si="10"/>
        <v>A</v>
      </c>
      <c r="X94" s="7"/>
      <c r="Y94" s="7"/>
      <c r="Z94" s="7"/>
      <c r="AA94" s="7"/>
      <c r="AB94" s="7"/>
      <c r="AC94" s="72" t="str">
        <f t="shared" si="11"/>
        <v>A</v>
      </c>
      <c r="AD94" s="7"/>
      <c r="AE94" s="7"/>
      <c r="AF94" s="7"/>
      <c r="AG94" s="7"/>
      <c r="AH94" s="7"/>
      <c r="AI94" s="72" t="str">
        <f t="shared" si="12"/>
        <v>A</v>
      </c>
      <c r="AJ94" s="7"/>
      <c r="AK94" s="7"/>
      <c r="AL94" s="7"/>
      <c r="AM94" s="7"/>
      <c r="AN94" s="7"/>
      <c r="AO94" s="72" t="str">
        <f t="shared" si="13"/>
        <v>A</v>
      </c>
      <c r="AP94" s="7"/>
      <c r="AQ94" s="7"/>
      <c r="AR94" s="7"/>
      <c r="AS94" s="7"/>
      <c r="AT94" s="7"/>
      <c r="AU94" s="72" t="str">
        <f t="shared" si="14"/>
        <v>A</v>
      </c>
      <c r="AV94" s="7"/>
      <c r="AW94" s="7"/>
      <c r="AX94" s="62">
        <v>5</v>
      </c>
      <c r="AY94" s="62">
        <v>0</v>
      </c>
      <c r="AZ94" s="62">
        <v>4</v>
      </c>
      <c r="BA94" s="72">
        <f t="shared" si="15"/>
        <v>3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3</v>
      </c>
      <c r="M95" s="62"/>
      <c r="N95" s="62">
        <v>2</v>
      </c>
      <c r="O95" s="62">
        <v>3</v>
      </c>
      <c r="P95" s="62"/>
      <c r="Q95" s="72">
        <f t="shared" si="9"/>
        <v>2.6666666666666665</v>
      </c>
      <c r="R95" s="62"/>
      <c r="S95" s="62"/>
      <c r="T95" s="62"/>
      <c r="U95" s="62"/>
      <c r="V95" s="62"/>
      <c r="W95" s="72" t="str">
        <f t="shared" si="10"/>
        <v>A</v>
      </c>
      <c r="X95" s="62"/>
      <c r="Y95" s="62"/>
      <c r="Z95" s="62"/>
      <c r="AA95" s="62"/>
      <c r="AB95" s="62"/>
      <c r="AC95" s="72" t="str">
        <f t="shared" si="11"/>
        <v>A</v>
      </c>
      <c r="AD95" s="62"/>
      <c r="AE95" s="62"/>
      <c r="AF95" s="62"/>
      <c r="AG95" s="62"/>
      <c r="AH95" s="62"/>
      <c r="AI95" s="72" t="str">
        <f t="shared" si="12"/>
        <v>A</v>
      </c>
      <c r="AJ95" s="62"/>
      <c r="AK95" s="62"/>
      <c r="AL95" s="62"/>
      <c r="AM95" s="62"/>
      <c r="AN95" s="62"/>
      <c r="AO95" s="72" t="str">
        <f t="shared" si="13"/>
        <v>A</v>
      </c>
      <c r="AP95" s="62"/>
      <c r="AQ95" s="62"/>
      <c r="AR95" s="62"/>
      <c r="AS95" s="62"/>
      <c r="AT95" s="62"/>
      <c r="AU95" s="72" t="str">
        <f t="shared" si="14"/>
        <v>A</v>
      </c>
      <c r="AV95" s="62"/>
      <c r="AW95" s="62"/>
      <c r="AX95" s="62">
        <v>5</v>
      </c>
      <c r="AY95" s="62">
        <v>2</v>
      </c>
      <c r="AZ95" s="62">
        <v>3</v>
      </c>
      <c r="BA95" s="72">
        <f t="shared" si="15"/>
        <v>3.3333333333333335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4</v>
      </c>
      <c r="M96" s="62"/>
      <c r="N96" s="62">
        <v>4</v>
      </c>
      <c r="O96" s="62">
        <v>4</v>
      </c>
      <c r="P96" s="62"/>
      <c r="Q96" s="72">
        <f t="shared" si="9"/>
        <v>4</v>
      </c>
      <c r="R96" s="7"/>
      <c r="S96" s="7"/>
      <c r="T96" s="7"/>
      <c r="U96" s="7"/>
      <c r="V96" s="7"/>
      <c r="W96" s="72" t="str">
        <f t="shared" si="10"/>
        <v>A</v>
      </c>
      <c r="X96" s="7"/>
      <c r="Y96" s="7"/>
      <c r="Z96" s="7"/>
      <c r="AA96" s="7"/>
      <c r="AB96" s="7"/>
      <c r="AC96" s="72" t="str">
        <f t="shared" si="11"/>
        <v>A</v>
      </c>
      <c r="AD96" s="7"/>
      <c r="AE96" s="7"/>
      <c r="AF96" s="7"/>
      <c r="AG96" s="7"/>
      <c r="AH96" s="7"/>
      <c r="AI96" s="72" t="str">
        <f t="shared" si="12"/>
        <v>A</v>
      </c>
      <c r="AJ96" s="7"/>
      <c r="AK96" s="7"/>
      <c r="AL96" s="7"/>
      <c r="AM96" s="7"/>
      <c r="AN96" s="7"/>
      <c r="AO96" s="72" t="str">
        <f t="shared" si="13"/>
        <v>A</v>
      </c>
      <c r="AP96" s="7"/>
      <c r="AQ96" s="7"/>
      <c r="AR96" s="7"/>
      <c r="AS96" s="7"/>
      <c r="AT96" s="7"/>
      <c r="AU96" s="72" t="str">
        <f t="shared" si="14"/>
        <v>A</v>
      </c>
      <c r="AV96" s="7"/>
      <c r="AW96" s="7"/>
      <c r="AX96" s="62">
        <v>5</v>
      </c>
      <c r="AY96" s="62">
        <v>0</v>
      </c>
      <c r="AZ96" s="62">
        <v>4</v>
      </c>
      <c r="BA96" s="72">
        <f t="shared" si="15"/>
        <v>3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3</v>
      </c>
      <c r="M97" s="62"/>
      <c r="N97" s="62">
        <v>3</v>
      </c>
      <c r="O97" s="62">
        <v>3</v>
      </c>
      <c r="P97" s="62"/>
      <c r="Q97" s="72">
        <f t="shared" si="9"/>
        <v>3</v>
      </c>
      <c r="R97" s="62"/>
      <c r="S97" s="62"/>
      <c r="T97" s="62"/>
      <c r="U97" s="62"/>
      <c r="V97" s="62"/>
      <c r="W97" s="72" t="str">
        <f t="shared" si="10"/>
        <v>A</v>
      </c>
      <c r="X97" s="62"/>
      <c r="Y97" s="62"/>
      <c r="Z97" s="62"/>
      <c r="AA97" s="62"/>
      <c r="AB97" s="62"/>
      <c r="AC97" s="72" t="str">
        <f t="shared" si="11"/>
        <v>A</v>
      </c>
      <c r="AD97" s="62"/>
      <c r="AE97" s="62"/>
      <c r="AF97" s="62"/>
      <c r="AG97" s="62"/>
      <c r="AH97" s="62"/>
      <c r="AI97" s="72" t="str">
        <f t="shared" si="12"/>
        <v>A</v>
      </c>
      <c r="AJ97" s="62"/>
      <c r="AK97" s="62"/>
      <c r="AL97" s="62"/>
      <c r="AM97" s="62"/>
      <c r="AN97" s="62"/>
      <c r="AO97" s="72" t="str">
        <f t="shared" si="13"/>
        <v>A</v>
      </c>
      <c r="AP97" s="62"/>
      <c r="AQ97" s="62"/>
      <c r="AR97" s="62"/>
      <c r="AS97" s="62"/>
      <c r="AT97" s="62"/>
      <c r="AU97" s="72" t="str">
        <f t="shared" si="14"/>
        <v>A</v>
      </c>
      <c r="AV97" s="62"/>
      <c r="AW97" s="62"/>
      <c r="AX97" s="62">
        <v>5</v>
      </c>
      <c r="AY97" s="62">
        <v>0</v>
      </c>
      <c r="AZ97" s="62">
        <v>3</v>
      </c>
      <c r="BA97" s="72">
        <f t="shared" si="15"/>
        <v>2.6666666666666665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2</v>
      </c>
      <c r="M98" s="62"/>
      <c r="N98" s="62">
        <v>2</v>
      </c>
      <c r="O98" s="62">
        <v>2</v>
      </c>
      <c r="P98" s="62"/>
      <c r="Q98" s="72">
        <f t="shared" si="9"/>
        <v>2</v>
      </c>
      <c r="R98" s="7"/>
      <c r="S98" s="7"/>
      <c r="T98" s="7"/>
      <c r="U98" s="7"/>
      <c r="V98" s="7"/>
      <c r="W98" s="72" t="str">
        <f t="shared" si="10"/>
        <v>A</v>
      </c>
      <c r="X98" s="7"/>
      <c r="Y98" s="7"/>
      <c r="Z98" s="7"/>
      <c r="AA98" s="7"/>
      <c r="AB98" s="7"/>
      <c r="AC98" s="72" t="str">
        <f t="shared" si="11"/>
        <v>A</v>
      </c>
      <c r="AD98" s="7"/>
      <c r="AE98" s="7"/>
      <c r="AF98" s="7"/>
      <c r="AG98" s="7"/>
      <c r="AH98" s="7"/>
      <c r="AI98" s="72" t="str">
        <f t="shared" si="12"/>
        <v>A</v>
      </c>
      <c r="AJ98" s="7"/>
      <c r="AK98" s="7"/>
      <c r="AL98" s="7"/>
      <c r="AM98" s="7"/>
      <c r="AN98" s="7"/>
      <c r="AO98" s="72" t="str">
        <f t="shared" si="13"/>
        <v>A</v>
      </c>
      <c r="AP98" s="7"/>
      <c r="AQ98" s="7"/>
      <c r="AR98" s="7"/>
      <c r="AS98" s="7"/>
      <c r="AT98" s="7"/>
      <c r="AU98" s="72" t="str">
        <f t="shared" si="14"/>
        <v>A</v>
      </c>
      <c r="AV98" s="7"/>
      <c r="AW98" s="7"/>
      <c r="AX98" s="62">
        <v>2</v>
      </c>
      <c r="AY98" s="62">
        <v>2</v>
      </c>
      <c r="AZ98" s="62">
        <v>2</v>
      </c>
      <c r="BA98" s="72">
        <f t="shared" si="15"/>
        <v>2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3</v>
      </c>
      <c r="M99" s="62"/>
      <c r="N99" s="62">
        <v>3</v>
      </c>
      <c r="O99" s="62">
        <v>4</v>
      </c>
      <c r="P99" s="62"/>
      <c r="Q99" s="72">
        <f t="shared" si="9"/>
        <v>3.3333333333333335</v>
      </c>
      <c r="R99" s="62"/>
      <c r="S99" s="62"/>
      <c r="T99" s="62"/>
      <c r="U99" s="62"/>
      <c r="V99" s="62"/>
      <c r="W99" s="72" t="str">
        <f t="shared" si="10"/>
        <v>A</v>
      </c>
      <c r="X99" s="62"/>
      <c r="Y99" s="62"/>
      <c r="Z99" s="62"/>
      <c r="AA99" s="62"/>
      <c r="AB99" s="62"/>
      <c r="AC99" s="72" t="str">
        <f t="shared" si="11"/>
        <v>A</v>
      </c>
      <c r="AD99" s="62"/>
      <c r="AE99" s="62"/>
      <c r="AF99" s="62"/>
      <c r="AG99" s="62"/>
      <c r="AH99" s="62"/>
      <c r="AI99" s="72" t="str">
        <f t="shared" si="12"/>
        <v>A</v>
      </c>
      <c r="AJ99" s="62"/>
      <c r="AK99" s="62"/>
      <c r="AL99" s="62"/>
      <c r="AM99" s="62"/>
      <c r="AN99" s="62"/>
      <c r="AO99" s="72" t="str">
        <f t="shared" si="13"/>
        <v>A</v>
      </c>
      <c r="AP99" s="62"/>
      <c r="AQ99" s="62"/>
      <c r="AR99" s="62"/>
      <c r="AS99" s="62"/>
      <c r="AT99" s="62"/>
      <c r="AU99" s="72" t="str">
        <f t="shared" si="14"/>
        <v>A</v>
      </c>
      <c r="AV99" s="62"/>
      <c r="AW99" s="62"/>
      <c r="AX99" s="62">
        <v>5</v>
      </c>
      <c r="AY99" s="62">
        <v>0</v>
      </c>
      <c r="AZ99" s="62">
        <v>4</v>
      </c>
      <c r="BA99" s="72">
        <f t="shared" si="15"/>
        <v>3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3</v>
      </c>
      <c r="M100" s="62"/>
      <c r="N100" s="62">
        <v>2</v>
      </c>
      <c r="O100" s="62">
        <v>2</v>
      </c>
      <c r="P100" s="62"/>
      <c r="Q100" s="72">
        <f t="shared" si="9"/>
        <v>2.3333333333333335</v>
      </c>
      <c r="R100" s="7"/>
      <c r="S100" s="7"/>
      <c r="T100" s="7"/>
      <c r="U100" s="7"/>
      <c r="V100" s="7"/>
      <c r="W100" s="72" t="str">
        <f t="shared" si="10"/>
        <v>A</v>
      </c>
      <c r="X100" s="7"/>
      <c r="Y100" s="7"/>
      <c r="Z100" s="7"/>
      <c r="AA100" s="7"/>
      <c r="AB100" s="7"/>
      <c r="AC100" s="72" t="str">
        <f t="shared" si="11"/>
        <v>A</v>
      </c>
      <c r="AD100" s="7"/>
      <c r="AE100" s="7"/>
      <c r="AF100" s="7"/>
      <c r="AG100" s="7"/>
      <c r="AH100" s="7"/>
      <c r="AI100" s="72" t="str">
        <f t="shared" si="12"/>
        <v>A</v>
      </c>
      <c r="AJ100" s="7"/>
      <c r="AK100" s="7"/>
      <c r="AL100" s="7"/>
      <c r="AM100" s="7"/>
      <c r="AN100" s="7"/>
      <c r="AO100" s="72" t="str">
        <f t="shared" si="13"/>
        <v>A</v>
      </c>
      <c r="AP100" s="7"/>
      <c r="AQ100" s="7"/>
      <c r="AR100" s="7"/>
      <c r="AS100" s="7"/>
      <c r="AT100" s="7"/>
      <c r="AU100" s="72" t="str">
        <f t="shared" si="14"/>
        <v>A</v>
      </c>
      <c r="AV100" s="7"/>
      <c r="AW100" s="7"/>
      <c r="AX100" s="62">
        <v>5</v>
      </c>
      <c r="AY100" s="62">
        <v>2</v>
      </c>
      <c r="AZ100" s="62">
        <v>2</v>
      </c>
      <c r="BA100" s="72">
        <f t="shared" si="15"/>
        <v>3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3</v>
      </c>
      <c r="M101" s="62"/>
      <c r="N101" s="62">
        <v>3</v>
      </c>
      <c r="O101" s="62">
        <v>4</v>
      </c>
      <c r="P101" s="62"/>
      <c r="Q101" s="72">
        <f t="shared" si="9"/>
        <v>3.3333333333333335</v>
      </c>
      <c r="R101" s="62"/>
      <c r="S101" s="62"/>
      <c r="T101" s="62"/>
      <c r="U101" s="62"/>
      <c r="V101" s="62"/>
      <c r="W101" s="72" t="str">
        <f t="shared" si="10"/>
        <v>A</v>
      </c>
      <c r="X101" s="62"/>
      <c r="Y101" s="62"/>
      <c r="Z101" s="62"/>
      <c r="AA101" s="62"/>
      <c r="AB101" s="62"/>
      <c r="AC101" s="72" t="str">
        <f t="shared" si="11"/>
        <v>A</v>
      </c>
      <c r="AD101" s="62"/>
      <c r="AE101" s="62"/>
      <c r="AF101" s="62"/>
      <c r="AG101" s="62"/>
      <c r="AH101" s="62"/>
      <c r="AI101" s="72" t="str">
        <f t="shared" si="12"/>
        <v>A</v>
      </c>
      <c r="AJ101" s="62"/>
      <c r="AK101" s="62"/>
      <c r="AL101" s="62"/>
      <c r="AM101" s="62"/>
      <c r="AN101" s="62"/>
      <c r="AO101" s="72" t="str">
        <f t="shared" si="13"/>
        <v>A</v>
      </c>
      <c r="AP101" s="62"/>
      <c r="AQ101" s="62"/>
      <c r="AR101" s="62"/>
      <c r="AS101" s="62"/>
      <c r="AT101" s="62"/>
      <c r="AU101" s="72" t="str">
        <f t="shared" si="14"/>
        <v>A</v>
      </c>
      <c r="AV101" s="62"/>
      <c r="AW101" s="62"/>
      <c r="AX101" s="62">
        <v>5</v>
      </c>
      <c r="AY101" s="62">
        <v>0</v>
      </c>
      <c r="AZ101" s="62">
        <v>3</v>
      </c>
      <c r="BA101" s="72">
        <f t="shared" si="15"/>
        <v>2.6666666666666665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0</v>
      </c>
      <c r="M102" s="62"/>
      <c r="N102" s="62">
        <v>0</v>
      </c>
      <c r="O102" s="62">
        <v>0</v>
      </c>
      <c r="P102" s="62"/>
      <c r="Q102" s="72">
        <f t="shared" si="9"/>
        <v>0</v>
      </c>
      <c r="R102" s="7"/>
      <c r="S102" s="7"/>
      <c r="T102" s="7"/>
      <c r="U102" s="7"/>
      <c r="V102" s="7"/>
      <c r="W102" s="72" t="str">
        <f t="shared" si="10"/>
        <v>A</v>
      </c>
      <c r="X102" s="7"/>
      <c r="Y102" s="7"/>
      <c r="Z102" s="7"/>
      <c r="AA102" s="7"/>
      <c r="AB102" s="7"/>
      <c r="AC102" s="72" t="str">
        <f t="shared" si="11"/>
        <v>A</v>
      </c>
      <c r="AD102" s="7"/>
      <c r="AE102" s="7"/>
      <c r="AF102" s="7"/>
      <c r="AG102" s="7"/>
      <c r="AH102" s="7"/>
      <c r="AI102" s="72" t="str">
        <f t="shared" si="12"/>
        <v>A</v>
      </c>
      <c r="AJ102" s="7"/>
      <c r="AK102" s="7"/>
      <c r="AL102" s="7"/>
      <c r="AM102" s="7"/>
      <c r="AN102" s="7"/>
      <c r="AO102" s="72" t="str">
        <f t="shared" si="13"/>
        <v>A</v>
      </c>
      <c r="AP102" s="7"/>
      <c r="AQ102" s="7"/>
      <c r="AR102" s="7"/>
      <c r="AS102" s="7"/>
      <c r="AT102" s="7"/>
      <c r="AU102" s="72" t="str">
        <f t="shared" si="14"/>
        <v>A</v>
      </c>
      <c r="AV102" s="7"/>
      <c r="AW102" s="7"/>
      <c r="AX102" s="62">
        <v>0</v>
      </c>
      <c r="AY102" s="62">
        <v>0</v>
      </c>
      <c r="AZ102" s="62">
        <v>0</v>
      </c>
      <c r="BA102" s="72">
        <f t="shared" si="15"/>
        <v>0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5</v>
      </c>
      <c r="M103" s="62"/>
      <c r="N103" s="62">
        <v>4</v>
      </c>
      <c r="O103" s="62">
        <v>4</v>
      </c>
      <c r="P103" s="62"/>
      <c r="Q103" s="72">
        <f t="shared" si="9"/>
        <v>4.333333333333333</v>
      </c>
      <c r="R103" s="62"/>
      <c r="S103" s="62"/>
      <c r="T103" s="62"/>
      <c r="U103" s="62"/>
      <c r="V103" s="62"/>
      <c r="W103" s="72" t="str">
        <f t="shared" si="10"/>
        <v>A</v>
      </c>
      <c r="X103" s="62"/>
      <c r="Y103" s="62"/>
      <c r="Z103" s="62"/>
      <c r="AA103" s="62"/>
      <c r="AB103" s="62"/>
      <c r="AC103" s="72" t="str">
        <f t="shared" si="11"/>
        <v>A</v>
      </c>
      <c r="AD103" s="62"/>
      <c r="AE103" s="62"/>
      <c r="AF103" s="62"/>
      <c r="AG103" s="62"/>
      <c r="AH103" s="62"/>
      <c r="AI103" s="72" t="str">
        <f t="shared" si="12"/>
        <v>A</v>
      </c>
      <c r="AJ103" s="62"/>
      <c r="AK103" s="62"/>
      <c r="AL103" s="62"/>
      <c r="AM103" s="62"/>
      <c r="AN103" s="62"/>
      <c r="AO103" s="72" t="str">
        <f t="shared" si="13"/>
        <v>A</v>
      </c>
      <c r="AP103" s="62"/>
      <c r="AQ103" s="62"/>
      <c r="AR103" s="62"/>
      <c r="AS103" s="62"/>
      <c r="AT103" s="62"/>
      <c r="AU103" s="72" t="str">
        <f t="shared" si="14"/>
        <v>A</v>
      </c>
      <c r="AV103" s="62"/>
      <c r="AW103" s="62"/>
      <c r="AX103" s="62">
        <v>5</v>
      </c>
      <c r="AY103" s="62">
        <v>2</v>
      </c>
      <c r="AZ103" s="62">
        <v>4</v>
      </c>
      <c r="BA103" s="72">
        <f t="shared" si="15"/>
        <v>3.6666666666666665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3</v>
      </c>
      <c r="M104" s="62"/>
      <c r="N104" s="62">
        <v>3</v>
      </c>
      <c r="O104" s="62">
        <v>3</v>
      </c>
      <c r="P104" s="62"/>
      <c r="Q104" s="72">
        <f t="shared" si="9"/>
        <v>3</v>
      </c>
      <c r="R104" s="7"/>
      <c r="S104" s="7"/>
      <c r="T104" s="7"/>
      <c r="U104" s="7"/>
      <c r="V104" s="7"/>
      <c r="W104" s="72" t="str">
        <f t="shared" si="10"/>
        <v>A</v>
      </c>
      <c r="X104" s="7"/>
      <c r="Y104" s="7"/>
      <c r="Z104" s="7"/>
      <c r="AA104" s="7"/>
      <c r="AB104" s="7"/>
      <c r="AC104" s="72" t="str">
        <f t="shared" si="11"/>
        <v>A</v>
      </c>
      <c r="AD104" s="7"/>
      <c r="AE104" s="7"/>
      <c r="AF104" s="7"/>
      <c r="AG104" s="7"/>
      <c r="AH104" s="7"/>
      <c r="AI104" s="72" t="str">
        <f t="shared" si="12"/>
        <v>A</v>
      </c>
      <c r="AJ104" s="7"/>
      <c r="AK104" s="7"/>
      <c r="AL104" s="7"/>
      <c r="AM104" s="7"/>
      <c r="AN104" s="7"/>
      <c r="AO104" s="72" t="str">
        <f t="shared" si="13"/>
        <v>A</v>
      </c>
      <c r="AP104" s="7"/>
      <c r="AQ104" s="7"/>
      <c r="AR104" s="7"/>
      <c r="AS104" s="7"/>
      <c r="AT104" s="7"/>
      <c r="AU104" s="72" t="str">
        <f t="shared" si="14"/>
        <v>A</v>
      </c>
      <c r="AV104" s="7"/>
      <c r="AW104" s="7"/>
      <c r="AX104" s="62">
        <v>5</v>
      </c>
      <c r="AY104" s="62">
        <v>2</v>
      </c>
      <c r="AZ104" s="62">
        <v>3</v>
      </c>
      <c r="BA104" s="72">
        <f t="shared" si="15"/>
        <v>3.3333333333333335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/>
      <c r="N105" s="62">
        <v>4</v>
      </c>
      <c r="O105" s="62">
        <v>3</v>
      </c>
      <c r="P105" s="62"/>
      <c r="Q105" s="72">
        <f t="shared" si="9"/>
        <v>3.3333333333333335</v>
      </c>
      <c r="R105" s="62"/>
      <c r="S105" s="62"/>
      <c r="T105" s="62"/>
      <c r="U105" s="62"/>
      <c r="V105" s="62"/>
      <c r="W105" s="72" t="str">
        <f t="shared" si="10"/>
        <v>A</v>
      </c>
      <c r="X105" s="62"/>
      <c r="Y105" s="62"/>
      <c r="Z105" s="62"/>
      <c r="AA105" s="62"/>
      <c r="AB105" s="62"/>
      <c r="AC105" s="72" t="str">
        <f t="shared" si="11"/>
        <v>A</v>
      </c>
      <c r="AD105" s="62"/>
      <c r="AE105" s="62"/>
      <c r="AF105" s="62"/>
      <c r="AG105" s="62"/>
      <c r="AH105" s="62"/>
      <c r="AI105" s="72" t="str">
        <f t="shared" si="12"/>
        <v>A</v>
      </c>
      <c r="AJ105" s="62"/>
      <c r="AK105" s="62"/>
      <c r="AL105" s="62"/>
      <c r="AM105" s="62"/>
      <c r="AN105" s="62"/>
      <c r="AO105" s="72" t="str">
        <f t="shared" si="13"/>
        <v>A</v>
      </c>
      <c r="AP105" s="62"/>
      <c r="AQ105" s="62"/>
      <c r="AR105" s="62"/>
      <c r="AS105" s="62"/>
      <c r="AT105" s="62"/>
      <c r="AU105" s="72" t="str">
        <f t="shared" si="14"/>
        <v>A</v>
      </c>
      <c r="AV105" s="62"/>
      <c r="AW105" s="62"/>
      <c r="AX105" s="62">
        <v>5</v>
      </c>
      <c r="AY105" s="62">
        <v>0</v>
      </c>
      <c r="AZ105" s="62">
        <v>2</v>
      </c>
      <c r="BA105" s="72">
        <f t="shared" si="15"/>
        <v>2.3333333333333335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4</v>
      </c>
      <c r="M106" s="62"/>
      <c r="N106" s="62">
        <v>2</v>
      </c>
      <c r="O106" s="62">
        <v>3</v>
      </c>
      <c r="P106" s="62"/>
      <c r="Q106" s="72">
        <f t="shared" si="9"/>
        <v>3</v>
      </c>
      <c r="R106" s="7"/>
      <c r="S106" s="7"/>
      <c r="T106" s="7"/>
      <c r="U106" s="7"/>
      <c r="V106" s="7"/>
      <c r="W106" s="72" t="str">
        <f t="shared" si="10"/>
        <v>A</v>
      </c>
      <c r="X106" s="7"/>
      <c r="Y106" s="7"/>
      <c r="Z106" s="7"/>
      <c r="AA106" s="7"/>
      <c r="AB106" s="7"/>
      <c r="AC106" s="72" t="str">
        <f t="shared" si="11"/>
        <v>A</v>
      </c>
      <c r="AD106" s="7"/>
      <c r="AE106" s="7"/>
      <c r="AF106" s="7"/>
      <c r="AG106" s="7"/>
      <c r="AH106" s="7"/>
      <c r="AI106" s="72" t="str">
        <f t="shared" si="12"/>
        <v>A</v>
      </c>
      <c r="AJ106" s="7"/>
      <c r="AK106" s="7"/>
      <c r="AL106" s="7"/>
      <c r="AM106" s="7"/>
      <c r="AN106" s="7"/>
      <c r="AO106" s="72" t="str">
        <f t="shared" si="13"/>
        <v>A</v>
      </c>
      <c r="AP106" s="7"/>
      <c r="AQ106" s="7"/>
      <c r="AR106" s="7"/>
      <c r="AS106" s="7"/>
      <c r="AT106" s="7"/>
      <c r="AU106" s="72" t="str">
        <f t="shared" si="14"/>
        <v>A</v>
      </c>
      <c r="AV106" s="7"/>
      <c r="AW106" s="7"/>
      <c r="AX106" s="62">
        <v>5</v>
      </c>
      <c r="AY106" s="62">
        <v>0</v>
      </c>
      <c r="AZ106" s="62">
        <v>3</v>
      </c>
      <c r="BA106" s="72">
        <f t="shared" si="15"/>
        <v>2.6666666666666665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3</v>
      </c>
      <c r="M107" s="62"/>
      <c r="N107" s="62">
        <v>4</v>
      </c>
      <c r="O107" s="62">
        <v>4</v>
      </c>
      <c r="P107" s="62"/>
      <c r="Q107" s="72">
        <f t="shared" si="9"/>
        <v>3.6666666666666665</v>
      </c>
      <c r="R107" s="62"/>
      <c r="S107" s="62"/>
      <c r="T107" s="62"/>
      <c r="U107" s="62"/>
      <c r="V107" s="62"/>
      <c r="W107" s="72" t="str">
        <f t="shared" si="10"/>
        <v>A</v>
      </c>
      <c r="X107" s="62"/>
      <c r="Y107" s="62"/>
      <c r="Z107" s="62"/>
      <c r="AA107" s="62"/>
      <c r="AB107" s="62"/>
      <c r="AC107" s="72" t="str">
        <f t="shared" si="11"/>
        <v>A</v>
      </c>
      <c r="AD107" s="62"/>
      <c r="AE107" s="62"/>
      <c r="AF107" s="62"/>
      <c r="AG107" s="62"/>
      <c r="AH107" s="62"/>
      <c r="AI107" s="72" t="str">
        <f t="shared" si="12"/>
        <v>A</v>
      </c>
      <c r="AJ107" s="62"/>
      <c r="AK107" s="62"/>
      <c r="AL107" s="62"/>
      <c r="AM107" s="62"/>
      <c r="AN107" s="62"/>
      <c r="AO107" s="72" t="str">
        <f t="shared" si="13"/>
        <v>A</v>
      </c>
      <c r="AP107" s="62"/>
      <c r="AQ107" s="62"/>
      <c r="AR107" s="62"/>
      <c r="AS107" s="62"/>
      <c r="AT107" s="62"/>
      <c r="AU107" s="72" t="str">
        <f t="shared" si="14"/>
        <v>A</v>
      </c>
      <c r="AV107" s="62"/>
      <c r="AW107" s="62"/>
      <c r="AX107" s="62">
        <v>5</v>
      </c>
      <c r="AY107" s="62">
        <v>0</v>
      </c>
      <c r="AZ107" s="62">
        <v>4</v>
      </c>
      <c r="BA107" s="72">
        <f t="shared" si="15"/>
        <v>3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3</v>
      </c>
      <c r="M108" s="62"/>
      <c r="N108" s="62">
        <v>3</v>
      </c>
      <c r="O108" s="62">
        <v>4</v>
      </c>
      <c r="P108" s="62"/>
      <c r="Q108" s="72">
        <f t="shared" si="9"/>
        <v>3.3333333333333335</v>
      </c>
      <c r="R108" s="7"/>
      <c r="S108" s="7"/>
      <c r="T108" s="7"/>
      <c r="U108" s="7"/>
      <c r="V108" s="7"/>
      <c r="W108" s="72" t="str">
        <f t="shared" si="10"/>
        <v>A</v>
      </c>
      <c r="X108" s="7"/>
      <c r="Y108" s="7"/>
      <c r="Z108" s="7"/>
      <c r="AA108" s="7"/>
      <c r="AB108" s="7"/>
      <c r="AC108" s="72" t="str">
        <f t="shared" si="11"/>
        <v>A</v>
      </c>
      <c r="AD108" s="7"/>
      <c r="AE108" s="7"/>
      <c r="AF108" s="7"/>
      <c r="AG108" s="7"/>
      <c r="AH108" s="7"/>
      <c r="AI108" s="72" t="str">
        <f t="shared" si="12"/>
        <v>A</v>
      </c>
      <c r="AJ108" s="7"/>
      <c r="AK108" s="7"/>
      <c r="AL108" s="7"/>
      <c r="AM108" s="7"/>
      <c r="AN108" s="7"/>
      <c r="AO108" s="72" t="str">
        <f t="shared" si="13"/>
        <v>A</v>
      </c>
      <c r="AP108" s="7"/>
      <c r="AQ108" s="7"/>
      <c r="AR108" s="7"/>
      <c r="AS108" s="7"/>
      <c r="AT108" s="7"/>
      <c r="AU108" s="72" t="str">
        <f t="shared" si="14"/>
        <v>A</v>
      </c>
      <c r="AV108" s="7"/>
      <c r="AW108" s="7"/>
      <c r="AX108" s="62">
        <v>5</v>
      </c>
      <c r="AY108" s="62">
        <v>2</v>
      </c>
      <c r="AZ108" s="62">
        <v>4</v>
      </c>
      <c r="BA108" s="72">
        <f t="shared" si="15"/>
        <v>3.6666666666666665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3</v>
      </c>
      <c r="M109" s="62"/>
      <c r="N109" s="62">
        <v>3</v>
      </c>
      <c r="O109" s="62">
        <v>4</v>
      </c>
      <c r="P109" s="62"/>
      <c r="Q109" s="72">
        <f t="shared" si="9"/>
        <v>3.3333333333333335</v>
      </c>
      <c r="R109" s="62"/>
      <c r="S109" s="62"/>
      <c r="T109" s="62"/>
      <c r="U109" s="62"/>
      <c r="V109" s="62"/>
      <c r="W109" s="72" t="str">
        <f t="shared" si="10"/>
        <v>A</v>
      </c>
      <c r="X109" s="62"/>
      <c r="Y109" s="62"/>
      <c r="Z109" s="62"/>
      <c r="AA109" s="62"/>
      <c r="AB109" s="62"/>
      <c r="AC109" s="72" t="str">
        <f t="shared" si="11"/>
        <v>A</v>
      </c>
      <c r="AD109" s="62"/>
      <c r="AE109" s="62"/>
      <c r="AF109" s="62"/>
      <c r="AG109" s="62"/>
      <c r="AH109" s="62"/>
      <c r="AI109" s="72" t="str">
        <f t="shared" si="12"/>
        <v>A</v>
      </c>
      <c r="AJ109" s="62"/>
      <c r="AK109" s="62"/>
      <c r="AL109" s="62"/>
      <c r="AM109" s="62"/>
      <c r="AN109" s="62"/>
      <c r="AO109" s="72" t="str">
        <f t="shared" si="13"/>
        <v>A</v>
      </c>
      <c r="AP109" s="62"/>
      <c r="AQ109" s="62"/>
      <c r="AR109" s="62"/>
      <c r="AS109" s="62"/>
      <c r="AT109" s="62"/>
      <c r="AU109" s="72" t="str">
        <f t="shared" si="14"/>
        <v>A</v>
      </c>
      <c r="AV109" s="62"/>
      <c r="AW109" s="62"/>
      <c r="AX109" s="62">
        <v>5</v>
      </c>
      <c r="AY109" s="62">
        <v>2</v>
      </c>
      <c r="AZ109" s="62">
        <v>3</v>
      </c>
      <c r="BA109" s="72">
        <f t="shared" si="15"/>
        <v>3.3333333333333335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3</v>
      </c>
      <c r="M110" s="62"/>
      <c r="N110" s="62">
        <v>3</v>
      </c>
      <c r="O110" s="62">
        <v>4</v>
      </c>
      <c r="P110" s="62"/>
      <c r="Q110" s="72">
        <f t="shared" si="9"/>
        <v>3.3333333333333335</v>
      </c>
      <c r="R110" s="7"/>
      <c r="S110" s="7"/>
      <c r="T110" s="7"/>
      <c r="U110" s="7"/>
      <c r="V110" s="7"/>
      <c r="W110" s="72" t="str">
        <f t="shared" si="10"/>
        <v>A</v>
      </c>
      <c r="X110" s="7"/>
      <c r="Y110" s="7"/>
      <c r="Z110" s="7"/>
      <c r="AA110" s="7"/>
      <c r="AB110" s="7"/>
      <c r="AC110" s="72" t="str">
        <f t="shared" si="11"/>
        <v>A</v>
      </c>
      <c r="AD110" s="7"/>
      <c r="AE110" s="7"/>
      <c r="AF110" s="7"/>
      <c r="AG110" s="7"/>
      <c r="AH110" s="7"/>
      <c r="AI110" s="72" t="str">
        <f t="shared" si="12"/>
        <v>A</v>
      </c>
      <c r="AJ110" s="7"/>
      <c r="AK110" s="7"/>
      <c r="AL110" s="7"/>
      <c r="AM110" s="7"/>
      <c r="AN110" s="7"/>
      <c r="AO110" s="72" t="str">
        <f t="shared" si="13"/>
        <v>A</v>
      </c>
      <c r="AP110" s="7"/>
      <c r="AQ110" s="7"/>
      <c r="AR110" s="7"/>
      <c r="AS110" s="7"/>
      <c r="AT110" s="7"/>
      <c r="AU110" s="72" t="str">
        <f t="shared" si="14"/>
        <v>A</v>
      </c>
      <c r="AV110" s="7"/>
      <c r="AW110" s="7"/>
      <c r="AX110" s="62">
        <v>5</v>
      </c>
      <c r="AY110" s="62">
        <v>0</v>
      </c>
      <c r="AZ110" s="62">
        <v>3</v>
      </c>
      <c r="BA110" s="72">
        <f t="shared" si="15"/>
        <v>2.6666666666666665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4</v>
      </c>
      <c r="M111" s="62"/>
      <c r="N111" s="62">
        <v>3</v>
      </c>
      <c r="O111" s="62">
        <v>3</v>
      </c>
      <c r="P111" s="62"/>
      <c r="Q111" s="72">
        <f t="shared" si="9"/>
        <v>3.3333333333333335</v>
      </c>
      <c r="R111" s="62"/>
      <c r="S111" s="62"/>
      <c r="T111" s="62"/>
      <c r="U111" s="62"/>
      <c r="V111" s="62"/>
      <c r="W111" s="72" t="str">
        <f t="shared" si="10"/>
        <v>A</v>
      </c>
      <c r="X111" s="62"/>
      <c r="Y111" s="62"/>
      <c r="Z111" s="62"/>
      <c r="AA111" s="62"/>
      <c r="AB111" s="62"/>
      <c r="AC111" s="72" t="str">
        <f t="shared" si="11"/>
        <v>A</v>
      </c>
      <c r="AD111" s="62"/>
      <c r="AE111" s="62"/>
      <c r="AF111" s="62"/>
      <c r="AG111" s="62"/>
      <c r="AH111" s="62"/>
      <c r="AI111" s="72" t="str">
        <f t="shared" si="12"/>
        <v>A</v>
      </c>
      <c r="AJ111" s="62"/>
      <c r="AK111" s="62"/>
      <c r="AL111" s="62"/>
      <c r="AM111" s="62"/>
      <c r="AN111" s="62"/>
      <c r="AO111" s="72" t="str">
        <f t="shared" si="13"/>
        <v>A</v>
      </c>
      <c r="AP111" s="62"/>
      <c r="AQ111" s="62"/>
      <c r="AR111" s="62"/>
      <c r="AS111" s="62"/>
      <c r="AT111" s="62"/>
      <c r="AU111" s="72" t="str">
        <f t="shared" si="14"/>
        <v>A</v>
      </c>
      <c r="AV111" s="62"/>
      <c r="AW111" s="62"/>
      <c r="AX111" s="62">
        <v>5</v>
      </c>
      <c r="AY111" s="62">
        <v>0</v>
      </c>
      <c r="AZ111" s="62">
        <v>3</v>
      </c>
      <c r="BA111" s="72">
        <f t="shared" si="15"/>
        <v>2.6666666666666665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2</v>
      </c>
      <c r="M112" s="62"/>
      <c r="N112" s="62">
        <v>2</v>
      </c>
      <c r="O112" s="62">
        <v>1</v>
      </c>
      <c r="P112" s="62"/>
      <c r="Q112" s="72">
        <f t="shared" si="9"/>
        <v>1.6666666666666667</v>
      </c>
      <c r="R112" s="7"/>
      <c r="S112" s="7"/>
      <c r="T112" s="7"/>
      <c r="U112" s="7"/>
      <c r="V112" s="7"/>
      <c r="W112" s="72" t="str">
        <f t="shared" si="10"/>
        <v>A</v>
      </c>
      <c r="X112" s="7"/>
      <c r="Y112" s="7"/>
      <c r="Z112" s="7"/>
      <c r="AA112" s="7"/>
      <c r="AB112" s="7"/>
      <c r="AC112" s="72" t="str">
        <f t="shared" si="11"/>
        <v>A</v>
      </c>
      <c r="AD112" s="7"/>
      <c r="AE112" s="7"/>
      <c r="AF112" s="7"/>
      <c r="AG112" s="7"/>
      <c r="AH112" s="7"/>
      <c r="AI112" s="72" t="str">
        <f t="shared" si="12"/>
        <v>A</v>
      </c>
      <c r="AJ112" s="7"/>
      <c r="AK112" s="7"/>
      <c r="AL112" s="7"/>
      <c r="AM112" s="7"/>
      <c r="AN112" s="7"/>
      <c r="AO112" s="72" t="str">
        <f t="shared" si="13"/>
        <v>A</v>
      </c>
      <c r="AP112" s="7"/>
      <c r="AQ112" s="7"/>
      <c r="AR112" s="7"/>
      <c r="AS112" s="7"/>
      <c r="AT112" s="7"/>
      <c r="AU112" s="72" t="str">
        <f t="shared" si="14"/>
        <v>A</v>
      </c>
      <c r="AV112" s="7"/>
      <c r="AW112" s="7"/>
      <c r="AX112" s="62">
        <v>5</v>
      </c>
      <c r="AY112" s="62">
        <v>0</v>
      </c>
      <c r="AZ112" s="62">
        <v>1</v>
      </c>
      <c r="BA112" s="72">
        <f t="shared" si="15"/>
        <v>2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3</v>
      </c>
      <c r="M113" s="62"/>
      <c r="N113" s="62">
        <v>4</v>
      </c>
      <c r="O113" s="62">
        <v>2</v>
      </c>
      <c r="P113" s="62"/>
      <c r="Q113" s="72">
        <f t="shared" si="9"/>
        <v>3</v>
      </c>
      <c r="R113" s="62"/>
      <c r="S113" s="62"/>
      <c r="T113" s="62"/>
      <c r="U113" s="62"/>
      <c r="V113" s="62"/>
      <c r="W113" s="72" t="str">
        <f t="shared" si="10"/>
        <v>A</v>
      </c>
      <c r="X113" s="62"/>
      <c r="Y113" s="62"/>
      <c r="Z113" s="62"/>
      <c r="AA113" s="62"/>
      <c r="AB113" s="62"/>
      <c r="AC113" s="72" t="str">
        <f t="shared" si="11"/>
        <v>A</v>
      </c>
      <c r="AD113" s="62"/>
      <c r="AE113" s="62"/>
      <c r="AF113" s="62"/>
      <c r="AG113" s="62"/>
      <c r="AH113" s="62"/>
      <c r="AI113" s="72" t="str">
        <f t="shared" si="12"/>
        <v>A</v>
      </c>
      <c r="AJ113" s="62"/>
      <c r="AK113" s="62"/>
      <c r="AL113" s="62"/>
      <c r="AM113" s="62"/>
      <c r="AN113" s="62"/>
      <c r="AO113" s="72" t="str">
        <f t="shared" si="13"/>
        <v>A</v>
      </c>
      <c r="AP113" s="62"/>
      <c r="AQ113" s="62"/>
      <c r="AR113" s="62"/>
      <c r="AS113" s="62"/>
      <c r="AT113" s="62"/>
      <c r="AU113" s="72" t="str">
        <f t="shared" si="14"/>
        <v>A</v>
      </c>
      <c r="AV113" s="62"/>
      <c r="AW113" s="62"/>
      <c r="AX113" s="62">
        <v>5</v>
      </c>
      <c r="AY113" s="62">
        <v>0</v>
      </c>
      <c r="AZ113" s="62">
        <v>2</v>
      </c>
      <c r="BA113" s="72">
        <f t="shared" si="15"/>
        <v>2.3333333333333335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/>
      <c r="N114" s="62">
        <v>4</v>
      </c>
      <c r="O114" s="62">
        <v>2</v>
      </c>
      <c r="P114" s="62"/>
      <c r="Q114" s="72">
        <f t="shared" si="9"/>
        <v>3</v>
      </c>
      <c r="R114" s="7"/>
      <c r="S114" s="7"/>
      <c r="T114" s="7"/>
      <c r="U114" s="7"/>
      <c r="V114" s="7"/>
      <c r="W114" s="72" t="str">
        <f t="shared" si="10"/>
        <v>A</v>
      </c>
      <c r="X114" s="7"/>
      <c r="Y114" s="7"/>
      <c r="Z114" s="7"/>
      <c r="AA114" s="7"/>
      <c r="AB114" s="7"/>
      <c r="AC114" s="72" t="str">
        <f t="shared" si="11"/>
        <v>A</v>
      </c>
      <c r="AD114" s="7"/>
      <c r="AE114" s="7"/>
      <c r="AF114" s="7"/>
      <c r="AG114" s="7"/>
      <c r="AH114" s="7"/>
      <c r="AI114" s="72" t="str">
        <f t="shared" si="12"/>
        <v>A</v>
      </c>
      <c r="AJ114" s="7"/>
      <c r="AK114" s="7"/>
      <c r="AL114" s="7"/>
      <c r="AM114" s="7"/>
      <c r="AN114" s="7"/>
      <c r="AO114" s="72" t="str">
        <f t="shared" si="13"/>
        <v>A</v>
      </c>
      <c r="AP114" s="7"/>
      <c r="AQ114" s="7"/>
      <c r="AR114" s="7"/>
      <c r="AS114" s="7"/>
      <c r="AT114" s="7"/>
      <c r="AU114" s="72" t="str">
        <f t="shared" si="14"/>
        <v>A</v>
      </c>
      <c r="AV114" s="7"/>
      <c r="AW114" s="7"/>
      <c r="AX114" s="62">
        <v>5</v>
      </c>
      <c r="AY114" s="62">
        <v>0</v>
      </c>
      <c r="AZ114" s="62">
        <v>2</v>
      </c>
      <c r="BA114" s="72">
        <f t="shared" si="15"/>
        <v>2.3333333333333335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0</v>
      </c>
      <c r="M115" s="62"/>
      <c r="N115" s="62">
        <v>0</v>
      </c>
      <c r="O115" s="62">
        <v>0</v>
      </c>
      <c r="P115" s="62"/>
      <c r="Q115" s="72">
        <f t="shared" si="9"/>
        <v>0</v>
      </c>
      <c r="R115" s="62"/>
      <c r="S115" s="62"/>
      <c r="T115" s="62"/>
      <c r="U115" s="62"/>
      <c r="V115" s="62"/>
      <c r="W115" s="72" t="str">
        <f t="shared" si="10"/>
        <v>A</v>
      </c>
      <c r="X115" s="62"/>
      <c r="Y115" s="62"/>
      <c r="Z115" s="62"/>
      <c r="AA115" s="62"/>
      <c r="AB115" s="62"/>
      <c r="AC115" s="72" t="str">
        <f t="shared" si="11"/>
        <v>A</v>
      </c>
      <c r="AD115" s="62"/>
      <c r="AE115" s="62"/>
      <c r="AF115" s="62"/>
      <c r="AG115" s="62"/>
      <c r="AH115" s="62"/>
      <c r="AI115" s="72" t="str">
        <f t="shared" si="12"/>
        <v>A</v>
      </c>
      <c r="AJ115" s="62"/>
      <c r="AK115" s="62"/>
      <c r="AL115" s="62"/>
      <c r="AM115" s="62"/>
      <c r="AN115" s="62"/>
      <c r="AO115" s="72" t="str">
        <f t="shared" si="13"/>
        <v>A</v>
      </c>
      <c r="AP115" s="62"/>
      <c r="AQ115" s="62"/>
      <c r="AR115" s="62"/>
      <c r="AS115" s="62"/>
      <c r="AT115" s="62"/>
      <c r="AU115" s="72" t="str">
        <f t="shared" si="14"/>
        <v>A</v>
      </c>
      <c r="AV115" s="62"/>
      <c r="AW115" s="62"/>
      <c r="AX115" s="62">
        <v>0</v>
      </c>
      <c r="AY115" s="62">
        <v>0</v>
      </c>
      <c r="AZ115" s="62">
        <v>0</v>
      </c>
      <c r="BA115" s="72">
        <f t="shared" si="15"/>
        <v>0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3</v>
      </c>
      <c r="M116" s="62"/>
      <c r="N116" s="62">
        <v>2</v>
      </c>
      <c r="O116" s="62">
        <v>3</v>
      </c>
      <c r="P116" s="62"/>
      <c r="Q116" s="72">
        <f t="shared" si="9"/>
        <v>2.6666666666666665</v>
      </c>
      <c r="R116" s="7"/>
      <c r="S116" s="7"/>
      <c r="T116" s="7"/>
      <c r="U116" s="7"/>
      <c r="V116" s="7"/>
      <c r="W116" s="72" t="str">
        <f t="shared" si="10"/>
        <v>A</v>
      </c>
      <c r="X116" s="7"/>
      <c r="Y116" s="7"/>
      <c r="Z116" s="7"/>
      <c r="AA116" s="7"/>
      <c r="AB116" s="7"/>
      <c r="AC116" s="72" t="str">
        <f t="shared" si="11"/>
        <v>A</v>
      </c>
      <c r="AD116" s="7"/>
      <c r="AE116" s="7"/>
      <c r="AF116" s="7"/>
      <c r="AG116" s="7"/>
      <c r="AH116" s="7"/>
      <c r="AI116" s="72" t="str">
        <f t="shared" si="12"/>
        <v>A</v>
      </c>
      <c r="AJ116" s="7"/>
      <c r="AK116" s="7"/>
      <c r="AL116" s="7"/>
      <c r="AM116" s="7"/>
      <c r="AN116" s="7"/>
      <c r="AO116" s="72" t="str">
        <f t="shared" si="13"/>
        <v>A</v>
      </c>
      <c r="AP116" s="7"/>
      <c r="AQ116" s="7"/>
      <c r="AR116" s="7"/>
      <c r="AS116" s="7"/>
      <c r="AT116" s="7"/>
      <c r="AU116" s="72" t="str">
        <f t="shared" si="14"/>
        <v>A</v>
      </c>
      <c r="AV116" s="7"/>
      <c r="AW116" s="7"/>
      <c r="AX116" s="62">
        <v>5</v>
      </c>
      <c r="AY116" s="62">
        <v>0</v>
      </c>
      <c r="AZ116" s="62">
        <v>3</v>
      </c>
      <c r="BA116" s="72">
        <f t="shared" si="15"/>
        <v>2.6666666666666665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2</v>
      </c>
      <c r="M117" s="62"/>
      <c r="N117" s="62">
        <v>2</v>
      </c>
      <c r="O117" s="62">
        <v>2</v>
      </c>
      <c r="P117" s="62"/>
      <c r="Q117" s="72">
        <f t="shared" si="9"/>
        <v>2</v>
      </c>
      <c r="R117" s="62"/>
      <c r="S117" s="62"/>
      <c r="T117" s="62"/>
      <c r="U117" s="62"/>
      <c r="V117" s="62"/>
      <c r="W117" s="72" t="str">
        <f t="shared" si="10"/>
        <v>A</v>
      </c>
      <c r="X117" s="62"/>
      <c r="Y117" s="62"/>
      <c r="Z117" s="62"/>
      <c r="AA117" s="62"/>
      <c r="AB117" s="62"/>
      <c r="AC117" s="72" t="str">
        <f t="shared" si="11"/>
        <v>A</v>
      </c>
      <c r="AD117" s="62"/>
      <c r="AE117" s="62"/>
      <c r="AF117" s="62"/>
      <c r="AG117" s="62"/>
      <c r="AH117" s="62"/>
      <c r="AI117" s="72" t="str">
        <f t="shared" si="12"/>
        <v>A</v>
      </c>
      <c r="AJ117" s="62"/>
      <c r="AK117" s="62"/>
      <c r="AL117" s="62"/>
      <c r="AM117" s="62"/>
      <c r="AN117" s="62"/>
      <c r="AO117" s="72" t="str">
        <f t="shared" si="13"/>
        <v>A</v>
      </c>
      <c r="AP117" s="62"/>
      <c r="AQ117" s="62"/>
      <c r="AR117" s="62"/>
      <c r="AS117" s="62"/>
      <c r="AT117" s="62"/>
      <c r="AU117" s="72" t="str">
        <f t="shared" si="14"/>
        <v>A</v>
      </c>
      <c r="AV117" s="62"/>
      <c r="AW117" s="62"/>
      <c r="AX117" s="62">
        <v>5</v>
      </c>
      <c r="AY117" s="62">
        <v>0</v>
      </c>
      <c r="AZ117" s="62">
        <v>2</v>
      </c>
      <c r="BA117" s="72">
        <f t="shared" si="15"/>
        <v>2.3333333333333335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/>
      <c r="N118" s="62">
        <v>3</v>
      </c>
      <c r="O118" s="62">
        <v>4</v>
      </c>
      <c r="P118" s="62"/>
      <c r="Q118" s="72">
        <f t="shared" si="9"/>
        <v>3.3333333333333335</v>
      </c>
      <c r="R118" s="7"/>
      <c r="S118" s="7"/>
      <c r="T118" s="7"/>
      <c r="U118" s="7"/>
      <c r="V118" s="7"/>
      <c r="W118" s="72" t="str">
        <f t="shared" si="10"/>
        <v>A</v>
      </c>
      <c r="X118" s="7"/>
      <c r="Y118" s="7"/>
      <c r="Z118" s="7"/>
      <c r="AA118" s="7"/>
      <c r="AB118" s="7"/>
      <c r="AC118" s="72" t="str">
        <f t="shared" si="11"/>
        <v>A</v>
      </c>
      <c r="AD118" s="7"/>
      <c r="AE118" s="7"/>
      <c r="AF118" s="7"/>
      <c r="AG118" s="7"/>
      <c r="AH118" s="7"/>
      <c r="AI118" s="72" t="str">
        <f t="shared" si="12"/>
        <v>A</v>
      </c>
      <c r="AJ118" s="7"/>
      <c r="AK118" s="7"/>
      <c r="AL118" s="7"/>
      <c r="AM118" s="7"/>
      <c r="AN118" s="7"/>
      <c r="AO118" s="72" t="str">
        <f t="shared" si="13"/>
        <v>A</v>
      </c>
      <c r="AP118" s="7"/>
      <c r="AQ118" s="7"/>
      <c r="AR118" s="7"/>
      <c r="AS118" s="7"/>
      <c r="AT118" s="7"/>
      <c r="AU118" s="72" t="str">
        <f t="shared" si="14"/>
        <v>A</v>
      </c>
      <c r="AV118" s="7"/>
      <c r="AW118" s="7"/>
      <c r="AX118" s="62">
        <v>5</v>
      </c>
      <c r="AY118" s="62">
        <v>2</v>
      </c>
      <c r="AZ118" s="62">
        <v>3</v>
      </c>
      <c r="BA118" s="72">
        <f t="shared" si="15"/>
        <v>3.3333333333333335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3</v>
      </c>
      <c r="M119" s="62"/>
      <c r="N119" s="62">
        <v>3</v>
      </c>
      <c r="O119" s="62">
        <v>4</v>
      </c>
      <c r="P119" s="62"/>
      <c r="Q119" s="72">
        <f t="shared" si="9"/>
        <v>3.3333333333333335</v>
      </c>
      <c r="R119" s="62"/>
      <c r="S119" s="62"/>
      <c r="T119" s="62"/>
      <c r="U119" s="62"/>
      <c r="V119" s="62"/>
      <c r="W119" s="72" t="str">
        <f t="shared" si="10"/>
        <v>A</v>
      </c>
      <c r="X119" s="62"/>
      <c r="Y119" s="62"/>
      <c r="Z119" s="62"/>
      <c r="AA119" s="62"/>
      <c r="AB119" s="62"/>
      <c r="AC119" s="72" t="str">
        <f t="shared" si="11"/>
        <v>A</v>
      </c>
      <c r="AD119" s="62"/>
      <c r="AE119" s="62"/>
      <c r="AF119" s="62"/>
      <c r="AG119" s="62"/>
      <c r="AH119" s="62"/>
      <c r="AI119" s="72" t="str">
        <f t="shared" si="12"/>
        <v>A</v>
      </c>
      <c r="AJ119" s="62"/>
      <c r="AK119" s="62"/>
      <c r="AL119" s="62"/>
      <c r="AM119" s="62"/>
      <c r="AN119" s="62"/>
      <c r="AO119" s="72" t="str">
        <f t="shared" si="13"/>
        <v>A</v>
      </c>
      <c r="AP119" s="62"/>
      <c r="AQ119" s="62"/>
      <c r="AR119" s="62"/>
      <c r="AS119" s="62"/>
      <c r="AT119" s="62"/>
      <c r="AU119" s="72" t="str">
        <f t="shared" si="14"/>
        <v>A</v>
      </c>
      <c r="AV119" s="62"/>
      <c r="AW119" s="62"/>
      <c r="AX119" s="62">
        <v>4</v>
      </c>
      <c r="AY119" s="62">
        <v>0</v>
      </c>
      <c r="AZ119" s="62">
        <v>4</v>
      </c>
      <c r="BA119" s="72">
        <f t="shared" si="15"/>
        <v>2.6666666666666665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4</v>
      </c>
      <c r="M120" s="62"/>
      <c r="N120" s="62">
        <v>3</v>
      </c>
      <c r="O120" s="62">
        <v>3</v>
      </c>
      <c r="P120" s="62"/>
      <c r="Q120" s="72">
        <f t="shared" si="9"/>
        <v>3.3333333333333335</v>
      </c>
      <c r="R120" s="7"/>
      <c r="S120" s="7"/>
      <c r="T120" s="7"/>
      <c r="U120" s="7"/>
      <c r="V120" s="7"/>
      <c r="W120" s="72" t="str">
        <f t="shared" si="10"/>
        <v>A</v>
      </c>
      <c r="X120" s="7"/>
      <c r="Y120" s="7"/>
      <c r="Z120" s="7"/>
      <c r="AA120" s="7"/>
      <c r="AB120" s="7"/>
      <c r="AC120" s="72" t="str">
        <f t="shared" si="11"/>
        <v>A</v>
      </c>
      <c r="AD120" s="7"/>
      <c r="AE120" s="7"/>
      <c r="AF120" s="7"/>
      <c r="AG120" s="7"/>
      <c r="AH120" s="7"/>
      <c r="AI120" s="72" t="str">
        <f t="shared" si="12"/>
        <v>A</v>
      </c>
      <c r="AJ120" s="7"/>
      <c r="AK120" s="7"/>
      <c r="AL120" s="7"/>
      <c r="AM120" s="7"/>
      <c r="AN120" s="7"/>
      <c r="AO120" s="72" t="str">
        <f t="shared" si="13"/>
        <v>A</v>
      </c>
      <c r="AP120" s="7"/>
      <c r="AQ120" s="7"/>
      <c r="AR120" s="7"/>
      <c r="AS120" s="7"/>
      <c r="AT120" s="7"/>
      <c r="AU120" s="72" t="str">
        <f t="shared" si="14"/>
        <v>A</v>
      </c>
      <c r="AV120" s="7"/>
      <c r="AW120" s="7"/>
      <c r="AX120" s="62">
        <v>5</v>
      </c>
      <c r="AY120" s="62">
        <v>2</v>
      </c>
      <c r="AZ120" s="62">
        <v>3</v>
      </c>
      <c r="BA120" s="72">
        <f t="shared" si="15"/>
        <v>3.3333333333333335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/>
      <c r="N121" s="62">
        <v>2</v>
      </c>
      <c r="O121" s="62">
        <v>1</v>
      </c>
      <c r="P121" s="62"/>
      <c r="Q121" s="72">
        <f t="shared" si="9"/>
        <v>1.6666666666666667</v>
      </c>
      <c r="R121" s="62"/>
      <c r="S121" s="62"/>
      <c r="T121" s="62"/>
      <c r="U121" s="62"/>
      <c r="V121" s="62"/>
      <c r="W121" s="72" t="str">
        <f t="shared" si="10"/>
        <v>A</v>
      </c>
      <c r="X121" s="62"/>
      <c r="Y121" s="62"/>
      <c r="Z121" s="62"/>
      <c r="AA121" s="62"/>
      <c r="AB121" s="62"/>
      <c r="AC121" s="72" t="str">
        <f t="shared" si="11"/>
        <v>A</v>
      </c>
      <c r="AD121" s="62"/>
      <c r="AE121" s="62"/>
      <c r="AF121" s="62"/>
      <c r="AG121" s="62"/>
      <c r="AH121" s="62"/>
      <c r="AI121" s="72" t="str">
        <f t="shared" si="12"/>
        <v>A</v>
      </c>
      <c r="AJ121" s="62"/>
      <c r="AK121" s="62"/>
      <c r="AL121" s="62"/>
      <c r="AM121" s="62"/>
      <c r="AN121" s="62"/>
      <c r="AO121" s="72" t="str">
        <f t="shared" si="13"/>
        <v>A</v>
      </c>
      <c r="AP121" s="62"/>
      <c r="AQ121" s="62"/>
      <c r="AR121" s="62"/>
      <c r="AS121" s="62"/>
      <c r="AT121" s="62"/>
      <c r="AU121" s="72" t="str">
        <f t="shared" si="14"/>
        <v>A</v>
      </c>
      <c r="AV121" s="62"/>
      <c r="AW121" s="62"/>
      <c r="AX121" s="62">
        <v>5</v>
      </c>
      <c r="AY121" s="62">
        <v>2</v>
      </c>
      <c r="AZ121" s="62">
        <v>1</v>
      </c>
      <c r="BA121" s="72">
        <f t="shared" si="15"/>
        <v>2.6666666666666665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3</v>
      </c>
      <c r="M122" s="62"/>
      <c r="N122" s="62">
        <v>2</v>
      </c>
      <c r="O122" s="62">
        <v>3</v>
      </c>
      <c r="P122" s="62"/>
      <c r="Q122" s="72">
        <f t="shared" si="9"/>
        <v>2.6666666666666665</v>
      </c>
      <c r="R122" s="7"/>
      <c r="S122" s="7"/>
      <c r="T122" s="7"/>
      <c r="U122" s="7"/>
      <c r="V122" s="7"/>
      <c r="W122" s="72" t="str">
        <f t="shared" si="10"/>
        <v>A</v>
      </c>
      <c r="X122" s="7"/>
      <c r="Y122" s="7"/>
      <c r="Z122" s="7"/>
      <c r="AA122" s="7"/>
      <c r="AB122" s="7"/>
      <c r="AC122" s="72" t="str">
        <f t="shared" si="11"/>
        <v>A</v>
      </c>
      <c r="AD122" s="7"/>
      <c r="AE122" s="7"/>
      <c r="AF122" s="7"/>
      <c r="AG122" s="7"/>
      <c r="AH122" s="7"/>
      <c r="AI122" s="72" t="str">
        <f t="shared" si="12"/>
        <v>A</v>
      </c>
      <c r="AJ122" s="7"/>
      <c r="AK122" s="7"/>
      <c r="AL122" s="7"/>
      <c r="AM122" s="7"/>
      <c r="AN122" s="7"/>
      <c r="AO122" s="72" t="str">
        <f t="shared" si="13"/>
        <v>A</v>
      </c>
      <c r="AP122" s="7"/>
      <c r="AQ122" s="7"/>
      <c r="AR122" s="7"/>
      <c r="AS122" s="7"/>
      <c r="AT122" s="7"/>
      <c r="AU122" s="72" t="str">
        <f t="shared" si="14"/>
        <v>A</v>
      </c>
      <c r="AV122" s="7"/>
      <c r="AW122" s="7"/>
      <c r="AX122" s="62">
        <v>5</v>
      </c>
      <c r="AY122" s="62">
        <v>0</v>
      </c>
      <c r="AZ122" s="62">
        <v>2</v>
      </c>
      <c r="BA122" s="72">
        <f t="shared" si="15"/>
        <v>2.3333333333333335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3</v>
      </c>
      <c r="M123" s="62"/>
      <c r="N123" s="62">
        <v>4</v>
      </c>
      <c r="O123" s="62">
        <v>2</v>
      </c>
      <c r="P123" s="62"/>
      <c r="Q123" s="72">
        <f t="shared" si="9"/>
        <v>3</v>
      </c>
      <c r="R123" s="62"/>
      <c r="S123" s="62"/>
      <c r="T123" s="62"/>
      <c r="U123" s="62"/>
      <c r="V123" s="62"/>
      <c r="W123" s="72" t="str">
        <f t="shared" si="10"/>
        <v>A</v>
      </c>
      <c r="X123" s="62"/>
      <c r="Y123" s="62"/>
      <c r="Z123" s="62"/>
      <c r="AA123" s="62"/>
      <c r="AB123" s="62"/>
      <c r="AC123" s="72" t="str">
        <f t="shared" si="11"/>
        <v>A</v>
      </c>
      <c r="AD123" s="62"/>
      <c r="AE123" s="62"/>
      <c r="AF123" s="62"/>
      <c r="AG123" s="62"/>
      <c r="AH123" s="62"/>
      <c r="AI123" s="72" t="str">
        <f t="shared" si="12"/>
        <v>A</v>
      </c>
      <c r="AJ123" s="62"/>
      <c r="AK123" s="62"/>
      <c r="AL123" s="62"/>
      <c r="AM123" s="62"/>
      <c r="AN123" s="62"/>
      <c r="AO123" s="72" t="str">
        <f t="shared" si="13"/>
        <v>A</v>
      </c>
      <c r="AP123" s="62"/>
      <c r="AQ123" s="62"/>
      <c r="AR123" s="62"/>
      <c r="AS123" s="62"/>
      <c r="AT123" s="62"/>
      <c r="AU123" s="72" t="str">
        <f t="shared" si="14"/>
        <v>A</v>
      </c>
      <c r="AV123" s="62"/>
      <c r="AW123" s="62"/>
      <c r="AX123" s="62">
        <v>5</v>
      </c>
      <c r="AY123" s="62">
        <v>2</v>
      </c>
      <c r="AZ123" s="62">
        <v>2</v>
      </c>
      <c r="BA123" s="72">
        <f t="shared" si="15"/>
        <v>3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2</v>
      </c>
      <c r="M124" s="62"/>
      <c r="N124" s="62">
        <v>2</v>
      </c>
      <c r="O124" s="62">
        <v>2</v>
      </c>
      <c r="P124" s="62"/>
      <c r="Q124" s="72">
        <f t="shared" si="9"/>
        <v>2</v>
      </c>
      <c r="R124" s="7"/>
      <c r="S124" s="7"/>
      <c r="T124" s="7"/>
      <c r="U124" s="7"/>
      <c r="V124" s="7"/>
      <c r="W124" s="72" t="str">
        <f t="shared" si="10"/>
        <v>A</v>
      </c>
      <c r="X124" s="7"/>
      <c r="Y124" s="7"/>
      <c r="Z124" s="7"/>
      <c r="AA124" s="7"/>
      <c r="AB124" s="7"/>
      <c r="AC124" s="72" t="str">
        <f t="shared" si="11"/>
        <v>A</v>
      </c>
      <c r="AD124" s="7"/>
      <c r="AE124" s="7"/>
      <c r="AF124" s="7"/>
      <c r="AG124" s="7"/>
      <c r="AH124" s="7"/>
      <c r="AI124" s="72" t="str">
        <f t="shared" si="12"/>
        <v>A</v>
      </c>
      <c r="AJ124" s="7"/>
      <c r="AK124" s="7"/>
      <c r="AL124" s="7"/>
      <c r="AM124" s="7"/>
      <c r="AN124" s="7"/>
      <c r="AO124" s="72" t="str">
        <f t="shared" si="13"/>
        <v>A</v>
      </c>
      <c r="AP124" s="7"/>
      <c r="AQ124" s="7"/>
      <c r="AR124" s="7"/>
      <c r="AS124" s="7"/>
      <c r="AT124" s="7"/>
      <c r="AU124" s="72" t="str">
        <f t="shared" si="14"/>
        <v>A</v>
      </c>
      <c r="AV124" s="7"/>
      <c r="AW124" s="7"/>
      <c r="AX124" s="62">
        <v>2</v>
      </c>
      <c r="AY124" s="62">
        <v>2</v>
      </c>
      <c r="AZ124" s="62">
        <v>2</v>
      </c>
      <c r="BA124" s="72">
        <f t="shared" si="15"/>
        <v>2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3</v>
      </c>
      <c r="M125" s="62"/>
      <c r="N125" s="62">
        <v>2</v>
      </c>
      <c r="O125" s="62">
        <v>3</v>
      </c>
      <c r="P125" s="62"/>
      <c r="Q125" s="72">
        <f t="shared" si="9"/>
        <v>2.6666666666666665</v>
      </c>
      <c r="R125" s="62"/>
      <c r="S125" s="62"/>
      <c r="T125" s="62"/>
      <c r="U125" s="62"/>
      <c r="V125" s="62"/>
      <c r="W125" s="72" t="str">
        <f t="shared" si="10"/>
        <v>A</v>
      </c>
      <c r="X125" s="62"/>
      <c r="Y125" s="62"/>
      <c r="Z125" s="62"/>
      <c r="AA125" s="62"/>
      <c r="AB125" s="62"/>
      <c r="AC125" s="72" t="str">
        <f t="shared" si="11"/>
        <v>A</v>
      </c>
      <c r="AD125" s="62"/>
      <c r="AE125" s="62"/>
      <c r="AF125" s="62"/>
      <c r="AG125" s="62"/>
      <c r="AH125" s="62"/>
      <c r="AI125" s="72" t="str">
        <f t="shared" si="12"/>
        <v>A</v>
      </c>
      <c r="AJ125" s="62"/>
      <c r="AK125" s="62"/>
      <c r="AL125" s="62"/>
      <c r="AM125" s="62"/>
      <c r="AN125" s="62"/>
      <c r="AO125" s="72" t="str">
        <f t="shared" si="13"/>
        <v>A</v>
      </c>
      <c r="AP125" s="62"/>
      <c r="AQ125" s="62"/>
      <c r="AR125" s="62"/>
      <c r="AS125" s="62"/>
      <c r="AT125" s="62"/>
      <c r="AU125" s="72" t="str">
        <f t="shared" si="14"/>
        <v>A</v>
      </c>
      <c r="AV125" s="62"/>
      <c r="AW125" s="62"/>
      <c r="AX125" s="62">
        <v>5</v>
      </c>
      <c r="AY125" s="62">
        <v>2</v>
      </c>
      <c r="AZ125" s="62">
        <v>3</v>
      </c>
      <c r="BA125" s="72">
        <f t="shared" si="15"/>
        <v>3.3333333333333335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3</v>
      </c>
      <c r="M126" s="62"/>
      <c r="N126" s="62">
        <v>3</v>
      </c>
      <c r="O126" s="62">
        <v>3</v>
      </c>
      <c r="P126" s="62"/>
      <c r="Q126" s="72">
        <f t="shared" si="9"/>
        <v>3</v>
      </c>
      <c r="R126" s="7"/>
      <c r="S126" s="7"/>
      <c r="T126" s="7"/>
      <c r="U126" s="7"/>
      <c r="V126" s="7"/>
      <c r="W126" s="72" t="str">
        <f t="shared" si="10"/>
        <v>A</v>
      </c>
      <c r="X126" s="7"/>
      <c r="Y126" s="7"/>
      <c r="Z126" s="7"/>
      <c r="AA126" s="7"/>
      <c r="AB126" s="7"/>
      <c r="AC126" s="72" t="str">
        <f t="shared" si="11"/>
        <v>A</v>
      </c>
      <c r="AD126" s="7"/>
      <c r="AE126" s="7"/>
      <c r="AF126" s="7"/>
      <c r="AG126" s="7"/>
      <c r="AH126" s="7"/>
      <c r="AI126" s="72" t="str">
        <f t="shared" si="12"/>
        <v>A</v>
      </c>
      <c r="AJ126" s="7"/>
      <c r="AK126" s="7"/>
      <c r="AL126" s="7"/>
      <c r="AM126" s="7"/>
      <c r="AN126" s="7"/>
      <c r="AO126" s="72" t="str">
        <f t="shared" si="13"/>
        <v>A</v>
      </c>
      <c r="AP126" s="7"/>
      <c r="AQ126" s="7"/>
      <c r="AR126" s="7"/>
      <c r="AS126" s="7"/>
      <c r="AT126" s="7"/>
      <c r="AU126" s="72" t="str">
        <f t="shared" si="14"/>
        <v>A</v>
      </c>
      <c r="AV126" s="7"/>
      <c r="AW126" s="7"/>
      <c r="AX126" s="62">
        <v>5</v>
      </c>
      <c r="AY126" s="62">
        <v>0</v>
      </c>
      <c r="AZ126" s="62">
        <v>2</v>
      </c>
      <c r="BA126" s="72">
        <f t="shared" si="15"/>
        <v>2.3333333333333335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4</v>
      </c>
      <c r="M127" s="62"/>
      <c r="N127" s="62">
        <v>4</v>
      </c>
      <c r="O127" s="62">
        <v>4</v>
      </c>
      <c r="P127" s="62"/>
      <c r="Q127" s="72">
        <f t="shared" si="9"/>
        <v>4</v>
      </c>
      <c r="R127" s="62"/>
      <c r="S127" s="62"/>
      <c r="T127" s="62"/>
      <c r="U127" s="62"/>
      <c r="V127" s="62"/>
      <c r="W127" s="72" t="str">
        <f t="shared" si="10"/>
        <v>A</v>
      </c>
      <c r="X127" s="62"/>
      <c r="Y127" s="62"/>
      <c r="Z127" s="62"/>
      <c r="AA127" s="62"/>
      <c r="AB127" s="62"/>
      <c r="AC127" s="72" t="str">
        <f t="shared" si="11"/>
        <v>A</v>
      </c>
      <c r="AD127" s="62"/>
      <c r="AE127" s="62"/>
      <c r="AF127" s="62"/>
      <c r="AG127" s="62"/>
      <c r="AH127" s="62"/>
      <c r="AI127" s="72" t="str">
        <f t="shared" si="12"/>
        <v>A</v>
      </c>
      <c r="AJ127" s="62"/>
      <c r="AK127" s="62"/>
      <c r="AL127" s="62"/>
      <c r="AM127" s="62"/>
      <c r="AN127" s="62"/>
      <c r="AO127" s="72" t="str">
        <f t="shared" si="13"/>
        <v>A</v>
      </c>
      <c r="AP127" s="62"/>
      <c r="AQ127" s="62"/>
      <c r="AR127" s="62"/>
      <c r="AS127" s="62"/>
      <c r="AT127" s="62"/>
      <c r="AU127" s="72" t="str">
        <f t="shared" si="14"/>
        <v>A</v>
      </c>
      <c r="AV127" s="62"/>
      <c r="AW127" s="62"/>
      <c r="AX127" s="62">
        <v>5</v>
      </c>
      <c r="AY127" s="62">
        <v>0</v>
      </c>
      <c r="AZ127" s="62">
        <v>4</v>
      </c>
      <c r="BA127" s="72">
        <f t="shared" si="15"/>
        <v>3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3</v>
      </c>
      <c r="M128" s="62"/>
      <c r="N128" s="62">
        <v>2</v>
      </c>
      <c r="O128" s="62">
        <v>2</v>
      </c>
      <c r="P128" s="62"/>
      <c r="Q128" s="72">
        <f t="shared" si="9"/>
        <v>2.3333333333333335</v>
      </c>
      <c r="R128" s="7"/>
      <c r="S128" s="7"/>
      <c r="T128" s="7"/>
      <c r="U128" s="7"/>
      <c r="V128" s="7"/>
      <c r="W128" s="72" t="str">
        <f t="shared" si="10"/>
        <v>A</v>
      </c>
      <c r="X128" s="7"/>
      <c r="Y128" s="7"/>
      <c r="Z128" s="7"/>
      <c r="AA128" s="7"/>
      <c r="AB128" s="7"/>
      <c r="AC128" s="72" t="str">
        <f t="shared" si="11"/>
        <v>A</v>
      </c>
      <c r="AD128" s="7"/>
      <c r="AE128" s="7"/>
      <c r="AF128" s="7"/>
      <c r="AG128" s="7"/>
      <c r="AH128" s="7"/>
      <c r="AI128" s="72" t="str">
        <f t="shared" si="12"/>
        <v>A</v>
      </c>
      <c r="AJ128" s="7"/>
      <c r="AK128" s="7"/>
      <c r="AL128" s="7"/>
      <c r="AM128" s="7"/>
      <c r="AN128" s="7"/>
      <c r="AO128" s="72" t="str">
        <f t="shared" si="13"/>
        <v>A</v>
      </c>
      <c r="AP128" s="7"/>
      <c r="AQ128" s="7"/>
      <c r="AR128" s="7"/>
      <c r="AS128" s="7"/>
      <c r="AT128" s="7"/>
      <c r="AU128" s="72" t="str">
        <f t="shared" si="14"/>
        <v>A</v>
      </c>
      <c r="AV128" s="7"/>
      <c r="AW128" s="7"/>
      <c r="AX128" s="62">
        <v>5</v>
      </c>
      <c r="AY128" s="62">
        <v>0</v>
      </c>
      <c r="AZ128" s="62">
        <v>2</v>
      </c>
      <c r="BA128" s="72">
        <f t="shared" si="15"/>
        <v>2.3333333333333335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2</v>
      </c>
      <c r="M129" s="62"/>
      <c r="N129" s="62">
        <v>2</v>
      </c>
      <c r="O129" s="62">
        <v>2</v>
      </c>
      <c r="P129" s="62"/>
      <c r="Q129" s="72">
        <f t="shared" si="9"/>
        <v>2</v>
      </c>
      <c r="R129" s="62"/>
      <c r="S129" s="62"/>
      <c r="T129" s="62"/>
      <c r="U129" s="62"/>
      <c r="V129" s="62"/>
      <c r="W129" s="72" t="str">
        <f t="shared" si="10"/>
        <v>A</v>
      </c>
      <c r="X129" s="62"/>
      <c r="Y129" s="62"/>
      <c r="Z129" s="62"/>
      <c r="AA129" s="62"/>
      <c r="AB129" s="62"/>
      <c r="AC129" s="72" t="str">
        <f t="shared" si="11"/>
        <v>A</v>
      </c>
      <c r="AD129" s="62"/>
      <c r="AE129" s="62"/>
      <c r="AF129" s="62"/>
      <c r="AG129" s="62"/>
      <c r="AH129" s="62"/>
      <c r="AI129" s="72" t="str">
        <f t="shared" si="12"/>
        <v>A</v>
      </c>
      <c r="AJ129" s="62"/>
      <c r="AK129" s="62"/>
      <c r="AL129" s="62"/>
      <c r="AM129" s="62"/>
      <c r="AN129" s="62"/>
      <c r="AO129" s="72" t="str">
        <f t="shared" si="13"/>
        <v>A</v>
      </c>
      <c r="AP129" s="62"/>
      <c r="AQ129" s="62"/>
      <c r="AR129" s="62"/>
      <c r="AS129" s="62"/>
      <c r="AT129" s="62"/>
      <c r="AU129" s="72" t="str">
        <f t="shared" si="14"/>
        <v>A</v>
      </c>
      <c r="AV129" s="62"/>
      <c r="AW129" s="62"/>
      <c r="AX129" s="62">
        <v>5</v>
      </c>
      <c r="AY129" s="62">
        <v>2</v>
      </c>
      <c r="AZ129" s="62">
        <v>2</v>
      </c>
      <c r="BA129" s="72">
        <f t="shared" si="15"/>
        <v>3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3</v>
      </c>
      <c r="M130" s="62"/>
      <c r="N130" s="62">
        <v>3</v>
      </c>
      <c r="O130" s="62">
        <v>4</v>
      </c>
      <c r="P130" s="62"/>
      <c r="Q130" s="72">
        <f t="shared" si="9"/>
        <v>3.3333333333333335</v>
      </c>
      <c r="R130" s="7"/>
      <c r="S130" s="7"/>
      <c r="T130" s="7"/>
      <c r="U130" s="7"/>
      <c r="V130" s="7"/>
      <c r="W130" s="72" t="str">
        <f t="shared" si="10"/>
        <v>A</v>
      </c>
      <c r="X130" s="7"/>
      <c r="Y130" s="7"/>
      <c r="Z130" s="7"/>
      <c r="AA130" s="7"/>
      <c r="AB130" s="7"/>
      <c r="AC130" s="72" t="str">
        <f t="shared" si="11"/>
        <v>A</v>
      </c>
      <c r="AD130" s="7"/>
      <c r="AE130" s="7"/>
      <c r="AF130" s="7"/>
      <c r="AG130" s="7"/>
      <c r="AH130" s="7"/>
      <c r="AI130" s="72" t="str">
        <f t="shared" si="12"/>
        <v>A</v>
      </c>
      <c r="AJ130" s="7"/>
      <c r="AK130" s="7"/>
      <c r="AL130" s="7"/>
      <c r="AM130" s="7"/>
      <c r="AN130" s="7"/>
      <c r="AO130" s="72" t="str">
        <f t="shared" si="13"/>
        <v>A</v>
      </c>
      <c r="AP130" s="7"/>
      <c r="AQ130" s="7"/>
      <c r="AR130" s="7"/>
      <c r="AS130" s="7"/>
      <c r="AT130" s="7"/>
      <c r="AU130" s="72" t="str">
        <f t="shared" si="14"/>
        <v>A</v>
      </c>
      <c r="AV130" s="7"/>
      <c r="AW130" s="7"/>
      <c r="AX130" s="62">
        <v>4</v>
      </c>
      <c r="AY130" s="62">
        <v>2</v>
      </c>
      <c r="AZ130" s="62">
        <v>4</v>
      </c>
      <c r="BA130" s="72">
        <f t="shared" si="15"/>
        <v>3.3333333333333335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3</v>
      </c>
      <c r="M131" s="62"/>
      <c r="N131" s="62">
        <v>3</v>
      </c>
      <c r="O131" s="62">
        <v>4</v>
      </c>
      <c r="P131" s="62"/>
      <c r="Q131" s="72">
        <f t="shared" si="9"/>
        <v>3.3333333333333335</v>
      </c>
      <c r="R131" s="62"/>
      <c r="S131" s="62"/>
      <c r="T131" s="62"/>
      <c r="U131" s="62"/>
      <c r="V131" s="62"/>
      <c r="W131" s="72" t="str">
        <f t="shared" si="10"/>
        <v>A</v>
      </c>
      <c r="X131" s="62"/>
      <c r="Y131" s="62"/>
      <c r="Z131" s="62"/>
      <c r="AA131" s="62"/>
      <c r="AB131" s="62"/>
      <c r="AC131" s="72" t="str">
        <f t="shared" si="11"/>
        <v>A</v>
      </c>
      <c r="AD131" s="62"/>
      <c r="AE131" s="62"/>
      <c r="AF131" s="62"/>
      <c r="AG131" s="62"/>
      <c r="AH131" s="62"/>
      <c r="AI131" s="72" t="str">
        <f t="shared" si="12"/>
        <v>A</v>
      </c>
      <c r="AJ131" s="62"/>
      <c r="AK131" s="62"/>
      <c r="AL131" s="62"/>
      <c r="AM131" s="62"/>
      <c r="AN131" s="62"/>
      <c r="AO131" s="72" t="str">
        <f t="shared" si="13"/>
        <v>A</v>
      </c>
      <c r="AP131" s="62"/>
      <c r="AQ131" s="62"/>
      <c r="AR131" s="62"/>
      <c r="AS131" s="62"/>
      <c r="AT131" s="62"/>
      <c r="AU131" s="72" t="str">
        <f t="shared" si="14"/>
        <v>A</v>
      </c>
      <c r="AV131" s="62"/>
      <c r="AW131" s="62"/>
      <c r="AX131" s="62">
        <v>5</v>
      </c>
      <c r="AY131" s="62">
        <v>0</v>
      </c>
      <c r="AZ131" s="62">
        <v>4</v>
      </c>
      <c r="BA131" s="72">
        <f t="shared" si="15"/>
        <v>3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2</v>
      </c>
      <c r="M132" s="62"/>
      <c r="N132" s="62">
        <v>2</v>
      </c>
      <c r="O132" s="62">
        <v>2</v>
      </c>
      <c r="P132" s="62"/>
      <c r="Q132" s="72">
        <f t="shared" ref="Q132:Q195" si="17">IFERROR(AVERAGE(N132,L132,O132),"A")</f>
        <v>2</v>
      </c>
      <c r="R132" s="7"/>
      <c r="S132" s="7"/>
      <c r="T132" s="7"/>
      <c r="U132" s="7"/>
      <c r="V132" s="7"/>
      <c r="W132" s="72" t="str">
        <f t="shared" ref="W132:W195" si="18">IFERROR(AVERAGE(R132,S132,U132),"A")</f>
        <v>A</v>
      </c>
      <c r="X132" s="7"/>
      <c r="Y132" s="7"/>
      <c r="Z132" s="7"/>
      <c r="AA132" s="7"/>
      <c r="AB132" s="7"/>
      <c r="AC132" s="72" t="str">
        <f t="shared" ref="AC132:AC195" si="19">IFERROR(AVERAGE(Y132,X132),"A")</f>
        <v>A</v>
      </c>
      <c r="AD132" s="7"/>
      <c r="AE132" s="7"/>
      <c r="AF132" s="7"/>
      <c r="AG132" s="7"/>
      <c r="AH132" s="7"/>
      <c r="AI132" s="72" t="str">
        <f t="shared" ref="AI132:AI195" si="20">IFERROR(AVERAGE(AF132,AD132),"A")</f>
        <v>A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7"/>
      <c r="AQ132" s="7"/>
      <c r="AR132" s="7"/>
      <c r="AS132" s="7"/>
      <c r="AT132" s="7"/>
      <c r="AU132" s="72" t="str">
        <f t="shared" ref="AU132:AU195" si="22">IFERROR(AVERAGE(AR132,AQ132,AP132),"A")</f>
        <v>A</v>
      </c>
      <c r="AV132" s="7"/>
      <c r="AW132" s="7"/>
      <c r="AX132" s="62">
        <v>5</v>
      </c>
      <c r="AY132" s="62">
        <v>0</v>
      </c>
      <c r="AZ132" s="62">
        <v>2</v>
      </c>
      <c r="BA132" s="72">
        <f t="shared" ref="BA132:BA195" si="23">IFERROR(AVERAGE(AX132,AY132,AZ132),"A")</f>
        <v>2.3333333333333335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3</v>
      </c>
      <c r="M133" s="62"/>
      <c r="N133" s="62">
        <v>3</v>
      </c>
      <c r="O133" s="62">
        <v>2</v>
      </c>
      <c r="P133" s="62"/>
      <c r="Q133" s="72">
        <f t="shared" si="17"/>
        <v>2.6666666666666665</v>
      </c>
      <c r="R133" s="62"/>
      <c r="S133" s="62"/>
      <c r="T133" s="62"/>
      <c r="U133" s="62"/>
      <c r="V133" s="62"/>
      <c r="W133" s="72" t="str">
        <f t="shared" si="18"/>
        <v>A</v>
      </c>
      <c r="X133" s="62"/>
      <c r="Y133" s="62"/>
      <c r="Z133" s="62"/>
      <c r="AA133" s="62"/>
      <c r="AB133" s="62"/>
      <c r="AC133" s="72" t="str">
        <f t="shared" si="19"/>
        <v>A</v>
      </c>
      <c r="AD133" s="62"/>
      <c r="AE133" s="62"/>
      <c r="AF133" s="62"/>
      <c r="AG133" s="62"/>
      <c r="AH133" s="62"/>
      <c r="AI133" s="72" t="str">
        <f t="shared" si="20"/>
        <v>A</v>
      </c>
      <c r="AJ133" s="62"/>
      <c r="AK133" s="62"/>
      <c r="AL133" s="62"/>
      <c r="AM133" s="62"/>
      <c r="AN133" s="62"/>
      <c r="AO133" s="72" t="str">
        <f t="shared" si="21"/>
        <v>A</v>
      </c>
      <c r="AP133" s="62"/>
      <c r="AQ133" s="62"/>
      <c r="AR133" s="62"/>
      <c r="AS133" s="62"/>
      <c r="AT133" s="62"/>
      <c r="AU133" s="72" t="str">
        <f t="shared" si="22"/>
        <v>A</v>
      </c>
      <c r="AV133" s="62"/>
      <c r="AW133" s="62"/>
      <c r="AX133" s="62">
        <v>5</v>
      </c>
      <c r="AY133" s="62">
        <v>0</v>
      </c>
      <c r="AZ133" s="62">
        <v>2</v>
      </c>
      <c r="BA133" s="72">
        <f t="shared" si="23"/>
        <v>2.3333333333333335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/>
      <c r="N134" s="62">
        <v>3</v>
      </c>
      <c r="O134" s="62">
        <v>3</v>
      </c>
      <c r="P134" s="62"/>
      <c r="Q134" s="72">
        <f t="shared" si="17"/>
        <v>3</v>
      </c>
      <c r="R134" s="7"/>
      <c r="S134" s="7"/>
      <c r="T134" s="7"/>
      <c r="U134" s="7"/>
      <c r="V134" s="7"/>
      <c r="W134" s="72" t="str">
        <f t="shared" si="18"/>
        <v>A</v>
      </c>
      <c r="X134" s="7"/>
      <c r="Y134" s="7"/>
      <c r="Z134" s="7"/>
      <c r="AA134" s="7"/>
      <c r="AB134" s="7"/>
      <c r="AC134" s="72" t="str">
        <f t="shared" si="19"/>
        <v>A</v>
      </c>
      <c r="AD134" s="7"/>
      <c r="AE134" s="7"/>
      <c r="AF134" s="7"/>
      <c r="AG134" s="7"/>
      <c r="AH134" s="7"/>
      <c r="AI134" s="72" t="str">
        <f t="shared" si="20"/>
        <v>A</v>
      </c>
      <c r="AJ134" s="7"/>
      <c r="AK134" s="7"/>
      <c r="AL134" s="7"/>
      <c r="AM134" s="7"/>
      <c r="AN134" s="7"/>
      <c r="AO134" s="72" t="str">
        <f t="shared" si="21"/>
        <v>A</v>
      </c>
      <c r="AP134" s="7"/>
      <c r="AQ134" s="7"/>
      <c r="AR134" s="7"/>
      <c r="AS134" s="7"/>
      <c r="AT134" s="7"/>
      <c r="AU134" s="72" t="str">
        <f t="shared" si="22"/>
        <v>A</v>
      </c>
      <c r="AV134" s="7"/>
      <c r="AW134" s="7"/>
      <c r="AX134" s="62">
        <v>5</v>
      </c>
      <c r="AY134" s="62">
        <v>0</v>
      </c>
      <c r="AZ134" s="62">
        <v>3</v>
      </c>
      <c r="BA134" s="72">
        <f t="shared" si="23"/>
        <v>2.6666666666666665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3</v>
      </c>
      <c r="M135" s="62"/>
      <c r="N135" s="62">
        <v>3</v>
      </c>
      <c r="O135" s="62">
        <v>3</v>
      </c>
      <c r="P135" s="62"/>
      <c r="Q135" s="72">
        <f t="shared" si="17"/>
        <v>3</v>
      </c>
      <c r="R135" s="62"/>
      <c r="S135" s="62"/>
      <c r="T135" s="62"/>
      <c r="U135" s="62"/>
      <c r="V135" s="62"/>
      <c r="W135" s="72" t="str">
        <f t="shared" si="18"/>
        <v>A</v>
      </c>
      <c r="X135" s="62"/>
      <c r="Y135" s="62"/>
      <c r="Z135" s="62"/>
      <c r="AA135" s="62"/>
      <c r="AB135" s="62"/>
      <c r="AC135" s="72" t="str">
        <f t="shared" si="19"/>
        <v>A</v>
      </c>
      <c r="AD135" s="62"/>
      <c r="AE135" s="62"/>
      <c r="AF135" s="62"/>
      <c r="AG135" s="62"/>
      <c r="AH135" s="62"/>
      <c r="AI135" s="72" t="str">
        <f t="shared" si="20"/>
        <v>A</v>
      </c>
      <c r="AJ135" s="62"/>
      <c r="AK135" s="62"/>
      <c r="AL135" s="62"/>
      <c r="AM135" s="62"/>
      <c r="AN135" s="62"/>
      <c r="AO135" s="72" t="str">
        <f t="shared" si="21"/>
        <v>A</v>
      </c>
      <c r="AP135" s="62"/>
      <c r="AQ135" s="62"/>
      <c r="AR135" s="62"/>
      <c r="AS135" s="62"/>
      <c r="AT135" s="62"/>
      <c r="AU135" s="72" t="str">
        <f t="shared" si="22"/>
        <v>A</v>
      </c>
      <c r="AV135" s="62"/>
      <c r="AW135" s="62"/>
      <c r="AX135" s="62">
        <v>5</v>
      </c>
      <c r="AY135" s="62">
        <v>0</v>
      </c>
      <c r="AZ135" s="62">
        <v>3</v>
      </c>
      <c r="BA135" s="72">
        <f t="shared" si="23"/>
        <v>2.6666666666666665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4</v>
      </c>
      <c r="M136" s="62"/>
      <c r="N136" s="62">
        <v>2</v>
      </c>
      <c r="O136" s="62">
        <v>3</v>
      </c>
      <c r="P136" s="62"/>
      <c r="Q136" s="72">
        <f t="shared" si="17"/>
        <v>3</v>
      </c>
      <c r="R136" s="7"/>
      <c r="S136" s="7"/>
      <c r="T136" s="7"/>
      <c r="U136" s="7"/>
      <c r="V136" s="7"/>
      <c r="W136" s="72" t="str">
        <f t="shared" si="18"/>
        <v>A</v>
      </c>
      <c r="X136" s="7"/>
      <c r="Y136" s="7"/>
      <c r="Z136" s="7"/>
      <c r="AA136" s="7"/>
      <c r="AB136" s="7"/>
      <c r="AC136" s="72" t="str">
        <f t="shared" si="19"/>
        <v>A</v>
      </c>
      <c r="AD136" s="7"/>
      <c r="AE136" s="7"/>
      <c r="AF136" s="7"/>
      <c r="AG136" s="7"/>
      <c r="AH136" s="7"/>
      <c r="AI136" s="72" t="str">
        <f t="shared" si="20"/>
        <v>A</v>
      </c>
      <c r="AJ136" s="7"/>
      <c r="AK136" s="7"/>
      <c r="AL136" s="7"/>
      <c r="AM136" s="7"/>
      <c r="AN136" s="7"/>
      <c r="AO136" s="72" t="str">
        <f t="shared" si="21"/>
        <v>A</v>
      </c>
      <c r="AP136" s="7"/>
      <c r="AQ136" s="7"/>
      <c r="AR136" s="7"/>
      <c r="AS136" s="7"/>
      <c r="AT136" s="7"/>
      <c r="AU136" s="72" t="str">
        <f t="shared" si="22"/>
        <v>A</v>
      </c>
      <c r="AV136" s="7"/>
      <c r="AW136" s="7"/>
      <c r="AX136" s="62">
        <v>5</v>
      </c>
      <c r="AY136" s="62">
        <v>0</v>
      </c>
      <c r="AZ136" s="62">
        <v>3</v>
      </c>
      <c r="BA136" s="72">
        <f t="shared" si="23"/>
        <v>2.6666666666666665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4</v>
      </c>
      <c r="M137" s="62"/>
      <c r="N137" s="62">
        <v>4</v>
      </c>
      <c r="O137" s="62">
        <v>4</v>
      </c>
      <c r="P137" s="62"/>
      <c r="Q137" s="72">
        <f t="shared" si="17"/>
        <v>4</v>
      </c>
      <c r="R137" s="62"/>
      <c r="S137" s="62"/>
      <c r="T137" s="62"/>
      <c r="U137" s="62"/>
      <c r="V137" s="62"/>
      <c r="W137" s="72" t="str">
        <f t="shared" si="18"/>
        <v>A</v>
      </c>
      <c r="X137" s="62"/>
      <c r="Y137" s="62"/>
      <c r="Z137" s="62"/>
      <c r="AA137" s="62"/>
      <c r="AB137" s="62"/>
      <c r="AC137" s="72" t="str">
        <f t="shared" si="19"/>
        <v>A</v>
      </c>
      <c r="AD137" s="62"/>
      <c r="AE137" s="62"/>
      <c r="AF137" s="62"/>
      <c r="AG137" s="62"/>
      <c r="AH137" s="62"/>
      <c r="AI137" s="72" t="str">
        <f t="shared" si="20"/>
        <v>A</v>
      </c>
      <c r="AJ137" s="62"/>
      <c r="AK137" s="62"/>
      <c r="AL137" s="62"/>
      <c r="AM137" s="62"/>
      <c r="AN137" s="62"/>
      <c r="AO137" s="72" t="str">
        <f t="shared" si="21"/>
        <v>A</v>
      </c>
      <c r="AP137" s="62"/>
      <c r="AQ137" s="62"/>
      <c r="AR137" s="62"/>
      <c r="AS137" s="62"/>
      <c r="AT137" s="62"/>
      <c r="AU137" s="72" t="str">
        <f t="shared" si="22"/>
        <v>A</v>
      </c>
      <c r="AV137" s="62"/>
      <c r="AW137" s="62"/>
      <c r="AX137" s="62">
        <v>5</v>
      </c>
      <c r="AY137" s="62">
        <v>2</v>
      </c>
      <c r="AZ137" s="62">
        <v>4</v>
      </c>
      <c r="BA137" s="72">
        <f t="shared" si="23"/>
        <v>3.6666666666666665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3</v>
      </c>
      <c r="M138" s="62"/>
      <c r="N138" s="62">
        <v>2</v>
      </c>
      <c r="O138" s="62">
        <v>2</v>
      </c>
      <c r="P138" s="62"/>
      <c r="Q138" s="72">
        <f t="shared" si="17"/>
        <v>2.3333333333333335</v>
      </c>
      <c r="R138" s="7"/>
      <c r="S138" s="7"/>
      <c r="T138" s="7"/>
      <c r="U138" s="7"/>
      <c r="V138" s="7"/>
      <c r="W138" s="72" t="str">
        <f t="shared" si="18"/>
        <v>A</v>
      </c>
      <c r="X138" s="7"/>
      <c r="Y138" s="7"/>
      <c r="Z138" s="7"/>
      <c r="AA138" s="7"/>
      <c r="AB138" s="7"/>
      <c r="AC138" s="72" t="str">
        <f t="shared" si="19"/>
        <v>A</v>
      </c>
      <c r="AD138" s="7"/>
      <c r="AE138" s="7"/>
      <c r="AF138" s="7"/>
      <c r="AG138" s="7"/>
      <c r="AH138" s="7"/>
      <c r="AI138" s="72" t="str">
        <f t="shared" si="20"/>
        <v>A</v>
      </c>
      <c r="AJ138" s="7"/>
      <c r="AK138" s="7"/>
      <c r="AL138" s="7"/>
      <c r="AM138" s="7"/>
      <c r="AN138" s="7"/>
      <c r="AO138" s="72" t="str">
        <f t="shared" si="21"/>
        <v>A</v>
      </c>
      <c r="AP138" s="7"/>
      <c r="AQ138" s="7"/>
      <c r="AR138" s="7"/>
      <c r="AS138" s="7"/>
      <c r="AT138" s="7"/>
      <c r="AU138" s="72" t="str">
        <f t="shared" si="22"/>
        <v>A</v>
      </c>
      <c r="AV138" s="7"/>
      <c r="AW138" s="7"/>
      <c r="AX138" s="62">
        <v>5</v>
      </c>
      <c r="AY138" s="62">
        <v>2</v>
      </c>
      <c r="AZ138" s="62">
        <v>2</v>
      </c>
      <c r="BA138" s="72">
        <f t="shared" si="23"/>
        <v>3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4</v>
      </c>
      <c r="M139" s="62"/>
      <c r="N139" s="62">
        <v>4</v>
      </c>
      <c r="O139" s="62">
        <v>4</v>
      </c>
      <c r="P139" s="62"/>
      <c r="Q139" s="72">
        <f t="shared" si="17"/>
        <v>4</v>
      </c>
      <c r="R139" s="62"/>
      <c r="S139" s="62"/>
      <c r="T139" s="62"/>
      <c r="U139" s="62"/>
      <c r="V139" s="62"/>
      <c r="W139" s="72" t="str">
        <f t="shared" si="18"/>
        <v>A</v>
      </c>
      <c r="X139" s="62"/>
      <c r="Y139" s="62"/>
      <c r="Z139" s="62"/>
      <c r="AA139" s="62"/>
      <c r="AB139" s="62"/>
      <c r="AC139" s="72" t="str">
        <f t="shared" si="19"/>
        <v>A</v>
      </c>
      <c r="AD139" s="62"/>
      <c r="AE139" s="62"/>
      <c r="AF139" s="62"/>
      <c r="AG139" s="62"/>
      <c r="AH139" s="62"/>
      <c r="AI139" s="72" t="str">
        <f t="shared" si="20"/>
        <v>A</v>
      </c>
      <c r="AJ139" s="62"/>
      <c r="AK139" s="62"/>
      <c r="AL139" s="62"/>
      <c r="AM139" s="62"/>
      <c r="AN139" s="62"/>
      <c r="AO139" s="72" t="str">
        <f t="shared" si="21"/>
        <v>A</v>
      </c>
      <c r="AP139" s="62"/>
      <c r="AQ139" s="62"/>
      <c r="AR139" s="62"/>
      <c r="AS139" s="62"/>
      <c r="AT139" s="62"/>
      <c r="AU139" s="72" t="str">
        <f t="shared" si="22"/>
        <v>A</v>
      </c>
      <c r="AV139" s="62"/>
      <c r="AW139" s="62"/>
      <c r="AX139" s="62">
        <v>5</v>
      </c>
      <c r="AY139" s="62">
        <v>0</v>
      </c>
      <c r="AZ139" s="62">
        <v>4</v>
      </c>
      <c r="BA139" s="72">
        <f t="shared" si="23"/>
        <v>3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2</v>
      </c>
      <c r="M140" s="62"/>
      <c r="N140" s="62">
        <v>2</v>
      </c>
      <c r="O140" s="62">
        <v>1</v>
      </c>
      <c r="P140" s="62"/>
      <c r="Q140" s="72">
        <f t="shared" si="17"/>
        <v>1.6666666666666667</v>
      </c>
      <c r="R140" s="7"/>
      <c r="S140" s="7"/>
      <c r="T140" s="7"/>
      <c r="U140" s="7"/>
      <c r="V140" s="7"/>
      <c r="W140" s="72" t="str">
        <f t="shared" si="18"/>
        <v>A</v>
      </c>
      <c r="X140" s="7"/>
      <c r="Y140" s="7"/>
      <c r="Z140" s="7"/>
      <c r="AA140" s="7"/>
      <c r="AB140" s="7"/>
      <c r="AC140" s="72" t="str">
        <f t="shared" si="19"/>
        <v>A</v>
      </c>
      <c r="AD140" s="7"/>
      <c r="AE140" s="7"/>
      <c r="AF140" s="7"/>
      <c r="AG140" s="7"/>
      <c r="AH140" s="7"/>
      <c r="AI140" s="72" t="str">
        <f t="shared" si="20"/>
        <v>A</v>
      </c>
      <c r="AJ140" s="7"/>
      <c r="AK140" s="7"/>
      <c r="AL140" s="7"/>
      <c r="AM140" s="7"/>
      <c r="AN140" s="7"/>
      <c r="AO140" s="72" t="str">
        <f t="shared" si="21"/>
        <v>A</v>
      </c>
      <c r="AP140" s="7"/>
      <c r="AQ140" s="7"/>
      <c r="AR140" s="7"/>
      <c r="AS140" s="7"/>
      <c r="AT140" s="7"/>
      <c r="AU140" s="72" t="str">
        <f t="shared" si="22"/>
        <v>A</v>
      </c>
      <c r="AV140" s="7"/>
      <c r="AW140" s="7"/>
      <c r="AX140" s="62">
        <v>5</v>
      </c>
      <c r="AY140" s="62">
        <v>0</v>
      </c>
      <c r="AZ140" s="62">
        <v>1</v>
      </c>
      <c r="BA140" s="72">
        <f t="shared" si="23"/>
        <v>2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3</v>
      </c>
      <c r="M141" s="62"/>
      <c r="N141" s="62">
        <v>4</v>
      </c>
      <c r="O141" s="62">
        <v>3</v>
      </c>
      <c r="P141" s="62"/>
      <c r="Q141" s="72">
        <f t="shared" si="17"/>
        <v>3.3333333333333335</v>
      </c>
      <c r="R141" s="62"/>
      <c r="S141" s="62"/>
      <c r="T141" s="62"/>
      <c r="U141" s="62"/>
      <c r="V141" s="62"/>
      <c r="W141" s="72" t="str">
        <f t="shared" si="18"/>
        <v>A</v>
      </c>
      <c r="X141" s="62"/>
      <c r="Y141" s="62"/>
      <c r="Z141" s="62"/>
      <c r="AA141" s="62"/>
      <c r="AB141" s="62"/>
      <c r="AC141" s="72" t="str">
        <f t="shared" si="19"/>
        <v>A</v>
      </c>
      <c r="AD141" s="62"/>
      <c r="AE141" s="62"/>
      <c r="AF141" s="62"/>
      <c r="AG141" s="62"/>
      <c r="AH141" s="62"/>
      <c r="AI141" s="72" t="str">
        <f t="shared" si="20"/>
        <v>A</v>
      </c>
      <c r="AJ141" s="62"/>
      <c r="AK141" s="62"/>
      <c r="AL141" s="62"/>
      <c r="AM141" s="62"/>
      <c r="AN141" s="62"/>
      <c r="AO141" s="72" t="str">
        <f t="shared" si="21"/>
        <v>A</v>
      </c>
      <c r="AP141" s="62"/>
      <c r="AQ141" s="62"/>
      <c r="AR141" s="62"/>
      <c r="AS141" s="62"/>
      <c r="AT141" s="62"/>
      <c r="AU141" s="72" t="str">
        <f t="shared" si="22"/>
        <v>A</v>
      </c>
      <c r="AV141" s="62"/>
      <c r="AW141" s="62"/>
      <c r="AX141" s="62">
        <v>5</v>
      </c>
      <c r="AY141" s="62">
        <v>0</v>
      </c>
      <c r="AZ141" s="62">
        <v>4</v>
      </c>
      <c r="BA141" s="72">
        <f t="shared" si="23"/>
        <v>3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3</v>
      </c>
      <c r="M142" s="62"/>
      <c r="N142" s="62">
        <v>3</v>
      </c>
      <c r="O142" s="62">
        <v>4</v>
      </c>
      <c r="P142" s="62"/>
      <c r="Q142" s="72">
        <f t="shared" si="17"/>
        <v>3.3333333333333335</v>
      </c>
      <c r="R142" s="7"/>
      <c r="S142" s="7"/>
      <c r="T142" s="7"/>
      <c r="U142" s="7"/>
      <c r="V142" s="7"/>
      <c r="W142" s="72" t="str">
        <f t="shared" si="18"/>
        <v>A</v>
      </c>
      <c r="X142" s="7"/>
      <c r="Y142" s="7"/>
      <c r="Z142" s="7"/>
      <c r="AA142" s="7"/>
      <c r="AB142" s="7"/>
      <c r="AC142" s="72" t="str">
        <f t="shared" si="19"/>
        <v>A</v>
      </c>
      <c r="AD142" s="7"/>
      <c r="AE142" s="7"/>
      <c r="AF142" s="7"/>
      <c r="AG142" s="7"/>
      <c r="AH142" s="7"/>
      <c r="AI142" s="72" t="str">
        <f t="shared" si="20"/>
        <v>A</v>
      </c>
      <c r="AJ142" s="7"/>
      <c r="AK142" s="7"/>
      <c r="AL142" s="7"/>
      <c r="AM142" s="7"/>
      <c r="AN142" s="7"/>
      <c r="AO142" s="72" t="str">
        <f t="shared" si="21"/>
        <v>A</v>
      </c>
      <c r="AP142" s="7"/>
      <c r="AQ142" s="7"/>
      <c r="AR142" s="7"/>
      <c r="AS142" s="7"/>
      <c r="AT142" s="7"/>
      <c r="AU142" s="72" t="str">
        <f t="shared" si="22"/>
        <v>A</v>
      </c>
      <c r="AV142" s="7"/>
      <c r="AW142" s="7"/>
      <c r="AX142" s="62">
        <v>5</v>
      </c>
      <c r="AY142" s="62">
        <v>2</v>
      </c>
      <c r="AZ142" s="62">
        <v>4</v>
      </c>
      <c r="BA142" s="72">
        <f t="shared" si="23"/>
        <v>3.6666666666666665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3</v>
      </c>
      <c r="M143" s="62"/>
      <c r="N143" s="62">
        <v>2</v>
      </c>
      <c r="O143" s="62">
        <v>3</v>
      </c>
      <c r="P143" s="62"/>
      <c r="Q143" s="72">
        <f t="shared" si="17"/>
        <v>2.6666666666666665</v>
      </c>
      <c r="R143" s="62"/>
      <c r="S143" s="62"/>
      <c r="T143" s="62"/>
      <c r="U143" s="62"/>
      <c r="V143" s="62"/>
      <c r="W143" s="72" t="str">
        <f t="shared" si="18"/>
        <v>A</v>
      </c>
      <c r="X143" s="62"/>
      <c r="Y143" s="62"/>
      <c r="Z143" s="62"/>
      <c r="AA143" s="62"/>
      <c r="AB143" s="62"/>
      <c r="AC143" s="72" t="str">
        <f t="shared" si="19"/>
        <v>A</v>
      </c>
      <c r="AD143" s="62"/>
      <c r="AE143" s="62"/>
      <c r="AF143" s="62"/>
      <c r="AG143" s="62"/>
      <c r="AH143" s="62"/>
      <c r="AI143" s="72" t="str">
        <f t="shared" si="20"/>
        <v>A</v>
      </c>
      <c r="AJ143" s="62"/>
      <c r="AK143" s="62"/>
      <c r="AL143" s="62"/>
      <c r="AM143" s="62"/>
      <c r="AN143" s="62"/>
      <c r="AO143" s="72" t="str">
        <f t="shared" si="21"/>
        <v>A</v>
      </c>
      <c r="AP143" s="62"/>
      <c r="AQ143" s="62"/>
      <c r="AR143" s="62"/>
      <c r="AS143" s="62"/>
      <c r="AT143" s="62"/>
      <c r="AU143" s="72" t="str">
        <f t="shared" si="22"/>
        <v>A</v>
      </c>
      <c r="AV143" s="62"/>
      <c r="AW143" s="62"/>
      <c r="AX143" s="62">
        <v>5</v>
      </c>
      <c r="AY143" s="62">
        <v>0</v>
      </c>
      <c r="AZ143" s="62">
        <v>3</v>
      </c>
      <c r="BA143" s="72">
        <f t="shared" si="23"/>
        <v>2.6666666666666665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0</v>
      </c>
      <c r="M144" s="62"/>
      <c r="N144" s="62">
        <v>0</v>
      </c>
      <c r="O144" s="62">
        <v>0</v>
      </c>
      <c r="P144" s="62"/>
      <c r="Q144" s="72">
        <f t="shared" si="17"/>
        <v>0</v>
      </c>
      <c r="R144" s="7"/>
      <c r="S144" s="7"/>
      <c r="T144" s="7"/>
      <c r="U144" s="7"/>
      <c r="V144" s="7"/>
      <c r="W144" s="72" t="str">
        <f t="shared" si="18"/>
        <v>A</v>
      </c>
      <c r="X144" s="7"/>
      <c r="Y144" s="7"/>
      <c r="Z144" s="7"/>
      <c r="AA144" s="7"/>
      <c r="AB144" s="7"/>
      <c r="AC144" s="72" t="str">
        <f t="shared" si="19"/>
        <v>A</v>
      </c>
      <c r="AD144" s="7"/>
      <c r="AE144" s="7"/>
      <c r="AF144" s="7"/>
      <c r="AG144" s="7"/>
      <c r="AH144" s="7"/>
      <c r="AI144" s="72" t="str">
        <f t="shared" si="20"/>
        <v>A</v>
      </c>
      <c r="AJ144" s="7"/>
      <c r="AK144" s="7"/>
      <c r="AL144" s="7"/>
      <c r="AM144" s="7"/>
      <c r="AN144" s="7"/>
      <c r="AO144" s="72" t="str">
        <f t="shared" si="21"/>
        <v>A</v>
      </c>
      <c r="AP144" s="7"/>
      <c r="AQ144" s="7"/>
      <c r="AR144" s="7"/>
      <c r="AS144" s="7"/>
      <c r="AT144" s="7"/>
      <c r="AU144" s="72" t="str">
        <f t="shared" si="22"/>
        <v>A</v>
      </c>
      <c r="AV144" s="7"/>
      <c r="AW144" s="7"/>
      <c r="AX144" s="62">
        <v>0</v>
      </c>
      <c r="AY144" s="62">
        <v>0</v>
      </c>
      <c r="AZ144" s="62">
        <v>0</v>
      </c>
      <c r="BA144" s="72">
        <f t="shared" si="23"/>
        <v>0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3</v>
      </c>
      <c r="M145" s="62"/>
      <c r="N145" s="62">
        <v>4</v>
      </c>
      <c r="O145" s="62">
        <v>3</v>
      </c>
      <c r="P145" s="62"/>
      <c r="Q145" s="72">
        <f t="shared" si="17"/>
        <v>3.3333333333333335</v>
      </c>
      <c r="R145" s="62"/>
      <c r="S145" s="62"/>
      <c r="T145" s="62"/>
      <c r="U145" s="62"/>
      <c r="V145" s="62"/>
      <c r="W145" s="72" t="str">
        <f t="shared" si="18"/>
        <v>A</v>
      </c>
      <c r="X145" s="62"/>
      <c r="Y145" s="62"/>
      <c r="Z145" s="62"/>
      <c r="AA145" s="62"/>
      <c r="AB145" s="62"/>
      <c r="AC145" s="72" t="str">
        <f t="shared" si="19"/>
        <v>A</v>
      </c>
      <c r="AD145" s="62"/>
      <c r="AE145" s="62"/>
      <c r="AF145" s="62"/>
      <c r="AG145" s="62"/>
      <c r="AH145" s="62"/>
      <c r="AI145" s="72" t="str">
        <f t="shared" si="20"/>
        <v>A</v>
      </c>
      <c r="AJ145" s="62"/>
      <c r="AK145" s="62"/>
      <c r="AL145" s="62"/>
      <c r="AM145" s="62"/>
      <c r="AN145" s="62"/>
      <c r="AO145" s="72" t="str">
        <f t="shared" si="21"/>
        <v>A</v>
      </c>
      <c r="AP145" s="62"/>
      <c r="AQ145" s="62"/>
      <c r="AR145" s="62"/>
      <c r="AS145" s="62"/>
      <c r="AT145" s="62"/>
      <c r="AU145" s="72" t="str">
        <f t="shared" si="22"/>
        <v>A</v>
      </c>
      <c r="AV145" s="62"/>
      <c r="AW145" s="62"/>
      <c r="AX145" s="62">
        <v>5</v>
      </c>
      <c r="AY145" s="62">
        <v>0</v>
      </c>
      <c r="AZ145" s="62">
        <v>2</v>
      </c>
      <c r="BA145" s="72">
        <f t="shared" si="23"/>
        <v>2.3333333333333335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3</v>
      </c>
      <c r="M146" s="62"/>
      <c r="N146" s="62">
        <v>4</v>
      </c>
      <c r="O146" s="62">
        <v>4</v>
      </c>
      <c r="P146" s="62"/>
      <c r="Q146" s="72">
        <f t="shared" si="17"/>
        <v>3.6666666666666665</v>
      </c>
      <c r="R146" s="7"/>
      <c r="S146" s="7"/>
      <c r="T146" s="7"/>
      <c r="U146" s="7"/>
      <c r="V146" s="7"/>
      <c r="W146" s="72" t="str">
        <f t="shared" si="18"/>
        <v>A</v>
      </c>
      <c r="X146" s="7"/>
      <c r="Y146" s="7"/>
      <c r="Z146" s="7"/>
      <c r="AA146" s="7"/>
      <c r="AB146" s="7"/>
      <c r="AC146" s="72" t="str">
        <f t="shared" si="19"/>
        <v>A</v>
      </c>
      <c r="AD146" s="7"/>
      <c r="AE146" s="7"/>
      <c r="AF146" s="7"/>
      <c r="AG146" s="7"/>
      <c r="AH146" s="7"/>
      <c r="AI146" s="72" t="str">
        <f t="shared" si="20"/>
        <v>A</v>
      </c>
      <c r="AJ146" s="7"/>
      <c r="AK146" s="7"/>
      <c r="AL146" s="7"/>
      <c r="AM146" s="7"/>
      <c r="AN146" s="7"/>
      <c r="AO146" s="72" t="str">
        <f t="shared" si="21"/>
        <v>A</v>
      </c>
      <c r="AP146" s="7"/>
      <c r="AQ146" s="7"/>
      <c r="AR146" s="7"/>
      <c r="AS146" s="7"/>
      <c r="AT146" s="7"/>
      <c r="AU146" s="72" t="str">
        <f t="shared" si="22"/>
        <v>A</v>
      </c>
      <c r="AV146" s="7"/>
      <c r="AW146" s="7"/>
      <c r="AX146" s="62">
        <v>5</v>
      </c>
      <c r="AY146" s="62">
        <v>0</v>
      </c>
      <c r="AZ146" s="62">
        <v>4</v>
      </c>
      <c r="BA146" s="72">
        <f t="shared" si="23"/>
        <v>3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3</v>
      </c>
      <c r="M147" s="62"/>
      <c r="N147" s="62">
        <v>3</v>
      </c>
      <c r="O147" s="62">
        <v>2</v>
      </c>
      <c r="P147" s="62"/>
      <c r="Q147" s="72">
        <f t="shared" si="17"/>
        <v>2.6666666666666665</v>
      </c>
      <c r="R147" s="62"/>
      <c r="S147" s="62"/>
      <c r="T147" s="62"/>
      <c r="U147" s="62"/>
      <c r="V147" s="62"/>
      <c r="W147" s="72" t="str">
        <f t="shared" si="18"/>
        <v>A</v>
      </c>
      <c r="X147" s="62"/>
      <c r="Y147" s="62"/>
      <c r="Z147" s="62"/>
      <c r="AA147" s="62"/>
      <c r="AB147" s="62"/>
      <c r="AC147" s="72" t="str">
        <f t="shared" si="19"/>
        <v>A</v>
      </c>
      <c r="AD147" s="62"/>
      <c r="AE147" s="62"/>
      <c r="AF147" s="62"/>
      <c r="AG147" s="62"/>
      <c r="AH147" s="62"/>
      <c r="AI147" s="72" t="str">
        <f t="shared" si="20"/>
        <v>A</v>
      </c>
      <c r="AJ147" s="62"/>
      <c r="AK147" s="62"/>
      <c r="AL147" s="62"/>
      <c r="AM147" s="62"/>
      <c r="AN147" s="62"/>
      <c r="AO147" s="72" t="str">
        <f t="shared" si="21"/>
        <v>A</v>
      </c>
      <c r="AP147" s="62"/>
      <c r="AQ147" s="62"/>
      <c r="AR147" s="62"/>
      <c r="AS147" s="62"/>
      <c r="AT147" s="62"/>
      <c r="AU147" s="72" t="str">
        <f t="shared" si="22"/>
        <v>A</v>
      </c>
      <c r="AV147" s="62"/>
      <c r="AW147" s="62"/>
      <c r="AX147" s="62">
        <v>5</v>
      </c>
      <c r="AY147" s="62">
        <v>2</v>
      </c>
      <c r="AZ147" s="62">
        <v>2</v>
      </c>
      <c r="BA147" s="72">
        <f t="shared" si="23"/>
        <v>3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4</v>
      </c>
      <c r="M148" s="62"/>
      <c r="N148" s="62">
        <v>2</v>
      </c>
      <c r="O148" s="62">
        <v>3</v>
      </c>
      <c r="P148" s="62"/>
      <c r="Q148" s="72">
        <f t="shared" si="17"/>
        <v>3</v>
      </c>
      <c r="R148" s="7"/>
      <c r="S148" s="7"/>
      <c r="T148" s="7"/>
      <c r="U148" s="7"/>
      <c r="V148" s="7"/>
      <c r="W148" s="72" t="str">
        <f t="shared" si="18"/>
        <v>A</v>
      </c>
      <c r="X148" s="7"/>
      <c r="Y148" s="7"/>
      <c r="Z148" s="7"/>
      <c r="AA148" s="7"/>
      <c r="AB148" s="7"/>
      <c r="AC148" s="72" t="str">
        <f t="shared" si="19"/>
        <v>A</v>
      </c>
      <c r="AD148" s="7"/>
      <c r="AE148" s="7"/>
      <c r="AF148" s="7"/>
      <c r="AG148" s="7"/>
      <c r="AH148" s="7"/>
      <c r="AI148" s="72" t="str">
        <f t="shared" si="20"/>
        <v>A</v>
      </c>
      <c r="AJ148" s="7"/>
      <c r="AK148" s="7"/>
      <c r="AL148" s="7"/>
      <c r="AM148" s="7"/>
      <c r="AN148" s="7"/>
      <c r="AO148" s="72" t="str">
        <f t="shared" si="21"/>
        <v>A</v>
      </c>
      <c r="AP148" s="7"/>
      <c r="AQ148" s="7"/>
      <c r="AR148" s="7"/>
      <c r="AS148" s="7"/>
      <c r="AT148" s="7"/>
      <c r="AU148" s="72" t="str">
        <f t="shared" si="22"/>
        <v>A</v>
      </c>
      <c r="AV148" s="7"/>
      <c r="AW148" s="7"/>
      <c r="AX148" s="62">
        <v>5</v>
      </c>
      <c r="AY148" s="62">
        <v>2</v>
      </c>
      <c r="AZ148" s="62">
        <v>3</v>
      </c>
      <c r="BA148" s="72">
        <f t="shared" si="23"/>
        <v>3.3333333333333335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5</v>
      </c>
      <c r="M149" s="62"/>
      <c r="N149" s="62">
        <v>4</v>
      </c>
      <c r="O149" s="62">
        <v>5</v>
      </c>
      <c r="P149" s="62"/>
      <c r="Q149" s="72">
        <f t="shared" si="17"/>
        <v>4.666666666666667</v>
      </c>
      <c r="R149" s="62"/>
      <c r="S149" s="62"/>
      <c r="T149" s="62"/>
      <c r="U149" s="62"/>
      <c r="V149" s="62"/>
      <c r="W149" s="72" t="str">
        <f t="shared" si="18"/>
        <v>A</v>
      </c>
      <c r="X149" s="62"/>
      <c r="Y149" s="62"/>
      <c r="Z149" s="62"/>
      <c r="AA149" s="62"/>
      <c r="AB149" s="62"/>
      <c r="AC149" s="72" t="str">
        <f t="shared" si="19"/>
        <v>A</v>
      </c>
      <c r="AD149" s="62"/>
      <c r="AE149" s="62"/>
      <c r="AF149" s="62"/>
      <c r="AG149" s="62"/>
      <c r="AH149" s="62"/>
      <c r="AI149" s="72" t="str">
        <f t="shared" si="20"/>
        <v>A</v>
      </c>
      <c r="AJ149" s="62"/>
      <c r="AK149" s="62"/>
      <c r="AL149" s="62"/>
      <c r="AM149" s="62"/>
      <c r="AN149" s="62"/>
      <c r="AO149" s="72" t="str">
        <f t="shared" si="21"/>
        <v>A</v>
      </c>
      <c r="AP149" s="62"/>
      <c r="AQ149" s="62"/>
      <c r="AR149" s="62"/>
      <c r="AS149" s="62"/>
      <c r="AT149" s="62"/>
      <c r="AU149" s="72" t="str">
        <f t="shared" si="22"/>
        <v>A</v>
      </c>
      <c r="AV149" s="62"/>
      <c r="AW149" s="62"/>
      <c r="AX149" s="62">
        <v>5</v>
      </c>
      <c r="AY149" s="62">
        <v>0</v>
      </c>
      <c r="AZ149" s="62">
        <v>5</v>
      </c>
      <c r="BA149" s="72">
        <f t="shared" si="23"/>
        <v>3.3333333333333335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4</v>
      </c>
      <c r="M150" s="62"/>
      <c r="N150" s="62">
        <v>4</v>
      </c>
      <c r="O150" s="62">
        <v>4</v>
      </c>
      <c r="P150" s="62"/>
      <c r="Q150" s="72">
        <f t="shared" si="17"/>
        <v>4</v>
      </c>
      <c r="R150" s="7"/>
      <c r="S150" s="7"/>
      <c r="T150" s="7"/>
      <c r="U150" s="7"/>
      <c r="V150" s="7"/>
      <c r="W150" s="72" t="str">
        <f t="shared" si="18"/>
        <v>A</v>
      </c>
      <c r="X150" s="7"/>
      <c r="Y150" s="7"/>
      <c r="Z150" s="7"/>
      <c r="AA150" s="7"/>
      <c r="AB150" s="7"/>
      <c r="AC150" s="72" t="str">
        <f t="shared" si="19"/>
        <v>A</v>
      </c>
      <c r="AD150" s="7"/>
      <c r="AE150" s="7"/>
      <c r="AF150" s="7"/>
      <c r="AG150" s="7"/>
      <c r="AH150" s="7"/>
      <c r="AI150" s="72" t="str">
        <f t="shared" si="20"/>
        <v>A</v>
      </c>
      <c r="AJ150" s="7"/>
      <c r="AK150" s="7"/>
      <c r="AL150" s="7"/>
      <c r="AM150" s="7"/>
      <c r="AN150" s="7"/>
      <c r="AO150" s="72" t="str">
        <f t="shared" si="21"/>
        <v>A</v>
      </c>
      <c r="AP150" s="7"/>
      <c r="AQ150" s="7"/>
      <c r="AR150" s="7"/>
      <c r="AS150" s="7"/>
      <c r="AT150" s="7"/>
      <c r="AU150" s="72" t="str">
        <f t="shared" si="22"/>
        <v>A</v>
      </c>
      <c r="AV150" s="7"/>
      <c r="AW150" s="7"/>
      <c r="AX150" s="62">
        <v>5</v>
      </c>
      <c r="AY150" s="62">
        <v>2</v>
      </c>
      <c r="AZ150" s="62">
        <v>4</v>
      </c>
      <c r="BA150" s="72">
        <f t="shared" si="23"/>
        <v>3.6666666666666665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0</v>
      </c>
      <c r="M151" s="62"/>
      <c r="N151" s="62">
        <v>0</v>
      </c>
      <c r="O151" s="62">
        <v>0</v>
      </c>
      <c r="P151" s="62"/>
      <c r="Q151" s="72">
        <f t="shared" si="17"/>
        <v>0</v>
      </c>
      <c r="R151" s="62"/>
      <c r="S151" s="62"/>
      <c r="T151" s="62"/>
      <c r="U151" s="62"/>
      <c r="V151" s="62"/>
      <c r="W151" s="72" t="str">
        <f t="shared" si="18"/>
        <v>A</v>
      </c>
      <c r="X151" s="62"/>
      <c r="Y151" s="62"/>
      <c r="Z151" s="62"/>
      <c r="AA151" s="62"/>
      <c r="AB151" s="62"/>
      <c r="AC151" s="72" t="str">
        <f t="shared" si="19"/>
        <v>A</v>
      </c>
      <c r="AD151" s="62"/>
      <c r="AE151" s="62"/>
      <c r="AF151" s="62"/>
      <c r="AG151" s="62"/>
      <c r="AH151" s="62"/>
      <c r="AI151" s="72" t="str">
        <f t="shared" si="20"/>
        <v>A</v>
      </c>
      <c r="AJ151" s="62"/>
      <c r="AK151" s="62"/>
      <c r="AL151" s="62"/>
      <c r="AM151" s="62"/>
      <c r="AN151" s="62"/>
      <c r="AO151" s="72" t="str">
        <f t="shared" si="21"/>
        <v>A</v>
      </c>
      <c r="AP151" s="62"/>
      <c r="AQ151" s="62"/>
      <c r="AR151" s="62"/>
      <c r="AS151" s="62"/>
      <c r="AT151" s="62"/>
      <c r="AU151" s="72" t="str">
        <f t="shared" si="22"/>
        <v>A</v>
      </c>
      <c r="AV151" s="62"/>
      <c r="AW151" s="62"/>
      <c r="AX151" s="62">
        <v>0</v>
      </c>
      <c r="AY151" s="62">
        <v>0</v>
      </c>
      <c r="AZ151" s="62">
        <v>0</v>
      </c>
      <c r="BA151" s="72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/>
      <c r="N152" s="62">
        <v>2</v>
      </c>
      <c r="O152" s="62">
        <v>1</v>
      </c>
      <c r="P152" s="62"/>
      <c r="Q152" s="72">
        <f t="shared" si="17"/>
        <v>1.6666666666666667</v>
      </c>
      <c r="R152" s="7"/>
      <c r="S152" s="7"/>
      <c r="T152" s="7"/>
      <c r="U152" s="7"/>
      <c r="V152" s="7"/>
      <c r="W152" s="72" t="str">
        <f t="shared" si="18"/>
        <v>A</v>
      </c>
      <c r="X152" s="7"/>
      <c r="Y152" s="7"/>
      <c r="Z152" s="7"/>
      <c r="AA152" s="7"/>
      <c r="AB152" s="7"/>
      <c r="AC152" s="72" t="str">
        <f t="shared" si="19"/>
        <v>A</v>
      </c>
      <c r="AD152" s="7"/>
      <c r="AE152" s="7"/>
      <c r="AF152" s="7"/>
      <c r="AG152" s="7"/>
      <c r="AH152" s="7"/>
      <c r="AI152" s="72" t="str">
        <f t="shared" si="20"/>
        <v>A</v>
      </c>
      <c r="AJ152" s="7"/>
      <c r="AK152" s="7"/>
      <c r="AL152" s="7"/>
      <c r="AM152" s="7"/>
      <c r="AN152" s="7"/>
      <c r="AO152" s="72" t="str">
        <f t="shared" si="21"/>
        <v>A</v>
      </c>
      <c r="AP152" s="7"/>
      <c r="AQ152" s="7"/>
      <c r="AR152" s="7"/>
      <c r="AS152" s="7"/>
      <c r="AT152" s="7"/>
      <c r="AU152" s="72" t="str">
        <f t="shared" si="22"/>
        <v>A</v>
      </c>
      <c r="AV152" s="7"/>
      <c r="AW152" s="7"/>
      <c r="AX152" s="62">
        <v>5</v>
      </c>
      <c r="AY152" s="62">
        <v>2</v>
      </c>
      <c r="AZ152" s="62">
        <v>1</v>
      </c>
      <c r="BA152" s="72">
        <f t="shared" si="23"/>
        <v>2.6666666666666665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3</v>
      </c>
      <c r="M153" s="62"/>
      <c r="N153" s="62">
        <v>3</v>
      </c>
      <c r="O153" s="62">
        <v>2</v>
      </c>
      <c r="P153" s="62"/>
      <c r="Q153" s="72">
        <f t="shared" si="17"/>
        <v>2.6666666666666665</v>
      </c>
      <c r="R153" s="62"/>
      <c r="S153" s="62"/>
      <c r="T153" s="62"/>
      <c r="U153" s="62"/>
      <c r="V153" s="62"/>
      <c r="W153" s="72" t="str">
        <f t="shared" si="18"/>
        <v>A</v>
      </c>
      <c r="X153" s="62"/>
      <c r="Y153" s="62"/>
      <c r="Z153" s="62"/>
      <c r="AA153" s="62"/>
      <c r="AB153" s="62"/>
      <c r="AC153" s="72" t="str">
        <f t="shared" si="19"/>
        <v>A</v>
      </c>
      <c r="AD153" s="62"/>
      <c r="AE153" s="62"/>
      <c r="AF153" s="62"/>
      <c r="AG153" s="62"/>
      <c r="AH153" s="62"/>
      <c r="AI153" s="72" t="str">
        <f t="shared" si="20"/>
        <v>A</v>
      </c>
      <c r="AJ153" s="62"/>
      <c r="AK153" s="62"/>
      <c r="AL153" s="62"/>
      <c r="AM153" s="62"/>
      <c r="AN153" s="62"/>
      <c r="AO153" s="72" t="str">
        <f t="shared" si="21"/>
        <v>A</v>
      </c>
      <c r="AP153" s="62"/>
      <c r="AQ153" s="62"/>
      <c r="AR153" s="62"/>
      <c r="AS153" s="62"/>
      <c r="AT153" s="62"/>
      <c r="AU153" s="72" t="str">
        <f t="shared" si="22"/>
        <v>A</v>
      </c>
      <c r="AV153" s="62"/>
      <c r="AW153" s="62"/>
      <c r="AX153" s="62">
        <v>5</v>
      </c>
      <c r="AY153" s="62">
        <v>0</v>
      </c>
      <c r="AZ153" s="62">
        <v>2</v>
      </c>
      <c r="BA153" s="72">
        <f t="shared" si="23"/>
        <v>2.3333333333333335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/>
      <c r="N154" s="62">
        <v>3</v>
      </c>
      <c r="O154" s="62">
        <v>2</v>
      </c>
      <c r="P154" s="62"/>
      <c r="Q154" s="72">
        <f t="shared" si="17"/>
        <v>2.6666666666666665</v>
      </c>
      <c r="R154" s="7"/>
      <c r="S154" s="7"/>
      <c r="T154" s="7"/>
      <c r="U154" s="7"/>
      <c r="V154" s="7"/>
      <c r="W154" s="72" t="str">
        <f t="shared" si="18"/>
        <v>A</v>
      </c>
      <c r="X154" s="7"/>
      <c r="Y154" s="7"/>
      <c r="Z154" s="7"/>
      <c r="AA154" s="7"/>
      <c r="AB154" s="7"/>
      <c r="AC154" s="72" t="str">
        <f t="shared" si="19"/>
        <v>A</v>
      </c>
      <c r="AD154" s="7"/>
      <c r="AE154" s="7"/>
      <c r="AF154" s="7"/>
      <c r="AG154" s="7"/>
      <c r="AH154" s="7"/>
      <c r="AI154" s="72" t="str">
        <f t="shared" si="20"/>
        <v>A</v>
      </c>
      <c r="AJ154" s="7"/>
      <c r="AK154" s="7"/>
      <c r="AL154" s="7"/>
      <c r="AM154" s="7"/>
      <c r="AN154" s="7"/>
      <c r="AO154" s="72" t="str">
        <f t="shared" si="21"/>
        <v>A</v>
      </c>
      <c r="AP154" s="7"/>
      <c r="AQ154" s="7"/>
      <c r="AR154" s="7"/>
      <c r="AS154" s="7"/>
      <c r="AT154" s="7"/>
      <c r="AU154" s="72" t="str">
        <f t="shared" si="22"/>
        <v>A</v>
      </c>
      <c r="AV154" s="7"/>
      <c r="AW154" s="7"/>
      <c r="AX154" s="62">
        <v>5</v>
      </c>
      <c r="AY154" s="62">
        <v>0</v>
      </c>
      <c r="AZ154" s="62">
        <v>2</v>
      </c>
      <c r="BA154" s="72">
        <f t="shared" si="23"/>
        <v>2.3333333333333335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3</v>
      </c>
      <c r="M155" s="62"/>
      <c r="N155" s="62">
        <v>2</v>
      </c>
      <c r="O155" s="62">
        <v>3</v>
      </c>
      <c r="P155" s="62"/>
      <c r="Q155" s="72">
        <f t="shared" si="17"/>
        <v>2.6666666666666665</v>
      </c>
      <c r="R155" s="62"/>
      <c r="S155" s="62"/>
      <c r="T155" s="62"/>
      <c r="U155" s="62"/>
      <c r="V155" s="62"/>
      <c r="W155" s="72" t="str">
        <f t="shared" si="18"/>
        <v>A</v>
      </c>
      <c r="X155" s="62"/>
      <c r="Y155" s="62"/>
      <c r="Z155" s="62"/>
      <c r="AA155" s="62"/>
      <c r="AB155" s="62"/>
      <c r="AC155" s="72" t="str">
        <f t="shared" si="19"/>
        <v>A</v>
      </c>
      <c r="AD155" s="62"/>
      <c r="AE155" s="62"/>
      <c r="AF155" s="62"/>
      <c r="AG155" s="62"/>
      <c r="AH155" s="62"/>
      <c r="AI155" s="72" t="str">
        <f t="shared" si="20"/>
        <v>A</v>
      </c>
      <c r="AJ155" s="62"/>
      <c r="AK155" s="62"/>
      <c r="AL155" s="62"/>
      <c r="AM155" s="62"/>
      <c r="AN155" s="62"/>
      <c r="AO155" s="72" t="str">
        <f t="shared" si="21"/>
        <v>A</v>
      </c>
      <c r="AP155" s="62"/>
      <c r="AQ155" s="62"/>
      <c r="AR155" s="62"/>
      <c r="AS155" s="62"/>
      <c r="AT155" s="62"/>
      <c r="AU155" s="72" t="str">
        <f t="shared" si="22"/>
        <v>A</v>
      </c>
      <c r="AV155" s="62"/>
      <c r="AW155" s="62"/>
      <c r="AX155" s="62">
        <v>5</v>
      </c>
      <c r="AY155" s="62">
        <v>2</v>
      </c>
      <c r="AZ155" s="62">
        <v>3</v>
      </c>
      <c r="BA155" s="72">
        <f t="shared" si="23"/>
        <v>3.3333333333333335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4</v>
      </c>
      <c r="M156" s="62"/>
      <c r="N156" s="62">
        <v>4</v>
      </c>
      <c r="O156" s="62">
        <v>4</v>
      </c>
      <c r="P156" s="62"/>
      <c r="Q156" s="72">
        <f t="shared" si="17"/>
        <v>4</v>
      </c>
      <c r="R156" s="7"/>
      <c r="S156" s="7"/>
      <c r="T156" s="7"/>
      <c r="U156" s="7"/>
      <c r="V156" s="7"/>
      <c r="W156" s="72" t="str">
        <f t="shared" si="18"/>
        <v>A</v>
      </c>
      <c r="X156" s="7"/>
      <c r="Y156" s="7"/>
      <c r="Z156" s="7"/>
      <c r="AA156" s="7"/>
      <c r="AB156" s="7"/>
      <c r="AC156" s="72" t="str">
        <f t="shared" si="19"/>
        <v>A</v>
      </c>
      <c r="AD156" s="7"/>
      <c r="AE156" s="7"/>
      <c r="AF156" s="7"/>
      <c r="AG156" s="7"/>
      <c r="AH156" s="7"/>
      <c r="AI156" s="72" t="str">
        <f t="shared" si="20"/>
        <v>A</v>
      </c>
      <c r="AJ156" s="7"/>
      <c r="AK156" s="7"/>
      <c r="AL156" s="7"/>
      <c r="AM156" s="7"/>
      <c r="AN156" s="7"/>
      <c r="AO156" s="72" t="str">
        <f t="shared" si="21"/>
        <v>A</v>
      </c>
      <c r="AP156" s="7"/>
      <c r="AQ156" s="7"/>
      <c r="AR156" s="7"/>
      <c r="AS156" s="7"/>
      <c r="AT156" s="7"/>
      <c r="AU156" s="72" t="str">
        <f t="shared" si="22"/>
        <v>A</v>
      </c>
      <c r="AV156" s="7"/>
      <c r="AW156" s="7"/>
      <c r="AX156" s="62">
        <v>5</v>
      </c>
      <c r="AY156" s="62">
        <v>0</v>
      </c>
      <c r="AZ156" s="62">
        <v>4</v>
      </c>
      <c r="BA156" s="72">
        <f t="shared" si="23"/>
        <v>3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4</v>
      </c>
      <c r="M157" s="62"/>
      <c r="N157" s="62">
        <v>4</v>
      </c>
      <c r="O157" s="62">
        <v>4</v>
      </c>
      <c r="P157" s="62"/>
      <c r="Q157" s="72">
        <f t="shared" si="17"/>
        <v>4</v>
      </c>
      <c r="R157" s="62"/>
      <c r="S157" s="62"/>
      <c r="T157" s="62"/>
      <c r="U157" s="62"/>
      <c r="V157" s="62"/>
      <c r="W157" s="72" t="str">
        <f t="shared" si="18"/>
        <v>A</v>
      </c>
      <c r="X157" s="62"/>
      <c r="Y157" s="62"/>
      <c r="Z157" s="62"/>
      <c r="AA157" s="62"/>
      <c r="AB157" s="62"/>
      <c r="AC157" s="72" t="str">
        <f t="shared" si="19"/>
        <v>A</v>
      </c>
      <c r="AD157" s="62"/>
      <c r="AE157" s="62"/>
      <c r="AF157" s="62"/>
      <c r="AG157" s="62"/>
      <c r="AH157" s="62"/>
      <c r="AI157" s="72" t="str">
        <f t="shared" si="20"/>
        <v>A</v>
      </c>
      <c r="AJ157" s="62"/>
      <c r="AK157" s="62"/>
      <c r="AL157" s="62"/>
      <c r="AM157" s="62"/>
      <c r="AN157" s="62"/>
      <c r="AO157" s="72" t="str">
        <f t="shared" si="21"/>
        <v>A</v>
      </c>
      <c r="AP157" s="62"/>
      <c r="AQ157" s="62"/>
      <c r="AR157" s="62"/>
      <c r="AS157" s="62"/>
      <c r="AT157" s="62"/>
      <c r="AU157" s="72" t="str">
        <f t="shared" si="22"/>
        <v>A</v>
      </c>
      <c r="AV157" s="62"/>
      <c r="AW157" s="62"/>
      <c r="AX157" s="62">
        <v>5</v>
      </c>
      <c r="AY157" s="62">
        <v>0</v>
      </c>
      <c r="AZ157" s="62">
        <v>4</v>
      </c>
      <c r="BA157" s="72">
        <f t="shared" si="23"/>
        <v>3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3</v>
      </c>
      <c r="M158" s="62"/>
      <c r="N158" s="62">
        <v>4</v>
      </c>
      <c r="O158" s="62">
        <v>2</v>
      </c>
      <c r="P158" s="62"/>
      <c r="Q158" s="72">
        <f t="shared" si="17"/>
        <v>3</v>
      </c>
      <c r="R158" s="7"/>
      <c r="S158" s="7"/>
      <c r="T158" s="7"/>
      <c r="U158" s="7"/>
      <c r="V158" s="7"/>
      <c r="W158" s="72" t="str">
        <f t="shared" si="18"/>
        <v>A</v>
      </c>
      <c r="X158" s="7"/>
      <c r="Y158" s="7"/>
      <c r="Z158" s="7"/>
      <c r="AA158" s="7"/>
      <c r="AB158" s="7"/>
      <c r="AC158" s="72" t="str">
        <f t="shared" si="19"/>
        <v>A</v>
      </c>
      <c r="AD158" s="7"/>
      <c r="AE158" s="7"/>
      <c r="AF158" s="7"/>
      <c r="AG158" s="7"/>
      <c r="AH158" s="7"/>
      <c r="AI158" s="72" t="str">
        <f t="shared" si="20"/>
        <v>A</v>
      </c>
      <c r="AJ158" s="7"/>
      <c r="AK158" s="7"/>
      <c r="AL158" s="7"/>
      <c r="AM158" s="7"/>
      <c r="AN158" s="7"/>
      <c r="AO158" s="72" t="str">
        <f t="shared" si="21"/>
        <v>A</v>
      </c>
      <c r="AP158" s="7"/>
      <c r="AQ158" s="7"/>
      <c r="AR158" s="7"/>
      <c r="AS158" s="7"/>
      <c r="AT158" s="7"/>
      <c r="AU158" s="72" t="str">
        <f t="shared" si="22"/>
        <v>A</v>
      </c>
      <c r="AV158" s="7"/>
      <c r="AW158" s="7"/>
      <c r="AX158" s="62">
        <v>5</v>
      </c>
      <c r="AY158" s="62">
        <v>0</v>
      </c>
      <c r="AZ158" s="62">
        <v>2</v>
      </c>
      <c r="BA158" s="72">
        <f t="shared" si="23"/>
        <v>2.3333333333333335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3</v>
      </c>
      <c r="M159" s="62"/>
      <c r="N159" s="62">
        <v>2</v>
      </c>
      <c r="O159" s="62">
        <v>3</v>
      </c>
      <c r="P159" s="62"/>
      <c r="Q159" s="72">
        <f t="shared" si="17"/>
        <v>2.6666666666666665</v>
      </c>
      <c r="R159" s="62"/>
      <c r="S159" s="62"/>
      <c r="T159" s="62"/>
      <c r="U159" s="62"/>
      <c r="V159" s="62"/>
      <c r="W159" s="72" t="str">
        <f t="shared" si="18"/>
        <v>A</v>
      </c>
      <c r="X159" s="62"/>
      <c r="Y159" s="62"/>
      <c r="Z159" s="62"/>
      <c r="AA159" s="62"/>
      <c r="AB159" s="62"/>
      <c r="AC159" s="72" t="str">
        <f t="shared" si="19"/>
        <v>A</v>
      </c>
      <c r="AD159" s="62"/>
      <c r="AE159" s="62"/>
      <c r="AF159" s="62"/>
      <c r="AG159" s="62"/>
      <c r="AH159" s="62"/>
      <c r="AI159" s="72" t="str">
        <f t="shared" si="20"/>
        <v>A</v>
      </c>
      <c r="AJ159" s="62"/>
      <c r="AK159" s="62"/>
      <c r="AL159" s="62"/>
      <c r="AM159" s="62"/>
      <c r="AN159" s="62"/>
      <c r="AO159" s="72" t="str">
        <f t="shared" si="21"/>
        <v>A</v>
      </c>
      <c r="AP159" s="62"/>
      <c r="AQ159" s="62"/>
      <c r="AR159" s="62"/>
      <c r="AS159" s="62"/>
      <c r="AT159" s="62"/>
      <c r="AU159" s="72" t="str">
        <f t="shared" si="22"/>
        <v>A</v>
      </c>
      <c r="AV159" s="62"/>
      <c r="AW159" s="62"/>
      <c r="AX159" s="62">
        <v>5</v>
      </c>
      <c r="AY159" s="62">
        <v>0</v>
      </c>
      <c r="AZ159" s="62">
        <v>2</v>
      </c>
      <c r="BA159" s="72">
        <f t="shared" si="23"/>
        <v>2.3333333333333335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2</v>
      </c>
      <c r="M160" s="62"/>
      <c r="N160" s="62">
        <v>2</v>
      </c>
      <c r="O160" s="62">
        <v>2</v>
      </c>
      <c r="P160" s="62"/>
      <c r="Q160" s="72">
        <f t="shared" si="17"/>
        <v>2</v>
      </c>
      <c r="R160" s="7"/>
      <c r="S160" s="7"/>
      <c r="T160" s="7"/>
      <c r="U160" s="7"/>
      <c r="V160" s="7"/>
      <c r="W160" s="72" t="str">
        <f t="shared" si="18"/>
        <v>A</v>
      </c>
      <c r="X160" s="7"/>
      <c r="Y160" s="7"/>
      <c r="Z160" s="7"/>
      <c r="AA160" s="7"/>
      <c r="AB160" s="7"/>
      <c r="AC160" s="72" t="str">
        <f t="shared" si="19"/>
        <v>A</v>
      </c>
      <c r="AD160" s="7"/>
      <c r="AE160" s="7"/>
      <c r="AF160" s="7"/>
      <c r="AG160" s="7"/>
      <c r="AH160" s="7"/>
      <c r="AI160" s="72" t="str">
        <f t="shared" si="20"/>
        <v>A</v>
      </c>
      <c r="AJ160" s="7"/>
      <c r="AK160" s="7"/>
      <c r="AL160" s="7"/>
      <c r="AM160" s="7"/>
      <c r="AN160" s="7"/>
      <c r="AO160" s="72" t="str">
        <f t="shared" si="21"/>
        <v>A</v>
      </c>
      <c r="AP160" s="7"/>
      <c r="AQ160" s="7"/>
      <c r="AR160" s="7"/>
      <c r="AS160" s="7"/>
      <c r="AT160" s="7"/>
      <c r="AU160" s="72" t="str">
        <f t="shared" si="22"/>
        <v>A</v>
      </c>
      <c r="AV160" s="7"/>
      <c r="AW160" s="7"/>
      <c r="AX160" s="62">
        <v>2</v>
      </c>
      <c r="AY160" s="62">
        <v>2</v>
      </c>
      <c r="AZ160" s="62">
        <v>2</v>
      </c>
      <c r="BA160" s="72">
        <f t="shared" si="23"/>
        <v>2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3</v>
      </c>
      <c r="M161" s="62"/>
      <c r="N161" s="62">
        <v>3</v>
      </c>
      <c r="O161" s="62">
        <v>3</v>
      </c>
      <c r="P161" s="62"/>
      <c r="Q161" s="72">
        <f t="shared" si="17"/>
        <v>3</v>
      </c>
      <c r="R161" s="62"/>
      <c r="S161" s="62"/>
      <c r="T161" s="62"/>
      <c r="U161" s="62"/>
      <c r="V161" s="62"/>
      <c r="W161" s="72" t="str">
        <f t="shared" si="18"/>
        <v>A</v>
      </c>
      <c r="X161" s="62"/>
      <c r="Y161" s="62"/>
      <c r="Z161" s="62"/>
      <c r="AA161" s="62"/>
      <c r="AB161" s="62"/>
      <c r="AC161" s="72" t="str">
        <f t="shared" si="19"/>
        <v>A</v>
      </c>
      <c r="AD161" s="62"/>
      <c r="AE161" s="62"/>
      <c r="AF161" s="62"/>
      <c r="AG161" s="62"/>
      <c r="AH161" s="62"/>
      <c r="AI161" s="72" t="str">
        <f t="shared" si="20"/>
        <v>A</v>
      </c>
      <c r="AJ161" s="62"/>
      <c r="AK161" s="62"/>
      <c r="AL161" s="62"/>
      <c r="AM161" s="62"/>
      <c r="AN161" s="62"/>
      <c r="AO161" s="72" t="str">
        <f t="shared" si="21"/>
        <v>A</v>
      </c>
      <c r="AP161" s="62"/>
      <c r="AQ161" s="62"/>
      <c r="AR161" s="62"/>
      <c r="AS161" s="62"/>
      <c r="AT161" s="62"/>
      <c r="AU161" s="72" t="str">
        <f t="shared" si="22"/>
        <v>A</v>
      </c>
      <c r="AV161" s="62"/>
      <c r="AW161" s="62"/>
      <c r="AX161" s="62">
        <v>5</v>
      </c>
      <c r="AY161" s="62">
        <v>0</v>
      </c>
      <c r="AZ161" s="62">
        <v>2</v>
      </c>
      <c r="BA161" s="72">
        <f t="shared" si="23"/>
        <v>2.3333333333333335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0</v>
      </c>
      <c r="M162" s="62"/>
      <c r="N162" s="62">
        <v>0</v>
      </c>
      <c r="O162" s="62">
        <v>0</v>
      </c>
      <c r="P162" s="62"/>
      <c r="Q162" s="72">
        <f t="shared" si="17"/>
        <v>0</v>
      </c>
      <c r="R162" s="7"/>
      <c r="S162" s="7"/>
      <c r="T162" s="7"/>
      <c r="U162" s="7"/>
      <c r="V162" s="7"/>
      <c r="W162" s="72" t="str">
        <f t="shared" si="18"/>
        <v>A</v>
      </c>
      <c r="X162" s="7"/>
      <c r="Y162" s="7"/>
      <c r="Z162" s="7"/>
      <c r="AA162" s="7"/>
      <c r="AB162" s="7"/>
      <c r="AC162" s="72" t="str">
        <f t="shared" si="19"/>
        <v>A</v>
      </c>
      <c r="AD162" s="7"/>
      <c r="AE162" s="7"/>
      <c r="AF162" s="7"/>
      <c r="AG162" s="7"/>
      <c r="AH162" s="7"/>
      <c r="AI162" s="72" t="str">
        <f t="shared" si="20"/>
        <v>A</v>
      </c>
      <c r="AJ162" s="7"/>
      <c r="AK162" s="7"/>
      <c r="AL162" s="7"/>
      <c r="AM162" s="7"/>
      <c r="AN162" s="7"/>
      <c r="AO162" s="72" t="str">
        <f t="shared" si="21"/>
        <v>A</v>
      </c>
      <c r="AP162" s="7"/>
      <c r="AQ162" s="7"/>
      <c r="AR162" s="7"/>
      <c r="AS162" s="7"/>
      <c r="AT162" s="7"/>
      <c r="AU162" s="72" t="str">
        <f t="shared" si="22"/>
        <v>A</v>
      </c>
      <c r="AV162" s="7"/>
      <c r="AW162" s="7"/>
      <c r="AX162" s="62">
        <v>0</v>
      </c>
      <c r="AY162" s="62">
        <v>0</v>
      </c>
      <c r="AZ162" s="62">
        <v>0</v>
      </c>
      <c r="BA162" s="72">
        <f t="shared" si="23"/>
        <v>0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/>
      <c r="N163" s="62">
        <v>4</v>
      </c>
      <c r="O163" s="62">
        <v>3</v>
      </c>
      <c r="P163" s="62"/>
      <c r="Q163" s="72">
        <f t="shared" si="17"/>
        <v>3.3333333333333335</v>
      </c>
      <c r="R163" s="62"/>
      <c r="S163" s="62"/>
      <c r="T163" s="62"/>
      <c r="U163" s="62"/>
      <c r="V163" s="62"/>
      <c r="W163" s="72" t="str">
        <f t="shared" si="18"/>
        <v>A</v>
      </c>
      <c r="X163" s="62"/>
      <c r="Y163" s="62"/>
      <c r="Z163" s="62"/>
      <c r="AA163" s="62"/>
      <c r="AB163" s="62"/>
      <c r="AC163" s="72" t="str">
        <f t="shared" si="19"/>
        <v>A</v>
      </c>
      <c r="AD163" s="62"/>
      <c r="AE163" s="62"/>
      <c r="AF163" s="62"/>
      <c r="AG163" s="62"/>
      <c r="AH163" s="62"/>
      <c r="AI163" s="72" t="str">
        <f t="shared" si="20"/>
        <v>A</v>
      </c>
      <c r="AJ163" s="62"/>
      <c r="AK163" s="62"/>
      <c r="AL163" s="62"/>
      <c r="AM163" s="62"/>
      <c r="AN163" s="62"/>
      <c r="AO163" s="72" t="str">
        <f t="shared" si="21"/>
        <v>A</v>
      </c>
      <c r="AP163" s="62"/>
      <c r="AQ163" s="62"/>
      <c r="AR163" s="62"/>
      <c r="AS163" s="62"/>
      <c r="AT163" s="62"/>
      <c r="AU163" s="72" t="str">
        <f t="shared" si="22"/>
        <v>A</v>
      </c>
      <c r="AV163" s="62"/>
      <c r="AW163" s="62"/>
      <c r="AX163" s="62">
        <v>5</v>
      </c>
      <c r="AY163" s="62">
        <v>2</v>
      </c>
      <c r="AZ163" s="62">
        <v>2</v>
      </c>
      <c r="BA163" s="72">
        <f t="shared" si="23"/>
        <v>3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3</v>
      </c>
      <c r="M164" s="62"/>
      <c r="N164" s="62">
        <v>4</v>
      </c>
      <c r="O164" s="62">
        <v>4</v>
      </c>
      <c r="P164" s="62"/>
      <c r="Q164" s="72">
        <f t="shared" si="17"/>
        <v>3.6666666666666665</v>
      </c>
      <c r="R164" s="7"/>
      <c r="S164" s="7"/>
      <c r="T164" s="7"/>
      <c r="U164" s="7"/>
      <c r="V164" s="7"/>
      <c r="W164" s="72" t="str">
        <f t="shared" si="18"/>
        <v>A</v>
      </c>
      <c r="X164" s="7"/>
      <c r="Y164" s="7"/>
      <c r="Z164" s="7"/>
      <c r="AA164" s="7"/>
      <c r="AB164" s="7"/>
      <c r="AC164" s="72" t="str">
        <f t="shared" si="19"/>
        <v>A</v>
      </c>
      <c r="AD164" s="7"/>
      <c r="AE164" s="7"/>
      <c r="AF164" s="7"/>
      <c r="AG164" s="7"/>
      <c r="AH164" s="7"/>
      <c r="AI164" s="72" t="str">
        <f t="shared" si="20"/>
        <v>A</v>
      </c>
      <c r="AJ164" s="7"/>
      <c r="AK164" s="7"/>
      <c r="AL164" s="7"/>
      <c r="AM164" s="7"/>
      <c r="AN164" s="7"/>
      <c r="AO164" s="72" t="str">
        <f t="shared" si="21"/>
        <v>A</v>
      </c>
      <c r="AP164" s="7"/>
      <c r="AQ164" s="7"/>
      <c r="AR164" s="7"/>
      <c r="AS164" s="7"/>
      <c r="AT164" s="7"/>
      <c r="AU164" s="72" t="str">
        <f t="shared" si="22"/>
        <v>A</v>
      </c>
      <c r="AV164" s="7"/>
      <c r="AW164" s="7"/>
      <c r="AX164" s="62">
        <v>5</v>
      </c>
      <c r="AY164" s="62">
        <v>2</v>
      </c>
      <c r="AZ164" s="62">
        <v>4</v>
      </c>
      <c r="BA164" s="72">
        <f t="shared" si="23"/>
        <v>3.6666666666666665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3</v>
      </c>
      <c r="M165" s="62"/>
      <c r="N165" s="62">
        <v>3</v>
      </c>
      <c r="O165" s="62">
        <v>2</v>
      </c>
      <c r="P165" s="62"/>
      <c r="Q165" s="72">
        <f t="shared" si="17"/>
        <v>2.6666666666666665</v>
      </c>
      <c r="R165" s="62"/>
      <c r="S165" s="62"/>
      <c r="T165" s="62"/>
      <c r="U165" s="62"/>
      <c r="V165" s="62"/>
      <c r="W165" s="72" t="str">
        <f t="shared" si="18"/>
        <v>A</v>
      </c>
      <c r="X165" s="62"/>
      <c r="Y165" s="62"/>
      <c r="Z165" s="62"/>
      <c r="AA165" s="62"/>
      <c r="AB165" s="62"/>
      <c r="AC165" s="72" t="str">
        <f t="shared" si="19"/>
        <v>A</v>
      </c>
      <c r="AD165" s="62"/>
      <c r="AE165" s="62"/>
      <c r="AF165" s="62"/>
      <c r="AG165" s="62"/>
      <c r="AH165" s="62"/>
      <c r="AI165" s="72" t="str">
        <f t="shared" si="20"/>
        <v>A</v>
      </c>
      <c r="AJ165" s="62"/>
      <c r="AK165" s="62"/>
      <c r="AL165" s="62"/>
      <c r="AM165" s="62"/>
      <c r="AN165" s="62"/>
      <c r="AO165" s="72" t="str">
        <f t="shared" si="21"/>
        <v>A</v>
      </c>
      <c r="AP165" s="62"/>
      <c r="AQ165" s="62"/>
      <c r="AR165" s="62"/>
      <c r="AS165" s="62"/>
      <c r="AT165" s="62"/>
      <c r="AU165" s="72" t="str">
        <f t="shared" si="22"/>
        <v>A</v>
      </c>
      <c r="AV165" s="62"/>
      <c r="AW165" s="62"/>
      <c r="AX165" s="62">
        <v>5</v>
      </c>
      <c r="AY165" s="62">
        <v>0</v>
      </c>
      <c r="AZ165" s="62">
        <v>2</v>
      </c>
      <c r="BA165" s="72">
        <f t="shared" si="23"/>
        <v>2.3333333333333335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2</v>
      </c>
      <c r="M166" s="62"/>
      <c r="N166" s="62">
        <v>2</v>
      </c>
      <c r="O166" s="62">
        <v>2</v>
      </c>
      <c r="P166" s="62"/>
      <c r="Q166" s="72">
        <f t="shared" si="17"/>
        <v>2</v>
      </c>
      <c r="R166" s="7"/>
      <c r="S166" s="7"/>
      <c r="T166" s="7"/>
      <c r="U166" s="7"/>
      <c r="V166" s="7"/>
      <c r="W166" s="72" t="str">
        <f t="shared" si="18"/>
        <v>A</v>
      </c>
      <c r="X166" s="7"/>
      <c r="Y166" s="7"/>
      <c r="Z166" s="7"/>
      <c r="AA166" s="7"/>
      <c r="AB166" s="7"/>
      <c r="AC166" s="72" t="str">
        <f t="shared" si="19"/>
        <v>A</v>
      </c>
      <c r="AD166" s="7"/>
      <c r="AE166" s="7"/>
      <c r="AF166" s="7"/>
      <c r="AG166" s="7"/>
      <c r="AH166" s="7"/>
      <c r="AI166" s="72" t="str">
        <f t="shared" si="20"/>
        <v>A</v>
      </c>
      <c r="AJ166" s="7"/>
      <c r="AK166" s="7"/>
      <c r="AL166" s="7"/>
      <c r="AM166" s="7"/>
      <c r="AN166" s="7"/>
      <c r="AO166" s="72" t="str">
        <f t="shared" si="21"/>
        <v>A</v>
      </c>
      <c r="AP166" s="7"/>
      <c r="AQ166" s="7"/>
      <c r="AR166" s="7"/>
      <c r="AS166" s="7"/>
      <c r="AT166" s="7"/>
      <c r="AU166" s="72" t="str">
        <f t="shared" si="22"/>
        <v>A</v>
      </c>
      <c r="AV166" s="7"/>
      <c r="AW166" s="7"/>
      <c r="AX166" s="62">
        <v>5</v>
      </c>
      <c r="AY166" s="62">
        <v>0</v>
      </c>
      <c r="AZ166" s="62">
        <v>2</v>
      </c>
      <c r="BA166" s="72">
        <f t="shared" si="23"/>
        <v>2.3333333333333335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0</v>
      </c>
      <c r="M167" s="62"/>
      <c r="N167" s="62">
        <v>0</v>
      </c>
      <c r="O167" s="62">
        <v>0</v>
      </c>
      <c r="P167" s="62"/>
      <c r="Q167" s="72">
        <f t="shared" si="17"/>
        <v>0</v>
      </c>
      <c r="R167" s="62"/>
      <c r="S167" s="62"/>
      <c r="T167" s="62"/>
      <c r="U167" s="62"/>
      <c r="V167" s="62"/>
      <c r="W167" s="72" t="str">
        <f t="shared" si="18"/>
        <v>A</v>
      </c>
      <c r="X167" s="62"/>
      <c r="Y167" s="62"/>
      <c r="Z167" s="62"/>
      <c r="AA167" s="62"/>
      <c r="AB167" s="62"/>
      <c r="AC167" s="72" t="str">
        <f t="shared" si="19"/>
        <v>A</v>
      </c>
      <c r="AD167" s="62"/>
      <c r="AE167" s="62"/>
      <c r="AF167" s="62"/>
      <c r="AG167" s="62"/>
      <c r="AH167" s="62"/>
      <c r="AI167" s="72" t="str">
        <f t="shared" si="20"/>
        <v>A</v>
      </c>
      <c r="AJ167" s="62"/>
      <c r="AK167" s="62"/>
      <c r="AL167" s="62"/>
      <c r="AM167" s="62"/>
      <c r="AN167" s="62"/>
      <c r="AO167" s="72" t="str">
        <f t="shared" si="21"/>
        <v>A</v>
      </c>
      <c r="AP167" s="62"/>
      <c r="AQ167" s="62"/>
      <c r="AR167" s="62"/>
      <c r="AS167" s="62"/>
      <c r="AT167" s="62"/>
      <c r="AU167" s="72" t="str">
        <f t="shared" si="22"/>
        <v>A</v>
      </c>
      <c r="AV167" s="62"/>
      <c r="AW167" s="62"/>
      <c r="AX167" s="62">
        <v>0</v>
      </c>
      <c r="AY167" s="62">
        <v>0</v>
      </c>
      <c r="AZ167" s="62">
        <v>0</v>
      </c>
      <c r="BA167" s="72">
        <f t="shared" si="23"/>
        <v>0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3</v>
      </c>
      <c r="M168" s="62"/>
      <c r="N168" s="62">
        <v>2</v>
      </c>
      <c r="O168" s="62">
        <v>2</v>
      </c>
      <c r="P168" s="62"/>
      <c r="Q168" s="72">
        <f t="shared" si="17"/>
        <v>2.3333333333333335</v>
      </c>
      <c r="R168" s="7"/>
      <c r="S168" s="7"/>
      <c r="T168" s="7"/>
      <c r="U168" s="7"/>
      <c r="V168" s="7"/>
      <c r="W168" s="72" t="str">
        <f t="shared" si="18"/>
        <v>A</v>
      </c>
      <c r="X168" s="7"/>
      <c r="Y168" s="7"/>
      <c r="Z168" s="7"/>
      <c r="AA168" s="7"/>
      <c r="AB168" s="7"/>
      <c r="AC168" s="72" t="str">
        <f t="shared" si="19"/>
        <v>A</v>
      </c>
      <c r="AD168" s="7"/>
      <c r="AE168" s="7"/>
      <c r="AF168" s="7"/>
      <c r="AG168" s="7"/>
      <c r="AH168" s="7"/>
      <c r="AI168" s="72" t="str">
        <f t="shared" si="20"/>
        <v>A</v>
      </c>
      <c r="AJ168" s="7"/>
      <c r="AK168" s="7"/>
      <c r="AL168" s="7"/>
      <c r="AM168" s="7"/>
      <c r="AN168" s="7"/>
      <c r="AO168" s="72" t="str">
        <f t="shared" si="21"/>
        <v>A</v>
      </c>
      <c r="AP168" s="7"/>
      <c r="AQ168" s="7"/>
      <c r="AR168" s="7"/>
      <c r="AS168" s="7"/>
      <c r="AT168" s="7"/>
      <c r="AU168" s="72" t="str">
        <f t="shared" si="22"/>
        <v>A</v>
      </c>
      <c r="AV168" s="7"/>
      <c r="AW168" s="7"/>
      <c r="AX168" s="62">
        <v>5</v>
      </c>
      <c r="AY168" s="62">
        <v>0</v>
      </c>
      <c r="AZ168" s="62">
        <v>2</v>
      </c>
      <c r="BA168" s="72">
        <f t="shared" si="23"/>
        <v>2.3333333333333335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3</v>
      </c>
      <c r="M169" s="62"/>
      <c r="N169" s="62">
        <v>3</v>
      </c>
      <c r="O169" s="62">
        <v>3</v>
      </c>
      <c r="P169" s="62"/>
      <c r="Q169" s="72">
        <f t="shared" si="17"/>
        <v>3</v>
      </c>
      <c r="R169" s="62"/>
      <c r="S169" s="62"/>
      <c r="T169" s="62"/>
      <c r="U169" s="62"/>
      <c r="V169" s="62"/>
      <c r="W169" s="72" t="str">
        <f t="shared" si="18"/>
        <v>A</v>
      </c>
      <c r="X169" s="62"/>
      <c r="Y169" s="62"/>
      <c r="Z169" s="62"/>
      <c r="AA169" s="62"/>
      <c r="AB169" s="62"/>
      <c r="AC169" s="72" t="str">
        <f t="shared" si="19"/>
        <v>A</v>
      </c>
      <c r="AD169" s="62"/>
      <c r="AE169" s="62"/>
      <c r="AF169" s="62"/>
      <c r="AG169" s="62"/>
      <c r="AH169" s="62"/>
      <c r="AI169" s="72" t="str">
        <f t="shared" si="20"/>
        <v>A</v>
      </c>
      <c r="AJ169" s="62"/>
      <c r="AK169" s="62"/>
      <c r="AL169" s="62"/>
      <c r="AM169" s="62"/>
      <c r="AN169" s="62"/>
      <c r="AO169" s="72" t="str">
        <f t="shared" si="21"/>
        <v>A</v>
      </c>
      <c r="AP169" s="62"/>
      <c r="AQ169" s="62"/>
      <c r="AR169" s="62"/>
      <c r="AS169" s="62"/>
      <c r="AT169" s="62"/>
      <c r="AU169" s="72" t="str">
        <f t="shared" si="22"/>
        <v>A</v>
      </c>
      <c r="AV169" s="62"/>
      <c r="AW169" s="62"/>
      <c r="AX169" s="62">
        <v>5</v>
      </c>
      <c r="AY169" s="62">
        <v>0</v>
      </c>
      <c r="AZ169" s="62">
        <v>3</v>
      </c>
      <c r="BA169" s="72">
        <f t="shared" si="23"/>
        <v>2.6666666666666665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3</v>
      </c>
      <c r="M170" s="62"/>
      <c r="N170" s="62">
        <v>3</v>
      </c>
      <c r="O170" s="62">
        <v>3</v>
      </c>
      <c r="P170" s="62"/>
      <c r="Q170" s="72">
        <f t="shared" si="17"/>
        <v>3</v>
      </c>
      <c r="R170" s="7"/>
      <c r="S170" s="7"/>
      <c r="T170" s="7"/>
      <c r="U170" s="7"/>
      <c r="V170" s="7"/>
      <c r="W170" s="72" t="str">
        <f t="shared" si="18"/>
        <v>A</v>
      </c>
      <c r="X170" s="7"/>
      <c r="Y170" s="7"/>
      <c r="Z170" s="7"/>
      <c r="AA170" s="7"/>
      <c r="AB170" s="7"/>
      <c r="AC170" s="72" t="str">
        <f t="shared" si="19"/>
        <v>A</v>
      </c>
      <c r="AD170" s="7"/>
      <c r="AE170" s="7"/>
      <c r="AF170" s="7"/>
      <c r="AG170" s="7"/>
      <c r="AH170" s="7"/>
      <c r="AI170" s="72" t="str">
        <f t="shared" si="20"/>
        <v>A</v>
      </c>
      <c r="AJ170" s="7"/>
      <c r="AK170" s="7"/>
      <c r="AL170" s="7"/>
      <c r="AM170" s="7"/>
      <c r="AN170" s="7"/>
      <c r="AO170" s="72" t="str">
        <f t="shared" si="21"/>
        <v>A</v>
      </c>
      <c r="AP170" s="7"/>
      <c r="AQ170" s="7"/>
      <c r="AR170" s="7"/>
      <c r="AS170" s="7"/>
      <c r="AT170" s="7"/>
      <c r="AU170" s="72" t="str">
        <f t="shared" si="22"/>
        <v>A</v>
      </c>
      <c r="AV170" s="7"/>
      <c r="AW170" s="7"/>
      <c r="AX170" s="62">
        <v>5</v>
      </c>
      <c r="AY170" s="62">
        <v>0</v>
      </c>
      <c r="AZ170" s="62">
        <v>3</v>
      </c>
      <c r="BA170" s="72">
        <f t="shared" si="23"/>
        <v>2.6666666666666665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4</v>
      </c>
      <c r="M171" s="62"/>
      <c r="N171" s="62">
        <v>4</v>
      </c>
      <c r="O171" s="62">
        <v>4</v>
      </c>
      <c r="P171" s="62"/>
      <c r="Q171" s="72">
        <f t="shared" si="17"/>
        <v>4</v>
      </c>
      <c r="R171" s="62"/>
      <c r="S171" s="62"/>
      <c r="T171" s="62"/>
      <c r="U171" s="62"/>
      <c r="V171" s="62"/>
      <c r="W171" s="72" t="str">
        <f t="shared" si="18"/>
        <v>A</v>
      </c>
      <c r="X171" s="62"/>
      <c r="Y171" s="62"/>
      <c r="Z171" s="62"/>
      <c r="AA171" s="62"/>
      <c r="AB171" s="62"/>
      <c r="AC171" s="72" t="str">
        <f t="shared" si="19"/>
        <v>A</v>
      </c>
      <c r="AD171" s="62"/>
      <c r="AE171" s="62"/>
      <c r="AF171" s="62"/>
      <c r="AG171" s="62"/>
      <c r="AH171" s="62"/>
      <c r="AI171" s="72" t="str">
        <f t="shared" si="20"/>
        <v>A</v>
      </c>
      <c r="AJ171" s="62"/>
      <c r="AK171" s="62"/>
      <c r="AL171" s="62"/>
      <c r="AM171" s="62"/>
      <c r="AN171" s="62"/>
      <c r="AO171" s="72" t="str">
        <f t="shared" si="21"/>
        <v>A</v>
      </c>
      <c r="AP171" s="62"/>
      <c r="AQ171" s="62"/>
      <c r="AR171" s="62"/>
      <c r="AS171" s="62"/>
      <c r="AT171" s="62"/>
      <c r="AU171" s="72" t="str">
        <f t="shared" si="22"/>
        <v>A</v>
      </c>
      <c r="AV171" s="62"/>
      <c r="AW171" s="62"/>
      <c r="AX171" s="62">
        <v>5</v>
      </c>
      <c r="AY171" s="62">
        <v>2</v>
      </c>
      <c r="AZ171" s="62">
        <v>4</v>
      </c>
      <c r="BA171" s="72">
        <f t="shared" si="23"/>
        <v>3.6666666666666665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3</v>
      </c>
      <c r="M172" s="62"/>
      <c r="N172" s="62">
        <v>4</v>
      </c>
      <c r="O172" s="62">
        <v>2</v>
      </c>
      <c r="P172" s="62"/>
      <c r="Q172" s="72">
        <f t="shared" si="17"/>
        <v>3</v>
      </c>
      <c r="R172" s="7"/>
      <c r="S172" s="7"/>
      <c r="T172" s="7"/>
      <c r="U172" s="7"/>
      <c r="V172" s="7"/>
      <c r="W172" s="72" t="str">
        <f t="shared" si="18"/>
        <v>A</v>
      </c>
      <c r="X172" s="7"/>
      <c r="Y172" s="7"/>
      <c r="Z172" s="7"/>
      <c r="AA172" s="7"/>
      <c r="AB172" s="7"/>
      <c r="AC172" s="72" t="str">
        <f t="shared" si="19"/>
        <v>A</v>
      </c>
      <c r="AD172" s="7"/>
      <c r="AE172" s="7"/>
      <c r="AF172" s="7"/>
      <c r="AG172" s="7"/>
      <c r="AH172" s="7"/>
      <c r="AI172" s="72" t="str">
        <f t="shared" si="20"/>
        <v>A</v>
      </c>
      <c r="AJ172" s="7"/>
      <c r="AK172" s="7"/>
      <c r="AL172" s="7"/>
      <c r="AM172" s="7"/>
      <c r="AN172" s="7"/>
      <c r="AO172" s="72" t="str">
        <f t="shared" si="21"/>
        <v>A</v>
      </c>
      <c r="AP172" s="7"/>
      <c r="AQ172" s="7"/>
      <c r="AR172" s="7"/>
      <c r="AS172" s="7"/>
      <c r="AT172" s="7"/>
      <c r="AU172" s="72" t="str">
        <f t="shared" si="22"/>
        <v>A</v>
      </c>
      <c r="AV172" s="7"/>
      <c r="AW172" s="7"/>
      <c r="AX172" s="62">
        <v>5</v>
      </c>
      <c r="AY172" s="62">
        <v>2</v>
      </c>
      <c r="AZ172" s="62">
        <v>2</v>
      </c>
      <c r="BA172" s="72">
        <f t="shared" si="23"/>
        <v>3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3</v>
      </c>
      <c r="M173" s="62"/>
      <c r="N173" s="62">
        <v>4</v>
      </c>
      <c r="O173" s="62">
        <v>3</v>
      </c>
      <c r="P173" s="62"/>
      <c r="Q173" s="72">
        <f t="shared" si="17"/>
        <v>3.3333333333333335</v>
      </c>
      <c r="R173" s="62"/>
      <c r="S173" s="62"/>
      <c r="T173" s="62"/>
      <c r="U173" s="62"/>
      <c r="V173" s="62"/>
      <c r="W173" s="72" t="str">
        <f t="shared" si="18"/>
        <v>A</v>
      </c>
      <c r="X173" s="62"/>
      <c r="Y173" s="62"/>
      <c r="Z173" s="62"/>
      <c r="AA173" s="62"/>
      <c r="AB173" s="62"/>
      <c r="AC173" s="72" t="str">
        <f t="shared" si="19"/>
        <v>A</v>
      </c>
      <c r="AD173" s="62"/>
      <c r="AE173" s="62"/>
      <c r="AF173" s="62"/>
      <c r="AG173" s="62"/>
      <c r="AH173" s="62"/>
      <c r="AI173" s="72" t="str">
        <f t="shared" si="20"/>
        <v>A</v>
      </c>
      <c r="AJ173" s="62"/>
      <c r="AK173" s="62"/>
      <c r="AL173" s="62"/>
      <c r="AM173" s="62"/>
      <c r="AN173" s="62"/>
      <c r="AO173" s="72" t="str">
        <f t="shared" si="21"/>
        <v>A</v>
      </c>
      <c r="AP173" s="62"/>
      <c r="AQ173" s="62"/>
      <c r="AR173" s="62"/>
      <c r="AS173" s="62"/>
      <c r="AT173" s="62"/>
      <c r="AU173" s="72" t="str">
        <f t="shared" si="22"/>
        <v>A</v>
      </c>
      <c r="AV173" s="62"/>
      <c r="AW173" s="62"/>
      <c r="AX173" s="62">
        <v>5</v>
      </c>
      <c r="AY173" s="62">
        <v>0</v>
      </c>
      <c r="AZ173" s="62">
        <v>4</v>
      </c>
      <c r="BA173" s="72">
        <f t="shared" si="23"/>
        <v>3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3</v>
      </c>
      <c r="M174" s="62"/>
      <c r="N174" s="62">
        <v>2</v>
      </c>
      <c r="O174" s="62">
        <v>3</v>
      </c>
      <c r="P174" s="62"/>
      <c r="Q174" s="72">
        <f t="shared" si="17"/>
        <v>2.6666666666666665</v>
      </c>
      <c r="R174" s="7"/>
      <c r="S174" s="7"/>
      <c r="T174" s="7"/>
      <c r="U174" s="7"/>
      <c r="V174" s="7"/>
      <c r="W174" s="72" t="str">
        <f t="shared" si="18"/>
        <v>A</v>
      </c>
      <c r="X174" s="7"/>
      <c r="Y174" s="7"/>
      <c r="Z174" s="7"/>
      <c r="AA174" s="7"/>
      <c r="AB174" s="7"/>
      <c r="AC174" s="72" t="str">
        <f t="shared" si="19"/>
        <v>A</v>
      </c>
      <c r="AD174" s="7"/>
      <c r="AE174" s="7"/>
      <c r="AF174" s="7"/>
      <c r="AG174" s="7"/>
      <c r="AH174" s="7"/>
      <c r="AI174" s="72" t="str">
        <f t="shared" si="20"/>
        <v>A</v>
      </c>
      <c r="AJ174" s="7"/>
      <c r="AK174" s="7"/>
      <c r="AL174" s="7"/>
      <c r="AM174" s="7"/>
      <c r="AN174" s="7"/>
      <c r="AO174" s="72" t="str">
        <f t="shared" si="21"/>
        <v>A</v>
      </c>
      <c r="AP174" s="7"/>
      <c r="AQ174" s="7"/>
      <c r="AR174" s="7"/>
      <c r="AS174" s="7"/>
      <c r="AT174" s="7"/>
      <c r="AU174" s="72" t="str">
        <f t="shared" si="22"/>
        <v>A</v>
      </c>
      <c r="AV174" s="7"/>
      <c r="AW174" s="7"/>
      <c r="AX174" s="62">
        <v>5</v>
      </c>
      <c r="AY174" s="62">
        <v>2</v>
      </c>
      <c r="AZ174" s="62">
        <v>2</v>
      </c>
      <c r="BA174" s="72">
        <f t="shared" si="23"/>
        <v>3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3</v>
      </c>
      <c r="M175" s="62"/>
      <c r="N175" s="62">
        <v>3</v>
      </c>
      <c r="O175" s="62">
        <v>3</v>
      </c>
      <c r="P175" s="62"/>
      <c r="Q175" s="72">
        <f t="shared" si="17"/>
        <v>3</v>
      </c>
      <c r="R175" s="62"/>
      <c r="S175" s="62"/>
      <c r="T175" s="62"/>
      <c r="U175" s="62"/>
      <c r="V175" s="62"/>
      <c r="W175" s="72" t="str">
        <f t="shared" si="18"/>
        <v>A</v>
      </c>
      <c r="X175" s="62"/>
      <c r="Y175" s="62"/>
      <c r="Z175" s="62"/>
      <c r="AA175" s="62"/>
      <c r="AB175" s="62"/>
      <c r="AC175" s="72" t="str">
        <f t="shared" si="19"/>
        <v>A</v>
      </c>
      <c r="AD175" s="62"/>
      <c r="AE175" s="62"/>
      <c r="AF175" s="62"/>
      <c r="AG175" s="62"/>
      <c r="AH175" s="62"/>
      <c r="AI175" s="72" t="str">
        <f t="shared" si="20"/>
        <v>A</v>
      </c>
      <c r="AJ175" s="62"/>
      <c r="AK175" s="62"/>
      <c r="AL175" s="62"/>
      <c r="AM175" s="62"/>
      <c r="AN175" s="62"/>
      <c r="AO175" s="72" t="str">
        <f t="shared" si="21"/>
        <v>A</v>
      </c>
      <c r="AP175" s="62"/>
      <c r="AQ175" s="62"/>
      <c r="AR175" s="62"/>
      <c r="AS175" s="62"/>
      <c r="AT175" s="62"/>
      <c r="AU175" s="72" t="str">
        <f t="shared" si="22"/>
        <v>A</v>
      </c>
      <c r="AV175" s="62"/>
      <c r="AW175" s="62"/>
      <c r="AX175" s="62">
        <v>5</v>
      </c>
      <c r="AY175" s="62">
        <v>2</v>
      </c>
      <c r="AZ175" s="62">
        <v>2</v>
      </c>
      <c r="BA175" s="72">
        <f t="shared" si="23"/>
        <v>3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3</v>
      </c>
      <c r="M176" s="62"/>
      <c r="N176" s="62">
        <v>3</v>
      </c>
      <c r="O176" s="62">
        <v>2</v>
      </c>
      <c r="P176" s="62"/>
      <c r="Q176" s="72">
        <f t="shared" si="17"/>
        <v>2.6666666666666665</v>
      </c>
      <c r="R176" s="7"/>
      <c r="S176" s="7"/>
      <c r="T176" s="7"/>
      <c r="U176" s="7"/>
      <c r="V176" s="7"/>
      <c r="W176" s="72" t="str">
        <f t="shared" si="18"/>
        <v>A</v>
      </c>
      <c r="X176" s="7"/>
      <c r="Y176" s="7"/>
      <c r="Z176" s="7"/>
      <c r="AA176" s="7"/>
      <c r="AB176" s="7"/>
      <c r="AC176" s="72" t="str">
        <f t="shared" si="19"/>
        <v>A</v>
      </c>
      <c r="AD176" s="7"/>
      <c r="AE176" s="7"/>
      <c r="AF176" s="7"/>
      <c r="AG176" s="7"/>
      <c r="AH176" s="7"/>
      <c r="AI176" s="72" t="str">
        <f t="shared" si="20"/>
        <v>A</v>
      </c>
      <c r="AJ176" s="7"/>
      <c r="AK176" s="7"/>
      <c r="AL176" s="7"/>
      <c r="AM176" s="7"/>
      <c r="AN176" s="7"/>
      <c r="AO176" s="72" t="str">
        <f t="shared" si="21"/>
        <v>A</v>
      </c>
      <c r="AP176" s="7"/>
      <c r="AQ176" s="7"/>
      <c r="AR176" s="7"/>
      <c r="AS176" s="7"/>
      <c r="AT176" s="7"/>
      <c r="AU176" s="72" t="str">
        <f t="shared" si="22"/>
        <v>A</v>
      </c>
      <c r="AV176" s="7"/>
      <c r="AW176" s="7"/>
      <c r="AX176" s="62">
        <v>5</v>
      </c>
      <c r="AY176" s="62">
        <v>2</v>
      </c>
      <c r="AZ176" s="62">
        <v>2</v>
      </c>
      <c r="BA176" s="72">
        <f t="shared" si="23"/>
        <v>3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2</v>
      </c>
      <c r="M177" s="62"/>
      <c r="N177" s="62">
        <v>2</v>
      </c>
      <c r="O177" s="62">
        <v>1</v>
      </c>
      <c r="P177" s="62"/>
      <c r="Q177" s="72">
        <f t="shared" si="17"/>
        <v>1.6666666666666667</v>
      </c>
      <c r="R177" s="62"/>
      <c r="S177" s="62"/>
      <c r="T177" s="62"/>
      <c r="U177" s="62"/>
      <c r="V177" s="62"/>
      <c r="W177" s="72" t="str">
        <f t="shared" si="18"/>
        <v>A</v>
      </c>
      <c r="X177" s="62"/>
      <c r="Y177" s="62"/>
      <c r="Z177" s="62"/>
      <c r="AA177" s="62"/>
      <c r="AB177" s="62"/>
      <c r="AC177" s="72" t="str">
        <f t="shared" si="19"/>
        <v>A</v>
      </c>
      <c r="AD177" s="62"/>
      <c r="AE177" s="62"/>
      <c r="AF177" s="62"/>
      <c r="AG177" s="62"/>
      <c r="AH177" s="62"/>
      <c r="AI177" s="72" t="str">
        <f t="shared" si="20"/>
        <v>A</v>
      </c>
      <c r="AJ177" s="62"/>
      <c r="AK177" s="62"/>
      <c r="AL177" s="62"/>
      <c r="AM177" s="62"/>
      <c r="AN177" s="62"/>
      <c r="AO177" s="72" t="str">
        <f t="shared" si="21"/>
        <v>A</v>
      </c>
      <c r="AP177" s="62"/>
      <c r="AQ177" s="62"/>
      <c r="AR177" s="62"/>
      <c r="AS177" s="62"/>
      <c r="AT177" s="62"/>
      <c r="AU177" s="72" t="str">
        <f t="shared" si="22"/>
        <v>A</v>
      </c>
      <c r="AV177" s="62"/>
      <c r="AW177" s="62"/>
      <c r="AX177" s="62">
        <v>5</v>
      </c>
      <c r="AY177" s="62">
        <v>0</v>
      </c>
      <c r="AZ177" s="62">
        <v>1</v>
      </c>
      <c r="BA177" s="72">
        <f t="shared" si="23"/>
        <v>2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0</v>
      </c>
      <c r="M178" s="62"/>
      <c r="N178" s="62">
        <v>0</v>
      </c>
      <c r="O178" s="62">
        <v>0</v>
      </c>
      <c r="P178" s="62"/>
      <c r="Q178" s="72">
        <f t="shared" si="17"/>
        <v>0</v>
      </c>
      <c r="R178" s="7"/>
      <c r="S178" s="7"/>
      <c r="T178" s="7"/>
      <c r="U178" s="7"/>
      <c r="V178" s="7"/>
      <c r="W178" s="72" t="str">
        <f t="shared" si="18"/>
        <v>A</v>
      </c>
      <c r="X178" s="7"/>
      <c r="Y178" s="7"/>
      <c r="Z178" s="7"/>
      <c r="AA178" s="7"/>
      <c r="AB178" s="7"/>
      <c r="AC178" s="72" t="str">
        <f t="shared" si="19"/>
        <v>A</v>
      </c>
      <c r="AD178" s="7"/>
      <c r="AE178" s="7"/>
      <c r="AF178" s="7"/>
      <c r="AG178" s="7"/>
      <c r="AH178" s="7"/>
      <c r="AI178" s="72" t="str">
        <f t="shared" si="20"/>
        <v>A</v>
      </c>
      <c r="AJ178" s="7"/>
      <c r="AK178" s="7"/>
      <c r="AL178" s="7"/>
      <c r="AM178" s="7"/>
      <c r="AN178" s="7"/>
      <c r="AO178" s="72" t="str">
        <f t="shared" si="21"/>
        <v>A</v>
      </c>
      <c r="AP178" s="7"/>
      <c r="AQ178" s="7"/>
      <c r="AR178" s="7"/>
      <c r="AS178" s="7"/>
      <c r="AT178" s="7"/>
      <c r="AU178" s="72" t="str">
        <f t="shared" si="22"/>
        <v>A</v>
      </c>
      <c r="AV178" s="7"/>
      <c r="AW178" s="7"/>
      <c r="AX178" s="62">
        <v>0</v>
      </c>
      <c r="AY178" s="62">
        <v>0</v>
      </c>
      <c r="AZ178" s="62">
        <v>0</v>
      </c>
      <c r="BA178" s="72">
        <f t="shared" si="23"/>
        <v>0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1</v>
      </c>
      <c r="M179" s="62"/>
      <c r="N179" s="62">
        <v>1</v>
      </c>
      <c r="O179" s="62">
        <v>1</v>
      </c>
      <c r="P179" s="62"/>
      <c r="Q179" s="72">
        <f t="shared" si="17"/>
        <v>1</v>
      </c>
      <c r="R179" s="62"/>
      <c r="S179" s="62"/>
      <c r="T179" s="62"/>
      <c r="U179" s="62"/>
      <c r="V179" s="62"/>
      <c r="W179" s="72" t="str">
        <f t="shared" si="18"/>
        <v>A</v>
      </c>
      <c r="X179" s="62"/>
      <c r="Y179" s="62"/>
      <c r="Z179" s="62"/>
      <c r="AA179" s="62"/>
      <c r="AB179" s="62"/>
      <c r="AC179" s="72" t="str">
        <f t="shared" si="19"/>
        <v>A</v>
      </c>
      <c r="AD179" s="62"/>
      <c r="AE179" s="62"/>
      <c r="AF179" s="62"/>
      <c r="AG179" s="62"/>
      <c r="AH179" s="62"/>
      <c r="AI179" s="72" t="str">
        <f t="shared" si="20"/>
        <v>A</v>
      </c>
      <c r="AJ179" s="62"/>
      <c r="AK179" s="62"/>
      <c r="AL179" s="62"/>
      <c r="AM179" s="62"/>
      <c r="AN179" s="62"/>
      <c r="AO179" s="72" t="str">
        <f t="shared" si="21"/>
        <v>A</v>
      </c>
      <c r="AP179" s="62"/>
      <c r="AQ179" s="62"/>
      <c r="AR179" s="62"/>
      <c r="AS179" s="62"/>
      <c r="AT179" s="62"/>
      <c r="AU179" s="72" t="str">
        <f t="shared" si="22"/>
        <v>A</v>
      </c>
      <c r="AV179" s="62"/>
      <c r="AW179" s="62"/>
      <c r="AX179" s="62">
        <v>1</v>
      </c>
      <c r="AY179" s="62">
        <v>0</v>
      </c>
      <c r="AZ179" s="62">
        <v>1</v>
      </c>
      <c r="BA179" s="72">
        <f t="shared" si="23"/>
        <v>0.66666666666666663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1</v>
      </c>
      <c r="M180" s="62"/>
      <c r="N180" s="62">
        <v>1</v>
      </c>
      <c r="O180" s="62">
        <v>1</v>
      </c>
      <c r="P180" s="62"/>
      <c r="Q180" s="72">
        <f t="shared" si="17"/>
        <v>1</v>
      </c>
      <c r="R180" s="7"/>
      <c r="S180" s="7"/>
      <c r="T180" s="7"/>
      <c r="U180" s="7"/>
      <c r="V180" s="7"/>
      <c r="W180" s="72" t="str">
        <f t="shared" si="18"/>
        <v>A</v>
      </c>
      <c r="X180" s="7"/>
      <c r="Y180" s="7"/>
      <c r="Z180" s="7"/>
      <c r="AA180" s="7"/>
      <c r="AB180" s="7"/>
      <c r="AC180" s="72" t="str">
        <f t="shared" si="19"/>
        <v>A</v>
      </c>
      <c r="AD180" s="7"/>
      <c r="AE180" s="7"/>
      <c r="AF180" s="7"/>
      <c r="AG180" s="7"/>
      <c r="AH180" s="7"/>
      <c r="AI180" s="72" t="str">
        <f t="shared" si="20"/>
        <v>A</v>
      </c>
      <c r="AJ180" s="7"/>
      <c r="AK180" s="7"/>
      <c r="AL180" s="7"/>
      <c r="AM180" s="7"/>
      <c r="AN180" s="7"/>
      <c r="AO180" s="72" t="str">
        <f t="shared" si="21"/>
        <v>A</v>
      </c>
      <c r="AP180" s="7"/>
      <c r="AQ180" s="7"/>
      <c r="AR180" s="7"/>
      <c r="AS180" s="7"/>
      <c r="AT180" s="7"/>
      <c r="AU180" s="72" t="str">
        <f t="shared" si="22"/>
        <v>A</v>
      </c>
      <c r="AV180" s="7"/>
      <c r="AW180" s="7"/>
      <c r="AX180" s="62">
        <v>1</v>
      </c>
      <c r="AY180" s="62">
        <v>0</v>
      </c>
      <c r="AZ180" s="62">
        <v>1</v>
      </c>
      <c r="BA180" s="72">
        <f t="shared" si="23"/>
        <v>0.66666666666666663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0</v>
      </c>
      <c r="M181" s="62"/>
      <c r="N181" s="62">
        <v>0</v>
      </c>
      <c r="O181" s="62">
        <v>0</v>
      </c>
      <c r="P181" s="62"/>
      <c r="Q181" s="72">
        <f t="shared" si="17"/>
        <v>0</v>
      </c>
      <c r="R181" s="62"/>
      <c r="S181" s="62"/>
      <c r="T181" s="62"/>
      <c r="U181" s="62"/>
      <c r="V181" s="62"/>
      <c r="W181" s="72" t="str">
        <f t="shared" si="18"/>
        <v>A</v>
      </c>
      <c r="X181" s="62"/>
      <c r="Y181" s="62"/>
      <c r="Z181" s="62"/>
      <c r="AA181" s="62"/>
      <c r="AB181" s="62"/>
      <c r="AC181" s="72" t="str">
        <f t="shared" si="19"/>
        <v>A</v>
      </c>
      <c r="AD181" s="62"/>
      <c r="AE181" s="62"/>
      <c r="AF181" s="62"/>
      <c r="AG181" s="62"/>
      <c r="AH181" s="62"/>
      <c r="AI181" s="72" t="str">
        <f t="shared" si="20"/>
        <v>A</v>
      </c>
      <c r="AJ181" s="62"/>
      <c r="AK181" s="62"/>
      <c r="AL181" s="62"/>
      <c r="AM181" s="62"/>
      <c r="AN181" s="62"/>
      <c r="AO181" s="72" t="str">
        <f t="shared" si="21"/>
        <v>A</v>
      </c>
      <c r="AP181" s="62"/>
      <c r="AQ181" s="62"/>
      <c r="AR181" s="62"/>
      <c r="AS181" s="62"/>
      <c r="AT181" s="62"/>
      <c r="AU181" s="72" t="str">
        <f t="shared" si="22"/>
        <v>A</v>
      </c>
      <c r="AV181" s="62"/>
      <c r="AW181" s="62"/>
      <c r="AX181" s="62">
        <v>0</v>
      </c>
      <c r="AY181" s="62">
        <v>0</v>
      </c>
      <c r="AZ181" s="62">
        <v>0</v>
      </c>
      <c r="BA181" s="72">
        <f t="shared" si="23"/>
        <v>0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5</v>
      </c>
      <c r="M182" s="62"/>
      <c r="N182" s="62">
        <v>4</v>
      </c>
      <c r="O182" s="62">
        <v>5</v>
      </c>
      <c r="P182" s="62"/>
      <c r="Q182" s="72">
        <f t="shared" si="17"/>
        <v>4.666666666666667</v>
      </c>
      <c r="R182" s="7"/>
      <c r="S182" s="7"/>
      <c r="T182" s="7"/>
      <c r="U182" s="7"/>
      <c r="V182" s="7"/>
      <c r="W182" s="72" t="str">
        <f t="shared" si="18"/>
        <v>A</v>
      </c>
      <c r="X182" s="7"/>
      <c r="Y182" s="7"/>
      <c r="Z182" s="7"/>
      <c r="AA182" s="7"/>
      <c r="AB182" s="7"/>
      <c r="AC182" s="72" t="str">
        <f t="shared" si="19"/>
        <v>A</v>
      </c>
      <c r="AD182" s="7"/>
      <c r="AE182" s="7"/>
      <c r="AF182" s="7"/>
      <c r="AG182" s="7"/>
      <c r="AH182" s="7"/>
      <c r="AI182" s="72" t="str">
        <f t="shared" si="20"/>
        <v>A</v>
      </c>
      <c r="AJ182" s="7"/>
      <c r="AK182" s="7"/>
      <c r="AL182" s="7"/>
      <c r="AM182" s="7"/>
      <c r="AN182" s="7"/>
      <c r="AO182" s="72" t="str">
        <f t="shared" si="21"/>
        <v>A</v>
      </c>
      <c r="AP182" s="7"/>
      <c r="AQ182" s="7"/>
      <c r="AR182" s="7"/>
      <c r="AS182" s="7"/>
      <c r="AT182" s="7"/>
      <c r="AU182" s="72" t="str">
        <f t="shared" si="22"/>
        <v>A</v>
      </c>
      <c r="AV182" s="7"/>
      <c r="AW182" s="7"/>
      <c r="AX182" s="62">
        <v>5</v>
      </c>
      <c r="AY182" s="62">
        <v>0</v>
      </c>
      <c r="AZ182" s="62">
        <v>5</v>
      </c>
      <c r="BA182" s="72">
        <f t="shared" si="23"/>
        <v>3.3333333333333335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3</v>
      </c>
      <c r="M183" s="62"/>
      <c r="N183" s="62">
        <v>3</v>
      </c>
      <c r="O183" s="62">
        <v>3</v>
      </c>
      <c r="P183" s="62"/>
      <c r="Q183" s="72">
        <f t="shared" si="17"/>
        <v>3</v>
      </c>
      <c r="R183" s="62"/>
      <c r="S183" s="62"/>
      <c r="T183" s="62"/>
      <c r="U183" s="62"/>
      <c r="V183" s="62"/>
      <c r="W183" s="72" t="str">
        <f t="shared" si="18"/>
        <v>A</v>
      </c>
      <c r="X183" s="62"/>
      <c r="Y183" s="62"/>
      <c r="Z183" s="62"/>
      <c r="AA183" s="62"/>
      <c r="AB183" s="62"/>
      <c r="AC183" s="72" t="str">
        <f t="shared" si="19"/>
        <v>A</v>
      </c>
      <c r="AD183" s="62"/>
      <c r="AE183" s="62"/>
      <c r="AF183" s="62"/>
      <c r="AG183" s="62"/>
      <c r="AH183" s="62"/>
      <c r="AI183" s="72" t="str">
        <f t="shared" si="20"/>
        <v>A</v>
      </c>
      <c r="AJ183" s="62"/>
      <c r="AK183" s="62"/>
      <c r="AL183" s="62"/>
      <c r="AM183" s="62"/>
      <c r="AN183" s="62"/>
      <c r="AO183" s="72" t="str">
        <f t="shared" si="21"/>
        <v>A</v>
      </c>
      <c r="AP183" s="62"/>
      <c r="AQ183" s="62"/>
      <c r="AR183" s="62"/>
      <c r="AS183" s="62"/>
      <c r="AT183" s="62"/>
      <c r="AU183" s="72" t="str">
        <f t="shared" si="22"/>
        <v>A</v>
      </c>
      <c r="AV183" s="62"/>
      <c r="AW183" s="62"/>
      <c r="AX183" s="62">
        <v>5</v>
      </c>
      <c r="AY183" s="62">
        <v>2</v>
      </c>
      <c r="AZ183" s="62">
        <v>3</v>
      </c>
      <c r="BA183" s="72">
        <f t="shared" si="23"/>
        <v>3.3333333333333335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3</v>
      </c>
      <c r="M184" s="62"/>
      <c r="N184" s="62">
        <v>4</v>
      </c>
      <c r="O184" s="62">
        <v>4</v>
      </c>
      <c r="P184" s="62"/>
      <c r="Q184" s="72">
        <f t="shared" si="17"/>
        <v>3.6666666666666665</v>
      </c>
      <c r="R184" s="7"/>
      <c r="S184" s="7"/>
      <c r="T184" s="7"/>
      <c r="U184" s="7"/>
      <c r="V184" s="7"/>
      <c r="W184" s="72" t="str">
        <f t="shared" si="18"/>
        <v>A</v>
      </c>
      <c r="X184" s="7"/>
      <c r="Y184" s="7"/>
      <c r="Z184" s="7"/>
      <c r="AA184" s="7"/>
      <c r="AB184" s="7"/>
      <c r="AC184" s="72" t="str">
        <f t="shared" si="19"/>
        <v>A</v>
      </c>
      <c r="AD184" s="7"/>
      <c r="AE184" s="7"/>
      <c r="AF184" s="7"/>
      <c r="AG184" s="7"/>
      <c r="AH184" s="7"/>
      <c r="AI184" s="72" t="str">
        <f t="shared" si="20"/>
        <v>A</v>
      </c>
      <c r="AJ184" s="7"/>
      <c r="AK184" s="7"/>
      <c r="AL184" s="7"/>
      <c r="AM184" s="7"/>
      <c r="AN184" s="7"/>
      <c r="AO184" s="72" t="str">
        <f t="shared" si="21"/>
        <v>A</v>
      </c>
      <c r="AP184" s="7"/>
      <c r="AQ184" s="7"/>
      <c r="AR184" s="7"/>
      <c r="AS184" s="7"/>
      <c r="AT184" s="7"/>
      <c r="AU184" s="72" t="str">
        <f t="shared" si="22"/>
        <v>A</v>
      </c>
      <c r="AV184" s="7"/>
      <c r="AW184" s="7"/>
      <c r="AX184" s="62">
        <v>5</v>
      </c>
      <c r="AY184" s="62">
        <v>0</v>
      </c>
      <c r="AZ184" s="62">
        <v>4</v>
      </c>
      <c r="BA184" s="72">
        <f t="shared" si="23"/>
        <v>3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3</v>
      </c>
      <c r="M185" s="62"/>
      <c r="N185" s="62">
        <v>3</v>
      </c>
      <c r="O185" s="62">
        <v>3</v>
      </c>
      <c r="P185" s="62"/>
      <c r="Q185" s="72">
        <f t="shared" si="17"/>
        <v>3</v>
      </c>
      <c r="R185" s="62"/>
      <c r="S185" s="62"/>
      <c r="T185" s="62"/>
      <c r="U185" s="62"/>
      <c r="V185" s="62"/>
      <c r="W185" s="72" t="str">
        <f t="shared" si="18"/>
        <v>A</v>
      </c>
      <c r="X185" s="62"/>
      <c r="Y185" s="62"/>
      <c r="Z185" s="62"/>
      <c r="AA185" s="62"/>
      <c r="AB185" s="62"/>
      <c r="AC185" s="72" t="str">
        <f t="shared" si="19"/>
        <v>A</v>
      </c>
      <c r="AD185" s="62"/>
      <c r="AE185" s="62"/>
      <c r="AF185" s="62"/>
      <c r="AG185" s="62"/>
      <c r="AH185" s="62"/>
      <c r="AI185" s="72" t="str">
        <f t="shared" si="20"/>
        <v>A</v>
      </c>
      <c r="AJ185" s="62"/>
      <c r="AK185" s="62"/>
      <c r="AL185" s="62"/>
      <c r="AM185" s="62"/>
      <c r="AN185" s="62"/>
      <c r="AO185" s="72" t="str">
        <f t="shared" si="21"/>
        <v>A</v>
      </c>
      <c r="AP185" s="62"/>
      <c r="AQ185" s="62"/>
      <c r="AR185" s="62"/>
      <c r="AS185" s="62"/>
      <c r="AT185" s="62"/>
      <c r="AU185" s="72" t="str">
        <f t="shared" si="22"/>
        <v>A</v>
      </c>
      <c r="AV185" s="62"/>
      <c r="AW185" s="62"/>
      <c r="AX185" s="62">
        <v>5</v>
      </c>
      <c r="AY185" s="62">
        <v>2</v>
      </c>
      <c r="AZ185" s="62">
        <v>3</v>
      </c>
      <c r="BA185" s="72">
        <f t="shared" si="23"/>
        <v>3.3333333333333335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0</v>
      </c>
      <c r="M186" s="62"/>
      <c r="N186" s="62">
        <v>0</v>
      </c>
      <c r="O186" s="62">
        <v>0</v>
      </c>
      <c r="P186" s="62"/>
      <c r="Q186" s="72">
        <f t="shared" si="17"/>
        <v>0</v>
      </c>
      <c r="R186" s="7"/>
      <c r="S186" s="7"/>
      <c r="T186" s="7"/>
      <c r="U186" s="7"/>
      <c r="V186" s="7"/>
      <c r="W186" s="72" t="str">
        <f t="shared" si="18"/>
        <v>A</v>
      </c>
      <c r="X186" s="7"/>
      <c r="Y186" s="7"/>
      <c r="Z186" s="7"/>
      <c r="AA186" s="7"/>
      <c r="AB186" s="7"/>
      <c r="AC186" s="72" t="str">
        <f t="shared" si="19"/>
        <v>A</v>
      </c>
      <c r="AD186" s="7"/>
      <c r="AE186" s="7"/>
      <c r="AF186" s="7"/>
      <c r="AG186" s="7"/>
      <c r="AH186" s="7"/>
      <c r="AI186" s="72" t="str">
        <f t="shared" si="20"/>
        <v>A</v>
      </c>
      <c r="AJ186" s="7"/>
      <c r="AK186" s="7"/>
      <c r="AL186" s="7"/>
      <c r="AM186" s="7"/>
      <c r="AN186" s="7"/>
      <c r="AO186" s="72" t="str">
        <f t="shared" si="21"/>
        <v>A</v>
      </c>
      <c r="AP186" s="7"/>
      <c r="AQ186" s="7"/>
      <c r="AR186" s="7"/>
      <c r="AS186" s="7"/>
      <c r="AT186" s="7"/>
      <c r="AU186" s="72" t="str">
        <f t="shared" si="22"/>
        <v>A</v>
      </c>
      <c r="AV186" s="7"/>
      <c r="AW186" s="7"/>
      <c r="AX186" s="62">
        <v>0</v>
      </c>
      <c r="AY186" s="62">
        <v>0</v>
      </c>
      <c r="AZ186" s="62">
        <v>0</v>
      </c>
      <c r="BA186" s="72">
        <f t="shared" si="23"/>
        <v>0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3</v>
      </c>
      <c r="M187" s="62"/>
      <c r="N187" s="62">
        <v>4</v>
      </c>
      <c r="O187" s="62">
        <v>3</v>
      </c>
      <c r="P187" s="62"/>
      <c r="Q187" s="72">
        <f t="shared" si="17"/>
        <v>3.3333333333333335</v>
      </c>
      <c r="R187" s="62"/>
      <c r="S187" s="62"/>
      <c r="T187" s="62"/>
      <c r="U187" s="62"/>
      <c r="V187" s="62"/>
      <c r="W187" s="72" t="str">
        <f t="shared" si="18"/>
        <v>A</v>
      </c>
      <c r="X187" s="62"/>
      <c r="Y187" s="62"/>
      <c r="Z187" s="62"/>
      <c r="AA187" s="62"/>
      <c r="AB187" s="62"/>
      <c r="AC187" s="72" t="str">
        <f t="shared" si="19"/>
        <v>A</v>
      </c>
      <c r="AD187" s="62"/>
      <c r="AE187" s="62"/>
      <c r="AF187" s="62"/>
      <c r="AG187" s="62"/>
      <c r="AH187" s="62"/>
      <c r="AI187" s="72" t="str">
        <f t="shared" si="20"/>
        <v>A</v>
      </c>
      <c r="AJ187" s="62"/>
      <c r="AK187" s="62"/>
      <c r="AL187" s="62"/>
      <c r="AM187" s="62"/>
      <c r="AN187" s="62"/>
      <c r="AO187" s="72" t="str">
        <f t="shared" si="21"/>
        <v>A</v>
      </c>
      <c r="AP187" s="62"/>
      <c r="AQ187" s="62"/>
      <c r="AR187" s="62"/>
      <c r="AS187" s="62"/>
      <c r="AT187" s="62"/>
      <c r="AU187" s="72" t="str">
        <f t="shared" si="22"/>
        <v>A</v>
      </c>
      <c r="AV187" s="62"/>
      <c r="AW187" s="62"/>
      <c r="AX187" s="62">
        <v>5</v>
      </c>
      <c r="AY187" s="62">
        <v>2</v>
      </c>
      <c r="AZ187" s="62">
        <v>4</v>
      </c>
      <c r="BA187" s="72">
        <f t="shared" si="23"/>
        <v>3.6666666666666665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1</v>
      </c>
      <c r="M188" s="62"/>
      <c r="N188" s="62">
        <v>1</v>
      </c>
      <c r="O188" s="62">
        <v>1</v>
      </c>
      <c r="P188" s="62"/>
      <c r="Q188" s="72">
        <f t="shared" si="17"/>
        <v>1</v>
      </c>
      <c r="R188" s="7"/>
      <c r="S188" s="7"/>
      <c r="T188" s="7"/>
      <c r="U188" s="7"/>
      <c r="V188" s="7"/>
      <c r="W188" s="72" t="str">
        <f t="shared" si="18"/>
        <v>A</v>
      </c>
      <c r="X188" s="7"/>
      <c r="Y188" s="7"/>
      <c r="Z188" s="7"/>
      <c r="AA188" s="7"/>
      <c r="AB188" s="7"/>
      <c r="AC188" s="72" t="str">
        <f t="shared" si="19"/>
        <v>A</v>
      </c>
      <c r="AD188" s="7"/>
      <c r="AE188" s="7"/>
      <c r="AF188" s="7"/>
      <c r="AG188" s="7"/>
      <c r="AH188" s="7"/>
      <c r="AI188" s="72" t="str">
        <f t="shared" si="20"/>
        <v>A</v>
      </c>
      <c r="AJ188" s="7"/>
      <c r="AK188" s="7"/>
      <c r="AL188" s="7"/>
      <c r="AM188" s="7"/>
      <c r="AN188" s="7"/>
      <c r="AO188" s="72" t="str">
        <f t="shared" si="21"/>
        <v>A</v>
      </c>
      <c r="AP188" s="7"/>
      <c r="AQ188" s="7"/>
      <c r="AR188" s="7"/>
      <c r="AS188" s="7"/>
      <c r="AT188" s="7"/>
      <c r="AU188" s="72" t="str">
        <f t="shared" si="22"/>
        <v>A</v>
      </c>
      <c r="AV188" s="7"/>
      <c r="AW188" s="7"/>
      <c r="AX188" s="62">
        <v>1</v>
      </c>
      <c r="AY188" s="62">
        <v>2</v>
      </c>
      <c r="AZ188" s="62">
        <v>1</v>
      </c>
      <c r="BA188" s="72">
        <f t="shared" si="23"/>
        <v>1.3333333333333333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/>
      <c r="N189" s="62">
        <v>2</v>
      </c>
      <c r="O189" s="62">
        <v>2</v>
      </c>
      <c r="P189" s="62"/>
      <c r="Q189" s="72">
        <f t="shared" si="17"/>
        <v>2</v>
      </c>
      <c r="R189" s="62"/>
      <c r="S189" s="62"/>
      <c r="T189" s="62"/>
      <c r="U189" s="62"/>
      <c r="V189" s="62"/>
      <c r="W189" s="72" t="str">
        <f t="shared" si="18"/>
        <v>A</v>
      </c>
      <c r="X189" s="62"/>
      <c r="Y189" s="62"/>
      <c r="Z189" s="62"/>
      <c r="AA189" s="62"/>
      <c r="AB189" s="62"/>
      <c r="AC189" s="72" t="str">
        <f t="shared" si="19"/>
        <v>A</v>
      </c>
      <c r="AD189" s="62"/>
      <c r="AE189" s="62"/>
      <c r="AF189" s="62"/>
      <c r="AG189" s="62"/>
      <c r="AH189" s="62"/>
      <c r="AI189" s="72" t="str">
        <f t="shared" si="20"/>
        <v>A</v>
      </c>
      <c r="AJ189" s="62"/>
      <c r="AK189" s="62"/>
      <c r="AL189" s="62"/>
      <c r="AM189" s="62"/>
      <c r="AN189" s="62"/>
      <c r="AO189" s="72" t="str">
        <f t="shared" si="21"/>
        <v>A</v>
      </c>
      <c r="AP189" s="62"/>
      <c r="AQ189" s="62"/>
      <c r="AR189" s="62"/>
      <c r="AS189" s="62"/>
      <c r="AT189" s="62"/>
      <c r="AU189" s="72" t="str">
        <f t="shared" si="22"/>
        <v>A</v>
      </c>
      <c r="AV189" s="62"/>
      <c r="AW189" s="62"/>
      <c r="AX189" s="62">
        <v>2</v>
      </c>
      <c r="AY189" s="62">
        <v>2</v>
      </c>
      <c r="AZ189" s="62">
        <v>2</v>
      </c>
      <c r="BA189" s="72">
        <f t="shared" si="23"/>
        <v>2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/>
      <c r="N190" s="62">
        <v>2</v>
      </c>
      <c r="O190" s="62">
        <v>2</v>
      </c>
      <c r="P190" s="62"/>
      <c r="Q190" s="72">
        <f t="shared" si="17"/>
        <v>2.3333333333333335</v>
      </c>
      <c r="R190" s="7"/>
      <c r="S190" s="7"/>
      <c r="T190" s="7"/>
      <c r="U190" s="7"/>
      <c r="V190" s="7"/>
      <c r="W190" s="72" t="str">
        <f t="shared" si="18"/>
        <v>A</v>
      </c>
      <c r="X190" s="7"/>
      <c r="Y190" s="7"/>
      <c r="Z190" s="7"/>
      <c r="AA190" s="7"/>
      <c r="AB190" s="7"/>
      <c r="AC190" s="72" t="str">
        <f t="shared" si="19"/>
        <v>A</v>
      </c>
      <c r="AD190" s="7"/>
      <c r="AE190" s="7"/>
      <c r="AF190" s="7"/>
      <c r="AG190" s="7"/>
      <c r="AH190" s="7"/>
      <c r="AI190" s="72" t="str">
        <f t="shared" si="20"/>
        <v>A</v>
      </c>
      <c r="AJ190" s="7"/>
      <c r="AK190" s="7"/>
      <c r="AL190" s="7"/>
      <c r="AM190" s="7"/>
      <c r="AN190" s="7"/>
      <c r="AO190" s="72" t="str">
        <f t="shared" si="21"/>
        <v>A</v>
      </c>
      <c r="AP190" s="7"/>
      <c r="AQ190" s="7"/>
      <c r="AR190" s="7"/>
      <c r="AS190" s="7"/>
      <c r="AT190" s="7"/>
      <c r="AU190" s="72" t="str">
        <f t="shared" si="22"/>
        <v>A</v>
      </c>
      <c r="AV190" s="7"/>
      <c r="AW190" s="7"/>
      <c r="AX190" s="62">
        <v>5</v>
      </c>
      <c r="AY190" s="62">
        <v>0</v>
      </c>
      <c r="AZ190" s="62">
        <v>2</v>
      </c>
      <c r="BA190" s="72">
        <f t="shared" si="23"/>
        <v>2.3333333333333335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5</v>
      </c>
      <c r="M191" s="62"/>
      <c r="N191" s="62">
        <v>4</v>
      </c>
      <c r="O191" s="62">
        <v>5</v>
      </c>
      <c r="P191" s="62"/>
      <c r="Q191" s="72">
        <f t="shared" si="17"/>
        <v>4.666666666666667</v>
      </c>
      <c r="R191" s="62"/>
      <c r="S191" s="62"/>
      <c r="T191" s="62"/>
      <c r="U191" s="62"/>
      <c r="V191" s="62"/>
      <c r="W191" s="72" t="str">
        <f t="shared" si="18"/>
        <v>A</v>
      </c>
      <c r="X191" s="62"/>
      <c r="Y191" s="62"/>
      <c r="Z191" s="62"/>
      <c r="AA191" s="62"/>
      <c r="AB191" s="62"/>
      <c r="AC191" s="72" t="str">
        <f t="shared" si="19"/>
        <v>A</v>
      </c>
      <c r="AD191" s="62"/>
      <c r="AE191" s="62"/>
      <c r="AF191" s="62"/>
      <c r="AG191" s="62"/>
      <c r="AH191" s="62"/>
      <c r="AI191" s="72" t="str">
        <f t="shared" si="20"/>
        <v>A</v>
      </c>
      <c r="AJ191" s="62"/>
      <c r="AK191" s="62"/>
      <c r="AL191" s="62"/>
      <c r="AM191" s="62"/>
      <c r="AN191" s="62"/>
      <c r="AO191" s="72" t="str">
        <f t="shared" si="21"/>
        <v>A</v>
      </c>
      <c r="AP191" s="62"/>
      <c r="AQ191" s="62"/>
      <c r="AR191" s="62"/>
      <c r="AS191" s="62"/>
      <c r="AT191" s="62"/>
      <c r="AU191" s="72" t="str">
        <f t="shared" si="22"/>
        <v>A</v>
      </c>
      <c r="AV191" s="62"/>
      <c r="AW191" s="62"/>
      <c r="AX191" s="62">
        <v>5</v>
      </c>
      <c r="AY191" s="62">
        <v>2</v>
      </c>
      <c r="AZ191" s="62">
        <v>5</v>
      </c>
      <c r="BA191" s="72">
        <f t="shared" si="23"/>
        <v>4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4</v>
      </c>
      <c r="M192" s="62"/>
      <c r="N192" s="62">
        <v>4</v>
      </c>
      <c r="O192" s="62">
        <v>4</v>
      </c>
      <c r="P192" s="62"/>
      <c r="Q192" s="72">
        <f t="shared" si="17"/>
        <v>4</v>
      </c>
      <c r="R192" s="7"/>
      <c r="S192" s="7"/>
      <c r="T192" s="7"/>
      <c r="U192" s="7"/>
      <c r="V192" s="7"/>
      <c r="W192" s="72" t="str">
        <f t="shared" si="18"/>
        <v>A</v>
      </c>
      <c r="X192" s="7"/>
      <c r="Y192" s="7"/>
      <c r="Z192" s="7"/>
      <c r="AA192" s="7"/>
      <c r="AB192" s="7"/>
      <c r="AC192" s="72" t="str">
        <f t="shared" si="19"/>
        <v>A</v>
      </c>
      <c r="AD192" s="7"/>
      <c r="AE192" s="7"/>
      <c r="AF192" s="7"/>
      <c r="AG192" s="7"/>
      <c r="AH192" s="7"/>
      <c r="AI192" s="72" t="str">
        <f t="shared" si="20"/>
        <v>A</v>
      </c>
      <c r="AJ192" s="7"/>
      <c r="AK192" s="7"/>
      <c r="AL192" s="7"/>
      <c r="AM192" s="7"/>
      <c r="AN192" s="7"/>
      <c r="AO192" s="72" t="str">
        <f t="shared" si="21"/>
        <v>A</v>
      </c>
      <c r="AP192" s="7"/>
      <c r="AQ192" s="7"/>
      <c r="AR192" s="7"/>
      <c r="AS192" s="7"/>
      <c r="AT192" s="7"/>
      <c r="AU192" s="72" t="str">
        <f t="shared" si="22"/>
        <v>A</v>
      </c>
      <c r="AV192" s="7"/>
      <c r="AW192" s="7"/>
      <c r="AX192" s="62">
        <v>4</v>
      </c>
      <c r="AY192" s="62">
        <v>2</v>
      </c>
      <c r="AZ192" s="62">
        <v>4</v>
      </c>
      <c r="BA192" s="72">
        <f t="shared" si="23"/>
        <v>3.3333333333333335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2</v>
      </c>
      <c r="M193" s="62"/>
      <c r="N193" s="62">
        <v>2</v>
      </c>
      <c r="O193" s="62">
        <v>2</v>
      </c>
      <c r="P193" s="62"/>
      <c r="Q193" s="72">
        <f t="shared" si="17"/>
        <v>2</v>
      </c>
      <c r="R193" s="62"/>
      <c r="S193" s="62"/>
      <c r="T193" s="62"/>
      <c r="U193" s="62"/>
      <c r="V193" s="62"/>
      <c r="W193" s="72" t="str">
        <f t="shared" si="18"/>
        <v>A</v>
      </c>
      <c r="X193" s="62"/>
      <c r="Y193" s="62"/>
      <c r="Z193" s="62"/>
      <c r="AA193" s="62"/>
      <c r="AB193" s="62"/>
      <c r="AC193" s="72" t="str">
        <f t="shared" si="19"/>
        <v>A</v>
      </c>
      <c r="AD193" s="62"/>
      <c r="AE193" s="62"/>
      <c r="AF193" s="62"/>
      <c r="AG193" s="62"/>
      <c r="AH193" s="62"/>
      <c r="AI193" s="72" t="str">
        <f t="shared" si="20"/>
        <v>A</v>
      </c>
      <c r="AJ193" s="62"/>
      <c r="AK193" s="62"/>
      <c r="AL193" s="62"/>
      <c r="AM193" s="62"/>
      <c r="AN193" s="62"/>
      <c r="AO193" s="72" t="str">
        <f t="shared" si="21"/>
        <v>A</v>
      </c>
      <c r="AP193" s="62"/>
      <c r="AQ193" s="62"/>
      <c r="AR193" s="62"/>
      <c r="AS193" s="62"/>
      <c r="AT193" s="62"/>
      <c r="AU193" s="72" t="str">
        <f t="shared" si="22"/>
        <v>A</v>
      </c>
      <c r="AV193" s="62"/>
      <c r="AW193" s="62"/>
      <c r="AX193" s="62">
        <v>2</v>
      </c>
      <c r="AY193" s="62">
        <v>2</v>
      </c>
      <c r="AZ193" s="62">
        <v>2</v>
      </c>
      <c r="BA193" s="72">
        <f t="shared" si="23"/>
        <v>2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3</v>
      </c>
      <c r="M194" s="62"/>
      <c r="N194" s="62">
        <v>3</v>
      </c>
      <c r="O194" s="62">
        <v>2</v>
      </c>
      <c r="P194" s="62"/>
      <c r="Q194" s="72">
        <f t="shared" si="17"/>
        <v>2.6666666666666665</v>
      </c>
      <c r="R194" s="7"/>
      <c r="S194" s="7"/>
      <c r="T194" s="7"/>
      <c r="U194" s="7"/>
      <c r="V194" s="7"/>
      <c r="W194" s="72" t="str">
        <f t="shared" si="18"/>
        <v>A</v>
      </c>
      <c r="X194" s="7"/>
      <c r="Y194" s="7"/>
      <c r="Z194" s="7"/>
      <c r="AA194" s="7"/>
      <c r="AB194" s="7"/>
      <c r="AC194" s="72" t="str">
        <f t="shared" si="19"/>
        <v>A</v>
      </c>
      <c r="AD194" s="7"/>
      <c r="AE194" s="7"/>
      <c r="AF194" s="7"/>
      <c r="AG194" s="7"/>
      <c r="AH194" s="7"/>
      <c r="AI194" s="72" t="str">
        <f t="shared" si="20"/>
        <v>A</v>
      </c>
      <c r="AJ194" s="7"/>
      <c r="AK194" s="7"/>
      <c r="AL194" s="7"/>
      <c r="AM194" s="7"/>
      <c r="AN194" s="7"/>
      <c r="AO194" s="72" t="str">
        <f t="shared" si="21"/>
        <v>A</v>
      </c>
      <c r="AP194" s="7"/>
      <c r="AQ194" s="7"/>
      <c r="AR194" s="7"/>
      <c r="AS194" s="7"/>
      <c r="AT194" s="7"/>
      <c r="AU194" s="72" t="str">
        <f t="shared" si="22"/>
        <v>A</v>
      </c>
      <c r="AV194" s="7"/>
      <c r="AW194" s="7"/>
      <c r="AX194" s="62">
        <v>5</v>
      </c>
      <c r="AY194" s="62">
        <v>2</v>
      </c>
      <c r="AZ194" s="62">
        <v>2</v>
      </c>
      <c r="BA194" s="72">
        <f t="shared" si="23"/>
        <v>3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/>
      <c r="N195" s="62">
        <v>2</v>
      </c>
      <c r="O195" s="62">
        <v>3</v>
      </c>
      <c r="P195" s="62"/>
      <c r="Q195" s="72">
        <f t="shared" si="17"/>
        <v>2.6666666666666665</v>
      </c>
      <c r="R195" s="62"/>
      <c r="S195" s="62"/>
      <c r="T195" s="62"/>
      <c r="U195" s="62"/>
      <c r="V195" s="62"/>
      <c r="W195" s="72" t="str">
        <f t="shared" si="18"/>
        <v>A</v>
      </c>
      <c r="X195" s="62"/>
      <c r="Y195" s="62"/>
      <c r="Z195" s="62"/>
      <c r="AA195" s="62"/>
      <c r="AB195" s="62"/>
      <c r="AC195" s="72" t="str">
        <f t="shared" si="19"/>
        <v>A</v>
      </c>
      <c r="AD195" s="62"/>
      <c r="AE195" s="62"/>
      <c r="AF195" s="62"/>
      <c r="AG195" s="62"/>
      <c r="AH195" s="62"/>
      <c r="AI195" s="72" t="str">
        <f t="shared" si="20"/>
        <v>A</v>
      </c>
      <c r="AJ195" s="62"/>
      <c r="AK195" s="62"/>
      <c r="AL195" s="62"/>
      <c r="AM195" s="62"/>
      <c r="AN195" s="62"/>
      <c r="AO195" s="72" t="str">
        <f t="shared" si="21"/>
        <v>A</v>
      </c>
      <c r="AP195" s="62"/>
      <c r="AQ195" s="62"/>
      <c r="AR195" s="62"/>
      <c r="AS195" s="62"/>
      <c r="AT195" s="62"/>
      <c r="AU195" s="72" t="str">
        <f t="shared" si="22"/>
        <v>A</v>
      </c>
      <c r="AV195" s="62"/>
      <c r="AW195" s="62"/>
      <c r="AX195" s="62">
        <v>5</v>
      </c>
      <c r="AY195" s="62">
        <v>2</v>
      </c>
      <c r="AZ195" s="62">
        <v>2</v>
      </c>
      <c r="BA195" s="72">
        <f t="shared" si="23"/>
        <v>3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3</v>
      </c>
      <c r="M196" s="62"/>
      <c r="N196" s="62">
        <v>3</v>
      </c>
      <c r="O196" s="62">
        <v>3</v>
      </c>
      <c r="P196" s="62"/>
      <c r="Q196" s="72">
        <f t="shared" ref="Q196:Q230" si="25">IFERROR(AVERAGE(N196,L196,O196),"A")</f>
        <v>3</v>
      </c>
      <c r="R196" s="7"/>
      <c r="S196" s="7"/>
      <c r="T196" s="7"/>
      <c r="U196" s="7"/>
      <c r="V196" s="7"/>
      <c r="W196" s="72" t="str">
        <f t="shared" ref="W196:W230" si="26">IFERROR(AVERAGE(R196,S196,U196),"A")</f>
        <v>A</v>
      </c>
      <c r="X196" s="7"/>
      <c r="Y196" s="7"/>
      <c r="Z196" s="7"/>
      <c r="AA196" s="7"/>
      <c r="AB196" s="7"/>
      <c r="AC196" s="72" t="str">
        <f t="shared" ref="AC196:AC230" si="27">IFERROR(AVERAGE(Y196,X196),"A")</f>
        <v>A</v>
      </c>
      <c r="AD196" s="7"/>
      <c r="AE196" s="7"/>
      <c r="AF196" s="7"/>
      <c r="AG196" s="7"/>
      <c r="AH196" s="7"/>
      <c r="AI196" s="72" t="str">
        <f t="shared" ref="AI196:AI230" si="28">IFERROR(AVERAGE(AF196,AD196),"A")</f>
        <v>A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7"/>
      <c r="AQ196" s="7"/>
      <c r="AR196" s="7"/>
      <c r="AS196" s="7"/>
      <c r="AT196" s="7"/>
      <c r="AU196" s="72" t="str">
        <f t="shared" ref="AU196:AU230" si="30">IFERROR(AVERAGE(AR196,AQ196,AP196),"A")</f>
        <v>A</v>
      </c>
      <c r="AV196" s="7"/>
      <c r="AW196" s="7"/>
      <c r="AX196" s="62">
        <v>5</v>
      </c>
      <c r="AY196" s="62">
        <v>2</v>
      </c>
      <c r="AZ196" s="62">
        <v>4</v>
      </c>
      <c r="BA196" s="72">
        <f t="shared" ref="BA196:BA230" si="31">IFERROR(AVERAGE(AX196,AY196,AZ196),"A")</f>
        <v>3.6666666666666665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4</v>
      </c>
      <c r="M197" s="62"/>
      <c r="N197" s="62">
        <v>4</v>
      </c>
      <c r="O197" s="62">
        <v>3</v>
      </c>
      <c r="P197" s="62"/>
      <c r="Q197" s="72">
        <f t="shared" si="25"/>
        <v>3.6666666666666665</v>
      </c>
      <c r="R197" s="62"/>
      <c r="S197" s="62"/>
      <c r="T197" s="62"/>
      <c r="U197" s="62"/>
      <c r="V197" s="62"/>
      <c r="W197" s="72" t="str">
        <f t="shared" si="26"/>
        <v>A</v>
      </c>
      <c r="X197" s="62"/>
      <c r="Y197" s="62"/>
      <c r="Z197" s="62"/>
      <c r="AA197" s="62"/>
      <c r="AB197" s="62"/>
      <c r="AC197" s="72" t="str">
        <f t="shared" si="27"/>
        <v>A</v>
      </c>
      <c r="AD197" s="62"/>
      <c r="AE197" s="62"/>
      <c r="AF197" s="62"/>
      <c r="AG197" s="62"/>
      <c r="AH197" s="62"/>
      <c r="AI197" s="72" t="str">
        <f t="shared" si="28"/>
        <v>A</v>
      </c>
      <c r="AJ197" s="62"/>
      <c r="AK197" s="62"/>
      <c r="AL197" s="62"/>
      <c r="AM197" s="62"/>
      <c r="AN197" s="62"/>
      <c r="AO197" s="72" t="str">
        <f t="shared" si="29"/>
        <v>A</v>
      </c>
      <c r="AP197" s="62"/>
      <c r="AQ197" s="62"/>
      <c r="AR197" s="62"/>
      <c r="AS197" s="62"/>
      <c r="AT197" s="62"/>
      <c r="AU197" s="72" t="str">
        <f t="shared" si="30"/>
        <v>A</v>
      </c>
      <c r="AV197" s="62"/>
      <c r="AW197" s="62"/>
      <c r="AX197" s="62">
        <v>4</v>
      </c>
      <c r="AY197" s="62">
        <v>2</v>
      </c>
      <c r="AZ197" s="62">
        <v>3</v>
      </c>
      <c r="BA197" s="72">
        <f t="shared" si="31"/>
        <v>3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3</v>
      </c>
      <c r="M198" s="62"/>
      <c r="N198" s="62">
        <v>3</v>
      </c>
      <c r="O198" s="62">
        <v>2</v>
      </c>
      <c r="P198" s="62"/>
      <c r="Q198" s="72">
        <f t="shared" si="25"/>
        <v>2.6666666666666665</v>
      </c>
      <c r="R198" s="7"/>
      <c r="S198" s="7"/>
      <c r="T198" s="7"/>
      <c r="U198" s="7"/>
      <c r="V198" s="7"/>
      <c r="W198" s="72" t="str">
        <f t="shared" si="26"/>
        <v>A</v>
      </c>
      <c r="X198" s="7"/>
      <c r="Y198" s="7"/>
      <c r="Z198" s="7"/>
      <c r="AA198" s="7"/>
      <c r="AB198" s="7"/>
      <c r="AC198" s="72" t="str">
        <f t="shared" si="27"/>
        <v>A</v>
      </c>
      <c r="AD198" s="7"/>
      <c r="AE198" s="7"/>
      <c r="AF198" s="7"/>
      <c r="AG198" s="7"/>
      <c r="AH198" s="7"/>
      <c r="AI198" s="72" t="str">
        <f t="shared" si="28"/>
        <v>A</v>
      </c>
      <c r="AJ198" s="7"/>
      <c r="AK198" s="7"/>
      <c r="AL198" s="7"/>
      <c r="AM198" s="7"/>
      <c r="AN198" s="7"/>
      <c r="AO198" s="72" t="str">
        <f t="shared" si="29"/>
        <v>A</v>
      </c>
      <c r="AP198" s="7"/>
      <c r="AQ198" s="7"/>
      <c r="AR198" s="7"/>
      <c r="AS198" s="7"/>
      <c r="AT198" s="7"/>
      <c r="AU198" s="72" t="str">
        <f t="shared" si="30"/>
        <v>A</v>
      </c>
      <c r="AV198" s="7"/>
      <c r="AW198" s="7"/>
      <c r="AX198" s="62">
        <v>5</v>
      </c>
      <c r="AY198" s="62">
        <v>2</v>
      </c>
      <c r="AZ198" s="62">
        <v>3</v>
      </c>
      <c r="BA198" s="72">
        <f t="shared" si="31"/>
        <v>3.3333333333333335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2</v>
      </c>
      <c r="M199" s="62"/>
      <c r="N199" s="62">
        <v>2</v>
      </c>
      <c r="O199" s="62">
        <v>2</v>
      </c>
      <c r="P199" s="62"/>
      <c r="Q199" s="72">
        <f t="shared" si="25"/>
        <v>2</v>
      </c>
      <c r="R199" s="62"/>
      <c r="S199" s="62"/>
      <c r="T199" s="62"/>
      <c r="U199" s="62"/>
      <c r="V199" s="62"/>
      <c r="W199" s="72" t="str">
        <f t="shared" si="26"/>
        <v>A</v>
      </c>
      <c r="X199" s="62"/>
      <c r="Y199" s="62"/>
      <c r="Z199" s="62"/>
      <c r="AA199" s="62"/>
      <c r="AB199" s="62"/>
      <c r="AC199" s="72" t="str">
        <f t="shared" si="27"/>
        <v>A</v>
      </c>
      <c r="AD199" s="62"/>
      <c r="AE199" s="62"/>
      <c r="AF199" s="62"/>
      <c r="AG199" s="62"/>
      <c r="AH199" s="62"/>
      <c r="AI199" s="72" t="str">
        <f t="shared" si="28"/>
        <v>A</v>
      </c>
      <c r="AJ199" s="62"/>
      <c r="AK199" s="62"/>
      <c r="AL199" s="62"/>
      <c r="AM199" s="62"/>
      <c r="AN199" s="62"/>
      <c r="AO199" s="72" t="str">
        <f t="shared" si="29"/>
        <v>A</v>
      </c>
      <c r="AP199" s="62"/>
      <c r="AQ199" s="62"/>
      <c r="AR199" s="62"/>
      <c r="AS199" s="62"/>
      <c r="AT199" s="62"/>
      <c r="AU199" s="72" t="str">
        <f t="shared" si="30"/>
        <v>A</v>
      </c>
      <c r="AV199" s="62"/>
      <c r="AW199" s="62"/>
      <c r="AX199" s="62">
        <v>5</v>
      </c>
      <c r="AY199" s="62">
        <v>2</v>
      </c>
      <c r="AZ199" s="62">
        <v>3</v>
      </c>
      <c r="BA199" s="72">
        <f t="shared" si="31"/>
        <v>3.3333333333333335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3</v>
      </c>
      <c r="M200" s="62"/>
      <c r="N200" s="62">
        <v>3</v>
      </c>
      <c r="O200" s="62">
        <v>2</v>
      </c>
      <c r="P200" s="62"/>
      <c r="Q200" s="72">
        <f t="shared" si="25"/>
        <v>2.6666666666666665</v>
      </c>
      <c r="R200" s="7"/>
      <c r="S200" s="7"/>
      <c r="T200" s="7"/>
      <c r="U200" s="7"/>
      <c r="V200" s="7"/>
      <c r="W200" s="72" t="str">
        <f t="shared" si="26"/>
        <v>A</v>
      </c>
      <c r="X200" s="7"/>
      <c r="Y200" s="7"/>
      <c r="Z200" s="7"/>
      <c r="AA200" s="7"/>
      <c r="AB200" s="7"/>
      <c r="AC200" s="72" t="str">
        <f t="shared" si="27"/>
        <v>A</v>
      </c>
      <c r="AD200" s="7"/>
      <c r="AE200" s="7"/>
      <c r="AF200" s="7"/>
      <c r="AG200" s="7"/>
      <c r="AH200" s="7"/>
      <c r="AI200" s="72" t="str">
        <f t="shared" si="28"/>
        <v>A</v>
      </c>
      <c r="AJ200" s="7"/>
      <c r="AK200" s="7"/>
      <c r="AL200" s="7"/>
      <c r="AM200" s="7"/>
      <c r="AN200" s="7"/>
      <c r="AO200" s="72" t="str">
        <f t="shared" si="29"/>
        <v>A</v>
      </c>
      <c r="AP200" s="7"/>
      <c r="AQ200" s="7"/>
      <c r="AR200" s="7"/>
      <c r="AS200" s="7"/>
      <c r="AT200" s="7"/>
      <c r="AU200" s="72" t="str">
        <f t="shared" si="30"/>
        <v>A</v>
      </c>
      <c r="AV200" s="7"/>
      <c r="AW200" s="7"/>
      <c r="AX200" s="62">
        <v>5</v>
      </c>
      <c r="AY200" s="62">
        <v>0</v>
      </c>
      <c r="AZ200" s="62">
        <v>2</v>
      </c>
      <c r="BA200" s="72">
        <f t="shared" si="31"/>
        <v>2.3333333333333335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3</v>
      </c>
      <c r="M201" s="62"/>
      <c r="N201" s="62">
        <v>3</v>
      </c>
      <c r="O201" s="62">
        <v>3</v>
      </c>
      <c r="P201" s="62"/>
      <c r="Q201" s="72">
        <f t="shared" si="25"/>
        <v>3</v>
      </c>
      <c r="R201" s="62"/>
      <c r="S201" s="62"/>
      <c r="T201" s="62"/>
      <c r="U201" s="62"/>
      <c r="V201" s="62"/>
      <c r="W201" s="72" t="str">
        <f t="shared" si="26"/>
        <v>A</v>
      </c>
      <c r="X201" s="62"/>
      <c r="Y201" s="62"/>
      <c r="Z201" s="62"/>
      <c r="AA201" s="62"/>
      <c r="AB201" s="62"/>
      <c r="AC201" s="72" t="str">
        <f t="shared" si="27"/>
        <v>A</v>
      </c>
      <c r="AD201" s="62"/>
      <c r="AE201" s="62"/>
      <c r="AF201" s="62"/>
      <c r="AG201" s="62"/>
      <c r="AH201" s="62"/>
      <c r="AI201" s="72" t="str">
        <f t="shared" si="28"/>
        <v>A</v>
      </c>
      <c r="AJ201" s="62"/>
      <c r="AK201" s="62"/>
      <c r="AL201" s="62"/>
      <c r="AM201" s="62"/>
      <c r="AN201" s="62"/>
      <c r="AO201" s="72" t="str">
        <f t="shared" si="29"/>
        <v>A</v>
      </c>
      <c r="AP201" s="62"/>
      <c r="AQ201" s="62"/>
      <c r="AR201" s="62"/>
      <c r="AS201" s="62"/>
      <c r="AT201" s="62"/>
      <c r="AU201" s="72" t="str">
        <f t="shared" si="30"/>
        <v>A</v>
      </c>
      <c r="AV201" s="62"/>
      <c r="AW201" s="62"/>
      <c r="AX201" s="62">
        <v>4</v>
      </c>
      <c r="AY201" s="62">
        <v>2</v>
      </c>
      <c r="AZ201" s="62">
        <v>3</v>
      </c>
      <c r="BA201" s="72">
        <f t="shared" si="31"/>
        <v>3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3</v>
      </c>
      <c r="M202" s="62"/>
      <c r="N202" s="62">
        <v>3</v>
      </c>
      <c r="O202" s="62">
        <v>3</v>
      </c>
      <c r="P202" s="62"/>
      <c r="Q202" s="72">
        <f t="shared" si="25"/>
        <v>3</v>
      </c>
      <c r="R202" s="7"/>
      <c r="S202" s="7"/>
      <c r="T202" s="7"/>
      <c r="U202" s="7"/>
      <c r="V202" s="7"/>
      <c r="W202" s="72" t="str">
        <f t="shared" si="26"/>
        <v>A</v>
      </c>
      <c r="X202" s="7"/>
      <c r="Y202" s="7"/>
      <c r="Z202" s="7"/>
      <c r="AA202" s="7"/>
      <c r="AB202" s="7"/>
      <c r="AC202" s="72" t="str">
        <f t="shared" si="27"/>
        <v>A</v>
      </c>
      <c r="AD202" s="7"/>
      <c r="AE202" s="7"/>
      <c r="AF202" s="7"/>
      <c r="AG202" s="7"/>
      <c r="AH202" s="7"/>
      <c r="AI202" s="72" t="str">
        <f t="shared" si="28"/>
        <v>A</v>
      </c>
      <c r="AJ202" s="7"/>
      <c r="AK202" s="7"/>
      <c r="AL202" s="7"/>
      <c r="AM202" s="7"/>
      <c r="AN202" s="7"/>
      <c r="AO202" s="72" t="str">
        <f t="shared" si="29"/>
        <v>A</v>
      </c>
      <c r="AP202" s="7"/>
      <c r="AQ202" s="7"/>
      <c r="AR202" s="7"/>
      <c r="AS202" s="7"/>
      <c r="AT202" s="7"/>
      <c r="AU202" s="72" t="str">
        <f t="shared" si="30"/>
        <v>A</v>
      </c>
      <c r="AV202" s="7"/>
      <c r="AW202" s="7"/>
      <c r="AX202" s="62">
        <v>5</v>
      </c>
      <c r="AY202" s="62">
        <v>2</v>
      </c>
      <c r="AZ202" s="62">
        <v>2</v>
      </c>
      <c r="BA202" s="72">
        <f t="shared" si="31"/>
        <v>3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3</v>
      </c>
      <c r="M203" s="62"/>
      <c r="N203" s="62">
        <v>3</v>
      </c>
      <c r="O203" s="62">
        <v>3</v>
      </c>
      <c r="P203" s="62"/>
      <c r="Q203" s="72">
        <f t="shared" si="25"/>
        <v>3</v>
      </c>
      <c r="R203" s="62"/>
      <c r="S203" s="62"/>
      <c r="T203" s="62"/>
      <c r="U203" s="62"/>
      <c r="V203" s="62"/>
      <c r="W203" s="72" t="str">
        <f t="shared" si="26"/>
        <v>A</v>
      </c>
      <c r="X203" s="62"/>
      <c r="Y203" s="62"/>
      <c r="Z203" s="62"/>
      <c r="AA203" s="62"/>
      <c r="AB203" s="62"/>
      <c r="AC203" s="72" t="str">
        <f t="shared" si="27"/>
        <v>A</v>
      </c>
      <c r="AD203" s="62"/>
      <c r="AE203" s="62"/>
      <c r="AF203" s="62"/>
      <c r="AG203" s="62"/>
      <c r="AH203" s="62"/>
      <c r="AI203" s="72" t="str">
        <f t="shared" si="28"/>
        <v>A</v>
      </c>
      <c r="AJ203" s="62"/>
      <c r="AK203" s="62"/>
      <c r="AL203" s="62"/>
      <c r="AM203" s="62"/>
      <c r="AN203" s="62"/>
      <c r="AO203" s="72" t="str">
        <f t="shared" si="29"/>
        <v>A</v>
      </c>
      <c r="AP203" s="62"/>
      <c r="AQ203" s="62"/>
      <c r="AR203" s="62"/>
      <c r="AS203" s="62"/>
      <c r="AT203" s="62"/>
      <c r="AU203" s="72" t="str">
        <f t="shared" si="30"/>
        <v>A</v>
      </c>
      <c r="AV203" s="62"/>
      <c r="AW203" s="62"/>
      <c r="AX203" s="62">
        <v>2</v>
      </c>
      <c r="AY203" s="62">
        <v>2</v>
      </c>
      <c r="AZ203" s="62">
        <v>2</v>
      </c>
      <c r="BA203" s="72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3</v>
      </c>
      <c r="M204" s="62"/>
      <c r="N204" s="62">
        <v>3</v>
      </c>
      <c r="O204" s="62">
        <v>2</v>
      </c>
      <c r="P204" s="62"/>
      <c r="Q204" s="72">
        <f t="shared" si="25"/>
        <v>2.6666666666666665</v>
      </c>
      <c r="R204" s="7"/>
      <c r="S204" s="7"/>
      <c r="T204" s="7"/>
      <c r="U204" s="7"/>
      <c r="V204" s="7"/>
      <c r="W204" s="72" t="str">
        <f t="shared" si="26"/>
        <v>A</v>
      </c>
      <c r="X204" s="7"/>
      <c r="Y204" s="7"/>
      <c r="Z204" s="7"/>
      <c r="AA204" s="7"/>
      <c r="AB204" s="7"/>
      <c r="AC204" s="72" t="str">
        <f t="shared" si="27"/>
        <v>A</v>
      </c>
      <c r="AD204" s="7"/>
      <c r="AE204" s="7"/>
      <c r="AF204" s="7"/>
      <c r="AG204" s="7"/>
      <c r="AH204" s="7"/>
      <c r="AI204" s="72" t="str">
        <f t="shared" si="28"/>
        <v>A</v>
      </c>
      <c r="AJ204" s="7"/>
      <c r="AK204" s="7"/>
      <c r="AL204" s="7"/>
      <c r="AM204" s="7"/>
      <c r="AN204" s="7"/>
      <c r="AO204" s="72" t="str">
        <f t="shared" si="29"/>
        <v>A</v>
      </c>
      <c r="AP204" s="7"/>
      <c r="AQ204" s="7"/>
      <c r="AR204" s="7"/>
      <c r="AS204" s="7"/>
      <c r="AT204" s="7"/>
      <c r="AU204" s="72" t="str">
        <f t="shared" si="30"/>
        <v>A</v>
      </c>
      <c r="AV204" s="7"/>
      <c r="AW204" s="7"/>
      <c r="AX204" s="62">
        <v>4</v>
      </c>
      <c r="AY204" s="62">
        <v>2</v>
      </c>
      <c r="AZ204" s="62">
        <v>2</v>
      </c>
      <c r="BA204" s="72">
        <f t="shared" si="31"/>
        <v>2.6666666666666665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/>
      <c r="N205" s="62">
        <v>2</v>
      </c>
      <c r="O205" s="62">
        <v>2</v>
      </c>
      <c r="P205" s="62"/>
      <c r="Q205" s="72">
        <f t="shared" si="25"/>
        <v>2</v>
      </c>
      <c r="R205" s="62"/>
      <c r="S205" s="62"/>
      <c r="T205" s="62"/>
      <c r="U205" s="62"/>
      <c r="V205" s="62"/>
      <c r="W205" s="72" t="str">
        <f t="shared" si="26"/>
        <v>A</v>
      </c>
      <c r="X205" s="62"/>
      <c r="Y205" s="62"/>
      <c r="Z205" s="62"/>
      <c r="AA205" s="62"/>
      <c r="AB205" s="62"/>
      <c r="AC205" s="72" t="str">
        <f t="shared" si="27"/>
        <v>A</v>
      </c>
      <c r="AD205" s="62"/>
      <c r="AE205" s="62"/>
      <c r="AF205" s="62"/>
      <c r="AG205" s="62"/>
      <c r="AH205" s="62"/>
      <c r="AI205" s="72" t="str">
        <f t="shared" si="28"/>
        <v>A</v>
      </c>
      <c r="AJ205" s="62"/>
      <c r="AK205" s="62"/>
      <c r="AL205" s="62"/>
      <c r="AM205" s="62"/>
      <c r="AN205" s="62"/>
      <c r="AO205" s="72" t="str">
        <f t="shared" si="29"/>
        <v>A</v>
      </c>
      <c r="AP205" s="62"/>
      <c r="AQ205" s="62"/>
      <c r="AR205" s="62"/>
      <c r="AS205" s="62"/>
      <c r="AT205" s="62"/>
      <c r="AU205" s="72" t="str">
        <f t="shared" si="30"/>
        <v>A</v>
      </c>
      <c r="AV205" s="62"/>
      <c r="AW205" s="62"/>
      <c r="AX205" s="62">
        <v>2</v>
      </c>
      <c r="AY205" s="62">
        <v>2</v>
      </c>
      <c r="AZ205" s="62">
        <v>2</v>
      </c>
      <c r="BA205" s="72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/>
      <c r="N206" s="62">
        <v>3</v>
      </c>
      <c r="O206" s="62">
        <v>2</v>
      </c>
      <c r="P206" s="62"/>
      <c r="Q206" s="72">
        <f t="shared" si="25"/>
        <v>2.6666666666666665</v>
      </c>
      <c r="R206" s="7"/>
      <c r="S206" s="7"/>
      <c r="T206" s="7"/>
      <c r="U206" s="7"/>
      <c r="V206" s="7"/>
      <c r="W206" s="72" t="str">
        <f t="shared" si="26"/>
        <v>A</v>
      </c>
      <c r="X206" s="7"/>
      <c r="Y206" s="7"/>
      <c r="Z206" s="7"/>
      <c r="AA206" s="7"/>
      <c r="AB206" s="7"/>
      <c r="AC206" s="72" t="str">
        <f t="shared" si="27"/>
        <v>A</v>
      </c>
      <c r="AD206" s="7"/>
      <c r="AE206" s="7"/>
      <c r="AF206" s="7"/>
      <c r="AG206" s="7"/>
      <c r="AH206" s="7"/>
      <c r="AI206" s="72" t="str">
        <f t="shared" si="28"/>
        <v>A</v>
      </c>
      <c r="AJ206" s="7"/>
      <c r="AK206" s="7"/>
      <c r="AL206" s="7"/>
      <c r="AM206" s="7"/>
      <c r="AN206" s="7"/>
      <c r="AO206" s="72" t="str">
        <f t="shared" si="29"/>
        <v>A</v>
      </c>
      <c r="AP206" s="7"/>
      <c r="AQ206" s="7"/>
      <c r="AR206" s="7"/>
      <c r="AS206" s="7"/>
      <c r="AT206" s="7"/>
      <c r="AU206" s="72" t="str">
        <f t="shared" si="30"/>
        <v>A</v>
      </c>
      <c r="AV206" s="7"/>
      <c r="AW206" s="7"/>
      <c r="AX206" s="62">
        <v>4</v>
      </c>
      <c r="AY206" s="62">
        <v>2</v>
      </c>
      <c r="AZ206" s="62">
        <v>2</v>
      </c>
      <c r="BA206" s="72">
        <f t="shared" si="31"/>
        <v>2.6666666666666665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3</v>
      </c>
      <c r="M207" s="62"/>
      <c r="N207" s="62">
        <v>2</v>
      </c>
      <c r="O207" s="62">
        <v>2</v>
      </c>
      <c r="P207" s="62"/>
      <c r="Q207" s="72">
        <f t="shared" si="25"/>
        <v>2.3333333333333335</v>
      </c>
      <c r="R207" s="62"/>
      <c r="S207" s="62"/>
      <c r="T207" s="62"/>
      <c r="U207" s="62"/>
      <c r="V207" s="62"/>
      <c r="W207" s="72" t="str">
        <f t="shared" si="26"/>
        <v>A</v>
      </c>
      <c r="X207" s="62"/>
      <c r="Y207" s="62"/>
      <c r="Z207" s="62"/>
      <c r="AA207" s="62"/>
      <c r="AB207" s="62"/>
      <c r="AC207" s="72" t="str">
        <f t="shared" si="27"/>
        <v>A</v>
      </c>
      <c r="AD207" s="62"/>
      <c r="AE207" s="62"/>
      <c r="AF207" s="62"/>
      <c r="AG207" s="62"/>
      <c r="AH207" s="62"/>
      <c r="AI207" s="72" t="str">
        <f t="shared" si="28"/>
        <v>A</v>
      </c>
      <c r="AJ207" s="62"/>
      <c r="AK207" s="62"/>
      <c r="AL207" s="62"/>
      <c r="AM207" s="62"/>
      <c r="AN207" s="62"/>
      <c r="AO207" s="72" t="str">
        <f t="shared" si="29"/>
        <v>A</v>
      </c>
      <c r="AP207" s="62"/>
      <c r="AQ207" s="62"/>
      <c r="AR207" s="62"/>
      <c r="AS207" s="62"/>
      <c r="AT207" s="62"/>
      <c r="AU207" s="72" t="str">
        <f t="shared" si="30"/>
        <v>A</v>
      </c>
      <c r="AV207" s="62"/>
      <c r="AW207" s="62"/>
      <c r="AX207" s="62">
        <v>4</v>
      </c>
      <c r="AY207" s="62">
        <v>2</v>
      </c>
      <c r="AZ207" s="62">
        <v>2</v>
      </c>
      <c r="BA207" s="72">
        <f t="shared" si="31"/>
        <v>2.6666666666666665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3</v>
      </c>
      <c r="M208" s="62"/>
      <c r="N208" s="62">
        <v>2</v>
      </c>
      <c r="O208" s="62">
        <v>2</v>
      </c>
      <c r="P208" s="62"/>
      <c r="Q208" s="72">
        <f t="shared" si="25"/>
        <v>2.3333333333333335</v>
      </c>
      <c r="R208" s="7"/>
      <c r="S208" s="7"/>
      <c r="T208" s="7"/>
      <c r="U208" s="7"/>
      <c r="V208" s="7"/>
      <c r="W208" s="72" t="str">
        <f t="shared" si="26"/>
        <v>A</v>
      </c>
      <c r="X208" s="7"/>
      <c r="Y208" s="7"/>
      <c r="Z208" s="7"/>
      <c r="AA208" s="7"/>
      <c r="AB208" s="7"/>
      <c r="AC208" s="72" t="str">
        <f t="shared" si="27"/>
        <v>A</v>
      </c>
      <c r="AD208" s="7"/>
      <c r="AE208" s="7"/>
      <c r="AF208" s="7"/>
      <c r="AG208" s="7"/>
      <c r="AH208" s="7"/>
      <c r="AI208" s="72" t="str">
        <f t="shared" si="28"/>
        <v>A</v>
      </c>
      <c r="AJ208" s="7"/>
      <c r="AK208" s="7"/>
      <c r="AL208" s="7"/>
      <c r="AM208" s="7"/>
      <c r="AN208" s="7"/>
      <c r="AO208" s="72" t="str">
        <f t="shared" si="29"/>
        <v>A</v>
      </c>
      <c r="AP208" s="7"/>
      <c r="AQ208" s="7"/>
      <c r="AR208" s="7"/>
      <c r="AS208" s="7"/>
      <c r="AT208" s="7"/>
      <c r="AU208" s="72" t="str">
        <f t="shared" si="30"/>
        <v>A</v>
      </c>
      <c r="AV208" s="7"/>
      <c r="AW208" s="7"/>
      <c r="AX208" s="62">
        <v>4</v>
      </c>
      <c r="AY208" s="62">
        <v>2</v>
      </c>
      <c r="AZ208" s="62">
        <v>2</v>
      </c>
      <c r="BA208" s="72">
        <f t="shared" si="31"/>
        <v>2.6666666666666665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3</v>
      </c>
      <c r="M209" s="62"/>
      <c r="N209" s="62">
        <v>3</v>
      </c>
      <c r="O209" s="62">
        <v>3</v>
      </c>
      <c r="P209" s="62"/>
      <c r="Q209" s="72">
        <f t="shared" si="25"/>
        <v>3</v>
      </c>
      <c r="R209" s="62"/>
      <c r="S209" s="62"/>
      <c r="T209" s="62"/>
      <c r="U209" s="62"/>
      <c r="V209" s="62"/>
      <c r="W209" s="72" t="str">
        <f t="shared" si="26"/>
        <v>A</v>
      </c>
      <c r="X209" s="62"/>
      <c r="Y209" s="62"/>
      <c r="Z209" s="62"/>
      <c r="AA209" s="62"/>
      <c r="AB209" s="62"/>
      <c r="AC209" s="72" t="str">
        <f t="shared" si="27"/>
        <v>A</v>
      </c>
      <c r="AD209" s="62"/>
      <c r="AE209" s="62"/>
      <c r="AF209" s="62"/>
      <c r="AG209" s="62"/>
      <c r="AH209" s="62"/>
      <c r="AI209" s="72" t="str">
        <f t="shared" si="28"/>
        <v>A</v>
      </c>
      <c r="AJ209" s="62"/>
      <c r="AK209" s="62"/>
      <c r="AL209" s="62"/>
      <c r="AM209" s="62"/>
      <c r="AN209" s="62"/>
      <c r="AO209" s="72" t="str">
        <f t="shared" si="29"/>
        <v>A</v>
      </c>
      <c r="AP209" s="62"/>
      <c r="AQ209" s="62"/>
      <c r="AR209" s="62"/>
      <c r="AS209" s="62"/>
      <c r="AT209" s="62"/>
      <c r="AU209" s="72" t="str">
        <f t="shared" si="30"/>
        <v>A</v>
      </c>
      <c r="AV209" s="62"/>
      <c r="AW209" s="62"/>
      <c r="AX209" s="62">
        <v>4</v>
      </c>
      <c r="AY209" s="62">
        <v>2</v>
      </c>
      <c r="AZ209" s="62">
        <v>3</v>
      </c>
      <c r="BA209" s="72">
        <f t="shared" si="31"/>
        <v>3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3</v>
      </c>
      <c r="M210" s="62"/>
      <c r="N210" s="62">
        <v>2</v>
      </c>
      <c r="O210" s="62">
        <v>3</v>
      </c>
      <c r="P210" s="62"/>
      <c r="Q210" s="72">
        <f t="shared" si="25"/>
        <v>2.6666666666666665</v>
      </c>
      <c r="R210" s="7"/>
      <c r="S210" s="7"/>
      <c r="T210" s="7"/>
      <c r="U210" s="7"/>
      <c r="V210" s="7"/>
      <c r="W210" s="72" t="str">
        <f t="shared" si="26"/>
        <v>A</v>
      </c>
      <c r="X210" s="7"/>
      <c r="Y210" s="7"/>
      <c r="Z210" s="7"/>
      <c r="AA210" s="7"/>
      <c r="AB210" s="7"/>
      <c r="AC210" s="72" t="str">
        <f t="shared" si="27"/>
        <v>A</v>
      </c>
      <c r="AD210" s="7"/>
      <c r="AE210" s="7"/>
      <c r="AF210" s="7"/>
      <c r="AG210" s="7"/>
      <c r="AH210" s="7"/>
      <c r="AI210" s="72" t="str">
        <f t="shared" si="28"/>
        <v>A</v>
      </c>
      <c r="AJ210" s="7"/>
      <c r="AK210" s="7"/>
      <c r="AL210" s="7"/>
      <c r="AM210" s="7"/>
      <c r="AN210" s="7"/>
      <c r="AO210" s="72" t="str">
        <f t="shared" si="29"/>
        <v>A</v>
      </c>
      <c r="AP210" s="7"/>
      <c r="AQ210" s="7"/>
      <c r="AR210" s="7"/>
      <c r="AS210" s="7"/>
      <c r="AT210" s="7"/>
      <c r="AU210" s="72" t="str">
        <f t="shared" si="30"/>
        <v>A</v>
      </c>
      <c r="AV210" s="7"/>
      <c r="AW210" s="7"/>
      <c r="AX210" s="62">
        <v>5</v>
      </c>
      <c r="AY210" s="62">
        <v>0</v>
      </c>
      <c r="AZ210" s="62">
        <v>3</v>
      </c>
      <c r="BA210" s="72">
        <f t="shared" si="31"/>
        <v>2.6666666666666665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3</v>
      </c>
      <c r="M211" s="62"/>
      <c r="N211" s="62">
        <v>4</v>
      </c>
      <c r="O211" s="62">
        <v>3</v>
      </c>
      <c r="P211" s="62"/>
      <c r="Q211" s="72">
        <f t="shared" si="25"/>
        <v>3.3333333333333335</v>
      </c>
      <c r="R211" s="62"/>
      <c r="S211" s="62"/>
      <c r="T211" s="62"/>
      <c r="U211" s="62"/>
      <c r="V211" s="62"/>
      <c r="W211" s="72" t="str">
        <f t="shared" si="26"/>
        <v>A</v>
      </c>
      <c r="X211" s="62"/>
      <c r="Y211" s="62"/>
      <c r="Z211" s="62"/>
      <c r="AA211" s="62"/>
      <c r="AB211" s="62"/>
      <c r="AC211" s="72" t="str">
        <f t="shared" si="27"/>
        <v>A</v>
      </c>
      <c r="AD211" s="62"/>
      <c r="AE211" s="62"/>
      <c r="AF211" s="62"/>
      <c r="AG211" s="62"/>
      <c r="AH211" s="62"/>
      <c r="AI211" s="72" t="str">
        <f t="shared" si="28"/>
        <v>A</v>
      </c>
      <c r="AJ211" s="62"/>
      <c r="AK211" s="62"/>
      <c r="AL211" s="62"/>
      <c r="AM211" s="62"/>
      <c r="AN211" s="62"/>
      <c r="AO211" s="72" t="str">
        <f t="shared" si="29"/>
        <v>A</v>
      </c>
      <c r="AP211" s="62"/>
      <c r="AQ211" s="62"/>
      <c r="AR211" s="62"/>
      <c r="AS211" s="62"/>
      <c r="AT211" s="62"/>
      <c r="AU211" s="72" t="str">
        <f t="shared" si="30"/>
        <v>A</v>
      </c>
      <c r="AV211" s="62"/>
      <c r="AW211" s="62"/>
      <c r="AX211" s="62">
        <v>5</v>
      </c>
      <c r="AY211" s="62">
        <v>2</v>
      </c>
      <c r="AZ211" s="62">
        <v>2</v>
      </c>
      <c r="BA211" s="72">
        <f t="shared" si="31"/>
        <v>3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/>
      <c r="N212" s="62">
        <v>3</v>
      </c>
      <c r="O212" s="62">
        <v>2</v>
      </c>
      <c r="P212" s="62"/>
      <c r="Q212" s="72">
        <f t="shared" si="25"/>
        <v>2.6666666666666665</v>
      </c>
      <c r="R212" s="7"/>
      <c r="S212" s="7"/>
      <c r="T212" s="7"/>
      <c r="U212" s="7"/>
      <c r="V212" s="7"/>
      <c r="W212" s="72" t="str">
        <f t="shared" si="26"/>
        <v>A</v>
      </c>
      <c r="X212" s="7"/>
      <c r="Y212" s="7"/>
      <c r="Z212" s="7"/>
      <c r="AA212" s="7"/>
      <c r="AB212" s="7"/>
      <c r="AC212" s="72" t="str">
        <f t="shared" si="27"/>
        <v>A</v>
      </c>
      <c r="AD212" s="7"/>
      <c r="AE212" s="7"/>
      <c r="AF212" s="7"/>
      <c r="AG212" s="7"/>
      <c r="AH212" s="7"/>
      <c r="AI212" s="72" t="str">
        <f t="shared" si="28"/>
        <v>A</v>
      </c>
      <c r="AJ212" s="7"/>
      <c r="AK212" s="7"/>
      <c r="AL212" s="7"/>
      <c r="AM212" s="7"/>
      <c r="AN212" s="7"/>
      <c r="AO212" s="72" t="str">
        <f t="shared" si="29"/>
        <v>A</v>
      </c>
      <c r="AP212" s="7"/>
      <c r="AQ212" s="7"/>
      <c r="AR212" s="7"/>
      <c r="AS212" s="7"/>
      <c r="AT212" s="7"/>
      <c r="AU212" s="72" t="str">
        <f t="shared" si="30"/>
        <v>A</v>
      </c>
      <c r="AV212" s="7"/>
      <c r="AW212" s="7"/>
      <c r="AX212" s="62">
        <v>4</v>
      </c>
      <c r="AY212" s="62">
        <v>2</v>
      </c>
      <c r="AZ212" s="62">
        <v>2</v>
      </c>
      <c r="BA212" s="72">
        <f t="shared" si="31"/>
        <v>2.6666666666666665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>
        <v>0</v>
      </c>
      <c r="M213" s="62"/>
      <c r="N213" s="62">
        <v>0</v>
      </c>
      <c r="O213" s="62">
        <v>0</v>
      </c>
      <c r="P213" s="62"/>
      <c r="Q213" s="72">
        <f t="shared" si="25"/>
        <v>0</v>
      </c>
      <c r="R213" s="62"/>
      <c r="S213" s="62"/>
      <c r="T213" s="62"/>
      <c r="U213" s="62"/>
      <c r="V213" s="62"/>
      <c r="W213" s="72" t="str">
        <f t="shared" si="26"/>
        <v>A</v>
      </c>
      <c r="X213" s="62"/>
      <c r="Y213" s="62"/>
      <c r="Z213" s="62"/>
      <c r="AA213" s="62"/>
      <c r="AB213" s="62"/>
      <c r="AC213" s="72" t="str">
        <f t="shared" si="27"/>
        <v>A</v>
      </c>
      <c r="AD213" s="62"/>
      <c r="AE213" s="62"/>
      <c r="AF213" s="62"/>
      <c r="AG213" s="62"/>
      <c r="AH213" s="62"/>
      <c r="AI213" s="72" t="str">
        <f t="shared" si="28"/>
        <v>A</v>
      </c>
      <c r="AJ213" s="62"/>
      <c r="AK213" s="62"/>
      <c r="AL213" s="62"/>
      <c r="AM213" s="62"/>
      <c r="AN213" s="62"/>
      <c r="AO213" s="72" t="str">
        <f t="shared" si="29"/>
        <v>A</v>
      </c>
      <c r="AP213" s="62"/>
      <c r="AQ213" s="62"/>
      <c r="AR213" s="62"/>
      <c r="AS213" s="62"/>
      <c r="AT213" s="62"/>
      <c r="AU213" s="72" t="str">
        <f t="shared" si="30"/>
        <v>A</v>
      </c>
      <c r="AV213" s="62"/>
      <c r="AW213" s="62"/>
      <c r="AX213" s="62">
        <v>0</v>
      </c>
      <c r="AY213" s="62">
        <v>0</v>
      </c>
      <c r="AZ213" s="62">
        <v>0</v>
      </c>
      <c r="BA213" s="72">
        <f t="shared" si="31"/>
        <v>0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1</v>
      </c>
      <c r="M214" s="62"/>
      <c r="N214" s="62">
        <v>1</v>
      </c>
      <c r="O214" s="62">
        <v>1</v>
      </c>
      <c r="P214" s="62"/>
      <c r="Q214" s="72">
        <f t="shared" si="25"/>
        <v>1</v>
      </c>
      <c r="R214" s="7"/>
      <c r="S214" s="7"/>
      <c r="T214" s="7"/>
      <c r="U214" s="7"/>
      <c r="V214" s="7"/>
      <c r="W214" s="72" t="str">
        <f t="shared" si="26"/>
        <v>A</v>
      </c>
      <c r="X214" s="7"/>
      <c r="Y214" s="7"/>
      <c r="Z214" s="7"/>
      <c r="AA214" s="7"/>
      <c r="AB214" s="7"/>
      <c r="AC214" s="72" t="str">
        <f t="shared" si="27"/>
        <v>A</v>
      </c>
      <c r="AD214" s="7"/>
      <c r="AE214" s="7"/>
      <c r="AF214" s="7"/>
      <c r="AG214" s="7"/>
      <c r="AH214" s="7"/>
      <c r="AI214" s="72" t="str">
        <f t="shared" si="28"/>
        <v>A</v>
      </c>
      <c r="AJ214" s="7"/>
      <c r="AK214" s="7"/>
      <c r="AL214" s="7"/>
      <c r="AM214" s="7"/>
      <c r="AN214" s="7"/>
      <c r="AO214" s="72" t="str">
        <f t="shared" si="29"/>
        <v>A</v>
      </c>
      <c r="AP214" s="7"/>
      <c r="AQ214" s="7"/>
      <c r="AR214" s="7"/>
      <c r="AS214" s="7"/>
      <c r="AT214" s="7"/>
      <c r="AU214" s="72" t="str">
        <f t="shared" si="30"/>
        <v>A</v>
      </c>
      <c r="AV214" s="7"/>
      <c r="AW214" s="7"/>
      <c r="AX214" s="62">
        <v>1</v>
      </c>
      <c r="AY214" s="62">
        <v>2</v>
      </c>
      <c r="AZ214" s="62">
        <v>1</v>
      </c>
      <c r="BA214" s="72">
        <f t="shared" si="31"/>
        <v>1.3333333333333333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3</v>
      </c>
      <c r="M215" s="62"/>
      <c r="N215" s="62">
        <v>2</v>
      </c>
      <c r="O215" s="62">
        <v>2</v>
      </c>
      <c r="P215" s="62"/>
      <c r="Q215" s="72">
        <f t="shared" si="25"/>
        <v>2.3333333333333335</v>
      </c>
      <c r="R215" s="62"/>
      <c r="S215" s="62"/>
      <c r="T215" s="62"/>
      <c r="U215" s="62"/>
      <c r="V215" s="62"/>
      <c r="W215" s="72" t="str">
        <f t="shared" si="26"/>
        <v>A</v>
      </c>
      <c r="X215" s="62"/>
      <c r="Y215" s="62"/>
      <c r="Z215" s="62"/>
      <c r="AA215" s="62"/>
      <c r="AB215" s="62"/>
      <c r="AC215" s="72" t="str">
        <f t="shared" si="27"/>
        <v>A</v>
      </c>
      <c r="AD215" s="62"/>
      <c r="AE215" s="62"/>
      <c r="AF215" s="62"/>
      <c r="AG215" s="62"/>
      <c r="AH215" s="62"/>
      <c r="AI215" s="72" t="str">
        <f t="shared" si="28"/>
        <v>A</v>
      </c>
      <c r="AJ215" s="62"/>
      <c r="AK215" s="62"/>
      <c r="AL215" s="62"/>
      <c r="AM215" s="62"/>
      <c r="AN215" s="62"/>
      <c r="AO215" s="72" t="str">
        <f t="shared" si="29"/>
        <v>A</v>
      </c>
      <c r="AP215" s="62"/>
      <c r="AQ215" s="62"/>
      <c r="AR215" s="62"/>
      <c r="AS215" s="62"/>
      <c r="AT215" s="62"/>
      <c r="AU215" s="72" t="str">
        <f t="shared" si="30"/>
        <v>A</v>
      </c>
      <c r="AV215" s="62"/>
      <c r="AW215" s="62"/>
      <c r="AX215" s="62">
        <v>4</v>
      </c>
      <c r="AY215" s="62">
        <v>2</v>
      </c>
      <c r="AZ215" s="62">
        <v>2</v>
      </c>
      <c r="BA215" s="72">
        <f t="shared" si="31"/>
        <v>2.6666666666666665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1</v>
      </c>
      <c r="M216" s="62"/>
      <c r="N216" s="62">
        <v>1</v>
      </c>
      <c r="O216" s="62">
        <v>1</v>
      </c>
      <c r="P216" s="62"/>
      <c r="Q216" s="72">
        <f t="shared" si="25"/>
        <v>1</v>
      </c>
      <c r="R216" s="7"/>
      <c r="S216" s="7"/>
      <c r="T216" s="7"/>
      <c r="U216" s="7"/>
      <c r="V216" s="7"/>
      <c r="W216" s="72" t="str">
        <f t="shared" si="26"/>
        <v>A</v>
      </c>
      <c r="X216" s="7"/>
      <c r="Y216" s="7"/>
      <c r="Z216" s="7"/>
      <c r="AA216" s="7"/>
      <c r="AB216" s="7"/>
      <c r="AC216" s="72" t="str">
        <f t="shared" si="27"/>
        <v>A</v>
      </c>
      <c r="AD216" s="7"/>
      <c r="AE216" s="7"/>
      <c r="AF216" s="7"/>
      <c r="AG216" s="7"/>
      <c r="AH216" s="7"/>
      <c r="AI216" s="72" t="str">
        <f t="shared" si="28"/>
        <v>A</v>
      </c>
      <c r="AJ216" s="7"/>
      <c r="AK216" s="7"/>
      <c r="AL216" s="7"/>
      <c r="AM216" s="7"/>
      <c r="AN216" s="7"/>
      <c r="AO216" s="72" t="str">
        <f t="shared" si="29"/>
        <v>A</v>
      </c>
      <c r="AP216" s="7"/>
      <c r="AQ216" s="7"/>
      <c r="AR216" s="7"/>
      <c r="AS216" s="7"/>
      <c r="AT216" s="7"/>
      <c r="AU216" s="72" t="str">
        <f t="shared" si="30"/>
        <v>A</v>
      </c>
      <c r="AV216" s="7"/>
      <c r="AW216" s="7"/>
      <c r="AX216" s="62">
        <v>1</v>
      </c>
      <c r="AY216" s="62">
        <v>2</v>
      </c>
      <c r="AZ216" s="62">
        <v>1</v>
      </c>
      <c r="BA216" s="72">
        <f t="shared" si="31"/>
        <v>1.3333333333333333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3</v>
      </c>
      <c r="M217" s="62"/>
      <c r="N217" s="62">
        <v>3</v>
      </c>
      <c r="O217" s="62">
        <v>2</v>
      </c>
      <c r="P217" s="62"/>
      <c r="Q217" s="72">
        <f t="shared" si="25"/>
        <v>2.6666666666666665</v>
      </c>
      <c r="R217" s="62"/>
      <c r="S217" s="62"/>
      <c r="T217" s="62"/>
      <c r="U217" s="62"/>
      <c r="V217" s="62"/>
      <c r="W217" s="72" t="str">
        <f t="shared" si="26"/>
        <v>A</v>
      </c>
      <c r="X217" s="62"/>
      <c r="Y217" s="62"/>
      <c r="Z217" s="62"/>
      <c r="AA217" s="62"/>
      <c r="AB217" s="62"/>
      <c r="AC217" s="72" t="str">
        <f t="shared" si="27"/>
        <v>A</v>
      </c>
      <c r="AD217" s="62"/>
      <c r="AE217" s="62"/>
      <c r="AF217" s="62"/>
      <c r="AG217" s="62"/>
      <c r="AH217" s="62"/>
      <c r="AI217" s="72" t="str">
        <f t="shared" si="28"/>
        <v>A</v>
      </c>
      <c r="AJ217" s="62"/>
      <c r="AK217" s="62"/>
      <c r="AL217" s="62"/>
      <c r="AM217" s="62"/>
      <c r="AN217" s="62"/>
      <c r="AO217" s="72" t="str">
        <f t="shared" si="29"/>
        <v>A</v>
      </c>
      <c r="AP217" s="62"/>
      <c r="AQ217" s="62"/>
      <c r="AR217" s="62"/>
      <c r="AS217" s="62"/>
      <c r="AT217" s="62"/>
      <c r="AU217" s="72" t="str">
        <f t="shared" si="30"/>
        <v>A</v>
      </c>
      <c r="AV217" s="62"/>
      <c r="AW217" s="62"/>
      <c r="AX217" s="62">
        <v>4</v>
      </c>
      <c r="AY217" s="62">
        <v>2</v>
      </c>
      <c r="AZ217" s="62">
        <v>2</v>
      </c>
      <c r="BA217" s="72">
        <f t="shared" si="31"/>
        <v>2.6666666666666665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3</v>
      </c>
      <c r="M218" s="62"/>
      <c r="N218" s="62">
        <v>3</v>
      </c>
      <c r="O218" s="62">
        <v>4</v>
      </c>
      <c r="P218" s="62"/>
      <c r="Q218" s="72">
        <f t="shared" si="25"/>
        <v>3.3333333333333335</v>
      </c>
      <c r="R218" s="7"/>
      <c r="S218" s="7"/>
      <c r="T218" s="7"/>
      <c r="U218" s="7"/>
      <c r="V218" s="7"/>
      <c r="W218" s="72" t="str">
        <f t="shared" si="26"/>
        <v>A</v>
      </c>
      <c r="X218" s="7"/>
      <c r="Y218" s="7"/>
      <c r="Z218" s="7"/>
      <c r="AA218" s="7"/>
      <c r="AB218" s="7"/>
      <c r="AC218" s="72" t="str">
        <f t="shared" si="27"/>
        <v>A</v>
      </c>
      <c r="AD218" s="7"/>
      <c r="AE218" s="7"/>
      <c r="AF218" s="7"/>
      <c r="AG218" s="7"/>
      <c r="AH218" s="7"/>
      <c r="AI218" s="72" t="str">
        <f t="shared" si="28"/>
        <v>A</v>
      </c>
      <c r="AJ218" s="7"/>
      <c r="AK218" s="7"/>
      <c r="AL218" s="7"/>
      <c r="AM218" s="7"/>
      <c r="AN218" s="7"/>
      <c r="AO218" s="72" t="str">
        <f t="shared" si="29"/>
        <v>A</v>
      </c>
      <c r="AP218" s="7"/>
      <c r="AQ218" s="7"/>
      <c r="AR218" s="7"/>
      <c r="AS218" s="7"/>
      <c r="AT218" s="7"/>
      <c r="AU218" s="72" t="str">
        <f t="shared" si="30"/>
        <v>A</v>
      </c>
      <c r="AV218" s="7"/>
      <c r="AW218" s="7"/>
      <c r="AX218" s="62">
        <v>4</v>
      </c>
      <c r="AY218" s="62">
        <v>2</v>
      </c>
      <c r="AZ218" s="62">
        <v>4</v>
      </c>
      <c r="BA218" s="72">
        <f t="shared" si="31"/>
        <v>3.3333333333333335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/>
      <c r="N219" s="62">
        <v>2</v>
      </c>
      <c r="O219" s="62">
        <v>2</v>
      </c>
      <c r="P219" s="62"/>
      <c r="Q219" s="72">
        <f t="shared" si="25"/>
        <v>2</v>
      </c>
      <c r="R219" s="62"/>
      <c r="S219" s="62"/>
      <c r="T219" s="62"/>
      <c r="U219" s="62"/>
      <c r="V219" s="62"/>
      <c r="W219" s="72" t="str">
        <f t="shared" si="26"/>
        <v>A</v>
      </c>
      <c r="X219" s="62"/>
      <c r="Y219" s="62"/>
      <c r="Z219" s="62"/>
      <c r="AA219" s="62"/>
      <c r="AB219" s="62"/>
      <c r="AC219" s="72" t="str">
        <f t="shared" si="27"/>
        <v>A</v>
      </c>
      <c r="AD219" s="62"/>
      <c r="AE219" s="62"/>
      <c r="AF219" s="62"/>
      <c r="AG219" s="62"/>
      <c r="AH219" s="62"/>
      <c r="AI219" s="72" t="str">
        <f t="shared" si="28"/>
        <v>A</v>
      </c>
      <c r="AJ219" s="62"/>
      <c r="AK219" s="62"/>
      <c r="AL219" s="62"/>
      <c r="AM219" s="62"/>
      <c r="AN219" s="62"/>
      <c r="AO219" s="72" t="str">
        <f t="shared" si="29"/>
        <v>A</v>
      </c>
      <c r="AP219" s="62"/>
      <c r="AQ219" s="62"/>
      <c r="AR219" s="62"/>
      <c r="AS219" s="62"/>
      <c r="AT219" s="62"/>
      <c r="AU219" s="72" t="str">
        <f t="shared" si="30"/>
        <v>A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4</v>
      </c>
      <c r="M220" s="62"/>
      <c r="N220" s="62">
        <v>4</v>
      </c>
      <c r="O220" s="62">
        <v>4</v>
      </c>
      <c r="P220" s="62"/>
      <c r="Q220" s="72">
        <f t="shared" si="25"/>
        <v>4</v>
      </c>
      <c r="R220" s="7"/>
      <c r="S220" s="7"/>
      <c r="T220" s="7"/>
      <c r="U220" s="7"/>
      <c r="V220" s="7"/>
      <c r="W220" s="72" t="str">
        <f t="shared" si="26"/>
        <v>A</v>
      </c>
      <c r="X220" s="7"/>
      <c r="Y220" s="7"/>
      <c r="Z220" s="7"/>
      <c r="AA220" s="7"/>
      <c r="AB220" s="7"/>
      <c r="AC220" s="72" t="str">
        <f t="shared" si="27"/>
        <v>A</v>
      </c>
      <c r="AD220" s="7"/>
      <c r="AE220" s="7"/>
      <c r="AF220" s="7"/>
      <c r="AG220" s="7"/>
      <c r="AH220" s="7"/>
      <c r="AI220" s="72" t="str">
        <f t="shared" si="28"/>
        <v>A</v>
      </c>
      <c r="AJ220" s="7"/>
      <c r="AK220" s="7"/>
      <c r="AL220" s="7"/>
      <c r="AM220" s="7"/>
      <c r="AN220" s="7"/>
      <c r="AO220" s="72" t="str">
        <f t="shared" si="29"/>
        <v>A</v>
      </c>
      <c r="AP220" s="7"/>
      <c r="AQ220" s="7"/>
      <c r="AR220" s="7"/>
      <c r="AS220" s="7"/>
      <c r="AT220" s="7"/>
      <c r="AU220" s="72" t="str">
        <f t="shared" si="30"/>
        <v>A</v>
      </c>
      <c r="AV220" s="7"/>
      <c r="AW220" s="7"/>
      <c r="AX220" s="62">
        <v>4</v>
      </c>
      <c r="AY220" s="62">
        <v>2</v>
      </c>
      <c r="AZ220" s="62">
        <v>4</v>
      </c>
      <c r="BA220" s="72">
        <f t="shared" si="31"/>
        <v>3.3333333333333335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3</v>
      </c>
      <c r="M221" s="62"/>
      <c r="N221" s="62">
        <v>3</v>
      </c>
      <c r="O221" s="62">
        <v>1</v>
      </c>
      <c r="P221" s="62"/>
      <c r="Q221" s="72">
        <f t="shared" si="25"/>
        <v>2.3333333333333335</v>
      </c>
      <c r="R221" s="62"/>
      <c r="S221" s="62"/>
      <c r="T221" s="62"/>
      <c r="U221" s="62"/>
      <c r="V221" s="62"/>
      <c r="W221" s="72" t="str">
        <f t="shared" si="26"/>
        <v>A</v>
      </c>
      <c r="X221" s="62"/>
      <c r="Y221" s="62"/>
      <c r="Z221" s="62"/>
      <c r="AA221" s="62"/>
      <c r="AB221" s="62"/>
      <c r="AC221" s="72" t="str">
        <f t="shared" si="27"/>
        <v>A</v>
      </c>
      <c r="AD221" s="62"/>
      <c r="AE221" s="62"/>
      <c r="AF221" s="62"/>
      <c r="AG221" s="62"/>
      <c r="AH221" s="62"/>
      <c r="AI221" s="72" t="str">
        <f t="shared" si="28"/>
        <v>A</v>
      </c>
      <c r="AJ221" s="62"/>
      <c r="AK221" s="62"/>
      <c r="AL221" s="62"/>
      <c r="AM221" s="62"/>
      <c r="AN221" s="62"/>
      <c r="AO221" s="72" t="str">
        <f t="shared" si="29"/>
        <v>A</v>
      </c>
      <c r="AP221" s="62"/>
      <c r="AQ221" s="62"/>
      <c r="AR221" s="62"/>
      <c r="AS221" s="62"/>
      <c r="AT221" s="62"/>
      <c r="AU221" s="72" t="str">
        <f t="shared" si="30"/>
        <v>A</v>
      </c>
      <c r="AV221" s="62"/>
      <c r="AW221" s="62"/>
      <c r="AX221" s="62">
        <v>4</v>
      </c>
      <c r="AY221" s="62">
        <v>2</v>
      </c>
      <c r="AZ221" s="62">
        <v>1</v>
      </c>
      <c r="BA221" s="72">
        <f t="shared" si="31"/>
        <v>2.3333333333333335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>
        <v>0</v>
      </c>
      <c r="M222" s="62"/>
      <c r="N222" s="62">
        <v>0</v>
      </c>
      <c r="O222" s="62">
        <v>0</v>
      </c>
      <c r="P222" s="62"/>
      <c r="Q222" s="72">
        <f t="shared" si="25"/>
        <v>0</v>
      </c>
      <c r="R222" s="7"/>
      <c r="S222" s="7"/>
      <c r="T222" s="7"/>
      <c r="U222" s="7"/>
      <c r="V222" s="7"/>
      <c r="W222" s="72" t="str">
        <f t="shared" si="26"/>
        <v>A</v>
      </c>
      <c r="X222" s="7"/>
      <c r="Y222" s="7"/>
      <c r="Z222" s="7"/>
      <c r="AA222" s="7"/>
      <c r="AB222" s="7"/>
      <c r="AC222" s="72" t="str">
        <f t="shared" si="27"/>
        <v>A</v>
      </c>
      <c r="AD222" s="7"/>
      <c r="AE222" s="7"/>
      <c r="AF222" s="7"/>
      <c r="AG222" s="7"/>
      <c r="AH222" s="7"/>
      <c r="AI222" s="72" t="str">
        <f t="shared" si="28"/>
        <v>A</v>
      </c>
      <c r="AJ222" s="7"/>
      <c r="AK222" s="7"/>
      <c r="AL222" s="7"/>
      <c r="AM222" s="7"/>
      <c r="AN222" s="7"/>
      <c r="AO222" s="72" t="str">
        <f t="shared" si="29"/>
        <v>A</v>
      </c>
      <c r="AP222" s="7"/>
      <c r="AQ222" s="7"/>
      <c r="AR222" s="7"/>
      <c r="AS222" s="7"/>
      <c r="AT222" s="7"/>
      <c r="AU222" s="72" t="str">
        <f t="shared" si="30"/>
        <v>A</v>
      </c>
      <c r="AV222" s="7"/>
      <c r="AW222" s="7"/>
      <c r="AX222" s="62">
        <v>0</v>
      </c>
      <c r="AY222" s="62">
        <v>0</v>
      </c>
      <c r="AZ222" s="62">
        <v>0</v>
      </c>
      <c r="BA222" s="72">
        <f t="shared" si="31"/>
        <v>0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3</v>
      </c>
      <c r="M223" s="62"/>
      <c r="N223" s="62">
        <v>2</v>
      </c>
      <c r="O223" s="62">
        <v>2</v>
      </c>
      <c r="P223" s="62"/>
      <c r="Q223" s="72">
        <f t="shared" si="25"/>
        <v>2.3333333333333335</v>
      </c>
      <c r="R223" s="62"/>
      <c r="S223" s="62"/>
      <c r="T223" s="62"/>
      <c r="U223" s="62"/>
      <c r="V223" s="62"/>
      <c r="W223" s="72" t="str">
        <f t="shared" si="26"/>
        <v>A</v>
      </c>
      <c r="X223" s="62"/>
      <c r="Y223" s="62"/>
      <c r="Z223" s="62"/>
      <c r="AA223" s="62"/>
      <c r="AB223" s="62"/>
      <c r="AC223" s="72" t="str">
        <f t="shared" si="27"/>
        <v>A</v>
      </c>
      <c r="AD223" s="62"/>
      <c r="AE223" s="62"/>
      <c r="AF223" s="62"/>
      <c r="AG223" s="62"/>
      <c r="AH223" s="62"/>
      <c r="AI223" s="72" t="str">
        <f t="shared" si="28"/>
        <v>A</v>
      </c>
      <c r="AJ223" s="62"/>
      <c r="AK223" s="62"/>
      <c r="AL223" s="62"/>
      <c r="AM223" s="62"/>
      <c r="AN223" s="62"/>
      <c r="AO223" s="72" t="str">
        <f t="shared" si="29"/>
        <v>A</v>
      </c>
      <c r="AP223" s="62"/>
      <c r="AQ223" s="62"/>
      <c r="AR223" s="62"/>
      <c r="AS223" s="62"/>
      <c r="AT223" s="62"/>
      <c r="AU223" s="72" t="str">
        <f t="shared" si="30"/>
        <v>A</v>
      </c>
      <c r="AV223" s="62"/>
      <c r="AW223" s="62"/>
      <c r="AX223" s="62">
        <v>4</v>
      </c>
      <c r="AY223" s="62">
        <v>2</v>
      </c>
      <c r="AZ223" s="62">
        <v>2</v>
      </c>
      <c r="BA223" s="72">
        <f t="shared" si="31"/>
        <v>2.6666666666666665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3</v>
      </c>
      <c r="M224" s="62"/>
      <c r="N224" s="62">
        <v>4</v>
      </c>
      <c r="O224" s="62">
        <v>4</v>
      </c>
      <c r="P224" s="62"/>
      <c r="Q224" s="72">
        <f t="shared" si="25"/>
        <v>3.6666666666666665</v>
      </c>
      <c r="R224" s="7"/>
      <c r="S224" s="7"/>
      <c r="T224" s="7"/>
      <c r="U224" s="7"/>
      <c r="V224" s="7"/>
      <c r="W224" s="72" t="str">
        <f t="shared" si="26"/>
        <v>A</v>
      </c>
      <c r="X224" s="7"/>
      <c r="Y224" s="7"/>
      <c r="Z224" s="7"/>
      <c r="AA224" s="7"/>
      <c r="AB224" s="7"/>
      <c r="AC224" s="72" t="str">
        <f t="shared" si="27"/>
        <v>A</v>
      </c>
      <c r="AD224" s="7"/>
      <c r="AE224" s="7"/>
      <c r="AF224" s="7"/>
      <c r="AG224" s="7"/>
      <c r="AH224" s="7"/>
      <c r="AI224" s="72" t="str">
        <f t="shared" si="28"/>
        <v>A</v>
      </c>
      <c r="AJ224" s="7"/>
      <c r="AK224" s="7"/>
      <c r="AL224" s="7"/>
      <c r="AM224" s="7"/>
      <c r="AN224" s="7"/>
      <c r="AO224" s="72" t="str">
        <f t="shared" si="29"/>
        <v>A</v>
      </c>
      <c r="AP224" s="7"/>
      <c r="AQ224" s="7"/>
      <c r="AR224" s="7"/>
      <c r="AS224" s="7"/>
      <c r="AT224" s="7"/>
      <c r="AU224" s="72" t="str">
        <f t="shared" si="30"/>
        <v>A</v>
      </c>
      <c r="AV224" s="7"/>
      <c r="AW224" s="7"/>
      <c r="AX224" s="62">
        <v>4</v>
      </c>
      <c r="AY224" s="62">
        <v>2</v>
      </c>
      <c r="AZ224" s="62">
        <v>4</v>
      </c>
      <c r="BA224" s="72">
        <f t="shared" si="31"/>
        <v>3.3333333333333335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3</v>
      </c>
      <c r="M225" s="62"/>
      <c r="N225" s="62">
        <v>4</v>
      </c>
      <c r="O225" s="62">
        <v>4</v>
      </c>
      <c r="P225" s="62"/>
      <c r="Q225" s="72">
        <f t="shared" si="25"/>
        <v>3.6666666666666665</v>
      </c>
      <c r="R225" s="62"/>
      <c r="S225" s="62"/>
      <c r="T225" s="62"/>
      <c r="U225" s="62"/>
      <c r="V225" s="62"/>
      <c r="W225" s="72" t="str">
        <f t="shared" si="26"/>
        <v>A</v>
      </c>
      <c r="X225" s="62"/>
      <c r="Y225" s="62"/>
      <c r="Z225" s="62"/>
      <c r="AA225" s="62"/>
      <c r="AB225" s="62"/>
      <c r="AC225" s="72" t="str">
        <f t="shared" si="27"/>
        <v>A</v>
      </c>
      <c r="AD225" s="62"/>
      <c r="AE225" s="62"/>
      <c r="AF225" s="62"/>
      <c r="AG225" s="62"/>
      <c r="AH225" s="62"/>
      <c r="AI225" s="72" t="str">
        <f t="shared" si="28"/>
        <v>A</v>
      </c>
      <c r="AJ225" s="62"/>
      <c r="AK225" s="62"/>
      <c r="AL225" s="62"/>
      <c r="AM225" s="62"/>
      <c r="AN225" s="62"/>
      <c r="AO225" s="72" t="str">
        <f t="shared" si="29"/>
        <v>A</v>
      </c>
      <c r="AP225" s="62"/>
      <c r="AQ225" s="62"/>
      <c r="AR225" s="62"/>
      <c r="AS225" s="62"/>
      <c r="AT225" s="62"/>
      <c r="AU225" s="72" t="str">
        <f t="shared" si="30"/>
        <v>A</v>
      </c>
      <c r="AV225" s="62"/>
      <c r="AW225" s="62"/>
      <c r="AX225" s="62">
        <v>4</v>
      </c>
      <c r="AY225" s="62">
        <v>2</v>
      </c>
      <c r="AZ225" s="62">
        <v>4</v>
      </c>
      <c r="BA225" s="72">
        <f t="shared" si="31"/>
        <v>3.3333333333333335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3</v>
      </c>
      <c r="M226" s="62"/>
      <c r="N226" s="62">
        <v>2</v>
      </c>
      <c r="O226" s="62">
        <v>3</v>
      </c>
      <c r="P226" s="62"/>
      <c r="Q226" s="72">
        <f t="shared" si="25"/>
        <v>2.6666666666666665</v>
      </c>
      <c r="R226" s="7"/>
      <c r="S226" s="7"/>
      <c r="T226" s="7"/>
      <c r="U226" s="7"/>
      <c r="V226" s="7"/>
      <c r="W226" s="72" t="str">
        <f t="shared" si="26"/>
        <v>A</v>
      </c>
      <c r="X226" s="7"/>
      <c r="Y226" s="7"/>
      <c r="Z226" s="7"/>
      <c r="AA226" s="7"/>
      <c r="AB226" s="7"/>
      <c r="AC226" s="72" t="str">
        <f t="shared" si="27"/>
        <v>A</v>
      </c>
      <c r="AD226" s="7"/>
      <c r="AE226" s="7"/>
      <c r="AF226" s="7"/>
      <c r="AG226" s="7"/>
      <c r="AH226" s="7"/>
      <c r="AI226" s="72" t="str">
        <f t="shared" si="28"/>
        <v>A</v>
      </c>
      <c r="AJ226" s="7"/>
      <c r="AK226" s="7"/>
      <c r="AL226" s="7"/>
      <c r="AM226" s="7"/>
      <c r="AN226" s="7"/>
      <c r="AO226" s="72" t="str">
        <f t="shared" si="29"/>
        <v>A</v>
      </c>
      <c r="AP226" s="7"/>
      <c r="AQ226" s="7"/>
      <c r="AR226" s="7"/>
      <c r="AS226" s="7"/>
      <c r="AT226" s="7"/>
      <c r="AU226" s="72" t="str">
        <f t="shared" si="30"/>
        <v>A</v>
      </c>
      <c r="AV226" s="7"/>
      <c r="AW226" s="7"/>
      <c r="AX226" s="62">
        <v>4</v>
      </c>
      <c r="AY226" s="62">
        <v>2</v>
      </c>
      <c r="AZ226" s="62">
        <v>3</v>
      </c>
      <c r="BA226" s="72">
        <f t="shared" si="31"/>
        <v>3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2</v>
      </c>
      <c r="M227" s="62"/>
      <c r="N227" s="62">
        <v>2</v>
      </c>
      <c r="O227" s="62">
        <v>2</v>
      </c>
      <c r="P227" s="62"/>
      <c r="Q227" s="72">
        <f t="shared" si="25"/>
        <v>2</v>
      </c>
      <c r="R227" s="62"/>
      <c r="S227" s="62"/>
      <c r="T227" s="62"/>
      <c r="U227" s="62"/>
      <c r="V227" s="62"/>
      <c r="W227" s="72" t="str">
        <f t="shared" si="26"/>
        <v>A</v>
      </c>
      <c r="X227" s="62"/>
      <c r="Y227" s="62"/>
      <c r="Z227" s="62"/>
      <c r="AA227" s="62"/>
      <c r="AB227" s="62"/>
      <c r="AC227" s="72" t="str">
        <f t="shared" si="27"/>
        <v>A</v>
      </c>
      <c r="AD227" s="62"/>
      <c r="AE227" s="62"/>
      <c r="AF227" s="62"/>
      <c r="AG227" s="62"/>
      <c r="AH227" s="62"/>
      <c r="AI227" s="72" t="str">
        <f t="shared" si="28"/>
        <v>A</v>
      </c>
      <c r="AJ227" s="62"/>
      <c r="AK227" s="62"/>
      <c r="AL227" s="62"/>
      <c r="AM227" s="62"/>
      <c r="AN227" s="62"/>
      <c r="AO227" s="72" t="str">
        <f t="shared" si="29"/>
        <v>A</v>
      </c>
      <c r="AP227" s="62"/>
      <c r="AQ227" s="62"/>
      <c r="AR227" s="62"/>
      <c r="AS227" s="62"/>
      <c r="AT227" s="62"/>
      <c r="AU227" s="72" t="str">
        <f t="shared" si="30"/>
        <v>A</v>
      </c>
      <c r="AV227" s="62"/>
      <c r="AW227" s="62"/>
      <c r="AX227" s="62">
        <v>2</v>
      </c>
      <c r="AY227" s="62">
        <v>2</v>
      </c>
      <c r="AZ227" s="62">
        <v>2</v>
      </c>
      <c r="BA227" s="72">
        <f t="shared" si="31"/>
        <v>2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3</v>
      </c>
      <c r="M228" s="62"/>
      <c r="N228" s="62">
        <v>2</v>
      </c>
      <c r="O228" s="62">
        <v>2</v>
      </c>
      <c r="P228" s="62"/>
      <c r="Q228" s="72">
        <f t="shared" si="25"/>
        <v>2.3333333333333335</v>
      </c>
      <c r="R228" s="7"/>
      <c r="S228" s="7"/>
      <c r="T228" s="7"/>
      <c r="U228" s="7"/>
      <c r="V228" s="7"/>
      <c r="W228" s="72" t="str">
        <f t="shared" si="26"/>
        <v>A</v>
      </c>
      <c r="X228" s="7"/>
      <c r="Y228" s="7"/>
      <c r="Z228" s="7"/>
      <c r="AA228" s="7"/>
      <c r="AB228" s="7"/>
      <c r="AC228" s="72" t="str">
        <f t="shared" si="27"/>
        <v>A</v>
      </c>
      <c r="AD228" s="7"/>
      <c r="AE228" s="7"/>
      <c r="AF228" s="7"/>
      <c r="AG228" s="7"/>
      <c r="AH228" s="7"/>
      <c r="AI228" s="72" t="str">
        <f t="shared" si="28"/>
        <v>A</v>
      </c>
      <c r="AJ228" s="7"/>
      <c r="AK228" s="7"/>
      <c r="AL228" s="7"/>
      <c r="AM228" s="7"/>
      <c r="AN228" s="7"/>
      <c r="AO228" s="72" t="str">
        <f t="shared" si="29"/>
        <v>A</v>
      </c>
      <c r="AP228" s="7"/>
      <c r="AQ228" s="7"/>
      <c r="AR228" s="7"/>
      <c r="AS228" s="7"/>
      <c r="AT228" s="7"/>
      <c r="AU228" s="72" t="str">
        <f t="shared" si="30"/>
        <v>A</v>
      </c>
      <c r="AV228" s="7"/>
      <c r="AW228" s="7"/>
      <c r="AX228" s="62">
        <v>4</v>
      </c>
      <c r="AY228" s="62">
        <v>2</v>
      </c>
      <c r="AZ228" s="62">
        <v>2</v>
      </c>
      <c r="BA228" s="72">
        <f t="shared" si="31"/>
        <v>2.6666666666666665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4</v>
      </c>
      <c r="M229" s="62"/>
      <c r="N229" s="62">
        <v>4</v>
      </c>
      <c r="O229" s="62">
        <v>4</v>
      </c>
      <c r="P229" s="62"/>
      <c r="Q229" s="72">
        <f t="shared" si="25"/>
        <v>4</v>
      </c>
      <c r="R229" s="62"/>
      <c r="S229" s="62"/>
      <c r="T229" s="62"/>
      <c r="U229" s="62"/>
      <c r="V229" s="62"/>
      <c r="W229" s="72" t="str">
        <f t="shared" si="26"/>
        <v>A</v>
      </c>
      <c r="X229" s="62"/>
      <c r="Y229" s="62"/>
      <c r="Z229" s="62"/>
      <c r="AA229" s="62"/>
      <c r="AB229" s="62"/>
      <c r="AC229" s="72" t="str">
        <f t="shared" si="27"/>
        <v>A</v>
      </c>
      <c r="AD229" s="62"/>
      <c r="AE229" s="62"/>
      <c r="AF229" s="62"/>
      <c r="AG229" s="62"/>
      <c r="AH229" s="62"/>
      <c r="AI229" s="72" t="str">
        <f t="shared" si="28"/>
        <v>A</v>
      </c>
      <c r="AJ229" s="62"/>
      <c r="AK229" s="62"/>
      <c r="AL229" s="62"/>
      <c r="AM229" s="62"/>
      <c r="AN229" s="62"/>
      <c r="AO229" s="72" t="str">
        <f t="shared" si="29"/>
        <v>A</v>
      </c>
      <c r="AP229" s="62"/>
      <c r="AQ229" s="62"/>
      <c r="AR229" s="62"/>
      <c r="AS229" s="62"/>
      <c r="AT229" s="62"/>
      <c r="AU229" s="72" t="str">
        <f t="shared" si="30"/>
        <v>A</v>
      </c>
      <c r="AV229" s="62"/>
      <c r="AW229" s="62"/>
      <c r="AX229" s="62">
        <v>4</v>
      </c>
      <c r="AY229" s="62">
        <v>2</v>
      </c>
      <c r="AZ229" s="62">
        <v>4</v>
      </c>
      <c r="BA229" s="72">
        <f t="shared" si="31"/>
        <v>3.3333333333333335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3</v>
      </c>
      <c r="M230" s="62"/>
      <c r="N230" s="62">
        <v>3</v>
      </c>
      <c r="O230" s="62">
        <v>3</v>
      </c>
      <c r="P230" s="62"/>
      <c r="Q230" s="72">
        <f t="shared" si="25"/>
        <v>3</v>
      </c>
      <c r="R230" s="7"/>
      <c r="S230" s="7"/>
      <c r="T230" s="7"/>
      <c r="U230" s="7"/>
      <c r="V230" s="7"/>
      <c r="W230" s="72" t="str">
        <f t="shared" si="26"/>
        <v>A</v>
      </c>
      <c r="X230" s="7"/>
      <c r="Y230" s="7"/>
      <c r="Z230" s="7"/>
      <c r="AA230" s="7"/>
      <c r="AB230" s="7"/>
      <c r="AC230" s="72" t="str">
        <f t="shared" si="27"/>
        <v>A</v>
      </c>
      <c r="AD230" s="7"/>
      <c r="AE230" s="7"/>
      <c r="AF230" s="7"/>
      <c r="AG230" s="7"/>
      <c r="AH230" s="7"/>
      <c r="AI230" s="72" t="str">
        <f t="shared" si="28"/>
        <v>A</v>
      </c>
      <c r="AJ230" s="7"/>
      <c r="AK230" s="7"/>
      <c r="AL230" s="7"/>
      <c r="AM230" s="7"/>
      <c r="AN230" s="7"/>
      <c r="AO230" s="72" t="str">
        <f t="shared" si="29"/>
        <v>A</v>
      </c>
      <c r="AP230" s="7"/>
      <c r="AQ230" s="7"/>
      <c r="AR230" s="7"/>
      <c r="AS230" s="7"/>
      <c r="AT230" s="7"/>
      <c r="AU230" s="72" t="str">
        <f t="shared" si="30"/>
        <v>A</v>
      </c>
      <c r="AV230" s="7"/>
      <c r="AW230" s="7"/>
      <c r="AX230" s="62">
        <v>4</v>
      </c>
      <c r="AY230" s="62">
        <v>2</v>
      </c>
      <c r="AZ230" s="62">
        <v>3</v>
      </c>
      <c r="BA230" s="72">
        <f t="shared" si="31"/>
        <v>3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L1:P1"/>
    <mergeCell ref="K1:K2"/>
    <mergeCell ref="A1:A2"/>
    <mergeCell ref="B1:B2"/>
    <mergeCell ref="C1:C2"/>
    <mergeCell ref="D1:D2"/>
    <mergeCell ref="E1:E2"/>
    <mergeCell ref="F1:J1"/>
    <mergeCell ref="Q1:Q2"/>
    <mergeCell ref="R1:V1"/>
    <mergeCell ref="W1:W2"/>
    <mergeCell ref="X1:AB1"/>
    <mergeCell ref="AC1:AC2"/>
    <mergeCell ref="AU1:AU2"/>
    <mergeCell ref="AV1:AZ1"/>
    <mergeCell ref="BA1:BA2"/>
    <mergeCell ref="AD1:AH1"/>
    <mergeCell ref="AI1:AI2"/>
    <mergeCell ref="AJ1:AN1"/>
    <mergeCell ref="AO1:AO2"/>
    <mergeCell ref="AP1:AT1"/>
  </mergeCells>
  <phoneticPr fontId="9" type="noConversion"/>
  <conditionalFormatting sqref="K3:K230">
    <cfRule type="containsText" dxfId="36" priority="8" operator="containsText" text="A">
      <formula>NOT(ISERROR(SEARCH("A",K3)))</formula>
    </cfRule>
  </conditionalFormatting>
  <conditionalFormatting sqref="Q3:Q230">
    <cfRule type="containsText" dxfId="35" priority="7" operator="containsText" text="A">
      <formula>NOT(ISERROR(SEARCH("A",Q3)))</formula>
    </cfRule>
  </conditionalFormatting>
  <conditionalFormatting sqref="W3:W230">
    <cfRule type="containsText" dxfId="34" priority="1" operator="containsText" text="A">
      <formula>NOT(ISERROR(SEARCH("A",W3)))</formula>
    </cfRule>
  </conditionalFormatting>
  <conditionalFormatting sqref="AC3:AC230">
    <cfRule type="containsText" dxfId="33" priority="2" operator="containsText" text="A">
      <formula>NOT(ISERROR(SEARCH("A",AC3)))</formula>
    </cfRule>
  </conditionalFormatting>
  <conditionalFormatting sqref="AI3:AI230">
    <cfRule type="containsText" dxfId="32" priority="3" operator="containsText" text="A">
      <formula>NOT(ISERROR(SEARCH("A",AI3)))</formula>
    </cfRule>
  </conditionalFormatting>
  <conditionalFormatting sqref="AO3:AO230">
    <cfRule type="containsText" dxfId="31" priority="6" operator="containsText" text="A">
      <formula>NOT(ISERROR(SEARCH("A",AO3)))</formula>
    </cfRule>
  </conditionalFormatting>
  <conditionalFormatting sqref="AU3:AU230">
    <cfRule type="containsText" dxfId="30" priority="4" operator="containsText" text="A">
      <formula>NOT(ISERROR(SEARCH("A",AU3)))</formula>
    </cfRule>
  </conditionalFormatting>
  <conditionalFormatting sqref="BA3:BA230">
    <cfRule type="containsText" dxfId="29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C140-487D-42C8-8498-F22B1A02DB71}">
  <dimension ref="A1:BC232"/>
  <sheetViews>
    <sheetView topLeftCell="AP1" workbookViewId="0">
      <selection activeCell="N213" sqref="N213:O213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4</v>
      </c>
      <c r="M3" s="62"/>
      <c r="N3" s="62">
        <v>4</v>
      </c>
      <c r="O3" s="62">
        <v>4</v>
      </c>
      <c r="P3" s="62"/>
      <c r="Q3" s="72">
        <f>IFERROR(AVERAGE(N3,L3,O3),"A")</f>
        <v>4</v>
      </c>
      <c r="R3" s="62"/>
      <c r="S3" s="62"/>
      <c r="T3" s="62"/>
      <c r="U3" s="62"/>
      <c r="V3" s="62"/>
      <c r="W3" s="72" t="str">
        <f>IFERROR(AVERAGE(R3,S3,U3),"A")</f>
        <v>A</v>
      </c>
      <c r="X3" s="62"/>
      <c r="Y3" s="62"/>
      <c r="Z3" s="62"/>
      <c r="AA3" s="62"/>
      <c r="AB3" s="62"/>
      <c r="AC3" s="72" t="str">
        <f>IFERROR(AVERAGE(Y3,X3),"A")</f>
        <v>A</v>
      </c>
      <c r="AD3" s="62"/>
      <c r="AE3" s="62"/>
      <c r="AF3" s="62"/>
      <c r="AG3" s="62"/>
      <c r="AH3" s="62"/>
      <c r="AI3" s="72" t="str">
        <f>IFERROR(AVERAGE(AF3,AD3),"A")</f>
        <v>A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/>
      <c r="AQ3" s="62"/>
      <c r="AR3" s="62"/>
      <c r="AS3" s="62"/>
      <c r="AT3" s="62"/>
      <c r="AU3" s="72" t="str">
        <f>IFERROR(AVERAGE(AR3,AQ3,AP3),"A")</f>
        <v>A</v>
      </c>
      <c r="AV3" s="62"/>
      <c r="AW3" s="62"/>
      <c r="AX3" s="62">
        <v>5</v>
      </c>
      <c r="AY3" s="62">
        <v>0</v>
      </c>
      <c r="AZ3" s="62">
        <v>4</v>
      </c>
      <c r="BA3" s="72">
        <f>IFERROR(AVERAGE(AX3,AY3,AZ3),"A")</f>
        <v>3</v>
      </c>
      <c r="BC3" s="141" t="str">
        <f>IFERROR(VLOOKUP(B3,'[1]Reflection -1 '!$B$4:$I$231,9,FALSE),"ER")</f>
        <v>ER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3</v>
      </c>
      <c r="M4" s="62"/>
      <c r="N4" s="62">
        <v>3</v>
      </c>
      <c r="O4" s="62">
        <v>2</v>
      </c>
      <c r="P4" s="62"/>
      <c r="Q4" s="72">
        <f t="shared" ref="Q4:Q67" si="1">IFERROR(AVERAGE(N4,L4,O4),"A")</f>
        <v>2.6666666666666665</v>
      </c>
      <c r="R4" s="7"/>
      <c r="S4" s="7"/>
      <c r="T4" s="7"/>
      <c r="U4" s="7"/>
      <c r="V4" s="7"/>
      <c r="W4" s="72" t="str">
        <f t="shared" ref="W4:W67" si="2">IFERROR(AVERAGE(R4,S4,U4),"A")</f>
        <v>A</v>
      </c>
      <c r="X4" s="7"/>
      <c r="Y4" s="7"/>
      <c r="Z4" s="7"/>
      <c r="AA4" s="7"/>
      <c r="AB4" s="7"/>
      <c r="AC4" s="72" t="str">
        <f t="shared" ref="AC4:AC67" si="3">IFERROR(AVERAGE(Y4,X4),"A")</f>
        <v>A</v>
      </c>
      <c r="AD4" s="7"/>
      <c r="AE4" s="7"/>
      <c r="AF4" s="7"/>
      <c r="AG4" s="7"/>
      <c r="AH4" s="7"/>
      <c r="AI4" s="72" t="str">
        <f t="shared" ref="AI4:AI67" si="4">IFERROR(AVERAGE(AF4,AD4),"A")</f>
        <v>A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7"/>
      <c r="AQ4" s="7"/>
      <c r="AR4" s="7"/>
      <c r="AS4" s="7"/>
      <c r="AT4" s="7"/>
      <c r="AU4" s="72" t="str">
        <f t="shared" ref="AU4:AU67" si="6">IFERROR(AVERAGE(AR4,AQ4,AP4),"A")</f>
        <v>A</v>
      </c>
      <c r="AV4" s="7"/>
      <c r="AW4" s="7"/>
      <c r="AX4" s="62">
        <v>5</v>
      </c>
      <c r="AY4" s="62">
        <v>0</v>
      </c>
      <c r="AZ4" s="62">
        <v>2</v>
      </c>
      <c r="BA4" s="72">
        <f t="shared" ref="BA4:BA67" si="7">IFERROR(AVERAGE(AX4,AY4,AZ4),"A")</f>
        <v>2.3333333333333335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0</v>
      </c>
      <c r="M5" s="62"/>
      <c r="N5" s="62">
        <v>0</v>
      </c>
      <c r="O5" s="62">
        <v>0</v>
      </c>
      <c r="P5" s="62"/>
      <c r="Q5" s="72">
        <f t="shared" si="1"/>
        <v>0</v>
      </c>
      <c r="R5" s="62"/>
      <c r="S5" s="62"/>
      <c r="T5" s="62"/>
      <c r="U5" s="62"/>
      <c r="V5" s="62"/>
      <c r="W5" s="72" t="str">
        <f t="shared" si="2"/>
        <v>A</v>
      </c>
      <c r="X5" s="62"/>
      <c r="Y5" s="62"/>
      <c r="Z5" s="62"/>
      <c r="AA5" s="62"/>
      <c r="AB5" s="62"/>
      <c r="AC5" s="72" t="str">
        <f t="shared" si="3"/>
        <v>A</v>
      </c>
      <c r="AD5" s="62"/>
      <c r="AE5" s="62"/>
      <c r="AF5" s="62"/>
      <c r="AG5" s="62"/>
      <c r="AH5" s="62"/>
      <c r="AI5" s="72" t="str">
        <f t="shared" si="4"/>
        <v>A</v>
      </c>
      <c r="AJ5" s="62"/>
      <c r="AK5" s="62"/>
      <c r="AL5" s="62"/>
      <c r="AM5" s="62"/>
      <c r="AN5" s="62"/>
      <c r="AO5" s="72" t="str">
        <f t="shared" si="5"/>
        <v>A</v>
      </c>
      <c r="AP5" s="62"/>
      <c r="AQ5" s="62"/>
      <c r="AR5" s="62"/>
      <c r="AS5" s="62"/>
      <c r="AT5" s="62"/>
      <c r="AU5" s="72" t="str">
        <f t="shared" si="6"/>
        <v>A</v>
      </c>
      <c r="AV5" s="62"/>
      <c r="AW5" s="62"/>
      <c r="AX5" s="62">
        <v>0</v>
      </c>
      <c r="AY5" s="62">
        <v>0</v>
      </c>
      <c r="AZ5" s="62">
        <v>0</v>
      </c>
      <c r="BA5" s="72">
        <f t="shared" si="7"/>
        <v>0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3</v>
      </c>
      <c r="M6" s="62"/>
      <c r="N6" s="62">
        <v>4</v>
      </c>
      <c r="O6" s="62">
        <v>4</v>
      </c>
      <c r="P6" s="62"/>
      <c r="Q6" s="72">
        <f t="shared" si="1"/>
        <v>3.6666666666666665</v>
      </c>
      <c r="R6" s="7"/>
      <c r="S6" s="7"/>
      <c r="T6" s="7"/>
      <c r="U6" s="7"/>
      <c r="V6" s="7"/>
      <c r="W6" s="72" t="str">
        <f t="shared" si="2"/>
        <v>A</v>
      </c>
      <c r="X6" s="7"/>
      <c r="Y6" s="7"/>
      <c r="Z6" s="7"/>
      <c r="AA6" s="7"/>
      <c r="AB6" s="7"/>
      <c r="AC6" s="72" t="str">
        <f t="shared" si="3"/>
        <v>A</v>
      </c>
      <c r="AD6" s="7"/>
      <c r="AE6" s="7"/>
      <c r="AF6" s="7"/>
      <c r="AG6" s="7"/>
      <c r="AH6" s="7"/>
      <c r="AI6" s="72" t="str">
        <f t="shared" si="4"/>
        <v>A</v>
      </c>
      <c r="AJ6" s="7"/>
      <c r="AK6" s="7"/>
      <c r="AL6" s="7"/>
      <c r="AM6" s="7"/>
      <c r="AN6" s="7"/>
      <c r="AO6" s="72" t="str">
        <f t="shared" si="5"/>
        <v>A</v>
      </c>
      <c r="AP6" s="7"/>
      <c r="AQ6" s="7"/>
      <c r="AR6" s="7"/>
      <c r="AS6" s="7"/>
      <c r="AT6" s="7"/>
      <c r="AU6" s="72" t="str">
        <f t="shared" si="6"/>
        <v>A</v>
      </c>
      <c r="AV6" s="7"/>
      <c r="AW6" s="7"/>
      <c r="AX6" s="62">
        <v>5</v>
      </c>
      <c r="AY6" s="62">
        <v>0</v>
      </c>
      <c r="AZ6" s="62">
        <v>4</v>
      </c>
      <c r="BA6" s="72">
        <f t="shared" si="7"/>
        <v>3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4</v>
      </c>
      <c r="M7" s="62"/>
      <c r="N7" s="62">
        <v>4</v>
      </c>
      <c r="O7" s="62">
        <v>4</v>
      </c>
      <c r="P7" s="62"/>
      <c r="Q7" s="72">
        <f t="shared" si="1"/>
        <v>4</v>
      </c>
      <c r="R7" s="62"/>
      <c r="S7" s="62"/>
      <c r="T7" s="62"/>
      <c r="U7" s="62"/>
      <c r="V7" s="62"/>
      <c r="W7" s="72" t="str">
        <f t="shared" si="2"/>
        <v>A</v>
      </c>
      <c r="X7" s="62"/>
      <c r="Y7" s="62"/>
      <c r="Z7" s="62"/>
      <c r="AA7" s="62"/>
      <c r="AB7" s="62"/>
      <c r="AC7" s="72" t="str">
        <f t="shared" si="3"/>
        <v>A</v>
      </c>
      <c r="AD7" s="62"/>
      <c r="AE7" s="62"/>
      <c r="AF7" s="62"/>
      <c r="AG7" s="62"/>
      <c r="AH7" s="62"/>
      <c r="AI7" s="72" t="str">
        <f t="shared" si="4"/>
        <v>A</v>
      </c>
      <c r="AJ7" s="62"/>
      <c r="AK7" s="62"/>
      <c r="AL7" s="62"/>
      <c r="AM7" s="62"/>
      <c r="AN7" s="62"/>
      <c r="AO7" s="72" t="str">
        <f t="shared" si="5"/>
        <v>A</v>
      </c>
      <c r="AP7" s="62"/>
      <c r="AQ7" s="62"/>
      <c r="AR7" s="62"/>
      <c r="AS7" s="62"/>
      <c r="AT7" s="62"/>
      <c r="AU7" s="72" t="str">
        <f t="shared" si="6"/>
        <v>A</v>
      </c>
      <c r="AV7" s="62"/>
      <c r="AW7" s="62"/>
      <c r="AX7" s="62">
        <v>4</v>
      </c>
      <c r="AY7" s="62">
        <v>2</v>
      </c>
      <c r="AZ7" s="62">
        <v>4</v>
      </c>
      <c r="BA7" s="72">
        <f t="shared" si="7"/>
        <v>3.3333333333333335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3</v>
      </c>
      <c r="M8" s="62"/>
      <c r="N8" s="62">
        <v>4</v>
      </c>
      <c r="O8" s="62">
        <v>4</v>
      </c>
      <c r="P8" s="62"/>
      <c r="Q8" s="72">
        <f t="shared" si="1"/>
        <v>3.6666666666666665</v>
      </c>
      <c r="R8" s="7"/>
      <c r="S8" s="7"/>
      <c r="T8" s="7"/>
      <c r="U8" s="7"/>
      <c r="V8" s="7"/>
      <c r="W8" s="72" t="str">
        <f t="shared" si="2"/>
        <v>A</v>
      </c>
      <c r="X8" s="7"/>
      <c r="Y8" s="7"/>
      <c r="Z8" s="7"/>
      <c r="AA8" s="7"/>
      <c r="AB8" s="7"/>
      <c r="AC8" s="72" t="str">
        <f t="shared" si="3"/>
        <v>A</v>
      </c>
      <c r="AD8" s="7"/>
      <c r="AE8" s="7"/>
      <c r="AF8" s="7"/>
      <c r="AG8" s="7"/>
      <c r="AH8" s="7"/>
      <c r="AI8" s="72" t="str">
        <f t="shared" si="4"/>
        <v>A</v>
      </c>
      <c r="AJ8" s="7"/>
      <c r="AK8" s="7"/>
      <c r="AL8" s="7"/>
      <c r="AM8" s="7"/>
      <c r="AN8" s="7"/>
      <c r="AO8" s="72" t="str">
        <f t="shared" si="5"/>
        <v>A</v>
      </c>
      <c r="AP8" s="7"/>
      <c r="AQ8" s="7"/>
      <c r="AR8" s="7"/>
      <c r="AS8" s="7"/>
      <c r="AT8" s="7"/>
      <c r="AU8" s="72" t="str">
        <f t="shared" si="6"/>
        <v>A</v>
      </c>
      <c r="AV8" s="7"/>
      <c r="AW8" s="7"/>
      <c r="AX8" s="62">
        <v>5</v>
      </c>
      <c r="AY8" s="62">
        <v>0</v>
      </c>
      <c r="AZ8" s="62">
        <v>3</v>
      </c>
      <c r="BA8" s="72">
        <f t="shared" si="7"/>
        <v>2.6666666666666665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0</v>
      </c>
      <c r="M9" s="62"/>
      <c r="N9" s="62">
        <v>0</v>
      </c>
      <c r="O9" s="62">
        <v>0</v>
      </c>
      <c r="P9" s="62"/>
      <c r="Q9" s="72">
        <f t="shared" si="1"/>
        <v>0</v>
      </c>
      <c r="R9" s="62"/>
      <c r="S9" s="62"/>
      <c r="T9" s="62"/>
      <c r="U9" s="62"/>
      <c r="V9" s="62"/>
      <c r="W9" s="72" t="str">
        <f t="shared" si="2"/>
        <v>A</v>
      </c>
      <c r="X9" s="62"/>
      <c r="Y9" s="62"/>
      <c r="Z9" s="62"/>
      <c r="AA9" s="62"/>
      <c r="AB9" s="62"/>
      <c r="AC9" s="72" t="str">
        <f t="shared" si="3"/>
        <v>A</v>
      </c>
      <c r="AD9" s="62"/>
      <c r="AE9" s="62"/>
      <c r="AF9" s="62"/>
      <c r="AG9" s="62"/>
      <c r="AH9" s="62"/>
      <c r="AI9" s="72" t="str">
        <f t="shared" si="4"/>
        <v>A</v>
      </c>
      <c r="AJ9" s="62"/>
      <c r="AK9" s="62"/>
      <c r="AL9" s="62"/>
      <c r="AM9" s="62"/>
      <c r="AN9" s="62"/>
      <c r="AO9" s="72" t="str">
        <f t="shared" si="5"/>
        <v>A</v>
      </c>
      <c r="AP9" s="62"/>
      <c r="AQ9" s="62"/>
      <c r="AR9" s="62"/>
      <c r="AS9" s="62"/>
      <c r="AT9" s="62"/>
      <c r="AU9" s="72" t="str">
        <f t="shared" si="6"/>
        <v>A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4</v>
      </c>
      <c r="M10" s="62"/>
      <c r="N10" s="62">
        <v>4</v>
      </c>
      <c r="O10" s="62">
        <v>4</v>
      </c>
      <c r="P10" s="62"/>
      <c r="Q10" s="72">
        <f t="shared" si="1"/>
        <v>4</v>
      </c>
      <c r="R10" s="7"/>
      <c r="S10" s="7"/>
      <c r="T10" s="7"/>
      <c r="U10" s="7"/>
      <c r="V10" s="7"/>
      <c r="W10" s="72" t="str">
        <f t="shared" si="2"/>
        <v>A</v>
      </c>
      <c r="X10" s="7"/>
      <c r="Y10" s="7"/>
      <c r="Z10" s="7"/>
      <c r="AA10" s="7"/>
      <c r="AB10" s="7"/>
      <c r="AC10" s="72" t="str">
        <f t="shared" si="3"/>
        <v>A</v>
      </c>
      <c r="AD10" s="7"/>
      <c r="AE10" s="7"/>
      <c r="AF10" s="7"/>
      <c r="AG10" s="7"/>
      <c r="AH10" s="7"/>
      <c r="AI10" s="72" t="str">
        <f t="shared" si="4"/>
        <v>A</v>
      </c>
      <c r="AJ10" s="7"/>
      <c r="AK10" s="7"/>
      <c r="AL10" s="7"/>
      <c r="AM10" s="7"/>
      <c r="AN10" s="7"/>
      <c r="AO10" s="72" t="str">
        <f t="shared" si="5"/>
        <v>A</v>
      </c>
      <c r="AP10" s="7"/>
      <c r="AQ10" s="7"/>
      <c r="AR10" s="7"/>
      <c r="AS10" s="7"/>
      <c r="AT10" s="7"/>
      <c r="AU10" s="72" t="str">
        <f t="shared" si="6"/>
        <v>A</v>
      </c>
      <c r="AV10" s="7"/>
      <c r="AW10" s="7"/>
      <c r="AX10" s="62">
        <v>5</v>
      </c>
      <c r="AY10" s="62">
        <v>2</v>
      </c>
      <c r="AZ10" s="62">
        <v>4</v>
      </c>
      <c r="BA10" s="72">
        <f t="shared" si="7"/>
        <v>3.6666666666666665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3</v>
      </c>
      <c r="M11" s="62"/>
      <c r="N11" s="62">
        <v>3</v>
      </c>
      <c r="O11" s="62">
        <v>4</v>
      </c>
      <c r="P11" s="62"/>
      <c r="Q11" s="72">
        <f t="shared" si="1"/>
        <v>3.3333333333333335</v>
      </c>
      <c r="R11" s="62"/>
      <c r="S11" s="62"/>
      <c r="T11" s="62"/>
      <c r="U11" s="62"/>
      <c r="V11" s="62"/>
      <c r="W11" s="72" t="str">
        <f t="shared" si="2"/>
        <v>A</v>
      </c>
      <c r="X11" s="62"/>
      <c r="Y11" s="62"/>
      <c r="Z11" s="62"/>
      <c r="AA11" s="62"/>
      <c r="AB11" s="62"/>
      <c r="AC11" s="72" t="str">
        <f t="shared" si="3"/>
        <v>A</v>
      </c>
      <c r="AD11" s="62"/>
      <c r="AE11" s="62"/>
      <c r="AF11" s="62"/>
      <c r="AG11" s="62"/>
      <c r="AH11" s="62"/>
      <c r="AI11" s="72" t="str">
        <f t="shared" si="4"/>
        <v>A</v>
      </c>
      <c r="AJ11" s="62"/>
      <c r="AK11" s="62"/>
      <c r="AL11" s="62"/>
      <c r="AM11" s="62"/>
      <c r="AN11" s="62"/>
      <c r="AO11" s="72" t="str">
        <f t="shared" si="5"/>
        <v>A</v>
      </c>
      <c r="AP11" s="62"/>
      <c r="AQ11" s="62"/>
      <c r="AR11" s="62"/>
      <c r="AS11" s="62"/>
      <c r="AT11" s="62"/>
      <c r="AU11" s="72" t="str">
        <f t="shared" si="6"/>
        <v>A</v>
      </c>
      <c r="AV11" s="62"/>
      <c r="AW11" s="62"/>
      <c r="AX11" s="62">
        <v>5</v>
      </c>
      <c r="AY11" s="62">
        <v>0</v>
      </c>
      <c r="AZ11" s="62">
        <v>4</v>
      </c>
      <c r="BA11" s="72">
        <f t="shared" si="7"/>
        <v>3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3</v>
      </c>
      <c r="M12" s="62"/>
      <c r="N12" s="62">
        <v>3</v>
      </c>
      <c r="O12" s="62">
        <v>2</v>
      </c>
      <c r="P12" s="62"/>
      <c r="Q12" s="72">
        <f t="shared" si="1"/>
        <v>2.6666666666666665</v>
      </c>
      <c r="R12" s="7"/>
      <c r="S12" s="7"/>
      <c r="T12" s="7"/>
      <c r="U12" s="7"/>
      <c r="V12" s="7"/>
      <c r="W12" s="72" t="str">
        <f t="shared" si="2"/>
        <v>A</v>
      </c>
      <c r="X12" s="7"/>
      <c r="Y12" s="7"/>
      <c r="Z12" s="7"/>
      <c r="AA12" s="7"/>
      <c r="AB12" s="7"/>
      <c r="AC12" s="72" t="str">
        <f t="shared" si="3"/>
        <v>A</v>
      </c>
      <c r="AD12" s="7"/>
      <c r="AE12" s="7"/>
      <c r="AF12" s="7"/>
      <c r="AG12" s="7"/>
      <c r="AH12" s="7"/>
      <c r="AI12" s="72" t="str">
        <f t="shared" si="4"/>
        <v>A</v>
      </c>
      <c r="AJ12" s="7"/>
      <c r="AK12" s="7"/>
      <c r="AL12" s="7"/>
      <c r="AM12" s="7"/>
      <c r="AN12" s="7"/>
      <c r="AO12" s="72" t="str">
        <f t="shared" si="5"/>
        <v>A</v>
      </c>
      <c r="AP12" s="7"/>
      <c r="AQ12" s="7"/>
      <c r="AR12" s="7"/>
      <c r="AS12" s="7"/>
      <c r="AT12" s="7"/>
      <c r="AU12" s="72" t="str">
        <f t="shared" si="6"/>
        <v>A</v>
      </c>
      <c r="AV12" s="7"/>
      <c r="AW12" s="7"/>
      <c r="AX12" s="62">
        <v>5</v>
      </c>
      <c r="AY12" s="62">
        <v>0</v>
      </c>
      <c r="AZ12" s="62">
        <v>2</v>
      </c>
      <c r="BA12" s="72">
        <f t="shared" si="7"/>
        <v>2.3333333333333335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4</v>
      </c>
      <c r="M13" s="62"/>
      <c r="N13" s="62">
        <v>4</v>
      </c>
      <c r="O13" s="62">
        <v>4</v>
      </c>
      <c r="P13" s="62"/>
      <c r="Q13" s="72">
        <f t="shared" si="1"/>
        <v>4</v>
      </c>
      <c r="R13" s="62"/>
      <c r="S13" s="62"/>
      <c r="T13" s="62"/>
      <c r="U13" s="62"/>
      <c r="V13" s="62"/>
      <c r="W13" s="72" t="str">
        <f t="shared" si="2"/>
        <v>A</v>
      </c>
      <c r="X13" s="62"/>
      <c r="Y13" s="62"/>
      <c r="Z13" s="62"/>
      <c r="AA13" s="62"/>
      <c r="AB13" s="62"/>
      <c r="AC13" s="72" t="str">
        <f t="shared" si="3"/>
        <v>A</v>
      </c>
      <c r="AD13" s="62"/>
      <c r="AE13" s="62"/>
      <c r="AF13" s="62"/>
      <c r="AG13" s="62"/>
      <c r="AH13" s="62"/>
      <c r="AI13" s="72" t="str">
        <f t="shared" si="4"/>
        <v>A</v>
      </c>
      <c r="AJ13" s="62"/>
      <c r="AK13" s="62"/>
      <c r="AL13" s="62"/>
      <c r="AM13" s="62"/>
      <c r="AN13" s="62"/>
      <c r="AO13" s="72" t="str">
        <f t="shared" si="5"/>
        <v>A</v>
      </c>
      <c r="AP13" s="62"/>
      <c r="AQ13" s="62"/>
      <c r="AR13" s="62"/>
      <c r="AS13" s="62"/>
      <c r="AT13" s="62"/>
      <c r="AU13" s="72" t="str">
        <f t="shared" si="6"/>
        <v>A</v>
      </c>
      <c r="AV13" s="62"/>
      <c r="AW13" s="62"/>
      <c r="AX13" s="62">
        <v>5</v>
      </c>
      <c r="AY13" s="62">
        <v>0</v>
      </c>
      <c r="AZ13" s="62">
        <v>4</v>
      </c>
      <c r="BA13" s="72">
        <f t="shared" si="7"/>
        <v>3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3</v>
      </c>
      <c r="M14" s="62"/>
      <c r="N14" s="62">
        <v>3</v>
      </c>
      <c r="O14" s="62">
        <v>2</v>
      </c>
      <c r="P14" s="62"/>
      <c r="Q14" s="72">
        <f t="shared" si="1"/>
        <v>2.6666666666666665</v>
      </c>
      <c r="R14" s="7"/>
      <c r="S14" s="7"/>
      <c r="T14" s="7"/>
      <c r="U14" s="7"/>
      <c r="V14" s="7"/>
      <c r="W14" s="72" t="str">
        <f t="shared" si="2"/>
        <v>A</v>
      </c>
      <c r="X14" s="7"/>
      <c r="Y14" s="7"/>
      <c r="Z14" s="7"/>
      <c r="AA14" s="7"/>
      <c r="AB14" s="7"/>
      <c r="AC14" s="72" t="str">
        <f t="shared" si="3"/>
        <v>A</v>
      </c>
      <c r="AD14" s="7"/>
      <c r="AE14" s="7"/>
      <c r="AF14" s="7"/>
      <c r="AG14" s="7"/>
      <c r="AH14" s="7"/>
      <c r="AI14" s="72" t="str">
        <f t="shared" si="4"/>
        <v>A</v>
      </c>
      <c r="AJ14" s="7"/>
      <c r="AK14" s="7"/>
      <c r="AL14" s="7"/>
      <c r="AM14" s="7"/>
      <c r="AN14" s="7"/>
      <c r="AO14" s="72" t="str">
        <f t="shared" si="5"/>
        <v>A</v>
      </c>
      <c r="AP14" s="7"/>
      <c r="AQ14" s="7"/>
      <c r="AR14" s="7"/>
      <c r="AS14" s="7"/>
      <c r="AT14" s="7"/>
      <c r="AU14" s="72" t="str">
        <f t="shared" si="6"/>
        <v>A</v>
      </c>
      <c r="AV14" s="7"/>
      <c r="AW14" s="7"/>
      <c r="AX14" s="62">
        <v>5</v>
      </c>
      <c r="AY14" s="62">
        <v>0</v>
      </c>
      <c r="AZ14" s="62">
        <v>2</v>
      </c>
      <c r="BA14" s="72">
        <f t="shared" si="7"/>
        <v>2.3333333333333335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3</v>
      </c>
      <c r="M15" s="62"/>
      <c r="N15" s="62">
        <v>3</v>
      </c>
      <c r="O15" s="62">
        <v>3</v>
      </c>
      <c r="P15" s="62"/>
      <c r="Q15" s="72">
        <f t="shared" si="1"/>
        <v>3</v>
      </c>
      <c r="R15" s="62"/>
      <c r="S15" s="62"/>
      <c r="T15" s="62"/>
      <c r="U15" s="62"/>
      <c r="V15" s="62"/>
      <c r="W15" s="72" t="str">
        <f t="shared" si="2"/>
        <v>A</v>
      </c>
      <c r="X15" s="62"/>
      <c r="Y15" s="62"/>
      <c r="Z15" s="62"/>
      <c r="AA15" s="62"/>
      <c r="AB15" s="62"/>
      <c r="AC15" s="72" t="str">
        <f t="shared" si="3"/>
        <v>A</v>
      </c>
      <c r="AD15" s="62"/>
      <c r="AE15" s="62"/>
      <c r="AF15" s="62"/>
      <c r="AG15" s="62"/>
      <c r="AH15" s="62"/>
      <c r="AI15" s="72" t="str">
        <f t="shared" si="4"/>
        <v>A</v>
      </c>
      <c r="AJ15" s="62"/>
      <c r="AK15" s="62"/>
      <c r="AL15" s="62"/>
      <c r="AM15" s="62"/>
      <c r="AN15" s="62"/>
      <c r="AO15" s="72" t="str">
        <f t="shared" si="5"/>
        <v>A</v>
      </c>
      <c r="AP15" s="62"/>
      <c r="AQ15" s="62"/>
      <c r="AR15" s="62"/>
      <c r="AS15" s="62"/>
      <c r="AT15" s="62"/>
      <c r="AU15" s="72" t="str">
        <f t="shared" si="6"/>
        <v>A</v>
      </c>
      <c r="AV15" s="62"/>
      <c r="AW15" s="62"/>
      <c r="AX15" s="62">
        <v>5</v>
      </c>
      <c r="AY15" s="62">
        <v>0</v>
      </c>
      <c r="AZ15" s="62">
        <v>3</v>
      </c>
      <c r="BA15" s="72">
        <f t="shared" si="7"/>
        <v>2.6666666666666665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0</v>
      </c>
      <c r="M16" s="62"/>
      <c r="N16" s="62">
        <v>0</v>
      </c>
      <c r="O16" s="62">
        <v>0</v>
      </c>
      <c r="P16" s="62"/>
      <c r="Q16" s="72">
        <f t="shared" si="1"/>
        <v>0</v>
      </c>
      <c r="R16" s="7"/>
      <c r="S16" s="7"/>
      <c r="T16" s="7"/>
      <c r="U16" s="7"/>
      <c r="V16" s="7"/>
      <c r="W16" s="72" t="str">
        <f t="shared" si="2"/>
        <v>A</v>
      </c>
      <c r="X16" s="7"/>
      <c r="Y16" s="7"/>
      <c r="Z16" s="7"/>
      <c r="AA16" s="7"/>
      <c r="AB16" s="7"/>
      <c r="AC16" s="72" t="str">
        <f t="shared" si="3"/>
        <v>A</v>
      </c>
      <c r="AD16" s="7"/>
      <c r="AE16" s="7"/>
      <c r="AF16" s="7"/>
      <c r="AG16" s="7"/>
      <c r="AH16" s="7"/>
      <c r="AI16" s="72" t="str">
        <f t="shared" si="4"/>
        <v>A</v>
      </c>
      <c r="AJ16" s="7"/>
      <c r="AK16" s="7"/>
      <c r="AL16" s="7"/>
      <c r="AM16" s="7"/>
      <c r="AN16" s="7"/>
      <c r="AO16" s="72" t="str">
        <f t="shared" si="5"/>
        <v>A</v>
      </c>
      <c r="AP16" s="7"/>
      <c r="AQ16" s="7"/>
      <c r="AR16" s="7"/>
      <c r="AS16" s="7"/>
      <c r="AT16" s="7"/>
      <c r="AU16" s="72" t="str">
        <f t="shared" si="6"/>
        <v>A</v>
      </c>
      <c r="AV16" s="7"/>
      <c r="AW16" s="7"/>
      <c r="AX16" s="62">
        <v>0</v>
      </c>
      <c r="AY16" s="62">
        <v>0</v>
      </c>
      <c r="AZ16" s="62">
        <v>0</v>
      </c>
      <c r="BA16" s="72">
        <f t="shared" si="7"/>
        <v>0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3</v>
      </c>
      <c r="M17" s="62"/>
      <c r="N17" s="62">
        <v>3</v>
      </c>
      <c r="O17" s="62">
        <v>2</v>
      </c>
      <c r="P17" s="62"/>
      <c r="Q17" s="72">
        <f t="shared" si="1"/>
        <v>2.6666666666666665</v>
      </c>
      <c r="R17" s="62"/>
      <c r="S17" s="62"/>
      <c r="T17" s="62"/>
      <c r="U17" s="62"/>
      <c r="V17" s="62"/>
      <c r="W17" s="72" t="str">
        <f t="shared" si="2"/>
        <v>A</v>
      </c>
      <c r="X17" s="62"/>
      <c r="Y17" s="62"/>
      <c r="Z17" s="62"/>
      <c r="AA17" s="62"/>
      <c r="AB17" s="62"/>
      <c r="AC17" s="72" t="str">
        <f t="shared" si="3"/>
        <v>A</v>
      </c>
      <c r="AD17" s="62"/>
      <c r="AE17" s="62"/>
      <c r="AF17" s="62"/>
      <c r="AG17" s="62"/>
      <c r="AH17" s="62"/>
      <c r="AI17" s="72" t="str">
        <f t="shared" si="4"/>
        <v>A</v>
      </c>
      <c r="AJ17" s="62"/>
      <c r="AK17" s="62"/>
      <c r="AL17" s="62"/>
      <c r="AM17" s="62"/>
      <c r="AN17" s="62"/>
      <c r="AO17" s="72" t="str">
        <f t="shared" si="5"/>
        <v>A</v>
      </c>
      <c r="AP17" s="62"/>
      <c r="AQ17" s="62"/>
      <c r="AR17" s="62"/>
      <c r="AS17" s="62"/>
      <c r="AT17" s="62"/>
      <c r="AU17" s="72" t="str">
        <f t="shared" si="6"/>
        <v>A</v>
      </c>
      <c r="AV17" s="62"/>
      <c r="AW17" s="62"/>
      <c r="AX17" s="62">
        <v>5</v>
      </c>
      <c r="AY17" s="62">
        <v>2</v>
      </c>
      <c r="AZ17" s="62">
        <v>2</v>
      </c>
      <c r="BA17" s="72">
        <f t="shared" si="7"/>
        <v>3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2</v>
      </c>
      <c r="M18" s="62"/>
      <c r="N18" s="62">
        <v>3</v>
      </c>
      <c r="O18" s="62">
        <v>1</v>
      </c>
      <c r="P18" s="62"/>
      <c r="Q18" s="72">
        <f t="shared" si="1"/>
        <v>2</v>
      </c>
      <c r="R18" s="7"/>
      <c r="S18" s="7"/>
      <c r="T18" s="7"/>
      <c r="U18" s="7"/>
      <c r="V18" s="7"/>
      <c r="W18" s="72" t="str">
        <f t="shared" si="2"/>
        <v>A</v>
      </c>
      <c r="X18" s="7"/>
      <c r="Y18" s="7"/>
      <c r="Z18" s="7"/>
      <c r="AA18" s="7"/>
      <c r="AB18" s="7"/>
      <c r="AC18" s="72" t="str">
        <f t="shared" si="3"/>
        <v>A</v>
      </c>
      <c r="AD18" s="7"/>
      <c r="AE18" s="7"/>
      <c r="AF18" s="7"/>
      <c r="AG18" s="7"/>
      <c r="AH18" s="7"/>
      <c r="AI18" s="72" t="str">
        <f t="shared" si="4"/>
        <v>A</v>
      </c>
      <c r="AJ18" s="7"/>
      <c r="AK18" s="7"/>
      <c r="AL18" s="7"/>
      <c r="AM18" s="7"/>
      <c r="AN18" s="7"/>
      <c r="AO18" s="72" t="str">
        <f t="shared" si="5"/>
        <v>A</v>
      </c>
      <c r="AP18" s="7"/>
      <c r="AQ18" s="7"/>
      <c r="AR18" s="7"/>
      <c r="AS18" s="7"/>
      <c r="AT18" s="7"/>
      <c r="AU18" s="72" t="str">
        <f t="shared" si="6"/>
        <v>A</v>
      </c>
      <c r="AV18" s="7"/>
      <c r="AW18" s="7"/>
      <c r="AX18" s="62">
        <v>5</v>
      </c>
      <c r="AY18" s="62">
        <v>0</v>
      </c>
      <c r="AZ18" s="62">
        <v>1</v>
      </c>
      <c r="BA18" s="72">
        <f t="shared" si="7"/>
        <v>2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2</v>
      </c>
      <c r="M19" s="62"/>
      <c r="N19" s="62">
        <v>2</v>
      </c>
      <c r="O19" s="62">
        <v>2</v>
      </c>
      <c r="P19" s="62"/>
      <c r="Q19" s="72">
        <f t="shared" si="1"/>
        <v>2</v>
      </c>
      <c r="R19" s="62"/>
      <c r="S19" s="62"/>
      <c r="T19" s="62"/>
      <c r="U19" s="62"/>
      <c r="V19" s="62"/>
      <c r="W19" s="72" t="str">
        <f t="shared" si="2"/>
        <v>A</v>
      </c>
      <c r="X19" s="62"/>
      <c r="Y19" s="62"/>
      <c r="Z19" s="62"/>
      <c r="AA19" s="62"/>
      <c r="AB19" s="62"/>
      <c r="AC19" s="72" t="str">
        <f t="shared" si="3"/>
        <v>A</v>
      </c>
      <c r="AD19" s="62"/>
      <c r="AE19" s="62"/>
      <c r="AF19" s="62"/>
      <c r="AG19" s="62"/>
      <c r="AH19" s="62"/>
      <c r="AI19" s="72" t="str">
        <f t="shared" si="4"/>
        <v>A</v>
      </c>
      <c r="AJ19" s="62"/>
      <c r="AK19" s="62"/>
      <c r="AL19" s="62"/>
      <c r="AM19" s="62"/>
      <c r="AN19" s="62"/>
      <c r="AO19" s="72" t="str">
        <f t="shared" si="5"/>
        <v>A</v>
      </c>
      <c r="AP19" s="62"/>
      <c r="AQ19" s="62"/>
      <c r="AR19" s="62"/>
      <c r="AS19" s="62"/>
      <c r="AT19" s="62"/>
      <c r="AU19" s="72" t="str">
        <f t="shared" si="6"/>
        <v>A</v>
      </c>
      <c r="AV19" s="62"/>
      <c r="AW19" s="62"/>
      <c r="AX19" s="62">
        <v>2</v>
      </c>
      <c r="AY19" s="62">
        <v>2</v>
      </c>
      <c r="AZ19" s="62">
        <v>2</v>
      </c>
      <c r="BA19" s="72">
        <f t="shared" si="7"/>
        <v>2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/>
      <c r="N20" s="62">
        <v>3</v>
      </c>
      <c r="O20" s="62">
        <v>3</v>
      </c>
      <c r="P20" s="62"/>
      <c r="Q20" s="72">
        <f t="shared" si="1"/>
        <v>3</v>
      </c>
      <c r="R20" s="7"/>
      <c r="S20" s="7"/>
      <c r="T20" s="7"/>
      <c r="U20" s="7"/>
      <c r="V20" s="7"/>
      <c r="W20" s="72" t="str">
        <f t="shared" si="2"/>
        <v>A</v>
      </c>
      <c r="X20" s="7"/>
      <c r="Y20" s="7"/>
      <c r="Z20" s="7"/>
      <c r="AA20" s="7"/>
      <c r="AB20" s="7"/>
      <c r="AC20" s="72" t="str">
        <f t="shared" si="3"/>
        <v>A</v>
      </c>
      <c r="AD20" s="7"/>
      <c r="AE20" s="7"/>
      <c r="AF20" s="7"/>
      <c r="AG20" s="7"/>
      <c r="AH20" s="7"/>
      <c r="AI20" s="72" t="str">
        <f t="shared" si="4"/>
        <v>A</v>
      </c>
      <c r="AJ20" s="7"/>
      <c r="AK20" s="7"/>
      <c r="AL20" s="7"/>
      <c r="AM20" s="7"/>
      <c r="AN20" s="7"/>
      <c r="AO20" s="72" t="str">
        <f t="shared" si="5"/>
        <v>A</v>
      </c>
      <c r="AP20" s="7"/>
      <c r="AQ20" s="7"/>
      <c r="AR20" s="7"/>
      <c r="AS20" s="7"/>
      <c r="AT20" s="7"/>
      <c r="AU20" s="72" t="str">
        <f t="shared" si="6"/>
        <v>A</v>
      </c>
      <c r="AV20" s="7"/>
      <c r="AW20" s="7"/>
      <c r="AX20" s="62">
        <v>5</v>
      </c>
      <c r="AY20" s="62">
        <v>0</v>
      </c>
      <c r="AZ20" s="62">
        <v>3</v>
      </c>
      <c r="BA20" s="72">
        <f t="shared" si="7"/>
        <v>2.6666666666666665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0</v>
      </c>
      <c r="M21" s="62"/>
      <c r="N21" s="62">
        <v>0</v>
      </c>
      <c r="O21" s="62">
        <v>0</v>
      </c>
      <c r="P21" s="62"/>
      <c r="Q21" s="72">
        <f t="shared" si="1"/>
        <v>0</v>
      </c>
      <c r="R21" s="62"/>
      <c r="S21" s="62"/>
      <c r="T21" s="62"/>
      <c r="U21" s="62"/>
      <c r="V21" s="62"/>
      <c r="W21" s="72" t="str">
        <f t="shared" si="2"/>
        <v>A</v>
      </c>
      <c r="X21" s="62"/>
      <c r="Y21" s="62"/>
      <c r="Z21" s="62"/>
      <c r="AA21" s="62"/>
      <c r="AB21" s="62"/>
      <c r="AC21" s="72" t="str">
        <f t="shared" si="3"/>
        <v>A</v>
      </c>
      <c r="AD21" s="62"/>
      <c r="AE21" s="62"/>
      <c r="AF21" s="62"/>
      <c r="AG21" s="62"/>
      <c r="AH21" s="62"/>
      <c r="AI21" s="72" t="str">
        <f t="shared" si="4"/>
        <v>A</v>
      </c>
      <c r="AJ21" s="62"/>
      <c r="AK21" s="62"/>
      <c r="AL21" s="62"/>
      <c r="AM21" s="62"/>
      <c r="AN21" s="62"/>
      <c r="AO21" s="72" t="str">
        <f t="shared" si="5"/>
        <v>A</v>
      </c>
      <c r="AP21" s="62"/>
      <c r="AQ21" s="62"/>
      <c r="AR21" s="62"/>
      <c r="AS21" s="62"/>
      <c r="AT21" s="62"/>
      <c r="AU21" s="72" t="str">
        <f t="shared" si="6"/>
        <v>A</v>
      </c>
      <c r="AV21" s="62"/>
      <c r="AW21" s="62"/>
      <c r="AX21" s="62">
        <v>0</v>
      </c>
      <c r="AY21" s="62">
        <v>0</v>
      </c>
      <c r="AZ21" s="62">
        <v>0</v>
      </c>
      <c r="BA21" s="72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/>
      <c r="N22" s="62">
        <v>4</v>
      </c>
      <c r="O22" s="62">
        <v>4</v>
      </c>
      <c r="P22" s="62"/>
      <c r="Q22" s="72">
        <f t="shared" si="1"/>
        <v>3.6666666666666665</v>
      </c>
      <c r="R22" s="7"/>
      <c r="S22" s="7"/>
      <c r="T22" s="7"/>
      <c r="U22" s="7"/>
      <c r="V22" s="7"/>
      <c r="W22" s="72" t="str">
        <f t="shared" si="2"/>
        <v>A</v>
      </c>
      <c r="X22" s="7"/>
      <c r="Y22" s="7"/>
      <c r="Z22" s="7"/>
      <c r="AA22" s="7"/>
      <c r="AB22" s="7"/>
      <c r="AC22" s="72" t="str">
        <f t="shared" si="3"/>
        <v>A</v>
      </c>
      <c r="AD22" s="7"/>
      <c r="AE22" s="7"/>
      <c r="AF22" s="7"/>
      <c r="AG22" s="7"/>
      <c r="AH22" s="7"/>
      <c r="AI22" s="72" t="str">
        <f t="shared" si="4"/>
        <v>A</v>
      </c>
      <c r="AJ22" s="7"/>
      <c r="AK22" s="7"/>
      <c r="AL22" s="7"/>
      <c r="AM22" s="7"/>
      <c r="AN22" s="7"/>
      <c r="AO22" s="72" t="str">
        <f t="shared" si="5"/>
        <v>A</v>
      </c>
      <c r="AP22" s="7"/>
      <c r="AQ22" s="7"/>
      <c r="AR22" s="7"/>
      <c r="AS22" s="7"/>
      <c r="AT22" s="7"/>
      <c r="AU22" s="72" t="str">
        <f t="shared" si="6"/>
        <v>A</v>
      </c>
      <c r="AV22" s="7"/>
      <c r="AW22" s="7"/>
      <c r="AX22" s="62">
        <v>5</v>
      </c>
      <c r="AY22" s="62">
        <v>0</v>
      </c>
      <c r="AZ22" s="62">
        <v>4</v>
      </c>
      <c r="BA22" s="72">
        <f t="shared" si="7"/>
        <v>3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3</v>
      </c>
      <c r="M23" s="62"/>
      <c r="N23" s="62">
        <v>4</v>
      </c>
      <c r="O23" s="62">
        <v>4</v>
      </c>
      <c r="P23" s="62"/>
      <c r="Q23" s="72">
        <f t="shared" si="1"/>
        <v>3.6666666666666665</v>
      </c>
      <c r="R23" s="62"/>
      <c r="S23" s="62"/>
      <c r="T23" s="62"/>
      <c r="U23" s="62"/>
      <c r="V23" s="62"/>
      <c r="W23" s="72" t="str">
        <f t="shared" si="2"/>
        <v>A</v>
      </c>
      <c r="X23" s="62"/>
      <c r="Y23" s="62"/>
      <c r="Z23" s="62"/>
      <c r="AA23" s="62"/>
      <c r="AB23" s="62"/>
      <c r="AC23" s="72" t="str">
        <f t="shared" si="3"/>
        <v>A</v>
      </c>
      <c r="AD23" s="62"/>
      <c r="AE23" s="62"/>
      <c r="AF23" s="62"/>
      <c r="AG23" s="62"/>
      <c r="AH23" s="62"/>
      <c r="AI23" s="72" t="str">
        <f t="shared" si="4"/>
        <v>A</v>
      </c>
      <c r="AJ23" s="62"/>
      <c r="AK23" s="62"/>
      <c r="AL23" s="62"/>
      <c r="AM23" s="62"/>
      <c r="AN23" s="62"/>
      <c r="AO23" s="72" t="str">
        <f t="shared" si="5"/>
        <v>A</v>
      </c>
      <c r="AP23" s="62"/>
      <c r="AQ23" s="62"/>
      <c r="AR23" s="62"/>
      <c r="AS23" s="62"/>
      <c r="AT23" s="62"/>
      <c r="AU23" s="72" t="str">
        <f t="shared" si="6"/>
        <v>A</v>
      </c>
      <c r="AV23" s="62"/>
      <c r="AW23" s="62"/>
      <c r="AX23" s="62">
        <v>5</v>
      </c>
      <c r="AY23" s="62">
        <v>0</v>
      </c>
      <c r="AZ23" s="62">
        <v>3</v>
      </c>
      <c r="BA23" s="72">
        <f t="shared" si="7"/>
        <v>2.6666666666666665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3</v>
      </c>
      <c r="M24" s="62"/>
      <c r="N24" s="62">
        <v>3</v>
      </c>
      <c r="O24" s="62">
        <v>2</v>
      </c>
      <c r="P24" s="62"/>
      <c r="Q24" s="72">
        <f t="shared" si="1"/>
        <v>2.6666666666666665</v>
      </c>
      <c r="R24" s="7"/>
      <c r="S24" s="7"/>
      <c r="T24" s="7"/>
      <c r="U24" s="7"/>
      <c r="V24" s="7"/>
      <c r="W24" s="72" t="str">
        <f t="shared" si="2"/>
        <v>A</v>
      </c>
      <c r="X24" s="7"/>
      <c r="Y24" s="7"/>
      <c r="Z24" s="7"/>
      <c r="AA24" s="7"/>
      <c r="AB24" s="7"/>
      <c r="AC24" s="72" t="str">
        <f t="shared" si="3"/>
        <v>A</v>
      </c>
      <c r="AD24" s="7"/>
      <c r="AE24" s="7"/>
      <c r="AF24" s="7"/>
      <c r="AG24" s="7"/>
      <c r="AH24" s="7"/>
      <c r="AI24" s="72" t="str">
        <f t="shared" si="4"/>
        <v>A</v>
      </c>
      <c r="AJ24" s="7"/>
      <c r="AK24" s="7"/>
      <c r="AL24" s="7"/>
      <c r="AM24" s="7"/>
      <c r="AN24" s="7"/>
      <c r="AO24" s="72" t="str">
        <f t="shared" si="5"/>
        <v>A</v>
      </c>
      <c r="AP24" s="7"/>
      <c r="AQ24" s="7"/>
      <c r="AR24" s="7"/>
      <c r="AS24" s="7"/>
      <c r="AT24" s="7"/>
      <c r="AU24" s="72" t="str">
        <f t="shared" si="6"/>
        <v>A</v>
      </c>
      <c r="AV24" s="7"/>
      <c r="AW24" s="7"/>
      <c r="AX24" s="62">
        <v>5</v>
      </c>
      <c r="AY24" s="62">
        <v>0</v>
      </c>
      <c r="AZ24" s="62">
        <v>3</v>
      </c>
      <c r="BA24" s="72">
        <f t="shared" si="7"/>
        <v>2.6666666666666665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0</v>
      </c>
      <c r="M25" s="62"/>
      <c r="N25" s="62">
        <v>0</v>
      </c>
      <c r="O25" s="62">
        <v>0</v>
      </c>
      <c r="P25" s="62"/>
      <c r="Q25" s="72">
        <f t="shared" si="1"/>
        <v>0</v>
      </c>
      <c r="R25" s="62"/>
      <c r="S25" s="62"/>
      <c r="T25" s="62"/>
      <c r="U25" s="62"/>
      <c r="V25" s="62"/>
      <c r="W25" s="72" t="str">
        <f t="shared" si="2"/>
        <v>A</v>
      </c>
      <c r="X25" s="62"/>
      <c r="Y25" s="62"/>
      <c r="Z25" s="62"/>
      <c r="AA25" s="62"/>
      <c r="AB25" s="62"/>
      <c r="AC25" s="72" t="str">
        <f t="shared" si="3"/>
        <v>A</v>
      </c>
      <c r="AD25" s="62"/>
      <c r="AE25" s="62"/>
      <c r="AF25" s="62"/>
      <c r="AG25" s="62"/>
      <c r="AH25" s="62"/>
      <c r="AI25" s="72" t="str">
        <f t="shared" si="4"/>
        <v>A</v>
      </c>
      <c r="AJ25" s="62"/>
      <c r="AK25" s="62"/>
      <c r="AL25" s="62"/>
      <c r="AM25" s="62"/>
      <c r="AN25" s="62"/>
      <c r="AO25" s="72" t="str">
        <f t="shared" si="5"/>
        <v>A</v>
      </c>
      <c r="AP25" s="62"/>
      <c r="AQ25" s="62"/>
      <c r="AR25" s="62"/>
      <c r="AS25" s="62"/>
      <c r="AT25" s="62"/>
      <c r="AU25" s="72" t="str">
        <f t="shared" si="6"/>
        <v>A</v>
      </c>
      <c r="AV25" s="62"/>
      <c r="AW25" s="62"/>
      <c r="AX25" s="62">
        <v>0</v>
      </c>
      <c r="AY25" s="62">
        <v>0</v>
      </c>
      <c r="AZ25" s="62">
        <v>0</v>
      </c>
      <c r="BA25" s="72">
        <f t="shared" si="7"/>
        <v>0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3</v>
      </c>
      <c r="M26" s="62"/>
      <c r="N26" s="62">
        <v>2</v>
      </c>
      <c r="O26" s="62">
        <v>2</v>
      </c>
      <c r="P26" s="62"/>
      <c r="Q26" s="72">
        <f t="shared" si="1"/>
        <v>2.3333333333333335</v>
      </c>
      <c r="R26" s="7"/>
      <c r="S26" s="7"/>
      <c r="T26" s="7"/>
      <c r="U26" s="7"/>
      <c r="V26" s="7"/>
      <c r="W26" s="72" t="str">
        <f t="shared" si="2"/>
        <v>A</v>
      </c>
      <c r="X26" s="7"/>
      <c r="Y26" s="7"/>
      <c r="Z26" s="7"/>
      <c r="AA26" s="7"/>
      <c r="AB26" s="7"/>
      <c r="AC26" s="72" t="str">
        <f t="shared" si="3"/>
        <v>A</v>
      </c>
      <c r="AD26" s="7"/>
      <c r="AE26" s="7"/>
      <c r="AF26" s="7"/>
      <c r="AG26" s="7"/>
      <c r="AH26" s="7"/>
      <c r="AI26" s="72" t="str">
        <f t="shared" si="4"/>
        <v>A</v>
      </c>
      <c r="AJ26" s="7"/>
      <c r="AK26" s="7"/>
      <c r="AL26" s="7"/>
      <c r="AM26" s="7"/>
      <c r="AN26" s="7"/>
      <c r="AO26" s="72" t="str">
        <f t="shared" si="5"/>
        <v>A</v>
      </c>
      <c r="AP26" s="7"/>
      <c r="AQ26" s="7"/>
      <c r="AR26" s="7"/>
      <c r="AS26" s="7"/>
      <c r="AT26" s="7"/>
      <c r="AU26" s="72" t="str">
        <f t="shared" si="6"/>
        <v>A</v>
      </c>
      <c r="AV26" s="7"/>
      <c r="AW26" s="7"/>
      <c r="AX26" s="62">
        <v>5</v>
      </c>
      <c r="AY26" s="62">
        <v>0</v>
      </c>
      <c r="AZ26" s="62">
        <v>2</v>
      </c>
      <c r="BA26" s="72">
        <f t="shared" si="7"/>
        <v>2.3333333333333335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/>
      <c r="N27" s="62">
        <v>3</v>
      </c>
      <c r="O27" s="62">
        <v>4</v>
      </c>
      <c r="P27" s="62"/>
      <c r="Q27" s="72">
        <f t="shared" si="1"/>
        <v>3.3333333333333335</v>
      </c>
      <c r="R27" s="62"/>
      <c r="S27" s="62"/>
      <c r="T27" s="62"/>
      <c r="U27" s="62"/>
      <c r="V27" s="62"/>
      <c r="W27" s="72" t="str">
        <f t="shared" si="2"/>
        <v>A</v>
      </c>
      <c r="X27" s="62"/>
      <c r="Y27" s="62"/>
      <c r="Z27" s="62"/>
      <c r="AA27" s="62"/>
      <c r="AB27" s="62"/>
      <c r="AC27" s="72" t="str">
        <f t="shared" si="3"/>
        <v>A</v>
      </c>
      <c r="AD27" s="62"/>
      <c r="AE27" s="62"/>
      <c r="AF27" s="62"/>
      <c r="AG27" s="62"/>
      <c r="AH27" s="62"/>
      <c r="AI27" s="72" t="str">
        <f t="shared" si="4"/>
        <v>A</v>
      </c>
      <c r="AJ27" s="62"/>
      <c r="AK27" s="62"/>
      <c r="AL27" s="62"/>
      <c r="AM27" s="62"/>
      <c r="AN27" s="62"/>
      <c r="AO27" s="72" t="str">
        <f t="shared" si="5"/>
        <v>A</v>
      </c>
      <c r="AP27" s="62"/>
      <c r="AQ27" s="62"/>
      <c r="AR27" s="62"/>
      <c r="AS27" s="62"/>
      <c r="AT27" s="62"/>
      <c r="AU27" s="72" t="str">
        <f t="shared" si="6"/>
        <v>A</v>
      </c>
      <c r="AV27" s="62"/>
      <c r="AW27" s="62"/>
      <c r="AX27" s="62">
        <v>5</v>
      </c>
      <c r="AY27" s="62">
        <v>0</v>
      </c>
      <c r="AZ27" s="62">
        <v>4</v>
      </c>
      <c r="BA27" s="72">
        <f t="shared" si="7"/>
        <v>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3</v>
      </c>
      <c r="M28" s="62"/>
      <c r="N28" s="62">
        <v>4</v>
      </c>
      <c r="O28" s="62">
        <v>4</v>
      </c>
      <c r="P28" s="62"/>
      <c r="Q28" s="72">
        <f t="shared" si="1"/>
        <v>3.6666666666666665</v>
      </c>
      <c r="R28" s="7"/>
      <c r="S28" s="7"/>
      <c r="T28" s="7"/>
      <c r="U28" s="7"/>
      <c r="V28" s="7"/>
      <c r="W28" s="72" t="str">
        <f t="shared" si="2"/>
        <v>A</v>
      </c>
      <c r="X28" s="7"/>
      <c r="Y28" s="7"/>
      <c r="Z28" s="7"/>
      <c r="AA28" s="7"/>
      <c r="AB28" s="7"/>
      <c r="AC28" s="72" t="str">
        <f t="shared" si="3"/>
        <v>A</v>
      </c>
      <c r="AD28" s="7"/>
      <c r="AE28" s="7"/>
      <c r="AF28" s="7"/>
      <c r="AG28" s="7"/>
      <c r="AH28" s="7"/>
      <c r="AI28" s="72" t="str">
        <f t="shared" si="4"/>
        <v>A</v>
      </c>
      <c r="AJ28" s="7"/>
      <c r="AK28" s="7"/>
      <c r="AL28" s="7"/>
      <c r="AM28" s="7"/>
      <c r="AN28" s="7"/>
      <c r="AO28" s="72" t="str">
        <f t="shared" si="5"/>
        <v>A</v>
      </c>
      <c r="AP28" s="7"/>
      <c r="AQ28" s="7"/>
      <c r="AR28" s="7"/>
      <c r="AS28" s="7"/>
      <c r="AT28" s="7"/>
      <c r="AU28" s="72" t="str">
        <f t="shared" si="6"/>
        <v>A</v>
      </c>
      <c r="AV28" s="7"/>
      <c r="AW28" s="7"/>
      <c r="AX28" s="62">
        <v>5</v>
      </c>
      <c r="AY28" s="62">
        <v>2</v>
      </c>
      <c r="AZ28" s="62">
        <v>4</v>
      </c>
      <c r="BA28" s="72">
        <f t="shared" si="7"/>
        <v>3.6666666666666665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3</v>
      </c>
      <c r="M29" s="62"/>
      <c r="N29" s="62">
        <v>3</v>
      </c>
      <c r="O29" s="62">
        <v>2</v>
      </c>
      <c r="P29" s="62"/>
      <c r="Q29" s="72">
        <f t="shared" si="1"/>
        <v>2.6666666666666665</v>
      </c>
      <c r="R29" s="62"/>
      <c r="S29" s="62"/>
      <c r="T29" s="62"/>
      <c r="U29" s="62"/>
      <c r="V29" s="62"/>
      <c r="W29" s="72" t="str">
        <f t="shared" si="2"/>
        <v>A</v>
      </c>
      <c r="X29" s="62"/>
      <c r="Y29" s="62"/>
      <c r="Z29" s="62"/>
      <c r="AA29" s="62"/>
      <c r="AB29" s="62"/>
      <c r="AC29" s="72" t="str">
        <f t="shared" si="3"/>
        <v>A</v>
      </c>
      <c r="AD29" s="62"/>
      <c r="AE29" s="62"/>
      <c r="AF29" s="62"/>
      <c r="AG29" s="62"/>
      <c r="AH29" s="62"/>
      <c r="AI29" s="72" t="str">
        <f t="shared" si="4"/>
        <v>A</v>
      </c>
      <c r="AJ29" s="62"/>
      <c r="AK29" s="62"/>
      <c r="AL29" s="62"/>
      <c r="AM29" s="62"/>
      <c r="AN29" s="62"/>
      <c r="AO29" s="72" t="str">
        <f t="shared" si="5"/>
        <v>A</v>
      </c>
      <c r="AP29" s="62"/>
      <c r="AQ29" s="62"/>
      <c r="AR29" s="62"/>
      <c r="AS29" s="62"/>
      <c r="AT29" s="62"/>
      <c r="AU29" s="72" t="str">
        <f t="shared" si="6"/>
        <v>A</v>
      </c>
      <c r="AV29" s="62"/>
      <c r="AW29" s="62"/>
      <c r="AX29" s="62">
        <v>5</v>
      </c>
      <c r="AY29" s="62">
        <v>0</v>
      </c>
      <c r="AZ29" s="62">
        <v>2</v>
      </c>
      <c r="BA29" s="72">
        <f t="shared" si="7"/>
        <v>2.3333333333333335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1</v>
      </c>
      <c r="M30" s="62"/>
      <c r="N30" s="62">
        <v>1</v>
      </c>
      <c r="O30" s="62">
        <v>1</v>
      </c>
      <c r="P30" s="62"/>
      <c r="Q30" s="72">
        <f t="shared" si="1"/>
        <v>1</v>
      </c>
      <c r="R30" s="7"/>
      <c r="S30" s="7"/>
      <c r="T30" s="7"/>
      <c r="U30" s="7"/>
      <c r="V30" s="7"/>
      <c r="W30" s="72" t="str">
        <f t="shared" si="2"/>
        <v>A</v>
      </c>
      <c r="X30" s="7"/>
      <c r="Y30" s="7"/>
      <c r="Z30" s="7"/>
      <c r="AA30" s="7"/>
      <c r="AB30" s="7"/>
      <c r="AC30" s="72" t="str">
        <f t="shared" si="3"/>
        <v>A</v>
      </c>
      <c r="AD30" s="7"/>
      <c r="AE30" s="7"/>
      <c r="AF30" s="7"/>
      <c r="AG30" s="7"/>
      <c r="AH30" s="7"/>
      <c r="AI30" s="72" t="str">
        <f t="shared" si="4"/>
        <v>A</v>
      </c>
      <c r="AJ30" s="7"/>
      <c r="AK30" s="7"/>
      <c r="AL30" s="7"/>
      <c r="AM30" s="7"/>
      <c r="AN30" s="7"/>
      <c r="AO30" s="72" t="str">
        <f t="shared" si="5"/>
        <v>A</v>
      </c>
      <c r="AP30" s="7"/>
      <c r="AQ30" s="7"/>
      <c r="AR30" s="7"/>
      <c r="AS30" s="7"/>
      <c r="AT30" s="7"/>
      <c r="AU30" s="72" t="str">
        <f t="shared" si="6"/>
        <v>A</v>
      </c>
      <c r="AV30" s="7"/>
      <c r="AW30" s="7"/>
      <c r="AX30" s="62">
        <v>5</v>
      </c>
      <c r="AY30" s="62">
        <v>0</v>
      </c>
      <c r="AZ30" s="62">
        <v>1</v>
      </c>
      <c r="BA30" s="72">
        <f t="shared" si="7"/>
        <v>2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3</v>
      </c>
      <c r="M31" s="62"/>
      <c r="N31" s="62">
        <v>4</v>
      </c>
      <c r="O31" s="62">
        <v>4</v>
      </c>
      <c r="P31" s="62"/>
      <c r="Q31" s="72">
        <f t="shared" si="1"/>
        <v>3.6666666666666665</v>
      </c>
      <c r="R31" s="62"/>
      <c r="S31" s="62"/>
      <c r="T31" s="62"/>
      <c r="U31" s="62"/>
      <c r="V31" s="62"/>
      <c r="W31" s="72" t="str">
        <f t="shared" si="2"/>
        <v>A</v>
      </c>
      <c r="X31" s="62"/>
      <c r="Y31" s="62"/>
      <c r="Z31" s="62"/>
      <c r="AA31" s="62"/>
      <c r="AB31" s="62"/>
      <c r="AC31" s="72" t="str">
        <f t="shared" si="3"/>
        <v>A</v>
      </c>
      <c r="AD31" s="62"/>
      <c r="AE31" s="62"/>
      <c r="AF31" s="62"/>
      <c r="AG31" s="62"/>
      <c r="AH31" s="62"/>
      <c r="AI31" s="72" t="str">
        <f t="shared" si="4"/>
        <v>A</v>
      </c>
      <c r="AJ31" s="62"/>
      <c r="AK31" s="62"/>
      <c r="AL31" s="62"/>
      <c r="AM31" s="62"/>
      <c r="AN31" s="62"/>
      <c r="AO31" s="72" t="str">
        <f t="shared" si="5"/>
        <v>A</v>
      </c>
      <c r="AP31" s="62"/>
      <c r="AQ31" s="62"/>
      <c r="AR31" s="62"/>
      <c r="AS31" s="62"/>
      <c r="AT31" s="62"/>
      <c r="AU31" s="72" t="str">
        <f t="shared" si="6"/>
        <v>A</v>
      </c>
      <c r="AV31" s="62"/>
      <c r="AW31" s="62"/>
      <c r="AX31" s="62">
        <v>5</v>
      </c>
      <c r="AY31" s="62">
        <v>2</v>
      </c>
      <c r="AZ31" s="62">
        <v>3</v>
      </c>
      <c r="BA31" s="72">
        <f t="shared" si="7"/>
        <v>3.3333333333333335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3</v>
      </c>
      <c r="M32" s="62"/>
      <c r="N32" s="62">
        <v>3</v>
      </c>
      <c r="O32" s="62">
        <v>1</v>
      </c>
      <c r="P32" s="62"/>
      <c r="Q32" s="72">
        <f t="shared" si="1"/>
        <v>2.3333333333333335</v>
      </c>
      <c r="R32" s="7"/>
      <c r="S32" s="7"/>
      <c r="T32" s="7"/>
      <c r="U32" s="7"/>
      <c r="V32" s="7"/>
      <c r="W32" s="72" t="str">
        <f t="shared" si="2"/>
        <v>A</v>
      </c>
      <c r="X32" s="7"/>
      <c r="Y32" s="7"/>
      <c r="Z32" s="7"/>
      <c r="AA32" s="7"/>
      <c r="AB32" s="7"/>
      <c r="AC32" s="72" t="str">
        <f t="shared" si="3"/>
        <v>A</v>
      </c>
      <c r="AD32" s="7"/>
      <c r="AE32" s="7"/>
      <c r="AF32" s="7"/>
      <c r="AG32" s="7"/>
      <c r="AH32" s="7"/>
      <c r="AI32" s="72" t="str">
        <f t="shared" si="4"/>
        <v>A</v>
      </c>
      <c r="AJ32" s="7"/>
      <c r="AK32" s="7"/>
      <c r="AL32" s="7"/>
      <c r="AM32" s="7"/>
      <c r="AN32" s="7"/>
      <c r="AO32" s="72" t="str">
        <f t="shared" si="5"/>
        <v>A</v>
      </c>
      <c r="AP32" s="7"/>
      <c r="AQ32" s="7"/>
      <c r="AR32" s="7"/>
      <c r="AS32" s="7"/>
      <c r="AT32" s="7"/>
      <c r="AU32" s="72" t="str">
        <f t="shared" si="6"/>
        <v>A</v>
      </c>
      <c r="AV32" s="7"/>
      <c r="AW32" s="7"/>
      <c r="AX32" s="62">
        <v>5</v>
      </c>
      <c r="AY32" s="62">
        <v>0</v>
      </c>
      <c r="AZ32" s="62">
        <v>1</v>
      </c>
      <c r="BA32" s="72">
        <f t="shared" si="7"/>
        <v>2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/>
      <c r="N33" s="62">
        <v>0</v>
      </c>
      <c r="O33" s="62">
        <v>0</v>
      </c>
      <c r="P33" s="62"/>
      <c r="Q33" s="72">
        <f t="shared" si="1"/>
        <v>0</v>
      </c>
      <c r="R33" s="62"/>
      <c r="S33" s="62"/>
      <c r="T33" s="62"/>
      <c r="U33" s="62"/>
      <c r="V33" s="62"/>
      <c r="W33" s="72" t="str">
        <f t="shared" si="2"/>
        <v>A</v>
      </c>
      <c r="X33" s="62"/>
      <c r="Y33" s="62"/>
      <c r="Z33" s="62"/>
      <c r="AA33" s="62"/>
      <c r="AB33" s="62"/>
      <c r="AC33" s="72" t="str">
        <f t="shared" si="3"/>
        <v>A</v>
      </c>
      <c r="AD33" s="62"/>
      <c r="AE33" s="62"/>
      <c r="AF33" s="62"/>
      <c r="AG33" s="62"/>
      <c r="AH33" s="62"/>
      <c r="AI33" s="72" t="str">
        <f t="shared" si="4"/>
        <v>A</v>
      </c>
      <c r="AJ33" s="62"/>
      <c r="AK33" s="62"/>
      <c r="AL33" s="62"/>
      <c r="AM33" s="62"/>
      <c r="AN33" s="62"/>
      <c r="AO33" s="72" t="str">
        <f t="shared" si="5"/>
        <v>A</v>
      </c>
      <c r="AP33" s="62"/>
      <c r="AQ33" s="62"/>
      <c r="AR33" s="62"/>
      <c r="AS33" s="62"/>
      <c r="AT33" s="62"/>
      <c r="AU33" s="72" t="str">
        <f t="shared" si="6"/>
        <v>A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3</v>
      </c>
      <c r="M34" s="62"/>
      <c r="N34" s="62">
        <v>3</v>
      </c>
      <c r="O34" s="62">
        <v>3</v>
      </c>
      <c r="P34" s="62"/>
      <c r="Q34" s="72">
        <f t="shared" si="1"/>
        <v>3</v>
      </c>
      <c r="R34" s="7"/>
      <c r="S34" s="7"/>
      <c r="T34" s="7"/>
      <c r="U34" s="7"/>
      <c r="V34" s="7"/>
      <c r="W34" s="72" t="str">
        <f t="shared" si="2"/>
        <v>A</v>
      </c>
      <c r="X34" s="7"/>
      <c r="Y34" s="7"/>
      <c r="Z34" s="7"/>
      <c r="AA34" s="7"/>
      <c r="AB34" s="7"/>
      <c r="AC34" s="72" t="str">
        <f t="shared" si="3"/>
        <v>A</v>
      </c>
      <c r="AD34" s="7"/>
      <c r="AE34" s="7"/>
      <c r="AF34" s="7"/>
      <c r="AG34" s="7"/>
      <c r="AH34" s="7"/>
      <c r="AI34" s="72" t="str">
        <f t="shared" si="4"/>
        <v>A</v>
      </c>
      <c r="AJ34" s="7"/>
      <c r="AK34" s="7"/>
      <c r="AL34" s="7"/>
      <c r="AM34" s="7"/>
      <c r="AN34" s="7"/>
      <c r="AO34" s="72" t="str">
        <f t="shared" si="5"/>
        <v>A</v>
      </c>
      <c r="AP34" s="7"/>
      <c r="AQ34" s="7"/>
      <c r="AR34" s="7"/>
      <c r="AS34" s="7"/>
      <c r="AT34" s="7"/>
      <c r="AU34" s="72" t="str">
        <f t="shared" si="6"/>
        <v>A</v>
      </c>
      <c r="AV34" s="7"/>
      <c r="AW34" s="7"/>
      <c r="AX34" s="62">
        <v>5</v>
      </c>
      <c r="AY34" s="62">
        <v>0</v>
      </c>
      <c r="AZ34" s="62">
        <v>3</v>
      </c>
      <c r="BA34" s="72">
        <f t="shared" si="7"/>
        <v>2.6666666666666665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2</v>
      </c>
      <c r="M35" s="62"/>
      <c r="N35" s="62">
        <v>3</v>
      </c>
      <c r="O35" s="62">
        <v>1</v>
      </c>
      <c r="P35" s="62"/>
      <c r="Q35" s="72">
        <f t="shared" si="1"/>
        <v>2</v>
      </c>
      <c r="R35" s="62"/>
      <c r="S35" s="62"/>
      <c r="T35" s="62"/>
      <c r="U35" s="62"/>
      <c r="V35" s="62"/>
      <c r="W35" s="72" t="str">
        <f t="shared" si="2"/>
        <v>A</v>
      </c>
      <c r="X35" s="62"/>
      <c r="Y35" s="62"/>
      <c r="Z35" s="62"/>
      <c r="AA35" s="62"/>
      <c r="AB35" s="62"/>
      <c r="AC35" s="72" t="str">
        <f t="shared" si="3"/>
        <v>A</v>
      </c>
      <c r="AD35" s="62"/>
      <c r="AE35" s="62"/>
      <c r="AF35" s="62"/>
      <c r="AG35" s="62"/>
      <c r="AH35" s="62"/>
      <c r="AI35" s="72" t="str">
        <f t="shared" si="4"/>
        <v>A</v>
      </c>
      <c r="AJ35" s="62"/>
      <c r="AK35" s="62"/>
      <c r="AL35" s="62"/>
      <c r="AM35" s="62"/>
      <c r="AN35" s="62"/>
      <c r="AO35" s="72" t="str">
        <f t="shared" si="5"/>
        <v>A</v>
      </c>
      <c r="AP35" s="62"/>
      <c r="AQ35" s="62"/>
      <c r="AR35" s="62"/>
      <c r="AS35" s="62"/>
      <c r="AT35" s="62"/>
      <c r="AU35" s="72" t="str">
        <f t="shared" si="6"/>
        <v>A</v>
      </c>
      <c r="AV35" s="62"/>
      <c r="AW35" s="62"/>
      <c r="AX35" s="62">
        <v>5</v>
      </c>
      <c r="AY35" s="62">
        <v>0</v>
      </c>
      <c r="AZ35" s="62">
        <v>1</v>
      </c>
      <c r="BA35" s="72">
        <f t="shared" si="7"/>
        <v>2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4</v>
      </c>
      <c r="M36" s="62"/>
      <c r="N36" s="62">
        <v>4</v>
      </c>
      <c r="O36" s="62">
        <v>4</v>
      </c>
      <c r="P36" s="62"/>
      <c r="Q36" s="72">
        <f t="shared" si="1"/>
        <v>4</v>
      </c>
      <c r="R36" s="7"/>
      <c r="S36" s="7"/>
      <c r="T36" s="7"/>
      <c r="U36" s="7"/>
      <c r="V36" s="7"/>
      <c r="W36" s="72" t="str">
        <f t="shared" si="2"/>
        <v>A</v>
      </c>
      <c r="X36" s="7"/>
      <c r="Y36" s="7"/>
      <c r="Z36" s="7"/>
      <c r="AA36" s="7"/>
      <c r="AB36" s="7"/>
      <c r="AC36" s="72" t="str">
        <f t="shared" si="3"/>
        <v>A</v>
      </c>
      <c r="AD36" s="7"/>
      <c r="AE36" s="7"/>
      <c r="AF36" s="7"/>
      <c r="AG36" s="7"/>
      <c r="AH36" s="7"/>
      <c r="AI36" s="72" t="str">
        <f t="shared" si="4"/>
        <v>A</v>
      </c>
      <c r="AJ36" s="7"/>
      <c r="AK36" s="7"/>
      <c r="AL36" s="7"/>
      <c r="AM36" s="7"/>
      <c r="AN36" s="7"/>
      <c r="AO36" s="72" t="str">
        <f t="shared" si="5"/>
        <v>A</v>
      </c>
      <c r="AP36" s="7"/>
      <c r="AQ36" s="7"/>
      <c r="AR36" s="7"/>
      <c r="AS36" s="7"/>
      <c r="AT36" s="7"/>
      <c r="AU36" s="72" t="str">
        <f t="shared" si="6"/>
        <v>A</v>
      </c>
      <c r="AV36" s="7"/>
      <c r="AW36" s="7"/>
      <c r="AX36" s="62">
        <v>5</v>
      </c>
      <c r="AY36" s="62">
        <v>0</v>
      </c>
      <c r="AZ36" s="62">
        <v>4</v>
      </c>
      <c r="BA36" s="72">
        <f t="shared" si="7"/>
        <v>3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3</v>
      </c>
      <c r="M37" s="62"/>
      <c r="N37" s="62">
        <v>3</v>
      </c>
      <c r="O37" s="62">
        <v>3</v>
      </c>
      <c r="P37" s="62"/>
      <c r="Q37" s="72">
        <f t="shared" si="1"/>
        <v>3</v>
      </c>
      <c r="R37" s="62"/>
      <c r="S37" s="62"/>
      <c r="T37" s="62"/>
      <c r="U37" s="62"/>
      <c r="V37" s="62"/>
      <c r="W37" s="72" t="str">
        <f t="shared" si="2"/>
        <v>A</v>
      </c>
      <c r="X37" s="62"/>
      <c r="Y37" s="62"/>
      <c r="Z37" s="62"/>
      <c r="AA37" s="62"/>
      <c r="AB37" s="62"/>
      <c r="AC37" s="72" t="str">
        <f t="shared" si="3"/>
        <v>A</v>
      </c>
      <c r="AD37" s="62"/>
      <c r="AE37" s="62"/>
      <c r="AF37" s="62"/>
      <c r="AG37" s="62"/>
      <c r="AH37" s="62"/>
      <c r="AI37" s="72" t="str">
        <f t="shared" si="4"/>
        <v>A</v>
      </c>
      <c r="AJ37" s="62"/>
      <c r="AK37" s="62"/>
      <c r="AL37" s="62"/>
      <c r="AM37" s="62"/>
      <c r="AN37" s="62"/>
      <c r="AO37" s="72" t="str">
        <f t="shared" si="5"/>
        <v>A</v>
      </c>
      <c r="AP37" s="62"/>
      <c r="AQ37" s="62"/>
      <c r="AR37" s="62"/>
      <c r="AS37" s="62"/>
      <c r="AT37" s="62"/>
      <c r="AU37" s="72" t="str">
        <f t="shared" si="6"/>
        <v>A</v>
      </c>
      <c r="AV37" s="62"/>
      <c r="AW37" s="62"/>
      <c r="AX37" s="62">
        <v>5</v>
      </c>
      <c r="AY37" s="62">
        <v>0</v>
      </c>
      <c r="AZ37" s="62">
        <v>3</v>
      </c>
      <c r="BA37" s="72">
        <f t="shared" si="7"/>
        <v>2.6666666666666665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3</v>
      </c>
      <c r="M38" s="62"/>
      <c r="N38" s="62">
        <v>3</v>
      </c>
      <c r="O38" s="62">
        <v>2</v>
      </c>
      <c r="P38" s="62"/>
      <c r="Q38" s="72">
        <f t="shared" si="1"/>
        <v>2.6666666666666665</v>
      </c>
      <c r="R38" s="7"/>
      <c r="S38" s="7"/>
      <c r="T38" s="7"/>
      <c r="U38" s="7"/>
      <c r="V38" s="7"/>
      <c r="W38" s="72" t="str">
        <f t="shared" si="2"/>
        <v>A</v>
      </c>
      <c r="X38" s="7"/>
      <c r="Y38" s="7"/>
      <c r="Z38" s="7"/>
      <c r="AA38" s="7"/>
      <c r="AB38" s="7"/>
      <c r="AC38" s="72" t="str">
        <f t="shared" si="3"/>
        <v>A</v>
      </c>
      <c r="AD38" s="7"/>
      <c r="AE38" s="7"/>
      <c r="AF38" s="7"/>
      <c r="AG38" s="7"/>
      <c r="AH38" s="7"/>
      <c r="AI38" s="72" t="str">
        <f t="shared" si="4"/>
        <v>A</v>
      </c>
      <c r="AJ38" s="7"/>
      <c r="AK38" s="7"/>
      <c r="AL38" s="7"/>
      <c r="AM38" s="7"/>
      <c r="AN38" s="7"/>
      <c r="AO38" s="72" t="str">
        <f t="shared" si="5"/>
        <v>A</v>
      </c>
      <c r="AP38" s="7"/>
      <c r="AQ38" s="7"/>
      <c r="AR38" s="7"/>
      <c r="AS38" s="7"/>
      <c r="AT38" s="7"/>
      <c r="AU38" s="72" t="str">
        <f t="shared" si="6"/>
        <v>A</v>
      </c>
      <c r="AV38" s="7"/>
      <c r="AW38" s="7"/>
      <c r="AX38" s="62">
        <v>5</v>
      </c>
      <c r="AY38" s="62">
        <v>0</v>
      </c>
      <c r="AZ38" s="62">
        <v>3</v>
      </c>
      <c r="BA38" s="72">
        <f t="shared" si="7"/>
        <v>2.6666666666666665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/>
      <c r="N39" s="62">
        <v>2</v>
      </c>
      <c r="O39" s="62">
        <v>2</v>
      </c>
      <c r="P39" s="62"/>
      <c r="Q39" s="72">
        <f t="shared" si="1"/>
        <v>2</v>
      </c>
      <c r="R39" s="62"/>
      <c r="S39" s="62"/>
      <c r="T39" s="62"/>
      <c r="U39" s="62"/>
      <c r="V39" s="62"/>
      <c r="W39" s="72" t="str">
        <f t="shared" si="2"/>
        <v>A</v>
      </c>
      <c r="X39" s="62"/>
      <c r="Y39" s="62"/>
      <c r="Z39" s="62"/>
      <c r="AA39" s="62"/>
      <c r="AB39" s="62"/>
      <c r="AC39" s="72" t="str">
        <f t="shared" si="3"/>
        <v>A</v>
      </c>
      <c r="AD39" s="62"/>
      <c r="AE39" s="62"/>
      <c r="AF39" s="62"/>
      <c r="AG39" s="62"/>
      <c r="AH39" s="62"/>
      <c r="AI39" s="72" t="str">
        <f t="shared" si="4"/>
        <v>A</v>
      </c>
      <c r="AJ39" s="62"/>
      <c r="AK39" s="62"/>
      <c r="AL39" s="62"/>
      <c r="AM39" s="62"/>
      <c r="AN39" s="62"/>
      <c r="AO39" s="72" t="str">
        <f t="shared" si="5"/>
        <v>A</v>
      </c>
      <c r="AP39" s="62"/>
      <c r="AQ39" s="62"/>
      <c r="AR39" s="62"/>
      <c r="AS39" s="62"/>
      <c r="AT39" s="62"/>
      <c r="AU39" s="72" t="str">
        <f t="shared" si="6"/>
        <v>A</v>
      </c>
      <c r="AV39" s="62"/>
      <c r="AW39" s="62"/>
      <c r="AX39" s="62">
        <v>2</v>
      </c>
      <c r="AY39" s="62">
        <v>2</v>
      </c>
      <c r="AZ39" s="62">
        <v>2</v>
      </c>
      <c r="BA39" s="72">
        <f t="shared" si="7"/>
        <v>2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0</v>
      </c>
      <c r="M40" s="62"/>
      <c r="N40" s="62">
        <v>0</v>
      </c>
      <c r="O40" s="62">
        <v>0</v>
      </c>
      <c r="P40" s="62"/>
      <c r="Q40" s="72">
        <f t="shared" si="1"/>
        <v>0</v>
      </c>
      <c r="R40" s="7"/>
      <c r="S40" s="7"/>
      <c r="T40" s="7"/>
      <c r="U40" s="7"/>
      <c r="V40" s="7"/>
      <c r="W40" s="72" t="str">
        <f t="shared" si="2"/>
        <v>A</v>
      </c>
      <c r="X40" s="7"/>
      <c r="Y40" s="7"/>
      <c r="Z40" s="7"/>
      <c r="AA40" s="7"/>
      <c r="AB40" s="7"/>
      <c r="AC40" s="72" t="str">
        <f t="shared" si="3"/>
        <v>A</v>
      </c>
      <c r="AD40" s="7"/>
      <c r="AE40" s="7"/>
      <c r="AF40" s="7"/>
      <c r="AG40" s="7"/>
      <c r="AH40" s="7"/>
      <c r="AI40" s="72" t="str">
        <f t="shared" si="4"/>
        <v>A</v>
      </c>
      <c r="AJ40" s="7"/>
      <c r="AK40" s="7"/>
      <c r="AL40" s="7"/>
      <c r="AM40" s="7"/>
      <c r="AN40" s="7"/>
      <c r="AO40" s="72" t="str">
        <f t="shared" si="5"/>
        <v>A</v>
      </c>
      <c r="AP40" s="7"/>
      <c r="AQ40" s="7"/>
      <c r="AR40" s="7"/>
      <c r="AS40" s="7"/>
      <c r="AT40" s="7"/>
      <c r="AU40" s="72" t="str">
        <f t="shared" si="6"/>
        <v>A</v>
      </c>
      <c r="AV40" s="7"/>
      <c r="AW40" s="7"/>
      <c r="AX40" s="62">
        <v>0</v>
      </c>
      <c r="AY40" s="62">
        <v>0</v>
      </c>
      <c r="AZ40" s="62">
        <v>0</v>
      </c>
      <c r="BA40" s="72">
        <f t="shared" si="7"/>
        <v>0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/>
      <c r="N41" s="62">
        <v>3</v>
      </c>
      <c r="O41" s="62">
        <v>4</v>
      </c>
      <c r="P41" s="62"/>
      <c r="Q41" s="72">
        <f t="shared" si="1"/>
        <v>3.3333333333333335</v>
      </c>
      <c r="R41" s="62"/>
      <c r="S41" s="62"/>
      <c r="T41" s="62"/>
      <c r="U41" s="62"/>
      <c r="V41" s="62"/>
      <c r="W41" s="72" t="str">
        <f t="shared" si="2"/>
        <v>A</v>
      </c>
      <c r="X41" s="62"/>
      <c r="Y41" s="62"/>
      <c r="Z41" s="62"/>
      <c r="AA41" s="62"/>
      <c r="AB41" s="62"/>
      <c r="AC41" s="72" t="str">
        <f t="shared" si="3"/>
        <v>A</v>
      </c>
      <c r="AD41" s="62"/>
      <c r="AE41" s="62"/>
      <c r="AF41" s="62"/>
      <c r="AG41" s="62"/>
      <c r="AH41" s="62"/>
      <c r="AI41" s="72" t="str">
        <f t="shared" si="4"/>
        <v>A</v>
      </c>
      <c r="AJ41" s="62"/>
      <c r="AK41" s="62"/>
      <c r="AL41" s="62"/>
      <c r="AM41" s="62"/>
      <c r="AN41" s="62"/>
      <c r="AO41" s="72" t="str">
        <f t="shared" si="5"/>
        <v>A</v>
      </c>
      <c r="AP41" s="62"/>
      <c r="AQ41" s="62"/>
      <c r="AR41" s="62"/>
      <c r="AS41" s="62"/>
      <c r="AT41" s="62"/>
      <c r="AU41" s="72" t="str">
        <f t="shared" si="6"/>
        <v>A</v>
      </c>
      <c r="AV41" s="62"/>
      <c r="AW41" s="62"/>
      <c r="AX41" s="62">
        <v>5</v>
      </c>
      <c r="AY41" s="62">
        <v>2</v>
      </c>
      <c r="AZ41" s="62">
        <v>4</v>
      </c>
      <c r="BA41" s="72">
        <f t="shared" si="7"/>
        <v>3.6666666666666665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1</v>
      </c>
      <c r="M42" s="62"/>
      <c r="N42" s="62">
        <v>1</v>
      </c>
      <c r="O42" s="62">
        <v>1</v>
      </c>
      <c r="P42" s="62"/>
      <c r="Q42" s="72">
        <f t="shared" si="1"/>
        <v>1</v>
      </c>
      <c r="R42" s="7"/>
      <c r="S42" s="7"/>
      <c r="T42" s="7"/>
      <c r="U42" s="7"/>
      <c r="V42" s="7"/>
      <c r="W42" s="72" t="str">
        <f t="shared" si="2"/>
        <v>A</v>
      </c>
      <c r="X42" s="7"/>
      <c r="Y42" s="7"/>
      <c r="Z42" s="7"/>
      <c r="AA42" s="7"/>
      <c r="AB42" s="7"/>
      <c r="AC42" s="72" t="str">
        <f t="shared" si="3"/>
        <v>A</v>
      </c>
      <c r="AD42" s="7"/>
      <c r="AE42" s="7"/>
      <c r="AF42" s="7"/>
      <c r="AG42" s="7"/>
      <c r="AH42" s="7"/>
      <c r="AI42" s="72" t="str">
        <f t="shared" si="4"/>
        <v>A</v>
      </c>
      <c r="AJ42" s="7"/>
      <c r="AK42" s="7"/>
      <c r="AL42" s="7"/>
      <c r="AM42" s="7"/>
      <c r="AN42" s="7"/>
      <c r="AO42" s="72" t="str">
        <f t="shared" si="5"/>
        <v>A</v>
      </c>
      <c r="AP42" s="7"/>
      <c r="AQ42" s="7"/>
      <c r="AR42" s="7"/>
      <c r="AS42" s="7"/>
      <c r="AT42" s="7"/>
      <c r="AU42" s="72" t="str">
        <f t="shared" si="6"/>
        <v>A</v>
      </c>
      <c r="AV42" s="7"/>
      <c r="AW42" s="7"/>
      <c r="AX42" s="62">
        <v>5</v>
      </c>
      <c r="AY42" s="62">
        <v>0</v>
      </c>
      <c r="AZ42" s="62">
        <v>1</v>
      </c>
      <c r="BA42" s="72">
        <f t="shared" si="7"/>
        <v>2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3</v>
      </c>
      <c r="M43" s="62"/>
      <c r="N43" s="62">
        <v>3</v>
      </c>
      <c r="O43" s="62">
        <v>2</v>
      </c>
      <c r="P43" s="62"/>
      <c r="Q43" s="72">
        <f t="shared" si="1"/>
        <v>2.6666666666666665</v>
      </c>
      <c r="R43" s="62"/>
      <c r="S43" s="62"/>
      <c r="T43" s="62"/>
      <c r="U43" s="62"/>
      <c r="V43" s="62"/>
      <c r="W43" s="72" t="str">
        <f t="shared" si="2"/>
        <v>A</v>
      </c>
      <c r="X43" s="62"/>
      <c r="Y43" s="62"/>
      <c r="Z43" s="62"/>
      <c r="AA43" s="62"/>
      <c r="AB43" s="62"/>
      <c r="AC43" s="72" t="str">
        <f t="shared" si="3"/>
        <v>A</v>
      </c>
      <c r="AD43" s="62"/>
      <c r="AE43" s="62"/>
      <c r="AF43" s="62"/>
      <c r="AG43" s="62"/>
      <c r="AH43" s="62"/>
      <c r="AI43" s="72" t="str">
        <f t="shared" si="4"/>
        <v>A</v>
      </c>
      <c r="AJ43" s="62"/>
      <c r="AK43" s="62"/>
      <c r="AL43" s="62"/>
      <c r="AM43" s="62"/>
      <c r="AN43" s="62"/>
      <c r="AO43" s="72" t="str">
        <f t="shared" si="5"/>
        <v>A</v>
      </c>
      <c r="AP43" s="62"/>
      <c r="AQ43" s="62"/>
      <c r="AR43" s="62"/>
      <c r="AS43" s="62"/>
      <c r="AT43" s="62"/>
      <c r="AU43" s="72" t="str">
        <f t="shared" si="6"/>
        <v>A</v>
      </c>
      <c r="AV43" s="62"/>
      <c r="AW43" s="62"/>
      <c r="AX43" s="62">
        <v>5</v>
      </c>
      <c r="AY43" s="62">
        <v>2</v>
      </c>
      <c r="AZ43" s="62">
        <v>2</v>
      </c>
      <c r="BA43" s="72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1</v>
      </c>
      <c r="M44" s="62"/>
      <c r="N44" s="62">
        <v>1</v>
      </c>
      <c r="O44" s="62">
        <v>1</v>
      </c>
      <c r="P44" s="62"/>
      <c r="Q44" s="72">
        <f t="shared" si="1"/>
        <v>1</v>
      </c>
      <c r="R44" s="7"/>
      <c r="S44" s="7"/>
      <c r="T44" s="7"/>
      <c r="U44" s="7"/>
      <c r="V44" s="7"/>
      <c r="W44" s="72" t="str">
        <f t="shared" si="2"/>
        <v>A</v>
      </c>
      <c r="X44" s="7"/>
      <c r="Y44" s="7"/>
      <c r="Z44" s="7"/>
      <c r="AA44" s="7"/>
      <c r="AB44" s="7"/>
      <c r="AC44" s="72" t="str">
        <f t="shared" si="3"/>
        <v>A</v>
      </c>
      <c r="AD44" s="7"/>
      <c r="AE44" s="7"/>
      <c r="AF44" s="7"/>
      <c r="AG44" s="7"/>
      <c r="AH44" s="7"/>
      <c r="AI44" s="72" t="str">
        <f t="shared" si="4"/>
        <v>A</v>
      </c>
      <c r="AJ44" s="7"/>
      <c r="AK44" s="7"/>
      <c r="AL44" s="7"/>
      <c r="AM44" s="7"/>
      <c r="AN44" s="7"/>
      <c r="AO44" s="72" t="str">
        <f t="shared" si="5"/>
        <v>A</v>
      </c>
      <c r="AP44" s="7"/>
      <c r="AQ44" s="7"/>
      <c r="AR44" s="7"/>
      <c r="AS44" s="7"/>
      <c r="AT44" s="7"/>
      <c r="AU44" s="72" t="str">
        <f t="shared" si="6"/>
        <v>A</v>
      </c>
      <c r="AV44" s="7"/>
      <c r="AW44" s="7"/>
      <c r="AX44" s="62">
        <v>5</v>
      </c>
      <c r="AY44" s="62">
        <v>0</v>
      </c>
      <c r="AZ44" s="62">
        <v>1</v>
      </c>
      <c r="BA44" s="72">
        <f t="shared" si="7"/>
        <v>2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3</v>
      </c>
      <c r="M45" s="62"/>
      <c r="N45" s="62">
        <v>4</v>
      </c>
      <c r="O45" s="62">
        <v>3</v>
      </c>
      <c r="P45" s="62"/>
      <c r="Q45" s="72">
        <f t="shared" si="1"/>
        <v>3.3333333333333335</v>
      </c>
      <c r="R45" s="62"/>
      <c r="S45" s="62"/>
      <c r="T45" s="62"/>
      <c r="U45" s="62"/>
      <c r="V45" s="62"/>
      <c r="W45" s="72" t="str">
        <f t="shared" si="2"/>
        <v>A</v>
      </c>
      <c r="X45" s="62"/>
      <c r="Y45" s="62"/>
      <c r="Z45" s="62"/>
      <c r="AA45" s="62"/>
      <c r="AB45" s="62"/>
      <c r="AC45" s="72" t="str">
        <f t="shared" si="3"/>
        <v>A</v>
      </c>
      <c r="AD45" s="62"/>
      <c r="AE45" s="62"/>
      <c r="AF45" s="62"/>
      <c r="AG45" s="62"/>
      <c r="AH45" s="62"/>
      <c r="AI45" s="72" t="str">
        <f t="shared" si="4"/>
        <v>A</v>
      </c>
      <c r="AJ45" s="62"/>
      <c r="AK45" s="62"/>
      <c r="AL45" s="62"/>
      <c r="AM45" s="62"/>
      <c r="AN45" s="62"/>
      <c r="AO45" s="72" t="str">
        <f t="shared" si="5"/>
        <v>A</v>
      </c>
      <c r="AP45" s="62"/>
      <c r="AQ45" s="62"/>
      <c r="AR45" s="62"/>
      <c r="AS45" s="62"/>
      <c r="AT45" s="62"/>
      <c r="AU45" s="72" t="str">
        <f t="shared" si="6"/>
        <v>A</v>
      </c>
      <c r="AV45" s="62"/>
      <c r="AW45" s="62"/>
      <c r="AX45" s="62">
        <v>5</v>
      </c>
      <c r="AY45" s="62">
        <v>0</v>
      </c>
      <c r="AZ45" s="62">
        <v>3</v>
      </c>
      <c r="BA45" s="72">
        <f t="shared" si="7"/>
        <v>2.6666666666666665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4</v>
      </c>
      <c r="M46" s="62"/>
      <c r="N46" s="62">
        <v>4</v>
      </c>
      <c r="O46" s="62">
        <v>4</v>
      </c>
      <c r="P46" s="62"/>
      <c r="Q46" s="72">
        <f t="shared" si="1"/>
        <v>4</v>
      </c>
      <c r="R46" s="7"/>
      <c r="S46" s="7"/>
      <c r="T46" s="7"/>
      <c r="U46" s="7"/>
      <c r="V46" s="7"/>
      <c r="W46" s="72" t="str">
        <f t="shared" si="2"/>
        <v>A</v>
      </c>
      <c r="X46" s="7"/>
      <c r="Y46" s="7"/>
      <c r="Z46" s="7"/>
      <c r="AA46" s="7"/>
      <c r="AB46" s="7"/>
      <c r="AC46" s="72" t="str">
        <f t="shared" si="3"/>
        <v>A</v>
      </c>
      <c r="AD46" s="7"/>
      <c r="AE46" s="7"/>
      <c r="AF46" s="7"/>
      <c r="AG46" s="7"/>
      <c r="AH46" s="7"/>
      <c r="AI46" s="72" t="str">
        <f t="shared" si="4"/>
        <v>A</v>
      </c>
      <c r="AJ46" s="7"/>
      <c r="AK46" s="7"/>
      <c r="AL46" s="7"/>
      <c r="AM46" s="7"/>
      <c r="AN46" s="7"/>
      <c r="AO46" s="72" t="str">
        <f t="shared" si="5"/>
        <v>A</v>
      </c>
      <c r="AP46" s="7"/>
      <c r="AQ46" s="7"/>
      <c r="AR46" s="7"/>
      <c r="AS46" s="7"/>
      <c r="AT46" s="7"/>
      <c r="AU46" s="72" t="str">
        <f t="shared" si="6"/>
        <v>A</v>
      </c>
      <c r="AV46" s="7"/>
      <c r="AW46" s="7"/>
      <c r="AX46" s="62">
        <v>5</v>
      </c>
      <c r="AY46" s="62">
        <v>0</v>
      </c>
      <c r="AZ46" s="62">
        <v>5</v>
      </c>
      <c r="BA46" s="72">
        <f t="shared" si="7"/>
        <v>3.3333333333333335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3</v>
      </c>
      <c r="M47" s="62"/>
      <c r="N47" s="62">
        <v>3</v>
      </c>
      <c r="O47" s="62">
        <v>2</v>
      </c>
      <c r="P47" s="62"/>
      <c r="Q47" s="72">
        <f t="shared" si="1"/>
        <v>2.6666666666666665</v>
      </c>
      <c r="R47" s="62"/>
      <c r="S47" s="62"/>
      <c r="T47" s="62"/>
      <c r="U47" s="62"/>
      <c r="V47" s="62"/>
      <c r="W47" s="72" t="str">
        <f t="shared" si="2"/>
        <v>A</v>
      </c>
      <c r="X47" s="62"/>
      <c r="Y47" s="62"/>
      <c r="Z47" s="62"/>
      <c r="AA47" s="62"/>
      <c r="AB47" s="62"/>
      <c r="AC47" s="72" t="str">
        <f t="shared" si="3"/>
        <v>A</v>
      </c>
      <c r="AD47" s="62"/>
      <c r="AE47" s="62"/>
      <c r="AF47" s="62"/>
      <c r="AG47" s="62"/>
      <c r="AH47" s="62"/>
      <c r="AI47" s="72" t="str">
        <f t="shared" si="4"/>
        <v>A</v>
      </c>
      <c r="AJ47" s="62"/>
      <c r="AK47" s="62"/>
      <c r="AL47" s="62"/>
      <c r="AM47" s="62"/>
      <c r="AN47" s="62"/>
      <c r="AO47" s="72" t="str">
        <f t="shared" si="5"/>
        <v>A</v>
      </c>
      <c r="AP47" s="62"/>
      <c r="AQ47" s="62"/>
      <c r="AR47" s="62"/>
      <c r="AS47" s="62"/>
      <c r="AT47" s="62"/>
      <c r="AU47" s="72" t="str">
        <f t="shared" si="6"/>
        <v>A</v>
      </c>
      <c r="AV47" s="62"/>
      <c r="AW47" s="62"/>
      <c r="AX47" s="62">
        <v>5</v>
      </c>
      <c r="AY47" s="62">
        <v>0</v>
      </c>
      <c r="AZ47" s="62">
        <v>3</v>
      </c>
      <c r="BA47" s="72">
        <f t="shared" si="7"/>
        <v>2.6666666666666665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3</v>
      </c>
      <c r="M48" s="62"/>
      <c r="N48" s="62">
        <v>3</v>
      </c>
      <c r="O48" s="62">
        <v>3</v>
      </c>
      <c r="P48" s="62"/>
      <c r="Q48" s="72">
        <f t="shared" si="1"/>
        <v>3</v>
      </c>
      <c r="R48" s="7"/>
      <c r="S48" s="7"/>
      <c r="T48" s="7"/>
      <c r="U48" s="7"/>
      <c r="V48" s="7"/>
      <c r="W48" s="72" t="str">
        <f t="shared" si="2"/>
        <v>A</v>
      </c>
      <c r="X48" s="7"/>
      <c r="Y48" s="7"/>
      <c r="Z48" s="7"/>
      <c r="AA48" s="7"/>
      <c r="AB48" s="7"/>
      <c r="AC48" s="72" t="str">
        <f t="shared" si="3"/>
        <v>A</v>
      </c>
      <c r="AD48" s="7"/>
      <c r="AE48" s="7"/>
      <c r="AF48" s="7"/>
      <c r="AG48" s="7"/>
      <c r="AH48" s="7"/>
      <c r="AI48" s="72" t="str">
        <f t="shared" si="4"/>
        <v>A</v>
      </c>
      <c r="AJ48" s="7"/>
      <c r="AK48" s="7"/>
      <c r="AL48" s="7"/>
      <c r="AM48" s="7"/>
      <c r="AN48" s="7"/>
      <c r="AO48" s="72" t="str">
        <f t="shared" si="5"/>
        <v>A</v>
      </c>
      <c r="AP48" s="7"/>
      <c r="AQ48" s="7"/>
      <c r="AR48" s="7"/>
      <c r="AS48" s="7"/>
      <c r="AT48" s="7"/>
      <c r="AU48" s="72" t="str">
        <f t="shared" si="6"/>
        <v>A</v>
      </c>
      <c r="AV48" s="7"/>
      <c r="AW48" s="7"/>
      <c r="AX48" s="62">
        <v>5</v>
      </c>
      <c r="AY48" s="62">
        <v>2</v>
      </c>
      <c r="AZ48" s="62">
        <v>3</v>
      </c>
      <c r="BA48" s="72">
        <f t="shared" si="7"/>
        <v>3.3333333333333335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2</v>
      </c>
      <c r="M49" s="62"/>
      <c r="N49" s="62">
        <v>3</v>
      </c>
      <c r="O49" s="62">
        <v>3</v>
      </c>
      <c r="P49" s="62"/>
      <c r="Q49" s="72">
        <f t="shared" si="1"/>
        <v>2.6666666666666665</v>
      </c>
      <c r="R49" s="62"/>
      <c r="S49" s="62"/>
      <c r="T49" s="62"/>
      <c r="U49" s="62"/>
      <c r="V49" s="62"/>
      <c r="W49" s="72" t="str">
        <f t="shared" si="2"/>
        <v>A</v>
      </c>
      <c r="X49" s="62"/>
      <c r="Y49" s="62"/>
      <c r="Z49" s="62"/>
      <c r="AA49" s="62"/>
      <c r="AB49" s="62"/>
      <c r="AC49" s="72" t="str">
        <f t="shared" si="3"/>
        <v>A</v>
      </c>
      <c r="AD49" s="62"/>
      <c r="AE49" s="62"/>
      <c r="AF49" s="62"/>
      <c r="AG49" s="62"/>
      <c r="AH49" s="62"/>
      <c r="AI49" s="72" t="str">
        <f t="shared" si="4"/>
        <v>A</v>
      </c>
      <c r="AJ49" s="62"/>
      <c r="AK49" s="62"/>
      <c r="AL49" s="62"/>
      <c r="AM49" s="62"/>
      <c r="AN49" s="62"/>
      <c r="AO49" s="72" t="str">
        <f t="shared" si="5"/>
        <v>A</v>
      </c>
      <c r="AP49" s="62"/>
      <c r="AQ49" s="62"/>
      <c r="AR49" s="62"/>
      <c r="AS49" s="62"/>
      <c r="AT49" s="62"/>
      <c r="AU49" s="72" t="str">
        <f t="shared" si="6"/>
        <v>A</v>
      </c>
      <c r="AV49" s="62"/>
      <c r="AW49" s="62"/>
      <c r="AX49" s="62">
        <v>5</v>
      </c>
      <c r="AY49" s="62">
        <v>0</v>
      </c>
      <c r="AZ49" s="62">
        <v>3</v>
      </c>
      <c r="BA49" s="72">
        <f t="shared" si="7"/>
        <v>2.6666666666666665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3</v>
      </c>
      <c r="M50" s="62"/>
      <c r="N50" s="62">
        <v>2</v>
      </c>
      <c r="O50" s="62">
        <v>2</v>
      </c>
      <c r="P50" s="62"/>
      <c r="Q50" s="72">
        <f t="shared" si="1"/>
        <v>2.3333333333333335</v>
      </c>
      <c r="R50" s="7"/>
      <c r="S50" s="7"/>
      <c r="T50" s="7"/>
      <c r="U50" s="7"/>
      <c r="V50" s="7"/>
      <c r="W50" s="72" t="str">
        <f t="shared" si="2"/>
        <v>A</v>
      </c>
      <c r="X50" s="7"/>
      <c r="Y50" s="7"/>
      <c r="Z50" s="7"/>
      <c r="AA50" s="7"/>
      <c r="AB50" s="7"/>
      <c r="AC50" s="72" t="str">
        <f t="shared" si="3"/>
        <v>A</v>
      </c>
      <c r="AD50" s="7"/>
      <c r="AE50" s="7"/>
      <c r="AF50" s="7"/>
      <c r="AG50" s="7"/>
      <c r="AH50" s="7"/>
      <c r="AI50" s="72" t="str">
        <f t="shared" si="4"/>
        <v>A</v>
      </c>
      <c r="AJ50" s="7"/>
      <c r="AK50" s="7"/>
      <c r="AL50" s="7"/>
      <c r="AM50" s="7"/>
      <c r="AN50" s="7"/>
      <c r="AO50" s="72" t="str">
        <f t="shared" si="5"/>
        <v>A</v>
      </c>
      <c r="AP50" s="7"/>
      <c r="AQ50" s="7"/>
      <c r="AR50" s="7"/>
      <c r="AS50" s="7"/>
      <c r="AT50" s="7"/>
      <c r="AU50" s="72" t="str">
        <f t="shared" si="6"/>
        <v>A</v>
      </c>
      <c r="AV50" s="7"/>
      <c r="AW50" s="7"/>
      <c r="AX50" s="62">
        <v>5</v>
      </c>
      <c r="AY50" s="62">
        <v>0</v>
      </c>
      <c r="AZ50" s="62">
        <v>2</v>
      </c>
      <c r="BA50" s="72">
        <f t="shared" si="7"/>
        <v>2.3333333333333335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2</v>
      </c>
      <c r="M51" s="62"/>
      <c r="N51" s="62">
        <v>3</v>
      </c>
      <c r="O51" s="62">
        <v>1</v>
      </c>
      <c r="P51" s="62"/>
      <c r="Q51" s="72">
        <f t="shared" si="1"/>
        <v>2</v>
      </c>
      <c r="R51" s="62"/>
      <c r="S51" s="62"/>
      <c r="T51" s="62"/>
      <c r="U51" s="62"/>
      <c r="V51" s="62"/>
      <c r="W51" s="72" t="str">
        <f t="shared" si="2"/>
        <v>A</v>
      </c>
      <c r="X51" s="62"/>
      <c r="Y51" s="62"/>
      <c r="Z51" s="62"/>
      <c r="AA51" s="62"/>
      <c r="AB51" s="62"/>
      <c r="AC51" s="72" t="str">
        <f t="shared" si="3"/>
        <v>A</v>
      </c>
      <c r="AD51" s="62"/>
      <c r="AE51" s="62"/>
      <c r="AF51" s="62"/>
      <c r="AG51" s="62"/>
      <c r="AH51" s="62"/>
      <c r="AI51" s="72" t="str">
        <f t="shared" si="4"/>
        <v>A</v>
      </c>
      <c r="AJ51" s="62"/>
      <c r="AK51" s="62"/>
      <c r="AL51" s="62"/>
      <c r="AM51" s="62"/>
      <c r="AN51" s="62"/>
      <c r="AO51" s="72" t="str">
        <f t="shared" si="5"/>
        <v>A</v>
      </c>
      <c r="AP51" s="62"/>
      <c r="AQ51" s="62"/>
      <c r="AR51" s="62"/>
      <c r="AS51" s="62"/>
      <c r="AT51" s="62"/>
      <c r="AU51" s="72" t="str">
        <f t="shared" si="6"/>
        <v>A</v>
      </c>
      <c r="AV51" s="62"/>
      <c r="AW51" s="62"/>
      <c r="AX51" s="62">
        <v>5</v>
      </c>
      <c r="AY51" s="62">
        <v>2</v>
      </c>
      <c r="AZ51" s="62">
        <v>1</v>
      </c>
      <c r="BA51" s="72">
        <f t="shared" si="7"/>
        <v>2.6666666666666665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3</v>
      </c>
      <c r="M52" s="62"/>
      <c r="N52" s="62">
        <v>3</v>
      </c>
      <c r="O52" s="62">
        <v>2</v>
      </c>
      <c r="P52" s="62"/>
      <c r="Q52" s="72">
        <f t="shared" si="1"/>
        <v>2.6666666666666665</v>
      </c>
      <c r="R52" s="7"/>
      <c r="S52" s="7"/>
      <c r="T52" s="7"/>
      <c r="U52" s="7"/>
      <c r="V52" s="7"/>
      <c r="W52" s="72" t="str">
        <f t="shared" si="2"/>
        <v>A</v>
      </c>
      <c r="X52" s="7"/>
      <c r="Y52" s="7"/>
      <c r="Z52" s="7"/>
      <c r="AA52" s="7"/>
      <c r="AB52" s="7"/>
      <c r="AC52" s="72" t="str">
        <f t="shared" si="3"/>
        <v>A</v>
      </c>
      <c r="AD52" s="7"/>
      <c r="AE52" s="7"/>
      <c r="AF52" s="7"/>
      <c r="AG52" s="7"/>
      <c r="AH52" s="7"/>
      <c r="AI52" s="72" t="str">
        <f t="shared" si="4"/>
        <v>A</v>
      </c>
      <c r="AJ52" s="7"/>
      <c r="AK52" s="7"/>
      <c r="AL52" s="7"/>
      <c r="AM52" s="7"/>
      <c r="AN52" s="7"/>
      <c r="AO52" s="72" t="str">
        <f t="shared" si="5"/>
        <v>A</v>
      </c>
      <c r="AP52" s="7"/>
      <c r="AQ52" s="7"/>
      <c r="AR52" s="7"/>
      <c r="AS52" s="7"/>
      <c r="AT52" s="7"/>
      <c r="AU52" s="72" t="str">
        <f t="shared" si="6"/>
        <v>A</v>
      </c>
      <c r="AV52" s="7"/>
      <c r="AW52" s="7"/>
      <c r="AX52" s="62">
        <v>5</v>
      </c>
      <c r="AY52" s="62">
        <v>0</v>
      </c>
      <c r="AZ52" s="62">
        <v>2</v>
      </c>
      <c r="BA52" s="72">
        <f t="shared" si="7"/>
        <v>2.3333333333333335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1</v>
      </c>
      <c r="M53" s="62"/>
      <c r="N53" s="62">
        <v>1</v>
      </c>
      <c r="O53" s="62">
        <v>1</v>
      </c>
      <c r="P53" s="62"/>
      <c r="Q53" s="72">
        <f t="shared" si="1"/>
        <v>1</v>
      </c>
      <c r="R53" s="62"/>
      <c r="S53" s="62"/>
      <c r="T53" s="62"/>
      <c r="U53" s="62"/>
      <c r="V53" s="62"/>
      <c r="W53" s="72" t="str">
        <f t="shared" si="2"/>
        <v>A</v>
      </c>
      <c r="X53" s="62"/>
      <c r="Y53" s="62"/>
      <c r="Z53" s="62"/>
      <c r="AA53" s="62"/>
      <c r="AB53" s="62"/>
      <c r="AC53" s="72" t="str">
        <f t="shared" si="3"/>
        <v>A</v>
      </c>
      <c r="AD53" s="62"/>
      <c r="AE53" s="62"/>
      <c r="AF53" s="62"/>
      <c r="AG53" s="62"/>
      <c r="AH53" s="62"/>
      <c r="AI53" s="72" t="str">
        <f t="shared" si="4"/>
        <v>A</v>
      </c>
      <c r="AJ53" s="62"/>
      <c r="AK53" s="62"/>
      <c r="AL53" s="62"/>
      <c r="AM53" s="62"/>
      <c r="AN53" s="62"/>
      <c r="AO53" s="72" t="str">
        <f t="shared" si="5"/>
        <v>A</v>
      </c>
      <c r="AP53" s="62"/>
      <c r="AQ53" s="62"/>
      <c r="AR53" s="62"/>
      <c r="AS53" s="62"/>
      <c r="AT53" s="62"/>
      <c r="AU53" s="72" t="str">
        <f t="shared" si="6"/>
        <v>A</v>
      </c>
      <c r="AV53" s="62"/>
      <c r="AW53" s="62"/>
      <c r="AX53" s="62">
        <v>5</v>
      </c>
      <c r="AY53" s="62">
        <v>0</v>
      </c>
      <c r="AZ53" s="62">
        <v>1</v>
      </c>
      <c r="BA53" s="72">
        <f t="shared" si="7"/>
        <v>2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3</v>
      </c>
      <c r="M54" s="62"/>
      <c r="N54" s="62">
        <v>3</v>
      </c>
      <c r="O54" s="62">
        <v>1</v>
      </c>
      <c r="P54" s="62"/>
      <c r="Q54" s="72">
        <f t="shared" si="1"/>
        <v>2.3333333333333335</v>
      </c>
      <c r="R54" s="7"/>
      <c r="S54" s="7"/>
      <c r="T54" s="7"/>
      <c r="U54" s="7"/>
      <c r="V54" s="7"/>
      <c r="W54" s="72" t="str">
        <f t="shared" si="2"/>
        <v>A</v>
      </c>
      <c r="X54" s="7"/>
      <c r="Y54" s="7"/>
      <c r="Z54" s="7"/>
      <c r="AA54" s="7"/>
      <c r="AB54" s="7"/>
      <c r="AC54" s="72" t="str">
        <f t="shared" si="3"/>
        <v>A</v>
      </c>
      <c r="AD54" s="7"/>
      <c r="AE54" s="7"/>
      <c r="AF54" s="7"/>
      <c r="AG54" s="7"/>
      <c r="AH54" s="7"/>
      <c r="AI54" s="72" t="str">
        <f t="shared" si="4"/>
        <v>A</v>
      </c>
      <c r="AJ54" s="7"/>
      <c r="AK54" s="7"/>
      <c r="AL54" s="7"/>
      <c r="AM54" s="7"/>
      <c r="AN54" s="7"/>
      <c r="AO54" s="72" t="str">
        <f t="shared" si="5"/>
        <v>A</v>
      </c>
      <c r="AP54" s="7"/>
      <c r="AQ54" s="7"/>
      <c r="AR54" s="7"/>
      <c r="AS54" s="7"/>
      <c r="AT54" s="7"/>
      <c r="AU54" s="72" t="str">
        <f t="shared" si="6"/>
        <v>A</v>
      </c>
      <c r="AV54" s="7"/>
      <c r="AW54" s="7"/>
      <c r="AX54" s="62">
        <v>5</v>
      </c>
      <c r="AY54" s="62">
        <v>0</v>
      </c>
      <c r="AZ54" s="62">
        <v>1</v>
      </c>
      <c r="BA54" s="72">
        <f t="shared" si="7"/>
        <v>2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0</v>
      </c>
      <c r="M55" s="62"/>
      <c r="N55" s="62">
        <v>0</v>
      </c>
      <c r="O55" s="62">
        <v>0</v>
      </c>
      <c r="P55" s="62"/>
      <c r="Q55" s="72">
        <f t="shared" si="1"/>
        <v>0</v>
      </c>
      <c r="R55" s="62"/>
      <c r="S55" s="62"/>
      <c r="T55" s="62"/>
      <c r="U55" s="62"/>
      <c r="V55" s="62"/>
      <c r="W55" s="72" t="str">
        <f t="shared" si="2"/>
        <v>A</v>
      </c>
      <c r="X55" s="62"/>
      <c r="Y55" s="62"/>
      <c r="Z55" s="62"/>
      <c r="AA55" s="62"/>
      <c r="AB55" s="62"/>
      <c r="AC55" s="72" t="str">
        <f t="shared" si="3"/>
        <v>A</v>
      </c>
      <c r="AD55" s="62"/>
      <c r="AE55" s="62"/>
      <c r="AF55" s="62"/>
      <c r="AG55" s="62"/>
      <c r="AH55" s="62"/>
      <c r="AI55" s="72" t="str">
        <f t="shared" si="4"/>
        <v>A</v>
      </c>
      <c r="AJ55" s="62"/>
      <c r="AK55" s="62"/>
      <c r="AL55" s="62"/>
      <c r="AM55" s="62"/>
      <c r="AN55" s="62"/>
      <c r="AO55" s="72" t="str">
        <f t="shared" si="5"/>
        <v>A</v>
      </c>
      <c r="AP55" s="62"/>
      <c r="AQ55" s="62"/>
      <c r="AR55" s="62"/>
      <c r="AS55" s="62"/>
      <c r="AT55" s="62"/>
      <c r="AU55" s="72" t="str">
        <f t="shared" si="6"/>
        <v>A</v>
      </c>
      <c r="AV55" s="62"/>
      <c r="AW55" s="62"/>
      <c r="AX55" s="62">
        <v>0</v>
      </c>
      <c r="AY55" s="62">
        <v>0</v>
      </c>
      <c r="AZ55" s="62">
        <v>0</v>
      </c>
      <c r="BA55" s="72">
        <f t="shared" si="7"/>
        <v>0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/>
      <c r="N56" s="62">
        <v>3</v>
      </c>
      <c r="O56" s="62">
        <v>3</v>
      </c>
      <c r="P56" s="62"/>
      <c r="Q56" s="72">
        <f t="shared" si="1"/>
        <v>3</v>
      </c>
      <c r="R56" s="7"/>
      <c r="S56" s="7"/>
      <c r="T56" s="7"/>
      <c r="U56" s="7"/>
      <c r="V56" s="7"/>
      <c r="W56" s="72" t="str">
        <f t="shared" si="2"/>
        <v>A</v>
      </c>
      <c r="X56" s="7"/>
      <c r="Y56" s="7"/>
      <c r="Z56" s="7"/>
      <c r="AA56" s="7"/>
      <c r="AB56" s="7"/>
      <c r="AC56" s="72" t="str">
        <f t="shared" si="3"/>
        <v>A</v>
      </c>
      <c r="AD56" s="7"/>
      <c r="AE56" s="7"/>
      <c r="AF56" s="7"/>
      <c r="AG56" s="7"/>
      <c r="AH56" s="7"/>
      <c r="AI56" s="72" t="str">
        <f t="shared" si="4"/>
        <v>A</v>
      </c>
      <c r="AJ56" s="7"/>
      <c r="AK56" s="7"/>
      <c r="AL56" s="7"/>
      <c r="AM56" s="7"/>
      <c r="AN56" s="7"/>
      <c r="AO56" s="72" t="str">
        <f t="shared" si="5"/>
        <v>A</v>
      </c>
      <c r="AP56" s="7"/>
      <c r="AQ56" s="7"/>
      <c r="AR56" s="7"/>
      <c r="AS56" s="7"/>
      <c r="AT56" s="7"/>
      <c r="AU56" s="72" t="str">
        <f t="shared" si="6"/>
        <v>A</v>
      </c>
      <c r="AV56" s="7"/>
      <c r="AW56" s="7"/>
      <c r="AX56" s="62">
        <v>5</v>
      </c>
      <c r="AY56" s="62">
        <v>2</v>
      </c>
      <c r="AZ56" s="62">
        <v>3</v>
      </c>
      <c r="BA56" s="72">
        <f t="shared" si="7"/>
        <v>3.3333333333333335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4</v>
      </c>
      <c r="M57" s="62"/>
      <c r="N57" s="62">
        <v>4</v>
      </c>
      <c r="O57" s="62">
        <v>4</v>
      </c>
      <c r="P57" s="62"/>
      <c r="Q57" s="72">
        <f t="shared" si="1"/>
        <v>4</v>
      </c>
      <c r="R57" s="62"/>
      <c r="S57" s="62"/>
      <c r="T57" s="62"/>
      <c r="U57" s="62"/>
      <c r="V57" s="62"/>
      <c r="W57" s="72" t="str">
        <f t="shared" si="2"/>
        <v>A</v>
      </c>
      <c r="X57" s="62"/>
      <c r="Y57" s="62"/>
      <c r="Z57" s="62"/>
      <c r="AA57" s="62"/>
      <c r="AB57" s="62"/>
      <c r="AC57" s="72" t="str">
        <f t="shared" si="3"/>
        <v>A</v>
      </c>
      <c r="AD57" s="62"/>
      <c r="AE57" s="62"/>
      <c r="AF57" s="62"/>
      <c r="AG57" s="62"/>
      <c r="AH57" s="62"/>
      <c r="AI57" s="72" t="str">
        <f t="shared" si="4"/>
        <v>A</v>
      </c>
      <c r="AJ57" s="62"/>
      <c r="AK57" s="62"/>
      <c r="AL57" s="62"/>
      <c r="AM57" s="62"/>
      <c r="AN57" s="62"/>
      <c r="AO57" s="72" t="str">
        <f t="shared" si="5"/>
        <v>A</v>
      </c>
      <c r="AP57" s="62"/>
      <c r="AQ57" s="62"/>
      <c r="AR57" s="62"/>
      <c r="AS57" s="62"/>
      <c r="AT57" s="62"/>
      <c r="AU57" s="72" t="str">
        <f t="shared" si="6"/>
        <v>A</v>
      </c>
      <c r="AV57" s="62"/>
      <c r="AW57" s="62"/>
      <c r="AX57" s="62">
        <v>5</v>
      </c>
      <c r="AY57" s="62">
        <v>0</v>
      </c>
      <c r="AZ57" s="62">
        <v>4</v>
      </c>
      <c r="BA57" s="72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4</v>
      </c>
      <c r="M58" s="62"/>
      <c r="N58" s="62">
        <v>4</v>
      </c>
      <c r="O58" s="62">
        <v>4</v>
      </c>
      <c r="P58" s="62"/>
      <c r="Q58" s="72">
        <f t="shared" si="1"/>
        <v>4</v>
      </c>
      <c r="R58" s="7"/>
      <c r="S58" s="7"/>
      <c r="T58" s="7"/>
      <c r="U58" s="7"/>
      <c r="V58" s="7"/>
      <c r="W58" s="72" t="str">
        <f t="shared" si="2"/>
        <v>A</v>
      </c>
      <c r="X58" s="7"/>
      <c r="Y58" s="7"/>
      <c r="Z58" s="7"/>
      <c r="AA58" s="7"/>
      <c r="AB58" s="7"/>
      <c r="AC58" s="72" t="str">
        <f t="shared" si="3"/>
        <v>A</v>
      </c>
      <c r="AD58" s="7"/>
      <c r="AE58" s="7"/>
      <c r="AF58" s="7"/>
      <c r="AG58" s="7"/>
      <c r="AH58" s="7"/>
      <c r="AI58" s="72" t="str">
        <f t="shared" si="4"/>
        <v>A</v>
      </c>
      <c r="AJ58" s="7"/>
      <c r="AK58" s="7"/>
      <c r="AL58" s="7"/>
      <c r="AM58" s="7"/>
      <c r="AN58" s="7"/>
      <c r="AO58" s="72" t="str">
        <f t="shared" si="5"/>
        <v>A</v>
      </c>
      <c r="AP58" s="7"/>
      <c r="AQ58" s="7"/>
      <c r="AR58" s="7"/>
      <c r="AS58" s="7"/>
      <c r="AT58" s="7"/>
      <c r="AU58" s="72" t="str">
        <f t="shared" si="6"/>
        <v>A</v>
      </c>
      <c r="AV58" s="7"/>
      <c r="AW58" s="7"/>
      <c r="AX58" s="62">
        <v>5</v>
      </c>
      <c r="AY58" s="62">
        <v>0</v>
      </c>
      <c r="AZ58" s="62">
        <v>4</v>
      </c>
      <c r="BA58" s="72">
        <f t="shared" si="7"/>
        <v>3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2</v>
      </c>
      <c r="M59" s="62"/>
      <c r="N59" s="62">
        <v>2</v>
      </c>
      <c r="O59" s="62">
        <v>2</v>
      </c>
      <c r="P59" s="62"/>
      <c r="Q59" s="72">
        <f t="shared" si="1"/>
        <v>2</v>
      </c>
      <c r="R59" s="62"/>
      <c r="S59" s="62"/>
      <c r="T59" s="62"/>
      <c r="U59" s="62"/>
      <c r="V59" s="62"/>
      <c r="W59" s="72" t="str">
        <f t="shared" si="2"/>
        <v>A</v>
      </c>
      <c r="X59" s="62"/>
      <c r="Y59" s="62"/>
      <c r="Z59" s="62"/>
      <c r="AA59" s="62"/>
      <c r="AB59" s="62"/>
      <c r="AC59" s="72" t="str">
        <f t="shared" si="3"/>
        <v>A</v>
      </c>
      <c r="AD59" s="62"/>
      <c r="AE59" s="62"/>
      <c r="AF59" s="62"/>
      <c r="AG59" s="62"/>
      <c r="AH59" s="62"/>
      <c r="AI59" s="72" t="str">
        <f t="shared" si="4"/>
        <v>A</v>
      </c>
      <c r="AJ59" s="62"/>
      <c r="AK59" s="62"/>
      <c r="AL59" s="62"/>
      <c r="AM59" s="62"/>
      <c r="AN59" s="62"/>
      <c r="AO59" s="72" t="str">
        <f t="shared" si="5"/>
        <v>A</v>
      </c>
      <c r="AP59" s="62"/>
      <c r="AQ59" s="62"/>
      <c r="AR59" s="62"/>
      <c r="AS59" s="62"/>
      <c r="AT59" s="62"/>
      <c r="AU59" s="72" t="str">
        <f t="shared" si="6"/>
        <v>A</v>
      </c>
      <c r="AV59" s="62"/>
      <c r="AW59" s="62"/>
      <c r="AX59" s="62">
        <v>2</v>
      </c>
      <c r="AY59" s="62">
        <v>2</v>
      </c>
      <c r="AZ59" s="62">
        <v>2</v>
      </c>
      <c r="BA59" s="72">
        <f t="shared" si="7"/>
        <v>2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1</v>
      </c>
      <c r="M60" s="62"/>
      <c r="N60" s="62">
        <v>1</v>
      </c>
      <c r="O60" s="62">
        <v>1</v>
      </c>
      <c r="P60" s="62"/>
      <c r="Q60" s="72">
        <f t="shared" si="1"/>
        <v>1</v>
      </c>
      <c r="R60" s="7"/>
      <c r="S60" s="7"/>
      <c r="T60" s="7"/>
      <c r="U60" s="7"/>
      <c r="V60" s="7"/>
      <c r="W60" s="72" t="str">
        <f t="shared" si="2"/>
        <v>A</v>
      </c>
      <c r="X60" s="7"/>
      <c r="Y60" s="7"/>
      <c r="Z60" s="7"/>
      <c r="AA60" s="7"/>
      <c r="AB60" s="7"/>
      <c r="AC60" s="72" t="str">
        <f t="shared" si="3"/>
        <v>A</v>
      </c>
      <c r="AD60" s="7"/>
      <c r="AE60" s="7"/>
      <c r="AF60" s="7"/>
      <c r="AG60" s="7"/>
      <c r="AH60" s="7"/>
      <c r="AI60" s="72" t="str">
        <f t="shared" si="4"/>
        <v>A</v>
      </c>
      <c r="AJ60" s="7"/>
      <c r="AK60" s="7"/>
      <c r="AL60" s="7"/>
      <c r="AM60" s="7"/>
      <c r="AN60" s="7"/>
      <c r="AO60" s="72" t="str">
        <f t="shared" si="5"/>
        <v>A</v>
      </c>
      <c r="AP60" s="7"/>
      <c r="AQ60" s="7"/>
      <c r="AR60" s="7"/>
      <c r="AS60" s="7"/>
      <c r="AT60" s="7"/>
      <c r="AU60" s="72" t="str">
        <f t="shared" si="6"/>
        <v>A</v>
      </c>
      <c r="AV60" s="7"/>
      <c r="AW60" s="7"/>
      <c r="AX60" s="62">
        <v>5</v>
      </c>
      <c r="AY60" s="62">
        <v>2</v>
      </c>
      <c r="AZ60" s="62">
        <v>1</v>
      </c>
      <c r="BA60" s="72">
        <f t="shared" si="7"/>
        <v>2.6666666666666665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/>
      <c r="N61" s="62">
        <v>2</v>
      </c>
      <c r="O61" s="62">
        <v>2</v>
      </c>
      <c r="P61" s="62"/>
      <c r="Q61" s="72">
        <f t="shared" si="1"/>
        <v>2.3333333333333335</v>
      </c>
      <c r="R61" s="62"/>
      <c r="S61" s="62"/>
      <c r="T61" s="62"/>
      <c r="U61" s="62"/>
      <c r="V61" s="62"/>
      <c r="W61" s="72" t="str">
        <f t="shared" si="2"/>
        <v>A</v>
      </c>
      <c r="X61" s="62"/>
      <c r="Y61" s="62"/>
      <c r="Z61" s="62"/>
      <c r="AA61" s="62"/>
      <c r="AB61" s="62"/>
      <c r="AC61" s="72" t="str">
        <f t="shared" si="3"/>
        <v>A</v>
      </c>
      <c r="AD61" s="62"/>
      <c r="AE61" s="62"/>
      <c r="AF61" s="62"/>
      <c r="AG61" s="62"/>
      <c r="AH61" s="62"/>
      <c r="AI61" s="72" t="str">
        <f t="shared" si="4"/>
        <v>A</v>
      </c>
      <c r="AJ61" s="62"/>
      <c r="AK61" s="62"/>
      <c r="AL61" s="62"/>
      <c r="AM61" s="62"/>
      <c r="AN61" s="62"/>
      <c r="AO61" s="72" t="str">
        <f t="shared" si="5"/>
        <v>A</v>
      </c>
      <c r="AP61" s="62"/>
      <c r="AQ61" s="62"/>
      <c r="AR61" s="62"/>
      <c r="AS61" s="62"/>
      <c r="AT61" s="62"/>
      <c r="AU61" s="72" t="str">
        <f t="shared" si="6"/>
        <v>A</v>
      </c>
      <c r="AV61" s="62"/>
      <c r="AW61" s="62"/>
      <c r="AX61" s="62">
        <v>5</v>
      </c>
      <c r="AY61" s="62">
        <v>0</v>
      </c>
      <c r="AZ61" s="62">
        <v>2</v>
      </c>
      <c r="BA61" s="72">
        <f t="shared" si="7"/>
        <v>2.3333333333333335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0</v>
      </c>
      <c r="M62" s="62"/>
      <c r="N62" s="62">
        <v>0</v>
      </c>
      <c r="O62" s="62">
        <v>0</v>
      </c>
      <c r="P62" s="62"/>
      <c r="Q62" s="72">
        <f t="shared" si="1"/>
        <v>0</v>
      </c>
      <c r="R62" s="7"/>
      <c r="S62" s="7"/>
      <c r="T62" s="7"/>
      <c r="U62" s="7"/>
      <c r="V62" s="7"/>
      <c r="W62" s="72" t="str">
        <f t="shared" si="2"/>
        <v>A</v>
      </c>
      <c r="X62" s="7"/>
      <c r="Y62" s="7"/>
      <c r="Z62" s="7"/>
      <c r="AA62" s="7"/>
      <c r="AB62" s="7"/>
      <c r="AC62" s="72" t="str">
        <f t="shared" si="3"/>
        <v>A</v>
      </c>
      <c r="AD62" s="7"/>
      <c r="AE62" s="7"/>
      <c r="AF62" s="7"/>
      <c r="AG62" s="7"/>
      <c r="AH62" s="7"/>
      <c r="AI62" s="72" t="str">
        <f t="shared" si="4"/>
        <v>A</v>
      </c>
      <c r="AJ62" s="7"/>
      <c r="AK62" s="7"/>
      <c r="AL62" s="7"/>
      <c r="AM62" s="7"/>
      <c r="AN62" s="7"/>
      <c r="AO62" s="72" t="str">
        <f t="shared" si="5"/>
        <v>A</v>
      </c>
      <c r="AP62" s="7"/>
      <c r="AQ62" s="7"/>
      <c r="AR62" s="7"/>
      <c r="AS62" s="7"/>
      <c r="AT62" s="7"/>
      <c r="AU62" s="72" t="str">
        <f t="shared" si="6"/>
        <v>A</v>
      </c>
      <c r="AV62" s="7"/>
      <c r="AW62" s="7"/>
      <c r="AX62" s="62">
        <v>0</v>
      </c>
      <c r="AY62" s="62">
        <v>0</v>
      </c>
      <c r="AZ62" s="62">
        <v>0</v>
      </c>
      <c r="BA62" s="72">
        <f t="shared" si="7"/>
        <v>0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4</v>
      </c>
      <c r="M63" s="62"/>
      <c r="N63" s="62">
        <v>4</v>
      </c>
      <c r="O63" s="62">
        <v>4</v>
      </c>
      <c r="P63" s="62"/>
      <c r="Q63" s="72">
        <f t="shared" si="1"/>
        <v>4</v>
      </c>
      <c r="R63" s="62"/>
      <c r="S63" s="62"/>
      <c r="T63" s="62"/>
      <c r="U63" s="62"/>
      <c r="V63" s="62"/>
      <c r="W63" s="72" t="str">
        <f t="shared" si="2"/>
        <v>A</v>
      </c>
      <c r="X63" s="62"/>
      <c r="Y63" s="62"/>
      <c r="Z63" s="62"/>
      <c r="AA63" s="62"/>
      <c r="AB63" s="62"/>
      <c r="AC63" s="72" t="str">
        <f t="shared" si="3"/>
        <v>A</v>
      </c>
      <c r="AD63" s="62"/>
      <c r="AE63" s="62"/>
      <c r="AF63" s="62"/>
      <c r="AG63" s="62"/>
      <c r="AH63" s="62"/>
      <c r="AI63" s="72" t="str">
        <f t="shared" si="4"/>
        <v>A</v>
      </c>
      <c r="AJ63" s="62"/>
      <c r="AK63" s="62"/>
      <c r="AL63" s="62"/>
      <c r="AM63" s="62"/>
      <c r="AN63" s="62"/>
      <c r="AO63" s="72" t="str">
        <f t="shared" si="5"/>
        <v>A</v>
      </c>
      <c r="AP63" s="62"/>
      <c r="AQ63" s="62"/>
      <c r="AR63" s="62"/>
      <c r="AS63" s="62"/>
      <c r="AT63" s="62"/>
      <c r="AU63" s="72" t="str">
        <f t="shared" si="6"/>
        <v>A</v>
      </c>
      <c r="AV63" s="62"/>
      <c r="AW63" s="62"/>
      <c r="AX63" s="62">
        <v>5</v>
      </c>
      <c r="AY63" s="62">
        <v>0</v>
      </c>
      <c r="AZ63" s="62">
        <v>4</v>
      </c>
      <c r="BA63" s="72">
        <f t="shared" si="7"/>
        <v>3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/>
      <c r="N64" s="62">
        <v>3</v>
      </c>
      <c r="O64" s="62">
        <v>2</v>
      </c>
      <c r="P64" s="62"/>
      <c r="Q64" s="72">
        <f t="shared" si="1"/>
        <v>2.6666666666666665</v>
      </c>
      <c r="R64" s="7"/>
      <c r="S64" s="7"/>
      <c r="T64" s="7"/>
      <c r="U64" s="7"/>
      <c r="V64" s="7"/>
      <c r="W64" s="72" t="str">
        <f t="shared" si="2"/>
        <v>A</v>
      </c>
      <c r="X64" s="7"/>
      <c r="Y64" s="7"/>
      <c r="Z64" s="7"/>
      <c r="AA64" s="7"/>
      <c r="AB64" s="7"/>
      <c r="AC64" s="72" t="str">
        <f t="shared" si="3"/>
        <v>A</v>
      </c>
      <c r="AD64" s="7"/>
      <c r="AE64" s="7"/>
      <c r="AF64" s="7"/>
      <c r="AG64" s="7"/>
      <c r="AH64" s="7"/>
      <c r="AI64" s="72" t="str">
        <f t="shared" si="4"/>
        <v>A</v>
      </c>
      <c r="AJ64" s="7"/>
      <c r="AK64" s="7"/>
      <c r="AL64" s="7"/>
      <c r="AM64" s="7"/>
      <c r="AN64" s="7"/>
      <c r="AO64" s="72" t="str">
        <f t="shared" si="5"/>
        <v>A</v>
      </c>
      <c r="AP64" s="7"/>
      <c r="AQ64" s="7"/>
      <c r="AR64" s="7"/>
      <c r="AS64" s="7"/>
      <c r="AT64" s="7"/>
      <c r="AU64" s="72" t="str">
        <f t="shared" si="6"/>
        <v>A</v>
      </c>
      <c r="AV64" s="7"/>
      <c r="AW64" s="7"/>
      <c r="AX64" s="62">
        <v>5</v>
      </c>
      <c r="AY64" s="62">
        <v>0</v>
      </c>
      <c r="AZ64" s="62">
        <v>3</v>
      </c>
      <c r="BA64" s="72">
        <f t="shared" si="7"/>
        <v>2.6666666666666665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/>
      <c r="N65" s="62">
        <v>4</v>
      </c>
      <c r="O65" s="62">
        <v>4</v>
      </c>
      <c r="P65" s="62"/>
      <c r="Q65" s="72">
        <f t="shared" si="1"/>
        <v>3.6666666666666665</v>
      </c>
      <c r="R65" s="62"/>
      <c r="S65" s="62"/>
      <c r="T65" s="62"/>
      <c r="U65" s="62"/>
      <c r="V65" s="62"/>
      <c r="W65" s="72" t="str">
        <f t="shared" si="2"/>
        <v>A</v>
      </c>
      <c r="X65" s="62"/>
      <c r="Y65" s="62"/>
      <c r="Z65" s="62"/>
      <c r="AA65" s="62"/>
      <c r="AB65" s="62"/>
      <c r="AC65" s="72" t="str">
        <f t="shared" si="3"/>
        <v>A</v>
      </c>
      <c r="AD65" s="62"/>
      <c r="AE65" s="62"/>
      <c r="AF65" s="62"/>
      <c r="AG65" s="62"/>
      <c r="AH65" s="62"/>
      <c r="AI65" s="72" t="str">
        <f t="shared" si="4"/>
        <v>A</v>
      </c>
      <c r="AJ65" s="62"/>
      <c r="AK65" s="62"/>
      <c r="AL65" s="62"/>
      <c r="AM65" s="62"/>
      <c r="AN65" s="62"/>
      <c r="AO65" s="72" t="str">
        <f t="shared" si="5"/>
        <v>A</v>
      </c>
      <c r="AP65" s="62"/>
      <c r="AQ65" s="62"/>
      <c r="AR65" s="62"/>
      <c r="AS65" s="62"/>
      <c r="AT65" s="62"/>
      <c r="AU65" s="72" t="str">
        <f t="shared" si="6"/>
        <v>A</v>
      </c>
      <c r="AV65" s="62"/>
      <c r="AW65" s="62"/>
      <c r="AX65" s="62">
        <v>5</v>
      </c>
      <c r="AY65" s="62">
        <v>0</v>
      </c>
      <c r="AZ65" s="62">
        <v>4</v>
      </c>
      <c r="BA65" s="72">
        <f t="shared" si="7"/>
        <v>3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3</v>
      </c>
      <c r="M66" s="62"/>
      <c r="N66" s="62">
        <v>3</v>
      </c>
      <c r="O66" s="62">
        <v>2</v>
      </c>
      <c r="P66" s="62"/>
      <c r="Q66" s="72">
        <f t="shared" si="1"/>
        <v>2.6666666666666665</v>
      </c>
      <c r="R66" s="7"/>
      <c r="S66" s="7"/>
      <c r="T66" s="7"/>
      <c r="U66" s="7"/>
      <c r="V66" s="7"/>
      <c r="W66" s="72" t="str">
        <f t="shared" si="2"/>
        <v>A</v>
      </c>
      <c r="X66" s="7"/>
      <c r="Y66" s="7"/>
      <c r="Z66" s="7"/>
      <c r="AA66" s="7"/>
      <c r="AB66" s="7"/>
      <c r="AC66" s="72" t="str">
        <f t="shared" si="3"/>
        <v>A</v>
      </c>
      <c r="AD66" s="7"/>
      <c r="AE66" s="7"/>
      <c r="AF66" s="7"/>
      <c r="AG66" s="7"/>
      <c r="AH66" s="7"/>
      <c r="AI66" s="72" t="str">
        <f t="shared" si="4"/>
        <v>A</v>
      </c>
      <c r="AJ66" s="7"/>
      <c r="AK66" s="7"/>
      <c r="AL66" s="7"/>
      <c r="AM66" s="7"/>
      <c r="AN66" s="7"/>
      <c r="AO66" s="72" t="str">
        <f t="shared" si="5"/>
        <v>A</v>
      </c>
      <c r="AP66" s="7"/>
      <c r="AQ66" s="7"/>
      <c r="AR66" s="7"/>
      <c r="AS66" s="7"/>
      <c r="AT66" s="7"/>
      <c r="AU66" s="72" t="str">
        <f t="shared" si="6"/>
        <v>A</v>
      </c>
      <c r="AV66" s="7"/>
      <c r="AW66" s="7"/>
      <c r="AX66" s="62">
        <v>5</v>
      </c>
      <c r="AY66" s="62">
        <v>2</v>
      </c>
      <c r="AZ66" s="62">
        <v>3</v>
      </c>
      <c r="BA66" s="72">
        <f t="shared" si="7"/>
        <v>3.3333333333333335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/>
      <c r="N67" s="62">
        <v>4</v>
      </c>
      <c r="O67" s="62">
        <v>3</v>
      </c>
      <c r="P67" s="62"/>
      <c r="Q67" s="72">
        <f t="shared" si="1"/>
        <v>3.3333333333333335</v>
      </c>
      <c r="R67" s="62"/>
      <c r="S67" s="62"/>
      <c r="T67" s="62"/>
      <c r="U67" s="62"/>
      <c r="V67" s="62"/>
      <c r="W67" s="72" t="str">
        <f t="shared" si="2"/>
        <v>A</v>
      </c>
      <c r="X67" s="62"/>
      <c r="Y67" s="62"/>
      <c r="Z67" s="62"/>
      <c r="AA67" s="62"/>
      <c r="AB67" s="62"/>
      <c r="AC67" s="72" t="str">
        <f t="shared" si="3"/>
        <v>A</v>
      </c>
      <c r="AD67" s="62"/>
      <c r="AE67" s="62"/>
      <c r="AF67" s="62"/>
      <c r="AG67" s="62"/>
      <c r="AH67" s="62"/>
      <c r="AI67" s="72" t="str">
        <f t="shared" si="4"/>
        <v>A</v>
      </c>
      <c r="AJ67" s="62"/>
      <c r="AK67" s="62"/>
      <c r="AL67" s="62"/>
      <c r="AM67" s="62"/>
      <c r="AN67" s="62"/>
      <c r="AO67" s="72" t="str">
        <f t="shared" si="5"/>
        <v>A</v>
      </c>
      <c r="AP67" s="62"/>
      <c r="AQ67" s="62"/>
      <c r="AR67" s="62"/>
      <c r="AS67" s="62"/>
      <c r="AT67" s="62"/>
      <c r="AU67" s="72" t="str">
        <f t="shared" si="6"/>
        <v>A</v>
      </c>
      <c r="AV67" s="62"/>
      <c r="AW67" s="62"/>
      <c r="AX67" s="62">
        <v>5</v>
      </c>
      <c r="AY67" s="62">
        <v>0</v>
      </c>
      <c r="AZ67" s="62">
        <v>4</v>
      </c>
      <c r="BA67" s="72">
        <f t="shared" si="7"/>
        <v>3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1</v>
      </c>
      <c r="M68" s="62"/>
      <c r="N68" s="62">
        <v>1</v>
      </c>
      <c r="O68" s="62">
        <v>1</v>
      </c>
      <c r="P68" s="62"/>
      <c r="Q68" s="72">
        <f t="shared" ref="Q68:Q131" si="9">IFERROR(AVERAGE(N68,L68,O68),"A")</f>
        <v>1</v>
      </c>
      <c r="R68" s="7"/>
      <c r="S68" s="7"/>
      <c r="T68" s="7"/>
      <c r="U68" s="7"/>
      <c r="V68" s="7"/>
      <c r="W68" s="72" t="str">
        <f t="shared" ref="W68:W131" si="10">IFERROR(AVERAGE(R68,S68,U68),"A")</f>
        <v>A</v>
      </c>
      <c r="X68" s="7"/>
      <c r="Y68" s="7"/>
      <c r="Z68" s="7"/>
      <c r="AA68" s="7"/>
      <c r="AB68" s="7"/>
      <c r="AC68" s="72" t="str">
        <f t="shared" ref="AC68:AC131" si="11">IFERROR(AVERAGE(Y68,X68),"A")</f>
        <v>A</v>
      </c>
      <c r="AD68" s="7"/>
      <c r="AE68" s="7"/>
      <c r="AF68" s="7"/>
      <c r="AG68" s="7"/>
      <c r="AH68" s="7"/>
      <c r="AI68" s="72" t="str">
        <f t="shared" ref="AI68:AI131" si="12">IFERROR(AVERAGE(AF68,AD68),"A")</f>
        <v>A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7"/>
      <c r="AQ68" s="7"/>
      <c r="AR68" s="7"/>
      <c r="AS68" s="7"/>
      <c r="AT68" s="7"/>
      <c r="AU68" s="72" t="str">
        <f t="shared" ref="AU68:AU131" si="14">IFERROR(AVERAGE(AR68,AQ68,AP68),"A")</f>
        <v>A</v>
      </c>
      <c r="AV68" s="7"/>
      <c r="AW68" s="7"/>
      <c r="AX68" s="62">
        <v>5</v>
      </c>
      <c r="AY68" s="62">
        <v>0</v>
      </c>
      <c r="AZ68" s="62">
        <v>1</v>
      </c>
      <c r="BA68" s="72">
        <f t="shared" ref="BA68:BA131" si="15">IFERROR(AVERAGE(AX68,AY68,AZ68),"A")</f>
        <v>2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4</v>
      </c>
      <c r="M69" s="62"/>
      <c r="N69" s="62">
        <v>4</v>
      </c>
      <c r="O69" s="62">
        <v>5</v>
      </c>
      <c r="P69" s="62"/>
      <c r="Q69" s="72">
        <f t="shared" si="9"/>
        <v>4.333333333333333</v>
      </c>
      <c r="R69" s="62"/>
      <c r="S69" s="62"/>
      <c r="T69" s="62"/>
      <c r="U69" s="62"/>
      <c r="V69" s="62"/>
      <c r="W69" s="72" t="str">
        <f t="shared" si="10"/>
        <v>A</v>
      </c>
      <c r="X69" s="62"/>
      <c r="Y69" s="62"/>
      <c r="Z69" s="62"/>
      <c r="AA69" s="62"/>
      <c r="AB69" s="62"/>
      <c r="AC69" s="72" t="str">
        <f t="shared" si="11"/>
        <v>A</v>
      </c>
      <c r="AD69" s="62"/>
      <c r="AE69" s="62"/>
      <c r="AF69" s="62"/>
      <c r="AG69" s="62"/>
      <c r="AH69" s="62"/>
      <c r="AI69" s="72" t="str">
        <f t="shared" si="12"/>
        <v>A</v>
      </c>
      <c r="AJ69" s="62"/>
      <c r="AK69" s="62"/>
      <c r="AL69" s="62"/>
      <c r="AM69" s="62"/>
      <c r="AN69" s="62"/>
      <c r="AO69" s="72" t="str">
        <f t="shared" si="13"/>
        <v>A</v>
      </c>
      <c r="AP69" s="62"/>
      <c r="AQ69" s="62"/>
      <c r="AR69" s="62"/>
      <c r="AS69" s="62"/>
      <c r="AT69" s="62"/>
      <c r="AU69" s="72" t="str">
        <f t="shared" si="14"/>
        <v>A</v>
      </c>
      <c r="AV69" s="62"/>
      <c r="AW69" s="62"/>
      <c r="AX69" s="62">
        <v>5</v>
      </c>
      <c r="AY69" s="62">
        <v>0</v>
      </c>
      <c r="AZ69" s="62">
        <v>5</v>
      </c>
      <c r="BA69" s="72">
        <f t="shared" si="15"/>
        <v>3.3333333333333335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3</v>
      </c>
      <c r="M70" s="62"/>
      <c r="N70" s="62">
        <v>4</v>
      </c>
      <c r="O70" s="62">
        <v>3</v>
      </c>
      <c r="P70" s="62"/>
      <c r="Q70" s="72">
        <f t="shared" si="9"/>
        <v>3.3333333333333335</v>
      </c>
      <c r="R70" s="7"/>
      <c r="S70" s="7"/>
      <c r="T70" s="7"/>
      <c r="U70" s="7"/>
      <c r="V70" s="7"/>
      <c r="W70" s="72" t="str">
        <f t="shared" si="10"/>
        <v>A</v>
      </c>
      <c r="X70" s="7"/>
      <c r="Y70" s="7"/>
      <c r="Z70" s="7"/>
      <c r="AA70" s="7"/>
      <c r="AB70" s="7"/>
      <c r="AC70" s="72" t="str">
        <f t="shared" si="11"/>
        <v>A</v>
      </c>
      <c r="AD70" s="7"/>
      <c r="AE70" s="7"/>
      <c r="AF70" s="7"/>
      <c r="AG70" s="7"/>
      <c r="AH70" s="7"/>
      <c r="AI70" s="72" t="str">
        <f t="shared" si="12"/>
        <v>A</v>
      </c>
      <c r="AJ70" s="7"/>
      <c r="AK70" s="7"/>
      <c r="AL70" s="7"/>
      <c r="AM70" s="7"/>
      <c r="AN70" s="7"/>
      <c r="AO70" s="72" t="str">
        <f t="shared" si="13"/>
        <v>A</v>
      </c>
      <c r="AP70" s="7"/>
      <c r="AQ70" s="7"/>
      <c r="AR70" s="7"/>
      <c r="AS70" s="7"/>
      <c r="AT70" s="7"/>
      <c r="AU70" s="72" t="str">
        <f t="shared" si="14"/>
        <v>A</v>
      </c>
      <c r="AV70" s="7"/>
      <c r="AW70" s="7"/>
      <c r="AX70" s="62">
        <v>5</v>
      </c>
      <c r="AY70" s="62">
        <v>0</v>
      </c>
      <c r="AZ70" s="62">
        <v>3</v>
      </c>
      <c r="BA70" s="72">
        <f t="shared" si="15"/>
        <v>2.6666666666666665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3</v>
      </c>
      <c r="M71" s="62"/>
      <c r="N71" s="62">
        <v>3</v>
      </c>
      <c r="O71" s="62">
        <v>3</v>
      </c>
      <c r="P71" s="62"/>
      <c r="Q71" s="72">
        <f t="shared" si="9"/>
        <v>3</v>
      </c>
      <c r="R71" s="62"/>
      <c r="S71" s="62"/>
      <c r="T71" s="62"/>
      <c r="U71" s="62"/>
      <c r="V71" s="62"/>
      <c r="W71" s="72" t="str">
        <f t="shared" si="10"/>
        <v>A</v>
      </c>
      <c r="X71" s="62"/>
      <c r="Y71" s="62"/>
      <c r="Z71" s="62"/>
      <c r="AA71" s="62"/>
      <c r="AB71" s="62"/>
      <c r="AC71" s="72" t="str">
        <f t="shared" si="11"/>
        <v>A</v>
      </c>
      <c r="AD71" s="62"/>
      <c r="AE71" s="62"/>
      <c r="AF71" s="62"/>
      <c r="AG71" s="62"/>
      <c r="AH71" s="62"/>
      <c r="AI71" s="72" t="str">
        <f t="shared" si="12"/>
        <v>A</v>
      </c>
      <c r="AJ71" s="62"/>
      <c r="AK71" s="62"/>
      <c r="AL71" s="62"/>
      <c r="AM71" s="62"/>
      <c r="AN71" s="62"/>
      <c r="AO71" s="72" t="str">
        <f t="shared" si="13"/>
        <v>A</v>
      </c>
      <c r="AP71" s="62"/>
      <c r="AQ71" s="62"/>
      <c r="AR71" s="62"/>
      <c r="AS71" s="62"/>
      <c r="AT71" s="62"/>
      <c r="AU71" s="72" t="str">
        <f t="shared" si="14"/>
        <v>A</v>
      </c>
      <c r="AV71" s="62"/>
      <c r="AW71" s="62"/>
      <c r="AX71" s="62">
        <v>5</v>
      </c>
      <c r="AY71" s="62">
        <v>0</v>
      </c>
      <c r="AZ71" s="62">
        <v>2</v>
      </c>
      <c r="BA71" s="72">
        <f t="shared" si="15"/>
        <v>2.3333333333333335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3</v>
      </c>
      <c r="M72" s="62"/>
      <c r="N72" s="62">
        <v>2</v>
      </c>
      <c r="O72" s="62">
        <v>2</v>
      </c>
      <c r="P72" s="62"/>
      <c r="Q72" s="72">
        <f t="shared" si="9"/>
        <v>2.3333333333333335</v>
      </c>
      <c r="R72" s="7"/>
      <c r="S72" s="7"/>
      <c r="T72" s="7"/>
      <c r="U72" s="7"/>
      <c r="V72" s="7"/>
      <c r="W72" s="72" t="str">
        <f t="shared" si="10"/>
        <v>A</v>
      </c>
      <c r="X72" s="7"/>
      <c r="Y72" s="7"/>
      <c r="Z72" s="7"/>
      <c r="AA72" s="7"/>
      <c r="AB72" s="7"/>
      <c r="AC72" s="72" t="str">
        <f t="shared" si="11"/>
        <v>A</v>
      </c>
      <c r="AD72" s="7"/>
      <c r="AE72" s="7"/>
      <c r="AF72" s="7"/>
      <c r="AG72" s="7"/>
      <c r="AH72" s="7"/>
      <c r="AI72" s="72" t="str">
        <f t="shared" si="12"/>
        <v>A</v>
      </c>
      <c r="AJ72" s="7"/>
      <c r="AK72" s="7"/>
      <c r="AL72" s="7"/>
      <c r="AM72" s="7"/>
      <c r="AN72" s="7"/>
      <c r="AO72" s="72" t="str">
        <f t="shared" si="13"/>
        <v>A</v>
      </c>
      <c r="AP72" s="7"/>
      <c r="AQ72" s="7"/>
      <c r="AR72" s="7"/>
      <c r="AS72" s="7"/>
      <c r="AT72" s="7"/>
      <c r="AU72" s="72" t="str">
        <f t="shared" si="14"/>
        <v>A</v>
      </c>
      <c r="AV72" s="7"/>
      <c r="AW72" s="7"/>
      <c r="AX72" s="62">
        <v>5</v>
      </c>
      <c r="AY72" s="62">
        <v>2</v>
      </c>
      <c r="AZ72" s="62">
        <v>2</v>
      </c>
      <c r="BA72" s="72">
        <f t="shared" si="15"/>
        <v>3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3</v>
      </c>
      <c r="M73" s="62"/>
      <c r="N73" s="62">
        <v>3</v>
      </c>
      <c r="O73" s="62">
        <v>4</v>
      </c>
      <c r="P73" s="62"/>
      <c r="Q73" s="72">
        <f t="shared" si="9"/>
        <v>3.3333333333333335</v>
      </c>
      <c r="R73" s="62"/>
      <c r="S73" s="62"/>
      <c r="T73" s="62"/>
      <c r="U73" s="62"/>
      <c r="V73" s="62"/>
      <c r="W73" s="72" t="str">
        <f t="shared" si="10"/>
        <v>A</v>
      </c>
      <c r="X73" s="62"/>
      <c r="Y73" s="62"/>
      <c r="Z73" s="62"/>
      <c r="AA73" s="62"/>
      <c r="AB73" s="62"/>
      <c r="AC73" s="72" t="str">
        <f t="shared" si="11"/>
        <v>A</v>
      </c>
      <c r="AD73" s="62"/>
      <c r="AE73" s="62"/>
      <c r="AF73" s="62"/>
      <c r="AG73" s="62"/>
      <c r="AH73" s="62"/>
      <c r="AI73" s="72" t="str">
        <f t="shared" si="12"/>
        <v>A</v>
      </c>
      <c r="AJ73" s="62"/>
      <c r="AK73" s="62"/>
      <c r="AL73" s="62"/>
      <c r="AM73" s="62"/>
      <c r="AN73" s="62"/>
      <c r="AO73" s="72" t="str">
        <f t="shared" si="13"/>
        <v>A</v>
      </c>
      <c r="AP73" s="62"/>
      <c r="AQ73" s="62"/>
      <c r="AR73" s="62"/>
      <c r="AS73" s="62"/>
      <c r="AT73" s="62"/>
      <c r="AU73" s="72" t="str">
        <f t="shared" si="14"/>
        <v>A</v>
      </c>
      <c r="AV73" s="62"/>
      <c r="AW73" s="62"/>
      <c r="AX73" s="62">
        <v>5</v>
      </c>
      <c r="AY73" s="62">
        <v>0</v>
      </c>
      <c r="AZ73" s="62">
        <v>3</v>
      </c>
      <c r="BA73" s="72">
        <f t="shared" si="15"/>
        <v>2.6666666666666665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4</v>
      </c>
      <c r="M74" s="62"/>
      <c r="N74" s="62">
        <v>4</v>
      </c>
      <c r="O74" s="62">
        <v>4</v>
      </c>
      <c r="P74" s="62"/>
      <c r="Q74" s="72">
        <f t="shared" si="9"/>
        <v>4</v>
      </c>
      <c r="R74" s="7"/>
      <c r="S74" s="7"/>
      <c r="T74" s="7"/>
      <c r="U74" s="7"/>
      <c r="V74" s="7"/>
      <c r="W74" s="72" t="str">
        <f t="shared" si="10"/>
        <v>A</v>
      </c>
      <c r="X74" s="7"/>
      <c r="Y74" s="7"/>
      <c r="Z74" s="7"/>
      <c r="AA74" s="7"/>
      <c r="AB74" s="7"/>
      <c r="AC74" s="72" t="str">
        <f t="shared" si="11"/>
        <v>A</v>
      </c>
      <c r="AD74" s="7"/>
      <c r="AE74" s="7"/>
      <c r="AF74" s="7"/>
      <c r="AG74" s="7"/>
      <c r="AH74" s="7"/>
      <c r="AI74" s="72" t="str">
        <f t="shared" si="12"/>
        <v>A</v>
      </c>
      <c r="AJ74" s="7"/>
      <c r="AK74" s="7"/>
      <c r="AL74" s="7"/>
      <c r="AM74" s="7"/>
      <c r="AN74" s="7"/>
      <c r="AO74" s="72" t="str">
        <f t="shared" si="13"/>
        <v>A</v>
      </c>
      <c r="AP74" s="7"/>
      <c r="AQ74" s="7"/>
      <c r="AR74" s="7"/>
      <c r="AS74" s="7"/>
      <c r="AT74" s="7"/>
      <c r="AU74" s="72" t="str">
        <f t="shared" si="14"/>
        <v>A</v>
      </c>
      <c r="AV74" s="7"/>
      <c r="AW74" s="7"/>
      <c r="AX74" s="62">
        <v>5</v>
      </c>
      <c r="AY74" s="62">
        <v>0</v>
      </c>
      <c r="AZ74" s="62">
        <v>5</v>
      </c>
      <c r="BA74" s="72">
        <f t="shared" si="15"/>
        <v>3.3333333333333335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2</v>
      </c>
      <c r="M75" s="62"/>
      <c r="N75" s="62">
        <v>3</v>
      </c>
      <c r="O75" s="62">
        <v>3</v>
      </c>
      <c r="P75" s="62"/>
      <c r="Q75" s="72">
        <f t="shared" si="9"/>
        <v>2.6666666666666665</v>
      </c>
      <c r="R75" s="62"/>
      <c r="S75" s="62"/>
      <c r="T75" s="62"/>
      <c r="U75" s="62"/>
      <c r="V75" s="62"/>
      <c r="W75" s="72" t="str">
        <f t="shared" si="10"/>
        <v>A</v>
      </c>
      <c r="X75" s="62"/>
      <c r="Y75" s="62"/>
      <c r="Z75" s="62"/>
      <c r="AA75" s="62"/>
      <c r="AB75" s="62"/>
      <c r="AC75" s="72" t="str">
        <f t="shared" si="11"/>
        <v>A</v>
      </c>
      <c r="AD75" s="62"/>
      <c r="AE75" s="62"/>
      <c r="AF75" s="62"/>
      <c r="AG75" s="62"/>
      <c r="AH75" s="62"/>
      <c r="AI75" s="72" t="str">
        <f t="shared" si="12"/>
        <v>A</v>
      </c>
      <c r="AJ75" s="62"/>
      <c r="AK75" s="62"/>
      <c r="AL75" s="62"/>
      <c r="AM75" s="62"/>
      <c r="AN75" s="62"/>
      <c r="AO75" s="72" t="str">
        <f t="shared" si="13"/>
        <v>A</v>
      </c>
      <c r="AP75" s="62"/>
      <c r="AQ75" s="62"/>
      <c r="AR75" s="62"/>
      <c r="AS75" s="62"/>
      <c r="AT75" s="62"/>
      <c r="AU75" s="72" t="str">
        <f t="shared" si="14"/>
        <v>A</v>
      </c>
      <c r="AV75" s="62"/>
      <c r="AW75" s="62"/>
      <c r="AX75" s="62">
        <v>5</v>
      </c>
      <c r="AY75" s="62">
        <v>0</v>
      </c>
      <c r="AZ75" s="62">
        <v>3</v>
      </c>
      <c r="BA75" s="72">
        <f t="shared" si="15"/>
        <v>2.6666666666666665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1</v>
      </c>
      <c r="M76" s="62"/>
      <c r="N76" s="62">
        <v>1</v>
      </c>
      <c r="O76" s="62">
        <v>1</v>
      </c>
      <c r="P76" s="62"/>
      <c r="Q76" s="72">
        <f t="shared" si="9"/>
        <v>1</v>
      </c>
      <c r="R76" s="7"/>
      <c r="S76" s="7"/>
      <c r="T76" s="7"/>
      <c r="U76" s="7"/>
      <c r="V76" s="7"/>
      <c r="W76" s="72" t="str">
        <f t="shared" si="10"/>
        <v>A</v>
      </c>
      <c r="X76" s="7"/>
      <c r="Y76" s="7"/>
      <c r="Z76" s="7"/>
      <c r="AA76" s="7"/>
      <c r="AB76" s="7"/>
      <c r="AC76" s="72" t="str">
        <f t="shared" si="11"/>
        <v>A</v>
      </c>
      <c r="AD76" s="7"/>
      <c r="AE76" s="7"/>
      <c r="AF76" s="7"/>
      <c r="AG76" s="7"/>
      <c r="AH76" s="7"/>
      <c r="AI76" s="72" t="str">
        <f t="shared" si="12"/>
        <v>A</v>
      </c>
      <c r="AJ76" s="7"/>
      <c r="AK76" s="7"/>
      <c r="AL76" s="7"/>
      <c r="AM76" s="7"/>
      <c r="AN76" s="7"/>
      <c r="AO76" s="72" t="str">
        <f t="shared" si="13"/>
        <v>A</v>
      </c>
      <c r="AP76" s="7"/>
      <c r="AQ76" s="7"/>
      <c r="AR76" s="7"/>
      <c r="AS76" s="7"/>
      <c r="AT76" s="7"/>
      <c r="AU76" s="72" t="str">
        <f t="shared" si="14"/>
        <v>A</v>
      </c>
      <c r="AV76" s="7"/>
      <c r="AW76" s="7"/>
      <c r="AX76" s="62">
        <v>5</v>
      </c>
      <c r="AY76" s="62">
        <v>2</v>
      </c>
      <c r="AZ76" s="62">
        <v>1</v>
      </c>
      <c r="BA76" s="72">
        <f t="shared" si="15"/>
        <v>2.6666666666666665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3</v>
      </c>
      <c r="M77" s="62"/>
      <c r="N77" s="62">
        <v>3</v>
      </c>
      <c r="O77" s="62">
        <v>1</v>
      </c>
      <c r="P77" s="62"/>
      <c r="Q77" s="72">
        <f t="shared" si="9"/>
        <v>2.3333333333333335</v>
      </c>
      <c r="R77" s="62"/>
      <c r="S77" s="62"/>
      <c r="T77" s="62"/>
      <c r="U77" s="62"/>
      <c r="V77" s="62"/>
      <c r="W77" s="72" t="str">
        <f t="shared" si="10"/>
        <v>A</v>
      </c>
      <c r="X77" s="62"/>
      <c r="Y77" s="62"/>
      <c r="Z77" s="62"/>
      <c r="AA77" s="62"/>
      <c r="AB77" s="62"/>
      <c r="AC77" s="72" t="str">
        <f t="shared" si="11"/>
        <v>A</v>
      </c>
      <c r="AD77" s="62"/>
      <c r="AE77" s="62"/>
      <c r="AF77" s="62"/>
      <c r="AG77" s="62"/>
      <c r="AH77" s="62"/>
      <c r="AI77" s="72" t="str">
        <f t="shared" si="12"/>
        <v>A</v>
      </c>
      <c r="AJ77" s="62"/>
      <c r="AK77" s="62"/>
      <c r="AL77" s="62"/>
      <c r="AM77" s="62"/>
      <c r="AN77" s="62"/>
      <c r="AO77" s="72" t="str">
        <f t="shared" si="13"/>
        <v>A</v>
      </c>
      <c r="AP77" s="62"/>
      <c r="AQ77" s="62"/>
      <c r="AR77" s="62"/>
      <c r="AS77" s="62"/>
      <c r="AT77" s="62"/>
      <c r="AU77" s="72" t="str">
        <f t="shared" si="14"/>
        <v>A</v>
      </c>
      <c r="AV77" s="62"/>
      <c r="AW77" s="62"/>
      <c r="AX77" s="62">
        <v>5</v>
      </c>
      <c r="AY77" s="62">
        <v>2</v>
      </c>
      <c r="AZ77" s="62">
        <v>1</v>
      </c>
      <c r="BA77" s="72">
        <f t="shared" si="15"/>
        <v>2.6666666666666665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/>
      <c r="N78" s="62">
        <v>2</v>
      </c>
      <c r="O78" s="62">
        <v>2</v>
      </c>
      <c r="P78" s="62"/>
      <c r="Q78" s="72">
        <f t="shared" si="9"/>
        <v>2</v>
      </c>
      <c r="R78" s="7"/>
      <c r="S78" s="7"/>
      <c r="T78" s="7"/>
      <c r="U78" s="7"/>
      <c r="V78" s="7"/>
      <c r="W78" s="72" t="str">
        <f t="shared" si="10"/>
        <v>A</v>
      </c>
      <c r="X78" s="7"/>
      <c r="Y78" s="7"/>
      <c r="Z78" s="7"/>
      <c r="AA78" s="7"/>
      <c r="AB78" s="7"/>
      <c r="AC78" s="72" t="str">
        <f t="shared" si="11"/>
        <v>A</v>
      </c>
      <c r="AD78" s="7"/>
      <c r="AE78" s="7"/>
      <c r="AF78" s="7"/>
      <c r="AG78" s="7"/>
      <c r="AH78" s="7"/>
      <c r="AI78" s="72" t="str">
        <f t="shared" si="12"/>
        <v>A</v>
      </c>
      <c r="AJ78" s="7"/>
      <c r="AK78" s="7"/>
      <c r="AL78" s="7"/>
      <c r="AM78" s="7"/>
      <c r="AN78" s="7"/>
      <c r="AO78" s="72" t="str">
        <f t="shared" si="13"/>
        <v>A</v>
      </c>
      <c r="AP78" s="7"/>
      <c r="AQ78" s="7"/>
      <c r="AR78" s="7"/>
      <c r="AS78" s="7"/>
      <c r="AT78" s="7"/>
      <c r="AU78" s="72" t="str">
        <f t="shared" si="14"/>
        <v>A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4</v>
      </c>
      <c r="M79" s="62"/>
      <c r="N79" s="62">
        <v>4</v>
      </c>
      <c r="O79" s="62">
        <v>4</v>
      </c>
      <c r="P79" s="62"/>
      <c r="Q79" s="72">
        <f t="shared" si="9"/>
        <v>4</v>
      </c>
      <c r="R79" s="62"/>
      <c r="S79" s="62"/>
      <c r="T79" s="62"/>
      <c r="U79" s="62"/>
      <c r="V79" s="62"/>
      <c r="W79" s="72" t="str">
        <f t="shared" si="10"/>
        <v>A</v>
      </c>
      <c r="X79" s="62"/>
      <c r="Y79" s="62"/>
      <c r="Z79" s="62"/>
      <c r="AA79" s="62"/>
      <c r="AB79" s="62"/>
      <c r="AC79" s="72" t="str">
        <f t="shared" si="11"/>
        <v>A</v>
      </c>
      <c r="AD79" s="62"/>
      <c r="AE79" s="62"/>
      <c r="AF79" s="62"/>
      <c r="AG79" s="62"/>
      <c r="AH79" s="62"/>
      <c r="AI79" s="72" t="str">
        <f t="shared" si="12"/>
        <v>A</v>
      </c>
      <c r="AJ79" s="62"/>
      <c r="AK79" s="62"/>
      <c r="AL79" s="62"/>
      <c r="AM79" s="62"/>
      <c r="AN79" s="62"/>
      <c r="AO79" s="72" t="str">
        <f t="shared" si="13"/>
        <v>A</v>
      </c>
      <c r="AP79" s="62"/>
      <c r="AQ79" s="62"/>
      <c r="AR79" s="62"/>
      <c r="AS79" s="62"/>
      <c r="AT79" s="62"/>
      <c r="AU79" s="72" t="str">
        <f t="shared" si="14"/>
        <v>A</v>
      </c>
      <c r="AV79" s="62"/>
      <c r="AW79" s="62"/>
      <c r="AX79" s="62">
        <v>5</v>
      </c>
      <c r="AY79" s="62">
        <v>2</v>
      </c>
      <c r="AZ79" s="62">
        <v>4</v>
      </c>
      <c r="BA79" s="72">
        <f t="shared" si="15"/>
        <v>3.6666666666666665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3</v>
      </c>
      <c r="M80" s="62"/>
      <c r="N80" s="62">
        <v>3</v>
      </c>
      <c r="O80" s="62">
        <v>2</v>
      </c>
      <c r="P80" s="62"/>
      <c r="Q80" s="72">
        <f t="shared" si="9"/>
        <v>2.6666666666666665</v>
      </c>
      <c r="R80" s="7"/>
      <c r="S80" s="7"/>
      <c r="T80" s="7"/>
      <c r="U80" s="7"/>
      <c r="V80" s="7"/>
      <c r="W80" s="72" t="str">
        <f t="shared" si="10"/>
        <v>A</v>
      </c>
      <c r="X80" s="7"/>
      <c r="Y80" s="7"/>
      <c r="Z80" s="7"/>
      <c r="AA80" s="7"/>
      <c r="AB80" s="7"/>
      <c r="AC80" s="72" t="str">
        <f t="shared" si="11"/>
        <v>A</v>
      </c>
      <c r="AD80" s="7"/>
      <c r="AE80" s="7"/>
      <c r="AF80" s="7"/>
      <c r="AG80" s="7"/>
      <c r="AH80" s="7"/>
      <c r="AI80" s="72" t="str">
        <f t="shared" si="12"/>
        <v>A</v>
      </c>
      <c r="AJ80" s="7"/>
      <c r="AK80" s="7"/>
      <c r="AL80" s="7"/>
      <c r="AM80" s="7"/>
      <c r="AN80" s="7"/>
      <c r="AO80" s="72" t="str">
        <f t="shared" si="13"/>
        <v>A</v>
      </c>
      <c r="AP80" s="7"/>
      <c r="AQ80" s="7"/>
      <c r="AR80" s="7"/>
      <c r="AS80" s="7"/>
      <c r="AT80" s="7"/>
      <c r="AU80" s="72" t="str">
        <f t="shared" si="14"/>
        <v>A</v>
      </c>
      <c r="AV80" s="7"/>
      <c r="AW80" s="7"/>
      <c r="AX80" s="62">
        <v>5</v>
      </c>
      <c r="AY80" s="62">
        <v>2</v>
      </c>
      <c r="AZ80" s="62">
        <v>3</v>
      </c>
      <c r="BA80" s="72">
        <f t="shared" si="15"/>
        <v>3.3333333333333335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3</v>
      </c>
      <c r="M81" s="62"/>
      <c r="N81" s="62">
        <v>3</v>
      </c>
      <c r="O81" s="62">
        <v>2</v>
      </c>
      <c r="P81" s="62"/>
      <c r="Q81" s="72">
        <f t="shared" si="9"/>
        <v>2.6666666666666665</v>
      </c>
      <c r="R81" s="62"/>
      <c r="S81" s="62"/>
      <c r="T81" s="62"/>
      <c r="U81" s="62"/>
      <c r="V81" s="62"/>
      <c r="W81" s="72" t="str">
        <f t="shared" si="10"/>
        <v>A</v>
      </c>
      <c r="X81" s="62"/>
      <c r="Y81" s="62"/>
      <c r="Z81" s="62"/>
      <c r="AA81" s="62"/>
      <c r="AB81" s="62"/>
      <c r="AC81" s="72" t="str">
        <f t="shared" si="11"/>
        <v>A</v>
      </c>
      <c r="AD81" s="62"/>
      <c r="AE81" s="62"/>
      <c r="AF81" s="62"/>
      <c r="AG81" s="62"/>
      <c r="AH81" s="62"/>
      <c r="AI81" s="72" t="str">
        <f t="shared" si="12"/>
        <v>A</v>
      </c>
      <c r="AJ81" s="62"/>
      <c r="AK81" s="62"/>
      <c r="AL81" s="62"/>
      <c r="AM81" s="62"/>
      <c r="AN81" s="62"/>
      <c r="AO81" s="72" t="str">
        <f t="shared" si="13"/>
        <v>A</v>
      </c>
      <c r="AP81" s="62"/>
      <c r="AQ81" s="62"/>
      <c r="AR81" s="62"/>
      <c r="AS81" s="62"/>
      <c r="AT81" s="62"/>
      <c r="AU81" s="72" t="str">
        <f t="shared" si="14"/>
        <v>A</v>
      </c>
      <c r="AV81" s="62"/>
      <c r="AW81" s="62"/>
      <c r="AX81" s="62">
        <v>5</v>
      </c>
      <c r="AY81" s="62">
        <v>0</v>
      </c>
      <c r="AZ81" s="62">
        <v>2</v>
      </c>
      <c r="BA81" s="72">
        <f t="shared" si="15"/>
        <v>2.3333333333333335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1</v>
      </c>
      <c r="M82" s="62"/>
      <c r="N82" s="62">
        <v>1</v>
      </c>
      <c r="O82" s="62">
        <v>1</v>
      </c>
      <c r="P82" s="62"/>
      <c r="Q82" s="72">
        <f t="shared" si="9"/>
        <v>1</v>
      </c>
      <c r="R82" s="7"/>
      <c r="S82" s="7"/>
      <c r="T82" s="7"/>
      <c r="U82" s="7"/>
      <c r="V82" s="7"/>
      <c r="W82" s="72" t="str">
        <f t="shared" si="10"/>
        <v>A</v>
      </c>
      <c r="X82" s="7"/>
      <c r="Y82" s="7"/>
      <c r="Z82" s="7"/>
      <c r="AA82" s="7"/>
      <c r="AB82" s="7"/>
      <c r="AC82" s="72" t="str">
        <f t="shared" si="11"/>
        <v>A</v>
      </c>
      <c r="AD82" s="7"/>
      <c r="AE82" s="7"/>
      <c r="AF82" s="7"/>
      <c r="AG82" s="7"/>
      <c r="AH82" s="7"/>
      <c r="AI82" s="72" t="str">
        <f t="shared" si="12"/>
        <v>A</v>
      </c>
      <c r="AJ82" s="7"/>
      <c r="AK82" s="7"/>
      <c r="AL82" s="7"/>
      <c r="AM82" s="7"/>
      <c r="AN82" s="7"/>
      <c r="AO82" s="72" t="str">
        <f t="shared" si="13"/>
        <v>A</v>
      </c>
      <c r="AP82" s="7"/>
      <c r="AQ82" s="7"/>
      <c r="AR82" s="7"/>
      <c r="AS82" s="7"/>
      <c r="AT82" s="7"/>
      <c r="AU82" s="72" t="str">
        <f t="shared" si="14"/>
        <v>A</v>
      </c>
      <c r="AV82" s="7"/>
      <c r="AW82" s="7"/>
      <c r="AX82" s="62">
        <v>5</v>
      </c>
      <c r="AY82" s="62">
        <v>2</v>
      </c>
      <c r="AZ82" s="62">
        <v>1</v>
      </c>
      <c r="BA82" s="72">
        <f t="shared" si="15"/>
        <v>2.6666666666666665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4</v>
      </c>
      <c r="M83" s="62"/>
      <c r="N83" s="62">
        <v>4</v>
      </c>
      <c r="O83" s="62">
        <v>5</v>
      </c>
      <c r="P83" s="62"/>
      <c r="Q83" s="72">
        <f t="shared" si="9"/>
        <v>4.333333333333333</v>
      </c>
      <c r="R83" s="62"/>
      <c r="S83" s="62"/>
      <c r="T83" s="62"/>
      <c r="U83" s="62"/>
      <c r="V83" s="62"/>
      <c r="W83" s="72" t="str">
        <f t="shared" si="10"/>
        <v>A</v>
      </c>
      <c r="X83" s="62"/>
      <c r="Y83" s="62"/>
      <c r="Z83" s="62"/>
      <c r="AA83" s="62"/>
      <c r="AB83" s="62"/>
      <c r="AC83" s="72" t="str">
        <f t="shared" si="11"/>
        <v>A</v>
      </c>
      <c r="AD83" s="62"/>
      <c r="AE83" s="62"/>
      <c r="AF83" s="62"/>
      <c r="AG83" s="62"/>
      <c r="AH83" s="62"/>
      <c r="AI83" s="72" t="str">
        <f t="shared" si="12"/>
        <v>A</v>
      </c>
      <c r="AJ83" s="62"/>
      <c r="AK83" s="62"/>
      <c r="AL83" s="62"/>
      <c r="AM83" s="62"/>
      <c r="AN83" s="62"/>
      <c r="AO83" s="72" t="str">
        <f t="shared" si="13"/>
        <v>A</v>
      </c>
      <c r="AP83" s="62"/>
      <c r="AQ83" s="62"/>
      <c r="AR83" s="62"/>
      <c r="AS83" s="62"/>
      <c r="AT83" s="62"/>
      <c r="AU83" s="72" t="str">
        <f t="shared" si="14"/>
        <v>A</v>
      </c>
      <c r="AV83" s="62"/>
      <c r="AW83" s="62"/>
      <c r="AX83" s="62">
        <v>5</v>
      </c>
      <c r="AY83" s="62">
        <v>2</v>
      </c>
      <c r="AZ83" s="62">
        <v>5</v>
      </c>
      <c r="BA83" s="72">
        <f t="shared" si="15"/>
        <v>4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0</v>
      </c>
      <c r="M84" s="62"/>
      <c r="N84" s="62">
        <v>0</v>
      </c>
      <c r="O84" s="62">
        <v>0</v>
      </c>
      <c r="P84" s="62"/>
      <c r="Q84" s="72">
        <f t="shared" si="9"/>
        <v>0</v>
      </c>
      <c r="R84" s="7"/>
      <c r="S84" s="7"/>
      <c r="T84" s="7"/>
      <c r="U84" s="7"/>
      <c r="V84" s="7"/>
      <c r="W84" s="72" t="str">
        <f t="shared" si="10"/>
        <v>A</v>
      </c>
      <c r="X84" s="7"/>
      <c r="Y84" s="7"/>
      <c r="Z84" s="7"/>
      <c r="AA84" s="7"/>
      <c r="AB84" s="7"/>
      <c r="AC84" s="72" t="str">
        <f t="shared" si="11"/>
        <v>A</v>
      </c>
      <c r="AD84" s="7"/>
      <c r="AE84" s="7"/>
      <c r="AF84" s="7"/>
      <c r="AG84" s="7"/>
      <c r="AH84" s="7"/>
      <c r="AI84" s="72" t="str">
        <f t="shared" si="12"/>
        <v>A</v>
      </c>
      <c r="AJ84" s="7"/>
      <c r="AK84" s="7"/>
      <c r="AL84" s="7"/>
      <c r="AM84" s="7"/>
      <c r="AN84" s="7"/>
      <c r="AO84" s="72" t="str">
        <f t="shared" si="13"/>
        <v>A</v>
      </c>
      <c r="AP84" s="7"/>
      <c r="AQ84" s="7"/>
      <c r="AR84" s="7"/>
      <c r="AS84" s="7"/>
      <c r="AT84" s="7"/>
      <c r="AU84" s="72" t="str">
        <f t="shared" si="14"/>
        <v>A</v>
      </c>
      <c r="AV84" s="7"/>
      <c r="AW84" s="7"/>
      <c r="AX84" s="62">
        <v>0</v>
      </c>
      <c r="AY84" s="62">
        <v>0</v>
      </c>
      <c r="AZ84" s="62">
        <v>0</v>
      </c>
      <c r="BA84" s="72">
        <f t="shared" si="15"/>
        <v>0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3</v>
      </c>
      <c r="M85" s="62"/>
      <c r="N85" s="62">
        <v>3</v>
      </c>
      <c r="O85" s="62">
        <v>3</v>
      </c>
      <c r="P85" s="62"/>
      <c r="Q85" s="72">
        <f t="shared" si="9"/>
        <v>3</v>
      </c>
      <c r="R85" s="62"/>
      <c r="S85" s="62"/>
      <c r="T85" s="62"/>
      <c r="U85" s="62"/>
      <c r="V85" s="62"/>
      <c r="W85" s="72" t="str">
        <f t="shared" si="10"/>
        <v>A</v>
      </c>
      <c r="X85" s="62"/>
      <c r="Y85" s="62"/>
      <c r="Z85" s="62"/>
      <c r="AA85" s="62"/>
      <c r="AB85" s="62"/>
      <c r="AC85" s="72" t="str">
        <f t="shared" si="11"/>
        <v>A</v>
      </c>
      <c r="AD85" s="62"/>
      <c r="AE85" s="62"/>
      <c r="AF85" s="62"/>
      <c r="AG85" s="62"/>
      <c r="AH85" s="62"/>
      <c r="AI85" s="72" t="str">
        <f t="shared" si="12"/>
        <v>A</v>
      </c>
      <c r="AJ85" s="62"/>
      <c r="AK85" s="62"/>
      <c r="AL85" s="62"/>
      <c r="AM85" s="62"/>
      <c r="AN85" s="62"/>
      <c r="AO85" s="72" t="str">
        <f t="shared" si="13"/>
        <v>A</v>
      </c>
      <c r="AP85" s="62"/>
      <c r="AQ85" s="62"/>
      <c r="AR85" s="62"/>
      <c r="AS85" s="62"/>
      <c r="AT85" s="62"/>
      <c r="AU85" s="72" t="str">
        <f t="shared" si="14"/>
        <v>A</v>
      </c>
      <c r="AV85" s="62"/>
      <c r="AW85" s="62"/>
      <c r="AX85" s="62">
        <v>5</v>
      </c>
      <c r="AY85" s="62">
        <v>0</v>
      </c>
      <c r="AZ85" s="62">
        <v>4</v>
      </c>
      <c r="BA85" s="72">
        <f t="shared" si="15"/>
        <v>3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3</v>
      </c>
      <c r="M86" s="62"/>
      <c r="N86" s="62">
        <v>4</v>
      </c>
      <c r="O86" s="62">
        <v>3</v>
      </c>
      <c r="P86" s="62"/>
      <c r="Q86" s="72">
        <f t="shared" si="9"/>
        <v>3.3333333333333335</v>
      </c>
      <c r="R86" s="7"/>
      <c r="S86" s="7"/>
      <c r="T86" s="7"/>
      <c r="U86" s="7"/>
      <c r="V86" s="7"/>
      <c r="W86" s="72" t="str">
        <f t="shared" si="10"/>
        <v>A</v>
      </c>
      <c r="X86" s="7"/>
      <c r="Y86" s="7"/>
      <c r="Z86" s="7"/>
      <c r="AA86" s="7"/>
      <c r="AB86" s="7"/>
      <c r="AC86" s="72" t="str">
        <f t="shared" si="11"/>
        <v>A</v>
      </c>
      <c r="AD86" s="7"/>
      <c r="AE86" s="7"/>
      <c r="AF86" s="7"/>
      <c r="AG86" s="7"/>
      <c r="AH86" s="7"/>
      <c r="AI86" s="72" t="str">
        <f t="shared" si="12"/>
        <v>A</v>
      </c>
      <c r="AJ86" s="7"/>
      <c r="AK86" s="7"/>
      <c r="AL86" s="7"/>
      <c r="AM86" s="7"/>
      <c r="AN86" s="7"/>
      <c r="AO86" s="72" t="str">
        <f t="shared" si="13"/>
        <v>A</v>
      </c>
      <c r="AP86" s="7"/>
      <c r="AQ86" s="7"/>
      <c r="AR86" s="7"/>
      <c r="AS86" s="7"/>
      <c r="AT86" s="7"/>
      <c r="AU86" s="72" t="str">
        <f t="shared" si="14"/>
        <v>A</v>
      </c>
      <c r="AV86" s="7"/>
      <c r="AW86" s="7"/>
      <c r="AX86" s="62">
        <v>5</v>
      </c>
      <c r="AY86" s="62">
        <v>2</v>
      </c>
      <c r="AZ86" s="62">
        <v>3</v>
      </c>
      <c r="BA86" s="72">
        <f t="shared" si="15"/>
        <v>3.3333333333333335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0</v>
      </c>
      <c r="M87" s="62"/>
      <c r="N87" s="62">
        <v>0</v>
      </c>
      <c r="O87" s="62">
        <v>0</v>
      </c>
      <c r="P87" s="62"/>
      <c r="Q87" s="72">
        <f t="shared" si="9"/>
        <v>0</v>
      </c>
      <c r="R87" s="62"/>
      <c r="S87" s="62"/>
      <c r="T87" s="62"/>
      <c r="U87" s="62"/>
      <c r="V87" s="62"/>
      <c r="W87" s="72" t="str">
        <f t="shared" si="10"/>
        <v>A</v>
      </c>
      <c r="X87" s="62"/>
      <c r="Y87" s="62"/>
      <c r="Z87" s="62"/>
      <c r="AA87" s="62"/>
      <c r="AB87" s="62"/>
      <c r="AC87" s="72" t="str">
        <f t="shared" si="11"/>
        <v>A</v>
      </c>
      <c r="AD87" s="62"/>
      <c r="AE87" s="62"/>
      <c r="AF87" s="62"/>
      <c r="AG87" s="62"/>
      <c r="AH87" s="62"/>
      <c r="AI87" s="72" t="str">
        <f t="shared" si="12"/>
        <v>A</v>
      </c>
      <c r="AJ87" s="62"/>
      <c r="AK87" s="62"/>
      <c r="AL87" s="62"/>
      <c r="AM87" s="62"/>
      <c r="AN87" s="62"/>
      <c r="AO87" s="72" t="str">
        <f t="shared" si="13"/>
        <v>A</v>
      </c>
      <c r="AP87" s="62"/>
      <c r="AQ87" s="62"/>
      <c r="AR87" s="62"/>
      <c r="AS87" s="62"/>
      <c r="AT87" s="62"/>
      <c r="AU87" s="72" t="str">
        <f t="shared" si="14"/>
        <v>A</v>
      </c>
      <c r="AV87" s="62"/>
      <c r="AW87" s="62"/>
      <c r="AX87" s="62">
        <v>0</v>
      </c>
      <c r="AY87" s="62">
        <v>0</v>
      </c>
      <c r="AZ87" s="62">
        <v>0</v>
      </c>
      <c r="BA87" s="72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/>
      <c r="N88" s="62">
        <v>3</v>
      </c>
      <c r="O88" s="62">
        <v>3</v>
      </c>
      <c r="P88" s="62"/>
      <c r="Q88" s="72">
        <f t="shared" si="9"/>
        <v>3</v>
      </c>
      <c r="R88" s="7"/>
      <c r="S88" s="7"/>
      <c r="T88" s="7"/>
      <c r="U88" s="7"/>
      <c r="V88" s="7"/>
      <c r="W88" s="72" t="str">
        <f t="shared" si="10"/>
        <v>A</v>
      </c>
      <c r="X88" s="7"/>
      <c r="Y88" s="7"/>
      <c r="Z88" s="7"/>
      <c r="AA88" s="7"/>
      <c r="AB88" s="7"/>
      <c r="AC88" s="72" t="str">
        <f t="shared" si="11"/>
        <v>A</v>
      </c>
      <c r="AD88" s="7"/>
      <c r="AE88" s="7"/>
      <c r="AF88" s="7"/>
      <c r="AG88" s="7"/>
      <c r="AH88" s="7"/>
      <c r="AI88" s="72" t="str">
        <f t="shared" si="12"/>
        <v>A</v>
      </c>
      <c r="AJ88" s="7"/>
      <c r="AK88" s="7"/>
      <c r="AL88" s="7"/>
      <c r="AM88" s="7"/>
      <c r="AN88" s="7"/>
      <c r="AO88" s="72" t="str">
        <f t="shared" si="13"/>
        <v>A</v>
      </c>
      <c r="AP88" s="7"/>
      <c r="AQ88" s="7"/>
      <c r="AR88" s="7"/>
      <c r="AS88" s="7"/>
      <c r="AT88" s="7"/>
      <c r="AU88" s="72" t="str">
        <f t="shared" si="14"/>
        <v>A</v>
      </c>
      <c r="AV88" s="7"/>
      <c r="AW88" s="7"/>
      <c r="AX88" s="62">
        <v>5</v>
      </c>
      <c r="AY88" s="62">
        <v>0</v>
      </c>
      <c r="AZ88" s="62">
        <v>3</v>
      </c>
      <c r="BA88" s="72">
        <f t="shared" si="15"/>
        <v>2.6666666666666665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4</v>
      </c>
      <c r="M89" s="62"/>
      <c r="N89" s="62">
        <v>4</v>
      </c>
      <c r="O89" s="62">
        <v>4</v>
      </c>
      <c r="P89" s="62"/>
      <c r="Q89" s="72">
        <f t="shared" si="9"/>
        <v>4</v>
      </c>
      <c r="R89" s="62"/>
      <c r="S89" s="62"/>
      <c r="T89" s="62"/>
      <c r="U89" s="62"/>
      <c r="V89" s="62"/>
      <c r="W89" s="72" t="str">
        <f t="shared" si="10"/>
        <v>A</v>
      </c>
      <c r="X89" s="62"/>
      <c r="Y89" s="62"/>
      <c r="Z89" s="62"/>
      <c r="AA89" s="62"/>
      <c r="AB89" s="62"/>
      <c r="AC89" s="72" t="str">
        <f t="shared" si="11"/>
        <v>A</v>
      </c>
      <c r="AD89" s="62"/>
      <c r="AE89" s="62"/>
      <c r="AF89" s="62"/>
      <c r="AG89" s="62"/>
      <c r="AH89" s="62"/>
      <c r="AI89" s="72" t="str">
        <f t="shared" si="12"/>
        <v>A</v>
      </c>
      <c r="AJ89" s="62"/>
      <c r="AK89" s="62"/>
      <c r="AL89" s="62"/>
      <c r="AM89" s="62"/>
      <c r="AN89" s="62"/>
      <c r="AO89" s="72" t="str">
        <f t="shared" si="13"/>
        <v>A</v>
      </c>
      <c r="AP89" s="62"/>
      <c r="AQ89" s="62"/>
      <c r="AR89" s="62"/>
      <c r="AS89" s="62"/>
      <c r="AT89" s="62"/>
      <c r="AU89" s="72" t="str">
        <f t="shared" si="14"/>
        <v>A</v>
      </c>
      <c r="AV89" s="62"/>
      <c r="AW89" s="62"/>
      <c r="AX89" s="62">
        <v>5</v>
      </c>
      <c r="AY89" s="62">
        <v>2</v>
      </c>
      <c r="AZ89" s="62">
        <v>5</v>
      </c>
      <c r="BA89" s="72">
        <f t="shared" si="15"/>
        <v>4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4</v>
      </c>
      <c r="M90" s="62"/>
      <c r="N90" s="62">
        <v>4</v>
      </c>
      <c r="O90" s="62">
        <v>4</v>
      </c>
      <c r="P90" s="62"/>
      <c r="Q90" s="72">
        <f t="shared" si="9"/>
        <v>4</v>
      </c>
      <c r="R90" s="7"/>
      <c r="S90" s="7"/>
      <c r="T90" s="7"/>
      <c r="U90" s="7"/>
      <c r="V90" s="7"/>
      <c r="W90" s="72" t="str">
        <f t="shared" si="10"/>
        <v>A</v>
      </c>
      <c r="X90" s="7"/>
      <c r="Y90" s="7"/>
      <c r="Z90" s="7"/>
      <c r="AA90" s="7"/>
      <c r="AB90" s="7"/>
      <c r="AC90" s="72" t="str">
        <f t="shared" si="11"/>
        <v>A</v>
      </c>
      <c r="AD90" s="7"/>
      <c r="AE90" s="7"/>
      <c r="AF90" s="7"/>
      <c r="AG90" s="7"/>
      <c r="AH90" s="7"/>
      <c r="AI90" s="72" t="str">
        <f t="shared" si="12"/>
        <v>A</v>
      </c>
      <c r="AJ90" s="7"/>
      <c r="AK90" s="7"/>
      <c r="AL90" s="7"/>
      <c r="AM90" s="7"/>
      <c r="AN90" s="7"/>
      <c r="AO90" s="72" t="str">
        <f t="shared" si="13"/>
        <v>A</v>
      </c>
      <c r="AP90" s="7"/>
      <c r="AQ90" s="7"/>
      <c r="AR90" s="7"/>
      <c r="AS90" s="7"/>
      <c r="AT90" s="7"/>
      <c r="AU90" s="72" t="str">
        <f t="shared" si="14"/>
        <v>A</v>
      </c>
      <c r="AV90" s="7"/>
      <c r="AW90" s="7"/>
      <c r="AX90" s="62">
        <v>5</v>
      </c>
      <c r="AY90" s="62">
        <v>0</v>
      </c>
      <c r="AZ90" s="62">
        <v>4</v>
      </c>
      <c r="BA90" s="72">
        <f t="shared" si="15"/>
        <v>3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3</v>
      </c>
      <c r="M91" s="62"/>
      <c r="N91" s="62">
        <v>4</v>
      </c>
      <c r="O91" s="62">
        <v>4</v>
      </c>
      <c r="P91" s="62"/>
      <c r="Q91" s="72">
        <f t="shared" si="9"/>
        <v>3.6666666666666665</v>
      </c>
      <c r="R91" s="62"/>
      <c r="S91" s="62"/>
      <c r="T91" s="62"/>
      <c r="U91" s="62"/>
      <c r="V91" s="62"/>
      <c r="W91" s="72" t="str">
        <f t="shared" si="10"/>
        <v>A</v>
      </c>
      <c r="X91" s="62"/>
      <c r="Y91" s="62"/>
      <c r="Z91" s="62"/>
      <c r="AA91" s="62"/>
      <c r="AB91" s="62"/>
      <c r="AC91" s="72" t="str">
        <f t="shared" si="11"/>
        <v>A</v>
      </c>
      <c r="AD91" s="62"/>
      <c r="AE91" s="62"/>
      <c r="AF91" s="62"/>
      <c r="AG91" s="62"/>
      <c r="AH91" s="62"/>
      <c r="AI91" s="72" t="str">
        <f t="shared" si="12"/>
        <v>A</v>
      </c>
      <c r="AJ91" s="62"/>
      <c r="AK91" s="62"/>
      <c r="AL91" s="62"/>
      <c r="AM91" s="62"/>
      <c r="AN91" s="62"/>
      <c r="AO91" s="72" t="str">
        <f t="shared" si="13"/>
        <v>A</v>
      </c>
      <c r="AP91" s="62"/>
      <c r="AQ91" s="62"/>
      <c r="AR91" s="62"/>
      <c r="AS91" s="62"/>
      <c r="AT91" s="62"/>
      <c r="AU91" s="72" t="str">
        <f t="shared" si="14"/>
        <v>A</v>
      </c>
      <c r="AV91" s="62"/>
      <c r="AW91" s="62"/>
      <c r="AX91" s="62">
        <v>5</v>
      </c>
      <c r="AY91" s="62">
        <v>0</v>
      </c>
      <c r="AZ91" s="62">
        <v>5</v>
      </c>
      <c r="BA91" s="72">
        <f t="shared" si="15"/>
        <v>3.3333333333333335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0</v>
      </c>
      <c r="M92" s="62"/>
      <c r="N92" s="62">
        <v>0</v>
      </c>
      <c r="O92" s="62">
        <v>0</v>
      </c>
      <c r="P92" s="62"/>
      <c r="Q92" s="72">
        <f t="shared" si="9"/>
        <v>0</v>
      </c>
      <c r="R92" s="7"/>
      <c r="S92" s="7"/>
      <c r="T92" s="7"/>
      <c r="U92" s="7"/>
      <c r="V92" s="7"/>
      <c r="W92" s="72" t="str">
        <f t="shared" si="10"/>
        <v>A</v>
      </c>
      <c r="X92" s="7"/>
      <c r="Y92" s="7"/>
      <c r="Z92" s="7"/>
      <c r="AA92" s="7"/>
      <c r="AB92" s="7"/>
      <c r="AC92" s="72" t="str">
        <f t="shared" si="11"/>
        <v>A</v>
      </c>
      <c r="AD92" s="7"/>
      <c r="AE92" s="7"/>
      <c r="AF92" s="7"/>
      <c r="AG92" s="7"/>
      <c r="AH92" s="7"/>
      <c r="AI92" s="72" t="str">
        <f t="shared" si="12"/>
        <v>A</v>
      </c>
      <c r="AJ92" s="7"/>
      <c r="AK92" s="7"/>
      <c r="AL92" s="7"/>
      <c r="AM92" s="7"/>
      <c r="AN92" s="7"/>
      <c r="AO92" s="72" t="str">
        <f t="shared" si="13"/>
        <v>A</v>
      </c>
      <c r="AP92" s="7"/>
      <c r="AQ92" s="7"/>
      <c r="AR92" s="7"/>
      <c r="AS92" s="7"/>
      <c r="AT92" s="7"/>
      <c r="AU92" s="72" t="str">
        <f t="shared" si="14"/>
        <v>A</v>
      </c>
      <c r="AV92" s="7"/>
      <c r="AW92" s="7"/>
      <c r="AX92" s="62">
        <v>0</v>
      </c>
      <c r="AY92" s="62">
        <v>0</v>
      </c>
      <c r="AZ92" s="62">
        <v>0</v>
      </c>
      <c r="BA92" s="72">
        <f t="shared" si="15"/>
        <v>0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0</v>
      </c>
      <c r="M93" s="62"/>
      <c r="N93" s="62">
        <v>0</v>
      </c>
      <c r="O93" s="62">
        <v>0</v>
      </c>
      <c r="P93" s="62"/>
      <c r="Q93" s="72">
        <f t="shared" si="9"/>
        <v>0</v>
      </c>
      <c r="R93" s="62"/>
      <c r="S93" s="62"/>
      <c r="T93" s="62"/>
      <c r="U93" s="62"/>
      <c r="V93" s="62"/>
      <c r="W93" s="72" t="str">
        <f t="shared" si="10"/>
        <v>A</v>
      </c>
      <c r="X93" s="62"/>
      <c r="Y93" s="62"/>
      <c r="Z93" s="62"/>
      <c r="AA93" s="62"/>
      <c r="AB93" s="62"/>
      <c r="AC93" s="72" t="str">
        <f t="shared" si="11"/>
        <v>A</v>
      </c>
      <c r="AD93" s="62"/>
      <c r="AE93" s="62"/>
      <c r="AF93" s="62"/>
      <c r="AG93" s="62"/>
      <c r="AH93" s="62"/>
      <c r="AI93" s="72" t="str">
        <f t="shared" si="12"/>
        <v>A</v>
      </c>
      <c r="AJ93" s="62"/>
      <c r="AK93" s="62"/>
      <c r="AL93" s="62"/>
      <c r="AM93" s="62"/>
      <c r="AN93" s="62"/>
      <c r="AO93" s="72" t="str">
        <f t="shared" si="13"/>
        <v>A</v>
      </c>
      <c r="AP93" s="62"/>
      <c r="AQ93" s="62"/>
      <c r="AR93" s="62"/>
      <c r="AS93" s="62"/>
      <c r="AT93" s="62"/>
      <c r="AU93" s="72" t="str">
        <f t="shared" si="14"/>
        <v>A</v>
      </c>
      <c r="AV93" s="62"/>
      <c r="AW93" s="62"/>
      <c r="AX93" s="62">
        <v>0</v>
      </c>
      <c r="AY93" s="62">
        <v>0</v>
      </c>
      <c r="AZ93" s="62">
        <v>0</v>
      </c>
      <c r="BA93" s="72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4</v>
      </c>
      <c r="M94" s="62"/>
      <c r="N94" s="62">
        <v>4</v>
      </c>
      <c r="O94" s="62">
        <v>4</v>
      </c>
      <c r="P94" s="62"/>
      <c r="Q94" s="72">
        <f t="shared" si="9"/>
        <v>4</v>
      </c>
      <c r="R94" s="7"/>
      <c r="S94" s="7"/>
      <c r="T94" s="7"/>
      <c r="U94" s="7"/>
      <c r="V94" s="7"/>
      <c r="W94" s="72" t="str">
        <f t="shared" si="10"/>
        <v>A</v>
      </c>
      <c r="X94" s="7"/>
      <c r="Y94" s="7"/>
      <c r="Z94" s="7"/>
      <c r="AA94" s="7"/>
      <c r="AB94" s="7"/>
      <c r="AC94" s="72" t="str">
        <f t="shared" si="11"/>
        <v>A</v>
      </c>
      <c r="AD94" s="7"/>
      <c r="AE94" s="7"/>
      <c r="AF94" s="7"/>
      <c r="AG94" s="7"/>
      <c r="AH94" s="7"/>
      <c r="AI94" s="72" t="str">
        <f t="shared" si="12"/>
        <v>A</v>
      </c>
      <c r="AJ94" s="7"/>
      <c r="AK94" s="7"/>
      <c r="AL94" s="7"/>
      <c r="AM94" s="7"/>
      <c r="AN94" s="7"/>
      <c r="AO94" s="72" t="str">
        <f t="shared" si="13"/>
        <v>A</v>
      </c>
      <c r="AP94" s="7"/>
      <c r="AQ94" s="7"/>
      <c r="AR94" s="7"/>
      <c r="AS94" s="7"/>
      <c r="AT94" s="7"/>
      <c r="AU94" s="72" t="str">
        <f t="shared" si="14"/>
        <v>A</v>
      </c>
      <c r="AV94" s="7"/>
      <c r="AW94" s="7"/>
      <c r="AX94" s="62">
        <v>5</v>
      </c>
      <c r="AY94" s="62">
        <v>0</v>
      </c>
      <c r="AZ94" s="62">
        <v>4</v>
      </c>
      <c r="BA94" s="72">
        <f t="shared" si="15"/>
        <v>3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2</v>
      </c>
      <c r="M95" s="62"/>
      <c r="N95" s="62">
        <v>3</v>
      </c>
      <c r="O95" s="62">
        <v>3</v>
      </c>
      <c r="P95" s="62"/>
      <c r="Q95" s="72">
        <f t="shared" si="9"/>
        <v>2.6666666666666665</v>
      </c>
      <c r="R95" s="62"/>
      <c r="S95" s="62"/>
      <c r="T95" s="62"/>
      <c r="U95" s="62"/>
      <c r="V95" s="62"/>
      <c r="W95" s="72" t="str">
        <f t="shared" si="10"/>
        <v>A</v>
      </c>
      <c r="X95" s="62"/>
      <c r="Y95" s="62"/>
      <c r="Z95" s="62"/>
      <c r="AA95" s="62"/>
      <c r="AB95" s="62"/>
      <c r="AC95" s="72" t="str">
        <f t="shared" si="11"/>
        <v>A</v>
      </c>
      <c r="AD95" s="62"/>
      <c r="AE95" s="62"/>
      <c r="AF95" s="62"/>
      <c r="AG95" s="62"/>
      <c r="AH95" s="62"/>
      <c r="AI95" s="72" t="str">
        <f t="shared" si="12"/>
        <v>A</v>
      </c>
      <c r="AJ95" s="62"/>
      <c r="AK95" s="62"/>
      <c r="AL95" s="62"/>
      <c r="AM95" s="62"/>
      <c r="AN95" s="62"/>
      <c r="AO95" s="72" t="str">
        <f t="shared" si="13"/>
        <v>A</v>
      </c>
      <c r="AP95" s="62"/>
      <c r="AQ95" s="62"/>
      <c r="AR95" s="62"/>
      <c r="AS95" s="62"/>
      <c r="AT95" s="62"/>
      <c r="AU95" s="72" t="str">
        <f t="shared" si="14"/>
        <v>A</v>
      </c>
      <c r="AV95" s="62"/>
      <c r="AW95" s="62"/>
      <c r="AX95" s="62">
        <v>5</v>
      </c>
      <c r="AY95" s="62">
        <v>2</v>
      </c>
      <c r="AZ95" s="62">
        <v>3</v>
      </c>
      <c r="BA95" s="72">
        <f t="shared" si="15"/>
        <v>3.3333333333333335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3</v>
      </c>
      <c r="M96" s="62"/>
      <c r="N96" s="62">
        <v>3</v>
      </c>
      <c r="O96" s="62">
        <v>3</v>
      </c>
      <c r="P96" s="62"/>
      <c r="Q96" s="72">
        <f t="shared" si="9"/>
        <v>3</v>
      </c>
      <c r="R96" s="7"/>
      <c r="S96" s="7"/>
      <c r="T96" s="7"/>
      <c r="U96" s="7"/>
      <c r="V96" s="7"/>
      <c r="W96" s="72" t="str">
        <f t="shared" si="10"/>
        <v>A</v>
      </c>
      <c r="X96" s="7"/>
      <c r="Y96" s="7"/>
      <c r="Z96" s="7"/>
      <c r="AA96" s="7"/>
      <c r="AB96" s="7"/>
      <c r="AC96" s="72" t="str">
        <f t="shared" si="11"/>
        <v>A</v>
      </c>
      <c r="AD96" s="7"/>
      <c r="AE96" s="7"/>
      <c r="AF96" s="7"/>
      <c r="AG96" s="7"/>
      <c r="AH96" s="7"/>
      <c r="AI96" s="72" t="str">
        <f t="shared" si="12"/>
        <v>A</v>
      </c>
      <c r="AJ96" s="7"/>
      <c r="AK96" s="7"/>
      <c r="AL96" s="7"/>
      <c r="AM96" s="7"/>
      <c r="AN96" s="7"/>
      <c r="AO96" s="72" t="str">
        <f t="shared" si="13"/>
        <v>A</v>
      </c>
      <c r="AP96" s="7"/>
      <c r="AQ96" s="7"/>
      <c r="AR96" s="7"/>
      <c r="AS96" s="7"/>
      <c r="AT96" s="7"/>
      <c r="AU96" s="72" t="str">
        <f t="shared" si="14"/>
        <v>A</v>
      </c>
      <c r="AV96" s="7"/>
      <c r="AW96" s="7"/>
      <c r="AX96" s="62">
        <v>5</v>
      </c>
      <c r="AY96" s="62">
        <v>0</v>
      </c>
      <c r="AZ96" s="62">
        <v>3</v>
      </c>
      <c r="BA96" s="72">
        <f t="shared" si="15"/>
        <v>2.6666666666666665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3</v>
      </c>
      <c r="M97" s="62"/>
      <c r="N97" s="62">
        <v>2</v>
      </c>
      <c r="O97" s="62">
        <v>2</v>
      </c>
      <c r="P97" s="62"/>
      <c r="Q97" s="72">
        <f t="shared" si="9"/>
        <v>2.3333333333333335</v>
      </c>
      <c r="R97" s="62"/>
      <c r="S97" s="62"/>
      <c r="T97" s="62"/>
      <c r="U97" s="62"/>
      <c r="V97" s="62"/>
      <c r="W97" s="72" t="str">
        <f t="shared" si="10"/>
        <v>A</v>
      </c>
      <c r="X97" s="62"/>
      <c r="Y97" s="62"/>
      <c r="Z97" s="62"/>
      <c r="AA97" s="62"/>
      <c r="AB97" s="62"/>
      <c r="AC97" s="72" t="str">
        <f t="shared" si="11"/>
        <v>A</v>
      </c>
      <c r="AD97" s="62"/>
      <c r="AE97" s="62"/>
      <c r="AF97" s="62"/>
      <c r="AG97" s="62"/>
      <c r="AH97" s="62"/>
      <c r="AI97" s="72" t="str">
        <f t="shared" si="12"/>
        <v>A</v>
      </c>
      <c r="AJ97" s="62"/>
      <c r="AK97" s="62"/>
      <c r="AL97" s="62"/>
      <c r="AM97" s="62"/>
      <c r="AN97" s="62"/>
      <c r="AO97" s="72" t="str">
        <f t="shared" si="13"/>
        <v>A</v>
      </c>
      <c r="AP97" s="62"/>
      <c r="AQ97" s="62"/>
      <c r="AR97" s="62"/>
      <c r="AS97" s="62"/>
      <c r="AT97" s="62"/>
      <c r="AU97" s="72" t="str">
        <f t="shared" si="14"/>
        <v>A</v>
      </c>
      <c r="AV97" s="62"/>
      <c r="AW97" s="62"/>
      <c r="AX97" s="62">
        <v>5</v>
      </c>
      <c r="AY97" s="62">
        <v>0</v>
      </c>
      <c r="AZ97" s="62">
        <v>2</v>
      </c>
      <c r="BA97" s="72">
        <f t="shared" si="15"/>
        <v>2.3333333333333335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3</v>
      </c>
      <c r="M98" s="62"/>
      <c r="N98" s="62">
        <v>3</v>
      </c>
      <c r="O98" s="62">
        <v>2</v>
      </c>
      <c r="P98" s="62"/>
      <c r="Q98" s="72">
        <f t="shared" si="9"/>
        <v>2.6666666666666665</v>
      </c>
      <c r="R98" s="7"/>
      <c r="S98" s="7"/>
      <c r="T98" s="7"/>
      <c r="U98" s="7"/>
      <c r="V98" s="7"/>
      <c r="W98" s="72" t="str">
        <f t="shared" si="10"/>
        <v>A</v>
      </c>
      <c r="X98" s="7"/>
      <c r="Y98" s="7"/>
      <c r="Z98" s="7"/>
      <c r="AA98" s="7"/>
      <c r="AB98" s="7"/>
      <c r="AC98" s="72" t="str">
        <f t="shared" si="11"/>
        <v>A</v>
      </c>
      <c r="AD98" s="7"/>
      <c r="AE98" s="7"/>
      <c r="AF98" s="7"/>
      <c r="AG98" s="7"/>
      <c r="AH98" s="7"/>
      <c r="AI98" s="72" t="str">
        <f t="shared" si="12"/>
        <v>A</v>
      </c>
      <c r="AJ98" s="7"/>
      <c r="AK98" s="7"/>
      <c r="AL98" s="7"/>
      <c r="AM98" s="7"/>
      <c r="AN98" s="7"/>
      <c r="AO98" s="72" t="str">
        <f t="shared" si="13"/>
        <v>A</v>
      </c>
      <c r="AP98" s="7"/>
      <c r="AQ98" s="7"/>
      <c r="AR98" s="7"/>
      <c r="AS98" s="7"/>
      <c r="AT98" s="7"/>
      <c r="AU98" s="72" t="str">
        <f t="shared" si="14"/>
        <v>A</v>
      </c>
      <c r="AV98" s="7"/>
      <c r="AW98" s="7"/>
      <c r="AX98" s="62">
        <v>5</v>
      </c>
      <c r="AY98" s="62">
        <v>2</v>
      </c>
      <c r="AZ98" s="62">
        <v>2</v>
      </c>
      <c r="BA98" s="72">
        <f t="shared" si="15"/>
        <v>3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0</v>
      </c>
      <c r="M99" s="62"/>
      <c r="N99" s="62">
        <v>0</v>
      </c>
      <c r="O99" s="62">
        <v>0</v>
      </c>
      <c r="P99" s="62"/>
      <c r="Q99" s="72">
        <f t="shared" si="9"/>
        <v>0</v>
      </c>
      <c r="R99" s="62"/>
      <c r="S99" s="62"/>
      <c r="T99" s="62"/>
      <c r="U99" s="62"/>
      <c r="V99" s="62"/>
      <c r="W99" s="72" t="str">
        <f t="shared" si="10"/>
        <v>A</v>
      </c>
      <c r="X99" s="62"/>
      <c r="Y99" s="62"/>
      <c r="Z99" s="62"/>
      <c r="AA99" s="62"/>
      <c r="AB99" s="62"/>
      <c r="AC99" s="72" t="str">
        <f t="shared" si="11"/>
        <v>A</v>
      </c>
      <c r="AD99" s="62"/>
      <c r="AE99" s="62"/>
      <c r="AF99" s="62"/>
      <c r="AG99" s="62"/>
      <c r="AH99" s="62"/>
      <c r="AI99" s="72" t="str">
        <f t="shared" si="12"/>
        <v>A</v>
      </c>
      <c r="AJ99" s="62"/>
      <c r="AK99" s="62"/>
      <c r="AL99" s="62"/>
      <c r="AM99" s="62"/>
      <c r="AN99" s="62"/>
      <c r="AO99" s="72" t="str">
        <f t="shared" si="13"/>
        <v>A</v>
      </c>
      <c r="AP99" s="62"/>
      <c r="AQ99" s="62"/>
      <c r="AR99" s="62"/>
      <c r="AS99" s="62"/>
      <c r="AT99" s="62"/>
      <c r="AU99" s="72" t="str">
        <f t="shared" si="14"/>
        <v>A</v>
      </c>
      <c r="AV99" s="62"/>
      <c r="AW99" s="62"/>
      <c r="AX99" s="62">
        <v>0</v>
      </c>
      <c r="AY99" s="62">
        <v>0</v>
      </c>
      <c r="AZ99" s="62">
        <v>0</v>
      </c>
      <c r="BA99" s="72">
        <f t="shared" si="15"/>
        <v>0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3</v>
      </c>
      <c r="M100" s="62"/>
      <c r="N100" s="62">
        <v>3</v>
      </c>
      <c r="O100" s="62">
        <v>3</v>
      </c>
      <c r="P100" s="62"/>
      <c r="Q100" s="72">
        <f t="shared" si="9"/>
        <v>3</v>
      </c>
      <c r="R100" s="7"/>
      <c r="S100" s="7"/>
      <c r="T100" s="7"/>
      <c r="U100" s="7"/>
      <c r="V100" s="7"/>
      <c r="W100" s="72" t="str">
        <f t="shared" si="10"/>
        <v>A</v>
      </c>
      <c r="X100" s="7"/>
      <c r="Y100" s="7"/>
      <c r="Z100" s="7"/>
      <c r="AA100" s="7"/>
      <c r="AB100" s="7"/>
      <c r="AC100" s="72" t="str">
        <f t="shared" si="11"/>
        <v>A</v>
      </c>
      <c r="AD100" s="7"/>
      <c r="AE100" s="7"/>
      <c r="AF100" s="7"/>
      <c r="AG100" s="7"/>
      <c r="AH100" s="7"/>
      <c r="AI100" s="72" t="str">
        <f t="shared" si="12"/>
        <v>A</v>
      </c>
      <c r="AJ100" s="7"/>
      <c r="AK100" s="7"/>
      <c r="AL100" s="7"/>
      <c r="AM100" s="7"/>
      <c r="AN100" s="7"/>
      <c r="AO100" s="72" t="str">
        <f t="shared" si="13"/>
        <v>A</v>
      </c>
      <c r="AP100" s="7"/>
      <c r="AQ100" s="7"/>
      <c r="AR100" s="7"/>
      <c r="AS100" s="7"/>
      <c r="AT100" s="7"/>
      <c r="AU100" s="72" t="str">
        <f t="shared" si="14"/>
        <v>A</v>
      </c>
      <c r="AV100" s="7"/>
      <c r="AW100" s="7"/>
      <c r="AX100" s="62">
        <v>5</v>
      </c>
      <c r="AY100" s="62">
        <v>2</v>
      </c>
      <c r="AZ100" s="62">
        <v>3</v>
      </c>
      <c r="BA100" s="72">
        <f t="shared" si="15"/>
        <v>3.3333333333333335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4</v>
      </c>
      <c r="M101" s="62"/>
      <c r="N101" s="62">
        <v>4</v>
      </c>
      <c r="O101" s="62">
        <v>4</v>
      </c>
      <c r="P101" s="62"/>
      <c r="Q101" s="72">
        <f t="shared" si="9"/>
        <v>4</v>
      </c>
      <c r="R101" s="62"/>
      <c r="S101" s="62"/>
      <c r="T101" s="62"/>
      <c r="U101" s="62"/>
      <c r="V101" s="62"/>
      <c r="W101" s="72" t="str">
        <f t="shared" si="10"/>
        <v>A</v>
      </c>
      <c r="X101" s="62"/>
      <c r="Y101" s="62"/>
      <c r="Z101" s="62"/>
      <c r="AA101" s="62"/>
      <c r="AB101" s="62"/>
      <c r="AC101" s="72" t="str">
        <f t="shared" si="11"/>
        <v>A</v>
      </c>
      <c r="AD101" s="62"/>
      <c r="AE101" s="62"/>
      <c r="AF101" s="62"/>
      <c r="AG101" s="62"/>
      <c r="AH101" s="62"/>
      <c r="AI101" s="72" t="str">
        <f t="shared" si="12"/>
        <v>A</v>
      </c>
      <c r="AJ101" s="62"/>
      <c r="AK101" s="62"/>
      <c r="AL101" s="62"/>
      <c r="AM101" s="62"/>
      <c r="AN101" s="62"/>
      <c r="AO101" s="72" t="str">
        <f t="shared" si="13"/>
        <v>A</v>
      </c>
      <c r="AP101" s="62"/>
      <c r="AQ101" s="62"/>
      <c r="AR101" s="62"/>
      <c r="AS101" s="62"/>
      <c r="AT101" s="62"/>
      <c r="AU101" s="72" t="str">
        <f t="shared" si="14"/>
        <v>A</v>
      </c>
      <c r="AV101" s="62"/>
      <c r="AW101" s="62"/>
      <c r="AX101" s="62">
        <v>5</v>
      </c>
      <c r="AY101" s="62">
        <v>0</v>
      </c>
      <c r="AZ101" s="62">
        <v>4</v>
      </c>
      <c r="BA101" s="72">
        <f t="shared" si="15"/>
        <v>3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3</v>
      </c>
      <c r="M102" s="62"/>
      <c r="N102" s="62">
        <v>3</v>
      </c>
      <c r="O102" s="62">
        <v>4</v>
      </c>
      <c r="P102" s="62"/>
      <c r="Q102" s="72">
        <f t="shared" si="9"/>
        <v>3.3333333333333335</v>
      </c>
      <c r="R102" s="7"/>
      <c r="S102" s="7"/>
      <c r="T102" s="7"/>
      <c r="U102" s="7"/>
      <c r="V102" s="7"/>
      <c r="W102" s="72" t="str">
        <f t="shared" si="10"/>
        <v>A</v>
      </c>
      <c r="X102" s="7"/>
      <c r="Y102" s="7"/>
      <c r="Z102" s="7"/>
      <c r="AA102" s="7"/>
      <c r="AB102" s="7"/>
      <c r="AC102" s="72" t="str">
        <f t="shared" si="11"/>
        <v>A</v>
      </c>
      <c r="AD102" s="7"/>
      <c r="AE102" s="7"/>
      <c r="AF102" s="7"/>
      <c r="AG102" s="7"/>
      <c r="AH102" s="7"/>
      <c r="AI102" s="72" t="str">
        <f t="shared" si="12"/>
        <v>A</v>
      </c>
      <c r="AJ102" s="7"/>
      <c r="AK102" s="7"/>
      <c r="AL102" s="7"/>
      <c r="AM102" s="7"/>
      <c r="AN102" s="7"/>
      <c r="AO102" s="72" t="str">
        <f t="shared" si="13"/>
        <v>A</v>
      </c>
      <c r="AP102" s="7"/>
      <c r="AQ102" s="7"/>
      <c r="AR102" s="7"/>
      <c r="AS102" s="7"/>
      <c r="AT102" s="7"/>
      <c r="AU102" s="72" t="str">
        <f t="shared" si="14"/>
        <v>A</v>
      </c>
      <c r="AV102" s="7"/>
      <c r="AW102" s="7"/>
      <c r="AX102" s="62">
        <v>5</v>
      </c>
      <c r="AY102" s="62">
        <v>0</v>
      </c>
      <c r="AZ102" s="62">
        <v>3</v>
      </c>
      <c r="BA102" s="72">
        <f t="shared" si="15"/>
        <v>2.6666666666666665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4</v>
      </c>
      <c r="M103" s="62"/>
      <c r="N103" s="62">
        <v>4</v>
      </c>
      <c r="O103" s="62">
        <v>4</v>
      </c>
      <c r="P103" s="62"/>
      <c r="Q103" s="72">
        <f t="shared" si="9"/>
        <v>4</v>
      </c>
      <c r="R103" s="62"/>
      <c r="S103" s="62"/>
      <c r="T103" s="62"/>
      <c r="U103" s="62"/>
      <c r="V103" s="62"/>
      <c r="W103" s="72" t="str">
        <f t="shared" si="10"/>
        <v>A</v>
      </c>
      <c r="X103" s="62"/>
      <c r="Y103" s="62"/>
      <c r="Z103" s="62"/>
      <c r="AA103" s="62"/>
      <c r="AB103" s="62"/>
      <c r="AC103" s="72" t="str">
        <f t="shared" si="11"/>
        <v>A</v>
      </c>
      <c r="AD103" s="62"/>
      <c r="AE103" s="62"/>
      <c r="AF103" s="62"/>
      <c r="AG103" s="62"/>
      <c r="AH103" s="62"/>
      <c r="AI103" s="72" t="str">
        <f t="shared" si="12"/>
        <v>A</v>
      </c>
      <c r="AJ103" s="62"/>
      <c r="AK103" s="62"/>
      <c r="AL103" s="62"/>
      <c r="AM103" s="62"/>
      <c r="AN103" s="62"/>
      <c r="AO103" s="72" t="str">
        <f t="shared" si="13"/>
        <v>A</v>
      </c>
      <c r="AP103" s="62"/>
      <c r="AQ103" s="62"/>
      <c r="AR103" s="62"/>
      <c r="AS103" s="62"/>
      <c r="AT103" s="62"/>
      <c r="AU103" s="72" t="str">
        <f t="shared" si="14"/>
        <v>A</v>
      </c>
      <c r="AV103" s="62"/>
      <c r="AW103" s="62"/>
      <c r="AX103" s="62">
        <v>5</v>
      </c>
      <c r="AY103" s="62">
        <v>2</v>
      </c>
      <c r="AZ103" s="62">
        <v>4</v>
      </c>
      <c r="BA103" s="72">
        <f t="shared" si="15"/>
        <v>3.6666666666666665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3</v>
      </c>
      <c r="M104" s="62"/>
      <c r="N104" s="62">
        <v>2</v>
      </c>
      <c r="O104" s="62">
        <v>2</v>
      </c>
      <c r="P104" s="62"/>
      <c r="Q104" s="72">
        <f t="shared" si="9"/>
        <v>2.3333333333333335</v>
      </c>
      <c r="R104" s="7"/>
      <c r="S104" s="7"/>
      <c r="T104" s="7"/>
      <c r="U104" s="7"/>
      <c r="V104" s="7"/>
      <c r="W104" s="72" t="str">
        <f t="shared" si="10"/>
        <v>A</v>
      </c>
      <c r="X104" s="7"/>
      <c r="Y104" s="7"/>
      <c r="Z104" s="7"/>
      <c r="AA104" s="7"/>
      <c r="AB104" s="7"/>
      <c r="AC104" s="72" t="str">
        <f t="shared" si="11"/>
        <v>A</v>
      </c>
      <c r="AD104" s="7"/>
      <c r="AE104" s="7"/>
      <c r="AF104" s="7"/>
      <c r="AG104" s="7"/>
      <c r="AH104" s="7"/>
      <c r="AI104" s="72" t="str">
        <f t="shared" si="12"/>
        <v>A</v>
      </c>
      <c r="AJ104" s="7"/>
      <c r="AK104" s="7"/>
      <c r="AL104" s="7"/>
      <c r="AM104" s="7"/>
      <c r="AN104" s="7"/>
      <c r="AO104" s="72" t="str">
        <f t="shared" si="13"/>
        <v>A</v>
      </c>
      <c r="AP104" s="7"/>
      <c r="AQ104" s="7"/>
      <c r="AR104" s="7"/>
      <c r="AS104" s="7"/>
      <c r="AT104" s="7"/>
      <c r="AU104" s="72" t="str">
        <f t="shared" si="14"/>
        <v>A</v>
      </c>
      <c r="AV104" s="7"/>
      <c r="AW104" s="7"/>
      <c r="AX104" s="62">
        <v>5</v>
      </c>
      <c r="AY104" s="62">
        <v>2</v>
      </c>
      <c r="AZ104" s="62">
        <v>2</v>
      </c>
      <c r="BA104" s="72">
        <f t="shared" si="15"/>
        <v>3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/>
      <c r="N105" s="62">
        <v>3</v>
      </c>
      <c r="O105" s="62">
        <v>2</v>
      </c>
      <c r="P105" s="62"/>
      <c r="Q105" s="72">
        <f t="shared" si="9"/>
        <v>2.6666666666666665</v>
      </c>
      <c r="R105" s="62"/>
      <c r="S105" s="62"/>
      <c r="T105" s="62"/>
      <c r="U105" s="62"/>
      <c r="V105" s="62"/>
      <c r="W105" s="72" t="str">
        <f t="shared" si="10"/>
        <v>A</v>
      </c>
      <c r="X105" s="62"/>
      <c r="Y105" s="62"/>
      <c r="Z105" s="62"/>
      <c r="AA105" s="62"/>
      <c r="AB105" s="62"/>
      <c r="AC105" s="72" t="str">
        <f t="shared" si="11"/>
        <v>A</v>
      </c>
      <c r="AD105" s="62"/>
      <c r="AE105" s="62"/>
      <c r="AF105" s="62"/>
      <c r="AG105" s="62"/>
      <c r="AH105" s="62"/>
      <c r="AI105" s="72" t="str">
        <f t="shared" si="12"/>
        <v>A</v>
      </c>
      <c r="AJ105" s="62"/>
      <c r="AK105" s="62"/>
      <c r="AL105" s="62"/>
      <c r="AM105" s="62"/>
      <c r="AN105" s="62"/>
      <c r="AO105" s="72" t="str">
        <f t="shared" si="13"/>
        <v>A</v>
      </c>
      <c r="AP105" s="62"/>
      <c r="AQ105" s="62"/>
      <c r="AR105" s="62"/>
      <c r="AS105" s="62"/>
      <c r="AT105" s="62"/>
      <c r="AU105" s="72" t="str">
        <f t="shared" si="14"/>
        <v>A</v>
      </c>
      <c r="AV105" s="62"/>
      <c r="AW105" s="62"/>
      <c r="AX105" s="62">
        <v>5</v>
      </c>
      <c r="AY105" s="62">
        <v>0</v>
      </c>
      <c r="AZ105" s="62">
        <v>3</v>
      </c>
      <c r="BA105" s="72">
        <f t="shared" si="15"/>
        <v>2.6666666666666665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1</v>
      </c>
      <c r="M106" s="62"/>
      <c r="N106" s="62">
        <v>1</v>
      </c>
      <c r="O106" s="62">
        <v>1</v>
      </c>
      <c r="P106" s="62"/>
      <c r="Q106" s="72">
        <f t="shared" si="9"/>
        <v>1</v>
      </c>
      <c r="R106" s="7"/>
      <c r="S106" s="7"/>
      <c r="T106" s="7"/>
      <c r="U106" s="7"/>
      <c r="V106" s="7"/>
      <c r="W106" s="72" t="str">
        <f t="shared" si="10"/>
        <v>A</v>
      </c>
      <c r="X106" s="7"/>
      <c r="Y106" s="7"/>
      <c r="Z106" s="7"/>
      <c r="AA106" s="7"/>
      <c r="AB106" s="7"/>
      <c r="AC106" s="72" t="str">
        <f t="shared" si="11"/>
        <v>A</v>
      </c>
      <c r="AD106" s="7"/>
      <c r="AE106" s="7"/>
      <c r="AF106" s="7"/>
      <c r="AG106" s="7"/>
      <c r="AH106" s="7"/>
      <c r="AI106" s="72" t="str">
        <f t="shared" si="12"/>
        <v>A</v>
      </c>
      <c r="AJ106" s="7"/>
      <c r="AK106" s="7"/>
      <c r="AL106" s="7"/>
      <c r="AM106" s="7"/>
      <c r="AN106" s="7"/>
      <c r="AO106" s="72" t="str">
        <f t="shared" si="13"/>
        <v>A</v>
      </c>
      <c r="AP106" s="7"/>
      <c r="AQ106" s="7"/>
      <c r="AR106" s="7"/>
      <c r="AS106" s="7"/>
      <c r="AT106" s="7"/>
      <c r="AU106" s="72" t="str">
        <f t="shared" si="14"/>
        <v>A</v>
      </c>
      <c r="AV106" s="7"/>
      <c r="AW106" s="7"/>
      <c r="AX106" s="62">
        <v>5</v>
      </c>
      <c r="AY106" s="62">
        <v>0</v>
      </c>
      <c r="AZ106" s="62">
        <v>1</v>
      </c>
      <c r="BA106" s="72">
        <f t="shared" si="15"/>
        <v>2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4</v>
      </c>
      <c r="M107" s="62"/>
      <c r="N107" s="62">
        <v>4</v>
      </c>
      <c r="O107" s="62">
        <v>4</v>
      </c>
      <c r="P107" s="62"/>
      <c r="Q107" s="72">
        <f t="shared" si="9"/>
        <v>4</v>
      </c>
      <c r="R107" s="62"/>
      <c r="S107" s="62"/>
      <c r="T107" s="62"/>
      <c r="U107" s="62"/>
      <c r="V107" s="62"/>
      <c r="W107" s="72" t="str">
        <f t="shared" si="10"/>
        <v>A</v>
      </c>
      <c r="X107" s="62"/>
      <c r="Y107" s="62"/>
      <c r="Z107" s="62"/>
      <c r="AA107" s="62"/>
      <c r="AB107" s="62"/>
      <c r="AC107" s="72" t="str">
        <f t="shared" si="11"/>
        <v>A</v>
      </c>
      <c r="AD107" s="62"/>
      <c r="AE107" s="62"/>
      <c r="AF107" s="62"/>
      <c r="AG107" s="62"/>
      <c r="AH107" s="62"/>
      <c r="AI107" s="72" t="str">
        <f t="shared" si="12"/>
        <v>A</v>
      </c>
      <c r="AJ107" s="62"/>
      <c r="AK107" s="62"/>
      <c r="AL107" s="62"/>
      <c r="AM107" s="62"/>
      <c r="AN107" s="62"/>
      <c r="AO107" s="72" t="str">
        <f t="shared" si="13"/>
        <v>A</v>
      </c>
      <c r="AP107" s="62"/>
      <c r="AQ107" s="62"/>
      <c r="AR107" s="62"/>
      <c r="AS107" s="62"/>
      <c r="AT107" s="62"/>
      <c r="AU107" s="72" t="str">
        <f t="shared" si="14"/>
        <v>A</v>
      </c>
      <c r="AV107" s="62"/>
      <c r="AW107" s="62"/>
      <c r="AX107" s="62">
        <v>5</v>
      </c>
      <c r="AY107" s="62">
        <v>0</v>
      </c>
      <c r="AZ107" s="62">
        <v>4</v>
      </c>
      <c r="BA107" s="72">
        <f t="shared" si="15"/>
        <v>3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2</v>
      </c>
      <c r="M108" s="62"/>
      <c r="N108" s="62">
        <v>2</v>
      </c>
      <c r="O108" s="62">
        <v>2</v>
      </c>
      <c r="P108" s="62"/>
      <c r="Q108" s="72">
        <f t="shared" si="9"/>
        <v>2</v>
      </c>
      <c r="R108" s="7"/>
      <c r="S108" s="7"/>
      <c r="T108" s="7"/>
      <c r="U108" s="7"/>
      <c r="V108" s="7"/>
      <c r="W108" s="72" t="str">
        <f t="shared" si="10"/>
        <v>A</v>
      </c>
      <c r="X108" s="7"/>
      <c r="Y108" s="7"/>
      <c r="Z108" s="7"/>
      <c r="AA108" s="7"/>
      <c r="AB108" s="7"/>
      <c r="AC108" s="72" t="str">
        <f t="shared" si="11"/>
        <v>A</v>
      </c>
      <c r="AD108" s="7"/>
      <c r="AE108" s="7"/>
      <c r="AF108" s="7"/>
      <c r="AG108" s="7"/>
      <c r="AH108" s="7"/>
      <c r="AI108" s="72" t="str">
        <f t="shared" si="12"/>
        <v>A</v>
      </c>
      <c r="AJ108" s="7"/>
      <c r="AK108" s="7"/>
      <c r="AL108" s="7"/>
      <c r="AM108" s="7"/>
      <c r="AN108" s="7"/>
      <c r="AO108" s="72" t="str">
        <f t="shared" si="13"/>
        <v>A</v>
      </c>
      <c r="AP108" s="7"/>
      <c r="AQ108" s="7"/>
      <c r="AR108" s="7"/>
      <c r="AS108" s="7"/>
      <c r="AT108" s="7"/>
      <c r="AU108" s="72" t="str">
        <f t="shared" si="14"/>
        <v>A</v>
      </c>
      <c r="AV108" s="7"/>
      <c r="AW108" s="7"/>
      <c r="AX108" s="62">
        <v>2</v>
      </c>
      <c r="AY108" s="62">
        <v>2</v>
      </c>
      <c r="AZ108" s="62">
        <v>2</v>
      </c>
      <c r="BA108" s="72">
        <f t="shared" si="15"/>
        <v>2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4</v>
      </c>
      <c r="M109" s="62"/>
      <c r="N109" s="62">
        <v>4</v>
      </c>
      <c r="O109" s="62">
        <v>4</v>
      </c>
      <c r="P109" s="62"/>
      <c r="Q109" s="72">
        <f t="shared" si="9"/>
        <v>4</v>
      </c>
      <c r="R109" s="62"/>
      <c r="S109" s="62"/>
      <c r="T109" s="62"/>
      <c r="U109" s="62"/>
      <c r="V109" s="62"/>
      <c r="W109" s="72" t="str">
        <f t="shared" si="10"/>
        <v>A</v>
      </c>
      <c r="X109" s="62"/>
      <c r="Y109" s="62"/>
      <c r="Z109" s="62"/>
      <c r="AA109" s="62"/>
      <c r="AB109" s="62"/>
      <c r="AC109" s="72" t="str">
        <f t="shared" si="11"/>
        <v>A</v>
      </c>
      <c r="AD109" s="62"/>
      <c r="AE109" s="62"/>
      <c r="AF109" s="62"/>
      <c r="AG109" s="62"/>
      <c r="AH109" s="62"/>
      <c r="AI109" s="72" t="str">
        <f t="shared" si="12"/>
        <v>A</v>
      </c>
      <c r="AJ109" s="62"/>
      <c r="AK109" s="62"/>
      <c r="AL109" s="62"/>
      <c r="AM109" s="62"/>
      <c r="AN109" s="62"/>
      <c r="AO109" s="72" t="str">
        <f t="shared" si="13"/>
        <v>A</v>
      </c>
      <c r="AP109" s="62"/>
      <c r="AQ109" s="62"/>
      <c r="AR109" s="62"/>
      <c r="AS109" s="62"/>
      <c r="AT109" s="62"/>
      <c r="AU109" s="72" t="str">
        <f t="shared" si="14"/>
        <v>A</v>
      </c>
      <c r="AV109" s="62"/>
      <c r="AW109" s="62"/>
      <c r="AX109" s="62">
        <v>5</v>
      </c>
      <c r="AY109" s="62">
        <v>2</v>
      </c>
      <c r="AZ109" s="62">
        <v>4</v>
      </c>
      <c r="BA109" s="72">
        <f t="shared" si="15"/>
        <v>3.6666666666666665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3</v>
      </c>
      <c r="M110" s="62"/>
      <c r="N110" s="62">
        <v>4</v>
      </c>
      <c r="O110" s="62">
        <v>4</v>
      </c>
      <c r="P110" s="62"/>
      <c r="Q110" s="72">
        <f t="shared" si="9"/>
        <v>3.6666666666666665</v>
      </c>
      <c r="R110" s="7"/>
      <c r="S110" s="7"/>
      <c r="T110" s="7"/>
      <c r="U110" s="7"/>
      <c r="V110" s="7"/>
      <c r="W110" s="72" t="str">
        <f t="shared" si="10"/>
        <v>A</v>
      </c>
      <c r="X110" s="7"/>
      <c r="Y110" s="7"/>
      <c r="Z110" s="7"/>
      <c r="AA110" s="7"/>
      <c r="AB110" s="7"/>
      <c r="AC110" s="72" t="str">
        <f t="shared" si="11"/>
        <v>A</v>
      </c>
      <c r="AD110" s="7"/>
      <c r="AE110" s="7"/>
      <c r="AF110" s="7"/>
      <c r="AG110" s="7"/>
      <c r="AH110" s="7"/>
      <c r="AI110" s="72" t="str">
        <f t="shared" si="12"/>
        <v>A</v>
      </c>
      <c r="AJ110" s="7"/>
      <c r="AK110" s="7"/>
      <c r="AL110" s="7"/>
      <c r="AM110" s="7"/>
      <c r="AN110" s="7"/>
      <c r="AO110" s="72" t="str">
        <f t="shared" si="13"/>
        <v>A</v>
      </c>
      <c r="AP110" s="7"/>
      <c r="AQ110" s="7"/>
      <c r="AR110" s="7"/>
      <c r="AS110" s="7"/>
      <c r="AT110" s="7"/>
      <c r="AU110" s="72" t="str">
        <f t="shared" si="14"/>
        <v>A</v>
      </c>
      <c r="AV110" s="7"/>
      <c r="AW110" s="7"/>
      <c r="AX110" s="62">
        <v>5</v>
      </c>
      <c r="AY110" s="62">
        <v>0</v>
      </c>
      <c r="AZ110" s="62">
        <v>4</v>
      </c>
      <c r="BA110" s="72">
        <f t="shared" si="15"/>
        <v>3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3</v>
      </c>
      <c r="M111" s="62"/>
      <c r="N111" s="62">
        <v>4</v>
      </c>
      <c r="O111" s="62">
        <v>3</v>
      </c>
      <c r="P111" s="62"/>
      <c r="Q111" s="72">
        <f t="shared" si="9"/>
        <v>3.3333333333333335</v>
      </c>
      <c r="R111" s="62"/>
      <c r="S111" s="62"/>
      <c r="T111" s="62"/>
      <c r="U111" s="62"/>
      <c r="V111" s="62"/>
      <c r="W111" s="72" t="str">
        <f t="shared" si="10"/>
        <v>A</v>
      </c>
      <c r="X111" s="62"/>
      <c r="Y111" s="62"/>
      <c r="Z111" s="62"/>
      <c r="AA111" s="62"/>
      <c r="AB111" s="62"/>
      <c r="AC111" s="72" t="str">
        <f t="shared" si="11"/>
        <v>A</v>
      </c>
      <c r="AD111" s="62"/>
      <c r="AE111" s="62"/>
      <c r="AF111" s="62"/>
      <c r="AG111" s="62"/>
      <c r="AH111" s="62"/>
      <c r="AI111" s="72" t="str">
        <f t="shared" si="12"/>
        <v>A</v>
      </c>
      <c r="AJ111" s="62"/>
      <c r="AK111" s="62"/>
      <c r="AL111" s="62"/>
      <c r="AM111" s="62"/>
      <c r="AN111" s="62"/>
      <c r="AO111" s="72" t="str">
        <f t="shared" si="13"/>
        <v>A</v>
      </c>
      <c r="AP111" s="62"/>
      <c r="AQ111" s="62"/>
      <c r="AR111" s="62"/>
      <c r="AS111" s="62"/>
      <c r="AT111" s="62"/>
      <c r="AU111" s="72" t="str">
        <f t="shared" si="14"/>
        <v>A</v>
      </c>
      <c r="AV111" s="62"/>
      <c r="AW111" s="62"/>
      <c r="AX111" s="62">
        <v>5</v>
      </c>
      <c r="AY111" s="62">
        <v>0</v>
      </c>
      <c r="AZ111" s="62">
        <v>4</v>
      </c>
      <c r="BA111" s="72">
        <f t="shared" si="15"/>
        <v>3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3</v>
      </c>
      <c r="M112" s="62"/>
      <c r="N112" s="62">
        <v>3</v>
      </c>
      <c r="O112" s="62">
        <v>3</v>
      </c>
      <c r="P112" s="62"/>
      <c r="Q112" s="72">
        <f t="shared" si="9"/>
        <v>3</v>
      </c>
      <c r="R112" s="7"/>
      <c r="S112" s="7"/>
      <c r="T112" s="7"/>
      <c r="U112" s="7"/>
      <c r="V112" s="7"/>
      <c r="W112" s="72" t="str">
        <f t="shared" si="10"/>
        <v>A</v>
      </c>
      <c r="X112" s="7"/>
      <c r="Y112" s="7"/>
      <c r="Z112" s="7"/>
      <c r="AA112" s="7"/>
      <c r="AB112" s="7"/>
      <c r="AC112" s="72" t="str">
        <f t="shared" si="11"/>
        <v>A</v>
      </c>
      <c r="AD112" s="7"/>
      <c r="AE112" s="7"/>
      <c r="AF112" s="7"/>
      <c r="AG112" s="7"/>
      <c r="AH112" s="7"/>
      <c r="AI112" s="72" t="str">
        <f t="shared" si="12"/>
        <v>A</v>
      </c>
      <c r="AJ112" s="7"/>
      <c r="AK112" s="7"/>
      <c r="AL112" s="7"/>
      <c r="AM112" s="7"/>
      <c r="AN112" s="7"/>
      <c r="AO112" s="72" t="str">
        <f t="shared" si="13"/>
        <v>A</v>
      </c>
      <c r="AP112" s="7"/>
      <c r="AQ112" s="7"/>
      <c r="AR112" s="7"/>
      <c r="AS112" s="7"/>
      <c r="AT112" s="7"/>
      <c r="AU112" s="72" t="str">
        <f t="shared" si="14"/>
        <v>A</v>
      </c>
      <c r="AV112" s="7"/>
      <c r="AW112" s="7"/>
      <c r="AX112" s="62">
        <v>5</v>
      </c>
      <c r="AY112" s="62">
        <v>0</v>
      </c>
      <c r="AZ112" s="62">
        <v>2</v>
      </c>
      <c r="BA112" s="72">
        <f t="shared" si="15"/>
        <v>2.3333333333333335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3</v>
      </c>
      <c r="M113" s="62"/>
      <c r="N113" s="62">
        <v>3</v>
      </c>
      <c r="O113" s="62">
        <v>4</v>
      </c>
      <c r="P113" s="62"/>
      <c r="Q113" s="72">
        <f t="shared" si="9"/>
        <v>3.3333333333333335</v>
      </c>
      <c r="R113" s="62"/>
      <c r="S113" s="62"/>
      <c r="T113" s="62"/>
      <c r="U113" s="62"/>
      <c r="V113" s="62"/>
      <c r="W113" s="72" t="str">
        <f t="shared" si="10"/>
        <v>A</v>
      </c>
      <c r="X113" s="62"/>
      <c r="Y113" s="62"/>
      <c r="Z113" s="62"/>
      <c r="AA113" s="62"/>
      <c r="AB113" s="62"/>
      <c r="AC113" s="72" t="str">
        <f t="shared" si="11"/>
        <v>A</v>
      </c>
      <c r="AD113" s="62"/>
      <c r="AE113" s="62"/>
      <c r="AF113" s="62"/>
      <c r="AG113" s="62"/>
      <c r="AH113" s="62"/>
      <c r="AI113" s="72" t="str">
        <f t="shared" si="12"/>
        <v>A</v>
      </c>
      <c r="AJ113" s="62"/>
      <c r="AK113" s="62"/>
      <c r="AL113" s="62"/>
      <c r="AM113" s="62"/>
      <c r="AN113" s="62"/>
      <c r="AO113" s="72" t="str">
        <f t="shared" si="13"/>
        <v>A</v>
      </c>
      <c r="AP113" s="62"/>
      <c r="AQ113" s="62"/>
      <c r="AR113" s="62"/>
      <c r="AS113" s="62"/>
      <c r="AT113" s="62"/>
      <c r="AU113" s="72" t="str">
        <f t="shared" si="14"/>
        <v>A</v>
      </c>
      <c r="AV113" s="62"/>
      <c r="AW113" s="62"/>
      <c r="AX113" s="62">
        <v>5</v>
      </c>
      <c r="AY113" s="62">
        <v>0</v>
      </c>
      <c r="AZ113" s="62">
        <v>3</v>
      </c>
      <c r="BA113" s="72">
        <f t="shared" si="15"/>
        <v>2.6666666666666665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4</v>
      </c>
      <c r="M114" s="62"/>
      <c r="N114" s="62">
        <v>4</v>
      </c>
      <c r="O114" s="62">
        <v>4</v>
      </c>
      <c r="P114" s="62"/>
      <c r="Q114" s="72">
        <f t="shared" si="9"/>
        <v>4</v>
      </c>
      <c r="R114" s="7"/>
      <c r="S114" s="7"/>
      <c r="T114" s="7"/>
      <c r="U114" s="7"/>
      <c r="V114" s="7"/>
      <c r="W114" s="72" t="str">
        <f t="shared" si="10"/>
        <v>A</v>
      </c>
      <c r="X114" s="7"/>
      <c r="Y114" s="7"/>
      <c r="Z114" s="7"/>
      <c r="AA114" s="7"/>
      <c r="AB114" s="7"/>
      <c r="AC114" s="72" t="str">
        <f t="shared" si="11"/>
        <v>A</v>
      </c>
      <c r="AD114" s="7"/>
      <c r="AE114" s="7"/>
      <c r="AF114" s="7"/>
      <c r="AG114" s="7"/>
      <c r="AH114" s="7"/>
      <c r="AI114" s="72" t="str">
        <f t="shared" si="12"/>
        <v>A</v>
      </c>
      <c r="AJ114" s="7"/>
      <c r="AK114" s="7"/>
      <c r="AL114" s="7"/>
      <c r="AM114" s="7"/>
      <c r="AN114" s="7"/>
      <c r="AO114" s="72" t="str">
        <f t="shared" si="13"/>
        <v>A</v>
      </c>
      <c r="AP114" s="7"/>
      <c r="AQ114" s="7"/>
      <c r="AR114" s="7"/>
      <c r="AS114" s="7"/>
      <c r="AT114" s="7"/>
      <c r="AU114" s="72" t="str">
        <f t="shared" si="14"/>
        <v>A</v>
      </c>
      <c r="AV114" s="7"/>
      <c r="AW114" s="7"/>
      <c r="AX114" s="62">
        <v>5</v>
      </c>
      <c r="AY114" s="62">
        <v>0</v>
      </c>
      <c r="AZ114" s="62">
        <v>4</v>
      </c>
      <c r="BA114" s="72">
        <f t="shared" si="15"/>
        <v>3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4</v>
      </c>
      <c r="M115" s="62"/>
      <c r="N115" s="62">
        <v>4</v>
      </c>
      <c r="O115" s="62">
        <v>3</v>
      </c>
      <c r="P115" s="62"/>
      <c r="Q115" s="72">
        <f t="shared" si="9"/>
        <v>3.6666666666666665</v>
      </c>
      <c r="R115" s="62"/>
      <c r="S115" s="62"/>
      <c r="T115" s="62"/>
      <c r="U115" s="62"/>
      <c r="V115" s="62"/>
      <c r="W115" s="72" t="str">
        <f t="shared" si="10"/>
        <v>A</v>
      </c>
      <c r="X115" s="62"/>
      <c r="Y115" s="62"/>
      <c r="Z115" s="62"/>
      <c r="AA115" s="62"/>
      <c r="AB115" s="62"/>
      <c r="AC115" s="72" t="str">
        <f t="shared" si="11"/>
        <v>A</v>
      </c>
      <c r="AD115" s="62"/>
      <c r="AE115" s="62"/>
      <c r="AF115" s="62"/>
      <c r="AG115" s="62"/>
      <c r="AH115" s="62"/>
      <c r="AI115" s="72" t="str">
        <f t="shared" si="12"/>
        <v>A</v>
      </c>
      <c r="AJ115" s="62"/>
      <c r="AK115" s="62"/>
      <c r="AL115" s="62"/>
      <c r="AM115" s="62"/>
      <c r="AN115" s="62"/>
      <c r="AO115" s="72" t="str">
        <f t="shared" si="13"/>
        <v>A</v>
      </c>
      <c r="AP115" s="62"/>
      <c r="AQ115" s="62"/>
      <c r="AR115" s="62"/>
      <c r="AS115" s="62"/>
      <c r="AT115" s="62"/>
      <c r="AU115" s="72" t="str">
        <f t="shared" si="14"/>
        <v>A</v>
      </c>
      <c r="AV115" s="62"/>
      <c r="AW115" s="62"/>
      <c r="AX115" s="62">
        <v>5</v>
      </c>
      <c r="AY115" s="62">
        <v>0</v>
      </c>
      <c r="AZ115" s="62">
        <v>4</v>
      </c>
      <c r="BA115" s="72">
        <f t="shared" si="15"/>
        <v>3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0</v>
      </c>
      <c r="M116" s="62"/>
      <c r="N116" s="62">
        <v>0</v>
      </c>
      <c r="O116" s="62">
        <v>0</v>
      </c>
      <c r="P116" s="62"/>
      <c r="Q116" s="72">
        <f t="shared" si="9"/>
        <v>0</v>
      </c>
      <c r="R116" s="7"/>
      <c r="S116" s="7"/>
      <c r="T116" s="7"/>
      <c r="U116" s="7"/>
      <c r="V116" s="7"/>
      <c r="W116" s="72" t="str">
        <f t="shared" si="10"/>
        <v>A</v>
      </c>
      <c r="X116" s="7"/>
      <c r="Y116" s="7"/>
      <c r="Z116" s="7"/>
      <c r="AA116" s="7"/>
      <c r="AB116" s="7"/>
      <c r="AC116" s="72" t="str">
        <f t="shared" si="11"/>
        <v>A</v>
      </c>
      <c r="AD116" s="7"/>
      <c r="AE116" s="7"/>
      <c r="AF116" s="7"/>
      <c r="AG116" s="7"/>
      <c r="AH116" s="7"/>
      <c r="AI116" s="72" t="str">
        <f t="shared" si="12"/>
        <v>A</v>
      </c>
      <c r="AJ116" s="7"/>
      <c r="AK116" s="7"/>
      <c r="AL116" s="7"/>
      <c r="AM116" s="7"/>
      <c r="AN116" s="7"/>
      <c r="AO116" s="72" t="str">
        <f t="shared" si="13"/>
        <v>A</v>
      </c>
      <c r="AP116" s="7"/>
      <c r="AQ116" s="7"/>
      <c r="AR116" s="7"/>
      <c r="AS116" s="7"/>
      <c r="AT116" s="7"/>
      <c r="AU116" s="72" t="str">
        <f t="shared" si="14"/>
        <v>A</v>
      </c>
      <c r="AV116" s="7"/>
      <c r="AW116" s="7"/>
      <c r="AX116" s="62">
        <v>0</v>
      </c>
      <c r="AY116" s="62">
        <v>0</v>
      </c>
      <c r="AZ116" s="62">
        <v>0</v>
      </c>
      <c r="BA116" s="72">
        <f t="shared" si="15"/>
        <v>0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3</v>
      </c>
      <c r="M117" s="62"/>
      <c r="N117" s="62">
        <v>3</v>
      </c>
      <c r="O117" s="62">
        <v>3</v>
      </c>
      <c r="P117" s="62"/>
      <c r="Q117" s="72">
        <f t="shared" si="9"/>
        <v>3</v>
      </c>
      <c r="R117" s="62"/>
      <c r="S117" s="62"/>
      <c r="T117" s="62"/>
      <c r="U117" s="62"/>
      <c r="V117" s="62"/>
      <c r="W117" s="72" t="str">
        <f t="shared" si="10"/>
        <v>A</v>
      </c>
      <c r="X117" s="62"/>
      <c r="Y117" s="62"/>
      <c r="Z117" s="62"/>
      <c r="AA117" s="62"/>
      <c r="AB117" s="62"/>
      <c r="AC117" s="72" t="str">
        <f t="shared" si="11"/>
        <v>A</v>
      </c>
      <c r="AD117" s="62"/>
      <c r="AE117" s="62"/>
      <c r="AF117" s="62"/>
      <c r="AG117" s="62"/>
      <c r="AH117" s="62"/>
      <c r="AI117" s="72" t="str">
        <f t="shared" si="12"/>
        <v>A</v>
      </c>
      <c r="AJ117" s="62"/>
      <c r="AK117" s="62"/>
      <c r="AL117" s="62"/>
      <c r="AM117" s="62"/>
      <c r="AN117" s="62"/>
      <c r="AO117" s="72" t="str">
        <f t="shared" si="13"/>
        <v>A</v>
      </c>
      <c r="AP117" s="62"/>
      <c r="AQ117" s="62"/>
      <c r="AR117" s="62"/>
      <c r="AS117" s="62"/>
      <c r="AT117" s="62"/>
      <c r="AU117" s="72" t="str">
        <f t="shared" si="14"/>
        <v>A</v>
      </c>
      <c r="AV117" s="62"/>
      <c r="AW117" s="62"/>
      <c r="AX117" s="62">
        <v>5</v>
      </c>
      <c r="AY117" s="62">
        <v>0</v>
      </c>
      <c r="AZ117" s="62">
        <v>4</v>
      </c>
      <c r="BA117" s="72">
        <f t="shared" si="15"/>
        <v>3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/>
      <c r="N118" s="62">
        <v>4</v>
      </c>
      <c r="O118" s="62">
        <v>4</v>
      </c>
      <c r="P118" s="62"/>
      <c r="Q118" s="72">
        <f t="shared" si="9"/>
        <v>3.6666666666666665</v>
      </c>
      <c r="R118" s="7"/>
      <c r="S118" s="7"/>
      <c r="T118" s="7"/>
      <c r="U118" s="7"/>
      <c r="V118" s="7"/>
      <c r="W118" s="72" t="str">
        <f t="shared" si="10"/>
        <v>A</v>
      </c>
      <c r="X118" s="7"/>
      <c r="Y118" s="7"/>
      <c r="Z118" s="7"/>
      <c r="AA118" s="7"/>
      <c r="AB118" s="7"/>
      <c r="AC118" s="72" t="str">
        <f t="shared" si="11"/>
        <v>A</v>
      </c>
      <c r="AD118" s="7"/>
      <c r="AE118" s="7"/>
      <c r="AF118" s="7"/>
      <c r="AG118" s="7"/>
      <c r="AH118" s="7"/>
      <c r="AI118" s="72" t="str">
        <f t="shared" si="12"/>
        <v>A</v>
      </c>
      <c r="AJ118" s="7"/>
      <c r="AK118" s="7"/>
      <c r="AL118" s="7"/>
      <c r="AM118" s="7"/>
      <c r="AN118" s="7"/>
      <c r="AO118" s="72" t="str">
        <f t="shared" si="13"/>
        <v>A</v>
      </c>
      <c r="AP118" s="7"/>
      <c r="AQ118" s="7"/>
      <c r="AR118" s="7"/>
      <c r="AS118" s="7"/>
      <c r="AT118" s="7"/>
      <c r="AU118" s="72" t="str">
        <f t="shared" si="14"/>
        <v>A</v>
      </c>
      <c r="AV118" s="7"/>
      <c r="AW118" s="7"/>
      <c r="AX118" s="62">
        <v>5</v>
      </c>
      <c r="AY118" s="62">
        <v>2</v>
      </c>
      <c r="AZ118" s="62">
        <v>4</v>
      </c>
      <c r="BA118" s="72">
        <f t="shared" si="15"/>
        <v>3.6666666666666665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0</v>
      </c>
      <c r="M119" s="62"/>
      <c r="N119" s="62">
        <v>0</v>
      </c>
      <c r="O119" s="62">
        <v>0</v>
      </c>
      <c r="P119" s="62"/>
      <c r="Q119" s="72">
        <f t="shared" si="9"/>
        <v>0</v>
      </c>
      <c r="R119" s="62"/>
      <c r="S119" s="62"/>
      <c r="T119" s="62"/>
      <c r="U119" s="62"/>
      <c r="V119" s="62"/>
      <c r="W119" s="72" t="str">
        <f t="shared" si="10"/>
        <v>A</v>
      </c>
      <c r="X119" s="62"/>
      <c r="Y119" s="62"/>
      <c r="Z119" s="62"/>
      <c r="AA119" s="62"/>
      <c r="AB119" s="62"/>
      <c r="AC119" s="72" t="str">
        <f t="shared" si="11"/>
        <v>A</v>
      </c>
      <c r="AD119" s="62"/>
      <c r="AE119" s="62"/>
      <c r="AF119" s="62"/>
      <c r="AG119" s="62"/>
      <c r="AH119" s="62"/>
      <c r="AI119" s="72" t="str">
        <f t="shared" si="12"/>
        <v>A</v>
      </c>
      <c r="AJ119" s="62"/>
      <c r="AK119" s="62"/>
      <c r="AL119" s="62"/>
      <c r="AM119" s="62"/>
      <c r="AN119" s="62"/>
      <c r="AO119" s="72" t="str">
        <f t="shared" si="13"/>
        <v>A</v>
      </c>
      <c r="AP119" s="62"/>
      <c r="AQ119" s="62"/>
      <c r="AR119" s="62"/>
      <c r="AS119" s="62"/>
      <c r="AT119" s="62"/>
      <c r="AU119" s="72" t="str">
        <f t="shared" si="14"/>
        <v>A</v>
      </c>
      <c r="AV119" s="62"/>
      <c r="AW119" s="62"/>
      <c r="AX119" s="62">
        <v>0</v>
      </c>
      <c r="AY119" s="62">
        <v>0</v>
      </c>
      <c r="AZ119" s="62">
        <v>0</v>
      </c>
      <c r="BA119" s="72">
        <f t="shared" si="15"/>
        <v>0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3</v>
      </c>
      <c r="M120" s="62"/>
      <c r="N120" s="62">
        <v>4</v>
      </c>
      <c r="O120" s="62">
        <v>3</v>
      </c>
      <c r="P120" s="62"/>
      <c r="Q120" s="72">
        <f t="shared" si="9"/>
        <v>3.3333333333333335</v>
      </c>
      <c r="R120" s="7"/>
      <c r="S120" s="7"/>
      <c r="T120" s="7"/>
      <c r="U120" s="7"/>
      <c r="V120" s="7"/>
      <c r="W120" s="72" t="str">
        <f t="shared" si="10"/>
        <v>A</v>
      </c>
      <c r="X120" s="7"/>
      <c r="Y120" s="7"/>
      <c r="Z120" s="7"/>
      <c r="AA120" s="7"/>
      <c r="AB120" s="7"/>
      <c r="AC120" s="72" t="str">
        <f t="shared" si="11"/>
        <v>A</v>
      </c>
      <c r="AD120" s="7"/>
      <c r="AE120" s="7"/>
      <c r="AF120" s="7"/>
      <c r="AG120" s="7"/>
      <c r="AH120" s="7"/>
      <c r="AI120" s="72" t="str">
        <f t="shared" si="12"/>
        <v>A</v>
      </c>
      <c r="AJ120" s="7"/>
      <c r="AK120" s="7"/>
      <c r="AL120" s="7"/>
      <c r="AM120" s="7"/>
      <c r="AN120" s="7"/>
      <c r="AO120" s="72" t="str">
        <f t="shared" si="13"/>
        <v>A</v>
      </c>
      <c r="AP120" s="7"/>
      <c r="AQ120" s="7"/>
      <c r="AR120" s="7"/>
      <c r="AS120" s="7"/>
      <c r="AT120" s="7"/>
      <c r="AU120" s="72" t="str">
        <f t="shared" si="14"/>
        <v>A</v>
      </c>
      <c r="AV120" s="7"/>
      <c r="AW120" s="7"/>
      <c r="AX120" s="62">
        <v>5</v>
      </c>
      <c r="AY120" s="62">
        <v>2</v>
      </c>
      <c r="AZ120" s="62">
        <v>4</v>
      </c>
      <c r="BA120" s="72">
        <f t="shared" si="15"/>
        <v>3.6666666666666665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3</v>
      </c>
      <c r="M121" s="62"/>
      <c r="N121" s="62">
        <v>3</v>
      </c>
      <c r="O121" s="62">
        <v>3</v>
      </c>
      <c r="P121" s="62"/>
      <c r="Q121" s="72">
        <f t="shared" si="9"/>
        <v>3</v>
      </c>
      <c r="R121" s="62"/>
      <c r="S121" s="62"/>
      <c r="T121" s="62"/>
      <c r="U121" s="62"/>
      <c r="V121" s="62"/>
      <c r="W121" s="72" t="str">
        <f t="shared" si="10"/>
        <v>A</v>
      </c>
      <c r="X121" s="62"/>
      <c r="Y121" s="62"/>
      <c r="Z121" s="62"/>
      <c r="AA121" s="62"/>
      <c r="AB121" s="62"/>
      <c r="AC121" s="72" t="str">
        <f t="shared" si="11"/>
        <v>A</v>
      </c>
      <c r="AD121" s="62"/>
      <c r="AE121" s="62"/>
      <c r="AF121" s="62"/>
      <c r="AG121" s="62"/>
      <c r="AH121" s="62"/>
      <c r="AI121" s="72" t="str">
        <f t="shared" si="12"/>
        <v>A</v>
      </c>
      <c r="AJ121" s="62"/>
      <c r="AK121" s="62"/>
      <c r="AL121" s="62"/>
      <c r="AM121" s="62"/>
      <c r="AN121" s="62"/>
      <c r="AO121" s="72" t="str">
        <f t="shared" si="13"/>
        <v>A</v>
      </c>
      <c r="AP121" s="62"/>
      <c r="AQ121" s="62"/>
      <c r="AR121" s="62"/>
      <c r="AS121" s="62"/>
      <c r="AT121" s="62"/>
      <c r="AU121" s="72" t="str">
        <f t="shared" si="14"/>
        <v>A</v>
      </c>
      <c r="AV121" s="62"/>
      <c r="AW121" s="62"/>
      <c r="AX121" s="62">
        <v>5</v>
      </c>
      <c r="AY121" s="62">
        <v>2</v>
      </c>
      <c r="AZ121" s="62">
        <v>2</v>
      </c>
      <c r="BA121" s="72">
        <f t="shared" si="15"/>
        <v>3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0</v>
      </c>
      <c r="M122" s="62"/>
      <c r="N122" s="62">
        <v>0</v>
      </c>
      <c r="O122" s="62">
        <v>0</v>
      </c>
      <c r="P122" s="62"/>
      <c r="Q122" s="72">
        <f t="shared" si="9"/>
        <v>0</v>
      </c>
      <c r="R122" s="7"/>
      <c r="S122" s="7"/>
      <c r="T122" s="7"/>
      <c r="U122" s="7"/>
      <c r="V122" s="7"/>
      <c r="W122" s="72" t="str">
        <f t="shared" si="10"/>
        <v>A</v>
      </c>
      <c r="X122" s="7"/>
      <c r="Y122" s="7"/>
      <c r="Z122" s="7"/>
      <c r="AA122" s="7"/>
      <c r="AB122" s="7"/>
      <c r="AC122" s="72" t="str">
        <f t="shared" si="11"/>
        <v>A</v>
      </c>
      <c r="AD122" s="7"/>
      <c r="AE122" s="7"/>
      <c r="AF122" s="7"/>
      <c r="AG122" s="7"/>
      <c r="AH122" s="7"/>
      <c r="AI122" s="72" t="str">
        <f t="shared" si="12"/>
        <v>A</v>
      </c>
      <c r="AJ122" s="7"/>
      <c r="AK122" s="7"/>
      <c r="AL122" s="7"/>
      <c r="AM122" s="7"/>
      <c r="AN122" s="7"/>
      <c r="AO122" s="72" t="str">
        <f t="shared" si="13"/>
        <v>A</v>
      </c>
      <c r="AP122" s="7"/>
      <c r="AQ122" s="7"/>
      <c r="AR122" s="7"/>
      <c r="AS122" s="7"/>
      <c r="AT122" s="7"/>
      <c r="AU122" s="72" t="str">
        <f t="shared" si="14"/>
        <v>A</v>
      </c>
      <c r="AV122" s="7"/>
      <c r="AW122" s="7"/>
      <c r="AX122" s="62">
        <v>0</v>
      </c>
      <c r="AY122" s="62">
        <v>0</v>
      </c>
      <c r="AZ122" s="62">
        <v>0</v>
      </c>
      <c r="BA122" s="72">
        <f t="shared" si="15"/>
        <v>0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3</v>
      </c>
      <c r="M123" s="62"/>
      <c r="N123" s="62">
        <v>3</v>
      </c>
      <c r="O123" s="62">
        <v>4</v>
      </c>
      <c r="P123" s="62"/>
      <c r="Q123" s="72">
        <f t="shared" si="9"/>
        <v>3.3333333333333335</v>
      </c>
      <c r="R123" s="62"/>
      <c r="S123" s="62"/>
      <c r="T123" s="62"/>
      <c r="U123" s="62"/>
      <c r="V123" s="62"/>
      <c r="W123" s="72" t="str">
        <f t="shared" si="10"/>
        <v>A</v>
      </c>
      <c r="X123" s="62"/>
      <c r="Y123" s="62"/>
      <c r="Z123" s="62"/>
      <c r="AA123" s="62"/>
      <c r="AB123" s="62"/>
      <c r="AC123" s="72" t="str">
        <f t="shared" si="11"/>
        <v>A</v>
      </c>
      <c r="AD123" s="62"/>
      <c r="AE123" s="62"/>
      <c r="AF123" s="62"/>
      <c r="AG123" s="62"/>
      <c r="AH123" s="62"/>
      <c r="AI123" s="72" t="str">
        <f t="shared" si="12"/>
        <v>A</v>
      </c>
      <c r="AJ123" s="62"/>
      <c r="AK123" s="62"/>
      <c r="AL123" s="62"/>
      <c r="AM123" s="62"/>
      <c r="AN123" s="62"/>
      <c r="AO123" s="72" t="str">
        <f t="shared" si="13"/>
        <v>A</v>
      </c>
      <c r="AP123" s="62"/>
      <c r="AQ123" s="62"/>
      <c r="AR123" s="62"/>
      <c r="AS123" s="62"/>
      <c r="AT123" s="62"/>
      <c r="AU123" s="72" t="str">
        <f t="shared" si="14"/>
        <v>A</v>
      </c>
      <c r="AV123" s="62"/>
      <c r="AW123" s="62"/>
      <c r="AX123" s="62">
        <v>5</v>
      </c>
      <c r="AY123" s="62">
        <v>2</v>
      </c>
      <c r="AZ123" s="62">
        <v>3</v>
      </c>
      <c r="BA123" s="72">
        <f t="shared" si="15"/>
        <v>3.3333333333333335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4</v>
      </c>
      <c r="M124" s="62"/>
      <c r="N124" s="62">
        <v>4</v>
      </c>
      <c r="O124" s="62">
        <v>3</v>
      </c>
      <c r="P124" s="62"/>
      <c r="Q124" s="72">
        <f t="shared" si="9"/>
        <v>3.6666666666666665</v>
      </c>
      <c r="R124" s="7"/>
      <c r="S124" s="7"/>
      <c r="T124" s="7"/>
      <c r="U124" s="7"/>
      <c r="V124" s="7"/>
      <c r="W124" s="72" t="str">
        <f t="shared" si="10"/>
        <v>A</v>
      </c>
      <c r="X124" s="7"/>
      <c r="Y124" s="7"/>
      <c r="Z124" s="7"/>
      <c r="AA124" s="7"/>
      <c r="AB124" s="7"/>
      <c r="AC124" s="72" t="str">
        <f t="shared" si="11"/>
        <v>A</v>
      </c>
      <c r="AD124" s="7"/>
      <c r="AE124" s="7"/>
      <c r="AF124" s="7"/>
      <c r="AG124" s="7"/>
      <c r="AH124" s="7"/>
      <c r="AI124" s="72" t="str">
        <f t="shared" si="12"/>
        <v>A</v>
      </c>
      <c r="AJ124" s="7"/>
      <c r="AK124" s="7"/>
      <c r="AL124" s="7"/>
      <c r="AM124" s="7"/>
      <c r="AN124" s="7"/>
      <c r="AO124" s="72" t="str">
        <f t="shared" si="13"/>
        <v>A</v>
      </c>
      <c r="AP124" s="7"/>
      <c r="AQ124" s="7"/>
      <c r="AR124" s="7"/>
      <c r="AS124" s="7"/>
      <c r="AT124" s="7"/>
      <c r="AU124" s="72" t="str">
        <f t="shared" si="14"/>
        <v>A</v>
      </c>
      <c r="AV124" s="7"/>
      <c r="AW124" s="7"/>
      <c r="AX124" s="62">
        <v>5</v>
      </c>
      <c r="AY124" s="62">
        <v>2</v>
      </c>
      <c r="AZ124" s="62">
        <v>4</v>
      </c>
      <c r="BA124" s="72">
        <f t="shared" si="15"/>
        <v>3.6666666666666665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2</v>
      </c>
      <c r="M125" s="62"/>
      <c r="N125" s="62">
        <v>2</v>
      </c>
      <c r="O125" s="62">
        <v>2</v>
      </c>
      <c r="P125" s="62"/>
      <c r="Q125" s="72">
        <f t="shared" si="9"/>
        <v>2</v>
      </c>
      <c r="R125" s="62"/>
      <c r="S125" s="62"/>
      <c r="T125" s="62"/>
      <c r="U125" s="62"/>
      <c r="V125" s="62"/>
      <c r="W125" s="72" t="str">
        <f t="shared" si="10"/>
        <v>A</v>
      </c>
      <c r="X125" s="62"/>
      <c r="Y125" s="62"/>
      <c r="Z125" s="62"/>
      <c r="AA125" s="62"/>
      <c r="AB125" s="62"/>
      <c r="AC125" s="72" t="str">
        <f t="shared" si="11"/>
        <v>A</v>
      </c>
      <c r="AD125" s="62"/>
      <c r="AE125" s="62"/>
      <c r="AF125" s="62"/>
      <c r="AG125" s="62"/>
      <c r="AH125" s="62"/>
      <c r="AI125" s="72" t="str">
        <f t="shared" si="12"/>
        <v>A</v>
      </c>
      <c r="AJ125" s="62"/>
      <c r="AK125" s="62"/>
      <c r="AL125" s="62"/>
      <c r="AM125" s="62"/>
      <c r="AN125" s="62"/>
      <c r="AO125" s="72" t="str">
        <f t="shared" si="13"/>
        <v>A</v>
      </c>
      <c r="AP125" s="62"/>
      <c r="AQ125" s="62"/>
      <c r="AR125" s="62"/>
      <c r="AS125" s="62"/>
      <c r="AT125" s="62"/>
      <c r="AU125" s="72" t="str">
        <f t="shared" si="14"/>
        <v>A</v>
      </c>
      <c r="AV125" s="62"/>
      <c r="AW125" s="62"/>
      <c r="AX125" s="62">
        <v>2</v>
      </c>
      <c r="AY125" s="62">
        <v>2</v>
      </c>
      <c r="AZ125" s="62">
        <v>2</v>
      </c>
      <c r="BA125" s="72">
        <f t="shared" si="15"/>
        <v>2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4</v>
      </c>
      <c r="M126" s="62"/>
      <c r="N126" s="62">
        <v>4</v>
      </c>
      <c r="O126" s="62">
        <v>4</v>
      </c>
      <c r="P126" s="62"/>
      <c r="Q126" s="72">
        <f t="shared" si="9"/>
        <v>4</v>
      </c>
      <c r="R126" s="7"/>
      <c r="S126" s="7"/>
      <c r="T126" s="7"/>
      <c r="U126" s="7"/>
      <c r="V126" s="7"/>
      <c r="W126" s="72" t="str">
        <f t="shared" si="10"/>
        <v>A</v>
      </c>
      <c r="X126" s="7"/>
      <c r="Y126" s="7"/>
      <c r="Z126" s="7"/>
      <c r="AA126" s="7"/>
      <c r="AB126" s="7"/>
      <c r="AC126" s="72" t="str">
        <f t="shared" si="11"/>
        <v>A</v>
      </c>
      <c r="AD126" s="7"/>
      <c r="AE126" s="7"/>
      <c r="AF126" s="7"/>
      <c r="AG126" s="7"/>
      <c r="AH126" s="7"/>
      <c r="AI126" s="72" t="str">
        <f t="shared" si="12"/>
        <v>A</v>
      </c>
      <c r="AJ126" s="7"/>
      <c r="AK126" s="7"/>
      <c r="AL126" s="7"/>
      <c r="AM126" s="7"/>
      <c r="AN126" s="7"/>
      <c r="AO126" s="72" t="str">
        <f t="shared" si="13"/>
        <v>A</v>
      </c>
      <c r="AP126" s="7"/>
      <c r="AQ126" s="7"/>
      <c r="AR126" s="7"/>
      <c r="AS126" s="7"/>
      <c r="AT126" s="7"/>
      <c r="AU126" s="72" t="str">
        <f t="shared" si="14"/>
        <v>A</v>
      </c>
      <c r="AV126" s="7"/>
      <c r="AW126" s="7"/>
      <c r="AX126" s="62">
        <v>5</v>
      </c>
      <c r="AY126" s="62">
        <v>0</v>
      </c>
      <c r="AZ126" s="62">
        <v>5</v>
      </c>
      <c r="BA126" s="72">
        <f t="shared" si="15"/>
        <v>3.3333333333333335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4</v>
      </c>
      <c r="M127" s="62"/>
      <c r="N127" s="62">
        <v>4</v>
      </c>
      <c r="O127" s="62">
        <v>4</v>
      </c>
      <c r="P127" s="62"/>
      <c r="Q127" s="72">
        <f t="shared" si="9"/>
        <v>4</v>
      </c>
      <c r="R127" s="62"/>
      <c r="S127" s="62"/>
      <c r="T127" s="62"/>
      <c r="U127" s="62"/>
      <c r="V127" s="62"/>
      <c r="W127" s="72" t="str">
        <f t="shared" si="10"/>
        <v>A</v>
      </c>
      <c r="X127" s="62"/>
      <c r="Y127" s="62"/>
      <c r="Z127" s="62"/>
      <c r="AA127" s="62"/>
      <c r="AB127" s="62"/>
      <c r="AC127" s="72" t="str">
        <f t="shared" si="11"/>
        <v>A</v>
      </c>
      <c r="AD127" s="62"/>
      <c r="AE127" s="62"/>
      <c r="AF127" s="62"/>
      <c r="AG127" s="62"/>
      <c r="AH127" s="62"/>
      <c r="AI127" s="72" t="str">
        <f t="shared" si="12"/>
        <v>A</v>
      </c>
      <c r="AJ127" s="62"/>
      <c r="AK127" s="62"/>
      <c r="AL127" s="62"/>
      <c r="AM127" s="62"/>
      <c r="AN127" s="62"/>
      <c r="AO127" s="72" t="str">
        <f t="shared" si="13"/>
        <v>A</v>
      </c>
      <c r="AP127" s="62"/>
      <c r="AQ127" s="62"/>
      <c r="AR127" s="62"/>
      <c r="AS127" s="62"/>
      <c r="AT127" s="62"/>
      <c r="AU127" s="72" t="str">
        <f t="shared" si="14"/>
        <v>A</v>
      </c>
      <c r="AV127" s="62"/>
      <c r="AW127" s="62"/>
      <c r="AX127" s="62">
        <v>5</v>
      </c>
      <c r="AY127" s="62">
        <v>0</v>
      </c>
      <c r="AZ127" s="62">
        <v>4</v>
      </c>
      <c r="BA127" s="72">
        <f t="shared" si="15"/>
        <v>3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3</v>
      </c>
      <c r="M128" s="62"/>
      <c r="N128" s="62">
        <v>4</v>
      </c>
      <c r="O128" s="62">
        <v>4</v>
      </c>
      <c r="P128" s="62"/>
      <c r="Q128" s="72">
        <f t="shared" si="9"/>
        <v>3.6666666666666665</v>
      </c>
      <c r="R128" s="7"/>
      <c r="S128" s="7"/>
      <c r="T128" s="7"/>
      <c r="U128" s="7"/>
      <c r="V128" s="7"/>
      <c r="W128" s="72" t="str">
        <f t="shared" si="10"/>
        <v>A</v>
      </c>
      <c r="X128" s="7"/>
      <c r="Y128" s="7"/>
      <c r="Z128" s="7"/>
      <c r="AA128" s="7"/>
      <c r="AB128" s="7"/>
      <c r="AC128" s="72" t="str">
        <f t="shared" si="11"/>
        <v>A</v>
      </c>
      <c r="AD128" s="7"/>
      <c r="AE128" s="7"/>
      <c r="AF128" s="7"/>
      <c r="AG128" s="7"/>
      <c r="AH128" s="7"/>
      <c r="AI128" s="72" t="str">
        <f t="shared" si="12"/>
        <v>A</v>
      </c>
      <c r="AJ128" s="7"/>
      <c r="AK128" s="7"/>
      <c r="AL128" s="7"/>
      <c r="AM128" s="7"/>
      <c r="AN128" s="7"/>
      <c r="AO128" s="72" t="str">
        <f t="shared" si="13"/>
        <v>A</v>
      </c>
      <c r="AP128" s="7"/>
      <c r="AQ128" s="7"/>
      <c r="AR128" s="7"/>
      <c r="AS128" s="7"/>
      <c r="AT128" s="7"/>
      <c r="AU128" s="72" t="str">
        <f t="shared" si="14"/>
        <v>A</v>
      </c>
      <c r="AV128" s="7"/>
      <c r="AW128" s="7"/>
      <c r="AX128" s="62">
        <v>5</v>
      </c>
      <c r="AY128" s="62">
        <v>0</v>
      </c>
      <c r="AZ128" s="62">
        <v>5</v>
      </c>
      <c r="BA128" s="72">
        <f t="shared" si="15"/>
        <v>3.3333333333333335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3</v>
      </c>
      <c r="M129" s="62"/>
      <c r="N129" s="62">
        <v>3</v>
      </c>
      <c r="O129" s="62">
        <v>3</v>
      </c>
      <c r="P129" s="62"/>
      <c r="Q129" s="72">
        <f t="shared" si="9"/>
        <v>3</v>
      </c>
      <c r="R129" s="62"/>
      <c r="S129" s="62"/>
      <c r="T129" s="62"/>
      <c r="U129" s="62"/>
      <c r="V129" s="62"/>
      <c r="W129" s="72" t="str">
        <f t="shared" si="10"/>
        <v>A</v>
      </c>
      <c r="X129" s="62"/>
      <c r="Y129" s="62"/>
      <c r="Z129" s="62"/>
      <c r="AA129" s="62"/>
      <c r="AB129" s="62"/>
      <c r="AC129" s="72" t="str">
        <f t="shared" si="11"/>
        <v>A</v>
      </c>
      <c r="AD129" s="62"/>
      <c r="AE129" s="62"/>
      <c r="AF129" s="62"/>
      <c r="AG129" s="62"/>
      <c r="AH129" s="62"/>
      <c r="AI129" s="72" t="str">
        <f t="shared" si="12"/>
        <v>A</v>
      </c>
      <c r="AJ129" s="62"/>
      <c r="AK129" s="62"/>
      <c r="AL129" s="62"/>
      <c r="AM129" s="62"/>
      <c r="AN129" s="62"/>
      <c r="AO129" s="72" t="str">
        <f t="shared" si="13"/>
        <v>A</v>
      </c>
      <c r="AP129" s="62"/>
      <c r="AQ129" s="62"/>
      <c r="AR129" s="62"/>
      <c r="AS129" s="62"/>
      <c r="AT129" s="62"/>
      <c r="AU129" s="72" t="str">
        <f t="shared" si="14"/>
        <v>A</v>
      </c>
      <c r="AV129" s="62"/>
      <c r="AW129" s="62"/>
      <c r="AX129" s="62">
        <v>5</v>
      </c>
      <c r="AY129" s="62">
        <v>2</v>
      </c>
      <c r="AZ129" s="62">
        <v>4</v>
      </c>
      <c r="BA129" s="72">
        <f t="shared" si="15"/>
        <v>3.6666666666666665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2</v>
      </c>
      <c r="M130" s="62"/>
      <c r="N130" s="62">
        <v>2</v>
      </c>
      <c r="O130" s="62">
        <v>2</v>
      </c>
      <c r="P130" s="62"/>
      <c r="Q130" s="72">
        <f t="shared" si="9"/>
        <v>2</v>
      </c>
      <c r="R130" s="7"/>
      <c r="S130" s="7"/>
      <c r="T130" s="7"/>
      <c r="U130" s="7"/>
      <c r="V130" s="7"/>
      <c r="W130" s="72" t="str">
        <f t="shared" si="10"/>
        <v>A</v>
      </c>
      <c r="X130" s="7"/>
      <c r="Y130" s="7"/>
      <c r="Z130" s="7"/>
      <c r="AA130" s="7"/>
      <c r="AB130" s="7"/>
      <c r="AC130" s="72" t="str">
        <f t="shared" si="11"/>
        <v>A</v>
      </c>
      <c r="AD130" s="7"/>
      <c r="AE130" s="7"/>
      <c r="AF130" s="7"/>
      <c r="AG130" s="7"/>
      <c r="AH130" s="7"/>
      <c r="AI130" s="72" t="str">
        <f t="shared" si="12"/>
        <v>A</v>
      </c>
      <c r="AJ130" s="7"/>
      <c r="AK130" s="7"/>
      <c r="AL130" s="7"/>
      <c r="AM130" s="7"/>
      <c r="AN130" s="7"/>
      <c r="AO130" s="72" t="str">
        <f t="shared" si="13"/>
        <v>A</v>
      </c>
      <c r="AP130" s="7"/>
      <c r="AQ130" s="7"/>
      <c r="AR130" s="7"/>
      <c r="AS130" s="7"/>
      <c r="AT130" s="7"/>
      <c r="AU130" s="72" t="str">
        <f t="shared" si="14"/>
        <v>A</v>
      </c>
      <c r="AV130" s="7"/>
      <c r="AW130" s="7"/>
      <c r="AX130" s="62">
        <v>2</v>
      </c>
      <c r="AY130" s="62">
        <v>2</v>
      </c>
      <c r="AZ130" s="62">
        <v>2</v>
      </c>
      <c r="BA130" s="72">
        <f t="shared" si="15"/>
        <v>2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0</v>
      </c>
      <c r="M131" s="62"/>
      <c r="N131" s="62">
        <v>0</v>
      </c>
      <c r="O131" s="62">
        <v>0</v>
      </c>
      <c r="P131" s="62"/>
      <c r="Q131" s="72">
        <f t="shared" si="9"/>
        <v>0</v>
      </c>
      <c r="R131" s="62"/>
      <c r="S131" s="62"/>
      <c r="T131" s="62"/>
      <c r="U131" s="62"/>
      <c r="V131" s="62"/>
      <c r="W131" s="72" t="str">
        <f t="shared" si="10"/>
        <v>A</v>
      </c>
      <c r="X131" s="62"/>
      <c r="Y131" s="62"/>
      <c r="Z131" s="62"/>
      <c r="AA131" s="62"/>
      <c r="AB131" s="62"/>
      <c r="AC131" s="72" t="str">
        <f t="shared" si="11"/>
        <v>A</v>
      </c>
      <c r="AD131" s="62"/>
      <c r="AE131" s="62"/>
      <c r="AF131" s="62"/>
      <c r="AG131" s="62"/>
      <c r="AH131" s="62"/>
      <c r="AI131" s="72" t="str">
        <f t="shared" si="12"/>
        <v>A</v>
      </c>
      <c r="AJ131" s="62"/>
      <c r="AK131" s="62"/>
      <c r="AL131" s="62"/>
      <c r="AM131" s="62"/>
      <c r="AN131" s="62"/>
      <c r="AO131" s="72" t="str">
        <f t="shared" si="13"/>
        <v>A</v>
      </c>
      <c r="AP131" s="62"/>
      <c r="AQ131" s="62"/>
      <c r="AR131" s="62"/>
      <c r="AS131" s="62"/>
      <c r="AT131" s="62"/>
      <c r="AU131" s="72" t="str">
        <f t="shared" si="14"/>
        <v>A</v>
      </c>
      <c r="AV131" s="62"/>
      <c r="AW131" s="62"/>
      <c r="AX131" s="62">
        <v>0</v>
      </c>
      <c r="AY131" s="62">
        <v>0</v>
      </c>
      <c r="AZ131" s="62">
        <v>0</v>
      </c>
      <c r="BA131" s="72">
        <f t="shared" si="15"/>
        <v>0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0</v>
      </c>
      <c r="M132" s="62"/>
      <c r="N132" s="62">
        <v>0</v>
      </c>
      <c r="O132" s="62">
        <v>0</v>
      </c>
      <c r="P132" s="62"/>
      <c r="Q132" s="72">
        <f t="shared" ref="Q132:Q195" si="17">IFERROR(AVERAGE(N132,L132,O132),"A")</f>
        <v>0</v>
      </c>
      <c r="R132" s="7"/>
      <c r="S132" s="7"/>
      <c r="T132" s="7"/>
      <c r="U132" s="7"/>
      <c r="V132" s="7"/>
      <c r="W132" s="72" t="str">
        <f t="shared" ref="W132:W195" si="18">IFERROR(AVERAGE(R132,S132,U132),"A")</f>
        <v>A</v>
      </c>
      <c r="X132" s="7"/>
      <c r="Y132" s="7"/>
      <c r="Z132" s="7"/>
      <c r="AA132" s="7"/>
      <c r="AB132" s="7"/>
      <c r="AC132" s="72" t="str">
        <f t="shared" ref="AC132:AC195" si="19">IFERROR(AVERAGE(Y132,X132),"A")</f>
        <v>A</v>
      </c>
      <c r="AD132" s="7"/>
      <c r="AE132" s="7"/>
      <c r="AF132" s="7"/>
      <c r="AG132" s="7"/>
      <c r="AH132" s="7"/>
      <c r="AI132" s="72" t="str">
        <f t="shared" ref="AI132:AI195" si="20">IFERROR(AVERAGE(AF132,AD132),"A")</f>
        <v>A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7"/>
      <c r="AQ132" s="7"/>
      <c r="AR132" s="7"/>
      <c r="AS132" s="7"/>
      <c r="AT132" s="7"/>
      <c r="AU132" s="72" t="str">
        <f t="shared" ref="AU132:AU195" si="22">IFERROR(AVERAGE(AR132,AQ132,AP132),"A")</f>
        <v>A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0</v>
      </c>
      <c r="M133" s="62"/>
      <c r="N133" s="62">
        <v>0</v>
      </c>
      <c r="O133" s="62">
        <v>0</v>
      </c>
      <c r="P133" s="62"/>
      <c r="Q133" s="72">
        <f t="shared" si="17"/>
        <v>0</v>
      </c>
      <c r="R133" s="62"/>
      <c r="S133" s="62"/>
      <c r="T133" s="62"/>
      <c r="U133" s="62"/>
      <c r="V133" s="62"/>
      <c r="W133" s="72" t="str">
        <f t="shared" si="18"/>
        <v>A</v>
      </c>
      <c r="X133" s="62"/>
      <c r="Y133" s="62"/>
      <c r="Z133" s="62"/>
      <c r="AA133" s="62"/>
      <c r="AB133" s="62"/>
      <c r="AC133" s="72" t="str">
        <f t="shared" si="19"/>
        <v>A</v>
      </c>
      <c r="AD133" s="62"/>
      <c r="AE133" s="62"/>
      <c r="AF133" s="62"/>
      <c r="AG133" s="62"/>
      <c r="AH133" s="62"/>
      <c r="AI133" s="72" t="str">
        <f t="shared" si="20"/>
        <v>A</v>
      </c>
      <c r="AJ133" s="62"/>
      <c r="AK133" s="62"/>
      <c r="AL133" s="62"/>
      <c r="AM133" s="62"/>
      <c r="AN133" s="62"/>
      <c r="AO133" s="72" t="str">
        <f t="shared" si="21"/>
        <v>A</v>
      </c>
      <c r="AP133" s="62"/>
      <c r="AQ133" s="62"/>
      <c r="AR133" s="62"/>
      <c r="AS133" s="62"/>
      <c r="AT133" s="62"/>
      <c r="AU133" s="72" t="str">
        <f t="shared" si="22"/>
        <v>A</v>
      </c>
      <c r="AV133" s="62"/>
      <c r="AW133" s="62"/>
      <c r="AX133" s="62">
        <v>0</v>
      </c>
      <c r="AY133" s="62">
        <v>0</v>
      </c>
      <c r="AZ133" s="62">
        <v>0</v>
      </c>
      <c r="BA133" s="72">
        <f t="shared" si="23"/>
        <v>0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/>
      <c r="N134" s="62">
        <v>3</v>
      </c>
      <c r="O134" s="62">
        <v>3</v>
      </c>
      <c r="P134" s="62"/>
      <c r="Q134" s="72">
        <f t="shared" si="17"/>
        <v>3</v>
      </c>
      <c r="R134" s="7"/>
      <c r="S134" s="7"/>
      <c r="T134" s="7"/>
      <c r="U134" s="7"/>
      <c r="V134" s="7"/>
      <c r="W134" s="72" t="str">
        <f t="shared" si="18"/>
        <v>A</v>
      </c>
      <c r="X134" s="7"/>
      <c r="Y134" s="7"/>
      <c r="Z134" s="7"/>
      <c r="AA134" s="7"/>
      <c r="AB134" s="7"/>
      <c r="AC134" s="72" t="str">
        <f t="shared" si="19"/>
        <v>A</v>
      </c>
      <c r="AD134" s="7"/>
      <c r="AE134" s="7"/>
      <c r="AF134" s="7"/>
      <c r="AG134" s="7"/>
      <c r="AH134" s="7"/>
      <c r="AI134" s="72" t="str">
        <f t="shared" si="20"/>
        <v>A</v>
      </c>
      <c r="AJ134" s="7"/>
      <c r="AK134" s="7"/>
      <c r="AL134" s="7"/>
      <c r="AM134" s="7"/>
      <c r="AN134" s="7"/>
      <c r="AO134" s="72" t="str">
        <f t="shared" si="21"/>
        <v>A</v>
      </c>
      <c r="AP134" s="7"/>
      <c r="AQ134" s="7"/>
      <c r="AR134" s="7"/>
      <c r="AS134" s="7"/>
      <c r="AT134" s="7"/>
      <c r="AU134" s="72" t="str">
        <f t="shared" si="22"/>
        <v>A</v>
      </c>
      <c r="AV134" s="7"/>
      <c r="AW134" s="7"/>
      <c r="AX134" s="62">
        <v>5</v>
      </c>
      <c r="AY134" s="62">
        <v>0</v>
      </c>
      <c r="AZ134" s="62">
        <v>3</v>
      </c>
      <c r="BA134" s="72">
        <f t="shared" si="23"/>
        <v>2.6666666666666665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3</v>
      </c>
      <c r="M135" s="62"/>
      <c r="N135" s="62">
        <v>4</v>
      </c>
      <c r="O135" s="62">
        <v>4</v>
      </c>
      <c r="P135" s="62"/>
      <c r="Q135" s="72">
        <f t="shared" si="17"/>
        <v>3.6666666666666665</v>
      </c>
      <c r="R135" s="62"/>
      <c r="S135" s="62"/>
      <c r="T135" s="62"/>
      <c r="U135" s="62"/>
      <c r="V135" s="62"/>
      <c r="W135" s="72" t="str">
        <f t="shared" si="18"/>
        <v>A</v>
      </c>
      <c r="X135" s="62"/>
      <c r="Y135" s="62"/>
      <c r="Z135" s="62"/>
      <c r="AA135" s="62"/>
      <c r="AB135" s="62"/>
      <c r="AC135" s="72" t="str">
        <f t="shared" si="19"/>
        <v>A</v>
      </c>
      <c r="AD135" s="62"/>
      <c r="AE135" s="62"/>
      <c r="AF135" s="62"/>
      <c r="AG135" s="62"/>
      <c r="AH135" s="62"/>
      <c r="AI135" s="72" t="str">
        <f t="shared" si="20"/>
        <v>A</v>
      </c>
      <c r="AJ135" s="62"/>
      <c r="AK135" s="62"/>
      <c r="AL135" s="62"/>
      <c r="AM135" s="62"/>
      <c r="AN135" s="62"/>
      <c r="AO135" s="72" t="str">
        <f t="shared" si="21"/>
        <v>A</v>
      </c>
      <c r="AP135" s="62"/>
      <c r="AQ135" s="62"/>
      <c r="AR135" s="62"/>
      <c r="AS135" s="62"/>
      <c r="AT135" s="62"/>
      <c r="AU135" s="72" t="str">
        <f t="shared" si="22"/>
        <v>A</v>
      </c>
      <c r="AV135" s="62"/>
      <c r="AW135" s="62"/>
      <c r="AX135" s="62">
        <v>5</v>
      </c>
      <c r="AY135" s="62">
        <v>0</v>
      </c>
      <c r="AZ135" s="62">
        <v>4</v>
      </c>
      <c r="BA135" s="72">
        <f t="shared" si="23"/>
        <v>3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1</v>
      </c>
      <c r="M136" s="62"/>
      <c r="N136" s="62">
        <v>1</v>
      </c>
      <c r="O136" s="62">
        <v>1</v>
      </c>
      <c r="P136" s="62"/>
      <c r="Q136" s="72">
        <f t="shared" si="17"/>
        <v>1</v>
      </c>
      <c r="R136" s="7"/>
      <c r="S136" s="7"/>
      <c r="T136" s="7"/>
      <c r="U136" s="7"/>
      <c r="V136" s="7"/>
      <c r="W136" s="72" t="str">
        <f t="shared" si="18"/>
        <v>A</v>
      </c>
      <c r="X136" s="7"/>
      <c r="Y136" s="7"/>
      <c r="Z136" s="7"/>
      <c r="AA136" s="7"/>
      <c r="AB136" s="7"/>
      <c r="AC136" s="72" t="str">
        <f t="shared" si="19"/>
        <v>A</v>
      </c>
      <c r="AD136" s="7"/>
      <c r="AE136" s="7"/>
      <c r="AF136" s="7"/>
      <c r="AG136" s="7"/>
      <c r="AH136" s="7"/>
      <c r="AI136" s="72" t="str">
        <f t="shared" si="20"/>
        <v>A</v>
      </c>
      <c r="AJ136" s="7"/>
      <c r="AK136" s="7"/>
      <c r="AL136" s="7"/>
      <c r="AM136" s="7"/>
      <c r="AN136" s="7"/>
      <c r="AO136" s="72" t="str">
        <f t="shared" si="21"/>
        <v>A</v>
      </c>
      <c r="AP136" s="7"/>
      <c r="AQ136" s="7"/>
      <c r="AR136" s="7"/>
      <c r="AS136" s="7"/>
      <c r="AT136" s="7"/>
      <c r="AU136" s="72" t="str">
        <f t="shared" si="22"/>
        <v>A</v>
      </c>
      <c r="AV136" s="7"/>
      <c r="AW136" s="7"/>
      <c r="AX136" s="62">
        <v>5</v>
      </c>
      <c r="AY136" s="62">
        <v>0</v>
      </c>
      <c r="AZ136" s="62">
        <v>1</v>
      </c>
      <c r="BA136" s="72">
        <f t="shared" si="23"/>
        <v>2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4</v>
      </c>
      <c r="M137" s="62"/>
      <c r="N137" s="62">
        <v>4</v>
      </c>
      <c r="O137" s="62">
        <v>4</v>
      </c>
      <c r="P137" s="62"/>
      <c r="Q137" s="72">
        <f t="shared" si="17"/>
        <v>4</v>
      </c>
      <c r="R137" s="62"/>
      <c r="S137" s="62"/>
      <c r="T137" s="62"/>
      <c r="U137" s="62"/>
      <c r="V137" s="62"/>
      <c r="W137" s="72" t="str">
        <f t="shared" si="18"/>
        <v>A</v>
      </c>
      <c r="X137" s="62"/>
      <c r="Y137" s="62"/>
      <c r="Z137" s="62"/>
      <c r="AA137" s="62"/>
      <c r="AB137" s="62"/>
      <c r="AC137" s="72" t="str">
        <f t="shared" si="19"/>
        <v>A</v>
      </c>
      <c r="AD137" s="62"/>
      <c r="AE137" s="62"/>
      <c r="AF137" s="62"/>
      <c r="AG137" s="62"/>
      <c r="AH137" s="62"/>
      <c r="AI137" s="72" t="str">
        <f t="shared" si="20"/>
        <v>A</v>
      </c>
      <c r="AJ137" s="62"/>
      <c r="AK137" s="62"/>
      <c r="AL137" s="62"/>
      <c r="AM137" s="62"/>
      <c r="AN137" s="62"/>
      <c r="AO137" s="72" t="str">
        <f t="shared" si="21"/>
        <v>A</v>
      </c>
      <c r="AP137" s="62"/>
      <c r="AQ137" s="62"/>
      <c r="AR137" s="62"/>
      <c r="AS137" s="62"/>
      <c r="AT137" s="62"/>
      <c r="AU137" s="72" t="str">
        <f t="shared" si="22"/>
        <v>A</v>
      </c>
      <c r="AV137" s="62"/>
      <c r="AW137" s="62"/>
      <c r="AX137" s="62">
        <v>5</v>
      </c>
      <c r="AY137" s="62">
        <v>2</v>
      </c>
      <c r="AZ137" s="62">
        <v>4</v>
      </c>
      <c r="BA137" s="72">
        <f t="shared" si="23"/>
        <v>3.6666666666666665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3</v>
      </c>
      <c r="M138" s="62"/>
      <c r="N138" s="62">
        <v>4</v>
      </c>
      <c r="O138" s="62">
        <v>4</v>
      </c>
      <c r="P138" s="62"/>
      <c r="Q138" s="72">
        <f t="shared" si="17"/>
        <v>3.6666666666666665</v>
      </c>
      <c r="R138" s="7"/>
      <c r="S138" s="7"/>
      <c r="T138" s="7"/>
      <c r="U138" s="7"/>
      <c r="V138" s="7"/>
      <c r="W138" s="72" t="str">
        <f t="shared" si="18"/>
        <v>A</v>
      </c>
      <c r="X138" s="7"/>
      <c r="Y138" s="7"/>
      <c r="Z138" s="7"/>
      <c r="AA138" s="7"/>
      <c r="AB138" s="7"/>
      <c r="AC138" s="72" t="str">
        <f t="shared" si="19"/>
        <v>A</v>
      </c>
      <c r="AD138" s="7"/>
      <c r="AE138" s="7"/>
      <c r="AF138" s="7"/>
      <c r="AG138" s="7"/>
      <c r="AH138" s="7"/>
      <c r="AI138" s="72" t="str">
        <f t="shared" si="20"/>
        <v>A</v>
      </c>
      <c r="AJ138" s="7"/>
      <c r="AK138" s="7"/>
      <c r="AL138" s="7"/>
      <c r="AM138" s="7"/>
      <c r="AN138" s="7"/>
      <c r="AO138" s="72" t="str">
        <f t="shared" si="21"/>
        <v>A</v>
      </c>
      <c r="AP138" s="7"/>
      <c r="AQ138" s="7"/>
      <c r="AR138" s="7"/>
      <c r="AS138" s="7"/>
      <c r="AT138" s="7"/>
      <c r="AU138" s="72" t="str">
        <f t="shared" si="22"/>
        <v>A</v>
      </c>
      <c r="AV138" s="7"/>
      <c r="AW138" s="7"/>
      <c r="AX138" s="62">
        <v>5</v>
      </c>
      <c r="AY138" s="62">
        <v>2</v>
      </c>
      <c r="AZ138" s="62">
        <v>5</v>
      </c>
      <c r="BA138" s="72">
        <f t="shared" si="23"/>
        <v>4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3</v>
      </c>
      <c r="M139" s="62"/>
      <c r="N139" s="62">
        <v>3</v>
      </c>
      <c r="O139" s="62">
        <v>3</v>
      </c>
      <c r="P139" s="62"/>
      <c r="Q139" s="72">
        <f t="shared" si="17"/>
        <v>3</v>
      </c>
      <c r="R139" s="62"/>
      <c r="S139" s="62"/>
      <c r="T139" s="62"/>
      <c r="U139" s="62"/>
      <c r="V139" s="62"/>
      <c r="W139" s="72" t="str">
        <f t="shared" si="18"/>
        <v>A</v>
      </c>
      <c r="X139" s="62"/>
      <c r="Y139" s="62"/>
      <c r="Z139" s="62"/>
      <c r="AA139" s="62"/>
      <c r="AB139" s="62"/>
      <c r="AC139" s="72" t="str">
        <f t="shared" si="19"/>
        <v>A</v>
      </c>
      <c r="AD139" s="62"/>
      <c r="AE139" s="62"/>
      <c r="AF139" s="62"/>
      <c r="AG139" s="62"/>
      <c r="AH139" s="62"/>
      <c r="AI139" s="72" t="str">
        <f t="shared" si="20"/>
        <v>A</v>
      </c>
      <c r="AJ139" s="62"/>
      <c r="AK139" s="62"/>
      <c r="AL139" s="62"/>
      <c r="AM139" s="62"/>
      <c r="AN139" s="62"/>
      <c r="AO139" s="72" t="str">
        <f t="shared" si="21"/>
        <v>A</v>
      </c>
      <c r="AP139" s="62"/>
      <c r="AQ139" s="62"/>
      <c r="AR139" s="62"/>
      <c r="AS139" s="62"/>
      <c r="AT139" s="62"/>
      <c r="AU139" s="72" t="str">
        <f t="shared" si="22"/>
        <v>A</v>
      </c>
      <c r="AV139" s="62"/>
      <c r="AW139" s="62"/>
      <c r="AX139" s="62">
        <v>5</v>
      </c>
      <c r="AY139" s="62">
        <v>0</v>
      </c>
      <c r="AZ139" s="62">
        <v>3</v>
      </c>
      <c r="BA139" s="72">
        <f t="shared" si="23"/>
        <v>2.6666666666666665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2</v>
      </c>
      <c r="M140" s="62"/>
      <c r="N140" s="62">
        <v>3</v>
      </c>
      <c r="O140" s="62">
        <v>2</v>
      </c>
      <c r="P140" s="62"/>
      <c r="Q140" s="72">
        <f t="shared" si="17"/>
        <v>2.3333333333333335</v>
      </c>
      <c r="R140" s="7"/>
      <c r="S140" s="7"/>
      <c r="T140" s="7"/>
      <c r="U140" s="7"/>
      <c r="V140" s="7"/>
      <c r="W140" s="72" t="str">
        <f t="shared" si="18"/>
        <v>A</v>
      </c>
      <c r="X140" s="7"/>
      <c r="Y140" s="7"/>
      <c r="Z140" s="7"/>
      <c r="AA140" s="7"/>
      <c r="AB140" s="7"/>
      <c r="AC140" s="72" t="str">
        <f t="shared" si="19"/>
        <v>A</v>
      </c>
      <c r="AD140" s="7"/>
      <c r="AE140" s="7"/>
      <c r="AF140" s="7"/>
      <c r="AG140" s="7"/>
      <c r="AH140" s="7"/>
      <c r="AI140" s="72" t="str">
        <f t="shared" si="20"/>
        <v>A</v>
      </c>
      <c r="AJ140" s="7"/>
      <c r="AK140" s="7"/>
      <c r="AL140" s="7"/>
      <c r="AM140" s="7"/>
      <c r="AN140" s="7"/>
      <c r="AO140" s="72" t="str">
        <f t="shared" si="21"/>
        <v>A</v>
      </c>
      <c r="AP140" s="7"/>
      <c r="AQ140" s="7"/>
      <c r="AR140" s="7"/>
      <c r="AS140" s="7"/>
      <c r="AT140" s="7"/>
      <c r="AU140" s="72" t="str">
        <f t="shared" si="22"/>
        <v>A</v>
      </c>
      <c r="AV140" s="7"/>
      <c r="AW140" s="7"/>
      <c r="AX140" s="62">
        <v>5</v>
      </c>
      <c r="AY140" s="62">
        <v>0</v>
      </c>
      <c r="AZ140" s="62">
        <v>2</v>
      </c>
      <c r="BA140" s="72">
        <f t="shared" si="23"/>
        <v>2.3333333333333335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4</v>
      </c>
      <c r="M141" s="62"/>
      <c r="N141" s="62">
        <v>4</v>
      </c>
      <c r="O141" s="62">
        <v>4</v>
      </c>
      <c r="P141" s="62"/>
      <c r="Q141" s="72">
        <f t="shared" si="17"/>
        <v>4</v>
      </c>
      <c r="R141" s="62"/>
      <c r="S141" s="62"/>
      <c r="T141" s="62"/>
      <c r="U141" s="62"/>
      <c r="V141" s="62"/>
      <c r="W141" s="72" t="str">
        <f t="shared" si="18"/>
        <v>A</v>
      </c>
      <c r="X141" s="62"/>
      <c r="Y141" s="62"/>
      <c r="Z141" s="62"/>
      <c r="AA141" s="62"/>
      <c r="AB141" s="62"/>
      <c r="AC141" s="72" t="str">
        <f t="shared" si="19"/>
        <v>A</v>
      </c>
      <c r="AD141" s="62"/>
      <c r="AE141" s="62"/>
      <c r="AF141" s="62"/>
      <c r="AG141" s="62"/>
      <c r="AH141" s="62"/>
      <c r="AI141" s="72" t="str">
        <f t="shared" si="20"/>
        <v>A</v>
      </c>
      <c r="AJ141" s="62"/>
      <c r="AK141" s="62"/>
      <c r="AL141" s="62"/>
      <c r="AM141" s="62"/>
      <c r="AN141" s="62"/>
      <c r="AO141" s="72" t="str">
        <f t="shared" si="21"/>
        <v>A</v>
      </c>
      <c r="AP141" s="62"/>
      <c r="AQ141" s="62"/>
      <c r="AR141" s="62"/>
      <c r="AS141" s="62"/>
      <c r="AT141" s="62"/>
      <c r="AU141" s="72" t="str">
        <f t="shared" si="22"/>
        <v>A</v>
      </c>
      <c r="AV141" s="62"/>
      <c r="AW141" s="62"/>
      <c r="AX141" s="62">
        <v>5</v>
      </c>
      <c r="AY141" s="62">
        <v>0</v>
      </c>
      <c r="AZ141" s="62">
        <v>5</v>
      </c>
      <c r="BA141" s="72">
        <f t="shared" si="23"/>
        <v>3.3333333333333335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2</v>
      </c>
      <c r="M142" s="62"/>
      <c r="N142" s="62">
        <v>2</v>
      </c>
      <c r="O142" s="62">
        <v>2</v>
      </c>
      <c r="P142" s="62"/>
      <c r="Q142" s="72">
        <f t="shared" si="17"/>
        <v>2</v>
      </c>
      <c r="R142" s="7"/>
      <c r="S142" s="7"/>
      <c r="T142" s="7"/>
      <c r="U142" s="7"/>
      <c r="V142" s="7"/>
      <c r="W142" s="72" t="str">
        <f t="shared" si="18"/>
        <v>A</v>
      </c>
      <c r="X142" s="7"/>
      <c r="Y142" s="7"/>
      <c r="Z142" s="7"/>
      <c r="AA142" s="7"/>
      <c r="AB142" s="7"/>
      <c r="AC142" s="72" t="str">
        <f t="shared" si="19"/>
        <v>A</v>
      </c>
      <c r="AD142" s="7"/>
      <c r="AE142" s="7"/>
      <c r="AF142" s="7"/>
      <c r="AG142" s="7"/>
      <c r="AH142" s="7"/>
      <c r="AI142" s="72" t="str">
        <f t="shared" si="20"/>
        <v>A</v>
      </c>
      <c r="AJ142" s="7"/>
      <c r="AK142" s="7"/>
      <c r="AL142" s="7"/>
      <c r="AM142" s="7"/>
      <c r="AN142" s="7"/>
      <c r="AO142" s="72" t="str">
        <f t="shared" si="21"/>
        <v>A</v>
      </c>
      <c r="AP142" s="7"/>
      <c r="AQ142" s="7"/>
      <c r="AR142" s="7"/>
      <c r="AS142" s="7"/>
      <c r="AT142" s="7"/>
      <c r="AU142" s="72" t="str">
        <f t="shared" si="22"/>
        <v>A</v>
      </c>
      <c r="AV142" s="7"/>
      <c r="AW142" s="7"/>
      <c r="AX142" s="62">
        <v>2</v>
      </c>
      <c r="AY142" s="62">
        <v>2</v>
      </c>
      <c r="AZ142" s="62">
        <v>2</v>
      </c>
      <c r="BA142" s="72">
        <f t="shared" si="23"/>
        <v>2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3</v>
      </c>
      <c r="M143" s="62"/>
      <c r="N143" s="62">
        <v>4</v>
      </c>
      <c r="O143" s="62">
        <v>4</v>
      </c>
      <c r="P143" s="62"/>
      <c r="Q143" s="72">
        <f t="shared" si="17"/>
        <v>3.6666666666666665</v>
      </c>
      <c r="R143" s="62"/>
      <c r="S143" s="62"/>
      <c r="T143" s="62"/>
      <c r="U143" s="62"/>
      <c r="V143" s="62"/>
      <c r="W143" s="72" t="str">
        <f t="shared" si="18"/>
        <v>A</v>
      </c>
      <c r="X143" s="62"/>
      <c r="Y143" s="62"/>
      <c r="Z143" s="62"/>
      <c r="AA143" s="62"/>
      <c r="AB143" s="62"/>
      <c r="AC143" s="72" t="str">
        <f t="shared" si="19"/>
        <v>A</v>
      </c>
      <c r="AD143" s="62"/>
      <c r="AE143" s="62"/>
      <c r="AF143" s="62"/>
      <c r="AG143" s="62"/>
      <c r="AH143" s="62"/>
      <c r="AI143" s="72" t="str">
        <f t="shared" si="20"/>
        <v>A</v>
      </c>
      <c r="AJ143" s="62"/>
      <c r="AK143" s="62"/>
      <c r="AL143" s="62"/>
      <c r="AM143" s="62"/>
      <c r="AN143" s="62"/>
      <c r="AO143" s="72" t="str">
        <f t="shared" si="21"/>
        <v>A</v>
      </c>
      <c r="AP143" s="62"/>
      <c r="AQ143" s="62"/>
      <c r="AR143" s="62"/>
      <c r="AS143" s="62"/>
      <c r="AT143" s="62"/>
      <c r="AU143" s="72" t="str">
        <f t="shared" si="22"/>
        <v>A</v>
      </c>
      <c r="AV143" s="62"/>
      <c r="AW143" s="62"/>
      <c r="AX143" s="62">
        <v>5</v>
      </c>
      <c r="AY143" s="62">
        <v>0</v>
      </c>
      <c r="AZ143" s="62">
        <v>4</v>
      </c>
      <c r="BA143" s="72">
        <f t="shared" si="23"/>
        <v>3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3</v>
      </c>
      <c r="M144" s="62"/>
      <c r="N144" s="62">
        <v>3</v>
      </c>
      <c r="O144" s="62">
        <v>4</v>
      </c>
      <c r="P144" s="62"/>
      <c r="Q144" s="72">
        <f t="shared" si="17"/>
        <v>3.3333333333333335</v>
      </c>
      <c r="R144" s="7"/>
      <c r="S144" s="7"/>
      <c r="T144" s="7"/>
      <c r="U144" s="7"/>
      <c r="V144" s="7"/>
      <c r="W144" s="72" t="str">
        <f t="shared" si="18"/>
        <v>A</v>
      </c>
      <c r="X144" s="7"/>
      <c r="Y144" s="7"/>
      <c r="Z144" s="7"/>
      <c r="AA144" s="7"/>
      <c r="AB144" s="7"/>
      <c r="AC144" s="72" t="str">
        <f t="shared" si="19"/>
        <v>A</v>
      </c>
      <c r="AD144" s="7"/>
      <c r="AE144" s="7"/>
      <c r="AF144" s="7"/>
      <c r="AG144" s="7"/>
      <c r="AH144" s="7"/>
      <c r="AI144" s="72" t="str">
        <f t="shared" si="20"/>
        <v>A</v>
      </c>
      <c r="AJ144" s="7"/>
      <c r="AK144" s="7"/>
      <c r="AL144" s="7"/>
      <c r="AM144" s="7"/>
      <c r="AN144" s="7"/>
      <c r="AO144" s="72" t="str">
        <f t="shared" si="21"/>
        <v>A</v>
      </c>
      <c r="AP144" s="7"/>
      <c r="AQ144" s="7"/>
      <c r="AR144" s="7"/>
      <c r="AS144" s="7"/>
      <c r="AT144" s="7"/>
      <c r="AU144" s="72" t="str">
        <f t="shared" si="22"/>
        <v>A</v>
      </c>
      <c r="AV144" s="7"/>
      <c r="AW144" s="7"/>
      <c r="AX144" s="62">
        <v>5</v>
      </c>
      <c r="AY144" s="62">
        <v>0</v>
      </c>
      <c r="AZ144" s="62">
        <v>3</v>
      </c>
      <c r="BA144" s="72">
        <f t="shared" si="23"/>
        <v>2.6666666666666665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3</v>
      </c>
      <c r="M145" s="62"/>
      <c r="N145" s="62">
        <v>3</v>
      </c>
      <c r="O145" s="62">
        <v>2</v>
      </c>
      <c r="P145" s="62"/>
      <c r="Q145" s="72">
        <f t="shared" si="17"/>
        <v>2.6666666666666665</v>
      </c>
      <c r="R145" s="62"/>
      <c r="S145" s="62"/>
      <c r="T145" s="62"/>
      <c r="U145" s="62"/>
      <c r="V145" s="62"/>
      <c r="W145" s="72" t="str">
        <f t="shared" si="18"/>
        <v>A</v>
      </c>
      <c r="X145" s="62"/>
      <c r="Y145" s="62"/>
      <c r="Z145" s="62"/>
      <c r="AA145" s="62"/>
      <c r="AB145" s="62"/>
      <c r="AC145" s="72" t="str">
        <f t="shared" si="19"/>
        <v>A</v>
      </c>
      <c r="AD145" s="62"/>
      <c r="AE145" s="62"/>
      <c r="AF145" s="62"/>
      <c r="AG145" s="62"/>
      <c r="AH145" s="62"/>
      <c r="AI145" s="72" t="str">
        <f t="shared" si="20"/>
        <v>A</v>
      </c>
      <c r="AJ145" s="62"/>
      <c r="AK145" s="62"/>
      <c r="AL145" s="62"/>
      <c r="AM145" s="62"/>
      <c r="AN145" s="62"/>
      <c r="AO145" s="72" t="str">
        <f t="shared" si="21"/>
        <v>A</v>
      </c>
      <c r="AP145" s="62"/>
      <c r="AQ145" s="62"/>
      <c r="AR145" s="62"/>
      <c r="AS145" s="62"/>
      <c r="AT145" s="62"/>
      <c r="AU145" s="72" t="str">
        <f t="shared" si="22"/>
        <v>A</v>
      </c>
      <c r="AV145" s="62"/>
      <c r="AW145" s="62"/>
      <c r="AX145" s="62">
        <v>5</v>
      </c>
      <c r="AY145" s="62">
        <v>0</v>
      </c>
      <c r="AZ145" s="62">
        <v>3</v>
      </c>
      <c r="BA145" s="72">
        <f t="shared" si="23"/>
        <v>2.6666666666666665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4</v>
      </c>
      <c r="M146" s="62"/>
      <c r="N146" s="62">
        <v>4</v>
      </c>
      <c r="O146" s="62">
        <v>4</v>
      </c>
      <c r="P146" s="62"/>
      <c r="Q146" s="72">
        <f t="shared" si="17"/>
        <v>4</v>
      </c>
      <c r="R146" s="7"/>
      <c r="S146" s="7"/>
      <c r="T146" s="7"/>
      <c r="U146" s="7"/>
      <c r="V146" s="7"/>
      <c r="W146" s="72" t="str">
        <f t="shared" si="18"/>
        <v>A</v>
      </c>
      <c r="X146" s="7"/>
      <c r="Y146" s="7"/>
      <c r="Z146" s="7"/>
      <c r="AA146" s="7"/>
      <c r="AB146" s="7"/>
      <c r="AC146" s="72" t="str">
        <f t="shared" si="19"/>
        <v>A</v>
      </c>
      <c r="AD146" s="7"/>
      <c r="AE146" s="7"/>
      <c r="AF146" s="7"/>
      <c r="AG146" s="7"/>
      <c r="AH146" s="7"/>
      <c r="AI146" s="72" t="str">
        <f t="shared" si="20"/>
        <v>A</v>
      </c>
      <c r="AJ146" s="7"/>
      <c r="AK146" s="7"/>
      <c r="AL146" s="7"/>
      <c r="AM146" s="7"/>
      <c r="AN146" s="7"/>
      <c r="AO146" s="72" t="str">
        <f t="shared" si="21"/>
        <v>A</v>
      </c>
      <c r="AP146" s="7"/>
      <c r="AQ146" s="7"/>
      <c r="AR146" s="7"/>
      <c r="AS146" s="7"/>
      <c r="AT146" s="7"/>
      <c r="AU146" s="72" t="str">
        <f t="shared" si="22"/>
        <v>A</v>
      </c>
      <c r="AV146" s="7"/>
      <c r="AW146" s="7"/>
      <c r="AX146" s="62">
        <v>5</v>
      </c>
      <c r="AY146" s="62">
        <v>0</v>
      </c>
      <c r="AZ146" s="62">
        <v>4</v>
      </c>
      <c r="BA146" s="72">
        <f t="shared" si="23"/>
        <v>3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/>
      <c r="N147" s="62">
        <v>2</v>
      </c>
      <c r="O147" s="62">
        <v>2</v>
      </c>
      <c r="P147" s="62"/>
      <c r="Q147" s="72">
        <f t="shared" si="17"/>
        <v>2</v>
      </c>
      <c r="R147" s="62"/>
      <c r="S147" s="62"/>
      <c r="T147" s="62"/>
      <c r="U147" s="62"/>
      <c r="V147" s="62"/>
      <c r="W147" s="72" t="str">
        <f t="shared" si="18"/>
        <v>A</v>
      </c>
      <c r="X147" s="62"/>
      <c r="Y147" s="62"/>
      <c r="Z147" s="62"/>
      <c r="AA147" s="62"/>
      <c r="AB147" s="62"/>
      <c r="AC147" s="72" t="str">
        <f t="shared" si="19"/>
        <v>A</v>
      </c>
      <c r="AD147" s="62"/>
      <c r="AE147" s="62"/>
      <c r="AF147" s="62"/>
      <c r="AG147" s="62"/>
      <c r="AH147" s="62"/>
      <c r="AI147" s="72" t="str">
        <f t="shared" si="20"/>
        <v>A</v>
      </c>
      <c r="AJ147" s="62"/>
      <c r="AK147" s="62"/>
      <c r="AL147" s="62"/>
      <c r="AM147" s="62"/>
      <c r="AN147" s="62"/>
      <c r="AO147" s="72" t="str">
        <f t="shared" si="21"/>
        <v>A</v>
      </c>
      <c r="AP147" s="62"/>
      <c r="AQ147" s="62"/>
      <c r="AR147" s="62"/>
      <c r="AS147" s="62"/>
      <c r="AT147" s="62"/>
      <c r="AU147" s="72" t="str">
        <f t="shared" si="22"/>
        <v>A</v>
      </c>
      <c r="AV147" s="62"/>
      <c r="AW147" s="62"/>
      <c r="AX147" s="62">
        <v>2</v>
      </c>
      <c r="AY147" s="62">
        <v>2</v>
      </c>
      <c r="AZ147" s="62">
        <v>2</v>
      </c>
      <c r="BA147" s="72">
        <f t="shared" si="23"/>
        <v>2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1</v>
      </c>
      <c r="M148" s="62"/>
      <c r="N148" s="62">
        <v>1</v>
      </c>
      <c r="O148" s="62">
        <v>1</v>
      </c>
      <c r="P148" s="62"/>
      <c r="Q148" s="72">
        <f t="shared" si="17"/>
        <v>1</v>
      </c>
      <c r="R148" s="7"/>
      <c r="S148" s="7"/>
      <c r="T148" s="7"/>
      <c r="U148" s="7"/>
      <c r="V148" s="7"/>
      <c r="W148" s="72" t="str">
        <f t="shared" si="18"/>
        <v>A</v>
      </c>
      <c r="X148" s="7"/>
      <c r="Y148" s="7"/>
      <c r="Z148" s="7"/>
      <c r="AA148" s="7"/>
      <c r="AB148" s="7"/>
      <c r="AC148" s="72" t="str">
        <f t="shared" si="19"/>
        <v>A</v>
      </c>
      <c r="AD148" s="7"/>
      <c r="AE148" s="7"/>
      <c r="AF148" s="7"/>
      <c r="AG148" s="7"/>
      <c r="AH148" s="7"/>
      <c r="AI148" s="72" t="str">
        <f t="shared" si="20"/>
        <v>A</v>
      </c>
      <c r="AJ148" s="7"/>
      <c r="AK148" s="7"/>
      <c r="AL148" s="7"/>
      <c r="AM148" s="7"/>
      <c r="AN148" s="7"/>
      <c r="AO148" s="72" t="str">
        <f t="shared" si="21"/>
        <v>A</v>
      </c>
      <c r="AP148" s="7"/>
      <c r="AQ148" s="7"/>
      <c r="AR148" s="7"/>
      <c r="AS148" s="7"/>
      <c r="AT148" s="7"/>
      <c r="AU148" s="72" t="str">
        <f t="shared" si="22"/>
        <v>A</v>
      </c>
      <c r="AV148" s="7"/>
      <c r="AW148" s="7"/>
      <c r="AX148" s="62">
        <v>5</v>
      </c>
      <c r="AY148" s="62">
        <v>2</v>
      </c>
      <c r="AZ148" s="62">
        <v>1</v>
      </c>
      <c r="BA148" s="72">
        <f t="shared" si="23"/>
        <v>2.6666666666666665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3</v>
      </c>
      <c r="M149" s="62"/>
      <c r="N149" s="62">
        <v>4</v>
      </c>
      <c r="O149" s="62">
        <v>3</v>
      </c>
      <c r="P149" s="62"/>
      <c r="Q149" s="72">
        <f t="shared" si="17"/>
        <v>3.3333333333333335</v>
      </c>
      <c r="R149" s="62"/>
      <c r="S149" s="62"/>
      <c r="T149" s="62"/>
      <c r="U149" s="62"/>
      <c r="V149" s="62"/>
      <c r="W149" s="72" t="str">
        <f t="shared" si="18"/>
        <v>A</v>
      </c>
      <c r="X149" s="62"/>
      <c r="Y149" s="62"/>
      <c r="Z149" s="62"/>
      <c r="AA149" s="62"/>
      <c r="AB149" s="62"/>
      <c r="AC149" s="72" t="str">
        <f t="shared" si="19"/>
        <v>A</v>
      </c>
      <c r="AD149" s="62"/>
      <c r="AE149" s="62"/>
      <c r="AF149" s="62"/>
      <c r="AG149" s="62"/>
      <c r="AH149" s="62"/>
      <c r="AI149" s="72" t="str">
        <f t="shared" si="20"/>
        <v>A</v>
      </c>
      <c r="AJ149" s="62"/>
      <c r="AK149" s="62"/>
      <c r="AL149" s="62"/>
      <c r="AM149" s="62"/>
      <c r="AN149" s="62"/>
      <c r="AO149" s="72" t="str">
        <f t="shared" si="21"/>
        <v>A</v>
      </c>
      <c r="AP149" s="62"/>
      <c r="AQ149" s="62"/>
      <c r="AR149" s="62"/>
      <c r="AS149" s="62"/>
      <c r="AT149" s="62"/>
      <c r="AU149" s="72" t="str">
        <f t="shared" si="22"/>
        <v>A</v>
      </c>
      <c r="AV149" s="62"/>
      <c r="AW149" s="62"/>
      <c r="AX149" s="62">
        <v>5</v>
      </c>
      <c r="AY149" s="62">
        <v>0</v>
      </c>
      <c r="AZ149" s="62">
        <v>3</v>
      </c>
      <c r="BA149" s="72">
        <f t="shared" si="23"/>
        <v>2.6666666666666665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3</v>
      </c>
      <c r="M150" s="62"/>
      <c r="N150" s="62">
        <v>3</v>
      </c>
      <c r="O150" s="62">
        <v>3</v>
      </c>
      <c r="P150" s="62"/>
      <c r="Q150" s="72">
        <f t="shared" si="17"/>
        <v>3</v>
      </c>
      <c r="R150" s="7"/>
      <c r="S150" s="7"/>
      <c r="T150" s="7"/>
      <c r="U150" s="7"/>
      <c r="V150" s="7"/>
      <c r="W150" s="72" t="str">
        <f t="shared" si="18"/>
        <v>A</v>
      </c>
      <c r="X150" s="7"/>
      <c r="Y150" s="7"/>
      <c r="Z150" s="7"/>
      <c r="AA150" s="7"/>
      <c r="AB150" s="7"/>
      <c r="AC150" s="72" t="str">
        <f t="shared" si="19"/>
        <v>A</v>
      </c>
      <c r="AD150" s="7"/>
      <c r="AE150" s="7"/>
      <c r="AF150" s="7"/>
      <c r="AG150" s="7"/>
      <c r="AH150" s="7"/>
      <c r="AI150" s="72" t="str">
        <f t="shared" si="20"/>
        <v>A</v>
      </c>
      <c r="AJ150" s="7"/>
      <c r="AK150" s="7"/>
      <c r="AL150" s="7"/>
      <c r="AM150" s="7"/>
      <c r="AN150" s="7"/>
      <c r="AO150" s="72" t="str">
        <f t="shared" si="21"/>
        <v>A</v>
      </c>
      <c r="AP150" s="7"/>
      <c r="AQ150" s="7"/>
      <c r="AR150" s="7"/>
      <c r="AS150" s="7"/>
      <c r="AT150" s="7"/>
      <c r="AU150" s="72" t="str">
        <f t="shared" si="22"/>
        <v>A</v>
      </c>
      <c r="AV150" s="7"/>
      <c r="AW150" s="7"/>
      <c r="AX150" s="62">
        <v>5</v>
      </c>
      <c r="AY150" s="62">
        <v>2</v>
      </c>
      <c r="AZ150" s="62">
        <v>3</v>
      </c>
      <c r="BA150" s="72">
        <f t="shared" si="23"/>
        <v>3.3333333333333335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1</v>
      </c>
      <c r="M151" s="62"/>
      <c r="N151" s="62">
        <v>1</v>
      </c>
      <c r="O151" s="62">
        <v>1</v>
      </c>
      <c r="P151" s="62"/>
      <c r="Q151" s="72">
        <f t="shared" si="17"/>
        <v>1</v>
      </c>
      <c r="R151" s="62"/>
      <c r="S151" s="62"/>
      <c r="T151" s="62"/>
      <c r="U151" s="62"/>
      <c r="V151" s="62"/>
      <c r="W151" s="72" t="str">
        <f t="shared" si="18"/>
        <v>A</v>
      </c>
      <c r="X151" s="62"/>
      <c r="Y151" s="62"/>
      <c r="Z151" s="62"/>
      <c r="AA151" s="62"/>
      <c r="AB151" s="62"/>
      <c r="AC151" s="72" t="str">
        <f t="shared" si="19"/>
        <v>A</v>
      </c>
      <c r="AD151" s="62"/>
      <c r="AE151" s="62"/>
      <c r="AF151" s="62"/>
      <c r="AG151" s="62"/>
      <c r="AH151" s="62"/>
      <c r="AI151" s="72" t="str">
        <f t="shared" si="20"/>
        <v>A</v>
      </c>
      <c r="AJ151" s="62"/>
      <c r="AK151" s="62"/>
      <c r="AL151" s="62"/>
      <c r="AM151" s="62"/>
      <c r="AN151" s="62"/>
      <c r="AO151" s="72" t="str">
        <f t="shared" si="21"/>
        <v>A</v>
      </c>
      <c r="AP151" s="62"/>
      <c r="AQ151" s="62"/>
      <c r="AR151" s="62"/>
      <c r="AS151" s="62"/>
      <c r="AT151" s="62"/>
      <c r="AU151" s="72" t="str">
        <f t="shared" si="22"/>
        <v>A</v>
      </c>
      <c r="AV151" s="62"/>
      <c r="AW151" s="62"/>
      <c r="AX151" s="62">
        <v>5</v>
      </c>
      <c r="AY151" s="62">
        <v>0</v>
      </c>
      <c r="AZ151" s="62">
        <v>1</v>
      </c>
      <c r="BA151" s="72">
        <f t="shared" si="23"/>
        <v>2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/>
      <c r="N152" s="62">
        <v>3</v>
      </c>
      <c r="O152" s="62">
        <v>2</v>
      </c>
      <c r="P152" s="62"/>
      <c r="Q152" s="72">
        <f t="shared" si="17"/>
        <v>2.3333333333333335</v>
      </c>
      <c r="R152" s="7"/>
      <c r="S152" s="7"/>
      <c r="T152" s="7"/>
      <c r="U152" s="7"/>
      <c r="V152" s="7"/>
      <c r="W152" s="72" t="str">
        <f t="shared" si="18"/>
        <v>A</v>
      </c>
      <c r="X152" s="7"/>
      <c r="Y152" s="7"/>
      <c r="Z152" s="7"/>
      <c r="AA152" s="7"/>
      <c r="AB152" s="7"/>
      <c r="AC152" s="72" t="str">
        <f t="shared" si="19"/>
        <v>A</v>
      </c>
      <c r="AD152" s="7"/>
      <c r="AE152" s="7"/>
      <c r="AF152" s="7"/>
      <c r="AG152" s="7"/>
      <c r="AH152" s="7"/>
      <c r="AI152" s="72" t="str">
        <f t="shared" si="20"/>
        <v>A</v>
      </c>
      <c r="AJ152" s="7"/>
      <c r="AK152" s="7"/>
      <c r="AL152" s="7"/>
      <c r="AM152" s="7"/>
      <c r="AN152" s="7"/>
      <c r="AO152" s="72" t="str">
        <f t="shared" si="21"/>
        <v>A</v>
      </c>
      <c r="AP152" s="7"/>
      <c r="AQ152" s="7"/>
      <c r="AR152" s="7"/>
      <c r="AS152" s="7"/>
      <c r="AT152" s="7"/>
      <c r="AU152" s="72" t="str">
        <f t="shared" si="22"/>
        <v>A</v>
      </c>
      <c r="AV152" s="7"/>
      <c r="AW152" s="7"/>
      <c r="AX152" s="62">
        <v>5</v>
      </c>
      <c r="AY152" s="62">
        <v>2</v>
      </c>
      <c r="AZ152" s="62">
        <v>2</v>
      </c>
      <c r="BA152" s="72">
        <f t="shared" si="23"/>
        <v>3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2</v>
      </c>
      <c r="M153" s="62"/>
      <c r="N153" s="62">
        <v>2</v>
      </c>
      <c r="O153" s="62">
        <v>1</v>
      </c>
      <c r="P153" s="62"/>
      <c r="Q153" s="72">
        <f t="shared" si="17"/>
        <v>1.6666666666666667</v>
      </c>
      <c r="R153" s="62"/>
      <c r="S153" s="62"/>
      <c r="T153" s="62"/>
      <c r="U153" s="62"/>
      <c r="V153" s="62"/>
      <c r="W153" s="72" t="str">
        <f t="shared" si="18"/>
        <v>A</v>
      </c>
      <c r="X153" s="62"/>
      <c r="Y153" s="62"/>
      <c r="Z153" s="62"/>
      <c r="AA153" s="62"/>
      <c r="AB153" s="62"/>
      <c r="AC153" s="72" t="str">
        <f t="shared" si="19"/>
        <v>A</v>
      </c>
      <c r="AD153" s="62"/>
      <c r="AE153" s="62"/>
      <c r="AF153" s="62"/>
      <c r="AG153" s="62"/>
      <c r="AH153" s="62"/>
      <c r="AI153" s="72" t="str">
        <f t="shared" si="20"/>
        <v>A</v>
      </c>
      <c r="AJ153" s="62"/>
      <c r="AK153" s="62"/>
      <c r="AL153" s="62"/>
      <c r="AM153" s="62"/>
      <c r="AN153" s="62"/>
      <c r="AO153" s="72" t="str">
        <f t="shared" si="21"/>
        <v>A</v>
      </c>
      <c r="AP153" s="62"/>
      <c r="AQ153" s="62"/>
      <c r="AR153" s="62"/>
      <c r="AS153" s="62"/>
      <c r="AT153" s="62"/>
      <c r="AU153" s="72" t="str">
        <f t="shared" si="22"/>
        <v>A</v>
      </c>
      <c r="AV153" s="62"/>
      <c r="AW153" s="62"/>
      <c r="AX153" s="62">
        <v>5</v>
      </c>
      <c r="AY153" s="62">
        <v>0</v>
      </c>
      <c r="AZ153" s="62">
        <v>1</v>
      </c>
      <c r="BA153" s="72">
        <f t="shared" si="23"/>
        <v>2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1</v>
      </c>
      <c r="M154" s="62"/>
      <c r="N154" s="62">
        <v>1</v>
      </c>
      <c r="O154" s="62">
        <v>1</v>
      </c>
      <c r="P154" s="62"/>
      <c r="Q154" s="72">
        <f t="shared" si="17"/>
        <v>1</v>
      </c>
      <c r="R154" s="7"/>
      <c r="S154" s="7"/>
      <c r="T154" s="7"/>
      <c r="U154" s="7"/>
      <c r="V154" s="7"/>
      <c r="W154" s="72" t="str">
        <f t="shared" si="18"/>
        <v>A</v>
      </c>
      <c r="X154" s="7"/>
      <c r="Y154" s="7"/>
      <c r="Z154" s="7"/>
      <c r="AA154" s="7"/>
      <c r="AB154" s="7"/>
      <c r="AC154" s="72" t="str">
        <f t="shared" si="19"/>
        <v>A</v>
      </c>
      <c r="AD154" s="7"/>
      <c r="AE154" s="7"/>
      <c r="AF154" s="7"/>
      <c r="AG154" s="7"/>
      <c r="AH154" s="7"/>
      <c r="AI154" s="72" t="str">
        <f t="shared" si="20"/>
        <v>A</v>
      </c>
      <c r="AJ154" s="7"/>
      <c r="AK154" s="7"/>
      <c r="AL154" s="7"/>
      <c r="AM154" s="7"/>
      <c r="AN154" s="7"/>
      <c r="AO154" s="72" t="str">
        <f t="shared" si="21"/>
        <v>A</v>
      </c>
      <c r="AP154" s="7"/>
      <c r="AQ154" s="7"/>
      <c r="AR154" s="7"/>
      <c r="AS154" s="7"/>
      <c r="AT154" s="7"/>
      <c r="AU154" s="72" t="str">
        <f t="shared" si="22"/>
        <v>A</v>
      </c>
      <c r="AV154" s="7"/>
      <c r="AW154" s="7"/>
      <c r="AX154" s="62">
        <v>5</v>
      </c>
      <c r="AY154" s="62">
        <v>0</v>
      </c>
      <c r="AZ154" s="62">
        <v>1</v>
      </c>
      <c r="BA154" s="72">
        <f t="shared" si="23"/>
        <v>2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3</v>
      </c>
      <c r="M155" s="62"/>
      <c r="N155" s="62">
        <v>4</v>
      </c>
      <c r="O155" s="62">
        <v>4</v>
      </c>
      <c r="P155" s="62"/>
      <c r="Q155" s="72">
        <f t="shared" si="17"/>
        <v>3.6666666666666665</v>
      </c>
      <c r="R155" s="62"/>
      <c r="S155" s="62"/>
      <c r="T155" s="62"/>
      <c r="U155" s="62"/>
      <c r="V155" s="62"/>
      <c r="W155" s="72" t="str">
        <f t="shared" si="18"/>
        <v>A</v>
      </c>
      <c r="X155" s="62"/>
      <c r="Y155" s="62"/>
      <c r="Z155" s="62"/>
      <c r="AA155" s="62"/>
      <c r="AB155" s="62"/>
      <c r="AC155" s="72" t="str">
        <f t="shared" si="19"/>
        <v>A</v>
      </c>
      <c r="AD155" s="62"/>
      <c r="AE155" s="62"/>
      <c r="AF155" s="62"/>
      <c r="AG155" s="62"/>
      <c r="AH155" s="62"/>
      <c r="AI155" s="72" t="str">
        <f t="shared" si="20"/>
        <v>A</v>
      </c>
      <c r="AJ155" s="62"/>
      <c r="AK155" s="62"/>
      <c r="AL155" s="62"/>
      <c r="AM155" s="62"/>
      <c r="AN155" s="62"/>
      <c r="AO155" s="72" t="str">
        <f t="shared" si="21"/>
        <v>A</v>
      </c>
      <c r="AP155" s="62"/>
      <c r="AQ155" s="62"/>
      <c r="AR155" s="62"/>
      <c r="AS155" s="62"/>
      <c r="AT155" s="62"/>
      <c r="AU155" s="72" t="str">
        <f t="shared" si="22"/>
        <v>A</v>
      </c>
      <c r="AV155" s="62"/>
      <c r="AW155" s="62"/>
      <c r="AX155" s="62">
        <v>5</v>
      </c>
      <c r="AY155" s="62">
        <v>2</v>
      </c>
      <c r="AZ155" s="62">
        <v>4</v>
      </c>
      <c r="BA155" s="72">
        <f t="shared" si="23"/>
        <v>3.6666666666666665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3</v>
      </c>
      <c r="M156" s="62"/>
      <c r="N156" s="62">
        <v>3</v>
      </c>
      <c r="O156" s="62">
        <v>2</v>
      </c>
      <c r="P156" s="62"/>
      <c r="Q156" s="72">
        <f t="shared" si="17"/>
        <v>2.6666666666666665</v>
      </c>
      <c r="R156" s="7"/>
      <c r="S156" s="7"/>
      <c r="T156" s="7"/>
      <c r="U156" s="7"/>
      <c r="V156" s="7"/>
      <c r="W156" s="72" t="str">
        <f t="shared" si="18"/>
        <v>A</v>
      </c>
      <c r="X156" s="7"/>
      <c r="Y156" s="7"/>
      <c r="Z156" s="7"/>
      <c r="AA156" s="7"/>
      <c r="AB156" s="7"/>
      <c r="AC156" s="72" t="str">
        <f t="shared" si="19"/>
        <v>A</v>
      </c>
      <c r="AD156" s="7"/>
      <c r="AE156" s="7"/>
      <c r="AF156" s="7"/>
      <c r="AG156" s="7"/>
      <c r="AH156" s="7"/>
      <c r="AI156" s="72" t="str">
        <f t="shared" si="20"/>
        <v>A</v>
      </c>
      <c r="AJ156" s="7"/>
      <c r="AK156" s="7"/>
      <c r="AL156" s="7"/>
      <c r="AM156" s="7"/>
      <c r="AN156" s="7"/>
      <c r="AO156" s="72" t="str">
        <f t="shared" si="21"/>
        <v>A</v>
      </c>
      <c r="AP156" s="7"/>
      <c r="AQ156" s="7"/>
      <c r="AR156" s="7"/>
      <c r="AS156" s="7"/>
      <c r="AT156" s="7"/>
      <c r="AU156" s="72" t="str">
        <f t="shared" si="22"/>
        <v>A</v>
      </c>
      <c r="AV156" s="7"/>
      <c r="AW156" s="7"/>
      <c r="AX156" s="62">
        <v>5</v>
      </c>
      <c r="AY156" s="62">
        <v>0</v>
      </c>
      <c r="AZ156" s="62">
        <v>2</v>
      </c>
      <c r="BA156" s="72">
        <f t="shared" si="23"/>
        <v>2.3333333333333335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3</v>
      </c>
      <c r="M157" s="62"/>
      <c r="N157" s="62">
        <v>3</v>
      </c>
      <c r="O157" s="62">
        <v>2</v>
      </c>
      <c r="P157" s="62"/>
      <c r="Q157" s="72">
        <f t="shared" si="17"/>
        <v>2.6666666666666665</v>
      </c>
      <c r="R157" s="62"/>
      <c r="S157" s="62"/>
      <c r="T157" s="62"/>
      <c r="U157" s="62"/>
      <c r="V157" s="62"/>
      <c r="W157" s="72" t="str">
        <f t="shared" si="18"/>
        <v>A</v>
      </c>
      <c r="X157" s="62"/>
      <c r="Y157" s="62"/>
      <c r="Z157" s="62"/>
      <c r="AA157" s="62"/>
      <c r="AB157" s="62"/>
      <c r="AC157" s="72" t="str">
        <f t="shared" si="19"/>
        <v>A</v>
      </c>
      <c r="AD157" s="62"/>
      <c r="AE157" s="62"/>
      <c r="AF157" s="62"/>
      <c r="AG157" s="62"/>
      <c r="AH157" s="62"/>
      <c r="AI157" s="72" t="str">
        <f t="shared" si="20"/>
        <v>A</v>
      </c>
      <c r="AJ157" s="62"/>
      <c r="AK157" s="62"/>
      <c r="AL157" s="62"/>
      <c r="AM157" s="62"/>
      <c r="AN157" s="62"/>
      <c r="AO157" s="72" t="str">
        <f t="shared" si="21"/>
        <v>A</v>
      </c>
      <c r="AP157" s="62"/>
      <c r="AQ157" s="62"/>
      <c r="AR157" s="62"/>
      <c r="AS157" s="62"/>
      <c r="AT157" s="62"/>
      <c r="AU157" s="72" t="str">
        <f t="shared" si="22"/>
        <v>A</v>
      </c>
      <c r="AV157" s="62"/>
      <c r="AW157" s="62"/>
      <c r="AX157" s="62">
        <v>5</v>
      </c>
      <c r="AY157" s="62">
        <v>0</v>
      </c>
      <c r="AZ157" s="62">
        <v>2</v>
      </c>
      <c r="BA157" s="72">
        <f t="shared" si="23"/>
        <v>2.3333333333333335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4</v>
      </c>
      <c r="M158" s="62"/>
      <c r="N158" s="62">
        <v>4</v>
      </c>
      <c r="O158" s="62">
        <v>4</v>
      </c>
      <c r="P158" s="62"/>
      <c r="Q158" s="72">
        <f t="shared" si="17"/>
        <v>4</v>
      </c>
      <c r="R158" s="7"/>
      <c r="S158" s="7"/>
      <c r="T158" s="7"/>
      <c r="U158" s="7"/>
      <c r="V158" s="7"/>
      <c r="W158" s="72" t="str">
        <f t="shared" si="18"/>
        <v>A</v>
      </c>
      <c r="X158" s="7"/>
      <c r="Y158" s="7"/>
      <c r="Z158" s="7"/>
      <c r="AA158" s="7"/>
      <c r="AB158" s="7"/>
      <c r="AC158" s="72" t="str">
        <f t="shared" si="19"/>
        <v>A</v>
      </c>
      <c r="AD158" s="7"/>
      <c r="AE158" s="7"/>
      <c r="AF158" s="7"/>
      <c r="AG158" s="7"/>
      <c r="AH158" s="7"/>
      <c r="AI158" s="72" t="str">
        <f t="shared" si="20"/>
        <v>A</v>
      </c>
      <c r="AJ158" s="7"/>
      <c r="AK158" s="7"/>
      <c r="AL158" s="7"/>
      <c r="AM158" s="7"/>
      <c r="AN158" s="7"/>
      <c r="AO158" s="72" t="str">
        <f t="shared" si="21"/>
        <v>A</v>
      </c>
      <c r="AP158" s="7"/>
      <c r="AQ158" s="7"/>
      <c r="AR158" s="7"/>
      <c r="AS158" s="7"/>
      <c r="AT158" s="7"/>
      <c r="AU158" s="72" t="str">
        <f t="shared" si="22"/>
        <v>A</v>
      </c>
      <c r="AV158" s="7"/>
      <c r="AW158" s="7"/>
      <c r="AX158" s="62">
        <v>5</v>
      </c>
      <c r="AY158" s="62">
        <v>0</v>
      </c>
      <c r="AZ158" s="62">
        <v>4</v>
      </c>
      <c r="BA158" s="72">
        <f t="shared" si="23"/>
        <v>3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0</v>
      </c>
      <c r="M159" s="62"/>
      <c r="N159" s="62">
        <v>0</v>
      </c>
      <c r="O159" s="62">
        <v>0</v>
      </c>
      <c r="P159" s="62"/>
      <c r="Q159" s="72">
        <f t="shared" si="17"/>
        <v>0</v>
      </c>
      <c r="R159" s="62"/>
      <c r="S159" s="62"/>
      <c r="T159" s="62"/>
      <c r="U159" s="62"/>
      <c r="V159" s="62"/>
      <c r="W159" s="72" t="str">
        <f t="shared" si="18"/>
        <v>A</v>
      </c>
      <c r="X159" s="62"/>
      <c r="Y159" s="62"/>
      <c r="Z159" s="62"/>
      <c r="AA159" s="62"/>
      <c r="AB159" s="62"/>
      <c r="AC159" s="72" t="str">
        <f t="shared" si="19"/>
        <v>A</v>
      </c>
      <c r="AD159" s="62"/>
      <c r="AE159" s="62"/>
      <c r="AF159" s="62"/>
      <c r="AG159" s="62"/>
      <c r="AH159" s="62"/>
      <c r="AI159" s="72" t="str">
        <f t="shared" si="20"/>
        <v>A</v>
      </c>
      <c r="AJ159" s="62"/>
      <c r="AK159" s="62"/>
      <c r="AL159" s="62"/>
      <c r="AM159" s="62"/>
      <c r="AN159" s="62"/>
      <c r="AO159" s="72" t="str">
        <f t="shared" si="21"/>
        <v>A</v>
      </c>
      <c r="AP159" s="62"/>
      <c r="AQ159" s="62"/>
      <c r="AR159" s="62"/>
      <c r="AS159" s="62"/>
      <c r="AT159" s="62"/>
      <c r="AU159" s="72" t="str">
        <f t="shared" si="22"/>
        <v>A</v>
      </c>
      <c r="AV159" s="62"/>
      <c r="AW159" s="62"/>
      <c r="AX159" s="62">
        <v>0</v>
      </c>
      <c r="AY159" s="62">
        <v>0</v>
      </c>
      <c r="AZ159" s="62">
        <v>0</v>
      </c>
      <c r="BA159" s="72">
        <f t="shared" si="23"/>
        <v>0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3</v>
      </c>
      <c r="M160" s="62"/>
      <c r="N160" s="62">
        <v>3</v>
      </c>
      <c r="O160" s="62">
        <v>4</v>
      </c>
      <c r="P160" s="62"/>
      <c r="Q160" s="72">
        <f t="shared" si="17"/>
        <v>3.3333333333333335</v>
      </c>
      <c r="R160" s="7"/>
      <c r="S160" s="7"/>
      <c r="T160" s="7"/>
      <c r="U160" s="7"/>
      <c r="V160" s="7"/>
      <c r="W160" s="72" t="str">
        <f t="shared" si="18"/>
        <v>A</v>
      </c>
      <c r="X160" s="7"/>
      <c r="Y160" s="7"/>
      <c r="Z160" s="7"/>
      <c r="AA160" s="7"/>
      <c r="AB160" s="7"/>
      <c r="AC160" s="72" t="str">
        <f t="shared" si="19"/>
        <v>A</v>
      </c>
      <c r="AD160" s="7"/>
      <c r="AE160" s="7"/>
      <c r="AF160" s="7"/>
      <c r="AG160" s="7"/>
      <c r="AH160" s="7"/>
      <c r="AI160" s="72" t="str">
        <f t="shared" si="20"/>
        <v>A</v>
      </c>
      <c r="AJ160" s="7"/>
      <c r="AK160" s="7"/>
      <c r="AL160" s="7"/>
      <c r="AM160" s="7"/>
      <c r="AN160" s="7"/>
      <c r="AO160" s="72" t="str">
        <f t="shared" si="21"/>
        <v>A</v>
      </c>
      <c r="AP160" s="7"/>
      <c r="AQ160" s="7"/>
      <c r="AR160" s="7"/>
      <c r="AS160" s="7"/>
      <c r="AT160" s="7"/>
      <c r="AU160" s="72" t="str">
        <f t="shared" si="22"/>
        <v>A</v>
      </c>
      <c r="AV160" s="7"/>
      <c r="AW160" s="7"/>
      <c r="AX160" s="62">
        <v>5</v>
      </c>
      <c r="AY160" s="62">
        <v>2</v>
      </c>
      <c r="AZ160" s="62">
        <v>3</v>
      </c>
      <c r="BA160" s="72">
        <f t="shared" si="23"/>
        <v>3.3333333333333335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4</v>
      </c>
      <c r="M161" s="62"/>
      <c r="N161" s="62">
        <v>4</v>
      </c>
      <c r="O161" s="62">
        <v>4</v>
      </c>
      <c r="P161" s="62"/>
      <c r="Q161" s="72">
        <f t="shared" si="17"/>
        <v>4</v>
      </c>
      <c r="R161" s="62"/>
      <c r="S161" s="62"/>
      <c r="T161" s="62"/>
      <c r="U161" s="62"/>
      <c r="V161" s="62"/>
      <c r="W161" s="72" t="str">
        <f t="shared" si="18"/>
        <v>A</v>
      </c>
      <c r="X161" s="62"/>
      <c r="Y161" s="62"/>
      <c r="Z161" s="62"/>
      <c r="AA161" s="62"/>
      <c r="AB161" s="62"/>
      <c r="AC161" s="72" t="str">
        <f t="shared" si="19"/>
        <v>A</v>
      </c>
      <c r="AD161" s="62"/>
      <c r="AE161" s="62"/>
      <c r="AF161" s="62"/>
      <c r="AG161" s="62"/>
      <c r="AH161" s="62"/>
      <c r="AI161" s="72" t="str">
        <f t="shared" si="20"/>
        <v>A</v>
      </c>
      <c r="AJ161" s="62"/>
      <c r="AK161" s="62"/>
      <c r="AL161" s="62"/>
      <c r="AM161" s="62"/>
      <c r="AN161" s="62"/>
      <c r="AO161" s="72" t="str">
        <f t="shared" si="21"/>
        <v>A</v>
      </c>
      <c r="AP161" s="62"/>
      <c r="AQ161" s="62"/>
      <c r="AR161" s="62"/>
      <c r="AS161" s="62"/>
      <c r="AT161" s="62"/>
      <c r="AU161" s="72" t="str">
        <f t="shared" si="22"/>
        <v>A</v>
      </c>
      <c r="AV161" s="62"/>
      <c r="AW161" s="62"/>
      <c r="AX161" s="62">
        <v>5</v>
      </c>
      <c r="AY161" s="62">
        <v>0</v>
      </c>
      <c r="AZ161" s="62">
        <v>5</v>
      </c>
      <c r="BA161" s="72">
        <f t="shared" si="23"/>
        <v>3.3333333333333335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4</v>
      </c>
      <c r="M162" s="62"/>
      <c r="N162" s="62">
        <v>4</v>
      </c>
      <c r="O162" s="62">
        <v>3</v>
      </c>
      <c r="P162" s="62"/>
      <c r="Q162" s="72">
        <f t="shared" si="17"/>
        <v>3.6666666666666665</v>
      </c>
      <c r="R162" s="7"/>
      <c r="S162" s="7"/>
      <c r="T162" s="7"/>
      <c r="U162" s="7"/>
      <c r="V162" s="7"/>
      <c r="W162" s="72" t="str">
        <f t="shared" si="18"/>
        <v>A</v>
      </c>
      <c r="X162" s="7"/>
      <c r="Y162" s="7"/>
      <c r="Z162" s="7"/>
      <c r="AA162" s="7"/>
      <c r="AB162" s="7"/>
      <c r="AC162" s="72" t="str">
        <f t="shared" si="19"/>
        <v>A</v>
      </c>
      <c r="AD162" s="7"/>
      <c r="AE162" s="7"/>
      <c r="AF162" s="7"/>
      <c r="AG162" s="7"/>
      <c r="AH162" s="7"/>
      <c r="AI162" s="72" t="str">
        <f t="shared" si="20"/>
        <v>A</v>
      </c>
      <c r="AJ162" s="7"/>
      <c r="AK162" s="7"/>
      <c r="AL162" s="7"/>
      <c r="AM162" s="7"/>
      <c r="AN162" s="7"/>
      <c r="AO162" s="72" t="str">
        <f t="shared" si="21"/>
        <v>A</v>
      </c>
      <c r="AP162" s="7"/>
      <c r="AQ162" s="7"/>
      <c r="AR162" s="7"/>
      <c r="AS162" s="7"/>
      <c r="AT162" s="7"/>
      <c r="AU162" s="72" t="str">
        <f t="shared" si="22"/>
        <v>A</v>
      </c>
      <c r="AV162" s="7"/>
      <c r="AW162" s="7"/>
      <c r="AX162" s="62">
        <v>5</v>
      </c>
      <c r="AY162" s="62">
        <v>0</v>
      </c>
      <c r="AZ162" s="62">
        <v>4</v>
      </c>
      <c r="BA162" s="72">
        <f t="shared" si="23"/>
        <v>3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/>
      <c r="N163" s="62">
        <v>3</v>
      </c>
      <c r="O163" s="62">
        <v>2</v>
      </c>
      <c r="P163" s="62"/>
      <c r="Q163" s="72">
        <f t="shared" si="17"/>
        <v>2.6666666666666665</v>
      </c>
      <c r="R163" s="62"/>
      <c r="S163" s="62"/>
      <c r="T163" s="62"/>
      <c r="U163" s="62"/>
      <c r="V163" s="62"/>
      <c r="W163" s="72" t="str">
        <f t="shared" si="18"/>
        <v>A</v>
      </c>
      <c r="X163" s="62"/>
      <c r="Y163" s="62"/>
      <c r="Z163" s="62"/>
      <c r="AA163" s="62"/>
      <c r="AB163" s="62"/>
      <c r="AC163" s="72" t="str">
        <f t="shared" si="19"/>
        <v>A</v>
      </c>
      <c r="AD163" s="62"/>
      <c r="AE163" s="62"/>
      <c r="AF163" s="62"/>
      <c r="AG163" s="62"/>
      <c r="AH163" s="62"/>
      <c r="AI163" s="72" t="str">
        <f t="shared" si="20"/>
        <v>A</v>
      </c>
      <c r="AJ163" s="62"/>
      <c r="AK163" s="62"/>
      <c r="AL163" s="62"/>
      <c r="AM163" s="62"/>
      <c r="AN163" s="62"/>
      <c r="AO163" s="72" t="str">
        <f t="shared" si="21"/>
        <v>A</v>
      </c>
      <c r="AP163" s="62"/>
      <c r="AQ163" s="62"/>
      <c r="AR163" s="62"/>
      <c r="AS163" s="62"/>
      <c r="AT163" s="62"/>
      <c r="AU163" s="72" t="str">
        <f t="shared" si="22"/>
        <v>A</v>
      </c>
      <c r="AV163" s="62"/>
      <c r="AW163" s="62"/>
      <c r="AX163" s="62">
        <v>5</v>
      </c>
      <c r="AY163" s="62">
        <v>2</v>
      </c>
      <c r="AZ163" s="62">
        <v>3</v>
      </c>
      <c r="BA163" s="72">
        <f t="shared" si="23"/>
        <v>3.3333333333333335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4</v>
      </c>
      <c r="M164" s="62"/>
      <c r="N164" s="62">
        <v>4</v>
      </c>
      <c r="O164" s="62">
        <v>4</v>
      </c>
      <c r="P164" s="62"/>
      <c r="Q164" s="72">
        <f t="shared" si="17"/>
        <v>4</v>
      </c>
      <c r="R164" s="7"/>
      <c r="S164" s="7"/>
      <c r="T164" s="7"/>
      <c r="U164" s="7"/>
      <c r="V164" s="7"/>
      <c r="W164" s="72" t="str">
        <f t="shared" si="18"/>
        <v>A</v>
      </c>
      <c r="X164" s="7"/>
      <c r="Y164" s="7"/>
      <c r="Z164" s="7"/>
      <c r="AA164" s="7"/>
      <c r="AB164" s="7"/>
      <c r="AC164" s="72" t="str">
        <f t="shared" si="19"/>
        <v>A</v>
      </c>
      <c r="AD164" s="7"/>
      <c r="AE164" s="7"/>
      <c r="AF164" s="7"/>
      <c r="AG164" s="7"/>
      <c r="AH164" s="7"/>
      <c r="AI164" s="72" t="str">
        <f t="shared" si="20"/>
        <v>A</v>
      </c>
      <c r="AJ164" s="7"/>
      <c r="AK164" s="7"/>
      <c r="AL164" s="7"/>
      <c r="AM164" s="7"/>
      <c r="AN164" s="7"/>
      <c r="AO164" s="72" t="str">
        <f t="shared" si="21"/>
        <v>A</v>
      </c>
      <c r="AP164" s="7"/>
      <c r="AQ164" s="7"/>
      <c r="AR164" s="7"/>
      <c r="AS164" s="7"/>
      <c r="AT164" s="7"/>
      <c r="AU164" s="72" t="str">
        <f t="shared" si="22"/>
        <v>A</v>
      </c>
      <c r="AV164" s="7"/>
      <c r="AW164" s="7"/>
      <c r="AX164" s="62">
        <v>5</v>
      </c>
      <c r="AY164" s="62">
        <v>2</v>
      </c>
      <c r="AZ164" s="62">
        <v>4</v>
      </c>
      <c r="BA164" s="72">
        <f t="shared" si="23"/>
        <v>3.6666666666666665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1</v>
      </c>
      <c r="M165" s="62"/>
      <c r="N165" s="62">
        <v>1</v>
      </c>
      <c r="O165" s="62">
        <v>1</v>
      </c>
      <c r="P165" s="62"/>
      <c r="Q165" s="72">
        <f t="shared" si="17"/>
        <v>1</v>
      </c>
      <c r="R165" s="62"/>
      <c r="S165" s="62"/>
      <c r="T165" s="62"/>
      <c r="U165" s="62"/>
      <c r="V165" s="62"/>
      <c r="W165" s="72" t="str">
        <f t="shared" si="18"/>
        <v>A</v>
      </c>
      <c r="X165" s="62"/>
      <c r="Y165" s="62"/>
      <c r="Z165" s="62"/>
      <c r="AA165" s="62"/>
      <c r="AB165" s="62"/>
      <c r="AC165" s="72" t="str">
        <f t="shared" si="19"/>
        <v>A</v>
      </c>
      <c r="AD165" s="62"/>
      <c r="AE165" s="62"/>
      <c r="AF165" s="62"/>
      <c r="AG165" s="62"/>
      <c r="AH165" s="62"/>
      <c r="AI165" s="72" t="str">
        <f t="shared" si="20"/>
        <v>A</v>
      </c>
      <c r="AJ165" s="62"/>
      <c r="AK165" s="62"/>
      <c r="AL165" s="62"/>
      <c r="AM165" s="62"/>
      <c r="AN165" s="62"/>
      <c r="AO165" s="72" t="str">
        <f t="shared" si="21"/>
        <v>A</v>
      </c>
      <c r="AP165" s="62"/>
      <c r="AQ165" s="62"/>
      <c r="AR165" s="62"/>
      <c r="AS165" s="62"/>
      <c r="AT165" s="62"/>
      <c r="AU165" s="72" t="str">
        <f t="shared" si="22"/>
        <v>A</v>
      </c>
      <c r="AV165" s="62"/>
      <c r="AW165" s="62"/>
      <c r="AX165" s="62">
        <v>5</v>
      </c>
      <c r="AY165" s="62">
        <v>0</v>
      </c>
      <c r="AZ165" s="62">
        <v>1</v>
      </c>
      <c r="BA165" s="72">
        <f t="shared" si="23"/>
        <v>2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0</v>
      </c>
      <c r="M166" s="62"/>
      <c r="N166" s="62">
        <v>0</v>
      </c>
      <c r="O166" s="62">
        <v>0</v>
      </c>
      <c r="P166" s="62"/>
      <c r="Q166" s="72">
        <f t="shared" si="17"/>
        <v>0</v>
      </c>
      <c r="R166" s="7"/>
      <c r="S166" s="7"/>
      <c r="T166" s="7"/>
      <c r="U166" s="7"/>
      <c r="V166" s="7"/>
      <c r="W166" s="72" t="str">
        <f t="shared" si="18"/>
        <v>A</v>
      </c>
      <c r="X166" s="7"/>
      <c r="Y166" s="7"/>
      <c r="Z166" s="7"/>
      <c r="AA166" s="7"/>
      <c r="AB166" s="7"/>
      <c r="AC166" s="72" t="str">
        <f t="shared" si="19"/>
        <v>A</v>
      </c>
      <c r="AD166" s="7"/>
      <c r="AE166" s="7"/>
      <c r="AF166" s="7"/>
      <c r="AG166" s="7"/>
      <c r="AH166" s="7"/>
      <c r="AI166" s="72" t="str">
        <f t="shared" si="20"/>
        <v>A</v>
      </c>
      <c r="AJ166" s="7"/>
      <c r="AK166" s="7"/>
      <c r="AL166" s="7"/>
      <c r="AM166" s="7"/>
      <c r="AN166" s="7"/>
      <c r="AO166" s="72" t="str">
        <f t="shared" si="21"/>
        <v>A</v>
      </c>
      <c r="AP166" s="7"/>
      <c r="AQ166" s="7"/>
      <c r="AR166" s="7"/>
      <c r="AS166" s="7"/>
      <c r="AT166" s="7"/>
      <c r="AU166" s="72" t="str">
        <f t="shared" si="22"/>
        <v>A</v>
      </c>
      <c r="AV166" s="7"/>
      <c r="AW166" s="7"/>
      <c r="AX166" s="62">
        <v>0</v>
      </c>
      <c r="AY166" s="62">
        <v>0</v>
      </c>
      <c r="AZ166" s="62">
        <v>0</v>
      </c>
      <c r="BA166" s="72">
        <f t="shared" si="23"/>
        <v>0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0</v>
      </c>
      <c r="M167" s="62"/>
      <c r="N167" s="62">
        <v>0</v>
      </c>
      <c r="O167" s="62">
        <v>0</v>
      </c>
      <c r="P167" s="62"/>
      <c r="Q167" s="72">
        <f t="shared" si="17"/>
        <v>0</v>
      </c>
      <c r="R167" s="62"/>
      <c r="S167" s="62"/>
      <c r="T167" s="62"/>
      <c r="U167" s="62"/>
      <c r="V167" s="62"/>
      <c r="W167" s="72" t="str">
        <f t="shared" si="18"/>
        <v>A</v>
      </c>
      <c r="X167" s="62"/>
      <c r="Y167" s="62"/>
      <c r="Z167" s="62"/>
      <c r="AA167" s="62"/>
      <c r="AB167" s="62"/>
      <c r="AC167" s="72" t="str">
        <f t="shared" si="19"/>
        <v>A</v>
      </c>
      <c r="AD167" s="62"/>
      <c r="AE167" s="62"/>
      <c r="AF167" s="62"/>
      <c r="AG167" s="62"/>
      <c r="AH167" s="62"/>
      <c r="AI167" s="72" t="str">
        <f t="shared" si="20"/>
        <v>A</v>
      </c>
      <c r="AJ167" s="62"/>
      <c r="AK167" s="62"/>
      <c r="AL167" s="62"/>
      <c r="AM167" s="62"/>
      <c r="AN167" s="62"/>
      <c r="AO167" s="72" t="str">
        <f t="shared" si="21"/>
        <v>A</v>
      </c>
      <c r="AP167" s="62"/>
      <c r="AQ167" s="62"/>
      <c r="AR167" s="62"/>
      <c r="AS167" s="62"/>
      <c r="AT167" s="62"/>
      <c r="AU167" s="72" t="str">
        <f t="shared" si="22"/>
        <v>A</v>
      </c>
      <c r="AV167" s="62"/>
      <c r="AW167" s="62"/>
      <c r="AX167" s="62">
        <v>0</v>
      </c>
      <c r="AY167" s="62">
        <v>0</v>
      </c>
      <c r="AZ167" s="62">
        <v>0</v>
      </c>
      <c r="BA167" s="72">
        <f t="shared" si="23"/>
        <v>0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1</v>
      </c>
      <c r="M168" s="62"/>
      <c r="N168" s="62">
        <v>1</v>
      </c>
      <c r="O168" s="62">
        <v>1</v>
      </c>
      <c r="P168" s="62"/>
      <c r="Q168" s="72">
        <f t="shared" si="17"/>
        <v>1</v>
      </c>
      <c r="R168" s="7"/>
      <c r="S168" s="7"/>
      <c r="T168" s="7"/>
      <c r="U168" s="7"/>
      <c r="V168" s="7"/>
      <c r="W168" s="72" t="str">
        <f t="shared" si="18"/>
        <v>A</v>
      </c>
      <c r="X168" s="7"/>
      <c r="Y168" s="7"/>
      <c r="Z168" s="7"/>
      <c r="AA168" s="7"/>
      <c r="AB168" s="7"/>
      <c r="AC168" s="72" t="str">
        <f t="shared" si="19"/>
        <v>A</v>
      </c>
      <c r="AD168" s="7"/>
      <c r="AE168" s="7"/>
      <c r="AF168" s="7"/>
      <c r="AG168" s="7"/>
      <c r="AH168" s="7"/>
      <c r="AI168" s="72" t="str">
        <f t="shared" si="20"/>
        <v>A</v>
      </c>
      <c r="AJ168" s="7"/>
      <c r="AK168" s="7"/>
      <c r="AL168" s="7"/>
      <c r="AM168" s="7"/>
      <c r="AN168" s="7"/>
      <c r="AO168" s="72" t="str">
        <f t="shared" si="21"/>
        <v>A</v>
      </c>
      <c r="AP168" s="7"/>
      <c r="AQ168" s="7"/>
      <c r="AR168" s="7"/>
      <c r="AS168" s="7"/>
      <c r="AT168" s="7"/>
      <c r="AU168" s="72" t="str">
        <f t="shared" si="22"/>
        <v>A</v>
      </c>
      <c r="AV168" s="7"/>
      <c r="AW168" s="7"/>
      <c r="AX168" s="62">
        <v>5</v>
      </c>
      <c r="AY168" s="62">
        <v>0</v>
      </c>
      <c r="AZ168" s="62">
        <v>1</v>
      </c>
      <c r="BA168" s="72">
        <f t="shared" si="23"/>
        <v>2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3</v>
      </c>
      <c r="M169" s="62"/>
      <c r="N169" s="62">
        <v>3</v>
      </c>
      <c r="O169" s="62">
        <v>3</v>
      </c>
      <c r="P169" s="62"/>
      <c r="Q169" s="72">
        <f t="shared" si="17"/>
        <v>3</v>
      </c>
      <c r="R169" s="62"/>
      <c r="S169" s="62"/>
      <c r="T169" s="62"/>
      <c r="U169" s="62"/>
      <c r="V169" s="62"/>
      <c r="W169" s="72" t="str">
        <f t="shared" si="18"/>
        <v>A</v>
      </c>
      <c r="X169" s="62"/>
      <c r="Y169" s="62"/>
      <c r="Z169" s="62"/>
      <c r="AA169" s="62"/>
      <c r="AB169" s="62"/>
      <c r="AC169" s="72" t="str">
        <f t="shared" si="19"/>
        <v>A</v>
      </c>
      <c r="AD169" s="62"/>
      <c r="AE169" s="62"/>
      <c r="AF169" s="62"/>
      <c r="AG169" s="62"/>
      <c r="AH169" s="62"/>
      <c r="AI169" s="72" t="str">
        <f t="shared" si="20"/>
        <v>A</v>
      </c>
      <c r="AJ169" s="62"/>
      <c r="AK169" s="62"/>
      <c r="AL169" s="62"/>
      <c r="AM169" s="62"/>
      <c r="AN169" s="62"/>
      <c r="AO169" s="72" t="str">
        <f t="shared" si="21"/>
        <v>A</v>
      </c>
      <c r="AP169" s="62"/>
      <c r="AQ169" s="62"/>
      <c r="AR169" s="62"/>
      <c r="AS169" s="62"/>
      <c r="AT169" s="62"/>
      <c r="AU169" s="72" t="str">
        <f t="shared" si="22"/>
        <v>A</v>
      </c>
      <c r="AV169" s="62"/>
      <c r="AW169" s="62"/>
      <c r="AX169" s="62">
        <v>5</v>
      </c>
      <c r="AY169" s="62">
        <v>0</v>
      </c>
      <c r="AZ169" s="62">
        <v>3</v>
      </c>
      <c r="BA169" s="72">
        <f t="shared" si="23"/>
        <v>2.6666666666666665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3</v>
      </c>
      <c r="M170" s="62"/>
      <c r="N170" s="62">
        <v>4</v>
      </c>
      <c r="O170" s="62">
        <v>4</v>
      </c>
      <c r="P170" s="62"/>
      <c r="Q170" s="72">
        <f t="shared" si="17"/>
        <v>3.6666666666666665</v>
      </c>
      <c r="R170" s="7"/>
      <c r="S170" s="7"/>
      <c r="T170" s="7"/>
      <c r="U170" s="7"/>
      <c r="V170" s="7"/>
      <c r="W170" s="72" t="str">
        <f t="shared" si="18"/>
        <v>A</v>
      </c>
      <c r="X170" s="7"/>
      <c r="Y170" s="7"/>
      <c r="Z170" s="7"/>
      <c r="AA170" s="7"/>
      <c r="AB170" s="7"/>
      <c r="AC170" s="72" t="str">
        <f t="shared" si="19"/>
        <v>A</v>
      </c>
      <c r="AD170" s="7"/>
      <c r="AE170" s="7"/>
      <c r="AF170" s="7"/>
      <c r="AG170" s="7"/>
      <c r="AH170" s="7"/>
      <c r="AI170" s="72" t="str">
        <f t="shared" si="20"/>
        <v>A</v>
      </c>
      <c r="AJ170" s="7"/>
      <c r="AK170" s="7"/>
      <c r="AL170" s="7"/>
      <c r="AM170" s="7"/>
      <c r="AN170" s="7"/>
      <c r="AO170" s="72" t="str">
        <f t="shared" si="21"/>
        <v>A</v>
      </c>
      <c r="AP170" s="7"/>
      <c r="AQ170" s="7"/>
      <c r="AR170" s="7"/>
      <c r="AS170" s="7"/>
      <c r="AT170" s="7"/>
      <c r="AU170" s="72" t="str">
        <f t="shared" si="22"/>
        <v>A</v>
      </c>
      <c r="AV170" s="7"/>
      <c r="AW170" s="7"/>
      <c r="AX170" s="62">
        <v>5</v>
      </c>
      <c r="AY170" s="62">
        <v>0</v>
      </c>
      <c r="AZ170" s="62">
        <v>4</v>
      </c>
      <c r="BA170" s="72">
        <f t="shared" si="23"/>
        <v>3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3</v>
      </c>
      <c r="M171" s="62"/>
      <c r="N171" s="62">
        <v>3</v>
      </c>
      <c r="O171" s="62">
        <v>2</v>
      </c>
      <c r="P171" s="62"/>
      <c r="Q171" s="72">
        <f t="shared" si="17"/>
        <v>2.6666666666666665</v>
      </c>
      <c r="R171" s="62"/>
      <c r="S171" s="62"/>
      <c r="T171" s="62"/>
      <c r="U171" s="62"/>
      <c r="V171" s="62"/>
      <c r="W171" s="72" t="str">
        <f t="shared" si="18"/>
        <v>A</v>
      </c>
      <c r="X171" s="62"/>
      <c r="Y171" s="62"/>
      <c r="Z171" s="62"/>
      <c r="AA171" s="62"/>
      <c r="AB171" s="62"/>
      <c r="AC171" s="72" t="str">
        <f t="shared" si="19"/>
        <v>A</v>
      </c>
      <c r="AD171" s="62"/>
      <c r="AE171" s="62"/>
      <c r="AF171" s="62"/>
      <c r="AG171" s="62"/>
      <c r="AH171" s="62"/>
      <c r="AI171" s="72" t="str">
        <f t="shared" si="20"/>
        <v>A</v>
      </c>
      <c r="AJ171" s="62"/>
      <c r="AK171" s="62"/>
      <c r="AL171" s="62"/>
      <c r="AM171" s="62"/>
      <c r="AN171" s="62"/>
      <c r="AO171" s="72" t="str">
        <f t="shared" si="21"/>
        <v>A</v>
      </c>
      <c r="AP171" s="62"/>
      <c r="AQ171" s="62"/>
      <c r="AR171" s="62"/>
      <c r="AS171" s="62"/>
      <c r="AT171" s="62"/>
      <c r="AU171" s="72" t="str">
        <f t="shared" si="22"/>
        <v>A</v>
      </c>
      <c r="AV171" s="62"/>
      <c r="AW171" s="62"/>
      <c r="AX171" s="62">
        <v>5</v>
      </c>
      <c r="AY171" s="62">
        <v>2</v>
      </c>
      <c r="AZ171" s="62">
        <v>2</v>
      </c>
      <c r="BA171" s="72">
        <f t="shared" si="23"/>
        <v>3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4</v>
      </c>
      <c r="M172" s="62"/>
      <c r="N172" s="62">
        <v>4</v>
      </c>
      <c r="O172" s="62">
        <v>4</v>
      </c>
      <c r="P172" s="62"/>
      <c r="Q172" s="72">
        <f t="shared" si="17"/>
        <v>4</v>
      </c>
      <c r="R172" s="7"/>
      <c r="S172" s="7"/>
      <c r="T172" s="7"/>
      <c r="U172" s="7"/>
      <c r="V172" s="7"/>
      <c r="W172" s="72" t="str">
        <f t="shared" si="18"/>
        <v>A</v>
      </c>
      <c r="X172" s="7"/>
      <c r="Y172" s="7"/>
      <c r="Z172" s="7"/>
      <c r="AA172" s="7"/>
      <c r="AB172" s="7"/>
      <c r="AC172" s="72" t="str">
        <f t="shared" si="19"/>
        <v>A</v>
      </c>
      <c r="AD172" s="7"/>
      <c r="AE172" s="7"/>
      <c r="AF172" s="7"/>
      <c r="AG172" s="7"/>
      <c r="AH172" s="7"/>
      <c r="AI172" s="72" t="str">
        <f t="shared" si="20"/>
        <v>A</v>
      </c>
      <c r="AJ172" s="7"/>
      <c r="AK172" s="7"/>
      <c r="AL172" s="7"/>
      <c r="AM172" s="7"/>
      <c r="AN172" s="7"/>
      <c r="AO172" s="72" t="str">
        <f t="shared" si="21"/>
        <v>A</v>
      </c>
      <c r="AP172" s="7"/>
      <c r="AQ172" s="7"/>
      <c r="AR172" s="7"/>
      <c r="AS172" s="7"/>
      <c r="AT172" s="7"/>
      <c r="AU172" s="72" t="str">
        <f t="shared" si="22"/>
        <v>A</v>
      </c>
      <c r="AV172" s="7"/>
      <c r="AW172" s="7"/>
      <c r="AX172" s="62">
        <v>5</v>
      </c>
      <c r="AY172" s="62">
        <v>2</v>
      </c>
      <c r="AZ172" s="62">
        <v>4</v>
      </c>
      <c r="BA172" s="72">
        <f t="shared" si="23"/>
        <v>3.6666666666666665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4</v>
      </c>
      <c r="M173" s="62"/>
      <c r="N173" s="62">
        <v>4</v>
      </c>
      <c r="O173" s="62">
        <v>4</v>
      </c>
      <c r="P173" s="62"/>
      <c r="Q173" s="72">
        <f t="shared" si="17"/>
        <v>4</v>
      </c>
      <c r="R173" s="62"/>
      <c r="S173" s="62"/>
      <c r="T173" s="62"/>
      <c r="U173" s="62"/>
      <c r="V173" s="62"/>
      <c r="W173" s="72" t="str">
        <f t="shared" si="18"/>
        <v>A</v>
      </c>
      <c r="X173" s="62"/>
      <c r="Y173" s="62"/>
      <c r="Z173" s="62"/>
      <c r="AA173" s="62"/>
      <c r="AB173" s="62"/>
      <c r="AC173" s="72" t="str">
        <f t="shared" si="19"/>
        <v>A</v>
      </c>
      <c r="AD173" s="62"/>
      <c r="AE173" s="62"/>
      <c r="AF173" s="62"/>
      <c r="AG173" s="62"/>
      <c r="AH173" s="62"/>
      <c r="AI173" s="72" t="str">
        <f t="shared" si="20"/>
        <v>A</v>
      </c>
      <c r="AJ173" s="62"/>
      <c r="AK173" s="62"/>
      <c r="AL173" s="62"/>
      <c r="AM173" s="62"/>
      <c r="AN173" s="62"/>
      <c r="AO173" s="72" t="str">
        <f t="shared" si="21"/>
        <v>A</v>
      </c>
      <c r="AP173" s="62"/>
      <c r="AQ173" s="62"/>
      <c r="AR173" s="62"/>
      <c r="AS173" s="62"/>
      <c r="AT173" s="62"/>
      <c r="AU173" s="72" t="str">
        <f t="shared" si="22"/>
        <v>A</v>
      </c>
      <c r="AV173" s="62"/>
      <c r="AW173" s="62"/>
      <c r="AX173" s="62">
        <v>5</v>
      </c>
      <c r="AY173" s="62">
        <v>0</v>
      </c>
      <c r="AZ173" s="62">
        <v>5</v>
      </c>
      <c r="BA173" s="72">
        <f t="shared" si="23"/>
        <v>3.3333333333333335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2</v>
      </c>
      <c r="M174" s="62"/>
      <c r="N174" s="62">
        <v>2</v>
      </c>
      <c r="O174" s="62">
        <v>2</v>
      </c>
      <c r="P174" s="62"/>
      <c r="Q174" s="72">
        <f t="shared" si="17"/>
        <v>2</v>
      </c>
      <c r="R174" s="7"/>
      <c r="S174" s="7"/>
      <c r="T174" s="7"/>
      <c r="U174" s="7"/>
      <c r="V174" s="7"/>
      <c r="W174" s="72" t="str">
        <f t="shared" si="18"/>
        <v>A</v>
      </c>
      <c r="X174" s="7"/>
      <c r="Y174" s="7"/>
      <c r="Z174" s="7"/>
      <c r="AA174" s="7"/>
      <c r="AB174" s="7"/>
      <c r="AC174" s="72" t="str">
        <f t="shared" si="19"/>
        <v>A</v>
      </c>
      <c r="AD174" s="7"/>
      <c r="AE174" s="7"/>
      <c r="AF174" s="7"/>
      <c r="AG174" s="7"/>
      <c r="AH174" s="7"/>
      <c r="AI174" s="72" t="str">
        <f t="shared" si="20"/>
        <v>A</v>
      </c>
      <c r="AJ174" s="7"/>
      <c r="AK174" s="7"/>
      <c r="AL174" s="7"/>
      <c r="AM174" s="7"/>
      <c r="AN174" s="7"/>
      <c r="AO174" s="72" t="str">
        <f t="shared" si="21"/>
        <v>A</v>
      </c>
      <c r="AP174" s="7"/>
      <c r="AQ174" s="7"/>
      <c r="AR174" s="7"/>
      <c r="AS174" s="7"/>
      <c r="AT174" s="7"/>
      <c r="AU174" s="72" t="str">
        <f t="shared" si="22"/>
        <v>A</v>
      </c>
      <c r="AV174" s="7"/>
      <c r="AW174" s="7"/>
      <c r="AX174" s="62">
        <v>2</v>
      </c>
      <c r="AY174" s="62">
        <v>2</v>
      </c>
      <c r="AZ174" s="62">
        <v>2</v>
      </c>
      <c r="BA174" s="72">
        <f t="shared" si="23"/>
        <v>2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4</v>
      </c>
      <c r="M175" s="62"/>
      <c r="N175" s="62">
        <v>4</v>
      </c>
      <c r="O175" s="62">
        <v>4</v>
      </c>
      <c r="P175" s="62"/>
      <c r="Q175" s="72">
        <f t="shared" si="17"/>
        <v>4</v>
      </c>
      <c r="R175" s="62"/>
      <c r="S175" s="62"/>
      <c r="T175" s="62"/>
      <c r="U175" s="62"/>
      <c r="V175" s="62"/>
      <c r="W175" s="72" t="str">
        <f t="shared" si="18"/>
        <v>A</v>
      </c>
      <c r="X175" s="62"/>
      <c r="Y175" s="62"/>
      <c r="Z175" s="62"/>
      <c r="AA175" s="62"/>
      <c r="AB175" s="62"/>
      <c r="AC175" s="72" t="str">
        <f t="shared" si="19"/>
        <v>A</v>
      </c>
      <c r="AD175" s="62"/>
      <c r="AE175" s="62"/>
      <c r="AF175" s="62"/>
      <c r="AG175" s="62"/>
      <c r="AH175" s="62"/>
      <c r="AI175" s="72" t="str">
        <f t="shared" si="20"/>
        <v>A</v>
      </c>
      <c r="AJ175" s="62"/>
      <c r="AK175" s="62"/>
      <c r="AL175" s="62"/>
      <c r="AM175" s="62"/>
      <c r="AN175" s="62"/>
      <c r="AO175" s="72" t="str">
        <f t="shared" si="21"/>
        <v>A</v>
      </c>
      <c r="AP175" s="62"/>
      <c r="AQ175" s="62"/>
      <c r="AR175" s="62"/>
      <c r="AS175" s="62"/>
      <c r="AT175" s="62"/>
      <c r="AU175" s="72" t="str">
        <f t="shared" si="22"/>
        <v>A</v>
      </c>
      <c r="AV175" s="62"/>
      <c r="AW175" s="62"/>
      <c r="AX175" s="62">
        <v>5</v>
      </c>
      <c r="AY175" s="62">
        <v>2</v>
      </c>
      <c r="AZ175" s="62">
        <v>5</v>
      </c>
      <c r="BA175" s="72">
        <f t="shared" si="23"/>
        <v>4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1</v>
      </c>
      <c r="M176" s="62"/>
      <c r="N176" s="62">
        <v>1</v>
      </c>
      <c r="O176" s="62">
        <v>1</v>
      </c>
      <c r="P176" s="62"/>
      <c r="Q176" s="72">
        <f t="shared" si="17"/>
        <v>1</v>
      </c>
      <c r="R176" s="7"/>
      <c r="S176" s="7"/>
      <c r="T176" s="7"/>
      <c r="U176" s="7"/>
      <c r="V176" s="7"/>
      <c r="W176" s="72" t="str">
        <f t="shared" si="18"/>
        <v>A</v>
      </c>
      <c r="X176" s="7"/>
      <c r="Y176" s="7"/>
      <c r="Z176" s="7"/>
      <c r="AA176" s="7"/>
      <c r="AB176" s="7"/>
      <c r="AC176" s="72" t="str">
        <f t="shared" si="19"/>
        <v>A</v>
      </c>
      <c r="AD176" s="7"/>
      <c r="AE176" s="7"/>
      <c r="AF176" s="7"/>
      <c r="AG176" s="7"/>
      <c r="AH176" s="7"/>
      <c r="AI176" s="72" t="str">
        <f t="shared" si="20"/>
        <v>A</v>
      </c>
      <c r="AJ176" s="7"/>
      <c r="AK176" s="7"/>
      <c r="AL176" s="7"/>
      <c r="AM176" s="7"/>
      <c r="AN176" s="7"/>
      <c r="AO176" s="72" t="str">
        <f t="shared" si="21"/>
        <v>A</v>
      </c>
      <c r="AP176" s="7"/>
      <c r="AQ176" s="7"/>
      <c r="AR176" s="7"/>
      <c r="AS176" s="7"/>
      <c r="AT176" s="7"/>
      <c r="AU176" s="72" t="str">
        <f t="shared" si="22"/>
        <v>A</v>
      </c>
      <c r="AV176" s="7"/>
      <c r="AW176" s="7"/>
      <c r="AX176" s="62">
        <v>5</v>
      </c>
      <c r="AY176" s="62">
        <v>2</v>
      </c>
      <c r="AZ176" s="62">
        <v>1</v>
      </c>
      <c r="BA176" s="72">
        <f t="shared" si="23"/>
        <v>2.6666666666666665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2</v>
      </c>
      <c r="M177" s="62"/>
      <c r="N177" s="62">
        <v>3</v>
      </c>
      <c r="O177" s="62">
        <v>2</v>
      </c>
      <c r="P177" s="62"/>
      <c r="Q177" s="72">
        <f t="shared" si="17"/>
        <v>2.3333333333333335</v>
      </c>
      <c r="R177" s="62"/>
      <c r="S177" s="62"/>
      <c r="T177" s="62"/>
      <c r="U177" s="62"/>
      <c r="V177" s="62"/>
      <c r="W177" s="72" t="str">
        <f t="shared" si="18"/>
        <v>A</v>
      </c>
      <c r="X177" s="62"/>
      <c r="Y177" s="62"/>
      <c r="Z177" s="62"/>
      <c r="AA177" s="62"/>
      <c r="AB177" s="62"/>
      <c r="AC177" s="72" t="str">
        <f t="shared" si="19"/>
        <v>A</v>
      </c>
      <c r="AD177" s="62"/>
      <c r="AE177" s="62"/>
      <c r="AF177" s="62"/>
      <c r="AG177" s="62"/>
      <c r="AH177" s="62"/>
      <c r="AI177" s="72" t="str">
        <f t="shared" si="20"/>
        <v>A</v>
      </c>
      <c r="AJ177" s="62"/>
      <c r="AK177" s="62"/>
      <c r="AL177" s="62"/>
      <c r="AM177" s="62"/>
      <c r="AN177" s="62"/>
      <c r="AO177" s="72" t="str">
        <f t="shared" si="21"/>
        <v>A</v>
      </c>
      <c r="AP177" s="62"/>
      <c r="AQ177" s="62"/>
      <c r="AR177" s="62"/>
      <c r="AS177" s="62"/>
      <c r="AT177" s="62"/>
      <c r="AU177" s="72" t="str">
        <f t="shared" si="22"/>
        <v>A</v>
      </c>
      <c r="AV177" s="62"/>
      <c r="AW177" s="62"/>
      <c r="AX177" s="62">
        <v>5</v>
      </c>
      <c r="AY177" s="62">
        <v>0</v>
      </c>
      <c r="AZ177" s="62">
        <v>2</v>
      </c>
      <c r="BA177" s="72">
        <f t="shared" si="23"/>
        <v>2.3333333333333335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3</v>
      </c>
      <c r="M178" s="62"/>
      <c r="N178" s="62">
        <v>2</v>
      </c>
      <c r="O178" s="62">
        <v>2</v>
      </c>
      <c r="P178" s="62"/>
      <c r="Q178" s="72">
        <f t="shared" si="17"/>
        <v>2.3333333333333335</v>
      </c>
      <c r="R178" s="7"/>
      <c r="S178" s="7"/>
      <c r="T178" s="7"/>
      <c r="U178" s="7"/>
      <c r="V178" s="7"/>
      <c r="W178" s="72" t="str">
        <f t="shared" si="18"/>
        <v>A</v>
      </c>
      <c r="X178" s="7"/>
      <c r="Y178" s="7"/>
      <c r="Z178" s="7"/>
      <c r="AA178" s="7"/>
      <c r="AB178" s="7"/>
      <c r="AC178" s="72" t="str">
        <f t="shared" si="19"/>
        <v>A</v>
      </c>
      <c r="AD178" s="7"/>
      <c r="AE178" s="7"/>
      <c r="AF178" s="7"/>
      <c r="AG178" s="7"/>
      <c r="AH178" s="7"/>
      <c r="AI178" s="72" t="str">
        <f t="shared" si="20"/>
        <v>A</v>
      </c>
      <c r="AJ178" s="7"/>
      <c r="AK178" s="7"/>
      <c r="AL178" s="7"/>
      <c r="AM178" s="7"/>
      <c r="AN178" s="7"/>
      <c r="AO178" s="72" t="str">
        <f t="shared" si="21"/>
        <v>A</v>
      </c>
      <c r="AP178" s="7"/>
      <c r="AQ178" s="7"/>
      <c r="AR178" s="7"/>
      <c r="AS178" s="7"/>
      <c r="AT178" s="7"/>
      <c r="AU178" s="72" t="str">
        <f t="shared" si="22"/>
        <v>A</v>
      </c>
      <c r="AV178" s="7"/>
      <c r="AW178" s="7"/>
      <c r="AX178" s="62">
        <v>2</v>
      </c>
      <c r="AY178" s="62">
        <v>2</v>
      </c>
      <c r="AZ178" s="62">
        <v>2</v>
      </c>
      <c r="BA178" s="72">
        <f t="shared" si="23"/>
        <v>2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3</v>
      </c>
      <c r="M179" s="62"/>
      <c r="N179" s="62">
        <v>3</v>
      </c>
      <c r="O179" s="62">
        <v>2</v>
      </c>
      <c r="P179" s="62"/>
      <c r="Q179" s="72">
        <f t="shared" si="17"/>
        <v>2.6666666666666665</v>
      </c>
      <c r="R179" s="62"/>
      <c r="S179" s="62"/>
      <c r="T179" s="62"/>
      <c r="U179" s="62"/>
      <c r="V179" s="62"/>
      <c r="W179" s="72" t="str">
        <f t="shared" si="18"/>
        <v>A</v>
      </c>
      <c r="X179" s="62"/>
      <c r="Y179" s="62"/>
      <c r="Z179" s="62"/>
      <c r="AA179" s="62"/>
      <c r="AB179" s="62"/>
      <c r="AC179" s="72" t="str">
        <f t="shared" si="19"/>
        <v>A</v>
      </c>
      <c r="AD179" s="62"/>
      <c r="AE179" s="62"/>
      <c r="AF179" s="62"/>
      <c r="AG179" s="62"/>
      <c r="AH179" s="62"/>
      <c r="AI179" s="72" t="str">
        <f t="shared" si="20"/>
        <v>A</v>
      </c>
      <c r="AJ179" s="62"/>
      <c r="AK179" s="62"/>
      <c r="AL179" s="62"/>
      <c r="AM179" s="62"/>
      <c r="AN179" s="62"/>
      <c r="AO179" s="72" t="str">
        <f t="shared" si="21"/>
        <v>A</v>
      </c>
      <c r="AP179" s="62"/>
      <c r="AQ179" s="62"/>
      <c r="AR179" s="62"/>
      <c r="AS179" s="62"/>
      <c r="AT179" s="62"/>
      <c r="AU179" s="72" t="str">
        <f t="shared" si="22"/>
        <v>A</v>
      </c>
      <c r="AV179" s="62"/>
      <c r="AW179" s="62"/>
      <c r="AX179" s="62">
        <v>5</v>
      </c>
      <c r="AY179" s="62">
        <v>0</v>
      </c>
      <c r="AZ179" s="62">
        <v>2</v>
      </c>
      <c r="BA179" s="72">
        <f t="shared" si="23"/>
        <v>2.3333333333333335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3</v>
      </c>
      <c r="M180" s="62"/>
      <c r="N180" s="62">
        <v>3</v>
      </c>
      <c r="O180" s="62">
        <v>2</v>
      </c>
      <c r="P180" s="62"/>
      <c r="Q180" s="72">
        <f t="shared" si="17"/>
        <v>2.6666666666666665</v>
      </c>
      <c r="R180" s="7"/>
      <c r="S180" s="7"/>
      <c r="T180" s="7"/>
      <c r="U180" s="7"/>
      <c r="V180" s="7"/>
      <c r="W180" s="72" t="str">
        <f t="shared" si="18"/>
        <v>A</v>
      </c>
      <c r="X180" s="7"/>
      <c r="Y180" s="7"/>
      <c r="Z180" s="7"/>
      <c r="AA180" s="7"/>
      <c r="AB180" s="7"/>
      <c r="AC180" s="72" t="str">
        <f t="shared" si="19"/>
        <v>A</v>
      </c>
      <c r="AD180" s="7"/>
      <c r="AE180" s="7"/>
      <c r="AF180" s="7"/>
      <c r="AG180" s="7"/>
      <c r="AH180" s="7"/>
      <c r="AI180" s="72" t="str">
        <f t="shared" si="20"/>
        <v>A</v>
      </c>
      <c r="AJ180" s="7"/>
      <c r="AK180" s="7"/>
      <c r="AL180" s="7"/>
      <c r="AM180" s="7"/>
      <c r="AN180" s="7"/>
      <c r="AO180" s="72" t="str">
        <f t="shared" si="21"/>
        <v>A</v>
      </c>
      <c r="AP180" s="7"/>
      <c r="AQ180" s="7"/>
      <c r="AR180" s="7"/>
      <c r="AS180" s="7"/>
      <c r="AT180" s="7"/>
      <c r="AU180" s="72" t="str">
        <f t="shared" si="22"/>
        <v>A</v>
      </c>
      <c r="AV180" s="7"/>
      <c r="AW180" s="7"/>
      <c r="AX180" s="62">
        <v>5</v>
      </c>
      <c r="AY180" s="62">
        <v>0</v>
      </c>
      <c r="AZ180" s="62">
        <v>2</v>
      </c>
      <c r="BA180" s="72">
        <f t="shared" si="23"/>
        <v>2.3333333333333335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0</v>
      </c>
      <c r="M181" s="62"/>
      <c r="N181" s="62">
        <v>0</v>
      </c>
      <c r="O181" s="62">
        <v>0</v>
      </c>
      <c r="P181" s="62"/>
      <c r="Q181" s="72">
        <f t="shared" si="17"/>
        <v>0</v>
      </c>
      <c r="R181" s="62"/>
      <c r="S181" s="62"/>
      <c r="T181" s="62"/>
      <c r="U181" s="62"/>
      <c r="V181" s="62"/>
      <c r="W181" s="72" t="str">
        <f t="shared" si="18"/>
        <v>A</v>
      </c>
      <c r="X181" s="62"/>
      <c r="Y181" s="62"/>
      <c r="Z181" s="62"/>
      <c r="AA181" s="62"/>
      <c r="AB181" s="62"/>
      <c r="AC181" s="72" t="str">
        <f t="shared" si="19"/>
        <v>A</v>
      </c>
      <c r="AD181" s="62"/>
      <c r="AE181" s="62"/>
      <c r="AF181" s="62"/>
      <c r="AG181" s="62"/>
      <c r="AH181" s="62"/>
      <c r="AI181" s="72" t="str">
        <f t="shared" si="20"/>
        <v>A</v>
      </c>
      <c r="AJ181" s="62"/>
      <c r="AK181" s="62"/>
      <c r="AL181" s="62"/>
      <c r="AM181" s="62"/>
      <c r="AN181" s="62"/>
      <c r="AO181" s="72" t="str">
        <f t="shared" si="21"/>
        <v>A</v>
      </c>
      <c r="AP181" s="62"/>
      <c r="AQ181" s="62"/>
      <c r="AR181" s="62"/>
      <c r="AS181" s="62"/>
      <c r="AT181" s="62"/>
      <c r="AU181" s="72" t="str">
        <f t="shared" si="22"/>
        <v>A</v>
      </c>
      <c r="AV181" s="62"/>
      <c r="AW181" s="62"/>
      <c r="AX181" s="62">
        <v>0</v>
      </c>
      <c r="AY181" s="62">
        <v>0</v>
      </c>
      <c r="AZ181" s="62">
        <v>0</v>
      </c>
      <c r="BA181" s="72">
        <f t="shared" si="23"/>
        <v>0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3</v>
      </c>
      <c r="M182" s="62"/>
      <c r="N182" s="62">
        <v>4</v>
      </c>
      <c r="O182" s="62">
        <v>3</v>
      </c>
      <c r="P182" s="62"/>
      <c r="Q182" s="72">
        <f t="shared" si="17"/>
        <v>3.3333333333333335</v>
      </c>
      <c r="R182" s="7"/>
      <c r="S182" s="7"/>
      <c r="T182" s="7"/>
      <c r="U182" s="7"/>
      <c r="V182" s="7"/>
      <c r="W182" s="72" t="str">
        <f t="shared" si="18"/>
        <v>A</v>
      </c>
      <c r="X182" s="7"/>
      <c r="Y182" s="7"/>
      <c r="Z182" s="7"/>
      <c r="AA182" s="7"/>
      <c r="AB182" s="7"/>
      <c r="AC182" s="72" t="str">
        <f t="shared" si="19"/>
        <v>A</v>
      </c>
      <c r="AD182" s="7"/>
      <c r="AE182" s="7"/>
      <c r="AF182" s="7"/>
      <c r="AG182" s="7"/>
      <c r="AH182" s="7"/>
      <c r="AI182" s="72" t="str">
        <f t="shared" si="20"/>
        <v>A</v>
      </c>
      <c r="AJ182" s="7"/>
      <c r="AK182" s="7"/>
      <c r="AL182" s="7"/>
      <c r="AM182" s="7"/>
      <c r="AN182" s="7"/>
      <c r="AO182" s="72" t="str">
        <f t="shared" si="21"/>
        <v>A</v>
      </c>
      <c r="AP182" s="7"/>
      <c r="AQ182" s="7"/>
      <c r="AR182" s="7"/>
      <c r="AS182" s="7"/>
      <c r="AT182" s="7"/>
      <c r="AU182" s="72" t="str">
        <f t="shared" si="22"/>
        <v>A</v>
      </c>
      <c r="AV182" s="7"/>
      <c r="AW182" s="7"/>
      <c r="AX182" s="62">
        <v>5</v>
      </c>
      <c r="AY182" s="62">
        <v>0</v>
      </c>
      <c r="AZ182" s="62">
        <v>3</v>
      </c>
      <c r="BA182" s="72">
        <f t="shared" si="23"/>
        <v>2.6666666666666665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3</v>
      </c>
      <c r="M183" s="62"/>
      <c r="N183" s="62">
        <v>3</v>
      </c>
      <c r="O183" s="62">
        <v>3</v>
      </c>
      <c r="P183" s="62"/>
      <c r="Q183" s="72">
        <f t="shared" si="17"/>
        <v>3</v>
      </c>
      <c r="R183" s="62"/>
      <c r="S183" s="62"/>
      <c r="T183" s="62"/>
      <c r="U183" s="62"/>
      <c r="V183" s="62"/>
      <c r="W183" s="72" t="str">
        <f t="shared" si="18"/>
        <v>A</v>
      </c>
      <c r="X183" s="62"/>
      <c r="Y183" s="62"/>
      <c r="Z183" s="62"/>
      <c r="AA183" s="62"/>
      <c r="AB183" s="62"/>
      <c r="AC183" s="72" t="str">
        <f t="shared" si="19"/>
        <v>A</v>
      </c>
      <c r="AD183" s="62"/>
      <c r="AE183" s="62"/>
      <c r="AF183" s="62"/>
      <c r="AG183" s="62"/>
      <c r="AH183" s="62"/>
      <c r="AI183" s="72" t="str">
        <f t="shared" si="20"/>
        <v>A</v>
      </c>
      <c r="AJ183" s="62"/>
      <c r="AK183" s="62"/>
      <c r="AL183" s="62"/>
      <c r="AM183" s="62"/>
      <c r="AN183" s="62"/>
      <c r="AO183" s="72" t="str">
        <f t="shared" si="21"/>
        <v>A</v>
      </c>
      <c r="AP183" s="62"/>
      <c r="AQ183" s="62"/>
      <c r="AR183" s="62"/>
      <c r="AS183" s="62"/>
      <c r="AT183" s="62"/>
      <c r="AU183" s="72" t="str">
        <f t="shared" si="22"/>
        <v>A</v>
      </c>
      <c r="AV183" s="62"/>
      <c r="AW183" s="62"/>
      <c r="AX183" s="62">
        <v>5</v>
      </c>
      <c r="AY183" s="62">
        <v>2</v>
      </c>
      <c r="AZ183" s="62">
        <v>3</v>
      </c>
      <c r="BA183" s="72">
        <f t="shared" si="23"/>
        <v>3.3333333333333335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/>
      <c r="N184" s="62">
        <v>4</v>
      </c>
      <c r="O184" s="62">
        <v>5</v>
      </c>
      <c r="P184" s="62"/>
      <c r="Q184" s="72">
        <f t="shared" si="17"/>
        <v>4.333333333333333</v>
      </c>
      <c r="R184" s="7"/>
      <c r="S184" s="7"/>
      <c r="T184" s="7"/>
      <c r="U184" s="7"/>
      <c r="V184" s="7"/>
      <c r="W184" s="72" t="str">
        <f t="shared" si="18"/>
        <v>A</v>
      </c>
      <c r="X184" s="7"/>
      <c r="Y184" s="7"/>
      <c r="Z184" s="7"/>
      <c r="AA184" s="7"/>
      <c r="AB184" s="7"/>
      <c r="AC184" s="72" t="str">
        <f t="shared" si="19"/>
        <v>A</v>
      </c>
      <c r="AD184" s="7"/>
      <c r="AE184" s="7"/>
      <c r="AF184" s="7"/>
      <c r="AG184" s="7"/>
      <c r="AH184" s="7"/>
      <c r="AI184" s="72" t="str">
        <f t="shared" si="20"/>
        <v>A</v>
      </c>
      <c r="AJ184" s="7"/>
      <c r="AK184" s="7"/>
      <c r="AL184" s="7"/>
      <c r="AM184" s="7"/>
      <c r="AN184" s="7"/>
      <c r="AO184" s="72" t="str">
        <f t="shared" si="21"/>
        <v>A</v>
      </c>
      <c r="AP184" s="7"/>
      <c r="AQ184" s="7"/>
      <c r="AR184" s="7"/>
      <c r="AS184" s="7"/>
      <c r="AT184" s="7"/>
      <c r="AU184" s="72" t="str">
        <f t="shared" si="22"/>
        <v>A</v>
      </c>
      <c r="AV184" s="7"/>
      <c r="AW184" s="7"/>
      <c r="AX184" s="62">
        <v>5</v>
      </c>
      <c r="AY184" s="62">
        <v>0</v>
      </c>
      <c r="AZ184" s="62">
        <v>5</v>
      </c>
      <c r="BA184" s="72">
        <f t="shared" si="23"/>
        <v>3.3333333333333335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3</v>
      </c>
      <c r="M185" s="62"/>
      <c r="N185" s="62">
        <v>4</v>
      </c>
      <c r="O185" s="62">
        <v>4</v>
      </c>
      <c r="P185" s="62"/>
      <c r="Q185" s="72">
        <f t="shared" si="17"/>
        <v>3.6666666666666665</v>
      </c>
      <c r="R185" s="62"/>
      <c r="S185" s="62"/>
      <c r="T185" s="62"/>
      <c r="U185" s="62"/>
      <c r="V185" s="62"/>
      <c r="W185" s="72" t="str">
        <f t="shared" si="18"/>
        <v>A</v>
      </c>
      <c r="X185" s="62"/>
      <c r="Y185" s="62"/>
      <c r="Z185" s="62"/>
      <c r="AA185" s="62"/>
      <c r="AB185" s="62"/>
      <c r="AC185" s="72" t="str">
        <f t="shared" si="19"/>
        <v>A</v>
      </c>
      <c r="AD185" s="62"/>
      <c r="AE185" s="62"/>
      <c r="AF185" s="62"/>
      <c r="AG185" s="62"/>
      <c r="AH185" s="62"/>
      <c r="AI185" s="72" t="str">
        <f t="shared" si="20"/>
        <v>A</v>
      </c>
      <c r="AJ185" s="62"/>
      <c r="AK185" s="62"/>
      <c r="AL185" s="62"/>
      <c r="AM185" s="62"/>
      <c r="AN185" s="62"/>
      <c r="AO185" s="72" t="str">
        <f t="shared" si="21"/>
        <v>A</v>
      </c>
      <c r="AP185" s="62"/>
      <c r="AQ185" s="62"/>
      <c r="AR185" s="62"/>
      <c r="AS185" s="62"/>
      <c r="AT185" s="62"/>
      <c r="AU185" s="72" t="str">
        <f t="shared" si="22"/>
        <v>A</v>
      </c>
      <c r="AV185" s="62"/>
      <c r="AW185" s="62"/>
      <c r="AX185" s="62">
        <v>5</v>
      </c>
      <c r="AY185" s="62">
        <v>2</v>
      </c>
      <c r="AZ185" s="62">
        <v>4</v>
      </c>
      <c r="BA185" s="72">
        <f t="shared" si="23"/>
        <v>3.6666666666666665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1</v>
      </c>
      <c r="M186" s="62"/>
      <c r="N186" s="62">
        <v>1</v>
      </c>
      <c r="O186" s="62">
        <v>1</v>
      </c>
      <c r="P186" s="62"/>
      <c r="Q186" s="72">
        <f t="shared" si="17"/>
        <v>1</v>
      </c>
      <c r="R186" s="7"/>
      <c r="S186" s="7"/>
      <c r="T186" s="7"/>
      <c r="U186" s="7"/>
      <c r="V186" s="7"/>
      <c r="W186" s="72" t="str">
        <f t="shared" si="18"/>
        <v>A</v>
      </c>
      <c r="X186" s="7"/>
      <c r="Y186" s="7"/>
      <c r="Z186" s="7"/>
      <c r="AA186" s="7"/>
      <c r="AB186" s="7"/>
      <c r="AC186" s="72" t="str">
        <f t="shared" si="19"/>
        <v>A</v>
      </c>
      <c r="AD186" s="7"/>
      <c r="AE186" s="7"/>
      <c r="AF186" s="7"/>
      <c r="AG186" s="7"/>
      <c r="AH186" s="7"/>
      <c r="AI186" s="72" t="str">
        <f t="shared" si="20"/>
        <v>A</v>
      </c>
      <c r="AJ186" s="7"/>
      <c r="AK186" s="7"/>
      <c r="AL186" s="7"/>
      <c r="AM186" s="7"/>
      <c r="AN186" s="7"/>
      <c r="AO186" s="72" t="str">
        <f t="shared" si="21"/>
        <v>A</v>
      </c>
      <c r="AP186" s="7"/>
      <c r="AQ186" s="7"/>
      <c r="AR186" s="7"/>
      <c r="AS186" s="7"/>
      <c r="AT186" s="7"/>
      <c r="AU186" s="72" t="str">
        <f t="shared" si="22"/>
        <v>A</v>
      </c>
      <c r="AV186" s="7"/>
      <c r="AW186" s="7"/>
      <c r="AX186" s="62">
        <v>5</v>
      </c>
      <c r="AY186" s="62">
        <v>0</v>
      </c>
      <c r="AZ186" s="62">
        <v>1</v>
      </c>
      <c r="BA186" s="72">
        <f t="shared" si="23"/>
        <v>2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4</v>
      </c>
      <c r="M187" s="62"/>
      <c r="N187" s="62">
        <v>4</v>
      </c>
      <c r="O187" s="62">
        <v>4</v>
      </c>
      <c r="P187" s="62"/>
      <c r="Q187" s="72">
        <f t="shared" si="17"/>
        <v>4</v>
      </c>
      <c r="R187" s="62"/>
      <c r="S187" s="62"/>
      <c r="T187" s="62"/>
      <c r="U187" s="62"/>
      <c r="V187" s="62"/>
      <c r="W187" s="72" t="str">
        <f t="shared" si="18"/>
        <v>A</v>
      </c>
      <c r="X187" s="62"/>
      <c r="Y187" s="62"/>
      <c r="Z187" s="62"/>
      <c r="AA187" s="62"/>
      <c r="AB187" s="62"/>
      <c r="AC187" s="72" t="str">
        <f t="shared" si="19"/>
        <v>A</v>
      </c>
      <c r="AD187" s="62"/>
      <c r="AE187" s="62"/>
      <c r="AF187" s="62"/>
      <c r="AG187" s="62"/>
      <c r="AH187" s="62"/>
      <c r="AI187" s="72" t="str">
        <f t="shared" si="20"/>
        <v>A</v>
      </c>
      <c r="AJ187" s="62"/>
      <c r="AK187" s="62"/>
      <c r="AL187" s="62"/>
      <c r="AM187" s="62"/>
      <c r="AN187" s="62"/>
      <c r="AO187" s="72" t="str">
        <f t="shared" si="21"/>
        <v>A</v>
      </c>
      <c r="AP187" s="62"/>
      <c r="AQ187" s="62"/>
      <c r="AR187" s="62"/>
      <c r="AS187" s="62"/>
      <c r="AT187" s="62"/>
      <c r="AU187" s="72" t="str">
        <f t="shared" si="22"/>
        <v>A</v>
      </c>
      <c r="AV187" s="62"/>
      <c r="AW187" s="62"/>
      <c r="AX187" s="62">
        <v>5</v>
      </c>
      <c r="AY187" s="62">
        <v>2</v>
      </c>
      <c r="AZ187" s="62">
        <v>5</v>
      </c>
      <c r="BA187" s="72">
        <f t="shared" si="23"/>
        <v>4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3</v>
      </c>
      <c r="M188" s="62"/>
      <c r="N188" s="62">
        <v>3</v>
      </c>
      <c r="O188" s="62">
        <v>2</v>
      </c>
      <c r="P188" s="62"/>
      <c r="Q188" s="72">
        <f t="shared" si="17"/>
        <v>2.6666666666666665</v>
      </c>
      <c r="R188" s="7"/>
      <c r="S188" s="7"/>
      <c r="T188" s="7"/>
      <c r="U188" s="7"/>
      <c r="V188" s="7"/>
      <c r="W188" s="72" t="str">
        <f t="shared" si="18"/>
        <v>A</v>
      </c>
      <c r="X188" s="7"/>
      <c r="Y188" s="7"/>
      <c r="Z188" s="7"/>
      <c r="AA188" s="7"/>
      <c r="AB188" s="7"/>
      <c r="AC188" s="72" t="str">
        <f t="shared" si="19"/>
        <v>A</v>
      </c>
      <c r="AD188" s="7"/>
      <c r="AE188" s="7"/>
      <c r="AF188" s="7"/>
      <c r="AG188" s="7"/>
      <c r="AH188" s="7"/>
      <c r="AI188" s="72" t="str">
        <f t="shared" si="20"/>
        <v>A</v>
      </c>
      <c r="AJ188" s="7"/>
      <c r="AK188" s="7"/>
      <c r="AL188" s="7"/>
      <c r="AM188" s="7"/>
      <c r="AN188" s="7"/>
      <c r="AO188" s="72" t="str">
        <f t="shared" si="21"/>
        <v>A</v>
      </c>
      <c r="AP188" s="7"/>
      <c r="AQ188" s="7"/>
      <c r="AR188" s="7"/>
      <c r="AS188" s="7"/>
      <c r="AT188" s="7"/>
      <c r="AU188" s="72" t="str">
        <f t="shared" si="22"/>
        <v>A</v>
      </c>
      <c r="AV188" s="7"/>
      <c r="AW188" s="7"/>
      <c r="AX188" s="62">
        <v>5</v>
      </c>
      <c r="AY188" s="62">
        <v>2</v>
      </c>
      <c r="AZ188" s="62">
        <v>2</v>
      </c>
      <c r="BA188" s="72">
        <f t="shared" si="23"/>
        <v>3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/>
      <c r="N189" s="62">
        <v>2</v>
      </c>
      <c r="O189" s="62">
        <v>2</v>
      </c>
      <c r="P189" s="62"/>
      <c r="Q189" s="72">
        <f t="shared" si="17"/>
        <v>2</v>
      </c>
      <c r="R189" s="62"/>
      <c r="S189" s="62"/>
      <c r="T189" s="62"/>
      <c r="U189" s="62"/>
      <c r="V189" s="62"/>
      <c r="W189" s="72" t="str">
        <f t="shared" si="18"/>
        <v>A</v>
      </c>
      <c r="X189" s="62"/>
      <c r="Y189" s="62"/>
      <c r="Z189" s="62"/>
      <c r="AA189" s="62"/>
      <c r="AB189" s="62"/>
      <c r="AC189" s="72" t="str">
        <f t="shared" si="19"/>
        <v>A</v>
      </c>
      <c r="AD189" s="62"/>
      <c r="AE189" s="62"/>
      <c r="AF189" s="62"/>
      <c r="AG189" s="62"/>
      <c r="AH189" s="62"/>
      <c r="AI189" s="72" t="str">
        <f t="shared" si="20"/>
        <v>A</v>
      </c>
      <c r="AJ189" s="62"/>
      <c r="AK189" s="62"/>
      <c r="AL189" s="62"/>
      <c r="AM189" s="62"/>
      <c r="AN189" s="62"/>
      <c r="AO189" s="72" t="str">
        <f t="shared" si="21"/>
        <v>A</v>
      </c>
      <c r="AP189" s="62"/>
      <c r="AQ189" s="62"/>
      <c r="AR189" s="62"/>
      <c r="AS189" s="62"/>
      <c r="AT189" s="62"/>
      <c r="AU189" s="72" t="str">
        <f t="shared" si="22"/>
        <v>A</v>
      </c>
      <c r="AV189" s="62"/>
      <c r="AW189" s="62"/>
      <c r="AX189" s="62">
        <v>2</v>
      </c>
      <c r="AY189" s="62">
        <v>2</v>
      </c>
      <c r="AZ189" s="62">
        <v>2</v>
      </c>
      <c r="BA189" s="72">
        <f t="shared" si="23"/>
        <v>2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/>
      <c r="N190" s="62">
        <v>3</v>
      </c>
      <c r="O190" s="62">
        <v>3</v>
      </c>
      <c r="P190" s="62"/>
      <c r="Q190" s="72">
        <f t="shared" si="17"/>
        <v>3</v>
      </c>
      <c r="R190" s="7"/>
      <c r="S190" s="7"/>
      <c r="T190" s="7"/>
      <c r="U190" s="7"/>
      <c r="V190" s="7"/>
      <c r="W190" s="72" t="str">
        <f t="shared" si="18"/>
        <v>A</v>
      </c>
      <c r="X190" s="7"/>
      <c r="Y190" s="7"/>
      <c r="Z190" s="7"/>
      <c r="AA190" s="7"/>
      <c r="AB190" s="7"/>
      <c r="AC190" s="72" t="str">
        <f t="shared" si="19"/>
        <v>A</v>
      </c>
      <c r="AD190" s="7"/>
      <c r="AE190" s="7"/>
      <c r="AF190" s="7"/>
      <c r="AG190" s="7"/>
      <c r="AH190" s="7"/>
      <c r="AI190" s="72" t="str">
        <f t="shared" si="20"/>
        <v>A</v>
      </c>
      <c r="AJ190" s="7"/>
      <c r="AK190" s="7"/>
      <c r="AL190" s="7"/>
      <c r="AM190" s="7"/>
      <c r="AN190" s="7"/>
      <c r="AO190" s="72" t="str">
        <f t="shared" si="21"/>
        <v>A</v>
      </c>
      <c r="AP190" s="7"/>
      <c r="AQ190" s="7"/>
      <c r="AR190" s="7"/>
      <c r="AS190" s="7"/>
      <c r="AT190" s="7"/>
      <c r="AU190" s="72" t="str">
        <f t="shared" si="22"/>
        <v>A</v>
      </c>
      <c r="AV190" s="7"/>
      <c r="AW190" s="7"/>
      <c r="AX190" s="62">
        <v>5</v>
      </c>
      <c r="AY190" s="62">
        <v>0</v>
      </c>
      <c r="AZ190" s="62">
        <v>3</v>
      </c>
      <c r="BA190" s="72">
        <f t="shared" si="23"/>
        <v>2.6666666666666665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3</v>
      </c>
      <c r="M191" s="62"/>
      <c r="N191" s="62">
        <v>4</v>
      </c>
      <c r="O191" s="62">
        <v>3</v>
      </c>
      <c r="P191" s="62"/>
      <c r="Q191" s="72">
        <f t="shared" si="17"/>
        <v>3.3333333333333335</v>
      </c>
      <c r="R191" s="62"/>
      <c r="S191" s="62"/>
      <c r="T191" s="62"/>
      <c r="U191" s="62"/>
      <c r="V191" s="62"/>
      <c r="W191" s="72" t="str">
        <f t="shared" si="18"/>
        <v>A</v>
      </c>
      <c r="X191" s="62"/>
      <c r="Y191" s="62"/>
      <c r="Z191" s="62"/>
      <c r="AA191" s="62"/>
      <c r="AB191" s="62"/>
      <c r="AC191" s="72" t="str">
        <f t="shared" si="19"/>
        <v>A</v>
      </c>
      <c r="AD191" s="62"/>
      <c r="AE191" s="62"/>
      <c r="AF191" s="62"/>
      <c r="AG191" s="62"/>
      <c r="AH191" s="62"/>
      <c r="AI191" s="72" t="str">
        <f t="shared" si="20"/>
        <v>A</v>
      </c>
      <c r="AJ191" s="62"/>
      <c r="AK191" s="62"/>
      <c r="AL191" s="62"/>
      <c r="AM191" s="62"/>
      <c r="AN191" s="62"/>
      <c r="AO191" s="72" t="str">
        <f t="shared" si="21"/>
        <v>A</v>
      </c>
      <c r="AP191" s="62"/>
      <c r="AQ191" s="62"/>
      <c r="AR191" s="62"/>
      <c r="AS191" s="62"/>
      <c r="AT191" s="62"/>
      <c r="AU191" s="72" t="str">
        <f t="shared" si="22"/>
        <v>A</v>
      </c>
      <c r="AV191" s="62"/>
      <c r="AW191" s="62"/>
      <c r="AX191" s="62">
        <v>5</v>
      </c>
      <c r="AY191" s="62">
        <v>2</v>
      </c>
      <c r="AZ191" s="62">
        <v>3</v>
      </c>
      <c r="BA191" s="72">
        <f t="shared" si="23"/>
        <v>3.3333333333333335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3</v>
      </c>
      <c r="M192" s="62"/>
      <c r="N192" s="62">
        <v>3</v>
      </c>
      <c r="O192" s="62">
        <v>2</v>
      </c>
      <c r="P192" s="62"/>
      <c r="Q192" s="72">
        <f t="shared" si="17"/>
        <v>2.6666666666666665</v>
      </c>
      <c r="R192" s="7"/>
      <c r="S192" s="7"/>
      <c r="T192" s="7"/>
      <c r="U192" s="7"/>
      <c r="V192" s="7"/>
      <c r="W192" s="72" t="str">
        <f t="shared" si="18"/>
        <v>A</v>
      </c>
      <c r="X192" s="7"/>
      <c r="Y192" s="7"/>
      <c r="Z192" s="7"/>
      <c r="AA192" s="7"/>
      <c r="AB192" s="7"/>
      <c r="AC192" s="72" t="str">
        <f t="shared" si="19"/>
        <v>A</v>
      </c>
      <c r="AD192" s="7"/>
      <c r="AE192" s="7"/>
      <c r="AF192" s="7"/>
      <c r="AG192" s="7"/>
      <c r="AH192" s="7"/>
      <c r="AI192" s="72" t="str">
        <f t="shared" si="20"/>
        <v>A</v>
      </c>
      <c r="AJ192" s="7"/>
      <c r="AK192" s="7"/>
      <c r="AL192" s="7"/>
      <c r="AM192" s="7"/>
      <c r="AN192" s="7"/>
      <c r="AO192" s="72" t="str">
        <f t="shared" si="21"/>
        <v>A</v>
      </c>
      <c r="AP192" s="7"/>
      <c r="AQ192" s="7"/>
      <c r="AR192" s="7"/>
      <c r="AS192" s="7"/>
      <c r="AT192" s="7"/>
      <c r="AU192" s="72" t="str">
        <f t="shared" si="22"/>
        <v>A</v>
      </c>
      <c r="AV192" s="7"/>
      <c r="AW192" s="7"/>
      <c r="AX192" s="62">
        <v>4</v>
      </c>
      <c r="AY192" s="62">
        <v>2</v>
      </c>
      <c r="AZ192" s="62">
        <v>2</v>
      </c>
      <c r="BA192" s="72">
        <f t="shared" si="23"/>
        <v>2.6666666666666665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1</v>
      </c>
      <c r="M193" s="62"/>
      <c r="N193" s="62">
        <v>1</v>
      </c>
      <c r="O193" s="62">
        <v>1</v>
      </c>
      <c r="P193" s="62"/>
      <c r="Q193" s="72">
        <f t="shared" si="17"/>
        <v>1</v>
      </c>
      <c r="R193" s="62"/>
      <c r="S193" s="62"/>
      <c r="T193" s="62"/>
      <c r="U193" s="62"/>
      <c r="V193" s="62"/>
      <c r="W193" s="72" t="str">
        <f t="shared" si="18"/>
        <v>A</v>
      </c>
      <c r="X193" s="62"/>
      <c r="Y193" s="62"/>
      <c r="Z193" s="62"/>
      <c r="AA193" s="62"/>
      <c r="AB193" s="62"/>
      <c r="AC193" s="72" t="str">
        <f t="shared" si="19"/>
        <v>A</v>
      </c>
      <c r="AD193" s="62"/>
      <c r="AE193" s="62"/>
      <c r="AF193" s="62"/>
      <c r="AG193" s="62"/>
      <c r="AH193" s="62"/>
      <c r="AI193" s="72" t="str">
        <f t="shared" si="20"/>
        <v>A</v>
      </c>
      <c r="AJ193" s="62"/>
      <c r="AK193" s="62"/>
      <c r="AL193" s="62"/>
      <c r="AM193" s="62"/>
      <c r="AN193" s="62"/>
      <c r="AO193" s="72" t="str">
        <f t="shared" si="21"/>
        <v>A</v>
      </c>
      <c r="AP193" s="62"/>
      <c r="AQ193" s="62"/>
      <c r="AR193" s="62"/>
      <c r="AS193" s="62"/>
      <c r="AT193" s="62"/>
      <c r="AU193" s="72" t="str">
        <f t="shared" si="22"/>
        <v>A</v>
      </c>
      <c r="AV193" s="62"/>
      <c r="AW193" s="62"/>
      <c r="AX193" s="62">
        <v>5</v>
      </c>
      <c r="AY193" s="62">
        <v>2</v>
      </c>
      <c r="AZ193" s="62">
        <v>1</v>
      </c>
      <c r="BA193" s="72">
        <f t="shared" si="23"/>
        <v>2.6666666666666665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2</v>
      </c>
      <c r="M194" s="62"/>
      <c r="N194" s="62">
        <v>2</v>
      </c>
      <c r="O194" s="62">
        <v>1</v>
      </c>
      <c r="P194" s="62"/>
      <c r="Q194" s="72">
        <f t="shared" si="17"/>
        <v>1.6666666666666667</v>
      </c>
      <c r="R194" s="7"/>
      <c r="S194" s="7"/>
      <c r="T194" s="7"/>
      <c r="U194" s="7"/>
      <c r="V194" s="7"/>
      <c r="W194" s="72" t="str">
        <f t="shared" si="18"/>
        <v>A</v>
      </c>
      <c r="X194" s="7"/>
      <c r="Y194" s="7"/>
      <c r="Z194" s="7"/>
      <c r="AA194" s="7"/>
      <c r="AB194" s="7"/>
      <c r="AC194" s="72" t="str">
        <f t="shared" si="19"/>
        <v>A</v>
      </c>
      <c r="AD194" s="7"/>
      <c r="AE194" s="7"/>
      <c r="AF194" s="7"/>
      <c r="AG194" s="7"/>
      <c r="AH194" s="7"/>
      <c r="AI194" s="72" t="str">
        <f t="shared" si="20"/>
        <v>A</v>
      </c>
      <c r="AJ194" s="7"/>
      <c r="AK194" s="7"/>
      <c r="AL194" s="7"/>
      <c r="AM194" s="7"/>
      <c r="AN194" s="7"/>
      <c r="AO194" s="72" t="str">
        <f t="shared" si="21"/>
        <v>A</v>
      </c>
      <c r="AP194" s="7"/>
      <c r="AQ194" s="7"/>
      <c r="AR194" s="7"/>
      <c r="AS194" s="7"/>
      <c r="AT194" s="7"/>
      <c r="AU194" s="72" t="str">
        <f t="shared" si="22"/>
        <v>A</v>
      </c>
      <c r="AV194" s="7"/>
      <c r="AW194" s="7"/>
      <c r="AX194" s="62">
        <v>5</v>
      </c>
      <c r="AY194" s="62">
        <v>2</v>
      </c>
      <c r="AZ194" s="62">
        <v>1</v>
      </c>
      <c r="BA194" s="72">
        <f t="shared" si="23"/>
        <v>2.6666666666666665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/>
      <c r="N195" s="62">
        <v>3</v>
      </c>
      <c r="O195" s="62">
        <v>3</v>
      </c>
      <c r="P195" s="62"/>
      <c r="Q195" s="72">
        <f t="shared" si="17"/>
        <v>3</v>
      </c>
      <c r="R195" s="62"/>
      <c r="S195" s="62"/>
      <c r="T195" s="62"/>
      <c r="U195" s="62"/>
      <c r="V195" s="62"/>
      <c r="W195" s="72" t="str">
        <f t="shared" si="18"/>
        <v>A</v>
      </c>
      <c r="X195" s="62"/>
      <c r="Y195" s="62"/>
      <c r="Z195" s="62"/>
      <c r="AA195" s="62"/>
      <c r="AB195" s="62"/>
      <c r="AC195" s="72" t="str">
        <f t="shared" si="19"/>
        <v>A</v>
      </c>
      <c r="AD195" s="62"/>
      <c r="AE195" s="62"/>
      <c r="AF195" s="62"/>
      <c r="AG195" s="62"/>
      <c r="AH195" s="62"/>
      <c r="AI195" s="72" t="str">
        <f t="shared" si="20"/>
        <v>A</v>
      </c>
      <c r="AJ195" s="62"/>
      <c r="AK195" s="62"/>
      <c r="AL195" s="62"/>
      <c r="AM195" s="62"/>
      <c r="AN195" s="62"/>
      <c r="AO195" s="72" t="str">
        <f t="shared" si="21"/>
        <v>A</v>
      </c>
      <c r="AP195" s="62"/>
      <c r="AQ195" s="62"/>
      <c r="AR195" s="62"/>
      <c r="AS195" s="62"/>
      <c r="AT195" s="62"/>
      <c r="AU195" s="72" t="str">
        <f t="shared" si="22"/>
        <v>A</v>
      </c>
      <c r="AV195" s="62"/>
      <c r="AW195" s="62"/>
      <c r="AX195" s="62">
        <v>5</v>
      </c>
      <c r="AY195" s="62">
        <v>2</v>
      </c>
      <c r="AZ195" s="62">
        <v>4</v>
      </c>
      <c r="BA195" s="72">
        <f t="shared" si="23"/>
        <v>3.6666666666666665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3</v>
      </c>
      <c r="M196" s="62"/>
      <c r="N196" s="62">
        <v>4</v>
      </c>
      <c r="O196" s="62">
        <v>4</v>
      </c>
      <c r="P196" s="62"/>
      <c r="Q196" s="72">
        <f t="shared" ref="Q196:Q230" si="25">IFERROR(AVERAGE(N196,L196,O196),"A")</f>
        <v>3.6666666666666665</v>
      </c>
      <c r="R196" s="7"/>
      <c r="S196" s="7"/>
      <c r="T196" s="7"/>
      <c r="U196" s="7"/>
      <c r="V196" s="7"/>
      <c r="W196" s="72" t="str">
        <f t="shared" ref="W196:W230" si="26">IFERROR(AVERAGE(R196,S196,U196),"A")</f>
        <v>A</v>
      </c>
      <c r="X196" s="7"/>
      <c r="Y196" s="7"/>
      <c r="Z196" s="7"/>
      <c r="AA196" s="7"/>
      <c r="AB196" s="7"/>
      <c r="AC196" s="72" t="str">
        <f t="shared" ref="AC196:AC230" si="27">IFERROR(AVERAGE(Y196,X196),"A")</f>
        <v>A</v>
      </c>
      <c r="AD196" s="7"/>
      <c r="AE196" s="7"/>
      <c r="AF196" s="7"/>
      <c r="AG196" s="7"/>
      <c r="AH196" s="7"/>
      <c r="AI196" s="72" t="str">
        <f t="shared" ref="AI196:AI230" si="28">IFERROR(AVERAGE(AF196,AD196),"A")</f>
        <v>A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7"/>
      <c r="AQ196" s="7"/>
      <c r="AR196" s="7"/>
      <c r="AS196" s="7"/>
      <c r="AT196" s="7"/>
      <c r="AU196" s="72" t="str">
        <f t="shared" ref="AU196:AU230" si="30">IFERROR(AVERAGE(AR196,AQ196,AP196),"A")</f>
        <v>A</v>
      </c>
      <c r="AV196" s="7"/>
      <c r="AW196" s="7"/>
      <c r="AX196" s="62">
        <v>5</v>
      </c>
      <c r="AY196" s="62">
        <v>2</v>
      </c>
      <c r="AZ196" s="62">
        <v>5</v>
      </c>
      <c r="BA196" s="72">
        <f t="shared" ref="BA196:BA230" si="31">IFERROR(AVERAGE(AX196,AY196,AZ196),"A")</f>
        <v>4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2</v>
      </c>
      <c r="M197" s="62"/>
      <c r="N197" s="62">
        <v>2</v>
      </c>
      <c r="O197" s="62">
        <v>2</v>
      </c>
      <c r="P197" s="62"/>
      <c r="Q197" s="72">
        <f t="shared" si="25"/>
        <v>2</v>
      </c>
      <c r="R197" s="62"/>
      <c r="S197" s="62"/>
      <c r="T197" s="62"/>
      <c r="U197" s="62"/>
      <c r="V197" s="62"/>
      <c r="W197" s="72" t="str">
        <f t="shared" si="26"/>
        <v>A</v>
      </c>
      <c r="X197" s="62"/>
      <c r="Y197" s="62"/>
      <c r="Z197" s="62"/>
      <c r="AA197" s="62"/>
      <c r="AB197" s="62"/>
      <c r="AC197" s="72" t="str">
        <f t="shared" si="27"/>
        <v>A</v>
      </c>
      <c r="AD197" s="62"/>
      <c r="AE197" s="62"/>
      <c r="AF197" s="62"/>
      <c r="AG197" s="62"/>
      <c r="AH197" s="62"/>
      <c r="AI197" s="72" t="str">
        <f t="shared" si="28"/>
        <v>A</v>
      </c>
      <c r="AJ197" s="62"/>
      <c r="AK197" s="62"/>
      <c r="AL197" s="62"/>
      <c r="AM197" s="62"/>
      <c r="AN197" s="62"/>
      <c r="AO197" s="72" t="str">
        <f t="shared" si="29"/>
        <v>A</v>
      </c>
      <c r="AP197" s="62"/>
      <c r="AQ197" s="62"/>
      <c r="AR197" s="62"/>
      <c r="AS197" s="62"/>
      <c r="AT197" s="62"/>
      <c r="AU197" s="72" t="str">
        <f t="shared" si="30"/>
        <v>A</v>
      </c>
      <c r="AV197" s="62"/>
      <c r="AW197" s="62"/>
      <c r="AX197" s="62">
        <v>2</v>
      </c>
      <c r="AY197" s="62">
        <v>2</v>
      </c>
      <c r="AZ197" s="62">
        <v>2</v>
      </c>
      <c r="BA197" s="72">
        <f t="shared" si="31"/>
        <v>2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4</v>
      </c>
      <c r="M198" s="62"/>
      <c r="N198" s="62">
        <v>4</v>
      </c>
      <c r="O198" s="62">
        <v>4</v>
      </c>
      <c r="P198" s="62"/>
      <c r="Q198" s="72">
        <f t="shared" si="25"/>
        <v>4</v>
      </c>
      <c r="R198" s="7"/>
      <c r="S198" s="7"/>
      <c r="T198" s="7"/>
      <c r="U198" s="7"/>
      <c r="V198" s="7"/>
      <c r="W198" s="72" t="str">
        <f t="shared" si="26"/>
        <v>A</v>
      </c>
      <c r="X198" s="7"/>
      <c r="Y198" s="7"/>
      <c r="Z198" s="7"/>
      <c r="AA198" s="7"/>
      <c r="AB198" s="7"/>
      <c r="AC198" s="72" t="str">
        <f t="shared" si="27"/>
        <v>A</v>
      </c>
      <c r="AD198" s="7"/>
      <c r="AE198" s="7"/>
      <c r="AF198" s="7"/>
      <c r="AG198" s="7"/>
      <c r="AH198" s="7"/>
      <c r="AI198" s="72" t="str">
        <f t="shared" si="28"/>
        <v>A</v>
      </c>
      <c r="AJ198" s="7"/>
      <c r="AK198" s="7"/>
      <c r="AL198" s="7"/>
      <c r="AM198" s="7"/>
      <c r="AN198" s="7"/>
      <c r="AO198" s="72" t="str">
        <f t="shared" si="29"/>
        <v>A</v>
      </c>
      <c r="AP198" s="7"/>
      <c r="AQ198" s="7"/>
      <c r="AR198" s="7"/>
      <c r="AS198" s="7"/>
      <c r="AT198" s="7"/>
      <c r="AU198" s="72" t="str">
        <f t="shared" si="30"/>
        <v>A</v>
      </c>
      <c r="AV198" s="7"/>
      <c r="AW198" s="7"/>
      <c r="AX198" s="62">
        <v>5</v>
      </c>
      <c r="AY198" s="62">
        <v>2</v>
      </c>
      <c r="AZ198" s="62">
        <v>2</v>
      </c>
      <c r="BA198" s="72">
        <f t="shared" si="31"/>
        <v>3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/>
      <c r="N199" s="62">
        <v>3</v>
      </c>
      <c r="O199" s="62">
        <v>2</v>
      </c>
      <c r="P199" s="62"/>
      <c r="Q199" s="72">
        <f t="shared" si="25"/>
        <v>2.6666666666666665</v>
      </c>
      <c r="R199" s="62"/>
      <c r="S199" s="62"/>
      <c r="T199" s="62"/>
      <c r="U199" s="62"/>
      <c r="V199" s="62"/>
      <c r="W199" s="72" t="str">
        <f t="shared" si="26"/>
        <v>A</v>
      </c>
      <c r="X199" s="62"/>
      <c r="Y199" s="62"/>
      <c r="Z199" s="62"/>
      <c r="AA199" s="62"/>
      <c r="AB199" s="62"/>
      <c r="AC199" s="72" t="str">
        <f t="shared" si="27"/>
        <v>A</v>
      </c>
      <c r="AD199" s="62"/>
      <c r="AE199" s="62"/>
      <c r="AF199" s="62"/>
      <c r="AG199" s="62"/>
      <c r="AH199" s="62"/>
      <c r="AI199" s="72" t="str">
        <f t="shared" si="28"/>
        <v>A</v>
      </c>
      <c r="AJ199" s="62"/>
      <c r="AK199" s="62"/>
      <c r="AL199" s="62"/>
      <c r="AM199" s="62"/>
      <c r="AN199" s="62"/>
      <c r="AO199" s="72" t="str">
        <f t="shared" si="29"/>
        <v>A</v>
      </c>
      <c r="AP199" s="62"/>
      <c r="AQ199" s="62"/>
      <c r="AR199" s="62"/>
      <c r="AS199" s="62"/>
      <c r="AT199" s="62"/>
      <c r="AU199" s="72" t="str">
        <f t="shared" si="30"/>
        <v>A</v>
      </c>
      <c r="AV199" s="62"/>
      <c r="AW199" s="62"/>
      <c r="AX199" s="62">
        <v>2</v>
      </c>
      <c r="AY199" s="62">
        <v>2</v>
      </c>
      <c r="AZ199" s="62">
        <v>2</v>
      </c>
      <c r="BA199" s="72">
        <f t="shared" si="31"/>
        <v>2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2</v>
      </c>
      <c r="M200" s="62"/>
      <c r="N200" s="62">
        <v>2</v>
      </c>
      <c r="O200" s="62">
        <v>1</v>
      </c>
      <c r="P200" s="62"/>
      <c r="Q200" s="72">
        <f t="shared" si="25"/>
        <v>1.6666666666666667</v>
      </c>
      <c r="R200" s="7"/>
      <c r="S200" s="7"/>
      <c r="T200" s="7"/>
      <c r="U200" s="7"/>
      <c r="V200" s="7"/>
      <c r="W200" s="72" t="str">
        <f t="shared" si="26"/>
        <v>A</v>
      </c>
      <c r="X200" s="7"/>
      <c r="Y200" s="7"/>
      <c r="Z200" s="7"/>
      <c r="AA200" s="7"/>
      <c r="AB200" s="7"/>
      <c r="AC200" s="72" t="str">
        <f t="shared" si="27"/>
        <v>A</v>
      </c>
      <c r="AD200" s="7"/>
      <c r="AE200" s="7"/>
      <c r="AF200" s="7"/>
      <c r="AG200" s="7"/>
      <c r="AH200" s="7"/>
      <c r="AI200" s="72" t="str">
        <f t="shared" si="28"/>
        <v>A</v>
      </c>
      <c r="AJ200" s="7"/>
      <c r="AK200" s="7"/>
      <c r="AL200" s="7"/>
      <c r="AM200" s="7"/>
      <c r="AN200" s="7"/>
      <c r="AO200" s="72" t="str">
        <f t="shared" si="29"/>
        <v>A</v>
      </c>
      <c r="AP200" s="7"/>
      <c r="AQ200" s="7"/>
      <c r="AR200" s="7"/>
      <c r="AS200" s="7"/>
      <c r="AT200" s="7"/>
      <c r="AU200" s="72" t="str">
        <f t="shared" si="30"/>
        <v>A</v>
      </c>
      <c r="AV200" s="7"/>
      <c r="AW200" s="7"/>
      <c r="AX200" s="62">
        <v>5</v>
      </c>
      <c r="AY200" s="62">
        <v>0</v>
      </c>
      <c r="AZ200" s="62">
        <v>1</v>
      </c>
      <c r="BA200" s="72">
        <f t="shared" si="31"/>
        <v>2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3</v>
      </c>
      <c r="M201" s="62"/>
      <c r="N201" s="62">
        <v>4</v>
      </c>
      <c r="O201" s="62">
        <v>4</v>
      </c>
      <c r="P201" s="62"/>
      <c r="Q201" s="72">
        <f t="shared" si="25"/>
        <v>3.6666666666666665</v>
      </c>
      <c r="R201" s="62"/>
      <c r="S201" s="62"/>
      <c r="T201" s="62"/>
      <c r="U201" s="62"/>
      <c r="V201" s="62"/>
      <c r="W201" s="72" t="str">
        <f t="shared" si="26"/>
        <v>A</v>
      </c>
      <c r="X201" s="62"/>
      <c r="Y201" s="62"/>
      <c r="Z201" s="62"/>
      <c r="AA201" s="62"/>
      <c r="AB201" s="62"/>
      <c r="AC201" s="72" t="str">
        <f t="shared" si="27"/>
        <v>A</v>
      </c>
      <c r="AD201" s="62"/>
      <c r="AE201" s="62"/>
      <c r="AF201" s="62"/>
      <c r="AG201" s="62"/>
      <c r="AH201" s="62"/>
      <c r="AI201" s="72" t="str">
        <f t="shared" si="28"/>
        <v>A</v>
      </c>
      <c r="AJ201" s="62"/>
      <c r="AK201" s="62"/>
      <c r="AL201" s="62"/>
      <c r="AM201" s="62"/>
      <c r="AN201" s="62"/>
      <c r="AO201" s="72" t="str">
        <f t="shared" si="29"/>
        <v>A</v>
      </c>
      <c r="AP201" s="62"/>
      <c r="AQ201" s="62"/>
      <c r="AR201" s="62"/>
      <c r="AS201" s="62"/>
      <c r="AT201" s="62"/>
      <c r="AU201" s="72" t="str">
        <f t="shared" si="30"/>
        <v>A</v>
      </c>
      <c r="AV201" s="62"/>
      <c r="AW201" s="62"/>
      <c r="AX201" s="62">
        <v>4</v>
      </c>
      <c r="AY201" s="62">
        <v>2</v>
      </c>
      <c r="AZ201" s="62">
        <v>4</v>
      </c>
      <c r="BA201" s="72">
        <f t="shared" si="31"/>
        <v>3.3333333333333335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2</v>
      </c>
      <c r="M202" s="62"/>
      <c r="N202" s="62">
        <v>2</v>
      </c>
      <c r="O202" s="62">
        <v>2</v>
      </c>
      <c r="P202" s="62"/>
      <c r="Q202" s="72">
        <f t="shared" si="25"/>
        <v>2</v>
      </c>
      <c r="R202" s="7"/>
      <c r="S202" s="7"/>
      <c r="T202" s="7"/>
      <c r="U202" s="7"/>
      <c r="V202" s="7"/>
      <c r="W202" s="72" t="str">
        <f t="shared" si="26"/>
        <v>A</v>
      </c>
      <c r="X202" s="7"/>
      <c r="Y202" s="7"/>
      <c r="Z202" s="7"/>
      <c r="AA202" s="7"/>
      <c r="AB202" s="7"/>
      <c r="AC202" s="72" t="str">
        <f t="shared" si="27"/>
        <v>A</v>
      </c>
      <c r="AD202" s="7"/>
      <c r="AE202" s="7"/>
      <c r="AF202" s="7"/>
      <c r="AG202" s="7"/>
      <c r="AH202" s="7"/>
      <c r="AI202" s="72" t="str">
        <f t="shared" si="28"/>
        <v>A</v>
      </c>
      <c r="AJ202" s="7"/>
      <c r="AK202" s="7"/>
      <c r="AL202" s="7"/>
      <c r="AM202" s="7"/>
      <c r="AN202" s="7"/>
      <c r="AO202" s="72" t="str">
        <f t="shared" si="29"/>
        <v>A</v>
      </c>
      <c r="AP202" s="7"/>
      <c r="AQ202" s="7"/>
      <c r="AR202" s="7"/>
      <c r="AS202" s="7"/>
      <c r="AT202" s="7"/>
      <c r="AU202" s="72" t="str">
        <f t="shared" si="30"/>
        <v>A</v>
      </c>
      <c r="AV202" s="7"/>
      <c r="AW202" s="7"/>
      <c r="AX202" s="62">
        <v>5</v>
      </c>
      <c r="AY202" s="62">
        <v>2</v>
      </c>
      <c r="AZ202" s="62">
        <v>3</v>
      </c>
      <c r="BA202" s="72">
        <f t="shared" si="31"/>
        <v>3.3333333333333335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3</v>
      </c>
      <c r="M203" s="62"/>
      <c r="N203" s="62">
        <v>4</v>
      </c>
      <c r="O203" s="62">
        <v>3</v>
      </c>
      <c r="P203" s="62"/>
      <c r="Q203" s="72">
        <f t="shared" si="25"/>
        <v>3.3333333333333335</v>
      </c>
      <c r="R203" s="62"/>
      <c r="S203" s="62"/>
      <c r="T203" s="62"/>
      <c r="U203" s="62"/>
      <c r="V203" s="62"/>
      <c r="W203" s="72" t="str">
        <f t="shared" si="26"/>
        <v>A</v>
      </c>
      <c r="X203" s="62"/>
      <c r="Y203" s="62"/>
      <c r="Z203" s="62"/>
      <c r="AA203" s="62"/>
      <c r="AB203" s="62"/>
      <c r="AC203" s="72" t="str">
        <f t="shared" si="27"/>
        <v>A</v>
      </c>
      <c r="AD203" s="62"/>
      <c r="AE203" s="62"/>
      <c r="AF203" s="62"/>
      <c r="AG203" s="62"/>
      <c r="AH203" s="62"/>
      <c r="AI203" s="72" t="str">
        <f t="shared" si="28"/>
        <v>A</v>
      </c>
      <c r="AJ203" s="62"/>
      <c r="AK203" s="62"/>
      <c r="AL203" s="62"/>
      <c r="AM203" s="62"/>
      <c r="AN203" s="62"/>
      <c r="AO203" s="72" t="str">
        <f t="shared" si="29"/>
        <v>A</v>
      </c>
      <c r="AP203" s="62"/>
      <c r="AQ203" s="62"/>
      <c r="AR203" s="62"/>
      <c r="AS203" s="62"/>
      <c r="AT203" s="62"/>
      <c r="AU203" s="72" t="str">
        <f t="shared" si="30"/>
        <v>A</v>
      </c>
      <c r="AV203" s="62"/>
      <c r="AW203" s="62"/>
      <c r="AX203" s="62">
        <v>5</v>
      </c>
      <c r="AY203" s="62">
        <v>2</v>
      </c>
      <c r="AZ203" s="62">
        <v>1</v>
      </c>
      <c r="BA203" s="72">
        <f t="shared" si="31"/>
        <v>2.6666666666666665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3</v>
      </c>
      <c r="M204" s="62"/>
      <c r="N204" s="62">
        <v>4</v>
      </c>
      <c r="O204" s="62">
        <v>4</v>
      </c>
      <c r="P204" s="62"/>
      <c r="Q204" s="72">
        <f t="shared" si="25"/>
        <v>3.6666666666666665</v>
      </c>
      <c r="R204" s="7"/>
      <c r="S204" s="7"/>
      <c r="T204" s="7"/>
      <c r="U204" s="7"/>
      <c r="V204" s="7"/>
      <c r="W204" s="72" t="str">
        <f t="shared" si="26"/>
        <v>A</v>
      </c>
      <c r="X204" s="7"/>
      <c r="Y204" s="7"/>
      <c r="Z204" s="7"/>
      <c r="AA204" s="7"/>
      <c r="AB204" s="7"/>
      <c r="AC204" s="72" t="str">
        <f t="shared" si="27"/>
        <v>A</v>
      </c>
      <c r="AD204" s="7"/>
      <c r="AE204" s="7"/>
      <c r="AF204" s="7"/>
      <c r="AG204" s="7"/>
      <c r="AH204" s="7"/>
      <c r="AI204" s="72" t="str">
        <f t="shared" si="28"/>
        <v>A</v>
      </c>
      <c r="AJ204" s="7"/>
      <c r="AK204" s="7"/>
      <c r="AL204" s="7"/>
      <c r="AM204" s="7"/>
      <c r="AN204" s="7"/>
      <c r="AO204" s="72" t="str">
        <f t="shared" si="29"/>
        <v>A</v>
      </c>
      <c r="AP204" s="7"/>
      <c r="AQ204" s="7"/>
      <c r="AR204" s="7"/>
      <c r="AS204" s="7"/>
      <c r="AT204" s="7"/>
      <c r="AU204" s="72" t="str">
        <f t="shared" si="30"/>
        <v>A</v>
      </c>
      <c r="AV204" s="7"/>
      <c r="AW204" s="7"/>
      <c r="AX204" s="62">
        <v>4</v>
      </c>
      <c r="AY204" s="62">
        <v>2</v>
      </c>
      <c r="AZ204" s="62">
        <v>3</v>
      </c>
      <c r="BA204" s="72">
        <f t="shared" si="31"/>
        <v>3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/>
      <c r="N205" s="62">
        <v>2</v>
      </c>
      <c r="O205" s="62">
        <v>2</v>
      </c>
      <c r="P205" s="62"/>
      <c r="Q205" s="72">
        <f t="shared" si="25"/>
        <v>2</v>
      </c>
      <c r="R205" s="62"/>
      <c r="S205" s="62"/>
      <c r="T205" s="62"/>
      <c r="U205" s="62"/>
      <c r="V205" s="62"/>
      <c r="W205" s="72" t="str">
        <f t="shared" si="26"/>
        <v>A</v>
      </c>
      <c r="X205" s="62"/>
      <c r="Y205" s="62"/>
      <c r="Z205" s="62"/>
      <c r="AA205" s="62"/>
      <c r="AB205" s="62"/>
      <c r="AC205" s="72" t="str">
        <f t="shared" si="27"/>
        <v>A</v>
      </c>
      <c r="AD205" s="62"/>
      <c r="AE205" s="62"/>
      <c r="AF205" s="62"/>
      <c r="AG205" s="62"/>
      <c r="AH205" s="62"/>
      <c r="AI205" s="72" t="str">
        <f t="shared" si="28"/>
        <v>A</v>
      </c>
      <c r="AJ205" s="62"/>
      <c r="AK205" s="62"/>
      <c r="AL205" s="62"/>
      <c r="AM205" s="62"/>
      <c r="AN205" s="62"/>
      <c r="AO205" s="72" t="str">
        <f t="shared" si="29"/>
        <v>A</v>
      </c>
      <c r="AP205" s="62"/>
      <c r="AQ205" s="62"/>
      <c r="AR205" s="62"/>
      <c r="AS205" s="62"/>
      <c r="AT205" s="62"/>
      <c r="AU205" s="72" t="str">
        <f t="shared" si="30"/>
        <v>A</v>
      </c>
      <c r="AV205" s="62"/>
      <c r="AW205" s="62"/>
      <c r="AX205" s="62">
        <v>2</v>
      </c>
      <c r="AY205" s="62">
        <v>2</v>
      </c>
      <c r="AZ205" s="62">
        <v>2</v>
      </c>
      <c r="BA205" s="72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/>
      <c r="N206" s="62">
        <v>3</v>
      </c>
      <c r="O206" s="62">
        <v>4</v>
      </c>
      <c r="P206" s="62"/>
      <c r="Q206" s="72">
        <f t="shared" si="25"/>
        <v>3.3333333333333335</v>
      </c>
      <c r="R206" s="7"/>
      <c r="S206" s="7"/>
      <c r="T206" s="7"/>
      <c r="U206" s="7"/>
      <c r="V206" s="7"/>
      <c r="W206" s="72" t="str">
        <f t="shared" si="26"/>
        <v>A</v>
      </c>
      <c r="X206" s="7"/>
      <c r="Y206" s="7"/>
      <c r="Z206" s="7"/>
      <c r="AA206" s="7"/>
      <c r="AB206" s="7"/>
      <c r="AC206" s="72" t="str">
        <f t="shared" si="27"/>
        <v>A</v>
      </c>
      <c r="AD206" s="7"/>
      <c r="AE206" s="7"/>
      <c r="AF206" s="7"/>
      <c r="AG206" s="7"/>
      <c r="AH206" s="7"/>
      <c r="AI206" s="72" t="str">
        <f t="shared" si="28"/>
        <v>A</v>
      </c>
      <c r="AJ206" s="7"/>
      <c r="AK206" s="7"/>
      <c r="AL206" s="7"/>
      <c r="AM206" s="7"/>
      <c r="AN206" s="7"/>
      <c r="AO206" s="72" t="str">
        <f t="shared" si="29"/>
        <v>A</v>
      </c>
      <c r="AP206" s="7"/>
      <c r="AQ206" s="7"/>
      <c r="AR206" s="7"/>
      <c r="AS206" s="7"/>
      <c r="AT206" s="7"/>
      <c r="AU206" s="72" t="str">
        <f t="shared" si="30"/>
        <v>A</v>
      </c>
      <c r="AV206" s="7"/>
      <c r="AW206" s="7"/>
      <c r="AX206" s="62">
        <v>4</v>
      </c>
      <c r="AY206" s="62">
        <v>2</v>
      </c>
      <c r="AZ206" s="62">
        <v>4</v>
      </c>
      <c r="BA206" s="72">
        <f t="shared" si="31"/>
        <v>3.3333333333333335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1</v>
      </c>
      <c r="M207" s="62"/>
      <c r="N207" s="62">
        <v>1</v>
      </c>
      <c r="O207" s="62">
        <v>1</v>
      </c>
      <c r="P207" s="62"/>
      <c r="Q207" s="72">
        <f t="shared" si="25"/>
        <v>1</v>
      </c>
      <c r="R207" s="62"/>
      <c r="S207" s="62"/>
      <c r="T207" s="62"/>
      <c r="U207" s="62"/>
      <c r="V207" s="62"/>
      <c r="W207" s="72" t="str">
        <f t="shared" si="26"/>
        <v>A</v>
      </c>
      <c r="X207" s="62"/>
      <c r="Y207" s="62"/>
      <c r="Z207" s="62"/>
      <c r="AA207" s="62"/>
      <c r="AB207" s="62"/>
      <c r="AC207" s="72" t="str">
        <f t="shared" si="27"/>
        <v>A</v>
      </c>
      <c r="AD207" s="62"/>
      <c r="AE207" s="62"/>
      <c r="AF207" s="62"/>
      <c r="AG207" s="62"/>
      <c r="AH207" s="62"/>
      <c r="AI207" s="72" t="str">
        <f t="shared" si="28"/>
        <v>A</v>
      </c>
      <c r="AJ207" s="62"/>
      <c r="AK207" s="62"/>
      <c r="AL207" s="62"/>
      <c r="AM207" s="62"/>
      <c r="AN207" s="62"/>
      <c r="AO207" s="72" t="str">
        <f t="shared" si="29"/>
        <v>A</v>
      </c>
      <c r="AP207" s="62"/>
      <c r="AQ207" s="62"/>
      <c r="AR207" s="62"/>
      <c r="AS207" s="62"/>
      <c r="AT207" s="62"/>
      <c r="AU207" s="72" t="str">
        <f t="shared" si="30"/>
        <v>A</v>
      </c>
      <c r="AV207" s="62"/>
      <c r="AW207" s="62"/>
      <c r="AX207" s="62">
        <v>4</v>
      </c>
      <c r="AY207" s="62">
        <v>2</v>
      </c>
      <c r="AZ207" s="62">
        <v>1</v>
      </c>
      <c r="BA207" s="72">
        <f t="shared" si="31"/>
        <v>2.3333333333333335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3</v>
      </c>
      <c r="M208" s="62"/>
      <c r="N208" s="62">
        <v>3</v>
      </c>
      <c r="O208" s="62">
        <v>2</v>
      </c>
      <c r="P208" s="62"/>
      <c r="Q208" s="72">
        <f t="shared" si="25"/>
        <v>2.6666666666666665</v>
      </c>
      <c r="R208" s="7"/>
      <c r="S208" s="7"/>
      <c r="T208" s="7"/>
      <c r="U208" s="7"/>
      <c r="V208" s="7"/>
      <c r="W208" s="72" t="str">
        <f t="shared" si="26"/>
        <v>A</v>
      </c>
      <c r="X208" s="7"/>
      <c r="Y208" s="7"/>
      <c r="Z208" s="7"/>
      <c r="AA208" s="7"/>
      <c r="AB208" s="7"/>
      <c r="AC208" s="72" t="str">
        <f t="shared" si="27"/>
        <v>A</v>
      </c>
      <c r="AD208" s="7"/>
      <c r="AE208" s="7"/>
      <c r="AF208" s="7"/>
      <c r="AG208" s="7"/>
      <c r="AH208" s="7"/>
      <c r="AI208" s="72" t="str">
        <f t="shared" si="28"/>
        <v>A</v>
      </c>
      <c r="AJ208" s="7"/>
      <c r="AK208" s="7"/>
      <c r="AL208" s="7"/>
      <c r="AM208" s="7"/>
      <c r="AN208" s="7"/>
      <c r="AO208" s="72" t="str">
        <f t="shared" si="29"/>
        <v>A</v>
      </c>
      <c r="AP208" s="7"/>
      <c r="AQ208" s="7"/>
      <c r="AR208" s="7"/>
      <c r="AS208" s="7"/>
      <c r="AT208" s="7"/>
      <c r="AU208" s="72" t="str">
        <f t="shared" si="30"/>
        <v>A</v>
      </c>
      <c r="AV208" s="7"/>
      <c r="AW208" s="7"/>
      <c r="AX208" s="62">
        <v>4</v>
      </c>
      <c r="AY208" s="62">
        <v>2</v>
      </c>
      <c r="AZ208" s="62">
        <v>2</v>
      </c>
      <c r="BA208" s="72">
        <f t="shared" si="31"/>
        <v>2.6666666666666665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2</v>
      </c>
      <c r="M209" s="62"/>
      <c r="N209" s="62">
        <v>3</v>
      </c>
      <c r="O209" s="62">
        <v>1</v>
      </c>
      <c r="P209" s="62"/>
      <c r="Q209" s="72">
        <f t="shared" si="25"/>
        <v>2</v>
      </c>
      <c r="R209" s="62"/>
      <c r="S209" s="62"/>
      <c r="T209" s="62"/>
      <c r="U209" s="62"/>
      <c r="V209" s="62"/>
      <c r="W209" s="72" t="str">
        <f t="shared" si="26"/>
        <v>A</v>
      </c>
      <c r="X209" s="62"/>
      <c r="Y209" s="62"/>
      <c r="Z209" s="62"/>
      <c r="AA209" s="62"/>
      <c r="AB209" s="62"/>
      <c r="AC209" s="72" t="str">
        <f t="shared" si="27"/>
        <v>A</v>
      </c>
      <c r="AD209" s="62"/>
      <c r="AE209" s="62"/>
      <c r="AF209" s="62"/>
      <c r="AG209" s="62"/>
      <c r="AH209" s="62"/>
      <c r="AI209" s="72" t="str">
        <f t="shared" si="28"/>
        <v>A</v>
      </c>
      <c r="AJ209" s="62"/>
      <c r="AK209" s="62"/>
      <c r="AL209" s="62"/>
      <c r="AM209" s="62"/>
      <c r="AN209" s="62"/>
      <c r="AO209" s="72" t="str">
        <f t="shared" si="29"/>
        <v>A</v>
      </c>
      <c r="AP209" s="62"/>
      <c r="AQ209" s="62"/>
      <c r="AR209" s="62"/>
      <c r="AS209" s="62"/>
      <c r="AT209" s="62"/>
      <c r="AU209" s="72" t="str">
        <f t="shared" si="30"/>
        <v>A</v>
      </c>
      <c r="AV209" s="62"/>
      <c r="AW209" s="62"/>
      <c r="AX209" s="62">
        <v>4</v>
      </c>
      <c r="AY209" s="62">
        <v>2</v>
      </c>
      <c r="AZ209" s="62">
        <v>1</v>
      </c>
      <c r="BA209" s="72">
        <f t="shared" si="31"/>
        <v>2.3333333333333335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3</v>
      </c>
      <c r="M210" s="62"/>
      <c r="N210" s="62">
        <v>4</v>
      </c>
      <c r="O210" s="62">
        <v>4</v>
      </c>
      <c r="P210" s="62"/>
      <c r="Q210" s="72">
        <f t="shared" si="25"/>
        <v>3.6666666666666665</v>
      </c>
      <c r="R210" s="7"/>
      <c r="S210" s="7"/>
      <c r="T210" s="7"/>
      <c r="U210" s="7"/>
      <c r="V210" s="7"/>
      <c r="W210" s="72" t="str">
        <f t="shared" si="26"/>
        <v>A</v>
      </c>
      <c r="X210" s="7"/>
      <c r="Y210" s="7"/>
      <c r="Z210" s="7"/>
      <c r="AA210" s="7"/>
      <c r="AB210" s="7"/>
      <c r="AC210" s="72" t="str">
        <f t="shared" si="27"/>
        <v>A</v>
      </c>
      <c r="AD210" s="7"/>
      <c r="AE210" s="7"/>
      <c r="AF210" s="7"/>
      <c r="AG210" s="7"/>
      <c r="AH210" s="7"/>
      <c r="AI210" s="72" t="str">
        <f t="shared" si="28"/>
        <v>A</v>
      </c>
      <c r="AJ210" s="7"/>
      <c r="AK210" s="7"/>
      <c r="AL210" s="7"/>
      <c r="AM210" s="7"/>
      <c r="AN210" s="7"/>
      <c r="AO210" s="72" t="str">
        <f t="shared" si="29"/>
        <v>A</v>
      </c>
      <c r="AP210" s="7"/>
      <c r="AQ210" s="7"/>
      <c r="AR210" s="7"/>
      <c r="AS210" s="7"/>
      <c r="AT210" s="7"/>
      <c r="AU210" s="72" t="str">
        <f t="shared" si="30"/>
        <v>A</v>
      </c>
      <c r="AV210" s="7"/>
      <c r="AW210" s="7"/>
      <c r="AX210" s="62">
        <v>5</v>
      </c>
      <c r="AY210" s="62">
        <v>0</v>
      </c>
      <c r="AZ210" s="62">
        <v>4</v>
      </c>
      <c r="BA210" s="72">
        <f t="shared" si="31"/>
        <v>3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1</v>
      </c>
      <c r="M211" s="62"/>
      <c r="N211" s="62">
        <v>1</v>
      </c>
      <c r="O211" s="62">
        <v>1</v>
      </c>
      <c r="P211" s="62"/>
      <c r="Q211" s="72">
        <f t="shared" si="25"/>
        <v>1</v>
      </c>
      <c r="R211" s="62"/>
      <c r="S211" s="62"/>
      <c r="T211" s="62"/>
      <c r="U211" s="62"/>
      <c r="V211" s="62"/>
      <c r="W211" s="72" t="str">
        <f t="shared" si="26"/>
        <v>A</v>
      </c>
      <c r="X211" s="62"/>
      <c r="Y211" s="62"/>
      <c r="Z211" s="62"/>
      <c r="AA211" s="62"/>
      <c r="AB211" s="62"/>
      <c r="AC211" s="72" t="str">
        <f t="shared" si="27"/>
        <v>A</v>
      </c>
      <c r="AD211" s="62"/>
      <c r="AE211" s="62"/>
      <c r="AF211" s="62"/>
      <c r="AG211" s="62"/>
      <c r="AH211" s="62"/>
      <c r="AI211" s="72" t="str">
        <f t="shared" si="28"/>
        <v>A</v>
      </c>
      <c r="AJ211" s="62"/>
      <c r="AK211" s="62"/>
      <c r="AL211" s="62"/>
      <c r="AM211" s="62"/>
      <c r="AN211" s="62"/>
      <c r="AO211" s="72" t="str">
        <f t="shared" si="29"/>
        <v>A</v>
      </c>
      <c r="AP211" s="62"/>
      <c r="AQ211" s="62"/>
      <c r="AR211" s="62"/>
      <c r="AS211" s="62"/>
      <c r="AT211" s="62"/>
      <c r="AU211" s="72" t="str">
        <f t="shared" si="30"/>
        <v>A</v>
      </c>
      <c r="AV211" s="62"/>
      <c r="AW211" s="62"/>
      <c r="AX211" s="62">
        <v>5</v>
      </c>
      <c r="AY211" s="62">
        <v>2</v>
      </c>
      <c r="AZ211" s="62">
        <v>1</v>
      </c>
      <c r="BA211" s="72">
        <f t="shared" si="31"/>
        <v>2.6666666666666665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/>
      <c r="N212" s="62">
        <v>3</v>
      </c>
      <c r="O212" s="62">
        <v>3</v>
      </c>
      <c r="P212" s="62"/>
      <c r="Q212" s="72">
        <f t="shared" si="25"/>
        <v>3</v>
      </c>
      <c r="R212" s="7"/>
      <c r="S212" s="7"/>
      <c r="T212" s="7"/>
      <c r="U212" s="7"/>
      <c r="V212" s="7"/>
      <c r="W212" s="72" t="str">
        <f t="shared" si="26"/>
        <v>A</v>
      </c>
      <c r="X212" s="7"/>
      <c r="Y212" s="7"/>
      <c r="Z212" s="7"/>
      <c r="AA212" s="7"/>
      <c r="AB212" s="7"/>
      <c r="AC212" s="72" t="str">
        <f t="shared" si="27"/>
        <v>A</v>
      </c>
      <c r="AD212" s="7"/>
      <c r="AE212" s="7"/>
      <c r="AF212" s="7"/>
      <c r="AG212" s="7"/>
      <c r="AH212" s="7"/>
      <c r="AI212" s="72" t="str">
        <f t="shared" si="28"/>
        <v>A</v>
      </c>
      <c r="AJ212" s="7"/>
      <c r="AK212" s="7"/>
      <c r="AL212" s="7"/>
      <c r="AM212" s="7"/>
      <c r="AN212" s="7"/>
      <c r="AO212" s="72" t="str">
        <f t="shared" si="29"/>
        <v>A</v>
      </c>
      <c r="AP212" s="7"/>
      <c r="AQ212" s="7"/>
      <c r="AR212" s="7"/>
      <c r="AS212" s="7"/>
      <c r="AT212" s="7"/>
      <c r="AU212" s="72" t="str">
        <f t="shared" si="30"/>
        <v>A</v>
      </c>
      <c r="AV212" s="7"/>
      <c r="AW212" s="7"/>
      <c r="AX212" s="62">
        <v>4</v>
      </c>
      <c r="AY212" s="62">
        <v>2</v>
      </c>
      <c r="AZ212" s="62">
        <v>3</v>
      </c>
      <c r="BA212" s="72">
        <f t="shared" si="31"/>
        <v>3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 t="s">
        <v>582</v>
      </c>
      <c r="M213" s="62"/>
      <c r="N213" s="62" t="s">
        <v>582</v>
      </c>
      <c r="O213" s="62" t="s">
        <v>582</v>
      </c>
      <c r="P213" s="62"/>
      <c r="Q213" s="72" t="str">
        <f t="shared" si="25"/>
        <v>A</v>
      </c>
      <c r="R213" s="62"/>
      <c r="S213" s="62"/>
      <c r="T213" s="62"/>
      <c r="U213" s="62"/>
      <c r="V213" s="62"/>
      <c r="W213" s="72" t="str">
        <f t="shared" si="26"/>
        <v>A</v>
      </c>
      <c r="X213" s="62"/>
      <c r="Y213" s="62"/>
      <c r="Z213" s="62"/>
      <c r="AA213" s="62"/>
      <c r="AB213" s="62"/>
      <c r="AC213" s="72" t="str">
        <f t="shared" si="27"/>
        <v>A</v>
      </c>
      <c r="AD213" s="62"/>
      <c r="AE213" s="62"/>
      <c r="AF213" s="62"/>
      <c r="AG213" s="62"/>
      <c r="AH213" s="62"/>
      <c r="AI213" s="72" t="str">
        <f t="shared" si="28"/>
        <v>A</v>
      </c>
      <c r="AJ213" s="62"/>
      <c r="AK213" s="62"/>
      <c r="AL213" s="62"/>
      <c r="AM213" s="62"/>
      <c r="AN213" s="62"/>
      <c r="AO213" s="72" t="str">
        <f t="shared" si="29"/>
        <v>A</v>
      </c>
      <c r="AP213" s="62"/>
      <c r="AQ213" s="62"/>
      <c r="AR213" s="62"/>
      <c r="AS213" s="62"/>
      <c r="AT213" s="62"/>
      <c r="AU213" s="72" t="str">
        <f t="shared" si="30"/>
        <v>A</v>
      </c>
      <c r="AV213" s="62"/>
      <c r="AW213" s="62"/>
      <c r="AX213" s="62" t="s">
        <v>582</v>
      </c>
      <c r="AY213" s="62" t="s">
        <v>582</v>
      </c>
      <c r="AZ213" s="62" t="s">
        <v>582</v>
      </c>
      <c r="BA213" s="72" t="str">
        <f t="shared" si="31"/>
        <v>A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2</v>
      </c>
      <c r="M214" s="62"/>
      <c r="N214" s="62">
        <v>2</v>
      </c>
      <c r="O214" s="62">
        <v>2</v>
      </c>
      <c r="P214" s="62"/>
      <c r="Q214" s="72">
        <f t="shared" si="25"/>
        <v>2</v>
      </c>
      <c r="R214" s="7"/>
      <c r="S214" s="7"/>
      <c r="T214" s="7"/>
      <c r="U214" s="7"/>
      <c r="V214" s="7"/>
      <c r="W214" s="72" t="str">
        <f t="shared" si="26"/>
        <v>A</v>
      </c>
      <c r="X214" s="7"/>
      <c r="Y214" s="7"/>
      <c r="Z214" s="7"/>
      <c r="AA214" s="7"/>
      <c r="AB214" s="7"/>
      <c r="AC214" s="72" t="str">
        <f t="shared" si="27"/>
        <v>A</v>
      </c>
      <c r="AD214" s="7"/>
      <c r="AE214" s="7"/>
      <c r="AF214" s="7"/>
      <c r="AG214" s="7"/>
      <c r="AH214" s="7"/>
      <c r="AI214" s="72" t="str">
        <f t="shared" si="28"/>
        <v>A</v>
      </c>
      <c r="AJ214" s="7"/>
      <c r="AK214" s="7"/>
      <c r="AL214" s="7"/>
      <c r="AM214" s="7"/>
      <c r="AN214" s="7"/>
      <c r="AO214" s="72" t="str">
        <f t="shared" si="29"/>
        <v>A</v>
      </c>
      <c r="AP214" s="7"/>
      <c r="AQ214" s="7"/>
      <c r="AR214" s="7"/>
      <c r="AS214" s="7"/>
      <c r="AT214" s="7"/>
      <c r="AU214" s="72" t="str">
        <f t="shared" si="30"/>
        <v>A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1</v>
      </c>
      <c r="M215" s="62"/>
      <c r="N215" s="62">
        <v>1</v>
      </c>
      <c r="O215" s="62">
        <v>1</v>
      </c>
      <c r="P215" s="62"/>
      <c r="Q215" s="72">
        <f t="shared" si="25"/>
        <v>1</v>
      </c>
      <c r="R215" s="62"/>
      <c r="S215" s="62"/>
      <c r="T215" s="62"/>
      <c r="U215" s="62"/>
      <c r="V215" s="62"/>
      <c r="W215" s="72" t="str">
        <f t="shared" si="26"/>
        <v>A</v>
      </c>
      <c r="X215" s="62"/>
      <c r="Y215" s="62"/>
      <c r="Z215" s="62"/>
      <c r="AA215" s="62"/>
      <c r="AB215" s="62"/>
      <c r="AC215" s="72" t="str">
        <f t="shared" si="27"/>
        <v>A</v>
      </c>
      <c r="AD215" s="62"/>
      <c r="AE215" s="62"/>
      <c r="AF215" s="62"/>
      <c r="AG215" s="62"/>
      <c r="AH215" s="62"/>
      <c r="AI215" s="72" t="str">
        <f t="shared" si="28"/>
        <v>A</v>
      </c>
      <c r="AJ215" s="62"/>
      <c r="AK215" s="62"/>
      <c r="AL215" s="62"/>
      <c r="AM215" s="62"/>
      <c r="AN215" s="62"/>
      <c r="AO215" s="72" t="str">
        <f t="shared" si="29"/>
        <v>A</v>
      </c>
      <c r="AP215" s="62"/>
      <c r="AQ215" s="62"/>
      <c r="AR215" s="62"/>
      <c r="AS215" s="62"/>
      <c r="AT215" s="62"/>
      <c r="AU215" s="72" t="str">
        <f t="shared" si="30"/>
        <v>A</v>
      </c>
      <c r="AV215" s="62"/>
      <c r="AW215" s="62"/>
      <c r="AX215" s="62">
        <v>4</v>
      </c>
      <c r="AY215" s="62">
        <v>2</v>
      </c>
      <c r="AZ215" s="62">
        <v>1</v>
      </c>
      <c r="BA215" s="72">
        <f t="shared" si="31"/>
        <v>2.3333333333333335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3</v>
      </c>
      <c r="M216" s="62"/>
      <c r="N216" s="62">
        <v>3</v>
      </c>
      <c r="O216" s="62">
        <v>2</v>
      </c>
      <c r="P216" s="62"/>
      <c r="Q216" s="72">
        <f t="shared" si="25"/>
        <v>2.6666666666666665</v>
      </c>
      <c r="R216" s="7"/>
      <c r="S216" s="7"/>
      <c r="T216" s="7"/>
      <c r="U216" s="7"/>
      <c r="V216" s="7"/>
      <c r="W216" s="72" t="str">
        <f t="shared" si="26"/>
        <v>A</v>
      </c>
      <c r="X216" s="7"/>
      <c r="Y216" s="7"/>
      <c r="Z216" s="7"/>
      <c r="AA216" s="7"/>
      <c r="AB216" s="7"/>
      <c r="AC216" s="72" t="str">
        <f t="shared" si="27"/>
        <v>A</v>
      </c>
      <c r="AD216" s="7"/>
      <c r="AE216" s="7"/>
      <c r="AF216" s="7"/>
      <c r="AG216" s="7"/>
      <c r="AH216" s="7"/>
      <c r="AI216" s="72" t="str">
        <f t="shared" si="28"/>
        <v>A</v>
      </c>
      <c r="AJ216" s="7"/>
      <c r="AK216" s="7"/>
      <c r="AL216" s="7"/>
      <c r="AM216" s="7"/>
      <c r="AN216" s="7"/>
      <c r="AO216" s="72" t="str">
        <f t="shared" si="29"/>
        <v>A</v>
      </c>
      <c r="AP216" s="7"/>
      <c r="AQ216" s="7"/>
      <c r="AR216" s="7"/>
      <c r="AS216" s="7"/>
      <c r="AT216" s="7"/>
      <c r="AU216" s="72" t="str">
        <f t="shared" si="30"/>
        <v>A</v>
      </c>
      <c r="AV216" s="7"/>
      <c r="AW216" s="7"/>
      <c r="AX216" s="62">
        <v>4</v>
      </c>
      <c r="AY216" s="62">
        <v>2</v>
      </c>
      <c r="AZ216" s="62">
        <v>3</v>
      </c>
      <c r="BA216" s="72">
        <f t="shared" si="31"/>
        <v>3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3</v>
      </c>
      <c r="M217" s="62"/>
      <c r="N217" s="62">
        <v>2</v>
      </c>
      <c r="O217" s="62">
        <v>2</v>
      </c>
      <c r="P217" s="62"/>
      <c r="Q217" s="72">
        <f t="shared" si="25"/>
        <v>2.3333333333333335</v>
      </c>
      <c r="R217" s="62"/>
      <c r="S217" s="62"/>
      <c r="T217" s="62"/>
      <c r="U217" s="62"/>
      <c r="V217" s="62"/>
      <c r="W217" s="72" t="str">
        <f t="shared" si="26"/>
        <v>A</v>
      </c>
      <c r="X217" s="62"/>
      <c r="Y217" s="62"/>
      <c r="Z217" s="62"/>
      <c r="AA217" s="62"/>
      <c r="AB217" s="62"/>
      <c r="AC217" s="72" t="str">
        <f t="shared" si="27"/>
        <v>A</v>
      </c>
      <c r="AD217" s="62"/>
      <c r="AE217" s="62"/>
      <c r="AF217" s="62"/>
      <c r="AG217" s="62"/>
      <c r="AH217" s="62"/>
      <c r="AI217" s="72" t="str">
        <f t="shared" si="28"/>
        <v>A</v>
      </c>
      <c r="AJ217" s="62"/>
      <c r="AK217" s="62"/>
      <c r="AL217" s="62"/>
      <c r="AM217" s="62"/>
      <c r="AN217" s="62"/>
      <c r="AO217" s="72" t="str">
        <f t="shared" si="29"/>
        <v>A</v>
      </c>
      <c r="AP217" s="62"/>
      <c r="AQ217" s="62"/>
      <c r="AR217" s="62"/>
      <c r="AS217" s="62"/>
      <c r="AT217" s="62"/>
      <c r="AU217" s="72" t="str">
        <f t="shared" si="30"/>
        <v>A</v>
      </c>
      <c r="AV217" s="62"/>
      <c r="AW217" s="62"/>
      <c r="AX217" s="62">
        <v>4</v>
      </c>
      <c r="AY217" s="62">
        <v>2</v>
      </c>
      <c r="AZ217" s="62">
        <v>2</v>
      </c>
      <c r="BA217" s="72">
        <f t="shared" si="31"/>
        <v>2.6666666666666665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3</v>
      </c>
      <c r="M218" s="62"/>
      <c r="N218" s="62">
        <v>3</v>
      </c>
      <c r="O218" s="62">
        <v>1</v>
      </c>
      <c r="P218" s="62"/>
      <c r="Q218" s="72">
        <f t="shared" si="25"/>
        <v>2.3333333333333335</v>
      </c>
      <c r="R218" s="7"/>
      <c r="S218" s="7"/>
      <c r="T218" s="7"/>
      <c r="U218" s="7"/>
      <c r="V218" s="7"/>
      <c r="W218" s="72" t="str">
        <f t="shared" si="26"/>
        <v>A</v>
      </c>
      <c r="X218" s="7"/>
      <c r="Y218" s="7"/>
      <c r="Z218" s="7"/>
      <c r="AA218" s="7"/>
      <c r="AB218" s="7"/>
      <c r="AC218" s="72" t="str">
        <f t="shared" si="27"/>
        <v>A</v>
      </c>
      <c r="AD218" s="7"/>
      <c r="AE218" s="7"/>
      <c r="AF218" s="7"/>
      <c r="AG218" s="7"/>
      <c r="AH218" s="7"/>
      <c r="AI218" s="72" t="str">
        <f t="shared" si="28"/>
        <v>A</v>
      </c>
      <c r="AJ218" s="7"/>
      <c r="AK218" s="7"/>
      <c r="AL218" s="7"/>
      <c r="AM218" s="7"/>
      <c r="AN218" s="7"/>
      <c r="AO218" s="72" t="str">
        <f t="shared" si="29"/>
        <v>A</v>
      </c>
      <c r="AP218" s="7"/>
      <c r="AQ218" s="7"/>
      <c r="AR218" s="7"/>
      <c r="AS218" s="7"/>
      <c r="AT218" s="7"/>
      <c r="AU218" s="72" t="str">
        <f t="shared" si="30"/>
        <v>A</v>
      </c>
      <c r="AV218" s="7"/>
      <c r="AW218" s="7"/>
      <c r="AX218" s="62">
        <v>4</v>
      </c>
      <c r="AY218" s="62">
        <v>2</v>
      </c>
      <c r="AZ218" s="62">
        <v>1</v>
      </c>
      <c r="BA218" s="72">
        <f t="shared" si="31"/>
        <v>2.3333333333333335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/>
      <c r="N219" s="62">
        <v>2</v>
      </c>
      <c r="O219" s="62">
        <v>2</v>
      </c>
      <c r="P219" s="62"/>
      <c r="Q219" s="72">
        <f t="shared" si="25"/>
        <v>2</v>
      </c>
      <c r="R219" s="62"/>
      <c r="S219" s="62"/>
      <c r="T219" s="62"/>
      <c r="U219" s="62"/>
      <c r="V219" s="62"/>
      <c r="W219" s="72" t="str">
        <f t="shared" si="26"/>
        <v>A</v>
      </c>
      <c r="X219" s="62"/>
      <c r="Y219" s="62"/>
      <c r="Z219" s="62"/>
      <c r="AA219" s="62"/>
      <c r="AB219" s="62"/>
      <c r="AC219" s="72" t="str">
        <f t="shared" si="27"/>
        <v>A</v>
      </c>
      <c r="AD219" s="62"/>
      <c r="AE219" s="62"/>
      <c r="AF219" s="62"/>
      <c r="AG219" s="62"/>
      <c r="AH219" s="62"/>
      <c r="AI219" s="72" t="str">
        <f t="shared" si="28"/>
        <v>A</v>
      </c>
      <c r="AJ219" s="62"/>
      <c r="AK219" s="62"/>
      <c r="AL219" s="62"/>
      <c r="AM219" s="62"/>
      <c r="AN219" s="62"/>
      <c r="AO219" s="72" t="str">
        <f t="shared" si="29"/>
        <v>A</v>
      </c>
      <c r="AP219" s="62"/>
      <c r="AQ219" s="62"/>
      <c r="AR219" s="62"/>
      <c r="AS219" s="62"/>
      <c r="AT219" s="62"/>
      <c r="AU219" s="72" t="str">
        <f t="shared" si="30"/>
        <v>A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4</v>
      </c>
      <c r="M220" s="62"/>
      <c r="N220" s="62">
        <v>4</v>
      </c>
      <c r="O220" s="62">
        <v>4</v>
      </c>
      <c r="P220" s="62"/>
      <c r="Q220" s="72">
        <f t="shared" si="25"/>
        <v>4</v>
      </c>
      <c r="R220" s="7"/>
      <c r="S220" s="7"/>
      <c r="T220" s="7"/>
      <c r="U220" s="7"/>
      <c r="V220" s="7"/>
      <c r="W220" s="72" t="str">
        <f t="shared" si="26"/>
        <v>A</v>
      </c>
      <c r="X220" s="7"/>
      <c r="Y220" s="7"/>
      <c r="Z220" s="7"/>
      <c r="AA220" s="7"/>
      <c r="AB220" s="7"/>
      <c r="AC220" s="72" t="str">
        <f t="shared" si="27"/>
        <v>A</v>
      </c>
      <c r="AD220" s="7"/>
      <c r="AE220" s="7"/>
      <c r="AF220" s="7"/>
      <c r="AG220" s="7"/>
      <c r="AH220" s="7"/>
      <c r="AI220" s="72" t="str">
        <f t="shared" si="28"/>
        <v>A</v>
      </c>
      <c r="AJ220" s="7"/>
      <c r="AK220" s="7"/>
      <c r="AL220" s="7"/>
      <c r="AM220" s="7"/>
      <c r="AN220" s="7"/>
      <c r="AO220" s="72" t="str">
        <f t="shared" si="29"/>
        <v>A</v>
      </c>
      <c r="AP220" s="7"/>
      <c r="AQ220" s="7"/>
      <c r="AR220" s="7"/>
      <c r="AS220" s="7"/>
      <c r="AT220" s="7"/>
      <c r="AU220" s="72" t="str">
        <f t="shared" si="30"/>
        <v>A</v>
      </c>
      <c r="AV220" s="7"/>
      <c r="AW220" s="7"/>
      <c r="AX220" s="62">
        <v>4</v>
      </c>
      <c r="AY220" s="62">
        <v>2</v>
      </c>
      <c r="AZ220" s="62">
        <v>4</v>
      </c>
      <c r="BA220" s="72">
        <f t="shared" si="31"/>
        <v>3.3333333333333335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3</v>
      </c>
      <c r="M221" s="62"/>
      <c r="N221" s="62">
        <v>3</v>
      </c>
      <c r="O221" s="62">
        <v>2</v>
      </c>
      <c r="P221" s="62"/>
      <c r="Q221" s="72">
        <f t="shared" si="25"/>
        <v>2.6666666666666665</v>
      </c>
      <c r="R221" s="62"/>
      <c r="S221" s="62"/>
      <c r="T221" s="62"/>
      <c r="U221" s="62"/>
      <c r="V221" s="62"/>
      <c r="W221" s="72" t="str">
        <f t="shared" si="26"/>
        <v>A</v>
      </c>
      <c r="X221" s="62"/>
      <c r="Y221" s="62"/>
      <c r="Z221" s="62"/>
      <c r="AA221" s="62"/>
      <c r="AB221" s="62"/>
      <c r="AC221" s="72" t="str">
        <f t="shared" si="27"/>
        <v>A</v>
      </c>
      <c r="AD221" s="62"/>
      <c r="AE221" s="62"/>
      <c r="AF221" s="62"/>
      <c r="AG221" s="62"/>
      <c r="AH221" s="62"/>
      <c r="AI221" s="72" t="str">
        <f t="shared" si="28"/>
        <v>A</v>
      </c>
      <c r="AJ221" s="62"/>
      <c r="AK221" s="62"/>
      <c r="AL221" s="62"/>
      <c r="AM221" s="62"/>
      <c r="AN221" s="62"/>
      <c r="AO221" s="72" t="str">
        <f t="shared" si="29"/>
        <v>A</v>
      </c>
      <c r="AP221" s="62"/>
      <c r="AQ221" s="62"/>
      <c r="AR221" s="62"/>
      <c r="AS221" s="62"/>
      <c r="AT221" s="62"/>
      <c r="AU221" s="72" t="str">
        <f t="shared" si="30"/>
        <v>A</v>
      </c>
      <c r="AV221" s="62"/>
      <c r="AW221" s="62"/>
      <c r="AX221" s="62">
        <v>4</v>
      </c>
      <c r="AY221" s="62">
        <v>2</v>
      </c>
      <c r="AZ221" s="62">
        <v>3</v>
      </c>
      <c r="BA221" s="72">
        <f t="shared" si="31"/>
        <v>3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 t="s">
        <v>582</v>
      </c>
      <c r="M222" s="62"/>
      <c r="N222" s="62" t="s">
        <v>582</v>
      </c>
      <c r="O222" s="62" t="s">
        <v>582</v>
      </c>
      <c r="P222" s="62"/>
      <c r="Q222" s="72" t="str">
        <f t="shared" si="25"/>
        <v>A</v>
      </c>
      <c r="R222" s="7"/>
      <c r="S222" s="7"/>
      <c r="T222" s="7"/>
      <c r="U222" s="7"/>
      <c r="V222" s="7"/>
      <c r="W222" s="72" t="str">
        <f t="shared" si="26"/>
        <v>A</v>
      </c>
      <c r="X222" s="7"/>
      <c r="Y222" s="7"/>
      <c r="Z222" s="7"/>
      <c r="AA222" s="7"/>
      <c r="AB222" s="7"/>
      <c r="AC222" s="72" t="str">
        <f t="shared" si="27"/>
        <v>A</v>
      </c>
      <c r="AD222" s="7"/>
      <c r="AE222" s="7"/>
      <c r="AF222" s="7"/>
      <c r="AG222" s="7"/>
      <c r="AH222" s="7"/>
      <c r="AI222" s="72" t="str">
        <f t="shared" si="28"/>
        <v>A</v>
      </c>
      <c r="AJ222" s="7"/>
      <c r="AK222" s="7"/>
      <c r="AL222" s="7"/>
      <c r="AM222" s="7"/>
      <c r="AN222" s="7"/>
      <c r="AO222" s="72" t="str">
        <f t="shared" si="29"/>
        <v>A</v>
      </c>
      <c r="AP222" s="7"/>
      <c r="AQ222" s="7"/>
      <c r="AR222" s="7"/>
      <c r="AS222" s="7"/>
      <c r="AT222" s="7"/>
      <c r="AU222" s="72" t="str">
        <f t="shared" si="30"/>
        <v>A</v>
      </c>
      <c r="AV222" s="7"/>
      <c r="AW222" s="7"/>
      <c r="AX222" s="62" t="s">
        <v>582</v>
      </c>
      <c r="AY222" s="62" t="s">
        <v>582</v>
      </c>
      <c r="AZ222" s="62" t="s">
        <v>582</v>
      </c>
      <c r="BA222" s="72" t="str">
        <f t="shared" si="31"/>
        <v>A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1</v>
      </c>
      <c r="M223" s="62"/>
      <c r="N223" s="62">
        <v>1</v>
      </c>
      <c r="O223" s="62">
        <v>1</v>
      </c>
      <c r="P223" s="62"/>
      <c r="Q223" s="72">
        <f t="shared" si="25"/>
        <v>1</v>
      </c>
      <c r="R223" s="62"/>
      <c r="S223" s="62"/>
      <c r="T223" s="62"/>
      <c r="U223" s="62"/>
      <c r="V223" s="62"/>
      <c r="W223" s="72" t="str">
        <f t="shared" si="26"/>
        <v>A</v>
      </c>
      <c r="X223" s="62"/>
      <c r="Y223" s="62"/>
      <c r="Z223" s="62"/>
      <c r="AA223" s="62"/>
      <c r="AB223" s="62"/>
      <c r="AC223" s="72" t="str">
        <f t="shared" si="27"/>
        <v>A</v>
      </c>
      <c r="AD223" s="62"/>
      <c r="AE223" s="62"/>
      <c r="AF223" s="62"/>
      <c r="AG223" s="62"/>
      <c r="AH223" s="62"/>
      <c r="AI223" s="72" t="str">
        <f t="shared" si="28"/>
        <v>A</v>
      </c>
      <c r="AJ223" s="62"/>
      <c r="AK223" s="62"/>
      <c r="AL223" s="62"/>
      <c r="AM223" s="62"/>
      <c r="AN223" s="62"/>
      <c r="AO223" s="72" t="str">
        <f t="shared" si="29"/>
        <v>A</v>
      </c>
      <c r="AP223" s="62"/>
      <c r="AQ223" s="62"/>
      <c r="AR223" s="62"/>
      <c r="AS223" s="62"/>
      <c r="AT223" s="62"/>
      <c r="AU223" s="72" t="str">
        <f t="shared" si="30"/>
        <v>A</v>
      </c>
      <c r="AV223" s="62"/>
      <c r="AW223" s="62"/>
      <c r="AX223" s="62">
        <v>4</v>
      </c>
      <c r="AY223" s="62">
        <v>2</v>
      </c>
      <c r="AZ223" s="62">
        <v>1</v>
      </c>
      <c r="BA223" s="72">
        <f t="shared" si="31"/>
        <v>2.3333333333333335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4</v>
      </c>
      <c r="M224" s="62"/>
      <c r="N224" s="62">
        <v>4</v>
      </c>
      <c r="O224" s="62">
        <v>4</v>
      </c>
      <c r="P224" s="62"/>
      <c r="Q224" s="72">
        <f t="shared" si="25"/>
        <v>4</v>
      </c>
      <c r="R224" s="7"/>
      <c r="S224" s="7"/>
      <c r="T224" s="7"/>
      <c r="U224" s="7"/>
      <c r="V224" s="7"/>
      <c r="W224" s="72" t="str">
        <f t="shared" si="26"/>
        <v>A</v>
      </c>
      <c r="X224" s="7"/>
      <c r="Y224" s="7"/>
      <c r="Z224" s="7"/>
      <c r="AA224" s="7"/>
      <c r="AB224" s="7"/>
      <c r="AC224" s="72" t="str">
        <f t="shared" si="27"/>
        <v>A</v>
      </c>
      <c r="AD224" s="7"/>
      <c r="AE224" s="7"/>
      <c r="AF224" s="7"/>
      <c r="AG224" s="7"/>
      <c r="AH224" s="7"/>
      <c r="AI224" s="72" t="str">
        <f t="shared" si="28"/>
        <v>A</v>
      </c>
      <c r="AJ224" s="7"/>
      <c r="AK224" s="7"/>
      <c r="AL224" s="7"/>
      <c r="AM224" s="7"/>
      <c r="AN224" s="7"/>
      <c r="AO224" s="72" t="str">
        <f t="shared" si="29"/>
        <v>A</v>
      </c>
      <c r="AP224" s="7"/>
      <c r="AQ224" s="7"/>
      <c r="AR224" s="7"/>
      <c r="AS224" s="7"/>
      <c r="AT224" s="7"/>
      <c r="AU224" s="72" t="str">
        <f t="shared" si="30"/>
        <v>A</v>
      </c>
      <c r="AV224" s="7"/>
      <c r="AW224" s="7"/>
      <c r="AX224" s="62">
        <v>4</v>
      </c>
      <c r="AY224" s="62">
        <v>2</v>
      </c>
      <c r="AZ224" s="62">
        <v>4</v>
      </c>
      <c r="BA224" s="72">
        <f t="shared" si="31"/>
        <v>3.3333333333333335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3</v>
      </c>
      <c r="M225" s="62"/>
      <c r="N225" s="62">
        <v>4</v>
      </c>
      <c r="O225" s="62">
        <v>3</v>
      </c>
      <c r="P225" s="62"/>
      <c r="Q225" s="72">
        <f t="shared" si="25"/>
        <v>3.3333333333333335</v>
      </c>
      <c r="R225" s="62"/>
      <c r="S225" s="62"/>
      <c r="T225" s="62"/>
      <c r="U225" s="62"/>
      <c r="V225" s="62"/>
      <c r="W225" s="72" t="str">
        <f t="shared" si="26"/>
        <v>A</v>
      </c>
      <c r="X225" s="62"/>
      <c r="Y225" s="62"/>
      <c r="Z225" s="62"/>
      <c r="AA225" s="62"/>
      <c r="AB225" s="62"/>
      <c r="AC225" s="72" t="str">
        <f t="shared" si="27"/>
        <v>A</v>
      </c>
      <c r="AD225" s="62"/>
      <c r="AE225" s="62"/>
      <c r="AF225" s="62"/>
      <c r="AG225" s="62"/>
      <c r="AH225" s="62"/>
      <c r="AI225" s="72" t="str">
        <f t="shared" si="28"/>
        <v>A</v>
      </c>
      <c r="AJ225" s="62"/>
      <c r="AK225" s="62"/>
      <c r="AL225" s="62"/>
      <c r="AM225" s="62"/>
      <c r="AN225" s="62"/>
      <c r="AO225" s="72" t="str">
        <f t="shared" si="29"/>
        <v>A</v>
      </c>
      <c r="AP225" s="62"/>
      <c r="AQ225" s="62"/>
      <c r="AR225" s="62"/>
      <c r="AS225" s="62"/>
      <c r="AT225" s="62"/>
      <c r="AU225" s="72" t="str">
        <f t="shared" si="30"/>
        <v>A</v>
      </c>
      <c r="AV225" s="62"/>
      <c r="AW225" s="62"/>
      <c r="AX225" s="62">
        <v>4</v>
      </c>
      <c r="AY225" s="62">
        <v>2</v>
      </c>
      <c r="AZ225" s="62">
        <v>3</v>
      </c>
      <c r="BA225" s="72">
        <f t="shared" si="31"/>
        <v>3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2</v>
      </c>
      <c r="M226" s="62"/>
      <c r="N226" s="62">
        <v>3</v>
      </c>
      <c r="O226" s="62">
        <v>3</v>
      </c>
      <c r="P226" s="62"/>
      <c r="Q226" s="72">
        <f t="shared" si="25"/>
        <v>2.6666666666666665</v>
      </c>
      <c r="R226" s="7"/>
      <c r="S226" s="7"/>
      <c r="T226" s="7"/>
      <c r="U226" s="7"/>
      <c r="V226" s="7"/>
      <c r="W226" s="72" t="str">
        <f t="shared" si="26"/>
        <v>A</v>
      </c>
      <c r="X226" s="7"/>
      <c r="Y226" s="7"/>
      <c r="Z226" s="7"/>
      <c r="AA226" s="7"/>
      <c r="AB226" s="7"/>
      <c r="AC226" s="72" t="str">
        <f t="shared" si="27"/>
        <v>A</v>
      </c>
      <c r="AD226" s="7"/>
      <c r="AE226" s="7"/>
      <c r="AF226" s="7"/>
      <c r="AG226" s="7"/>
      <c r="AH226" s="7"/>
      <c r="AI226" s="72" t="str">
        <f t="shared" si="28"/>
        <v>A</v>
      </c>
      <c r="AJ226" s="7"/>
      <c r="AK226" s="7"/>
      <c r="AL226" s="7"/>
      <c r="AM226" s="7"/>
      <c r="AN226" s="7"/>
      <c r="AO226" s="72" t="str">
        <f t="shared" si="29"/>
        <v>A</v>
      </c>
      <c r="AP226" s="7"/>
      <c r="AQ226" s="7"/>
      <c r="AR226" s="7"/>
      <c r="AS226" s="7"/>
      <c r="AT226" s="7"/>
      <c r="AU226" s="72" t="str">
        <f t="shared" si="30"/>
        <v>A</v>
      </c>
      <c r="AV226" s="7"/>
      <c r="AW226" s="7"/>
      <c r="AX226" s="62">
        <v>4</v>
      </c>
      <c r="AY226" s="62">
        <v>2</v>
      </c>
      <c r="AZ226" s="62">
        <v>3</v>
      </c>
      <c r="BA226" s="72">
        <f t="shared" si="31"/>
        <v>3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3</v>
      </c>
      <c r="M227" s="62"/>
      <c r="N227" s="62">
        <v>3</v>
      </c>
      <c r="O227" s="62">
        <v>2</v>
      </c>
      <c r="P227" s="62"/>
      <c r="Q227" s="72">
        <f t="shared" si="25"/>
        <v>2.6666666666666665</v>
      </c>
      <c r="R227" s="62"/>
      <c r="S227" s="62"/>
      <c r="T227" s="62"/>
      <c r="U227" s="62"/>
      <c r="V227" s="62"/>
      <c r="W227" s="72" t="str">
        <f t="shared" si="26"/>
        <v>A</v>
      </c>
      <c r="X227" s="62"/>
      <c r="Y227" s="62"/>
      <c r="Z227" s="62"/>
      <c r="AA227" s="62"/>
      <c r="AB227" s="62"/>
      <c r="AC227" s="72" t="str">
        <f t="shared" si="27"/>
        <v>A</v>
      </c>
      <c r="AD227" s="62"/>
      <c r="AE227" s="62"/>
      <c r="AF227" s="62"/>
      <c r="AG227" s="62"/>
      <c r="AH227" s="62"/>
      <c r="AI227" s="72" t="str">
        <f t="shared" si="28"/>
        <v>A</v>
      </c>
      <c r="AJ227" s="62"/>
      <c r="AK227" s="62"/>
      <c r="AL227" s="62"/>
      <c r="AM227" s="62"/>
      <c r="AN227" s="62"/>
      <c r="AO227" s="72" t="str">
        <f t="shared" si="29"/>
        <v>A</v>
      </c>
      <c r="AP227" s="62"/>
      <c r="AQ227" s="62"/>
      <c r="AR227" s="62"/>
      <c r="AS227" s="62"/>
      <c r="AT227" s="62"/>
      <c r="AU227" s="72" t="str">
        <f t="shared" si="30"/>
        <v>A</v>
      </c>
      <c r="AV227" s="62"/>
      <c r="AW227" s="62"/>
      <c r="AX227" s="62">
        <v>4</v>
      </c>
      <c r="AY227" s="62">
        <v>2</v>
      </c>
      <c r="AZ227" s="62">
        <v>2</v>
      </c>
      <c r="BA227" s="72">
        <f t="shared" si="31"/>
        <v>2.6666666666666665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3</v>
      </c>
      <c r="M228" s="62"/>
      <c r="N228" s="62">
        <v>3</v>
      </c>
      <c r="O228" s="62">
        <v>3</v>
      </c>
      <c r="P228" s="62"/>
      <c r="Q228" s="72">
        <f t="shared" si="25"/>
        <v>3</v>
      </c>
      <c r="R228" s="7"/>
      <c r="S228" s="7"/>
      <c r="T228" s="7"/>
      <c r="U228" s="7"/>
      <c r="V228" s="7"/>
      <c r="W228" s="72" t="str">
        <f t="shared" si="26"/>
        <v>A</v>
      </c>
      <c r="X228" s="7"/>
      <c r="Y228" s="7"/>
      <c r="Z228" s="7"/>
      <c r="AA228" s="7"/>
      <c r="AB228" s="7"/>
      <c r="AC228" s="72" t="str">
        <f t="shared" si="27"/>
        <v>A</v>
      </c>
      <c r="AD228" s="7"/>
      <c r="AE228" s="7"/>
      <c r="AF228" s="7"/>
      <c r="AG228" s="7"/>
      <c r="AH228" s="7"/>
      <c r="AI228" s="72" t="str">
        <f t="shared" si="28"/>
        <v>A</v>
      </c>
      <c r="AJ228" s="7"/>
      <c r="AK228" s="7"/>
      <c r="AL228" s="7"/>
      <c r="AM228" s="7"/>
      <c r="AN228" s="7"/>
      <c r="AO228" s="72" t="str">
        <f t="shared" si="29"/>
        <v>A</v>
      </c>
      <c r="AP228" s="7"/>
      <c r="AQ228" s="7"/>
      <c r="AR228" s="7"/>
      <c r="AS228" s="7"/>
      <c r="AT228" s="7"/>
      <c r="AU228" s="72" t="str">
        <f t="shared" si="30"/>
        <v>A</v>
      </c>
      <c r="AV228" s="7"/>
      <c r="AW228" s="7"/>
      <c r="AX228" s="62">
        <v>4</v>
      </c>
      <c r="AY228" s="62">
        <v>2</v>
      </c>
      <c r="AZ228" s="62">
        <v>3</v>
      </c>
      <c r="BA228" s="72">
        <f t="shared" si="31"/>
        <v>3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4</v>
      </c>
      <c r="M229" s="62"/>
      <c r="N229" s="62">
        <v>4</v>
      </c>
      <c r="O229" s="62">
        <v>4</v>
      </c>
      <c r="P229" s="62"/>
      <c r="Q229" s="72">
        <f t="shared" si="25"/>
        <v>4</v>
      </c>
      <c r="R229" s="62"/>
      <c r="S229" s="62"/>
      <c r="T229" s="62"/>
      <c r="U229" s="62"/>
      <c r="V229" s="62"/>
      <c r="W229" s="72" t="str">
        <f t="shared" si="26"/>
        <v>A</v>
      </c>
      <c r="X229" s="62"/>
      <c r="Y229" s="62"/>
      <c r="Z229" s="62"/>
      <c r="AA229" s="62"/>
      <c r="AB229" s="62"/>
      <c r="AC229" s="72" t="str">
        <f t="shared" si="27"/>
        <v>A</v>
      </c>
      <c r="AD229" s="62"/>
      <c r="AE229" s="62"/>
      <c r="AF229" s="62"/>
      <c r="AG229" s="62"/>
      <c r="AH229" s="62"/>
      <c r="AI229" s="72" t="str">
        <f t="shared" si="28"/>
        <v>A</v>
      </c>
      <c r="AJ229" s="62"/>
      <c r="AK229" s="62"/>
      <c r="AL229" s="62"/>
      <c r="AM229" s="62"/>
      <c r="AN229" s="62"/>
      <c r="AO229" s="72" t="str">
        <f t="shared" si="29"/>
        <v>A</v>
      </c>
      <c r="AP229" s="62"/>
      <c r="AQ229" s="62"/>
      <c r="AR229" s="62"/>
      <c r="AS229" s="62"/>
      <c r="AT229" s="62"/>
      <c r="AU229" s="72" t="str">
        <f t="shared" si="30"/>
        <v>A</v>
      </c>
      <c r="AV229" s="62"/>
      <c r="AW229" s="62"/>
      <c r="AX229" s="62">
        <v>4</v>
      </c>
      <c r="AY229" s="62">
        <v>2</v>
      </c>
      <c r="AZ229" s="62">
        <v>4</v>
      </c>
      <c r="BA229" s="72">
        <f t="shared" si="31"/>
        <v>3.3333333333333335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3</v>
      </c>
      <c r="M230" s="62"/>
      <c r="N230" s="62">
        <v>2</v>
      </c>
      <c r="O230" s="62">
        <v>2</v>
      </c>
      <c r="P230" s="62"/>
      <c r="Q230" s="72">
        <f t="shared" si="25"/>
        <v>2.3333333333333335</v>
      </c>
      <c r="R230" s="7"/>
      <c r="S230" s="7"/>
      <c r="T230" s="7"/>
      <c r="U230" s="7"/>
      <c r="V230" s="7"/>
      <c r="W230" s="72" t="str">
        <f t="shared" si="26"/>
        <v>A</v>
      </c>
      <c r="X230" s="7"/>
      <c r="Y230" s="7"/>
      <c r="Z230" s="7"/>
      <c r="AA230" s="7"/>
      <c r="AB230" s="7"/>
      <c r="AC230" s="72" t="str">
        <f t="shared" si="27"/>
        <v>A</v>
      </c>
      <c r="AD230" s="7"/>
      <c r="AE230" s="7"/>
      <c r="AF230" s="7"/>
      <c r="AG230" s="7"/>
      <c r="AH230" s="7"/>
      <c r="AI230" s="72" t="str">
        <f t="shared" si="28"/>
        <v>A</v>
      </c>
      <c r="AJ230" s="7"/>
      <c r="AK230" s="7"/>
      <c r="AL230" s="7"/>
      <c r="AM230" s="7"/>
      <c r="AN230" s="7"/>
      <c r="AO230" s="72" t="str">
        <f t="shared" si="29"/>
        <v>A</v>
      </c>
      <c r="AP230" s="7"/>
      <c r="AQ230" s="7"/>
      <c r="AR230" s="7"/>
      <c r="AS230" s="7"/>
      <c r="AT230" s="7"/>
      <c r="AU230" s="72" t="str">
        <f t="shared" si="30"/>
        <v>A</v>
      </c>
      <c r="AV230" s="7"/>
      <c r="AW230" s="7"/>
      <c r="AX230" s="62">
        <v>4</v>
      </c>
      <c r="AY230" s="62">
        <v>2</v>
      </c>
      <c r="AZ230" s="62">
        <v>2</v>
      </c>
      <c r="BA230" s="72">
        <f t="shared" si="31"/>
        <v>2.6666666666666665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X1:AB1"/>
    <mergeCell ref="A1:A2"/>
    <mergeCell ref="B1:B2"/>
    <mergeCell ref="C1:C2"/>
    <mergeCell ref="D1:D2"/>
    <mergeCell ref="E1:E2"/>
    <mergeCell ref="F1:J1"/>
    <mergeCell ref="K1:K2"/>
    <mergeCell ref="L1:P1"/>
    <mergeCell ref="Q1:Q2"/>
    <mergeCell ref="R1:V1"/>
    <mergeCell ref="W1:W2"/>
    <mergeCell ref="AU1:AU2"/>
    <mergeCell ref="AV1:AZ1"/>
    <mergeCell ref="BA1:BA2"/>
    <mergeCell ref="AC1:AC2"/>
    <mergeCell ref="AD1:AH1"/>
    <mergeCell ref="AI1:AI2"/>
    <mergeCell ref="AJ1:AN1"/>
    <mergeCell ref="AO1:AO2"/>
    <mergeCell ref="AP1:AT1"/>
  </mergeCells>
  <conditionalFormatting sqref="K3:K230">
    <cfRule type="containsText" dxfId="28" priority="8" operator="containsText" text="A">
      <formula>NOT(ISERROR(SEARCH("A",K3)))</formula>
    </cfRule>
  </conditionalFormatting>
  <conditionalFormatting sqref="Q3:Q230">
    <cfRule type="containsText" dxfId="27" priority="7" operator="containsText" text="A">
      <formula>NOT(ISERROR(SEARCH("A",Q3)))</formula>
    </cfRule>
  </conditionalFormatting>
  <conditionalFormatting sqref="W3:W230">
    <cfRule type="containsText" dxfId="26" priority="1" operator="containsText" text="A">
      <formula>NOT(ISERROR(SEARCH("A",W3)))</formula>
    </cfRule>
  </conditionalFormatting>
  <conditionalFormatting sqref="AC3:AC230">
    <cfRule type="containsText" dxfId="25" priority="2" operator="containsText" text="A">
      <formula>NOT(ISERROR(SEARCH("A",AC3)))</formula>
    </cfRule>
  </conditionalFormatting>
  <conditionalFormatting sqref="AI3:AI230">
    <cfRule type="containsText" dxfId="24" priority="3" operator="containsText" text="A">
      <formula>NOT(ISERROR(SEARCH("A",AI3)))</formula>
    </cfRule>
  </conditionalFormatting>
  <conditionalFormatting sqref="AO3:AO230">
    <cfRule type="containsText" dxfId="23" priority="6" operator="containsText" text="A">
      <formula>NOT(ISERROR(SEARCH("A",AO3)))</formula>
    </cfRule>
  </conditionalFormatting>
  <conditionalFormatting sqref="AU3:AU230">
    <cfRule type="containsText" dxfId="22" priority="4" operator="containsText" text="A">
      <formula>NOT(ISERROR(SEARCH("A",AU3)))</formula>
    </cfRule>
  </conditionalFormatting>
  <conditionalFormatting sqref="BA3:BA230">
    <cfRule type="containsText" dxfId="21" priority="5" operator="containsText" text="A">
      <formula>NOT(ISERROR(SEARCH("A",BA3)))</formula>
    </cfRule>
  </conditionalFormatting>
  <pageMargins left="0.7" right="0.7" top="0.75" bottom="0.75" header="0.3" footer="0.3"/>
  <ignoredErrors>
    <ignoredError sqref="L213 N213:O2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D5EA-F0FA-4035-892F-AC99971AF649}">
  <dimension ref="A1:BC232"/>
  <sheetViews>
    <sheetView topLeftCell="AM1" workbookViewId="0">
      <selection activeCell="BB11" sqref="BB11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0</v>
      </c>
      <c r="M3" s="62"/>
      <c r="N3" s="62">
        <v>0</v>
      </c>
      <c r="O3" s="62">
        <v>0</v>
      </c>
      <c r="P3" s="62"/>
      <c r="Q3" s="72">
        <f>IFERROR(AVERAGE(N3,L3,O3),"A")</f>
        <v>0</v>
      </c>
      <c r="R3" s="62"/>
      <c r="S3" s="62"/>
      <c r="T3" s="62"/>
      <c r="U3" s="62"/>
      <c r="V3" s="62"/>
      <c r="W3" s="72" t="str">
        <f>IFERROR(AVERAGE(R3,S3,U3),"A")</f>
        <v>A</v>
      </c>
      <c r="X3" s="62"/>
      <c r="Y3" s="62"/>
      <c r="Z3" s="62"/>
      <c r="AA3" s="62"/>
      <c r="AB3" s="62"/>
      <c r="AC3" s="72" t="str">
        <f>IFERROR(AVERAGE(Y3,X3),"A")</f>
        <v>A</v>
      </c>
      <c r="AD3" s="62"/>
      <c r="AE3" s="62"/>
      <c r="AF3" s="62"/>
      <c r="AG3" s="62"/>
      <c r="AH3" s="62"/>
      <c r="AI3" s="72" t="str">
        <f>IFERROR(AVERAGE(AF3,AD3),"A")</f>
        <v>A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/>
      <c r="AQ3" s="62"/>
      <c r="AR3" s="62"/>
      <c r="AS3" s="62"/>
      <c r="AT3" s="62"/>
      <c r="AU3" s="72" t="str">
        <f>IFERROR(AVERAGE(AR3,AQ3,AP3),"A")</f>
        <v>A</v>
      </c>
      <c r="AV3" s="62"/>
      <c r="AW3" s="62"/>
      <c r="AX3" s="62">
        <v>0</v>
      </c>
      <c r="AY3" s="62">
        <v>0</v>
      </c>
      <c r="AZ3" s="62">
        <v>0</v>
      </c>
      <c r="BA3" s="72">
        <f>IFERROR(AVERAGE(AX3,AY3,AZ3),"A")</f>
        <v>0</v>
      </c>
      <c r="BC3" s="141" t="str">
        <f>IFERROR(VLOOKUP(B3,'[1]Reflection -1 '!$B$4:$I$231,9,FALSE),"ER")</f>
        <v>ER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4</v>
      </c>
      <c r="M4" s="62"/>
      <c r="N4" s="62">
        <v>3</v>
      </c>
      <c r="O4" s="62">
        <v>3</v>
      </c>
      <c r="P4" s="62"/>
      <c r="Q4" s="72">
        <f t="shared" ref="Q4:Q67" si="1">IFERROR(AVERAGE(N4,L4,O4),"A")</f>
        <v>3.3333333333333335</v>
      </c>
      <c r="R4" s="7"/>
      <c r="S4" s="7"/>
      <c r="T4" s="7"/>
      <c r="U4" s="7"/>
      <c r="V4" s="7"/>
      <c r="W4" s="72" t="str">
        <f t="shared" ref="W4:W67" si="2">IFERROR(AVERAGE(R4,S4,U4),"A")</f>
        <v>A</v>
      </c>
      <c r="X4" s="7"/>
      <c r="Y4" s="7"/>
      <c r="Z4" s="7"/>
      <c r="AA4" s="7"/>
      <c r="AB4" s="7"/>
      <c r="AC4" s="72" t="str">
        <f t="shared" ref="AC4:AC67" si="3">IFERROR(AVERAGE(Y4,X4),"A")</f>
        <v>A</v>
      </c>
      <c r="AD4" s="7"/>
      <c r="AE4" s="7"/>
      <c r="AF4" s="7"/>
      <c r="AG4" s="7"/>
      <c r="AH4" s="7"/>
      <c r="AI4" s="72" t="str">
        <f t="shared" ref="AI4:AI67" si="4">IFERROR(AVERAGE(AF4,AD4),"A")</f>
        <v>A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7"/>
      <c r="AQ4" s="7"/>
      <c r="AR4" s="7"/>
      <c r="AS4" s="7"/>
      <c r="AT4" s="7"/>
      <c r="AU4" s="72" t="str">
        <f t="shared" ref="AU4:AU67" si="6">IFERROR(AVERAGE(AR4,AQ4,AP4),"A")</f>
        <v>A</v>
      </c>
      <c r="AV4" s="7"/>
      <c r="AW4" s="7"/>
      <c r="AX4" s="62">
        <v>5</v>
      </c>
      <c r="AY4" s="62">
        <v>0</v>
      </c>
      <c r="AZ4" s="62">
        <v>4</v>
      </c>
      <c r="BA4" s="72">
        <f t="shared" ref="BA4:BA67" si="7">IFERROR(AVERAGE(AX4,AY4,AZ4),"A")</f>
        <v>3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3</v>
      </c>
      <c r="M5" s="62"/>
      <c r="N5" s="62">
        <v>3</v>
      </c>
      <c r="O5" s="62">
        <v>1</v>
      </c>
      <c r="P5" s="62"/>
      <c r="Q5" s="72">
        <f t="shared" si="1"/>
        <v>2.3333333333333335</v>
      </c>
      <c r="R5" s="62"/>
      <c r="S5" s="62"/>
      <c r="T5" s="62"/>
      <c r="U5" s="62"/>
      <c r="V5" s="62"/>
      <c r="W5" s="72" t="str">
        <f t="shared" si="2"/>
        <v>A</v>
      </c>
      <c r="X5" s="62"/>
      <c r="Y5" s="62"/>
      <c r="Z5" s="62"/>
      <c r="AA5" s="62"/>
      <c r="AB5" s="62"/>
      <c r="AC5" s="72" t="str">
        <f t="shared" si="3"/>
        <v>A</v>
      </c>
      <c r="AD5" s="62"/>
      <c r="AE5" s="62"/>
      <c r="AF5" s="62"/>
      <c r="AG5" s="62"/>
      <c r="AH5" s="62"/>
      <c r="AI5" s="72" t="str">
        <f t="shared" si="4"/>
        <v>A</v>
      </c>
      <c r="AJ5" s="62"/>
      <c r="AK5" s="62"/>
      <c r="AL5" s="62"/>
      <c r="AM5" s="62"/>
      <c r="AN5" s="62"/>
      <c r="AO5" s="72" t="str">
        <f t="shared" si="5"/>
        <v>A</v>
      </c>
      <c r="AP5" s="62"/>
      <c r="AQ5" s="62"/>
      <c r="AR5" s="62"/>
      <c r="AS5" s="62"/>
      <c r="AT5" s="62"/>
      <c r="AU5" s="72" t="str">
        <f t="shared" si="6"/>
        <v>A</v>
      </c>
      <c r="AV5" s="62"/>
      <c r="AW5" s="62"/>
      <c r="AX5" s="62">
        <v>5</v>
      </c>
      <c r="AY5" s="62">
        <v>0</v>
      </c>
      <c r="AZ5" s="62">
        <v>1</v>
      </c>
      <c r="BA5" s="72">
        <f t="shared" si="7"/>
        <v>2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3</v>
      </c>
      <c r="M6" s="62"/>
      <c r="N6" s="62">
        <v>3</v>
      </c>
      <c r="O6" s="62">
        <v>3</v>
      </c>
      <c r="P6" s="62"/>
      <c r="Q6" s="72">
        <f t="shared" si="1"/>
        <v>3</v>
      </c>
      <c r="R6" s="7"/>
      <c r="S6" s="7"/>
      <c r="T6" s="7"/>
      <c r="U6" s="7"/>
      <c r="V6" s="7"/>
      <c r="W6" s="72" t="str">
        <f t="shared" si="2"/>
        <v>A</v>
      </c>
      <c r="X6" s="7"/>
      <c r="Y6" s="7"/>
      <c r="Z6" s="7"/>
      <c r="AA6" s="7"/>
      <c r="AB6" s="7"/>
      <c r="AC6" s="72" t="str">
        <f t="shared" si="3"/>
        <v>A</v>
      </c>
      <c r="AD6" s="7"/>
      <c r="AE6" s="7"/>
      <c r="AF6" s="7"/>
      <c r="AG6" s="7"/>
      <c r="AH6" s="7"/>
      <c r="AI6" s="72" t="str">
        <f t="shared" si="4"/>
        <v>A</v>
      </c>
      <c r="AJ6" s="7"/>
      <c r="AK6" s="7"/>
      <c r="AL6" s="7"/>
      <c r="AM6" s="7"/>
      <c r="AN6" s="7"/>
      <c r="AO6" s="72" t="str">
        <f t="shared" si="5"/>
        <v>A</v>
      </c>
      <c r="AP6" s="7"/>
      <c r="AQ6" s="7"/>
      <c r="AR6" s="7"/>
      <c r="AS6" s="7"/>
      <c r="AT6" s="7"/>
      <c r="AU6" s="72" t="str">
        <f t="shared" si="6"/>
        <v>A</v>
      </c>
      <c r="AV6" s="7"/>
      <c r="AW6" s="7"/>
      <c r="AX6" s="62">
        <v>5</v>
      </c>
      <c r="AY6" s="62">
        <v>0</v>
      </c>
      <c r="AZ6" s="62">
        <v>3</v>
      </c>
      <c r="BA6" s="72">
        <f t="shared" si="7"/>
        <v>2.6666666666666665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2</v>
      </c>
      <c r="M7" s="62"/>
      <c r="N7" s="62">
        <v>2</v>
      </c>
      <c r="O7" s="62">
        <v>2</v>
      </c>
      <c r="P7" s="62"/>
      <c r="Q7" s="72">
        <f t="shared" si="1"/>
        <v>2</v>
      </c>
      <c r="R7" s="62"/>
      <c r="S7" s="62"/>
      <c r="T7" s="62"/>
      <c r="U7" s="62"/>
      <c r="V7" s="62"/>
      <c r="W7" s="72" t="str">
        <f t="shared" si="2"/>
        <v>A</v>
      </c>
      <c r="X7" s="62"/>
      <c r="Y7" s="62"/>
      <c r="Z7" s="62"/>
      <c r="AA7" s="62"/>
      <c r="AB7" s="62"/>
      <c r="AC7" s="72" t="str">
        <f t="shared" si="3"/>
        <v>A</v>
      </c>
      <c r="AD7" s="62"/>
      <c r="AE7" s="62"/>
      <c r="AF7" s="62"/>
      <c r="AG7" s="62"/>
      <c r="AH7" s="62"/>
      <c r="AI7" s="72" t="str">
        <f t="shared" si="4"/>
        <v>A</v>
      </c>
      <c r="AJ7" s="62"/>
      <c r="AK7" s="62"/>
      <c r="AL7" s="62"/>
      <c r="AM7" s="62"/>
      <c r="AN7" s="62"/>
      <c r="AO7" s="72" t="str">
        <f t="shared" si="5"/>
        <v>A</v>
      </c>
      <c r="AP7" s="62"/>
      <c r="AQ7" s="62"/>
      <c r="AR7" s="62"/>
      <c r="AS7" s="62"/>
      <c r="AT7" s="62"/>
      <c r="AU7" s="72" t="str">
        <f t="shared" si="6"/>
        <v>A</v>
      </c>
      <c r="AV7" s="62"/>
      <c r="AW7" s="62"/>
      <c r="AX7" s="62">
        <v>2</v>
      </c>
      <c r="AY7" s="62">
        <v>2</v>
      </c>
      <c r="AZ7" s="62">
        <v>2</v>
      </c>
      <c r="BA7" s="72">
        <f t="shared" si="7"/>
        <v>2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2</v>
      </c>
      <c r="M8" s="62"/>
      <c r="N8" s="62">
        <v>2</v>
      </c>
      <c r="O8" s="62">
        <v>2</v>
      </c>
      <c r="P8" s="62"/>
      <c r="Q8" s="72">
        <f t="shared" si="1"/>
        <v>2</v>
      </c>
      <c r="R8" s="7"/>
      <c r="S8" s="7"/>
      <c r="T8" s="7"/>
      <c r="U8" s="7"/>
      <c r="V8" s="7"/>
      <c r="W8" s="72" t="str">
        <f t="shared" si="2"/>
        <v>A</v>
      </c>
      <c r="X8" s="7"/>
      <c r="Y8" s="7"/>
      <c r="Z8" s="7"/>
      <c r="AA8" s="7"/>
      <c r="AB8" s="7"/>
      <c r="AC8" s="72" t="str">
        <f t="shared" si="3"/>
        <v>A</v>
      </c>
      <c r="AD8" s="7"/>
      <c r="AE8" s="7"/>
      <c r="AF8" s="7"/>
      <c r="AG8" s="7"/>
      <c r="AH8" s="7"/>
      <c r="AI8" s="72" t="str">
        <f t="shared" si="4"/>
        <v>A</v>
      </c>
      <c r="AJ8" s="7"/>
      <c r="AK8" s="7"/>
      <c r="AL8" s="7"/>
      <c r="AM8" s="7"/>
      <c r="AN8" s="7"/>
      <c r="AO8" s="72" t="str">
        <f t="shared" si="5"/>
        <v>A</v>
      </c>
      <c r="AP8" s="7"/>
      <c r="AQ8" s="7"/>
      <c r="AR8" s="7"/>
      <c r="AS8" s="7"/>
      <c r="AT8" s="7"/>
      <c r="AU8" s="72" t="str">
        <f t="shared" si="6"/>
        <v>A</v>
      </c>
      <c r="AV8" s="7"/>
      <c r="AW8" s="7"/>
      <c r="AX8" s="62">
        <v>5</v>
      </c>
      <c r="AY8" s="62">
        <v>0</v>
      </c>
      <c r="AZ8" s="62">
        <v>2</v>
      </c>
      <c r="BA8" s="72">
        <f t="shared" si="7"/>
        <v>2.3333333333333335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0</v>
      </c>
      <c r="M9" s="62"/>
      <c r="N9" s="62">
        <v>0</v>
      </c>
      <c r="O9" s="62">
        <v>0</v>
      </c>
      <c r="P9" s="62"/>
      <c r="Q9" s="72">
        <f t="shared" si="1"/>
        <v>0</v>
      </c>
      <c r="R9" s="62"/>
      <c r="S9" s="62"/>
      <c r="T9" s="62"/>
      <c r="U9" s="62"/>
      <c r="V9" s="62"/>
      <c r="W9" s="72" t="str">
        <f t="shared" si="2"/>
        <v>A</v>
      </c>
      <c r="X9" s="62"/>
      <c r="Y9" s="62"/>
      <c r="Z9" s="62"/>
      <c r="AA9" s="62"/>
      <c r="AB9" s="62"/>
      <c r="AC9" s="72" t="str">
        <f t="shared" si="3"/>
        <v>A</v>
      </c>
      <c r="AD9" s="62"/>
      <c r="AE9" s="62"/>
      <c r="AF9" s="62"/>
      <c r="AG9" s="62"/>
      <c r="AH9" s="62"/>
      <c r="AI9" s="72" t="str">
        <f t="shared" si="4"/>
        <v>A</v>
      </c>
      <c r="AJ9" s="62"/>
      <c r="AK9" s="62"/>
      <c r="AL9" s="62"/>
      <c r="AM9" s="62"/>
      <c r="AN9" s="62"/>
      <c r="AO9" s="72" t="str">
        <f t="shared" si="5"/>
        <v>A</v>
      </c>
      <c r="AP9" s="62"/>
      <c r="AQ9" s="62"/>
      <c r="AR9" s="62"/>
      <c r="AS9" s="62"/>
      <c r="AT9" s="62"/>
      <c r="AU9" s="72" t="str">
        <f t="shared" si="6"/>
        <v>A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2</v>
      </c>
      <c r="M10" s="62"/>
      <c r="N10" s="62">
        <v>2</v>
      </c>
      <c r="O10" s="62">
        <v>2</v>
      </c>
      <c r="P10" s="62"/>
      <c r="Q10" s="72">
        <f t="shared" si="1"/>
        <v>2</v>
      </c>
      <c r="R10" s="7"/>
      <c r="S10" s="7"/>
      <c r="T10" s="7"/>
      <c r="U10" s="7"/>
      <c r="V10" s="7"/>
      <c r="W10" s="72" t="str">
        <f t="shared" si="2"/>
        <v>A</v>
      </c>
      <c r="X10" s="7"/>
      <c r="Y10" s="7"/>
      <c r="Z10" s="7"/>
      <c r="AA10" s="7"/>
      <c r="AB10" s="7"/>
      <c r="AC10" s="72" t="str">
        <f t="shared" si="3"/>
        <v>A</v>
      </c>
      <c r="AD10" s="7"/>
      <c r="AE10" s="7"/>
      <c r="AF10" s="7"/>
      <c r="AG10" s="7"/>
      <c r="AH10" s="7"/>
      <c r="AI10" s="72" t="str">
        <f t="shared" si="4"/>
        <v>A</v>
      </c>
      <c r="AJ10" s="7"/>
      <c r="AK10" s="7"/>
      <c r="AL10" s="7"/>
      <c r="AM10" s="7"/>
      <c r="AN10" s="7"/>
      <c r="AO10" s="72" t="str">
        <f t="shared" si="5"/>
        <v>A</v>
      </c>
      <c r="AP10" s="7"/>
      <c r="AQ10" s="7"/>
      <c r="AR10" s="7"/>
      <c r="AS10" s="7"/>
      <c r="AT10" s="7"/>
      <c r="AU10" s="72" t="str">
        <f t="shared" si="6"/>
        <v>A</v>
      </c>
      <c r="AV10" s="7"/>
      <c r="AW10" s="7"/>
      <c r="AX10" s="62">
        <v>2</v>
      </c>
      <c r="AY10" s="62">
        <v>2</v>
      </c>
      <c r="AZ10" s="62">
        <v>2</v>
      </c>
      <c r="BA10" s="72">
        <f t="shared" si="7"/>
        <v>2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3</v>
      </c>
      <c r="M11" s="62"/>
      <c r="N11" s="62">
        <v>2</v>
      </c>
      <c r="O11" s="62">
        <v>3</v>
      </c>
      <c r="P11" s="62"/>
      <c r="Q11" s="72">
        <f t="shared" si="1"/>
        <v>2.6666666666666665</v>
      </c>
      <c r="R11" s="62"/>
      <c r="S11" s="62"/>
      <c r="T11" s="62"/>
      <c r="U11" s="62"/>
      <c r="V11" s="62"/>
      <c r="W11" s="72" t="str">
        <f t="shared" si="2"/>
        <v>A</v>
      </c>
      <c r="X11" s="62"/>
      <c r="Y11" s="62"/>
      <c r="Z11" s="62"/>
      <c r="AA11" s="62"/>
      <c r="AB11" s="62"/>
      <c r="AC11" s="72" t="str">
        <f t="shared" si="3"/>
        <v>A</v>
      </c>
      <c r="AD11" s="62"/>
      <c r="AE11" s="62"/>
      <c r="AF11" s="62"/>
      <c r="AG11" s="62"/>
      <c r="AH11" s="62"/>
      <c r="AI11" s="72" t="str">
        <f t="shared" si="4"/>
        <v>A</v>
      </c>
      <c r="AJ11" s="62"/>
      <c r="AK11" s="62"/>
      <c r="AL11" s="62"/>
      <c r="AM11" s="62"/>
      <c r="AN11" s="62"/>
      <c r="AO11" s="72" t="str">
        <f t="shared" si="5"/>
        <v>A</v>
      </c>
      <c r="AP11" s="62"/>
      <c r="AQ11" s="62"/>
      <c r="AR11" s="62"/>
      <c r="AS11" s="62"/>
      <c r="AT11" s="62"/>
      <c r="AU11" s="72" t="str">
        <f t="shared" si="6"/>
        <v>A</v>
      </c>
      <c r="AV11" s="62"/>
      <c r="AW11" s="62"/>
      <c r="AX11" s="62">
        <v>5</v>
      </c>
      <c r="AY11" s="62">
        <v>0</v>
      </c>
      <c r="AZ11" s="62">
        <v>3</v>
      </c>
      <c r="BA11" s="72">
        <f t="shared" si="7"/>
        <v>2.6666666666666665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0</v>
      </c>
      <c r="M12" s="62"/>
      <c r="N12" s="62">
        <v>0</v>
      </c>
      <c r="O12" s="62">
        <v>0</v>
      </c>
      <c r="P12" s="62"/>
      <c r="Q12" s="72">
        <f t="shared" si="1"/>
        <v>0</v>
      </c>
      <c r="R12" s="7"/>
      <c r="S12" s="7"/>
      <c r="T12" s="7"/>
      <c r="U12" s="7"/>
      <c r="V12" s="7"/>
      <c r="W12" s="72" t="str">
        <f t="shared" si="2"/>
        <v>A</v>
      </c>
      <c r="X12" s="7"/>
      <c r="Y12" s="7"/>
      <c r="Z12" s="7"/>
      <c r="AA12" s="7"/>
      <c r="AB12" s="7"/>
      <c r="AC12" s="72" t="str">
        <f t="shared" si="3"/>
        <v>A</v>
      </c>
      <c r="AD12" s="7"/>
      <c r="AE12" s="7"/>
      <c r="AF12" s="7"/>
      <c r="AG12" s="7"/>
      <c r="AH12" s="7"/>
      <c r="AI12" s="72" t="str">
        <f t="shared" si="4"/>
        <v>A</v>
      </c>
      <c r="AJ12" s="7"/>
      <c r="AK12" s="7"/>
      <c r="AL12" s="7"/>
      <c r="AM12" s="7"/>
      <c r="AN12" s="7"/>
      <c r="AO12" s="72" t="str">
        <f t="shared" si="5"/>
        <v>A</v>
      </c>
      <c r="AP12" s="7"/>
      <c r="AQ12" s="7"/>
      <c r="AR12" s="7"/>
      <c r="AS12" s="7"/>
      <c r="AT12" s="7"/>
      <c r="AU12" s="72" t="str">
        <f t="shared" si="6"/>
        <v>A</v>
      </c>
      <c r="AV12" s="7"/>
      <c r="AW12" s="7"/>
      <c r="AX12" s="62">
        <v>0</v>
      </c>
      <c r="AY12" s="62">
        <v>0</v>
      </c>
      <c r="AZ12" s="62">
        <v>0</v>
      </c>
      <c r="BA12" s="72">
        <f t="shared" si="7"/>
        <v>0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0</v>
      </c>
      <c r="M13" s="62"/>
      <c r="N13" s="62">
        <v>0</v>
      </c>
      <c r="O13" s="62">
        <v>0</v>
      </c>
      <c r="P13" s="62"/>
      <c r="Q13" s="72">
        <f t="shared" si="1"/>
        <v>0</v>
      </c>
      <c r="R13" s="62"/>
      <c r="S13" s="62"/>
      <c r="T13" s="62"/>
      <c r="U13" s="62"/>
      <c r="V13" s="62"/>
      <c r="W13" s="72" t="str">
        <f t="shared" si="2"/>
        <v>A</v>
      </c>
      <c r="X13" s="62"/>
      <c r="Y13" s="62"/>
      <c r="Z13" s="62"/>
      <c r="AA13" s="62"/>
      <c r="AB13" s="62"/>
      <c r="AC13" s="72" t="str">
        <f t="shared" si="3"/>
        <v>A</v>
      </c>
      <c r="AD13" s="62"/>
      <c r="AE13" s="62"/>
      <c r="AF13" s="62"/>
      <c r="AG13" s="62"/>
      <c r="AH13" s="62"/>
      <c r="AI13" s="72" t="str">
        <f t="shared" si="4"/>
        <v>A</v>
      </c>
      <c r="AJ13" s="62"/>
      <c r="AK13" s="62"/>
      <c r="AL13" s="62"/>
      <c r="AM13" s="62"/>
      <c r="AN13" s="62"/>
      <c r="AO13" s="72" t="str">
        <f t="shared" si="5"/>
        <v>A</v>
      </c>
      <c r="AP13" s="62"/>
      <c r="AQ13" s="62"/>
      <c r="AR13" s="62"/>
      <c r="AS13" s="62"/>
      <c r="AT13" s="62"/>
      <c r="AU13" s="72" t="str">
        <f t="shared" si="6"/>
        <v>A</v>
      </c>
      <c r="AV13" s="62"/>
      <c r="AW13" s="62"/>
      <c r="AX13" s="62">
        <v>0</v>
      </c>
      <c r="AY13" s="62">
        <v>0</v>
      </c>
      <c r="AZ13" s="62">
        <v>0</v>
      </c>
      <c r="BA13" s="72">
        <f t="shared" si="7"/>
        <v>0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4</v>
      </c>
      <c r="M14" s="62"/>
      <c r="N14" s="62">
        <v>3</v>
      </c>
      <c r="O14" s="62">
        <v>3</v>
      </c>
      <c r="P14" s="62"/>
      <c r="Q14" s="72">
        <f t="shared" si="1"/>
        <v>3.3333333333333335</v>
      </c>
      <c r="R14" s="7"/>
      <c r="S14" s="7"/>
      <c r="T14" s="7"/>
      <c r="U14" s="7"/>
      <c r="V14" s="7"/>
      <c r="W14" s="72" t="str">
        <f t="shared" si="2"/>
        <v>A</v>
      </c>
      <c r="X14" s="7"/>
      <c r="Y14" s="7"/>
      <c r="Z14" s="7"/>
      <c r="AA14" s="7"/>
      <c r="AB14" s="7"/>
      <c r="AC14" s="72" t="str">
        <f t="shared" si="3"/>
        <v>A</v>
      </c>
      <c r="AD14" s="7"/>
      <c r="AE14" s="7"/>
      <c r="AF14" s="7"/>
      <c r="AG14" s="7"/>
      <c r="AH14" s="7"/>
      <c r="AI14" s="72" t="str">
        <f t="shared" si="4"/>
        <v>A</v>
      </c>
      <c r="AJ14" s="7"/>
      <c r="AK14" s="7"/>
      <c r="AL14" s="7"/>
      <c r="AM14" s="7"/>
      <c r="AN14" s="7"/>
      <c r="AO14" s="72" t="str">
        <f t="shared" si="5"/>
        <v>A</v>
      </c>
      <c r="AP14" s="7"/>
      <c r="AQ14" s="7"/>
      <c r="AR14" s="7"/>
      <c r="AS14" s="7"/>
      <c r="AT14" s="7"/>
      <c r="AU14" s="72" t="str">
        <f t="shared" si="6"/>
        <v>A</v>
      </c>
      <c r="AV14" s="7"/>
      <c r="AW14" s="7"/>
      <c r="AX14" s="62">
        <v>5</v>
      </c>
      <c r="AY14" s="62">
        <v>0</v>
      </c>
      <c r="AZ14" s="62">
        <v>4</v>
      </c>
      <c r="BA14" s="72">
        <f t="shared" si="7"/>
        <v>3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3</v>
      </c>
      <c r="M15" s="62"/>
      <c r="N15" s="62">
        <v>3</v>
      </c>
      <c r="O15" s="62">
        <v>3</v>
      </c>
      <c r="P15" s="62"/>
      <c r="Q15" s="72">
        <f t="shared" si="1"/>
        <v>3</v>
      </c>
      <c r="R15" s="62"/>
      <c r="S15" s="62"/>
      <c r="T15" s="62"/>
      <c r="U15" s="62"/>
      <c r="V15" s="62"/>
      <c r="W15" s="72" t="str">
        <f t="shared" si="2"/>
        <v>A</v>
      </c>
      <c r="X15" s="62"/>
      <c r="Y15" s="62"/>
      <c r="Z15" s="62"/>
      <c r="AA15" s="62"/>
      <c r="AB15" s="62"/>
      <c r="AC15" s="72" t="str">
        <f t="shared" si="3"/>
        <v>A</v>
      </c>
      <c r="AD15" s="62"/>
      <c r="AE15" s="62"/>
      <c r="AF15" s="62"/>
      <c r="AG15" s="62"/>
      <c r="AH15" s="62"/>
      <c r="AI15" s="72" t="str">
        <f t="shared" si="4"/>
        <v>A</v>
      </c>
      <c r="AJ15" s="62"/>
      <c r="AK15" s="62"/>
      <c r="AL15" s="62"/>
      <c r="AM15" s="62"/>
      <c r="AN15" s="62"/>
      <c r="AO15" s="72" t="str">
        <f t="shared" si="5"/>
        <v>A</v>
      </c>
      <c r="AP15" s="62"/>
      <c r="AQ15" s="62"/>
      <c r="AR15" s="62"/>
      <c r="AS15" s="62"/>
      <c r="AT15" s="62"/>
      <c r="AU15" s="72" t="str">
        <f t="shared" si="6"/>
        <v>A</v>
      </c>
      <c r="AV15" s="62"/>
      <c r="AW15" s="62"/>
      <c r="AX15" s="62">
        <v>5</v>
      </c>
      <c r="AY15" s="62">
        <v>0</v>
      </c>
      <c r="AZ15" s="62">
        <v>3</v>
      </c>
      <c r="BA15" s="72">
        <f t="shared" si="7"/>
        <v>2.6666666666666665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3</v>
      </c>
      <c r="M16" s="62"/>
      <c r="N16" s="62">
        <v>3</v>
      </c>
      <c r="O16" s="62">
        <v>1</v>
      </c>
      <c r="P16" s="62"/>
      <c r="Q16" s="72">
        <f t="shared" si="1"/>
        <v>2.3333333333333335</v>
      </c>
      <c r="R16" s="7"/>
      <c r="S16" s="7"/>
      <c r="T16" s="7"/>
      <c r="U16" s="7"/>
      <c r="V16" s="7"/>
      <c r="W16" s="72" t="str">
        <f t="shared" si="2"/>
        <v>A</v>
      </c>
      <c r="X16" s="7"/>
      <c r="Y16" s="7"/>
      <c r="Z16" s="7"/>
      <c r="AA16" s="7"/>
      <c r="AB16" s="7"/>
      <c r="AC16" s="72" t="str">
        <f t="shared" si="3"/>
        <v>A</v>
      </c>
      <c r="AD16" s="7"/>
      <c r="AE16" s="7"/>
      <c r="AF16" s="7"/>
      <c r="AG16" s="7"/>
      <c r="AH16" s="7"/>
      <c r="AI16" s="72" t="str">
        <f t="shared" si="4"/>
        <v>A</v>
      </c>
      <c r="AJ16" s="7"/>
      <c r="AK16" s="7"/>
      <c r="AL16" s="7"/>
      <c r="AM16" s="7"/>
      <c r="AN16" s="7"/>
      <c r="AO16" s="72" t="str">
        <f t="shared" si="5"/>
        <v>A</v>
      </c>
      <c r="AP16" s="7"/>
      <c r="AQ16" s="7"/>
      <c r="AR16" s="7"/>
      <c r="AS16" s="7"/>
      <c r="AT16" s="7"/>
      <c r="AU16" s="72" t="str">
        <f t="shared" si="6"/>
        <v>A</v>
      </c>
      <c r="AV16" s="7"/>
      <c r="AW16" s="7"/>
      <c r="AX16" s="62">
        <v>5</v>
      </c>
      <c r="AY16" s="62">
        <v>0</v>
      </c>
      <c r="AZ16" s="62">
        <v>1</v>
      </c>
      <c r="BA16" s="72">
        <f t="shared" si="7"/>
        <v>2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4</v>
      </c>
      <c r="M17" s="62"/>
      <c r="N17" s="62">
        <v>3</v>
      </c>
      <c r="O17" s="62">
        <v>3</v>
      </c>
      <c r="P17" s="62"/>
      <c r="Q17" s="72">
        <f t="shared" si="1"/>
        <v>3.3333333333333335</v>
      </c>
      <c r="R17" s="62"/>
      <c r="S17" s="62"/>
      <c r="T17" s="62"/>
      <c r="U17" s="62"/>
      <c r="V17" s="62"/>
      <c r="W17" s="72" t="str">
        <f t="shared" si="2"/>
        <v>A</v>
      </c>
      <c r="X17" s="62"/>
      <c r="Y17" s="62"/>
      <c r="Z17" s="62"/>
      <c r="AA17" s="62"/>
      <c r="AB17" s="62"/>
      <c r="AC17" s="72" t="str">
        <f t="shared" si="3"/>
        <v>A</v>
      </c>
      <c r="AD17" s="62"/>
      <c r="AE17" s="62"/>
      <c r="AF17" s="62"/>
      <c r="AG17" s="62"/>
      <c r="AH17" s="62"/>
      <c r="AI17" s="72" t="str">
        <f t="shared" si="4"/>
        <v>A</v>
      </c>
      <c r="AJ17" s="62"/>
      <c r="AK17" s="62"/>
      <c r="AL17" s="62"/>
      <c r="AM17" s="62"/>
      <c r="AN17" s="62"/>
      <c r="AO17" s="72" t="str">
        <f t="shared" si="5"/>
        <v>A</v>
      </c>
      <c r="AP17" s="62"/>
      <c r="AQ17" s="62"/>
      <c r="AR17" s="62"/>
      <c r="AS17" s="62"/>
      <c r="AT17" s="62"/>
      <c r="AU17" s="72" t="str">
        <f t="shared" si="6"/>
        <v>A</v>
      </c>
      <c r="AV17" s="62"/>
      <c r="AW17" s="62"/>
      <c r="AX17" s="62">
        <v>5</v>
      </c>
      <c r="AY17" s="62">
        <v>2</v>
      </c>
      <c r="AZ17" s="62">
        <v>4</v>
      </c>
      <c r="BA17" s="72">
        <f t="shared" si="7"/>
        <v>3.6666666666666665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3</v>
      </c>
      <c r="M18" s="62"/>
      <c r="N18" s="62">
        <v>4</v>
      </c>
      <c r="O18" s="62">
        <v>3</v>
      </c>
      <c r="P18" s="62"/>
      <c r="Q18" s="72">
        <f t="shared" si="1"/>
        <v>3.3333333333333335</v>
      </c>
      <c r="R18" s="7"/>
      <c r="S18" s="7"/>
      <c r="T18" s="7"/>
      <c r="U18" s="7"/>
      <c r="V18" s="7"/>
      <c r="W18" s="72" t="str">
        <f t="shared" si="2"/>
        <v>A</v>
      </c>
      <c r="X18" s="7"/>
      <c r="Y18" s="7"/>
      <c r="Z18" s="7"/>
      <c r="AA18" s="7"/>
      <c r="AB18" s="7"/>
      <c r="AC18" s="72" t="str">
        <f t="shared" si="3"/>
        <v>A</v>
      </c>
      <c r="AD18" s="7"/>
      <c r="AE18" s="7"/>
      <c r="AF18" s="7"/>
      <c r="AG18" s="7"/>
      <c r="AH18" s="7"/>
      <c r="AI18" s="72" t="str">
        <f t="shared" si="4"/>
        <v>A</v>
      </c>
      <c r="AJ18" s="7"/>
      <c r="AK18" s="7"/>
      <c r="AL18" s="7"/>
      <c r="AM18" s="7"/>
      <c r="AN18" s="7"/>
      <c r="AO18" s="72" t="str">
        <f t="shared" si="5"/>
        <v>A</v>
      </c>
      <c r="AP18" s="7"/>
      <c r="AQ18" s="7"/>
      <c r="AR18" s="7"/>
      <c r="AS18" s="7"/>
      <c r="AT18" s="7"/>
      <c r="AU18" s="72" t="str">
        <f t="shared" si="6"/>
        <v>A</v>
      </c>
      <c r="AV18" s="7"/>
      <c r="AW18" s="7"/>
      <c r="AX18" s="62">
        <v>5</v>
      </c>
      <c r="AY18" s="62">
        <v>0</v>
      </c>
      <c r="AZ18" s="62">
        <v>4</v>
      </c>
      <c r="BA18" s="72">
        <f t="shared" si="7"/>
        <v>3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3</v>
      </c>
      <c r="M19" s="62"/>
      <c r="N19" s="62">
        <v>3</v>
      </c>
      <c r="O19" s="62">
        <v>1</v>
      </c>
      <c r="P19" s="62"/>
      <c r="Q19" s="72">
        <f t="shared" si="1"/>
        <v>2.3333333333333335</v>
      </c>
      <c r="R19" s="62"/>
      <c r="S19" s="62"/>
      <c r="T19" s="62"/>
      <c r="U19" s="62"/>
      <c r="V19" s="62"/>
      <c r="W19" s="72" t="str">
        <f t="shared" si="2"/>
        <v>A</v>
      </c>
      <c r="X19" s="62"/>
      <c r="Y19" s="62"/>
      <c r="Z19" s="62"/>
      <c r="AA19" s="62"/>
      <c r="AB19" s="62"/>
      <c r="AC19" s="72" t="str">
        <f t="shared" si="3"/>
        <v>A</v>
      </c>
      <c r="AD19" s="62"/>
      <c r="AE19" s="62"/>
      <c r="AF19" s="62"/>
      <c r="AG19" s="62"/>
      <c r="AH19" s="62"/>
      <c r="AI19" s="72" t="str">
        <f t="shared" si="4"/>
        <v>A</v>
      </c>
      <c r="AJ19" s="62"/>
      <c r="AK19" s="62"/>
      <c r="AL19" s="62"/>
      <c r="AM19" s="62"/>
      <c r="AN19" s="62"/>
      <c r="AO19" s="72" t="str">
        <f t="shared" si="5"/>
        <v>A</v>
      </c>
      <c r="AP19" s="62"/>
      <c r="AQ19" s="62"/>
      <c r="AR19" s="62"/>
      <c r="AS19" s="62"/>
      <c r="AT19" s="62"/>
      <c r="AU19" s="72" t="str">
        <f t="shared" si="6"/>
        <v>A</v>
      </c>
      <c r="AV19" s="62"/>
      <c r="AW19" s="62"/>
      <c r="AX19" s="62">
        <v>5</v>
      </c>
      <c r="AY19" s="62">
        <v>2</v>
      </c>
      <c r="AZ19" s="62">
        <v>1</v>
      </c>
      <c r="BA19" s="72">
        <f t="shared" si="7"/>
        <v>2.6666666666666665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/>
      <c r="N20" s="62">
        <v>4</v>
      </c>
      <c r="O20" s="62">
        <v>4</v>
      </c>
      <c r="P20" s="62"/>
      <c r="Q20" s="72">
        <f t="shared" si="1"/>
        <v>3.6666666666666665</v>
      </c>
      <c r="R20" s="7"/>
      <c r="S20" s="7"/>
      <c r="T20" s="7"/>
      <c r="U20" s="7"/>
      <c r="V20" s="7"/>
      <c r="W20" s="72" t="str">
        <f t="shared" si="2"/>
        <v>A</v>
      </c>
      <c r="X20" s="7"/>
      <c r="Y20" s="7"/>
      <c r="Z20" s="7"/>
      <c r="AA20" s="7"/>
      <c r="AB20" s="7"/>
      <c r="AC20" s="72" t="str">
        <f t="shared" si="3"/>
        <v>A</v>
      </c>
      <c r="AD20" s="7"/>
      <c r="AE20" s="7"/>
      <c r="AF20" s="7"/>
      <c r="AG20" s="7"/>
      <c r="AH20" s="7"/>
      <c r="AI20" s="72" t="str">
        <f t="shared" si="4"/>
        <v>A</v>
      </c>
      <c r="AJ20" s="7"/>
      <c r="AK20" s="7"/>
      <c r="AL20" s="7"/>
      <c r="AM20" s="7"/>
      <c r="AN20" s="7"/>
      <c r="AO20" s="72" t="str">
        <f t="shared" si="5"/>
        <v>A</v>
      </c>
      <c r="AP20" s="7"/>
      <c r="AQ20" s="7"/>
      <c r="AR20" s="7"/>
      <c r="AS20" s="7"/>
      <c r="AT20" s="7"/>
      <c r="AU20" s="72" t="str">
        <f t="shared" si="6"/>
        <v>A</v>
      </c>
      <c r="AV20" s="7"/>
      <c r="AW20" s="7"/>
      <c r="AX20" s="62">
        <v>5</v>
      </c>
      <c r="AY20" s="62">
        <v>0</v>
      </c>
      <c r="AZ20" s="62">
        <v>4</v>
      </c>
      <c r="BA20" s="72">
        <f t="shared" si="7"/>
        <v>3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0</v>
      </c>
      <c r="M21" s="62"/>
      <c r="N21" s="62">
        <v>0</v>
      </c>
      <c r="O21" s="62">
        <v>0</v>
      </c>
      <c r="P21" s="62"/>
      <c r="Q21" s="72">
        <f t="shared" si="1"/>
        <v>0</v>
      </c>
      <c r="R21" s="62"/>
      <c r="S21" s="62"/>
      <c r="T21" s="62"/>
      <c r="U21" s="62"/>
      <c r="V21" s="62"/>
      <c r="W21" s="72" t="str">
        <f t="shared" si="2"/>
        <v>A</v>
      </c>
      <c r="X21" s="62"/>
      <c r="Y21" s="62"/>
      <c r="Z21" s="62"/>
      <c r="AA21" s="62"/>
      <c r="AB21" s="62"/>
      <c r="AC21" s="72" t="str">
        <f t="shared" si="3"/>
        <v>A</v>
      </c>
      <c r="AD21" s="62"/>
      <c r="AE21" s="62"/>
      <c r="AF21" s="62"/>
      <c r="AG21" s="62"/>
      <c r="AH21" s="62"/>
      <c r="AI21" s="72" t="str">
        <f t="shared" si="4"/>
        <v>A</v>
      </c>
      <c r="AJ21" s="62"/>
      <c r="AK21" s="62"/>
      <c r="AL21" s="62"/>
      <c r="AM21" s="62"/>
      <c r="AN21" s="62"/>
      <c r="AO21" s="72" t="str">
        <f t="shared" si="5"/>
        <v>A</v>
      </c>
      <c r="AP21" s="62"/>
      <c r="AQ21" s="62"/>
      <c r="AR21" s="62"/>
      <c r="AS21" s="62"/>
      <c r="AT21" s="62"/>
      <c r="AU21" s="72" t="str">
        <f t="shared" si="6"/>
        <v>A</v>
      </c>
      <c r="AV21" s="62"/>
      <c r="AW21" s="62"/>
      <c r="AX21" s="62">
        <v>0</v>
      </c>
      <c r="AY21" s="62">
        <v>0</v>
      </c>
      <c r="AZ21" s="62">
        <v>0</v>
      </c>
      <c r="BA21" s="72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3</v>
      </c>
      <c r="M22" s="62"/>
      <c r="N22" s="62">
        <v>3</v>
      </c>
      <c r="O22" s="62">
        <v>3</v>
      </c>
      <c r="P22" s="62"/>
      <c r="Q22" s="72">
        <f t="shared" si="1"/>
        <v>3</v>
      </c>
      <c r="R22" s="7"/>
      <c r="S22" s="7"/>
      <c r="T22" s="7"/>
      <c r="U22" s="7"/>
      <c r="V22" s="7"/>
      <c r="W22" s="72" t="str">
        <f t="shared" si="2"/>
        <v>A</v>
      </c>
      <c r="X22" s="7"/>
      <c r="Y22" s="7"/>
      <c r="Z22" s="7"/>
      <c r="AA22" s="7"/>
      <c r="AB22" s="7"/>
      <c r="AC22" s="72" t="str">
        <f t="shared" si="3"/>
        <v>A</v>
      </c>
      <c r="AD22" s="7"/>
      <c r="AE22" s="7"/>
      <c r="AF22" s="7"/>
      <c r="AG22" s="7"/>
      <c r="AH22" s="7"/>
      <c r="AI22" s="72" t="str">
        <f t="shared" si="4"/>
        <v>A</v>
      </c>
      <c r="AJ22" s="7"/>
      <c r="AK22" s="7"/>
      <c r="AL22" s="7"/>
      <c r="AM22" s="7"/>
      <c r="AN22" s="7"/>
      <c r="AO22" s="72" t="str">
        <f t="shared" si="5"/>
        <v>A</v>
      </c>
      <c r="AP22" s="7"/>
      <c r="AQ22" s="7"/>
      <c r="AR22" s="7"/>
      <c r="AS22" s="7"/>
      <c r="AT22" s="7"/>
      <c r="AU22" s="72" t="str">
        <f t="shared" si="6"/>
        <v>A</v>
      </c>
      <c r="AV22" s="7"/>
      <c r="AW22" s="7"/>
      <c r="AX22" s="62">
        <v>5</v>
      </c>
      <c r="AY22" s="62">
        <v>0</v>
      </c>
      <c r="AZ22" s="62">
        <v>3</v>
      </c>
      <c r="BA22" s="72">
        <f t="shared" si="7"/>
        <v>2.6666666666666665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2</v>
      </c>
      <c r="M23" s="62"/>
      <c r="N23" s="62">
        <v>2</v>
      </c>
      <c r="O23" s="62">
        <v>2</v>
      </c>
      <c r="P23" s="62"/>
      <c r="Q23" s="72">
        <f t="shared" si="1"/>
        <v>2</v>
      </c>
      <c r="R23" s="62"/>
      <c r="S23" s="62"/>
      <c r="T23" s="62"/>
      <c r="U23" s="62"/>
      <c r="V23" s="62"/>
      <c r="W23" s="72" t="str">
        <f t="shared" si="2"/>
        <v>A</v>
      </c>
      <c r="X23" s="62"/>
      <c r="Y23" s="62"/>
      <c r="Z23" s="62"/>
      <c r="AA23" s="62"/>
      <c r="AB23" s="62"/>
      <c r="AC23" s="72" t="str">
        <f t="shared" si="3"/>
        <v>A</v>
      </c>
      <c r="AD23" s="62"/>
      <c r="AE23" s="62"/>
      <c r="AF23" s="62"/>
      <c r="AG23" s="62"/>
      <c r="AH23" s="62"/>
      <c r="AI23" s="72" t="str">
        <f t="shared" si="4"/>
        <v>A</v>
      </c>
      <c r="AJ23" s="62"/>
      <c r="AK23" s="62"/>
      <c r="AL23" s="62"/>
      <c r="AM23" s="62"/>
      <c r="AN23" s="62"/>
      <c r="AO23" s="72" t="str">
        <f t="shared" si="5"/>
        <v>A</v>
      </c>
      <c r="AP23" s="62"/>
      <c r="AQ23" s="62"/>
      <c r="AR23" s="62"/>
      <c r="AS23" s="62"/>
      <c r="AT23" s="62"/>
      <c r="AU23" s="72" t="str">
        <f t="shared" si="6"/>
        <v>A</v>
      </c>
      <c r="AV23" s="62"/>
      <c r="AW23" s="62"/>
      <c r="AX23" s="62">
        <v>5</v>
      </c>
      <c r="AY23" s="62">
        <v>0</v>
      </c>
      <c r="AZ23" s="62">
        <v>2</v>
      </c>
      <c r="BA23" s="72">
        <f t="shared" si="7"/>
        <v>2.3333333333333335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2</v>
      </c>
      <c r="M24" s="62"/>
      <c r="N24" s="62">
        <v>2</v>
      </c>
      <c r="O24" s="62">
        <v>1</v>
      </c>
      <c r="P24" s="62"/>
      <c r="Q24" s="72">
        <f t="shared" si="1"/>
        <v>1.6666666666666667</v>
      </c>
      <c r="R24" s="7"/>
      <c r="S24" s="7"/>
      <c r="T24" s="7"/>
      <c r="U24" s="7"/>
      <c r="V24" s="7"/>
      <c r="W24" s="72" t="str">
        <f t="shared" si="2"/>
        <v>A</v>
      </c>
      <c r="X24" s="7"/>
      <c r="Y24" s="7"/>
      <c r="Z24" s="7"/>
      <c r="AA24" s="7"/>
      <c r="AB24" s="7"/>
      <c r="AC24" s="72" t="str">
        <f t="shared" si="3"/>
        <v>A</v>
      </c>
      <c r="AD24" s="7"/>
      <c r="AE24" s="7"/>
      <c r="AF24" s="7"/>
      <c r="AG24" s="7"/>
      <c r="AH24" s="7"/>
      <c r="AI24" s="72" t="str">
        <f t="shared" si="4"/>
        <v>A</v>
      </c>
      <c r="AJ24" s="7"/>
      <c r="AK24" s="7"/>
      <c r="AL24" s="7"/>
      <c r="AM24" s="7"/>
      <c r="AN24" s="7"/>
      <c r="AO24" s="72" t="str">
        <f t="shared" si="5"/>
        <v>A</v>
      </c>
      <c r="AP24" s="7"/>
      <c r="AQ24" s="7"/>
      <c r="AR24" s="7"/>
      <c r="AS24" s="7"/>
      <c r="AT24" s="7"/>
      <c r="AU24" s="72" t="str">
        <f t="shared" si="6"/>
        <v>A</v>
      </c>
      <c r="AV24" s="7"/>
      <c r="AW24" s="7"/>
      <c r="AX24" s="62">
        <v>5</v>
      </c>
      <c r="AY24" s="62">
        <v>0</v>
      </c>
      <c r="AZ24" s="62">
        <v>1</v>
      </c>
      <c r="BA24" s="72">
        <f t="shared" si="7"/>
        <v>2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0</v>
      </c>
      <c r="M25" s="62"/>
      <c r="N25" s="62">
        <v>0</v>
      </c>
      <c r="O25" s="62">
        <v>0</v>
      </c>
      <c r="P25" s="62"/>
      <c r="Q25" s="72">
        <f t="shared" si="1"/>
        <v>0</v>
      </c>
      <c r="R25" s="62"/>
      <c r="S25" s="62"/>
      <c r="T25" s="62"/>
      <c r="U25" s="62"/>
      <c r="V25" s="62"/>
      <c r="W25" s="72" t="str">
        <f t="shared" si="2"/>
        <v>A</v>
      </c>
      <c r="X25" s="62"/>
      <c r="Y25" s="62"/>
      <c r="Z25" s="62"/>
      <c r="AA25" s="62"/>
      <c r="AB25" s="62"/>
      <c r="AC25" s="72" t="str">
        <f t="shared" si="3"/>
        <v>A</v>
      </c>
      <c r="AD25" s="62"/>
      <c r="AE25" s="62"/>
      <c r="AF25" s="62"/>
      <c r="AG25" s="62"/>
      <c r="AH25" s="62"/>
      <c r="AI25" s="72" t="str">
        <f t="shared" si="4"/>
        <v>A</v>
      </c>
      <c r="AJ25" s="62"/>
      <c r="AK25" s="62"/>
      <c r="AL25" s="62"/>
      <c r="AM25" s="62"/>
      <c r="AN25" s="62"/>
      <c r="AO25" s="72" t="str">
        <f t="shared" si="5"/>
        <v>A</v>
      </c>
      <c r="AP25" s="62"/>
      <c r="AQ25" s="62"/>
      <c r="AR25" s="62"/>
      <c r="AS25" s="62"/>
      <c r="AT25" s="62"/>
      <c r="AU25" s="72" t="str">
        <f t="shared" si="6"/>
        <v>A</v>
      </c>
      <c r="AV25" s="62"/>
      <c r="AW25" s="62"/>
      <c r="AX25" s="62">
        <v>0</v>
      </c>
      <c r="AY25" s="62">
        <v>0</v>
      </c>
      <c r="AZ25" s="62">
        <v>0</v>
      </c>
      <c r="BA25" s="72">
        <f t="shared" si="7"/>
        <v>0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0</v>
      </c>
      <c r="M26" s="62"/>
      <c r="N26" s="62">
        <v>0</v>
      </c>
      <c r="O26" s="62">
        <v>0</v>
      </c>
      <c r="P26" s="62"/>
      <c r="Q26" s="72">
        <f t="shared" si="1"/>
        <v>0</v>
      </c>
      <c r="R26" s="7"/>
      <c r="S26" s="7"/>
      <c r="T26" s="7"/>
      <c r="U26" s="7"/>
      <c r="V26" s="7"/>
      <c r="W26" s="72" t="str">
        <f t="shared" si="2"/>
        <v>A</v>
      </c>
      <c r="X26" s="7"/>
      <c r="Y26" s="7"/>
      <c r="Z26" s="7"/>
      <c r="AA26" s="7"/>
      <c r="AB26" s="7"/>
      <c r="AC26" s="72" t="str">
        <f t="shared" si="3"/>
        <v>A</v>
      </c>
      <c r="AD26" s="7"/>
      <c r="AE26" s="7"/>
      <c r="AF26" s="7"/>
      <c r="AG26" s="7"/>
      <c r="AH26" s="7"/>
      <c r="AI26" s="72" t="str">
        <f t="shared" si="4"/>
        <v>A</v>
      </c>
      <c r="AJ26" s="7"/>
      <c r="AK26" s="7"/>
      <c r="AL26" s="7"/>
      <c r="AM26" s="7"/>
      <c r="AN26" s="7"/>
      <c r="AO26" s="72" t="str">
        <f t="shared" si="5"/>
        <v>A</v>
      </c>
      <c r="AP26" s="7"/>
      <c r="AQ26" s="7"/>
      <c r="AR26" s="7"/>
      <c r="AS26" s="7"/>
      <c r="AT26" s="7"/>
      <c r="AU26" s="72" t="str">
        <f t="shared" si="6"/>
        <v>A</v>
      </c>
      <c r="AV26" s="7"/>
      <c r="AW26" s="7"/>
      <c r="AX26" s="62">
        <v>0</v>
      </c>
      <c r="AY26" s="62">
        <v>0</v>
      </c>
      <c r="AZ26" s="62">
        <v>0</v>
      </c>
      <c r="BA26" s="72">
        <f t="shared" si="7"/>
        <v>0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/>
      <c r="N27" s="62">
        <v>2</v>
      </c>
      <c r="O27" s="62">
        <v>3</v>
      </c>
      <c r="P27" s="62"/>
      <c r="Q27" s="72">
        <f t="shared" si="1"/>
        <v>2.6666666666666665</v>
      </c>
      <c r="R27" s="62"/>
      <c r="S27" s="62"/>
      <c r="T27" s="62"/>
      <c r="U27" s="62"/>
      <c r="V27" s="62"/>
      <c r="W27" s="72" t="str">
        <f t="shared" si="2"/>
        <v>A</v>
      </c>
      <c r="X27" s="62"/>
      <c r="Y27" s="62"/>
      <c r="Z27" s="62"/>
      <c r="AA27" s="62"/>
      <c r="AB27" s="62"/>
      <c r="AC27" s="72" t="str">
        <f t="shared" si="3"/>
        <v>A</v>
      </c>
      <c r="AD27" s="62"/>
      <c r="AE27" s="62"/>
      <c r="AF27" s="62"/>
      <c r="AG27" s="62"/>
      <c r="AH27" s="62"/>
      <c r="AI27" s="72" t="str">
        <f t="shared" si="4"/>
        <v>A</v>
      </c>
      <c r="AJ27" s="62"/>
      <c r="AK27" s="62"/>
      <c r="AL27" s="62"/>
      <c r="AM27" s="62"/>
      <c r="AN27" s="62"/>
      <c r="AO27" s="72" t="str">
        <f t="shared" si="5"/>
        <v>A</v>
      </c>
      <c r="AP27" s="62"/>
      <c r="AQ27" s="62"/>
      <c r="AR27" s="62"/>
      <c r="AS27" s="62"/>
      <c r="AT27" s="62"/>
      <c r="AU27" s="72" t="str">
        <f t="shared" si="6"/>
        <v>A</v>
      </c>
      <c r="AV27" s="62"/>
      <c r="AW27" s="62"/>
      <c r="AX27" s="62">
        <v>5</v>
      </c>
      <c r="AY27" s="62">
        <v>0</v>
      </c>
      <c r="AZ27" s="62">
        <v>3</v>
      </c>
      <c r="BA27" s="72">
        <f t="shared" si="7"/>
        <v>2.6666666666666665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3</v>
      </c>
      <c r="M28" s="62"/>
      <c r="N28" s="62">
        <v>3</v>
      </c>
      <c r="O28" s="62">
        <v>3</v>
      </c>
      <c r="P28" s="62"/>
      <c r="Q28" s="72">
        <f t="shared" si="1"/>
        <v>3</v>
      </c>
      <c r="R28" s="7"/>
      <c r="S28" s="7"/>
      <c r="T28" s="7"/>
      <c r="U28" s="7"/>
      <c r="V28" s="7"/>
      <c r="W28" s="72" t="str">
        <f t="shared" si="2"/>
        <v>A</v>
      </c>
      <c r="X28" s="7"/>
      <c r="Y28" s="7"/>
      <c r="Z28" s="7"/>
      <c r="AA28" s="7"/>
      <c r="AB28" s="7"/>
      <c r="AC28" s="72" t="str">
        <f t="shared" si="3"/>
        <v>A</v>
      </c>
      <c r="AD28" s="7"/>
      <c r="AE28" s="7"/>
      <c r="AF28" s="7"/>
      <c r="AG28" s="7"/>
      <c r="AH28" s="7"/>
      <c r="AI28" s="72" t="str">
        <f t="shared" si="4"/>
        <v>A</v>
      </c>
      <c r="AJ28" s="7"/>
      <c r="AK28" s="7"/>
      <c r="AL28" s="7"/>
      <c r="AM28" s="7"/>
      <c r="AN28" s="7"/>
      <c r="AO28" s="72" t="str">
        <f t="shared" si="5"/>
        <v>A</v>
      </c>
      <c r="AP28" s="7"/>
      <c r="AQ28" s="7"/>
      <c r="AR28" s="7"/>
      <c r="AS28" s="7"/>
      <c r="AT28" s="7"/>
      <c r="AU28" s="72" t="str">
        <f t="shared" si="6"/>
        <v>A</v>
      </c>
      <c r="AV28" s="7"/>
      <c r="AW28" s="7"/>
      <c r="AX28" s="62">
        <v>5</v>
      </c>
      <c r="AY28" s="62">
        <v>2</v>
      </c>
      <c r="AZ28" s="62">
        <v>3</v>
      </c>
      <c r="BA28" s="72">
        <f t="shared" si="7"/>
        <v>3.3333333333333335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0</v>
      </c>
      <c r="M29" s="62"/>
      <c r="N29" s="62">
        <v>0</v>
      </c>
      <c r="O29" s="62">
        <v>0</v>
      </c>
      <c r="P29" s="62"/>
      <c r="Q29" s="72">
        <f t="shared" si="1"/>
        <v>0</v>
      </c>
      <c r="R29" s="62"/>
      <c r="S29" s="62"/>
      <c r="T29" s="62"/>
      <c r="U29" s="62"/>
      <c r="V29" s="62"/>
      <c r="W29" s="72" t="str">
        <f t="shared" si="2"/>
        <v>A</v>
      </c>
      <c r="X29" s="62"/>
      <c r="Y29" s="62"/>
      <c r="Z29" s="62"/>
      <c r="AA29" s="62"/>
      <c r="AB29" s="62"/>
      <c r="AC29" s="72" t="str">
        <f t="shared" si="3"/>
        <v>A</v>
      </c>
      <c r="AD29" s="62"/>
      <c r="AE29" s="62"/>
      <c r="AF29" s="62"/>
      <c r="AG29" s="62"/>
      <c r="AH29" s="62"/>
      <c r="AI29" s="72" t="str">
        <f t="shared" si="4"/>
        <v>A</v>
      </c>
      <c r="AJ29" s="62"/>
      <c r="AK29" s="62"/>
      <c r="AL29" s="62"/>
      <c r="AM29" s="62"/>
      <c r="AN29" s="62"/>
      <c r="AO29" s="72" t="str">
        <f t="shared" si="5"/>
        <v>A</v>
      </c>
      <c r="AP29" s="62"/>
      <c r="AQ29" s="62"/>
      <c r="AR29" s="62"/>
      <c r="AS29" s="62"/>
      <c r="AT29" s="62"/>
      <c r="AU29" s="72" t="str">
        <f t="shared" si="6"/>
        <v>A</v>
      </c>
      <c r="AV29" s="62"/>
      <c r="AW29" s="62"/>
      <c r="AX29" s="62">
        <v>0</v>
      </c>
      <c r="AY29" s="62">
        <v>0</v>
      </c>
      <c r="AZ29" s="62">
        <v>0</v>
      </c>
      <c r="BA29" s="72">
        <f t="shared" si="7"/>
        <v>0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1</v>
      </c>
      <c r="M30" s="62"/>
      <c r="N30" s="62">
        <v>1</v>
      </c>
      <c r="O30" s="62">
        <v>1</v>
      </c>
      <c r="P30" s="62"/>
      <c r="Q30" s="72">
        <f t="shared" si="1"/>
        <v>1</v>
      </c>
      <c r="R30" s="7"/>
      <c r="S30" s="7"/>
      <c r="T30" s="7"/>
      <c r="U30" s="7"/>
      <c r="V30" s="7"/>
      <c r="W30" s="72" t="str">
        <f t="shared" si="2"/>
        <v>A</v>
      </c>
      <c r="X30" s="7"/>
      <c r="Y30" s="7"/>
      <c r="Z30" s="7"/>
      <c r="AA30" s="7"/>
      <c r="AB30" s="7"/>
      <c r="AC30" s="72" t="str">
        <f t="shared" si="3"/>
        <v>A</v>
      </c>
      <c r="AD30" s="7"/>
      <c r="AE30" s="7"/>
      <c r="AF30" s="7"/>
      <c r="AG30" s="7"/>
      <c r="AH30" s="7"/>
      <c r="AI30" s="72" t="str">
        <f t="shared" si="4"/>
        <v>A</v>
      </c>
      <c r="AJ30" s="7"/>
      <c r="AK30" s="7"/>
      <c r="AL30" s="7"/>
      <c r="AM30" s="7"/>
      <c r="AN30" s="7"/>
      <c r="AO30" s="72" t="str">
        <f t="shared" si="5"/>
        <v>A</v>
      </c>
      <c r="AP30" s="7"/>
      <c r="AQ30" s="7"/>
      <c r="AR30" s="7"/>
      <c r="AS30" s="7"/>
      <c r="AT30" s="7"/>
      <c r="AU30" s="72" t="str">
        <f t="shared" si="6"/>
        <v>A</v>
      </c>
      <c r="AV30" s="7"/>
      <c r="AW30" s="7"/>
      <c r="AX30" s="62">
        <v>5</v>
      </c>
      <c r="AY30" s="62">
        <v>0</v>
      </c>
      <c r="AZ30" s="62">
        <v>1</v>
      </c>
      <c r="BA30" s="72">
        <f t="shared" si="7"/>
        <v>2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2</v>
      </c>
      <c r="M31" s="62"/>
      <c r="N31" s="62">
        <v>2</v>
      </c>
      <c r="O31" s="62">
        <v>2</v>
      </c>
      <c r="P31" s="62"/>
      <c r="Q31" s="72">
        <f t="shared" si="1"/>
        <v>2</v>
      </c>
      <c r="R31" s="62"/>
      <c r="S31" s="62"/>
      <c r="T31" s="62"/>
      <c r="U31" s="62"/>
      <c r="V31" s="62"/>
      <c r="W31" s="72" t="str">
        <f t="shared" si="2"/>
        <v>A</v>
      </c>
      <c r="X31" s="62"/>
      <c r="Y31" s="62"/>
      <c r="Z31" s="62"/>
      <c r="AA31" s="62"/>
      <c r="AB31" s="62"/>
      <c r="AC31" s="72" t="str">
        <f t="shared" si="3"/>
        <v>A</v>
      </c>
      <c r="AD31" s="62"/>
      <c r="AE31" s="62"/>
      <c r="AF31" s="62"/>
      <c r="AG31" s="62"/>
      <c r="AH31" s="62"/>
      <c r="AI31" s="72" t="str">
        <f t="shared" si="4"/>
        <v>A</v>
      </c>
      <c r="AJ31" s="62"/>
      <c r="AK31" s="62"/>
      <c r="AL31" s="62"/>
      <c r="AM31" s="62"/>
      <c r="AN31" s="62"/>
      <c r="AO31" s="72" t="str">
        <f t="shared" si="5"/>
        <v>A</v>
      </c>
      <c r="AP31" s="62"/>
      <c r="AQ31" s="62"/>
      <c r="AR31" s="62"/>
      <c r="AS31" s="62"/>
      <c r="AT31" s="62"/>
      <c r="AU31" s="72" t="str">
        <f t="shared" si="6"/>
        <v>A</v>
      </c>
      <c r="AV31" s="62"/>
      <c r="AW31" s="62"/>
      <c r="AX31" s="62">
        <v>5</v>
      </c>
      <c r="AY31" s="62">
        <v>2</v>
      </c>
      <c r="AZ31" s="62">
        <v>2</v>
      </c>
      <c r="BA31" s="72">
        <f t="shared" si="7"/>
        <v>3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0</v>
      </c>
      <c r="M32" s="62"/>
      <c r="N32" s="62">
        <v>0</v>
      </c>
      <c r="O32" s="62">
        <v>0</v>
      </c>
      <c r="P32" s="62"/>
      <c r="Q32" s="72">
        <f t="shared" si="1"/>
        <v>0</v>
      </c>
      <c r="R32" s="7"/>
      <c r="S32" s="7"/>
      <c r="T32" s="7"/>
      <c r="U32" s="7"/>
      <c r="V32" s="7"/>
      <c r="W32" s="72" t="str">
        <f t="shared" si="2"/>
        <v>A</v>
      </c>
      <c r="X32" s="7"/>
      <c r="Y32" s="7"/>
      <c r="Z32" s="7"/>
      <c r="AA32" s="7"/>
      <c r="AB32" s="7"/>
      <c r="AC32" s="72" t="str">
        <f t="shared" si="3"/>
        <v>A</v>
      </c>
      <c r="AD32" s="7"/>
      <c r="AE32" s="7"/>
      <c r="AF32" s="7"/>
      <c r="AG32" s="7"/>
      <c r="AH32" s="7"/>
      <c r="AI32" s="72" t="str">
        <f t="shared" si="4"/>
        <v>A</v>
      </c>
      <c r="AJ32" s="7"/>
      <c r="AK32" s="7"/>
      <c r="AL32" s="7"/>
      <c r="AM32" s="7"/>
      <c r="AN32" s="7"/>
      <c r="AO32" s="72" t="str">
        <f t="shared" si="5"/>
        <v>A</v>
      </c>
      <c r="AP32" s="7"/>
      <c r="AQ32" s="7"/>
      <c r="AR32" s="7"/>
      <c r="AS32" s="7"/>
      <c r="AT32" s="7"/>
      <c r="AU32" s="72" t="str">
        <f t="shared" si="6"/>
        <v>A</v>
      </c>
      <c r="AV32" s="7"/>
      <c r="AW32" s="7"/>
      <c r="AX32" s="62">
        <v>0</v>
      </c>
      <c r="AY32" s="62">
        <v>0</v>
      </c>
      <c r="AZ32" s="62">
        <v>0</v>
      </c>
      <c r="BA32" s="72">
        <f t="shared" si="7"/>
        <v>0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3</v>
      </c>
      <c r="M33" s="62"/>
      <c r="N33" s="62">
        <v>3</v>
      </c>
      <c r="O33" s="62">
        <v>2</v>
      </c>
      <c r="P33" s="62"/>
      <c r="Q33" s="72">
        <f t="shared" si="1"/>
        <v>2.6666666666666665</v>
      </c>
      <c r="R33" s="62"/>
      <c r="S33" s="62"/>
      <c r="T33" s="62"/>
      <c r="U33" s="62"/>
      <c r="V33" s="62"/>
      <c r="W33" s="72" t="str">
        <f t="shared" si="2"/>
        <v>A</v>
      </c>
      <c r="X33" s="62"/>
      <c r="Y33" s="62"/>
      <c r="Z33" s="62"/>
      <c r="AA33" s="62"/>
      <c r="AB33" s="62"/>
      <c r="AC33" s="72" t="str">
        <f t="shared" si="3"/>
        <v>A</v>
      </c>
      <c r="AD33" s="62"/>
      <c r="AE33" s="62"/>
      <c r="AF33" s="62"/>
      <c r="AG33" s="62"/>
      <c r="AH33" s="62"/>
      <c r="AI33" s="72" t="str">
        <f t="shared" si="4"/>
        <v>A</v>
      </c>
      <c r="AJ33" s="62"/>
      <c r="AK33" s="62"/>
      <c r="AL33" s="62"/>
      <c r="AM33" s="62"/>
      <c r="AN33" s="62"/>
      <c r="AO33" s="72" t="str">
        <f t="shared" si="5"/>
        <v>A</v>
      </c>
      <c r="AP33" s="62"/>
      <c r="AQ33" s="62"/>
      <c r="AR33" s="62"/>
      <c r="AS33" s="62"/>
      <c r="AT33" s="62"/>
      <c r="AU33" s="72" t="str">
        <f t="shared" si="6"/>
        <v>A</v>
      </c>
      <c r="AV33" s="62"/>
      <c r="AW33" s="62"/>
      <c r="AX33" s="62">
        <v>5</v>
      </c>
      <c r="AY33" s="62">
        <v>0</v>
      </c>
      <c r="AZ33" s="62">
        <v>2</v>
      </c>
      <c r="BA33" s="72">
        <f t="shared" si="7"/>
        <v>2.3333333333333335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3</v>
      </c>
      <c r="M34" s="62"/>
      <c r="N34" s="62">
        <v>3</v>
      </c>
      <c r="O34" s="62">
        <v>3</v>
      </c>
      <c r="P34" s="62"/>
      <c r="Q34" s="72">
        <f t="shared" si="1"/>
        <v>3</v>
      </c>
      <c r="R34" s="7"/>
      <c r="S34" s="7"/>
      <c r="T34" s="7"/>
      <c r="U34" s="7"/>
      <c r="V34" s="7"/>
      <c r="W34" s="72" t="str">
        <f t="shared" si="2"/>
        <v>A</v>
      </c>
      <c r="X34" s="7"/>
      <c r="Y34" s="7"/>
      <c r="Z34" s="7"/>
      <c r="AA34" s="7"/>
      <c r="AB34" s="7"/>
      <c r="AC34" s="72" t="str">
        <f t="shared" si="3"/>
        <v>A</v>
      </c>
      <c r="AD34" s="7"/>
      <c r="AE34" s="7"/>
      <c r="AF34" s="7"/>
      <c r="AG34" s="7"/>
      <c r="AH34" s="7"/>
      <c r="AI34" s="72" t="str">
        <f t="shared" si="4"/>
        <v>A</v>
      </c>
      <c r="AJ34" s="7"/>
      <c r="AK34" s="7"/>
      <c r="AL34" s="7"/>
      <c r="AM34" s="7"/>
      <c r="AN34" s="7"/>
      <c r="AO34" s="72" t="str">
        <f t="shared" si="5"/>
        <v>A</v>
      </c>
      <c r="AP34" s="7"/>
      <c r="AQ34" s="7"/>
      <c r="AR34" s="7"/>
      <c r="AS34" s="7"/>
      <c r="AT34" s="7"/>
      <c r="AU34" s="72" t="str">
        <f t="shared" si="6"/>
        <v>A</v>
      </c>
      <c r="AV34" s="7"/>
      <c r="AW34" s="7"/>
      <c r="AX34" s="62">
        <v>5</v>
      </c>
      <c r="AY34" s="62">
        <v>0</v>
      </c>
      <c r="AZ34" s="62">
        <v>3</v>
      </c>
      <c r="BA34" s="72">
        <f t="shared" si="7"/>
        <v>2.6666666666666665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3</v>
      </c>
      <c r="M35" s="62"/>
      <c r="N35" s="62">
        <v>4</v>
      </c>
      <c r="O35" s="62">
        <v>3</v>
      </c>
      <c r="P35" s="62"/>
      <c r="Q35" s="72">
        <f t="shared" si="1"/>
        <v>3.3333333333333335</v>
      </c>
      <c r="R35" s="62"/>
      <c r="S35" s="62"/>
      <c r="T35" s="62"/>
      <c r="U35" s="62"/>
      <c r="V35" s="62"/>
      <c r="W35" s="72" t="str">
        <f t="shared" si="2"/>
        <v>A</v>
      </c>
      <c r="X35" s="62"/>
      <c r="Y35" s="62"/>
      <c r="Z35" s="62"/>
      <c r="AA35" s="62"/>
      <c r="AB35" s="62"/>
      <c r="AC35" s="72" t="str">
        <f t="shared" si="3"/>
        <v>A</v>
      </c>
      <c r="AD35" s="62"/>
      <c r="AE35" s="62"/>
      <c r="AF35" s="62"/>
      <c r="AG35" s="62"/>
      <c r="AH35" s="62"/>
      <c r="AI35" s="72" t="str">
        <f t="shared" si="4"/>
        <v>A</v>
      </c>
      <c r="AJ35" s="62"/>
      <c r="AK35" s="62"/>
      <c r="AL35" s="62"/>
      <c r="AM35" s="62"/>
      <c r="AN35" s="62"/>
      <c r="AO35" s="72" t="str">
        <f t="shared" si="5"/>
        <v>A</v>
      </c>
      <c r="AP35" s="62"/>
      <c r="AQ35" s="62"/>
      <c r="AR35" s="62"/>
      <c r="AS35" s="62"/>
      <c r="AT35" s="62"/>
      <c r="AU35" s="72" t="str">
        <f t="shared" si="6"/>
        <v>A</v>
      </c>
      <c r="AV35" s="62"/>
      <c r="AW35" s="62"/>
      <c r="AX35" s="62">
        <v>5</v>
      </c>
      <c r="AY35" s="62">
        <v>0</v>
      </c>
      <c r="AZ35" s="62">
        <v>4</v>
      </c>
      <c r="BA35" s="72">
        <f t="shared" si="7"/>
        <v>3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4</v>
      </c>
      <c r="M36" s="62"/>
      <c r="N36" s="62">
        <v>4</v>
      </c>
      <c r="O36" s="62">
        <v>4</v>
      </c>
      <c r="P36" s="62"/>
      <c r="Q36" s="72">
        <f t="shared" si="1"/>
        <v>4</v>
      </c>
      <c r="R36" s="7"/>
      <c r="S36" s="7"/>
      <c r="T36" s="7"/>
      <c r="U36" s="7"/>
      <c r="V36" s="7"/>
      <c r="W36" s="72" t="str">
        <f t="shared" si="2"/>
        <v>A</v>
      </c>
      <c r="X36" s="7"/>
      <c r="Y36" s="7"/>
      <c r="Z36" s="7"/>
      <c r="AA36" s="7"/>
      <c r="AB36" s="7"/>
      <c r="AC36" s="72" t="str">
        <f t="shared" si="3"/>
        <v>A</v>
      </c>
      <c r="AD36" s="7"/>
      <c r="AE36" s="7"/>
      <c r="AF36" s="7"/>
      <c r="AG36" s="7"/>
      <c r="AH36" s="7"/>
      <c r="AI36" s="72" t="str">
        <f t="shared" si="4"/>
        <v>A</v>
      </c>
      <c r="AJ36" s="7"/>
      <c r="AK36" s="7"/>
      <c r="AL36" s="7"/>
      <c r="AM36" s="7"/>
      <c r="AN36" s="7"/>
      <c r="AO36" s="72" t="str">
        <f t="shared" si="5"/>
        <v>A</v>
      </c>
      <c r="AP36" s="7"/>
      <c r="AQ36" s="7"/>
      <c r="AR36" s="7"/>
      <c r="AS36" s="7"/>
      <c r="AT36" s="7"/>
      <c r="AU36" s="72" t="str">
        <f t="shared" si="6"/>
        <v>A</v>
      </c>
      <c r="AV36" s="7"/>
      <c r="AW36" s="7"/>
      <c r="AX36" s="62">
        <v>5</v>
      </c>
      <c r="AY36" s="62">
        <v>0</v>
      </c>
      <c r="AZ36" s="62">
        <v>4</v>
      </c>
      <c r="BA36" s="72">
        <f t="shared" si="7"/>
        <v>3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3</v>
      </c>
      <c r="M37" s="62"/>
      <c r="N37" s="62">
        <v>4</v>
      </c>
      <c r="O37" s="62">
        <v>4</v>
      </c>
      <c r="P37" s="62"/>
      <c r="Q37" s="72">
        <f t="shared" si="1"/>
        <v>3.6666666666666665</v>
      </c>
      <c r="R37" s="62"/>
      <c r="S37" s="62"/>
      <c r="T37" s="62"/>
      <c r="U37" s="62"/>
      <c r="V37" s="62"/>
      <c r="W37" s="72" t="str">
        <f t="shared" si="2"/>
        <v>A</v>
      </c>
      <c r="X37" s="62"/>
      <c r="Y37" s="62"/>
      <c r="Z37" s="62"/>
      <c r="AA37" s="62"/>
      <c r="AB37" s="62"/>
      <c r="AC37" s="72" t="str">
        <f t="shared" si="3"/>
        <v>A</v>
      </c>
      <c r="AD37" s="62"/>
      <c r="AE37" s="62"/>
      <c r="AF37" s="62"/>
      <c r="AG37" s="62"/>
      <c r="AH37" s="62"/>
      <c r="AI37" s="72" t="str">
        <f t="shared" si="4"/>
        <v>A</v>
      </c>
      <c r="AJ37" s="62"/>
      <c r="AK37" s="62"/>
      <c r="AL37" s="62"/>
      <c r="AM37" s="62"/>
      <c r="AN37" s="62"/>
      <c r="AO37" s="72" t="str">
        <f t="shared" si="5"/>
        <v>A</v>
      </c>
      <c r="AP37" s="62"/>
      <c r="AQ37" s="62"/>
      <c r="AR37" s="62"/>
      <c r="AS37" s="62"/>
      <c r="AT37" s="62"/>
      <c r="AU37" s="72" t="str">
        <f t="shared" si="6"/>
        <v>A</v>
      </c>
      <c r="AV37" s="62"/>
      <c r="AW37" s="62"/>
      <c r="AX37" s="62">
        <v>5</v>
      </c>
      <c r="AY37" s="62">
        <v>0</v>
      </c>
      <c r="AZ37" s="62">
        <v>4</v>
      </c>
      <c r="BA37" s="72">
        <f t="shared" si="7"/>
        <v>3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2</v>
      </c>
      <c r="M38" s="62"/>
      <c r="N38" s="62">
        <v>2</v>
      </c>
      <c r="O38" s="62">
        <v>1</v>
      </c>
      <c r="P38" s="62"/>
      <c r="Q38" s="72">
        <f t="shared" si="1"/>
        <v>1.6666666666666667</v>
      </c>
      <c r="R38" s="7"/>
      <c r="S38" s="7"/>
      <c r="T38" s="7"/>
      <c r="U38" s="7"/>
      <c r="V38" s="7"/>
      <c r="W38" s="72" t="str">
        <f t="shared" si="2"/>
        <v>A</v>
      </c>
      <c r="X38" s="7"/>
      <c r="Y38" s="7"/>
      <c r="Z38" s="7"/>
      <c r="AA38" s="7"/>
      <c r="AB38" s="7"/>
      <c r="AC38" s="72" t="str">
        <f t="shared" si="3"/>
        <v>A</v>
      </c>
      <c r="AD38" s="7"/>
      <c r="AE38" s="7"/>
      <c r="AF38" s="7"/>
      <c r="AG38" s="7"/>
      <c r="AH38" s="7"/>
      <c r="AI38" s="72" t="str">
        <f t="shared" si="4"/>
        <v>A</v>
      </c>
      <c r="AJ38" s="7"/>
      <c r="AK38" s="7"/>
      <c r="AL38" s="7"/>
      <c r="AM38" s="7"/>
      <c r="AN38" s="7"/>
      <c r="AO38" s="72" t="str">
        <f t="shared" si="5"/>
        <v>A</v>
      </c>
      <c r="AP38" s="7"/>
      <c r="AQ38" s="7"/>
      <c r="AR38" s="7"/>
      <c r="AS38" s="7"/>
      <c r="AT38" s="7"/>
      <c r="AU38" s="72" t="str">
        <f t="shared" si="6"/>
        <v>A</v>
      </c>
      <c r="AV38" s="7"/>
      <c r="AW38" s="7"/>
      <c r="AX38" s="62">
        <v>5</v>
      </c>
      <c r="AY38" s="62">
        <v>0</v>
      </c>
      <c r="AZ38" s="62">
        <v>1</v>
      </c>
      <c r="BA38" s="72">
        <f t="shared" si="7"/>
        <v>2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/>
      <c r="N39" s="62">
        <v>2</v>
      </c>
      <c r="O39" s="62">
        <v>2</v>
      </c>
      <c r="P39" s="62"/>
      <c r="Q39" s="72">
        <f t="shared" si="1"/>
        <v>2</v>
      </c>
      <c r="R39" s="62"/>
      <c r="S39" s="62"/>
      <c r="T39" s="62"/>
      <c r="U39" s="62"/>
      <c r="V39" s="62"/>
      <c r="W39" s="72" t="str">
        <f t="shared" si="2"/>
        <v>A</v>
      </c>
      <c r="X39" s="62"/>
      <c r="Y39" s="62"/>
      <c r="Z39" s="62"/>
      <c r="AA39" s="62"/>
      <c r="AB39" s="62"/>
      <c r="AC39" s="72" t="str">
        <f t="shared" si="3"/>
        <v>A</v>
      </c>
      <c r="AD39" s="62"/>
      <c r="AE39" s="62"/>
      <c r="AF39" s="62"/>
      <c r="AG39" s="62"/>
      <c r="AH39" s="62"/>
      <c r="AI39" s="72" t="str">
        <f t="shared" si="4"/>
        <v>A</v>
      </c>
      <c r="AJ39" s="62"/>
      <c r="AK39" s="62"/>
      <c r="AL39" s="62"/>
      <c r="AM39" s="62"/>
      <c r="AN39" s="62"/>
      <c r="AO39" s="72" t="str">
        <f t="shared" si="5"/>
        <v>A</v>
      </c>
      <c r="AP39" s="62"/>
      <c r="AQ39" s="62"/>
      <c r="AR39" s="62"/>
      <c r="AS39" s="62"/>
      <c r="AT39" s="62"/>
      <c r="AU39" s="72" t="str">
        <f t="shared" si="6"/>
        <v>A</v>
      </c>
      <c r="AV39" s="62"/>
      <c r="AW39" s="62"/>
      <c r="AX39" s="62">
        <v>2</v>
      </c>
      <c r="AY39" s="62">
        <v>2</v>
      </c>
      <c r="AZ39" s="62">
        <v>2</v>
      </c>
      <c r="BA39" s="72">
        <f t="shared" si="7"/>
        <v>2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0</v>
      </c>
      <c r="M40" s="62"/>
      <c r="N40" s="62">
        <v>0</v>
      </c>
      <c r="O40" s="62">
        <v>0</v>
      </c>
      <c r="P40" s="62"/>
      <c r="Q40" s="72">
        <f t="shared" si="1"/>
        <v>0</v>
      </c>
      <c r="R40" s="7"/>
      <c r="S40" s="7"/>
      <c r="T40" s="7"/>
      <c r="U40" s="7"/>
      <c r="V40" s="7"/>
      <c r="W40" s="72" t="str">
        <f t="shared" si="2"/>
        <v>A</v>
      </c>
      <c r="X40" s="7"/>
      <c r="Y40" s="7"/>
      <c r="Z40" s="7"/>
      <c r="AA40" s="7"/>
      <c r="AB40" s="7"/>
      <c r="AC40" s="72" t="str">
        <f t="shared" si="3"/>
        <v>A</v>
      </c>
      <c r="AD40" s="7"/>
      <c r="AE40" s="7"/>
      <c r="AF40" s="7"/>
      <c r="AG40" s="7"/>
      <c r="AH40" s="7"/>
      <c r="AI40" s="72" t="str">
        <f t="shared" si="4"/>
        <v>A</v>
      </c>
      <c r="AJ40" s="7"/>
      <c r="AK40" s="7"/>
      <c r="AL40" s="7"/>
      <c r="AM40" s="7"/>
      <c r="AN40" s="7"/>
      <c r="AO40" s="72" t="str">
        <f t="shared" si="5"/>
        <v>A</v>
      </c>
      <c r="AP40" s="7"/>
      <c r="AQ40" s="7"/>
      <c r="AR40" s="7"/>
      <c r="AS40" s="7"/>
      <c r="AT40" s="7"/>
      <c r="AU40" s="72" t="str">
        <f t="shared" si="6"/>
        <v>A</v>
      </c>
      <c r="AV40" s="7"/>
      <c r="AW40" s="7"/>
      <c r="AX40" s="62">
        <v>0</v>
      </c>
      <c r="AY40" s="62">
        <v>0</v>
      </c>
      <c r="AZ40" s="62">
        <v>0</v>
      </c>
      <c r="BA40" s="72">
        <f t="shared" si="7"/>
        <v>0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/>
      <c r="N41" s="62">
        <v>2</v>
      </c>
      <c r="O41" s="62">
        <v>3</v>
      </c>
      <c r="P41" s="62"/>
      <c r="Q41" s="72">
        <f t="shared" si="1"/>
        <v>2.6666666666666665</v>
      </c>
      <c r="R41" s="62"/>
      <c r="S41" s="62"/>
      <c r="T41" s="62"/>
      <c r="U41" s="62"/>
      <c r="V41" s="62"/>
      <c r="W41" s="72" t="str">
        <f t="shared" si="2"/>
        <v>A</v>
      </c>
      <c r="X41" s="62"/>
      <c r="Y41" s="62"/>
      <c r="Z41" s="62"/>
      <c r="AA41" s="62"/>
      <c r="AB41" s="62"/>
      <c r="AC41" s="72" t="str">
        <f t="shared" si="3"/>
        <v>A</v>
      </c>
      <c r="AD41" s="62"/>
      <c r="AE41" s="62"/>
      <c r="AF41" s="62"/>
      <c r="AG41" s="62"/>
      <c r="AH41" s="62"/>
      <c r="AI41" s="72" t="str">
        <f t="shared" si="4"/>
        <v>A</v>
      </c>
      <c r="AJ41" s="62"/>
      <c r="AK41" s="62"/>
      <c r="AL41" s="62"/>
      <c r="AM41" s="62"/>
      <c r="AN41" s="62"/>
      <c r="AO41" s="72" t="str">
        <f t="shared" si="5"/>
        <v>A</v>
      </c>
      <c r="AP41" s="62"/>
      <c r="AQ41" s="62"/>
      <c r="AR41" s="62"/>
      <c r="AS41" s="62"/>
      <c r="AT41" s="62"/>
      <c r="AU41" s="72" t="str">
        <f t="shared" si="6"/>
        <v>A</v>
      </c>
      <c r="AV41" s="62"/>
      <c r="AW41" s="62"/>
      <c r="AX41" s="62">
        <v>5</v>
      </c>
      <c r="AY41" s="62">
        <v>2</v>
      </c>
      <c r="AZ41" s="62">
        <v>3</v>
      </c>
      <c r="BA41" s="72">
        <f t="shared" si="7"/>
        <v>3.3333333333333335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4</v>
      </c>
      <c r="M42" s="62"/>
      <c r="N42" s="62">
        <v>4</v>
      </c>
      <c r="O42" s="62">
        <v>4</v>
      </c>
      <c r="P42" s="62"/>
      <c r="Q42" s="72">
        <f t="shared" si="1"/>
        <v>4</v>
      </c>
      <c r="R42" s="7"/>
      <c r="S42" s="7"/>
      <c r="T42" s="7"/>
      <c r="U42" s="7"/>
      <c r="V42" s="7"/>
      <c r="W42" s="72" t="str">
        <f t="shared" si="2"/>
        <v>A</v>
      </c>
      <c r="X42" s="7"/>
      <c r="Y42" s="7"/>
      <c r="Z42" s="7"/>
      <c r="AA42" s="7"/>
      <c r="AB42" s="7"/>
      <c r="AC42" s="72" t="str">
        <f t="shared" si="3"/>
        <v>A</v>
      </c>
      <c r="AD42" s="7"/>
      <c r="AE42" s="7"/>
      <c r="AF42" s="7"/>
      <c r="AG42" s="7"/>
      <c r="AH42" s="7"/>
      <c r="AI42" s="72" t="str">
        <f t="shared" si="4"/>
        <v>A</v>
      </c>
      <c r="AJ42" s="7"/>
      <c r="AK42" s="7"/>
      <c r="AL42" s="7"/>
      <c r="AM42" s="7"/>
      <c r="AN42" s="7"/>
      <c r="AO42" s="72" t="str">
        <f t="shared" si="5"/>
        <v>A</v>
      </c>
      <c r="AP42" s="7"/>
      <c r="AQ42" s="7"/>
      <c r="AR42" s="7"/>
      <c r="AS42" s="7"/>
      <c r="AT42" s="7"/>
      <c r="AU42" s="72" t="str">
        <f t="shared" si="6"/>
        <v>A</v>
      </c>
      <c r="AV42" s="7"/>
      <c r="AW42" s="7"/>
      <c r="AX42" s="62">
        <v>5</v>
      </c>
      <c r="AY42" s="62">
        <v>0</v>
      </c>
      <c r="AZ42" s="62">
        <v>4</v>
      </c>
      <c r="BA42" s="72">
        <f t="shared" si="7"/>
        <v>3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2</v>
      </c>
      <c r="M43" s="62"/>
      <c r="N43" s="62">
        <v>2</v>
      </c>
      <c r="O43" s="62">
        <v>2</v>
      </c>
      <c r="P43" s="62"/>
      <c r="Q43" s="72">
        <f t="shared" si="1"/>
        <v>2</v>
      </c>
      <c r="R43" s="62"/>
      <c r="S43" s="62"/>
      <c r="T43" s="62"/>
      <c r="U43" s="62"/>
      <c r="V43" s="62"/>
      <c r="W43" s="72" t="str">
        <f t="shared" si="2"/>
        <v>A</v>
      </c>
      <c r="X43" s="62"/>
      <c r="Y43" s="62"/>
      <c r="Z43" s="62"/>
      <c r="AA43" s="62"/>
      <c r="AB43" s="62"/>
      <c r="AC43" s="72" t="str">
        <f t="shared" si="3"/>
        <v>A</v>
      </c>
      <c r="AD43" s="62"/>
      <c r="AE43" s="62"/>
      <c r="AF43" s="62"/>
      <c r="AG43" s="62"/>
      <c r="AH43" s="62"/>
      <c r="AI43" s="72" t="str">
        <f t="shared" si="4"/>
        <v>A</v>
      </c>
      <c r="AJ43" s="62"/>
      <c r="AK43" s="62"/>
      <c r="AL43" s="62"/>
      <c r="AM43" s="62"/>
      <c r="AN43" s="62"/>
      <c r="AO43" s="72" t="str">
        <f t="shared" si="5"/>
        <v>A</v>
      </c>
      <c r="AP43" s="62"/>
      <c r="AQ43" s="62"/>
      <c r="AR43" s="62"/>
      <c r="AS43" s="62"/>
      <c r="AT43" s="62"/>
      <c r="AU43" s="72" t="str">
        <f t="shared" si="6"/>
        <v>A</v>
      </c>
      <c r="AV43" s="62"/>
      <c r="AW43" s="62"/>
      <c r="AX43" s="62">
        <v>2</v>
      </c>
      <c r="AY43" s="62">
        <v>2</v>
      </c>
      <c r="AZ43" s="62">
        <v>2</v>
      </c>
      <c r="BA43" s="72">
        <f t="shared" si="7"/>
        <v>2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2</v>
      </c>
      <c r="M44" s="62"/>
      <c r="N44" s="62">
        <v>2</v>
      </c>
      <c r="O44" s="62">
        <v>1</v>
      </c>
      <c r="P44" s="62"/>
      <c r="Q44" s="72">
        <f t="shared" si="1"/>
        <v>1.6666666666666667</v>
      </c>
      <c r="R44" s="7"/>
      <c r="S44" s="7"/>
      <c r="T44" s="7"/>
      <c r="U44" s="7"/>
      <c r="V44" s="7"/>
      <c r="W44" s="72" t="str">
        <f t="shared" si="2"/>
        <v>A</v>
      </c>
      <c r="X44" s="7"/>
      <c r="Y44" s="7"/>
      <c r="Z44" s="7"/>
      <c r="AA44" s="7"/>
      <c r="AB44" s="7"/>
      <c r="AC44" s="72" t="str">
        <f t="shared" si="3"/>
        <v>A</v>
      </c>
      <c r="AD44" s="7"/>
      <c r="AE44" s="7"/>
      <c r="AF44" s="7"/>
      <c r="AG44" s="7"/>
      <c r="AH44" s="7"/>
      <c r="AI44" s="72" t="str">
        <f t="shared" si="4"/>
        <v>A</v>
      </c>
      <c r="AJ44" s="7"/>
      <c r="AK44" s="7"/>
      <c r="AL44" s="7"/>
      <c r="AM44" s="7"/>
      <c r="AN44" s="7"/>
      <c r="AO44" s="72" t="str">
        <f t="shared" si="5"/>
        <v>A</v>
      </c>
      <c r="AP44" s="7"/>
      <c r="AQ44" s="7"/>
      <c r="AR44" s="7"/>
      <c r="AS44" s="7"/>
      <c r="AT44" s="7"/>
      <c r="AU44" s="72" t="str">
        <f t="shared" si="6"/>
        <v>A</v>
      </c>
      <c r="AV44" s="7"/>
      <c r="AW44" s="7"/>
      <c r="AX44" s="62">
        <v>5</v>
      </c>
      <c r="AY44" s="62">
        <v>0</v>
      </c>
      <c r="AZ44" s="62">
        <v>1</v>
      </c>
      <c r="BA44" s="72">
        <f t="shared" si="7"/>
        <v>2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4</v>
      </c>
      <c r="M45" s="62"/>
      <c r="N45" s="62">
        <v>3</v>
      </c>
      <c r="O45" s="62">
        <v>3</v>
      </c>
      <c r="P45" s="62"/>
      <c r="Q45" s="72">
        <f t="shared" si="1"/>
        <v>3.3333333333333335</v>
      </c>
      <c r="R45" s="62"/>
      <c r="S45" s="62"/>
      <c r="T45" s="62"/>
      <c r="U45" s="62"/>
      <c r="V45" s="62"/>
      <c r="W45" s="72" t="str">
        <f t="shared" si="2"/>
        <v>A</v>
      </c>
      <c r="X45" s="62"/>
      <c r="Y45" s="62"/>
      <c r="Z45" s="62"/>
      <c r="AA45" s="62"/>
      <c r="AB45" s="62"/>
      <c r="AC45" s="72" t="str">
        <f t="shared" si="3"/>
        <v>A</v>
      </c>
      <c r="AD45" s="62"/>
      <c r="AE45" s="62"/>
      <c r="AF45" s="62"/>
      <c r="AG45" s="62"/>
      <c r="AH45" s="62"/>
      <c r="AI45" s="72" t="str">
        <f t="shared" si="4"/>
        <v>A</v>
      </c>
      <c r="AJ45" s="62"/>
      <c r="AK45" s="62"/>
      <c r="AL45" s="62"/>
      <c r="AM45" s="62"/>
      <c r="AN45" s="62"/>
      <c r="AO45" s="72" t="str">
        <f t="shared" si="5"/>
        <v>A</v>
      </c>
      <c r="AP45" s="62"/>
      <c r="AQ45" s="62"/>
      <c r="AR45" s="62"/>
      <c r="AS45" s="62"/>
      <c r="AT45" s="62"/>
      <c r="AU45" s="72" t="str">
        <f t="shared" si="6"/>
        <v>A</v>
      </c>
      <c r="AV45" s="62"/>
      <c r="AW45" s="62"/>
      <c r="AX45" s="62">
        <v>5</v>
      </c>
      <c r="AY45" s="62">
        <v>0</v>
      </c>
      <c r="AZ45" s="62">
        <v>3</v>
      </c>
      <c r="BA45" s="72">
        <f t="shared" si="7"/>
        <v>2.6666666666666665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0</v>
      </c>
      <c r="M46" s="62"/>
      <c r="N46" s="62">
        <v>0</v>
      </c>
      <c r="O46" s="62">
        <v>0</v>
      </c>
      <c r="P46" s="62"/>
      <c r="Q46" s="72">
        <f t="shared" si="1"/>
        <v>0</v>
      </c>
      <c r="R46" s="7"/>
      <c r="S46" s="7"/>
      <c r="T46" s="7"/>
      <c r="U46" s="7"/>
      <c r="V46" s="7"/>
      <c r="W46" s="72" t="str">
        <f t="shared" si="2"/>
        <v>A</v>
      </c>
      <c r="X46" s="7"/>
      <c r="Y46" s="7"/>
      <c r="Z46" s="7"/>
      <c r="AA46" s="7"/>
      <c r="AB46" s="7"/>
      <c r="AC46" s="72" t="str">
        <f t="shared" si="3"/>
        <v>A</v>
      </c>
      <c r="AD46" s="7"/>
      <c r="AE46" s="7"/>
      <c r="AF46" s="7"/>
      <c r="AG46" s="7"/>
      <c r="AH46" s="7"/>
      <c r="AI46" s="72" t="str">
        <f t="shared" si="4"/>
        <v>A</v>
      </c>
      <c r="AJ46" s="7"/>
      <c r="AK46" s="7"/>
      <c r="AL46" s="7"/>
      <c r="AM46" s="7"/>
      <c r="AN46" s="7"/>
      <c r="AO46" s="72" t="str">
        <f t="shared" si="5"/>
        <v>A</v>
      </c>
      <c r="AP46" s="7"/>
      <c r="AQ46" s="7"/>
      <c r="AR46" s="7"/>
      <c r="AS46" s="7"/>
      <c r="AT46" s="7"/>
      <c r="AU46" s="72" t="str">
        <f t="shared" si="6"/>
        <v>A</v>
      </c>
      <c r="AV46" s="7"/>
      <c r="AW46" s="7"/>
      <c r="AX46" s="62">
        <v>0</v>
      </c>
      <c r="AY46" s="62">
        <v>0</v>
      </c>
      <c r="AZ46" s="62">
        <v>0</v>
      </c>
      <c r="BA46" s="72">
        <f t="shared" si="7"/>
        <v>0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2</v>
      </c>
      <c r="M47" s="62"/>
      <c r="N47" s="62">
        <v>2</v>
      </c>
      <c r="O47" s="62">
        <v>1</v>
      </c>
      <c r="P47" s="62"/>
      <c r="Q47" s="72">
        <f t="shared" si="1"/>
        <v>1.6666666666666667</v>
      </c>
      <c r="R47" s="62"/>
      <c r="S47" s="62"/>
      <c r="T47" s="62"/>
      <c r="U47" s="62"/>
      <c r="V47" s="62"/>
      <c r="W47" s="72" t="str">
        <f t="shared" si="2"/>
        <v>A</v>
      </c>
      <c r="X47" s="62"/>
      <c r="Y47" s="62"/>
      <c r="Z47" s="62"/>
      <c r="AA47" s="62"/>
      <c r="AB47" s="62"/>
      <c r="AC47" s="72" t="str">
        <f t="shared" si="3"/>
        <v>A</v>
      </c>
      <c r="AD47" s="62"/>
      <c r="AE47" s="62"/>
      <c r="AF47" s="62"/>
      <c r="AG47" s="62"/>
      <c r="AH47" s="62"/>
      <c r="AI47" s="72" t="str">
        <f t="shared" si="4"/>
        <v>A</v>
      </c>
      <c r="AJ47" s="62"/>
      <c r="AK47" s="62"/>
      <c r="AL47" s="62"/>
      <c r="AM47" s="62"/>
      <c r="AN47" s="62"/>
      <c r="AO47" s="72" t="str">
        <f t="shared" si="5"/>
        <v>A</v>
      </c>
      <c r="AP47" s="62"/>
      <c r="AQ47" s="62"/>
      <c r="AR47" s="62"/>
      <c r="AS47" s="62"/>
      <c r="AT47" s="62"/>
      <c r="AU47" s="72" t="str">
        <f t="shared" si="6"/>
        <v>A</v>
      </c>
      <c r="AV47" s="62"/>
      <c r="AW47" s="62"/>
      <c r="AX47" s="62">
        <v>5</v>
      </c>
      <c r="AY47" s="62">
        <v>0</v>
      </c>
      <c r="AZ47" s="62">
        <v>1</v>
      </c>
      <c r="BA47" s="72">
        <f t="shared" si="7"/>
        <v>2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3</v>
      </c>
      <c r="M48" s="62"/>
      <c r="N48" s="62">
        <v>3</v>
      </c>
      <c r="O48" s="62">
        <v>3</v>
      </c>
      <c r="P48" s="62"/>
      <c r="Q48" s="72">
        <f t="shared" si="1"/>
        <v>3</v>
      </c>
      <c r="R48" s="7"/>
      <c r="S48" s="7"/>
      <c r="T48" s="7"/>
      <c r="U48" s="7"/>
      <c r="V48" s="7"/>
      <c r="W48" s="72" t="str">
        <f t="shared" si="2"/>
        <v>A</v>
      </c>
      <c r="X48" s="7"/>
      <c r="Y48" s="7"/>
      <c r="Z48" s="7"/>
      <c r="AA48" s="7"/>
      <c r="AB48" s="7"/>
      <c r="AC48" s="72" t="str">
        <f t="shared" si="3"/>
        <v>A</v>
      </c>
      <c r="AD48" s="7"/>
      <c r="AE48" s="7"/>
      <c r="AF48" s="7"/>
      <c r="AG48" s="7"/>
      <c r="AH48" s="7"/>
      <c r="AI48" s="72" t="str">
        <f t="shared" si="4"/>
        <v>A</v>
      </c>
      <c r="AJ48" s="7"/>
      <c r="AK48" s="7"/>
      <c r="AL48" s="7"/>
      <c r="AM48" s="7"/>
      <c r="AN48" s="7"/>
      <c r="AO48" s="72" t="str">
        <f t="shared" si="5"/>
        <v>A</v>
      </c>
      <c r="AP48" s="7"/>
      <c r="AQ48" s="7"/>
      <c r="AR48" s="7"/>
      <c r="AS48" s="7"/>
      <c r="AT48" s="7"/>
      <c r="AU48" s="72" t="str">
        <f t="shared" si="6"/>
        <v>A</v>
      </c>
      <c r="AV48" s="7"/>
      <c r="AW48" s="7"/>
      <c r="AX48" s="62">
        <v>5</v>
      </c>
      <c r="AY48" s="62">
        <v>2</v>
      </c>
      <c r="AZ48" s="62">
        <v>3</v>
      </c>
      <c r="BA48" s="72">
        <f t="shared" si="7"/>
        <v>3.3333333333333335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3</v>
      </c>
      <c r="M49" s="62"/>
      <c r="N49" s="62">
        <v>3</v>
      </c>
      <c r="O49" s="62">
        <v>2</v>
      </c>
      <c r="P49" s="62"/>
      <c r="Q49" s="72">
        <f t="shared" si="1"/>
        <v>2.6666666666666665</v>
      </c>
      <c r="R49" s="62"/>
      <c r="S49" s="62"/>
      <c r="T49" s="62"/>
      <c r="U49" s="62"/>
      <c r="V49" s="62"/>
      <c r="W49" s="72" t="str">
        <f t="shared" si="2"/>
        <v>A</v>
      </c>
      <c r="X49" s="62"/>
      <c r="Y49" s="62"/>
      <c r="Z49" s="62"/>
      <c r="AA49" s="62"/>
      <c r="AB49" s="62"/>
      <c r="AC49" s="72" t="str">
        <f t="shared" si="3"/>
        <v>A</v>
      </c>
      <c r="AD49" s="62"/>
      <c r="AE49" s="62"/>
      <c r="AF49" s="62"/>
      <c r="AG49" s="62"/>
      <c r="AH49" s="62"/>
      <c r="AI49" s="72" t="str">
        <f t="shared" si="4"/>
        <v>A</v>
      </c>
      <c r="AJ49" s="62"/>
      <c r="AK49" s="62"/>
      <c r="AL49" s="62"/>
      <c r="AM49" s="62"/>
      <c r="AN49" s="62"/>
      <c r="AO49" s="72" t="str">
        <f t="shared" si="5"/>
        <v>A</v>
      </c>
      <c r="AP49" s="62"/>
      <c r="AQ49" s="62"/>
      <c r="AR49" s="62"/>
      <c r="AS49" s="62"/>
      <c r="AT49" s="62"/>
      <c r="AU49" s="72" t="str">
        <f t="shared" si="6"/>
        <v>A</v>
      </c>
      <c r="AV49" s="62"/>
      <c r="AW49" s="62"/>
      <c r="AX49" s="62">
        <v>5</v>
      </c>
      <c r="AY49" s="62">
        <v>0</v>
      </c>
      <c r="AZ49" s="62">
        <v>2</v>
      </c>
      <c r="BA49" s="72">
        <f t="shared" si="7"/>
        <v>2.3333333333333335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0</v>
      </c>
      <c r="M50" s="62"/>
      <c r="N50" s="62">
        <v>0</v>
      </c>
      <c r="O50" s="62">
        <v>0</v>
      </c>
      <c r="P50" s="62"/>
      <c r="Q50" s="72">
        <f t="shared" si="1"/>
        <v>0</v>
      </c>
      <c r="R50" s="7"/>
      <c r="S50" s="7"/>
      <c r="T50" s="7"/>
      <c r="U50" s="7"/>
      <c r="V50" s="7"/>
      <c r="W50" s="72" t="str">
        <f t="shared" si="2"/>
        <v>A</v>
      </c>
      <c r="X50" s="7"/>
      <c r="Y50" s="7"/>
      <c r="Z50" s="7"/>
      <c r="AA50" s="7"/>
      <c r="AB50" s="7"/>
      <c r="AC50" s="72" t="str">
        <f t="shared" si="3"/>
        <v>A</v>
      </c>
      <c r="AD50" s="7"/>
      <c r="AE50" s="7"/>
      <c r="AF50" s="7"/>
      <c r="AG50" s="7"/>
      <c r="AH50" s="7"/>
      <c r="AI50" s="72" t="str">
        <f t="shared" si="4"/>
        <v>A</v>
      </c>
      <c r="AJ50" s="7"/>
      <c r="AK50" s="7"/>
      <c r="AL50" s="7"/>
      <c r="AM50" s="7"/>
      <c r="AN50" s="7"/>
      <c r="AO50" s="72" t="str">
        <f t="shared" si="5"/>
        <v>A</v>
      </c>
      <c r="AP50" s="7"/>
      <c r="AQ50" s="7"/>
      <c r="AR50" s="7"/>
      <c r="AS50" s="7"/>
      <c r="AT50" s="7"/>
      <c r="AU50" s="72" t="str">
        <f t="shared" si="6"/>
        <v>A</v>
      </c>
      <c r="AV50" s="7"/>
      <c r="AW50" s="7"/>
      <c r="AX50" s="62">
        <v>0</v>
      </c>
      <c r="AY50" s="62">
        <v>0</v>
      </c>
      <c r="AZ50" s="62">
        <v>0</v>
      </c>
      <c r="BA50" s="72">
        <f t="shared" si="7"/>
        <v>0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3</v>
      </c>
      <c r="M51" s="62"/>
      <c r="N51" s="62">
        <v>4</v>
      </c>
      <c r="O51" s="62">
        <v>3</v>
      </c>
      <c r="P51" s="62"/>
      <c r="Q51" s="72">
        <f t="shared" si="1"/>
        <v>3.3333333333333335</v>
      </c>
      <c r="R51" s="62"/>
      <c r="S51" s="62"/>
      <c r="T51" s="62"/>
      <c r="U51" s="62"/>
      <c r="V51" s="62"/>
      <c r="W51" s="72" t="str">
        <f t="shared" si="2"/>
        <v>A</v>
      </c>
      <c r="X51" s="62"/>
      <c r="Y51" s="62"/>
      <c r="Z51" s="62"/>
      <c r="AA51" s="62"/>
      <c r="AB51" s="62"/>
      <c r="AC51" s="72" t="str">
        <f t="shared" si="3"/>
        <v>A</v>
      </c>
      <c r="AD51" s="62"/>
      <c r="AE51" s="62"/>
      <c r="AF51" s="62"/>
      <c r="AG51" s="62"/>
      <c r="AH51" s="62"/>
      <c r="AI51" s="72" t="str">
        <f t="shared" si="4"/>
        <v>A</v>
      </c>
      <c r="AJ51" s="62"/>
      <c r="AK51" s="62"/>
      <c r="AL51" s="62"/>
      <c r="AM51" s="62"/>
      <c r="AN51" s="62"/>
      <c r="AO51" s="72" t="str">
        <f t="shared" si="5"/>
        <v>A</v>
      </c>
      <c r="AP51" s="62"/>
      <c r="AQ51" s="62"/>
      <c r="AR51" s="62"/>
      <c r="AS51" s="62"/>
      <c r="AT51" s="62"/>
      <c r="AU51" s="72" t="str">
        <f t="shared" si="6"/>
        <v>A</v>
      </c>
      <c r="AV51" s="62"/>
      <c r="AW51" s="62"/>
      <c r="AX51" s="62">
        <v>5</v>
      </c>
      <c r="AY51" s="62">
        <v>2</v>
      </c>
      <c r="AZ51" s="62">
        <v>4</v>
      </c>
      <c r="BA51" s="72">
        <f t="shared" si="7"/>
        <v>3.6666666666666665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0</v>
      </c>
      <c r="M52" s="62"/>
      <c r="N52" s="62">
        <v>0</v>
      </c>
      <c r="O52" s="62">
        <v>0</v>
      </c>
      <c r="P52" s="62"/>
      <c r="Q52" s="72">
        <f t="shared" si="1"/>
        <v>0</v>
      </c>
      <c r="R52" s="7"/>
      <c r="S52" s="7"/>
      <c r="T52" s="7"/>
      <c r="U52" s="7"/>
      <c r="V52" s="7"/>
      <c r="W52" s="72" t="str">
        <f t="shared" si="2"/>
        <v>A</v>
      </c>
      <c r="X52" s="7"/>
      <c r="Y52" s="7"/>
      <c r="Z52" s="7"/>
      <c r="AA52" s="7"/>
      <c r="AB52" s="7"/>
      <c r="AC52" s="72" t="str">
        <f t="shared" si="3"/>
        <v>A</v>
      </c>
      <c r="AD52" s="7"/>
      <c r="AE52" s="7"/>
      <c r="AF52" s="7"/>
      <c r="AG52" s="7"/>
      <c r="AH52" s="7"/>
      <c r="AI52" s="72" t="str">
        <f t="shared" si="4"/>
        <v>A</v>
      </c>
      <c r="AJ52" s="7"/>
      <c r="AK52" s="7"/>
      <c r="AL52" s="7"/>
      <c r="AM52" s="7"/>
      <c r="AN52" s="7"/>
      <c r="AO52" s="72" t="str">
        <f t="shared" si="5"/>
        <v>A</v>
      </c>
      <c r="AP52" s="7"/>
      <c r="AQ52" s="7"/>
      <c r="AR52" s="7"/>
      <c r="AS52" s="7"/>
      <c r="AT52" s="7"/>
      <c r="AU52" s="72" t="str">
        <f t="shared" si="6"/>
        <v>A</v>
      </c>
      <c r="AV52" s="7"/>
      <c r="AW52" s="7"/>
      <c r="AX52" s="62">
        <v>0</v>
      </c>
      <c r="AY52" s="62">
        <v>0</v>
      </c>
      <c r="AZ52" s="62">
        <v>0</v>
      </c>
      <c r="BA52" s="72">
        <f t="shared" si="7"/>
        <v>0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1</v>
      </c>
      <c r="M53" s="62"/>
      <c r="N53" s="62">
        <v>1</v>
      </c>
      <c r="O53" s="62">
        <v>1</v>
      </c>
      <c r="P53" s="62"/>
      <c r="Q53" s="72">
        <f t="shared" si="1"/>
        <v>1</v>
      </c>
      <c r="R53" s="62"/>
      <c r="S53" s="62"/>
      <c r="T53" s="62"/>
      <c r="U53" s="62"/>
      <c r="V53" s="62"/>
      <c r="W53" s="72" t="str">
        <f t="shared" si="2"/>
        <v>A</v>
      </c>
      <c r="X53" s="62"/>
      <c r="Y53" s="62"/>
      <c r="Z53" s="62"/>
      <c r="AA53" s="62"/>
      <c r="AB53" s="62"/>
      <c r="AC53" s="72" t="str">
        <f t="shared" si="3"/>
        <v>A</v>
      </c>
      <c r="AD53" s="62"/>
      <c r="AE53" s="62"/>
      <c r="AF53" s="62"/>
      <c r="AG53" s="62"/>
      <c r="AH53" s="62"/>
      <c r="AI53" s="72" t="str">
        <f t="shared" si="4"/>
        <v>A</v>
      </c>
      <c r="AJ53" s="62"/>
      <c r="AK53" s="62"/>
      <c r="AL53" s="62"/>
      <c r="AM53" s="62"/>
      <c r="AN53" s="62"/>
      <c r="AO53" s="72" t="str">
        <f t="shared" si="5"/>
        <v>A</v>
      </c>
      <c r="AP53" s="62"/>
      <c r="AQ53" s="62"/>
      <c r="AR53" s="62"/>
      <c r="AS53" s="62"/>
      <c r="AT53" s="62"/>
      <c r="AU53" s="72" t="str">
        <f t="shared" si="6"/>
        <v>A</v>
      </c>
      <c r="AV53" s="62"/>
      <c r="AW53" s="62"/>
      <c r="AX53" s="62">
        <v>5</v>
      </c>
      <c r="AY53" s="62">
        <v>0</v>
      </c>
      <c r="AZ53" s="62">
        <v>1</v>
      </c>
      <c r="BA53" s="72">
        <f t="shared" si="7"/>
        <v>2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0</v>
      </c>
      <c r="M54" s="62"/>
      <c r="N54" s="62">
        <v>0</v>
      </c>
      <c r="O54" s="62">
        <v>0</v>
      </c>
      <c r="P54" s="62"/>
      <c r="Q54" s="72">
        <f t="shared" si="1"/>
        <v>0</v>
      </c>
      <c r="R54" s="7"/>
      <c r="S54" s="7"/>
      <c r="T54" s="7"/>
      <c r="U54" s="7"/>
      <c r="V54" s="7"/>
      <c r="W54" s="72" t="str">
        <f t="shared" si="2"/>
        <v>A</v>
      </c>
      <c r="X54" s="7"/>
      <c r="Y54" s="7"/>
      <c r="Z54" s="7"/>
      <c r="AA54" s="7"/>
      <c r="AB54" s="7"/>
      <c r="AC54" s="72" t="str">
        <f t="shared" si="3"/>
        <v>A</v>
      </c>
      <c r="AD54" s="7"/>
      <c r="AE54" s="7"/>
      <c r="AF54" s="7"/>
      <c r="AG54" s="7"/>
      <c r="AH54" s="7"/>
      <c r="AI54" s="72" t="str">
        <f t="shared" si="4"/>
        <v>A</v>
      </c>
      <c r="AJ54" s="7"/>
      <c r="AK54" s="7"/>
      <c r="AL54" s="7"/>
      <c r="AM54" s="7"/>
      <c r="AN54" s="7"/>
      <c r="AO54" s="72" t="str">
        <f t="shared" si="5"/>
        <v>A</v>
      </c>
      <c r="AP54" s="7"/>
      <c r="AQ54" s="7"/>
      <c r="AR54" s="7"/>
      <c r="AS54" s="7"/>
      <c r="AT54" s="7"/>
      <c r="AU54" s="72" t="str">
        <f t="shared" si="6"/>
        <v>A</v>
      </c>
      <c r="AV54" s="7"/>
      <c r="AW54" s="7"/>
      <c r="AX54" s="62">
        <v>0</v>
      </c>
      <c r="AY54" s="62">
        <v>0</v>
      </c>
      <c r="AZ54" s="62">
        <v>0</v>
      </c>
      <c r="BA54" s="72">
        <f t="shared" si="7"/>
        <v>0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3</v>
      </c>
      <c r="M55" s="62"/>
      <c r="N55" s="62">
        <v>3</v>
      </c>
      <c r="O55" s="62">
        <v>2</v>
      </c>
      <c r="P55" s="62"/>
      <c r="Q55" s="72">
        <f t="shared" si="1"/>
        <v>2.6666666666666665</v>
      </c>
      <c r="R55" s="62"/>
      <c r="S55" s="62"/>
      <c r="T55" s="62"/>
      <c r="U55" s="62"/>
      <c r="V55" s="62"/>
      <c r="W55" s="72" t="str">
        <f t="shared" si="2"/>
        <v>A</v>
      </c>
      <c r="X55" s="62"/>
      <c r="Y55" s="62"/>
      <c r="Z55" s="62"/>
      <c r="AA55" s="62"/>
      <c r="AB55" s="62"/>
      <c r="AC55" s="72" t="str">
        <f t="shared" si="3"/>
        <v>A</v>
      </c>
      <c r="AD55" s="62"/>
      <c r="AE55" s="62"/>
      <c r="AF55" s="62"/>
      <c r="AG55" s="62"/>
      <c r="AH55" s="62"/>
      <c r="AI55" s="72" t="str">
        <f t="shared" si="4"/>
        <v>A</v>
      </c>
      <c r="AJ55" s="62"/>
      <c r="AK55" s="62"/>
      <c r="AL55" s="62"/>
      <c r="AM55" s="62"/>
      <c r="AN55" s="62"/>
      <c r="AO55" s="72" t="str">
        <f t="shared" si="5"/>
        <v>A</v>
      </c>
      <c r="AP55" s="62"/>
      <c r="AQ55" s="62"/>
      <c r="AR55" s="62"/>
      <c r="AS55" s="62"/>
      <c r="AT55" s="62"/>
      <c r="AU55" s="72" t="str">
        <f t="shared" si="6"/>
        <v>A</v>
      </c>
      <c r="AV55" s="62"/>
      <c r="AW55" s="62"/>
      <c r="AX55" s="62">
        <v>5</v>
      </c>
      <c r="AY55" s="62">
        <v>0</v>
      </c>
      <c r="AZ55" s="62">
        <v>2</v>
      </c>
      <c r="BA55" s="72">
        <f t="shared" si="7"/>
        <v>2.3333333333333335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/>
      <c r="N56" s="62">
        <v>4</v>
      </c>
      <c r="O56" s="62">
        <v>4</v>
      </c>
      <c r="P56" s="62"/>
      <c r="Q56" s="72">
        <f t="shared" si="1"/>
        <v>3.6666666666666665</v>
      </c>
      <c r="R56" s="7"/>
      <c r="S56" s="7"/>
      <c r="T56" s="7"/>
      <c r="U56" s="7"/>
      <c r="V56" s="7"/>
      <c r="W56" s="72" t="str">
        <f t="shared" si="2"/>
        <v>A</v>
      </c>
      <c r="X56" s="7"/>
      <c r="Y56" s="7"/>
      <c r="Z56" s="7"/>
      <c r="AA56" s="7"/>
      <c r="AB56" s="7"/>
      <c r="AC56" s="72" t="str">
        <f t="shared" si="3"/>
        <v>A</v>
      </c>
      <c r="AD56" s="7"/>
      <c r="AE56" s="7"/>
      <c r="AF56" s="7"/>
      <c r="AG56" s="7"/>
      <c r="AH56" s="7"/>
      <c r="AI56" s="72" t="str">
        <f t="shared" si="4"/>
        <v>A</v>
      </c>
      <c r="AJ56" s="7"/>
      <c r="AK56" s="7"/>
      <c r="AL56" s="7"/>
      <c r="AM56" s="7"/>
      <c r="AN56" s="7"/>
      <c r="AO56" s="72" t="str">
        <f t="shared" si="5"/>
        <v>A</v>
      </c>
      <c r="AP56" s="7"/>
      <c r="AQ56" s="7"/>
      <c r="AR56" s="7"/>
      <c r="AS56" s="7"/>
      <c r="AT56" s="7"/>
      <c r="AU56" s="72" t="str">
        <f t="shared" si="6"/>
        <v>A</v>
      </c>
      <c r="AV56" s="7"/>
      <c r="AW56" s="7"/>
      <c r="AX56" s="62">
        <v>5</v>
      </c>
      <c r="AY56" s="62">
        <v>2</v>
      </c>
      <c r="AZ56" s="62">
        <v>4</v>
      </c>
      <c r="BA56" s="72">
        <f t="shared" si="7"/>
        <v>3.6666666666666665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4</v>
      </c>
      <c r="M57" s="62"/>
      <c r="N57" s="62">
        <v>4</v>
      </c>
      <c r="O57" s="62">
        <v>4</v>
      </c>
      <c r="P57" s="62"/>
      <c r="Q57" s="72">
        <f t="shared" si="1"/>
        <v>4</v>
      </c>
      <c r="R57" s="62"/>
      <c r="S57" s="62"/>
      <c r="T57" s="62"/>
      <c r="U57" s="62"/>
      <c r="V57" s="62"/>
      <c r="W57" s="72" t="str">
        <f t="shared" si="2"/>
        <v>A</v>
      </c>
      <c r="X57" s="62"/>
      <c r="Y57" s="62"/>
      <c r="Z57" s="62"/>
      <c r="AA57" s="62"/>
      <c r="AB57" s="62"/>
      <c r="AC57" s="72" t="str">
        <f t="shared" si="3"/>
        <v>A</v>
      </c>
      <c r="AD57" s="62"/>
      <c r="AE57" s="62"/>
      <c r="AF57" s="62"/>
      <c r="AG57" s="62"/>
      <c r="AH57" s="62"/>
      <c r="AI57" s="72" t="str">
        <f t="shared" si="4"/>
        <v>A</v>
      </c>
      <c r="AJ57" s="62"/>
      <c r="AK57" s="62"/>
      <c r="AL57" s="62"/>
      <c r="AM57" s="62"/>
      <c r="AN57" s="62"/>
      <c r="AO57" s="72" t="str">
        <f t="shared" si="5"/>
        <v>A</v>
      </c>
      <c r="AP57" s="62"/>
      <c r="AQ57" s="62"/>
      <c r="AR57" s="62"/>
      <c r="AS57" s="62"/>
      <c r="AT57" s="62"/>
      <c r="AU57" s="72" t="str">
        <f t="shared" si="6"/>
        <v>A</v>
      </c>
      <c r="AV57" s="62"/>
      <c r="AW57" s="62"/>
      <c r="AX57" s="62">
        <v>5</v>
      </c>
      <c r="AY57" s="62">
        <v>0</v>
      </c>
      <c r="AZ57" s="62">
        <v>4</v>
      </c>
      <c r="BA57" s="72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5</v>
      </c>
      <c r="M58" s="62"/>
      <c r="N58" s="62">
        <v>5</v>
      </c>
      <c r="O58" s="62">
        <v>4</v>
      </c>
      <c r="P58" s="62"/>
      <c r="Q58" s="72">
        <f t="shared" si="1"/>
        <v>4.666666666666667</v>
      </c>
      <c r="R58" s="7"/>
      <c r="S58" s="7"/>
      <c r="T58" s="7"/>
      <c r="U58" s="7"/>
      <c r="V58" s="7"/>
      <c r="W58" s="72" t="str">
        <f t="shared" si="2"/>
        <v>A</v>
      </c>
      <c r="X58" s="7"/>
      <c r="Y58" s="7"/>
      <c r="Z58" s="7"/>
      <c r="AA58" s="7"/>
      <c r="AB58" s="7"/>
      <c r="AC58" s="72" t="str">
        <f t="shared" si="3"/>
        <v>A</v>
      </c>
      <c r="AD58" s="7"/>
      <c r="AE58" s="7"/>
      <c r="AF58" s="7"/>
      <c r="AG58" s="7"/>
      <c r="AH58" s="7"/>
      <c r="AI58" s="72" t="str">
        <f t="shared" si="4"/>
        <v>A</v>
      </c>
      <c r="AJ58" s="7"/>
      <c r="AK58" s="7"/>
      <c r="AL58" s="7"/>
      <c r="AM58" s="7"/>
      <c r="AN58" s="7"/>
      <c r="AO58" s="72" t="str">
        <f t="shared" si="5"/>
        <v>A</v>
      </c>
      <c r="AP58" s="7"/>
      <c r="AQ58" s="7"/>
      <c r="AR58" s="7"/>
      <c r="AS58" s="7"/>
      <c r="AT58" s="7"/>
      <c r="AU58" s="72" t="str">
        <f t="shared" si="6"/>
        <v>A</v>
      </c>
      <c r="AV58" s="7"/>
      <c r="AW58" s="7"/>
      <c r="AX58" s="62">
        <v>5</v>
      </c>
      <c r="AY58" s="62">
        <v>0</v>
      </c>
      <c r="AZ58" s="62">
        <v>4</v>
      </c>
      <c r="BA58" s="72">
        <f t="shared" si="7"/>
        <v>3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2</v>
      </c>
      <c r="M59" s="62"/>
      <c r="N59" s="62">
        <v>2</v>
      </c>
      <c r="O59" s="62">
        <v>2</v>
      </c>
      <c r="P59" s="62"/>
      <c r="Q59" s="72">
        <f t="shared" si="1"/>
        <v>2</v>
      </c>
      <c r="R59" s="62"/>
      <c r="S59" s="62"/>
      <c r="T59" s="62"/>
      <c r="U59" s="62"/>
      <c r="V59" s="62"/>
      <c r="W59" s="72" t="str">
        <f t="shared" si="2"/>
        <v>A</v>
      </c>
      <c r="X59" s="62"/>
      <c r="Y59" s="62"/>
      <c r="Z59" s="62"/>
      <c r="AA59" s="62"/>
      <c r="AB59" s="62"/>
      <c r="AC59" s="72" t="str">
        <f t="shared" si="3"/>
        <v>A</v>
      </c>
      <c r="AD59" s="62"/>
      <c r="AE59" s="62"/>
      <c r="AF59" s="62"/>
      <c r="AG59" s="62"/>
      <c r="AH59" s="62"/>
      <c r="AI59" s="72" t="str">
        <f t="shared" si="4"/>
        <v>A</v>
      </c>
      <c r="AJ59" s="62"/>
      <c r="AK59" s="62"/>
      <c r="AL59" s="62"/>
      <c r="AM59" s="62"/>
      <c r="AN59" s="62"/>
      <c r="AO59" s="72" t="str">
        <f t="shared" si="5"/>
        <v>A</v>
      </c>
      <c r="AP59" s="62"/>
      <c r="AQ59" s="62"/>
      <c r="AR59" s="62"/>
      <c r="AS59" s="62"/>
      <c r="AT59" s="62"/>
      <c r="AU59" s="72" t="str">
        <f t="shared" si="6"/>
        <v>A</v>
      </c>
      <c r="AV59" s="62"/>
      <c r="AW59" s="62"/>
      <c r="AX59" s="62">
        <v>2</v>
      </c>
      <c r="AY59" s="62">
        <v>2</v>
      </c>
      <c r="AZ59" s="62">
        <v>2</v>
      </c>
      <c r="BA59" s="72">
        <f t="shared" si="7"/>
        <v>2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2</v>
      </c>
      <c r="M60" s="62"/>
      <c r="N60" s="62">
        <v>2</v>
      </c>
      <c r="O60" s="62">
        <v>1</v>
      </c>
      <c r="P60" s="62"/>
      <c r="Q60" s="72">
        <f t="shared" si="1"/>
        <v>1.6666666666666667</v>
      </c>
      <c r="R60" s="7"/>
      <c r="S60" s="7"/>
      <c r="T60" s="7"/>
      <c r="U60" s="7"/>
      <c r="V60" s="7"/>
      <c r="W60" s="72" t="str">
        <f t="shared" si="2"/>
        <v>A</v>
      </c>
      <c r="X60" s="7"/>
      <c r="Y60" s="7"/>
      <c r="Z60" s="7"/>
      <c r="AA60" s="7"/>
      <c r="AB60" s="7"/>
      <c r="AC60" s="72" t="str">
        <f t="shared" si="3"/>
        <v>A</v>
      </c>
      <c r="AD60" s="7"/>
      <c r="AE60" s="7"/>
      <c r="AF60" s="7"/>
      <c r="AG60" s="7"/>
      <c r="AH60" s="7"/>
      <c r="AI60" s="72" t="str">
        <f t="shared" si="4"/>
        <v>A</v>
      </c>
      <c r="AJ60" s="7"/>
      <c r="AK60" s="7"/>
      <c r="AL60" s="7"/>
      <c r="AM60" s="7"/>
      <c r="AN60" s="7"/>
      <c r="AO60" s="72" t="str">
        <f t="shared" si="5"/>
        <v>A</v>
      </c>
      <c r="AP60" s="7"/>
      <c r="AQ60" s="7"/>
      <c r="AR60" s="7"/>
      <c r="AS60" s="7"/>
      <c r="AT60" s="7"/>
      <c r="AU60" s="72" t="str">
        <f t="shared" si="6"/>
        <v>A</v>
      </c>
      <c r="AV60" s="7"/>
      <c r="AW60" s="7"/>
      <c r="AX60" s="62">
        <v>5</v>
      </c>
      <c r="AY60" s="62">
        <v>2</v>
      </c>
      <c r="AZ60" s="62">
        <v>1</v>
      </c>
      <c r="BA60" s="72">
        <f t="shared" si="7"/>
        <v>2.6666666666666665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3</v>
      </c>
      <c r="M61" s="62"/>
      <c r="N61" s="62">
        <v>3</v>
      </c>
      <c r="O61" s="62">
        <v>3</v>
      </c>
      <c r="P61" s="62"/>
      <c r="Q61" s="72">
        <f t="shared" si="1"/>
        <v>3</v>
      </c>
      <c r="R61" s="62"/>
      <c r="S61" s="62"/>
      <c r="T61" s="62"/>
      <c r="U61" s="62"/>
      <c r="V61" s="62"/>
      <c r="W61" s="72" t="str">
        <f t="shared" si="2"/>
        <v>A</v>
      </c>
      <c r="X61" s="62"/>
      <c r="Y61" s="62"/>
      <c r="Z61" s="62"/>
      <c r="AA61" s="62"/>
      <c r="AB61" s="62"/>
      <c r="AC61" s="72" t="str">
        <f t="shared" si="3"/>
        <v>A</v>
      </c>
      <c r="AD61" s="62"/>
      <c r="AE61" s="62"/>
      <c r="AF61" s="62"/>
      <c r="AG61" s="62"/>
      <c r="AH61" s="62"/>
      <c r="AI61" s="72" t="str">
        <f t="shared" si="4"/>
        <v>A</v>
      </c>
      <c r="AJ61" s="62"/>
      <c r="AK61" s="62"/>
      <c r="AL61" s="62"/>
      <c r="AM61" s="62"/>
      <c r="AN61" s="62"/>
      <c r="AO61" s="72" t="str">
        <f t="shared" si="5"/>
        <v>A</v>
      </c>
      <c r="AP61" s="62"/>
      <c r="AQ61" s="62"/>
      <c r="AR61" s="62"/>
      <c r="AS61" s="62"/>
      <c r="AT61" s="62"/>
      <c r="AU61" s="72" t="str">
        <f t="shared" si="6"/>
        <v>A</v>
      </c>
      <c r="AV61" s="62"/>
      <c r="AW61" s="62"/>
      <c r="AX61" s="62">
        <v>5</v>
      </c>
      <c r="AY61" s="62">
        <v>0</v>
      </c>
      <c r="AZ61" s="62">
        <v>3</v>
      </c>
      <c r="BA61" s="72">
        <f t="shared" si="7"/>
        <v>2.6666666666666665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0</v>
      </c>
      <c r="M62" s="62"/>
      <c r="N62" s="62">
        <v>0</v>
      </c>
      <c r="O62" s="62">
        <v>0</v>
      </c>
      <c r="P62" s="62"/>
      <c r="Q62" s="72">
        <f t="shared" si="1"/>
        <v>0</v>
      </c>
      <c r="R62" s="7"/>
      <c r="S62" s="7"/>
      <c r="T62" s="7"/>
      <c r="U62" s="7"/>
      <c r="V62" s="7"/>
      <c r="W62" s="72" t="str">
        <f t="shared" si="2"/>
        <v>A</v>
      </c>
      <c r="X62" s="7"/>
      <c r="Y62" s="7"/>
      <c r="Z62" s="7"/>
      <c r="AA62" s="7"/>
      <c r="AB62" s="7"/>
      <c r="AC62" s="72" t="str">
        <f t="shared" si="3"/>
        <v>A</v>
      </c>
      <c r="AD62" s="7"/>
      <c r="AE62" s="7"/>
      <c r="AF62" s="7"/>
      <c r="AG62" s="7"/>
      <c r="AH62" s="7"/>
      <c r="AI62" s="72" t="str">
        <f t="shared" si="4"/>
        <v>A</v>
      </c>
      <c r="AJ62" s="7"/>
      <c r="AK62" s="7"/>
      <c r="AL62" s="7"/>
      <c r="AM62" s="7"/>
      <c r="AN62" s="7"/>
      <c r="AO62" s="72" t="str">
        <f t="shared" si="5"/>
        <v>A</v>
      </c>
      <c r="AP62" s="7"/>
      <c r="AQ62" s="7"/>
      <c r="AR62" s="7"/>
      <c r="AS62" s="7"/>
      <c r="AT62" s="7"/>
      <c r="AU62" s="72" t="str">
        <f t="shared" si="6"/>
        <v>A</v>
      </c>
      <c r="AV62" s="7"/>
      <c r="AW62" s="7"/>
      <c r="AX62" s="62">
        <v>0</v>
      </c>
      <c r="AY62" s="62">
        <v>0</v>
      </c>
      <c r="AZ62" s="62">
        <v>0</v>
      </c>
      <c r="BA62" s="72">
        <f t="shared" si="7"/>
        <v>0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3</v>
      </c>
      <c r="M63" s="62"/>
      <c r="N63" s="62">
        <v>3</v>
      </c>
      <c r="O63" s="62">
        <v>2</v>
      </c>
      <c r="P63" s="62"/>
      <c r="Q63" s="72">
        <f t="shared" si="1"/>
        <v>2.6666666666666665</v>
      </c>
      <c r="R63" s="62"/>
      <c r="S63" s="62"/>
      <c r="T63" s="62"/>
      <c r="U63" s="62"/>
      <c r="V63" s="62"/>
      <c r="W63" s="72" t="str">
        <f t="shared" si="2"/>
        <v>A</v>
      </c>
      <c r="X63" s="62"/>
      <c r="Y63" s="62"/>
      <c r="Z63" s="62"/>
      <c r="AA63" s="62"/>
      <c r="AB63" s="62"/>
      <c r="AC63" s="72" t="str">
        <f t="shared" si="3"/>
        <v>A</v>
      </c>
      <c r="AD63" s="62"/>
      <c r="AE63" s="62"/>
      <c r="AF63" s="62"/>
      <c r="AG63" s="62"/>
      <c r="AH63" s="62"/>
      <c r="AI63" s="72" t="str">
        <f t="shared" si="4"/>
        <v>A</v>
      </c>
      <c r="AJ63" s="62"/>
      <c r="AK63" s="62"/>
      <c r="AL63" s="62"/>
      <c r="AM63" s="62"/>
      <c r="AN63" s="62"/>
      <c r="AO63" s="72" t="str">
        <f t="shared" si="5"/>
        <v>A</v>
      </c>
      <c r="AP63" s="62"/>
      <c r="AQ63" s="62"/>
      <c r="AR63" s="62"/>
      <c r="AS63" s="62"/>
      <c r="AT63" s="62"/>
      <c r="AU63" s="72" t="str">
        <f t="shared" si="6"/>
        <v>A</v>
      </c>
      <c r="AV63" s="62"/>
      <c r="AW63" s="62"/>
      <c r="AX63" s="62">
        <v>5</v>
      </c>
      <c r="AY63" s="62">
        <v>0</v>
      </c>
      <c r="AZ63" s="62">
        <v>2</v>
      </c>
      <c r="BA63" s="72">
        <f t="shared" si="7"/>
        <v>2.3333333333333335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2</v>
      </c>
      <c r="M64" s="62"/>
      <c r="N64" s="62">
        <v>2</v>
      </c>
      <c r="O64" s="62">
        <v>1</v>
      </c>
      <c r="P64" s="62"/>
      <c r="Q64" s="72">
        <f t="shared" si="1"/>
        <v>1.6666666666666667</v>
      </c>
      <c r="R64" s="7"/>
      <c r="S64" s="7"/>
      <c r="T64" s="7"/>
      <c r="U64" s="7"/>
      <c r="V64" s="7"/>
      <c r="W64" s="72" t="str">
        <f t="shared" si="2"/>
        <v>A</v>
      </c>
      <c r="X64" s="7"/>
      <c r="Y64" s="7"/>
      <c r="Z64" s="7"/>
      <c r="AA64" s="7"/>
      <c r="AB64" s="7"/>
      <c r="AC64" s="72" t="str">
        <f t="shared" si="3"/>
        <v>A</v>
      </c>
      <c r="AD64" s="7"/>
      <c r="AE64" s="7"/>
      <c r="AF64" s="7"/>
      <c r="AG64" s="7"/>
      <c r="AH64" s="7"/>
      <c r="AI64" s="72" t="str">
        <f t="shared" si="4"/>
        <v>A</v>
      </c>
      <c r="AJ64" s="7"/>
      <c r="AK64" s="7"/>
      <c r="AL64" s="7"/>
      <c r="AM64" s="7"/>
      <c r="AN64" s="7"/>
      <c r="AO64" s="72" t="str">
        <f t="shared" si="5"/>
        <v>A</v>
      </c>
      <c r="AP64" s="7"/>
      <c r="AQ64" s="7"/>
      <c r="AR64" s="7"/>
      <c r="AS64" s="7"/>
      <c r="AT64" s="7"/>
      <c r="AU64" s="72" t="str">
        <f t="shared" si="6"/>
        <v>A</v>
      </c>
      <c r="AV64" s="7"/>
      <c r="AW64" s="7"/>
      <c r="AX64" s="62">
        <v>5</v>
      </c>
      <c r="AY64" s="62">
        <v>0</v>
      </c>
      <c r="AZ64" s="62">
        <v>1</v>
      </c>
      <c r="BA64" s="72">
        <f t="shared" si="7"/>
        <v>2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0</v>
      </c>
      <c r="M65" s="62"/>
      <c r="N65" s="62">
        <v>0</v>
      </c>
      <c r="O65" s="62">
        <v>0</v>
      </c>
      <c r="P65" s="62"/>
      <c r="Q65" s="72">
        <f t="shared" si="1"/>
        <v>0</v>
      </c>
      <c r="R65" s="62"/>
      <c r="S65" s="62"/>
      <c r="T65" s="62"/>
      <c r="U65" s="62"/>
      <c r="V65" s="62"/>
      <c r="W65" s="72" t="str">
        <f t="shared" si="2"/>
        <v>A</v>
      </c>
      <c r="X65" s="62"/>
      <c r="Y65" s="62"/>
      <c r="Z65" s="62"/>
      <c r="AA65" s="62"/>
      <c r="AB65" s="62"/>
      <c r="AC65" s="72" t="str">
        <f t="shared" si="3"/>
        <v>A</v>
      </c>
      <c r="AD65" s="62"/>
      <c r="AE65" s="62"/>
      <c r="AF65" s="62"/>
      <c r="AG65" s="62"/>
      <c r="AH65" s="62"/>
      <c r="AI65" s="72" t="str">
        <f t="shared" si="4"/>
        <v>A</v>
      </c>
      <c r="AJ65" s="62"/>
      <c r="AK65" s="62"/>
      <c r="AL65" s="62"/>
      <c r="AM65" s="62"/>
      <c r="AN65" s="62"/>
      <c r="AO65" s="72" t="str">
        <f t="shared" si="5"/>
        <v>A</v>
      </c>
      <c r="AP65" s="62"/>
      <c r="AQ65" s="62"/>
      <c r="AR65" s="62"/>
      <c r="AS65" s="62"/>
      <c r="AT65" s="62"/>
      <c r="AU65" s="72" t="str">
        <f t="shared" si="6"/>
        <v>A</v>
      </c>
      <c r="AV65" s="62"/>
      <c r="AW65" s="62"/>
      <c r="AX65" s="62">
        <v>0</v>
      </c>
      <c r="AY65" s="62">
        <v>0</v>
      </c>
      <c r="AZ65" s="62">
        <v>0</v>
      </c>
      <c r="BA65" s="72">
        <f t="shared" si="7"/>
        <v>0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2</v>
      </c>
      <c r="M66" s="62"/>
      <c r="N66" s="62">
        <v>2</v>
      </c>
      <c r="O66" s="62">
        <v>1</v>
      </c>
      <c r="P66" s="62"/>
      <c r="Q66" s="72">
        <f t="shared" si="1"/>
        <v>1.6666666666666667</v>
      </c>
      <c r="R66" s="7"/>
      <c r="S66" s="7"/>
      <c r="T66" s="7"/>
      <c r="U66" s="7"/>
      <c r="V66" s="7"/>
      <c r="W66" s="72" t="str">
        <f t="shared" si="2"/>
        <v>A</v>
      </c>
      <c r="X66" s="7"/>
      <c r="Y66" s="7"/>
      <c r="Z66" s="7"/>
      <c r="AA66" s="7"/>
      <c r="AB66" s="7"/>
      <c r="AC66" s="72" t="str">
        <f t="shared" si="3"/>
        <v>A</v>
      </c>
      <c r="AD66" s="7"/>
      <c r="AE66" s="7"/>
      <c r="AF66" s="7"/>
      <c r="AG66" s="7"/>
      <c r="AH66" s="7"/>
      <c r="AI66" s="72" t="str">
        <f t="shared" si="4"/>
        <v>A</v>
      </c>
      <c r="AJ66" s="7"/>
      <c r="AK66" s="7"/>
      <c r="AL66" s="7"/>
      <c r="AM66" s="7"/>
      <c r="AN66" s="7"/>
      <c r="AO66" s="72" t="str">
        <f t="shared" si="5"/>
        <v>A</v>
      </c>
      <c r="AP66" s="7"/>
      <c r="AQ66" s="7"/>
      <c r="AR66" s="7"/>
      <c r="AS66" s="7"/>
      <c r="AT66" s="7"/>
      <c r="AU66" s="72" t="str">
        <f t="shared" si="6"/>
        <v>A</v>
      </c>
      <c r="AV66" s="7"/>
      <c r="AW66" s="7"/>
      <c r="AX66" s="62">
        <v>5</v>
      </c>
      <c r="AY66" s="62">
        <v>2</v>
      </c>
      <c r="AZ66" s="62">
        <v>1</v>
      </c>
      <c r="BA66" s="72">
        <f t="shared" si="7"/>
        <v>2.6666666666666665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3</v>
      </c>
      <c r="M67" s="62"/>
      <c r="N67" s="62">
        <v>3</v>
      </c>
      <c r="O67" s="62">
        <v>3</v>
      </c>
      <c r="P67" s="62"/>
      <c r="Q67" s="72">
        <f t="shared" si="1"/>
        <v>3</v>
      </c>
      <c r="R67" s="62"/>
      <c r="S67" s="62"/>
      <c r="T67" s="62"/>
      <c r="U67" s="62"/>
      <c r="V67" s="62"/>
      <c r="W67" s="72" t="str">
        <f t="shared" si="2"/>
        <v>A</v>
      </c>
      <c r="X67" s="62"/>
      <c r="Y67" s="62"/>
      <c r="Z67" s="62"/>
      <c r="AA67" s="62"/>
      <c r="AB67" s="62"/>
      <c r="AC67" s="72" t="str">
        <f t="shared" si="3"/>
        <v>A</v>
      </c>
      <c r="AD67" s="62"/>
      <c r="AE67" s="62"/>
      <c r="AF67" s="62"/>
      <c r="AG67" s="62"/>
      <c r="AH67" s="62"/>
      <c r="AI67" s="72" t="str">
        <f t="shared" si="4"/>
        <v>A</v>
      </c>
      <c r="AJ67" s="62"/>
      <c r="AK67" s="62"/>
      <c r="AL67" s="62"/>
      <c r="AM67" s="62"/>
      <c r="AN67" s="62"/>
      <c r="AO67" s="72" t="str">
        <f t="shared" si="5"/>
        <v>A</v>
      </c>
      <c r="AP67" s="62"/>
      <c r="AQ67" s="62"/>
      <c r="AR67" s="62"/>
      <c r="AS67" s="62"/>
      <c r="AT67" s="62"/>
      <c r="AU67" s="72" t="str">
        <f t="shared" si="6"/>
        <v>A</v>
      </c>
      <c r="AV67" s="62"/>
      <c r="AW67" s="62"/>
      <c r="AX67" s="62">
        <v>5</v>
      </c>
      <c r="AY67" s="62">
        <v>0</v>
      </c>
      <c r="AZ67" s="62">
        <v>3</v>
      </c>
      <c r="BA67" s="72">
        <f t="shared" si="7"/>
        <v>2.6666666666666665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4</v>
      </c>
      <c r="M68" s="62"/>
      <c r="N68" s="62">
        <v>4</v>
      </c>
      <c r="O68" s="62">
        <v>4</v>
      </c>
      <c r="P68" s="62"/>
      <c r="Q68" s="72">
        <f t="shared" ref="Q68:Q131" si="9">IFERROR(AVERAGE(N68,L68,O68),"A")</f>
        <v>4</v>
      </c>
      <c r="R68" s="7"/>
      <c r="S68" s="7"/>
      <c r="T68" s="7"/>
      <c r="U68" s="7"/>
      <c r="V68" s="7"/>
      <c r="W68" s="72" t="str">
        <f t="shared" ref="W68:W131" si="10">IFERROR(AVERAGE(R68,S68,U68),"A")</f>
        <v>A</v>
      </c>
      <c r="X68" s="7"/>
      <c r="Y68" s="7"/>
      <c r="Z68" s="7"/>
      <c r="AA68" s="7"/>
      <c r="AB68" s="7"/>
      <c r="AC68" s="72" t="str">
        <f t="shared" ref="AC68:AC131" si="11">IFERROR(AVERAGE(Y68,X68),"A")</f>
        <v>A</v>
      </c>
      <c r="AD68" s="7"/>
      <c r="AE68" s="7"/>
      <c r="AF68" s="7"/>
      <c r="AG68" s="7"/>
      <c r="AH68" s="7"/>
      <c r="AI68" s="72" t="str">
        <f t="shared" ref="AI68:AI131" si="12">IFERROR(AVERAGE(AF68,AD68),"A")</f>
        <v>A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7"/>
      <c r="AQ68" s="7"/>
      <c r="AR68" s="7"/>
      <c r="AS68" s="7"/>
      <c r="AT68" s="7"/>
      <c r="AU68" s="72" t="str">
        <f t="shared" ref="AU68:AU131" si="14">IFERROR(AVERAGE(AR68,AQ68,AP68),"A")</f>
        <v>A</v>
      </c>
      <c r="AV68" s="7"/>
      <c r="AW68" s="7"/>
      <c r="AX68" s="62">
        <v>5</v>
      </c>
      <c r="AY68" s="62">
        <v>0</v>
      </c>
      <c r="AZ68" s="62">
        <v>4</v>
      </c>
      <c r="BA68" s="72">
        <f t="shared" ref="BA68:BA131" si="15">IFERROR(AVERAGE(AX68,AY68,AZ68),"A")</f>
        <v>3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4</v>
      </c>
      <c r="M69" s="62"/>
      <c r="N69" s="62">
        <v>4</v>
      </c>
      <c r="O69" s="62">
        <v>4</v>
      </c>
      <c r="P69" s="62"/>
      <c r="Q69" s="72">
        <f t="shared" si="9"/>
        <v>4</v>
      </c>
      <c r="R69" s="62"/>
      <c r="S69" s="62"/>
      <c r="T69" s="62"/>
      <c r="U69" s="62"/>
      <c r="V69" s="62"/>
      <c r="W69" s="72" t="str">
        <f t="shared" si="10"/>
        <v>A</v>
      </c>
      <c r="X69" s="62"/>
      <c r="Y69" s="62"/>
      <c r="Z69" s="62"/>
      <c r="AA69" s="62"/>
      <c r="AB69" s="62"/>
      <c r="AC69" s="72" t="str">
        <f t="shared" si="11"/>
        <v>A</v>
      </c>
      <c r="AD69" s="62"/>
      <c r="AE69" s="62"/>
      <c r="AF69" s="62"/>
      <c r="AG69" s="62"/>
      <c r="AH69" s="62"/>
      <c r="AI69" s="72" t="str">
        <f t="shared" si="12"/>
        <v>A</v>
      </c>
      <c r="AJ69" s="62"/>
      <c r="AK69" s="62"/>
      <c r="AL69" s="62"/>
      <c r="AM69" s="62"/>
      <c r="AN69" s="62"/>
      <c r="AO69" s="72" t="str">
        <f t="shared" si="13"/>
        <v>A</v>
      </c>
      <c r="AP69" s="62"/>
      <c r="AQ69" s="62"/>
      <c r="AR69" s="62"/>
      <c r="AS69" s="62"/>
      <c r="AT69" s="62"/>
      <c r="AU69" s="72" t="str">
        <f t="shared" si="14"/>
        <v>A</v>
      </c>
      <c r="AV69" s="62"/>
      <c r="AW69" s="62"/>
      <c r="AX69" s="62">
        <v>5</v>
      </c>
      <c r="AY69" s="62">
        <v>0</v>
      </c>
      <c r="AZ69" s="62">
        <v>4</v>
      </c>
      <c r="BA69" s="72">
        <f t="shared" si="15"/>
        <v>3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4</v>
      </c>
      <c r="M70" s="62"/>
      <c r="N70" s="62">
        <v>3</v>
      </c>
      <c r="O70" s="62">
        <v>3</v>
      </c>
      <c r="P70" s="62"/>
      <c r="Q70" s="72">
        <f t="shared" si="9"/>
        <v>3.3333333333333335</v>
      </c>
      <c r="R70" s="7"/>
      <c r="S70" s="7"/>
      <c r="T70" s="7"/>
      <c r="U70" s="7"/>
      <c r="V70" s="7"/>
      <c r="W70" s="72" t="str">
        <f t="shared" si="10"/>
        <v>A</v>
      </c>
      <c r="X70" s="7"/>
      <c r="Y70" s="7"/>
      <c r="Z70" s="7"/>
      <c r="AA70" s="7"/>
      <c r="AB70" s="7"/>
      <c r="AC70" s="72" t="str">
        <f t="shared" si="11"/>
        <v>A</v>
      </c>
      <c r="AD70" s="7"/>
      <c r="AE70" s="7"/>
      <c r="AF70" s="7"/>
      <c r="AG70" s="7"/>
      <c r="AH70" s="7"/>
      <c r="AI70" s="72" t="str">
        <f t="shared" si="12"/>
        <v>A</v>
      </c>
      <c r="AJ70" s="7"/>
      <c r="AK70" s="7"/>
      <c r="AL70" s="7"/>
      <c r="AM70" s="7"/>
      <c r="AN70" s="7"/>
      <c r="AO70" s="72" t="str">
        <f t="shared" si="13"/>
        <v>A</v>
      </c>
      <c r="AP70" s="7"/>
      <c r="AQ70" s="7"/>
      <c r="AR70" s="7"/>
      <c r="AS70" s="7"/>
      <c r="AT70" s="7"/>
      <c r="AU70" s="72" t="str">
        <f t="shared" si="14"/>
        <v>A</v>
      </c>
      <c r="AV70" s="7"/>
      <c r="AW70" s="7"/>
      <c r="AX70" s="62">
        <v>5</v>
      </c>
      <c r="AY70" s="62">
        <v>0</v>
      </c>
      <c r="AZ70" s="62">
        <v>3</v>
      </c>
      <c r="BA70" s="72">
        <f t="shared" si="15"/>
        <v>2.6666666666666665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2</v>
      </c>
      <c r="M71" s="62"/>
      <c r="N71" s="62">
        <v>2</v>
      </c>
      <c r="O71" s="62">
        <v>2</v>
      </c>
      <c r="P71" s="62"/>
      <c r="Q71" s="72">
        <f t="shared" si="9"/>
        <v>2</v>
      </c>
      <c r="R71" s="62"/>
      <c r="S71" s="62"/>
      <c r="T71" s="62"/>
      <c r="U71" s="62"/>
      <c r="V71" s="62"/>
      <c r="W71" s="72" t="str">
        <f t="shared" si="10"/>
        <v>A</v>
      </c>
      <c r="X71" s="62"/>
      <c r="Y71" s="62"/>
      <c r="Z71" s="62"/>
      <c r="AA71" s="62"/>
      <c r="AB71" s="62"/>
      <c r="AC71" s="72" t="str">
        <f t="shared" si="11"/>
        <v>A</v>
      </c>
      <c r="AD71" s="62"/>
      <c r="AE71" s="62"/>
      <c r="AF71" s="62"/>
      <c r="AG71" s="62"/>
      <c r="AH71" s="62"/>
      <c r="AI71" s="72" t="str">
        <f t="shared" si="12"/>
        <v>A</v>
      </c>
      <c r="AJ71" s="62"/>
      <c r="AK71" s="62"/>
      <c r="AL71" s="62"/>
      <c r="AM71" s="62"/>
      <c r="AN71" s="62"/>
      <c r="AO71" s="72" t="str">
        <f t="shared" si="13"/>
        <v>A</v>
      </c>
      <c r="AP71" s="62"/>
      <c r="AQ71" s="62"/>
      <c r="AR71" s="62"/>
      <c r="AS71" s="62"/>
      <c r="AT71" s="62"/>
      <c r="AU71" s="72" t="str">
        <f t="shared" si="14"/>
        <v>A</v>
      </c>
      <c r="AV71" s="62"/>
      <c r="AW71" s="62"/>
      <c r="AX71" s="62">
        <v>5</v>
      </c>
      <c r="AY71" s="62">
        <v>0</v>
      </c>
      <c r="AZ71" s="62">
        <v>1</v>
      </c>
      <c r="BA71" s="72">
        <f t="shared" si="15"/>
        <v>2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2</v>
      </c>
      <c r="M72" s="62"/>
      <c r="N72" s="62">
        <v>2</v>
      </c>
      <c r="O72" s="62">
        <v>2</v>
      </c>
      <c r="P72" s="62"/>
      <c r="Q72" s="72">
        <f t="shared" si="9"/>
        <v>2</v>
      </c>
      <c r="R72" s="7"/>
      <c r="S72" s="7"/>
      <c r="T72" s="7"/>
      <c r="U72" s="7"/>
      <c r="V72" s="7"/>
      <c r="W72" s="72" t="str">
        <f t="shared" si="10"/>
        <v>A</v>
      </c>
      <c r="X72" s="7"/>
      <c r="Y72" s="7"/>
      <c r="Z72" s="7"/>
      <c r="AA72" s="7"/>
      <c r="AB72" s="7"/>
      <c r="AC72" s="72" t="str">
        <f t="shared" si="11"/>
        <v>A</v>
      </c>
      <c r="AD72" s="7"/>
      <c r="AE72" s="7"/>
      <c r="AF72" s="7"/>
      <c r="AG72" s="7"/>
      <c r="AH72" s="7"/>
      <c r="AI72" s="72" t="str">
        <f t="shared" si="12"/>
        <v>A</v>
      </c>
      <c r="AJ72" s="7"/>
      <c r="AK72" s="7"/>
      <c r="AL72" s="7"/>
      <c r="AM72" s="7"/>
      <c r="AN72" s="7"/>
      <c r="AO72" s="72" t="str">
        <f t="shared" si="13"/>
        <v>A</v>
      </c>
      <c r="AP72" s="7"/>
      <c r="AQ72" s="7"/>
      <c r="AR72" s="7"/>
      <c r="AS72" s="7"/>
      <c r="AT72" s="7"/>
      <c r="AU72" s="72" t="str">
        <f t="shared" si="14"/>
        <v>A</v>
      </c>
      <c r="AV72" s="7"/>
      <c r="AW72" s="7"/>
      <c r="AX72" s="62">
        <v>2</v>
      </c>
      <c r="AY72" s="62">
        <v>2</v>
      </c>
      <c r="AZ72" s="62">
        <v>2</v>
      </c>
      <c r="BA72" s="72">
        <f t="shared" si="15"/>
        <v>2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1</v>
      </c>
      <c r="M73" s="62"/>
      <c r="N73" s="62">
        <v>1</v>
      </c>
      <c r="O73" s="62">
        <v>1</v>
      </c>
      <c r="P73" s="62"/>
      <c r="Q73" s="72">
        <f t="shared" si="9"/>
        <v>1</v>
      </c>
      <c r="R73" s="62"/>
      <c r="S73" s="62"/>
      <c r="T73" s="62"/>
      <c r="U73" s="62"/>
      <c r="V73" s="62"/>
      <c r="W73" s="72" t="str">
        <f t="shared" si="10"/>
        <v>A</v>
      </c>
      <c r="X73" s="62"/>
      <c r="Y73" s="62"/>
      <c r="Z73" s="62"/>
      <c r="AA73" s="62"/>
      <c r="AB73" s="62"/>
      <c r="AC73" s="72" t="str">
        <f t="shared" si="11"/>
        <v>A</v>
      </c>
      <c r="AD73" s="62"/>
      <c r="AE73" s="62"/>
      <c r="AF73" s="62"/>
      <c r="AG73" s="62"/>
      <c r="AH73" s="62"/>
      <c r="AI73" s="72" t="str">
        <f t="shared" si="12"/>
        <v>A</v>
      </c>
      <c r="AJ73" s="62"/>
      <c r="AK73" s="62"/>
      <c r="AL73" s="62"/>
      <c r="AM73" s="62"/>
      <c r="AN73" s="62"/>
      <c r="AO73" s="72" t="str">
        <f t="shared" si="13"/>
        <v>A</v>
      </c>
      <c r="AP73" s="62"/>
      <c r="AQ73" s="62"/>
      <c r="AR73" s="62"/>
      <c r="AS73" s="62"/>
      <c r="AT73" s="62"/>
      <c r="AU73" s="72" t="str">
        <f t="shared" si="14"/>
        <v>A</v>
      </c>
      <c r="AV73" s="62"/>
      <c r="AW73" s="62"/>
      <c r="AX73" s="62">
        <v>5</v>
      </c>
      <c r="AY73" s="62">
        <v>0</v>
      </c>
      <c r="AZ73" s="62">
        <v>1</v>
      </c>
      <c r="BA73" s="72">
        <f t="shared" si="15"/>
        <v>2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0</v>
      </c>
      <c r="M74" s="62"/>
      <c r="N74" s="62">
        <v>0</v>
      </c>
      <c r="O74" s="62">
        <v>0</v>
      </c>
      <c r="P74" s="62"/>
      <c r="Q74" s="72">
        <f t="shared" si="9"/>
        <v>0</v>
      </c>
      <c r="R74" s="7"/>
      <c r="S74" s="7"/>
      <c r="T74" s="7"/>
      <c r="U74" s="7"/>
      <c r="V74" s="7"/>
      <c r="W74" s="72" t="str">
        <f t="shared" si="10"/>
        <v>A</v>
      </c>
      <c r="X74" s="7"/>
      <c r="Y74" s="7"/>
      <c r="Z74" s="7"/>
      <c r="AA74" s="7"/>
      <c r="AB74" s="7"/>
      <c r="AC74" s="72" t="str">
        <f t="shared" si="11"/>
        <v>A</v>
      </c>
      <c r="AD74" s="7"/>
      <c r="AE74" s="7"/>
      <c r="AF74" s="7"/>
      <c r="AG74" s="7"/>
      <c r="AH74" s="7"/>
      <c r="AI74" s="72" t="str">
        <f t="shared" si="12"/>
        <v>A</v>
      </c>
      <c r="AJ74" s="7"/>
      <c r="AK74" s="7"/>
      <c r="AL74" s="7"/>
      <c r="AM74" s="7"/>
      <c r="AN74" s="7"/>
      <c r="AO74" s="72" t="str">
        <f t="shared" si="13"/>
        <v>A</v>
      </c>
      <c r="AP74" s="7"/>
      <c r="AQ74" s="7"/>
      <c r="AR74" s="7"/>
      <c r="AS74" s="7"/>
      <c r="AT74" s="7"/>
      <c r="AU74" s="72" t="str">
        <f t="shared" si="14"/>
        <v>A</v>
      </c>
      <c r="AV74" s="7"/>
      <c r="AW74" s="7"/>
      <c r="AX74" s="62">
        <v>0</v>
      </c>
      <c r="AY74" s="62">
        <v>0</v>
      </c>
      <c r="AZ74" s="62">
        <v>0</v>
      </c>
      <c r="BA74" s="72">
        <f t="shared" si="15"/>
        <v>0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3</v>
      </c>
      <c r="M75" s="62"/>
      <c r="N75" s="62">
        <v>3</v>
      </c>
      <c r="O75" s="62">
        <v>2</v>
      </c>
      <c r="P75" s="62"/>
      <c r="Q75" s="72">
        <f t="shared" si="9"/>
        <v>2.6666666666666665</v>
      </c>
      <c r="R75" s="62"/>
      <c r="S75" s="62"/>
      <c r="T75" s="62"/>
      <c r="U75" s="62"/>
      <c r="V75" s="62"/>
      <c r="W75" s="72" t="str">
        <f t="shared" si="10"/>
        <v>A</v>
      </c>
      <c r="X75" s="62"/>
      <c r="Y75" s="62"/>
      <c r="Z75" s="62"/>
      <c r="AA75" s="62"/>
      <c r="AB75" s="62"/>
      <c r="AC75" s="72" t="str">
        <f t="shared" si="11"/>
        <v>A</v>
      </c>
      <c r="AD75" s="62"/>
      <c r="AE75" s="62"/>
      <c r="AF75" s="62"/>
      <c r="AG75" s="62"/>
      <c r="AH75" s="62"/>
      <c r="AI75" s="72" t="str">
        <f t="shared" si="12"/>
        <v>A</v>
      </c>
      <c r="AJ75" s="62"/>
      <c r="AK75" s="62"/>
      <c r="AL75" s="62"/>
      <c r="AM75" s="62"/>
      <c r="AN75" s="62"/>
      <c r="AO75" s="72" t="str">
        <f t="shared" si="13"/>
        <v>A</v>
      </c>
      <c r="AP75" s="62"/>
      <c r="AQ75" s="62"/>
      <c r="AR75" s="62"/>
      <c r="AS75" s="62"/>
      <c r="AT75" s="62"/>
      <c r="AU75" s="72" t="str">
        <f t="shared" si="14"/>
        <v>A</v>
      </c>
      <c r="AV75" s="62"/>
      <c r="AW75" s="62"/>
      <c r="AX75" s="62">
        <v>5</v>
      </c>
      <c r="AY75" s="62">
        <v>0</v>
      </c>
      <c r="AZ75" s="62">
        <v>2</v>
      </c>
      <c r="BA75" s="72">
        <f t="shared" si="15"/>
        <v>2.3333333333333335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1</v>
      </c>
      <c r="M76" s="62"/>
      <c r="N76" s="62">
        <v>1</v>
      </c>
      <c r="O76" s="62">
        <v>1</v>
      </c>
      <c r="P76" s="62"/>
      <c r="Q76" s="72">
        <f t="shared" si="9"/>
        <v>1</v>
      </c>
      <c r="R76" s="7"/>
      <c r="S76" s="7"/>
      <c r="T76" s="7"/>
      <c r="U76" s="7"/>
      <c r="V76" s="7"/>
      <c r="W76" s="72" t="str">
        <f t="shared" si="10"/>
        <v>A</v>
      </c>
      <c r="X76" s="7"/>
      <c r="Y76" s="7"/>
      <c r="Z76" s="7"/>
      <c r="AA76" s="7"/>
      <c r="AB76" s="7"/>
      <c r="AC76" s="72" t="str">
        <f t="shared" si="11"/>
        <v>A</v>
      </c>
      <c r="AD76" s="7"/>
      <c r="AE76" s="7"/>
      <c r="AF76" s="7"/>
      <c r="AG76" s="7"/>
      <c r="AH76" s="7"/>
      <c r="AI76" s="72" t="str">
        <f t="shared" si="12"/>
        <v>A</v>
      </c>
      <c r="AJ76" s="7"/>
      <c r="AK76" s="7"/>
      <c r="AL76" s="7"/>
      <c r="AM76" s="7"/>
      <c r="AN76" s="7"/>
      <c r="AO76" s="72" t="str">
        <f t="shared" si="13"/>
        <v>A</v>
      </c>
      <c r="AP76" s="7"/>
      <c r="AQ76" s="7"/>
      <c r="AR76" s="7"/>
      <c r="AS76" s="7"/>
      <c r="AT76" s="7"/>
      <c r="AU76" s="72" t="str">
        <f t="shared" si="14"/>
        <v>A</v>
      </c>
      <c r="AV76" s="7"/>
      <c r="AW76" s="7"/>
      <c r="AX76" s="62">
        <v>5</v>
      </c>
      <c r="AY76" s="62">
        <v>2</v>
      </c>
      <c r="AZ76" s="62">
        <v>1</v>
      </c>
      <c r="BA76" s="72">
        <f t="shared" si="15"/>
        <v>2.6666666666666665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2</v>
      </c>
      <c r="M77" s="62"/>
      <c r="N77" s="62">
        <v>2</v>
      </c>
      <c r="O77" s="62">
        <v>2</v>
      </c>
      <c r="P77" s="62"/>
      <c r="Q77" s="72">
        <f t="shared" si="9"/>
        <v>2</v>
      </c>
      <c r="R77" s="62"/>
      <c r="S77" s="62"/>
      <c r="T77" s="62"/>
      <c r="U77" s="62"/>
      <c r="V77" s="62"/>
      <c r="W77" s="72" t="str">
        <f t="shared" si="10"/>
        <v>A</v>
      </c>
      <c r="X77" s="62"/>
      <c r="Y77" s="62"/>
      <c r="Z77" s="62"/>
      <c r="AA77" s="62"/>
      <c r="AB77" s="62"/>
      <c r="AC77" s="72" t="str">
        <f t="shared" si="11"/>
        <v>A</v>
      </c>
      <c r="AD77" s="62"/>
      <c r="AE77" s="62"/>
      <c r="AF77" s="62"/>
      <c r="AG77" s="62"/>
      <c r="AH77" s="62"/>
      <c r="AI77" s="72" t="str">
        <f t="shared" si="12"/>
        <v>A</v>
      </c>
      <c r="AJ77" s="62"/>
      <c r="AK77" s="62"/>
      <c r="AL77" s="62"/>
      <c r="AM77" s="62"/>
      <c r="AN77" s="62"/>
      <c r="AO77" s="72" t="str">
        <f t="shared" si="13"/>
        <v>A</v>
      </c>
      <c r="AP77" s="62"/>
      <c r="AQ77" s="62"/>
      <c r="AR77" s="62"/>
      <c r="AS77" s="62"/>
      <c r="AT77" s="62"/>
      <c r="AU77" s="72" t="str">
        <f t="shared" si="14"/>
        <v>A</v>
      </c>
      <c r="AV77" s="62"/>
      <c r="AW77" s="62"/>
      <c r="AX77" s="62">
        <v>2</v>
      </c>
      <c r="AY77" s="62">
        <v>2</v>
      </c>
      <c r="AZ77" s="62">
        <v>2</v>
      </c>
      <c r="BA77" s="72">
        <f t="shared" si="15"/>
        <v>2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3</v>
      </c>
      <c r="M78" s="62"/>
      <c r="N78" s="62">
        <v>3</v>
      </c>
      <c r="O78" s="62">
        <v>2</v>
      </c>
      <c r="P78" s="62"/>
      <c r="Q78" s="72">
        <f t="shared" si="9"/>
        <v>2.6666666666666665</v>
      </c>
      <c r="R78" s="7"/>
      <c r="S78" s="7"/>
      <c r="T78" s="7"/>
      <c r="U78" s="7"/>
      <c r="V78" s="7"/>
      <c r="W78" s="72" t="str">
        <f t="shared" si="10"/>
        <v>A</v>
      </c>
      <c r="X78" s="7"/>
      <c r="Y78" s="7"/>
      <c r="Z78" s="7"/>
      <c r="AA78" s="7"/>
      <c r="AB78" s="7"/>
      <c r="AC78" s="72" t="str">
        <f t="shared" si="11"/>
        <v>A</v>
      </c>
      <c r="AD78" s="7"/>
      <c r="AE78" s="7"/>
      <c r="AF78" s="7"/>
      <c r="AG78" s="7"/>
      <c r="AH78" s="7"/>
      <c r="AI78" s="72" t="str">
        <f t="shared" si="12"/>
        <v>A</v>
      </c>
      <c r="AJ78" s="7"/>
      <c r="AK78" s="7"/>
      <c r="AL78" s="7"/>
      <c r="AM78" s="7"/>
      <c r="AN78" s="7"/>
      <c r="AO78" s="72" t="str">
        <f t="shared" si="13"/>
        <v>A</v>
      </c>
      <c r="AP78" s="7"/>
      <c r="AQ78" s="7"/>
      <c r="AR78" s="7"/>
      <c r="AS78" s="7"/>
      <c r="AT78" s="7"/>
      <c r="AU78" s="72" t="str">
        <f t="shared" si="14"/>
        <v>A</v>
      </c>
      <c r="AV78" s="7"/>
      <c r="AW78" s="7"/>
      <c r="AX78" s="62">
        <v>5</v>
      </c>
      <c r="AY78" s="62">
        <v>2</v>
      </c>
      <c r="AZ78" s="62">
        <v>2</v>
      </c>
      <c r="BA78" s="72">
        <f t="shared" si="15"/>
        <v>3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4</v>
      </c>
      <c r="M79" s="62"/>
      <c r="N79" s="62">
        <v>4</v>
      </c>
      <c r="O79" s="62">
        <v>4</v>
      </c>
      <c r="P79" s="62"/>
      <c r="Q79" s="72">
        <f t="shared" si="9"/>
        <v>4</v>
      </c>
      <c r="R79" s="62"/>
      <c r="S79" s="62"/>
      <c r="T79" s="62"/>
      <c r="U79" s="62"/>
      <c r="V79" s="62"/>
      <c r="W79" s="72" t="str">
        <f t="shared" si="10"/>
        <v>A</v>
      </c>
      <c r="X79" s="62"/>
      <c r="Y79" s="62"/>
      <c r="Z79" s="62"/>
      <c r="AA79" s="62"/>
      <c r="AB79" s="62"/>
      <c r="AC79" s="72" t="str">
        <f t="shared" si="11"/>
        <v>A</v>
      </c>
      <c r="AD79" s="62"/>
      <c r="AE79" s="62"/>
      <c r="AF79" s="62"/>
      <c r="AG79" s="62"/>
      <c r="AH79" s="62"/>
      <c r="AI79" s="72" t="str">
        <f t="shared" si="12"/>
        <v>A</v>
      </c>
      <c r="AJ79" s="62"/>
      <c r="AK79" s="62"/>
      <c r="AL79" s="62"/>
      <c r="AM79" s="62"/>
      <c r="AN79" s="62"/>
      <c r="AO79" s="72" t="str">
        <f t="shared" si="13"/>
        <v>A</v>
      </c>
      <c r="AP79" s="62"/>
      <c r="AQ79" s="62"/>
      <c r="AR79" s="62"/>
      <c r="AS79" s="62"/>
      <c r="AT79" s="62"/>
      <c r="AU79" s="72" t="str">
        <f t="shared" si="14"/>
        <v>A</v>
      </c>
      <c r="AV79" s="62"/>
      <c r="AW79" s="62"/>
      <c r="AX79" s="62">
        <v>5</v>
      </c>
      <c r="AY79" s="62">
        <v>2</v>
      </c>
      <c r="AZ79" s="62">
        <v>4</v>
      </c>
      <c r="BA79" s="72">
        <f t="shared" si="15"/>
        <v>3.6666666666666665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2</v>
      </c>
      <c r="M80" s="62"/>
      <c r="N80" s="62">
        <v>2</v>
      </c>
      <c r="O80" s="62">
        <v>1</v>
      </c>
      <c r="P80" s="62"/>
      <c r="Q80" s="72">
        <f t="shared" si="9"/>
        <v>1.6666666666666667</v>
      </c>
      <c r="R80" s="7"/>
      <c r="S80" s="7"/>
      <c r="T80" s="7"/>
      <c r="U80" s="7"/>
      <c r="V80" s="7"/>
      <c r="W80" s="72" t="str">
        <f t="shared" si="10"/>
        <v>A</v>
      </c>
      <c r="X80" s="7"/>
      <c r="Y80" s="7"/>
      <c r="Z80" s="7"/>
      <c r="AA80" s="7"/>
      <c r="AB80" s="7"/>
      <c r="AC80" s="72" t="str">
        <f t="shared" si="11"/>
        <v>A</v>
      </c>
      <c r="AD80" s="7"/>
      <c r="AE80" s="7"/>
      <c r="AF80" s="7"/>
      <c r="AG80" s="7"/>
      <c r="AH80" s="7"/>
      <c r="AI80" s="72" t="str">
        <f t="shared" si="12"/>
        <v>A</v>
      </c>
      <c r="AJ80" s="7"/>
      <c r="AK80" s="7"/>
      <c r="AL80" s="7"/>
      <c r="AM80" s="7"/>
      <c r="AN80" s="7"/>
      <c r="AO80" s="72" t="str">
        <f t="shared" si="13"/>
        <v>A</v>
      </c>
      <c r="AP80" s="7"/>
      <c r="AQ80" s="7"/>
      <c r="AR80" s="7"/>
      <c r="AS80" s="7"/>
      <c r="AT80" s="7"/>
      <c r="AU80" s="72" t="str">
        <f t="shared" si="14"/>
        <v>A</v>
      </c>
      <c r="AV80" s="7"/>
      <c r="AW80" s="7"/>
      <c r="AX80" s="62">
        <v>5</v>
      </c>
      <c r="AY80" s="62">
        <v>2</v>
      </c>
      <c r="AZ80" s="62">
        <v>1</v>
      </c>
      <c r="BA80" s="72">
        <f t="shared" si="15"/>
        <v>2.6666666666666665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0</v>
      </c>
      <c r="M81" s="62"/>
      <c r="N81" s="62">
        <v>0</v>
      </c>
      <c r="O81" s="62">
        <v>0</v>
      </c>
      <c r="P81" s="62"/>
      <c r="Q81" s="72">
        <f t="shared" si="9"/>
        <v>0</v>
      </c>
      <c r="R81" s="62"/>
      <c r="S81" s="62"/>
      <c r="T81" s="62"/>
      <c r="U81" s="62"/>
      <c r="V81" s="62"/>
      <c r="W81" s="72" t="str">
        <f t="shared" si="10"/>
        <v>A</v>
      </c>
      <c r="X81" s="62"/>
      <c r="Y81" s="62"/>
      <c r="Z81" s="62"/>
      <c r="AA81" s="62"/>
      <c r="AB81" s="62"/>
      <c r="AC81" s="72" t="str">
        <f t="shared" si="11"/>
        <v>A</v>
      </c>
      <c r="AD81" s="62"/>
      <c r="AE81" s="62"/>
      <c r="AF81" s="62"/>
      <c r="AG81" s="62"/>
      <c r="AH81" s="62"/>
      <c r="AI81" s="72" t="str">
        <f t="shared" si="12"/>
        <v>A</v>
      </c>
      <c r="AJ81" s="62"/>
      <c r="AK81" s="62"/>
      <c r="AL81" s="62"/>
      <c r="AM81" s="62"/>
      <c r="AN81" s="62"/>
      <c r="AO81" s="72" t="str">
        <f t="shared" si="13"/>
        <v>A</v>
      </c>
      <c r="AP81" s="62"/>
      <c r="AQ81" s="62"/>
      <c r="AR81" s="62"/>
      <c r="AS81" s="62"/>
      <c r="AT81" s="62"/>
      <c r="AU81" s="72" t="str">
        <f t="shared" si="14"/>
        <v>A</v>
      </c>
      <c r="AV81" s="62"/>
      <c r="AW81" s="62"/>
      <c r="AX81" s="62">
        <v>0</v>
      </c>
      <c r="AY81" s="62">
        <v>0</v>
      </c>
      <c r="AZ81" s="62">
        <v>0</v>
      </c>
      <c r="BA81" s="72">
        <f t="shared" si="15"/>
        <v>0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4</v>
      </c>
      <c r="M82" s="62"/>
      <c r="N82" s="62">
        <v>4</v>
      </c>
      <c r="O82" s="62">
        <v>4</v>
      </c>
      <c r="P82" s="62"/>
      <c r="Q82" s="72">
        <f t="shared" si="9"/>
        <v>4</v>
      </c>
      <c r="R82" s="7"/>
      <c r="S82" s="7"/>
      <c r="T82" s="7"/>
      <c r="U82" s="7"/>
      <c r="V82" s="7"/>
      <c r="W82" s="72" t="str">
        <f t="shared" si="10"/>
        <v>A</v>
      </c>
      <c r="X82" s="7"/>
      <c r="Y82" s="7"/>
      <c r="Z82" s="7"/>
      <c r="AA82" s="7"/>
      <c r="AB82" s="7"/>
      <c r="AC82" s="72" t="str">
        <f t="shared" si="11"/>
        <v>A</v>
      </c>
      <c r="AD82" s="7"/>
      <c r="AE82" s="7"/>
      <c r="AF82" s="7"/>
      <c r="AG82" s="7"/>
      <c r="AH82" s="7"/>
      <c r="AI82" s="72" t="str">
        <f t="shared" si="12"/>
        <v>A</v>
      </c>
      <c r="AJ82" s="7"/>
      <c r="AK82" s="7"/>
      <c r="AL82" s="7"/>
      <c r="AM82" s="7"/>
      <c r="AN82" s="7"/>
      <c r="AO82" s="72" t="str">
        <f t="shared" si="13"/>
        <v>A</v>
      </c>
      <c r="AP82" s="7"/>
      <c r="AQ82" s="7"/>
      <c r="AR82" s="7"/>
      <c r="AS82" s="7"/>
      <c r="AT82" s="7"/>
      <c r="AU82" s="72" t="str">
        <f t="shared" si="14"/>
        <v>A</v>
      </c>
      <c r="AV82" s="7"/>
      <c r="AW82" s="7"/>
      <c r="AX82" s="62">
        <v>5</v>
      </c>
      <c r="AY82" s="62">
        <v>2</v>
      </c>
      <c r="AZ82" s="62">
        <v>4</v>
      </c>
      <c r="BA82" s="72">
        <f t="shared" si="15"/>
        <v>3.6666666666666665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4</v>
      </c>
      <c r="M83" s="62"/>
      <c r="N83" s="62">
        <v>4</v>
      </c>
      <c r="O83" s="62">
        <v>4</v>
      </c>
      <c r="P83" s="62"/>
      <c r="Q83" s="72">
        <f t="shared" si="9"/>
        <v>4</v>
      </c>
      <c r="R83" s="62"/>
      <c r="S83" s="62"/>
      <c r="T83" s="62"/>
      <c r="U83" s="62"/>
      <c r="V83" s="62"/>
      <c r="W83" s="72" t="str">
        <f t="shared" si="10"/>
        <v>A</v>
      </c>
      <c r="X83" s="62"/>
      <c r="Y83" s="62"/>
      <c r="Z83" s="62"/>
      <c r="AA83" s="62"/>
      <c r="AB83" s="62"/>
      <c r="AC83" s="72" t="str">
        <f t="shared" si="11"/>
        <v>A</v>
      </c>
      <c r="AD83" s="62"/>
      <c r="AE83" s="62"/>
      <c r="AF83" s="62"/>
      <c r="AG83" s="62"/>
      <c r="AH83" s="62"/>
      <c r="AI83" s="72" t="str">
        <f t="shared" si="12"/>
        <v>A</v>
      </c>
      <c r="AJ83" s="62"/>
      <c r="AK83" s="62"/>
      <c r="AL83" s="62"/>
      <c r="AM83" s="62"/>
      <c r="AN83" s="62"/>
      <c r="AO83" s="72" t="str">
        <f t="shared" si="13"/>
        <v>A</v>
      </c>
      <c r="AP83" s="62"/>
      <c r="AQ83" s="62"/>
      <c r="AR83" s="62"/>
      <c r="AS83" s="62"/>
      <c r="AT83" s="62"/>
      <c r="AU83" s="72" t="str">
        <f t="shared" si="14"/>
        <v>A</v>
      </c>
      <c r="AV83" s="62"/>
      <c r="AW83" s="62"/>
      <c r="AX83" s="62">
        <v>5</v>
      </c>
      <c r="AY83" s="62">
        <v>2</v>
      </c>
      <c r="AZ83" s="62">
        <v>4</v>
      </c>
      <c r="BA83" s="72">
        <f t="shared" si="15"/>
        <v>3.6666666666666665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0</v>
      </c>
      <c r="M84" s="62"/>
      <c r="N84" s="62">
        <v>0</v>
      </c>
      <c r="O84" s="62">
        <v>0</v>
      </c>
      <c r="P84" s="62"/>
      <c r="Q84" s="72">
        <f t="shared" si="9"/>
        <v>0</v>
      </c>
      <c r="R84" s="7"/>
      <c r="S84" s="7"/>
      <c r="T84" s="7"/>
      <c r="U84" s="7"/>
      <c r="V84" s="7"/>
      <c r="W84" s="72" t="str">
        <f t="shared" si="10"/>
        <v>A</v>
      </c>
      <c r="X84" s="7"/>
      <c r="Y84" s="7"/>
      <c r="Z84" s="7"/>
      <c r="AA84" s="7"/>
      <c r="AB84" s="7"/>
      <c r="AC84" s="72" t="str">
        <f t="shared" si="11"/>
        <v>A</v>
      </c>
      <c r="AD84" s="7"/>
      <c r="AE84" s="7"/>
      <c r="AF84" s="7"/>
      <c r="AG84" s="7"/>
      <c r="AH84" s="7"/>
      <c r="AI84" s="72" t="str">
        <f t="shared" si="12"/>
        <v>A</v>
      </c>
      <c r="AJ84" s="7"/>
      <c r="AK84" s="7"/>
      <c r="AL84" s="7"/>
      <c r="AM84" s="7"/>
      <c r="AN84" s="7"/>
      <c r="AO84" s="72" t="str">
        <f t="shared" si="13"/>
        <v>A</v>
      </c>
      <c r="AP84" s="7"/>
      <c r="AQ84" s="7"/>
      <c r="AR84" s="7"/>
      <c r="AS84" s="7"/>
      <c r="AT84" s="7"/>
      <c r="AU84" s="72" t="str">
        <f t="shared" si="14"/>
        <v>A</v>
      </c>
      <c r="AV84" s="7"/>
      <c r="AW84" s="7"/>
      <c r="AX84" s="62">
        <v>5</v>
      </c>
      <c r="AY84" s="62">
        <v>0</v>
      </c>
      <c r="AZ84" s="62">
        <v>3</v>
      </c>
      <c r="BA84" s="72">
        <f t="shared" si="15"/>
        <v>2.6666666666666665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2</v>
      </c>
      <c r="M85" s="62"/>
      <c r="N85" s="62">
        <v>2</v>
      </c>
      <c r="O85" s="62">
        <v>2</v>
      </c>
      <c r="P85" s="62"/>
      <c r="Q85" s="72">
        <f t="shared" si="9"/>
        <v>2</v>
      </c>
      <c r="R85" s="62"/>
      <c r="S85" s="62"/>
      <c r="T85" s="62"/>
      <c r="U85" s="62"/>
      <c r="V85" s="62"/>
      <c r="W85" s="72" t="str">
        <f t="shared" si="10"/>
        <v>A</v>
      </c>
      <c r="X85" s="62"/>
      <c r="Y85" s="62"/>
      <c r="Z85" s="62"/>
      <c r="AA85" s="62"/>
      <c r="AB85" s="62"/>
      <c r="AC85" s="72" t="str">
        <f t="shared" si="11"/>
        <v>A</v>
      </c>
      <c r="AD85" s="62"/>
      <c r="AE85" s="62"/>
      <c r="AF85" s="62"/>
      <c r="AG85" s="62"/>
      <c r="AH85" s="62"/>
      <c r="AI85" s="72" t="str">
        <f t="shared" si="12"/>
        <v>A</v>
      </c>
      <c r="AJ85" s="62"/>
      <c r="AK85" s="62"/>
      <c r="AL85" s="62"/>
      <c r="AM85" s="62"/>
      <c r="AN85" s="62"/>
      <c r="AO85" s="72" t="str">
        <f t="shared" si="13"/>
        <v>A</v>
      </c>
      <c r="AP85" s="62"/>
      <c r="AQ85" s="62"/>
      <c r="AR85" s="62"/>
      <c r="AS85" s="62"/>
      <c r="AT85" s="62"/>
      <c r="AU85" s="72" t="str">
        <f t="shared" si="14"/>
        <v>A</v>
      </c>
      <c r="AV85" s="62"/>
      <c r="AW85" s="62"/>
      <c r="AX85" s="62">
        <v>5</v>
      </c>
      <c r="AY85" s="62">
        <v>0</v>
      </c>
      <c r="AZ85" s="62">
        <v>1</v>
      </c>
      <c r="BA85" s="72">
        <f t="shared" si="15"/>
        <v>2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4</v>
      </c>
      <c r="M86" s="62"/>
      <c r="N86" s="62">
        <v>3</v>
      </c>
      <c r="O86" s="62">
        <v>3</v>
      </c>
      <c r="P86" s="62"/>
      <c r="Q86" s="72">
        <f t="shared" si="9"/>
        <v>3.3333333333333335</v>
      </c>
      <c r="R86" s="7"/>
      <c r="S86" s="7"/>
      <c r="T86" s="7"/>
      <c r="U86" s="7"/>
      <c r="V86" s="7"/>
      <c r="W86" s="72" t="str">
        <f t="shared" si="10"/>
        <v>A</v>
      </c>
      <c r="X86" s="7"/>
      <c r="Y86" s="7"/>
      <c r="Z86" s="7"/>
      <c r="AA86" s="7"/>
      <c r="AB86" s="7"/>
      <c r="AC86" s="72" t="str">
        <f t="shared" si="11"/>
        <v>A</v>
      </c>
      <c r="AD86" s="7"/>
      <c r="AE86" s="7"/>
      <c r="AF86" s="7"/>
      <c r="AG86" s="7"/>
      <c r="AH86" s="7"/>
      <c r="AI86" s="72" t="str">
        <f t="shared" si="12"/>
        <v>A</v>
      </c>
      <c r="AJ86" s="7"/>
      <c r="AK86" s="7"/>
      <c r="AL86" s="7"/>
      <c r="AM86" s="7"/>
      <c r="AN86" s="7"/>
      <c r="AO86" s="72" t="str">
        <f t="shared" si="13"/>
        <v>A</v>
      </c>
      <c r="AP86" s="7"/>
      <c r="AQ86" s="7"/>
      <c r="AR86" s="7"/>
      <c r="AS86" s="7"/>
      <c r="AT86" s="7"/>
      <c r="AU86" s="72" t="str">
        <f t="shared" si="14"/>
        <v>A</v>
      </c>
      <c r="AV86" s="7"/>
      <c r="AW86" s="7"/>
      <c r="AX86" s="62">
        <v>5</v>
      </c>
      <c r="AY86" s="62">
        <v>2</v>
      </c>
      <c r="AZ86" s="62">
        <v>3</v>
      </c>
      <c r="BA86" s="72">
        <f t="shared" si="15"/>
        <v>3.3333333333333335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0</v>
      </c>
      <c r="M87" s="62"/>
      <c r="N87" s="62">
        <v>0</v>
      </c>
      <c r="O87" s="62">
        <v>0</v>
      </c>
      <c r="P87" s="62"/>
      <c r="Q87" s="72">
        <f t="shared" si="9"/>
        <v>0</v>
      </c>
      <c r="R87" s="62"/>
      <c r="S87" s="62"/>
      <c r="T87" s="62"/>
      <c r="U87" s="62"/>
      <c r="V87" s="62"/>
      <c r="W87" s="72" t="str">
        <f t="shared" si="10"/>
        <v>A</v>
      </c>
      <c r="X87" s="62"/>
      <c r="Y87" s="62"/>
      <c r="Z87" s="62"/>
      <c r="AA87" s="62"/>
      <c r="AB87" s="62"/>
      <c r="AC87" s="72" t="str">
        <f t="shared" si="11"/>
        <v>A</v>
      </c>
      <c r="AD87" s="62"/>
      <c r="AE87" s="62"/>
      <c r="AF87" s="62"/>
      <c r="AG87" s="62"/>
      <c r="AH87" s="62"/>
      <c r="AI87" s="72" t="str">
        <f t="shared" si="12"/>
        <v>A</v>
      </c>
      <c r="AJ87" s="62"/>
      <c r="AK87" s="62"/>
      <c r="AL87" s="62"/>
      <c r="AM87" s="62"/>
      <c r="AN87" s="62"/>
      <c r="AO87" s="72" t="str">
        <f t="shared" si="13"/>
        <v>A</v>
      </c>
      <c r="AP87" s="62"/>
      <c r="AQ87" s="62"/>
      <c r="AR87" s="62"/>
      <c r="AS87" s="62"/>
      <c r="AT87" s="62"/>
      <c r="AU87" s="72" t="str">
        <f t="shared" si="14"/>
        <v>A</v>
      </c>
      <c r="AV87" s="62"/>
      <c r="AW87" s="62"/>
      <c r="AX87" s="62">
        <v>0</v>
      </c>
      <c r="AY87" s="62">
        <v>0</v>
      </c>
      <c r="AZ87" s="62">
        <v>0</v>
      </c>
      <c r="BA87" s="72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3</v>
      </c>
      <c r="M88" s="62"/>
      <c r="N88" s="62">
        <v>3</v>
      </c>
      <c r="O88" s="62">
        <v>3</v>
      </c>
      <c r="P88" s="62"/>
      <c r="Q88" s="72">
        <f t="shared" si="9"/>
        <v>3</v>
      </c>
      <c r="R88" s="7"/>
      <c r="S88" s="7"/>
      <c r="T88" s="7"/>
      <c r="U88" s="7"/>
      <c r="V88" s="7"/>
      <c r="W88" s="72" t="str">
        <f t="shared" si="10"/>
        <v>A</v>
      </c>
      <c r="X88" s="7"/>
      <c r="Y88" s="7"/>
      <c r="Z88" s="7"/>
      <c r="AA88" s="7"/>
      <c r="AB88" s="7"/>
      <c r="AC88" s="72" t="str">
        <f t="shared" si="11"/>
        <v>A</v>
      </c>
      <c r="AD88" s="7"/>
      <c r="AE88" s="7"/>
      <c r="AF88" s="7"/>
      <c r="AG88" s="7"/>
      <c r="AH88" s="7"/>
      <c r="AI88" s="72" t="str">
        <f t="shared" si="12"/>
        <v>A</v>
      </c>
      <c r="AJ88" s="7"/>
      <c r="AK88" s="7"/>
      <c r="AL88" s="7"/>
      <c r="AM88" s="7"/>
      <c r="AN88" s="7"/>
      <c r="AO88" s="72" t="str">
        <f t="shared" si="13"/>
        <v>A</v>
      </c>
      <c r="AP88" s="7"/>
      <c r="AQ88" s="7"/>
      <c r="AR88" s="7"/>
      <c r="AS88" s="7"/>
      <c r="AT88" s="7"/>
      <c r="AU88" s="72" t="str">
        <f t="shared" si="14"/>
        <v>A</v>
      </c>
      <c r="AV88" s="7"/>
      <c r="AW88" s="7"/>
      <c r="AX88" s="62">
        <v>5</v>
      </c>
      <c r="AY88" s="62">
        <v>0</v>
      </c>
      <c r="AZ88" s="62">
        <v>3</v>
      </c>
      <c r="BA88" s="72">
        <f t="shared" si="15"/>
        <v>2.6666666666666665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2</v>
      </c>
      <c r="M89" s="62"/>
      <c r="N89" s="62">
        <v>2</v>
      </c>
      <c r="O89" s="62">
        <v>2</v>
      </c>
      <c r="P89" s="62"/>
      <c r="Q89" s="72">
        <f t="shared" si="9"/>
        <v>2</v>
      </c>
      <c r="R89" s="62"/>
      <c r="S89" s="62"/>
      <c r="T89" s="62"/>
      <c r="U89" s="62"/>
      <c r="V89" s="62"/>
      <c r="W89" s="72" t="str">
        <f t="shared" si="10"/>
        <v>A</v>
      </c>
      <c r="X89" s="62"/>
      <c r="Y89" s="62"/>
      <c r="Z89" s="62"/>
      <c r="AA89" s="62"/>
      <c r="AB89" s="62"/>
      <c r="AC89" s="72" t="str">
        <f t="shared" si="11"/>
        <v>A</v>
      </c>
      <c r="AD89" s="62"/>
      <c r="AE89" s="62"/>
      <c r="AF89" s="62"/>
      <c r="AG89" s="62"/>
      <c r="AH89" s="62"/>
      <c r="AI89" s="72" t="str">
        <f t="shared" si="12"/>
        <v>A</v>
      </c>
      <c r="AJ89" s="62"/>
      <c r="AK89" s="62"/>
      <c r="AL89" s="62"/>
      <c r="AM89" s="62"/>
      <c r="AN89" s="62"/>
      <c r="AO89" s="72" t="str">
        <f t="shared" si="13"/>
        <v>A</v>
      </c>
      <c r="AP89" s="62"/>
      <c r="AQ89" s="62"/>
      <c r="AR89" s="62"/>
      <c r="AS89" s="62"/>
      <c r="AT89" s="62"/>
      <c r="AU89" s="72" t="str">
        <f t="shared" si="14"/>
        <v>A</v>
      </c>
      <c r="AV89" s="62"/>
      <c r="AW89" s="62"/>
      <c r="AX89" s="62">
        <v>2</v>
      </c>
      <c r="AY89" s="62">
        <v>2</v>
      </c>
      <c r="AZ89" s="62">
        <v>2</v>
      </c>
      <c r="BA89" s="72">
        <f t="shared" si="15"/>
        <v>2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0</v>
      </c>
      <c r="M90" s="62"/>
      <c r="N90" s="62">
        <v>0</v>
      </c>
      <c r="O90" s="62">
        <v>0</v>
      </c>
      <c r="P90" s="62"/>
      <c r="Q90" s="72">
        <f t="shared" si="9"/>
        <v>0</v>
      </c>
      <c r="R90" s="7"/>
      <c r="S90" s="7"/>
      <c r="T90" s="7"/>
      <c r="U90" s="7"/>
      <c r="V90" s="7"/>
      <c r="W90" s="72" t="str">
        <f t="shared" si="10"/>
        <v>A</v>
      </c>
      <c r="X90" s="7"/>
      <c r="Y90" s="7"/>
      <c r="Z90" s="7"/>
      <c r="AA90" s="7"/>
      <c r="AB90" s="7"/>
      <c r="AC90" s="72" t="str">
        <f t="shared" si="11"/>
        <v>A</v>
      </c>
      <c r="AD90" s="7"/>
      <c r="AE90" s="7"/>
      <c r="AF90" s="7"/>
      <c r="AG90" s="7"/>
      <c r="AH90" s="7"/>
      <c r="AI90" s="72" t="str">
        <f t="shared" si="12"/>
        <v>A</v>
      </c>
      <c r="AJ90" s="7"/>
      <c r="AK90" s="7"/>
      <c r="AL90" s="7"/>
      <c r="AM90" s="7"/>
      <c r="AN90" s="7"/>
      <c r="AO90" s="72" t="str">
        <f t="shared" si="13"/>
        <v>A</v>
      </c>
      <c r="AP90" s="7"/>
      <c r="AQ90" s="7"/>
      <c r="AR90" s="7"/>
      <c r="AS90" s="7"/>
      <c r="AT90" s="7"/>
      <c r="AU90" s="72" t="str">
        <f t="shared" si="14"/>
        <v>A</v>
      </c>
      <c r="AV90" s="7"/>
      <c r="AW90" s="7"/>
      <c r="AX90" s="62">
        <v>5</v>
      </c>
      <c r="AY90" s="62">
        <v>0</v>
      </c>
      <c r="AZ90" s="62">
        <v>3</v>
      </c>
      <c r="BA90" s="72">
        <f t="shared" si="15"/>
        <v>2.6666666666666665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3</v>
      </c>
      <c r="M91" s="62"/>
      <c r="N91" s="62">
        <v>3</v>
      </c>
      <c r="O91" s="62">
        <v>3</v>
      </c>
      <c r="P91" s="62"/>
      <c r="Q91" s="72">
        <f t="shared" si="9"/>
        <v>3</v>
      </c>
      <c r="R91" s="62"/>
      <c r="S91" s="62"/>
      <c r="T91" s="62"/>
      <c r="U91" s="62"/>
      <c r="V91" s="62"/>
      <c r="W91" s="72" t="str">
        <f t="shared" si="10"/>
        <v>A</v>
      </c>
      <c r="X91" s="62"/>
      <c r="Y91" s="62"/>
      <c r="Z91" s="62"/>
      <c r="AA91" s="62"/>
      <c r="AB91" s="62"/>
      <c r="AC91" s="72" t="str">
        <f t="shared" si="11"/>
        <v>A</v>
      </c>
      <c r="AD91" s="62"/>
      <c r="AE91" s="62"/>
      <c r="AF91" s="62"/>
      <c r="AG91" s="62"/>
      <c r="AH91" s="62"/>
      <c r="AI91" s="72" t="str">
        <f t="shared" si="12"/>
        <v>A</v>
      </c>
      <c r="AJ91" s="62"/>
      <c r="AK91" s="62"/>
      <c r="AL91" s="62"/>
      <c r="AM91" s="62"/>
      <c r="AN91" s="62"/>
      <c r="AO91" s="72" t="str">
        <f t="shared" si="13"/>
        <v>A</v>
      </c>
      <c r="AP91" s="62"/>
      <c r="AQ91" s="62"/>
      <c r="AR91" s="62"/>
      <c r="AS91" s="62"/>
      <c r="AT91" s="62"/>
      <c r="AU91" s="72" t="str">
        <f t="shared" si="14"/>
        <v>A</v>
      </c>
      <c r="AV91" s="62"/>
      <c r="AW91" s="62"/>
      <c r="AX91" s="62">
        <v>5</v>
      </c>
      <c r="AY91" s="62">
        <v>0</v>
      </c>
      <c r="AZ91" s="62">
        <v>1</v>
      </c>
      <c r="BA91" s="72">
        <f t="shared" si="15"/>
        <v>2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0</v>
      </c>
      <c r="M92" s="62"/>
      <c r="N92" s="62">
        <v>0</v>
      </c>
      <c r="O92" s="62">
        <v>0</v>
      </c>
      <c r="P92" s="62"/>
      <c r="Q92" s="72">
        <f t="shared" si="9"/>
        <v>0</v>
      </c>
      <c r="R92" s="7"/>
      <c r="S92" s="7"/>
      <c r="T92" s="7"/>
      <c r="U92" s="7"/>
      <c r="V92" s="7"/>
      <c r="W92" s="72" t="str">
        <f t="shared" si="10"/>
        <v>A</v>
      </c>
      <c r="X92" s="7"/>
      <c r="Y92" s="7"/>
      <c r="Z92" s="7"/>
      <c r="AA92" s="7"/>
      <c r="AB92" s="7"/>
      <c r="AC92" s="72" t="str">
        <f t="shared" si="11"/>
        <v>A</v>
      </c>
      <c r="AD92" s="7"/>
      <c r="AE92" s="7"/>
      <c r="AF92" s="7"/>
      <c r="AG92" s="7"/>
      <c r="AH92" s="7"/>
      <c r="AI92" s="72" t="str">
        <f t="shared" si="12"/>
        <v>A</v>
      </c>
      <c r="AJ92" s="7"/>
      <c r="AK92" s="7"/>
      <c r="AL92" s="7"/>
      <c r="AM92" s="7"/>
      <c r="AN92" s="7"/>
      <c r="AO92" s="72" t="str">
        <f t="shared" si="13"/>
        <v>A</v>
      </c>
      <c r="AP92" s="7"/>
      <c r="AQ92" s="7"/>
      <c r="AR92" s="7"/>
      <c r="AS92" s="7"/>
      <c r="AT92" s="7"/>
      <c r="AU92" s="72" t="str">
        <f t="shared" si="14"/>
        <v>A</v>
      </c>
      <c r="AV92" s="7"/>
      <c r="AW92" s="7"/>
      <c r="AX92" s="62">
        <v>0</v>
      </c>
      <c r="AY92" s="62">
        <v>0</v>
      </c>
      <c r="AZ92" s="62">
        <v>0</v>
      </c>
      <c r="BA92" s="72">
        <f t="shared" si="15"/>
        <v>0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0</v>
      </c>
      <c r="M93" s="62"/>
      <c r="N93" s="62">
        <v>0</v>
      </c>
      <c r="O93" s="62">
        <v>0</v>
      </c>
      <c r="P93" s="62"/>
      <c r="Q93" s="72">
        <f t="shared" si="9"/>
        <v>0</v>
      </c>
      <c r="R93" s="62"/>
      <c r="S93" s="62"/>
      <c r="T93" s="62"/>
      <c r="U93" s="62"/>
      <c r="V93" s="62"/>
      <c r="W93" s="72" t="str">
        <f t="shared" si="10"/>
        <v>A</v>
      </c>
      <c r="X93" s="62"/>
      <c r="Y93" s="62"/>
      <c r="Z93" s="62"/>
      <c r="AA93" s="62"/>
      <c r="AB93" s="62"/>
      <c r="AC93" s="72" t="str">
        <f t="shared" si="11"/>
        <v>A</v>
      </c>
      <c r="AD93" s="62"/>
      <c r="AE93" s="62"/>
      <c r="AF93" s="62"/>
      <c r="AG93" s="62"/>
      <c r="AH93" s="62"/>
      <c r="AI93" s="72" t="str">
        <f t="shared" si="12"/>
        <v>A</v>
      </c>
      <c r="AJ93" s="62"/>
      <c r="AK93" s="62"/>
      <c r="AL93" s="62"/>
      <c r="AM93" s="62"/>
      <c r="AN93" s="62"/>
      <c r="AO93" s="72" t="str">
        <f t="shared" si="13"/>
        <v>A</v>
      </c>
      <c r="AP93" s="62"/>
      <c r="AQ93" s="62"/>
      <c r="AR93" s="62"/>
      <c r="AS93" s="62"/>
      <c r="AT93" s="62"/>
      <c r="AU93" s="72" t="str">
        <f t="shared" si="14"/>
        <v>A</v>
      </c>
      <c r="AV93" s="62"/>
      <c r="AW93" s="62"/>
      <c r="AX93" s="62">
        <v>0</v>
      </c>
      <c r="AY93" s="62">
        <v>0</v>
      </c>
      <c r="AZ93" s="62">
        <v>0</v>
      </c>
      <c r="BA93" s="72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5</v>
      </c>
      <c r="M94" s="62"/>
      <c r="N94" s="62">
        <v>5</v>
      </c>
      <c r="O94" s="62">
        <v>4</v>
      </c>
      <c r="P94" s="62"/>
      <c r="Q94" s="72">
        <f t="shared" si="9"/>
        <v>4.666666666666667</v>
      </c>
      <c r="R94" s="7"/>
      <c r="S94" s="7"/>
      <c r="T94" s="7"/>
      <c r="U94" s="7"/>
      <c r="V94" s="7"/>
      <c r="W94" s="72" t="str">
        <f t="shared" si="10"/>
        <v>A</v>
      </c>
      <c r="X94" s="7"/>
      <c r="Y94" s="7"/>
      <c r="Z94" s="7"/>
      <c r="AA94" s="7"/>
      <c r="AB94" s="7"/>
      <c r="AC94" s="72" t="str">
        <f t="shared" si="11"/>
        <v>A</v>
      </c>
      <c r="AD94" s="7"/>
      <c r="AE94" s="7"/>
      <c r="AF94" s="7"/>
      <c r="AG94" s="7"/>
      <c r="AH94" s="7"/>
      <c r="AI94" s="72" t="str">
        <f t="shared" si="12"/>
        <v>A</v>
      </c>
      <c r="AJ94" s="7"/>
      <c r="AK94" s="7"/>
      <c r="AL94" s="7"/>
      <c r="AM94" s="7"/>
      <c r="AN94" s="7"/>
      <c r="AO94" s="72" t="str">
        <f t="shared" si="13"/>
        <v>A</v>
      </c>
      <c r="AP94" s="7"/>
      <c r="AQ94" s="7"/>
      <c r="AR94" s="7"/>
      <c r="AS94" s="7"/>
      <c r="AT94" s="7"/>
      <c r="AU94" s="72" t="str">
        <f t="shared" si="14"/>
        <v>A</v>
      </c>
      <c r="AV94" s="7"/>
      <c r="AW94" s="7"/>
      <c r="AX94" s="62">
        <v>5</v>
      </c>
      <c r="AY94" s="62">
        <v>0</v>
      </c>
      <c r="AZ94" s="62">
        <v>4</v>
      </c>
      <c r="BA94" s="72">
        <f t="shared" si="15"/>
        <v>3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3</v>
      </c>
      <c r="M95" s="62"/>
      <c r="N95" s="62">
        <v>3</v>
      </c>
      <c r="O95" s="62">
        <v>2</v>
      </c>
      <c r="P95" s="62"/>
      <c r="Q95" s="72">
        <f t="shared" si="9"/>
        <v>2.6666666666666665</v>
      </c>
      <c r="R95" s="62"/>
      <c r="S95" s="62"/>
      <c r="T95" s="62"/>
      <c r="U95" s="62"/>
      <c r="V95" s="62"/>
      <c r="W95" s="72" t="str">
        <f t="shared" si="10"/>
        <v>A</v>
      </c>
      <c r="X95" s="62"/>
      <c r="Y95" s="62"/>
      <c r="Z95" s="62"/>
      <c r="AA95" s="62"/>
      <c r="AB95" s="62"/>
      <c r="AC95" s="72" t="str">
        <f t="shared" si="11"/>
        <v>A</v>
      </c>
      <c r="AD95" s="62"/>
      <c r="AE95" s="62"/>
      <c r="AF95" s="62"/>
      <c r="AG95" s="62"/>
      <c r="AH95" s="62"/>
      <c r="AI95" s="72" t="str">
        <f t="shared" si="12"/>
        <v>A</v>
      </c>
      <c r="AJ95" s="62"/>
      <c r="AK95" s="62"/>
      <c r="AL95" s="62"/>
      <c r="AM95" s="62"/>
      <c r="AN95" s="62"/>
      <c r="AO95" s="72" t="str">
        <f t="shared" si="13"/>
        <v>A</v>
      </c>
      <c r="AP95" s="62"/>
      <c r="AQ95" s="62"/>
      <c r="AR95" s="62"/>
      <c r="AS95" s="62"/>
      <c r="AT95" s="62"/>
      <c r="AU95" s="72" t="str">
        <f t="shared" si="14"/>
        <v>A</v>
      </c>
      <c r="AV95" s="62"/>
      <c r="AW95" s="62"/>
      <c r="AX95" s="62">
        <v>5</v>
      </c>
      <c r="AY95" s="62">
        <v>2</v>
      </c>
      <c r="AZ95" s="62">
        <v>2</v>
      </c>
      <c r="BA95" s="72">
        <f t="shared" si="15"/>
        <v>3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2</v>
      </c>
      <c r="M96" s="62"/>
      <c r="N96" s="62">
        <v>3</v>
      </c>
      <c r="O96" s="62">
        <v>3</v>
      </c>
      <c r="P96" s="62"/>
      <c r="Q96" s="72">
        <f t="shared" si="9"/>
        <v>2.6666666666666665</v>
      </c>
      <c r="R96" s="7"/>
      <c r="S96" s="7"/>
      <c r="T96" s="7"/>
      <c r="U96" s="7"/>
      <c r="V96" s="7"/>
      <c r="W96" s="72" t="str">
        <f t="shared" si="10"/>
        <v>A</v>
      </c>
      <c r="X96" s="7"/>
      <c r="Y96" s="7"/>
      <c r="Z96" s="7"/>
      <c r="AA96" s="7"/>
      <c r="AB96" s="7"/>
      <c r="AC96" s="72" t="str">
        <f t="shared" si="11"/>
        <v>A</v>
      </c>
      <c r="AD96" s="7"/>
      <c r="AE96" s="7"/>
      <c r="AF96" s="7"/>
      <c r="AG96" s="7"/>
      <c r="AH96" s="7"/>
      <c r="AI96" s="72" t="str">
        <f t="shared" si="12"/>
        <v>A</v>
      </c>
      <c r="AJ96" s="7"/>
      <c r="AK96" s="7"/>
      <c r="AL96" s="7"/>
      <c r="AM96" s="7"/>
      <c r="AN96" s="7"/>
      <c r="AO96" s="72" t="str">
        <f t="shared" si="13"/>
        <v>A</v>
      </c>
      <c r="AP96" s="7"/>
      <c r="AQ96" s="7"/>
      <c r="AR96" s="7"/>
      <c r="AS96" s="7"/>
      <c r="AT96" s="7"/>
      <c r="AU96" s="72" t="str">
        <f t="shared" si="14"/>
        <v>A</v>
      </c>
      <c r="AV96" s="7"/>
      <c r="AW96" s="7"/>
      <c r="AX96" s="62">
        <v>5</v>
      </c>
      <c r="AY96" s="62">
        <v>0</v>
      </c>
      <c r="AZ96" s="62">
        <v>2</v>
      </c>
      <c r="BA96" s="72">
        <f t="shared" si="15"/>
        <v>2.3333333333333335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3</v>
      </c>
      <c r="M97" s="62"/>
      <c r="N97" s="62">
        <v>3</v>
      </c>
      <c r="O97" s="62">
        <v>3</v>
      </c>
      <c r="P97" s="62"/>
      <c r="Q97" s="72">
        <f t="shared" si="9"/>
        <v>3</v>
      </c>
      <c r="R97" s="62"/>
      <c r="S97" s="62"/>
      <c r="T97" s="62"/>
      <c r="U97" s="62"/>
      <c r="V97" s="62"/>
      <c r="W97" s="72" t="str">
        <f t="shared" si="10"/>
        <v>A</v>
      </c>
      <c r="X97" s="62"/>
      <c r="Y97" s="62"/>
      <c r="Z97" s="62"/>
      <c r="AA97" s="62"/>
      <c r="AB97" s="62"/>
      <c r="AC97" s="72" t="str">
        <f t="shared" si="11"/>
        <v>A</v>
      </c>
      <c r="AD97" s="62"/>
      <c r="AE97" s="62"/>
      <c r="AF97" s="62"/>
      <c r="AG97" s="62"/>
      <c r="AH97" s="62"/>
      <c r="AI97" s="72" t="str">
        <f t="shared" si="12"/>
        <v>A</v>
      </c>
      <c r="AJ97" s="62"/>
      <c r="AK97" s="62"/>
      <c r="AL97" s="62"/>
      <c r="AM97" s="62"/>
      <c r="AN97" s="62"/>
      <c r="AO97" s="72" t="str">
        <f t="shared" si="13"/>
        <v>A</v>
      </c>
      <c r="AP97" s="62"/>
      <c r="AQ97" s="62"/>
      <c r="AR97" s="62"/>
      <c r="AS97" s="62"/>
      <c r="AT97" s="62"/>
      <c r="AU97" s="72" t="str">
        <f t="shared" si="14"/>
        <v>A</v>
      </c>
      <c r="AV97" s="62"/>
      <c r="AW97" s="62"/>
      <c r="AX97" s="62">
        <v>5</v>
      </c>
      <c r="AY97" s="62">
        <v>0</v>
      </c>
      <c r="AZ97" s="62">
        <v>3</v>
      </c>
      <c r="BA97" s="72">
        <f t="shared" si="15"/>
        <v>2.6666666666666665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2</v>
      </c>
      <c r="M98" s="62"/>
      <c r="N98" s="62">
        <v>2</v>
      </c>
      <c r="O98" s="62">
        <v>2</v>
      </c>
      <c r="P98" s="62"/>
      <c r="Q98" s="72">
        <f t="shared" si="9"/>
        <v>2</v>
      </c>
      <c r="R98" s="7"/>
      <c r="S98" s="7"/>
      <c r="T98" s="7"/>
      <c r="U98" s="7"/>
      <c r="V98" s="7"/>
      <c r="W98" s="72" t="str">
        <f t="shared" si="10"/>
        <v>A</v>
      </c>
      <c r="X98" s="7"/>
      <c r="Y98" s="7"/>
      <c r="Z98" s="7"/>
      <c r="AA98" s="7"/>
      <c r="AB98" s="7"/>
      <c r="AC98" s="72" t="str">
        <f t="shared" si="11"/>
        <v>A</v>
      </c>
      <c r="AD98" s="7"/>
      <c r="AE98" s="7"/>
      <c r="AF98" s="7"/>
      <c r="AG98" s="7"/>
      <c r="AH98" s="7"/>
      <c r="AI98" s="72" t="str">
        <f t="shared" si="12"/>
        <v>A</v>
      </c>
      <c r="AJ98" s="7"/>
      <c r="AK98" s="7"/>
      <c r="AL98" s="7"/>
      <c r="AM98" s="7"/>
      <c r="AN98" s="7"/>
      <c r="AO98" s="72" t="str">
        <f t="shared" si="13"/>
        <v>A</v>
      </c>
      <c r="AP98" s="7"/>
      <c r="AQ98" s="7"/>
      <c r="AR98" s="7"/>
      <c r="AS98" s="7"/>
      <c r="AT98" s="7"/>
      <c r="AU98" s="72" t="str">
        <f t="shared" si="14"/>
        <v>A</v>
      </c>
      <c r="AV98" s="7"/>
      <c r="AW98" s="7"/>
      <c r="AX98" s="62">
        <v>2</v>
      </c>
      <c r="AY98" s="62">
        <v>2</v>
      </c>
      <c r="AZ98" s="62">
        <v>2</v>
      </c>
      <c r="BA98" s="72">
        <f t="shared" si="15"/>
        <v>2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0</v>
      </c>
      <c r="M99" s="62"/>
      <c r="N99" s="62">
        <v>0</v>
      </c>
      <c r="O99" s="62">
        <v>0</v>
      </c>
      <c r="P99" s="62"/>
      <c r="Q99" s="72">
        <f t="shared" si="9"/>
        <v>0</v>
      </c>
      <c r="R99" s="62"/>
      <c r="S99" s="62"/>
      <c r="T99" s="62"/>
      <c r="U99" s="62"/>
      <c r="V99" s="62"/>
      <c r="W99" s="72" t="str">
        <f t="shared" si="10"/>
        <v>A</v>
      </c>
      <c r="X99" s="62"/>
      <c r="Y99" s="62"/>
      <c r="Z99" s="62"/>
      <c r="AA99" s="62"/>
      <c r="AB99" s="62"/>
      <c r="AC99" s="72" t="str">
        <f t="shared" si="11"/>
        <v>A</v>
      </c>
      <c r="AD99" s="62"/>
      <c r="AE99" s="62"/>
      <c r="AF99" s="62"/>
      <c r="AG99" s="62"/>
      <c r="AH99" s="62"/>
      <c r="AI99" s="72" t="str">
        <f t="shared" si="12"/>
        <v>A</v>
      </c>
      <c r="AJ99" s="62"/>
      <c r="AK99" s="62"/>
      <c r="AL99" s="62"/>
      <c r="AM99" s="62"/>
      <c r="AN99" s="62"/>
      <c r="AO99" s="72" t="str">
        <f t="shared" si="13"/>
        <v>A</v>
      </c>
      <c r="AP99" s="62"/>
      <c r="AQ99" s="62"/>
      <c r="AR99" s="62"/>
      <c r="AS99" s="62"/>
      <c r="AT99" s="62"/>
      <c r="AU99" s="72" t="str">
        <f t="shared" si="14"/>
        <v>A</v>
      </c>
      <c r="AV99" s="62"/>
      <c r="AW99" s="62"/>
      <c r="AX99" s="62">
        <v>0</v>
      </c>
      <c r="AY99" s="62">
        <v>0</v>
      </c>
      <c r="AZ99" s="62">
        <v>0</v>
      </c>
      <c r="BA99" s="72">
        <f t="shared" si="15"/>
        <v>0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3</v>
      </c>
      <c r="M100" s="62"/>
      <c r="N100" s="62">
        <v>3</v>
      </c>
      <c r="O100" s="62">
        <v>3</v>
      </c>
      <c r="P100" s="62"/>
      <c r="Q100" s="72">
        <f t="shared" si="9"/>
        <v>3</v>
      </c>
      <c r="R100" s="7"/>
      <c r="S100" s="7"/>
      <c r="T100" s="7"/>
      <c r="U100" s="7"/>
      <c r="V100" s="7"/>
      <c r="W100" s="72" t="str">
        <f t="shared" si="10"/>
        <v>A</v>
      </c>
      <c r="X100" s="7"/>
      <c r="Y100" s="7"/>
      <c r="Z100" s="7"/>
      <c r="AA100" s="7"/>
      <c r="AB100" s="7"/>
      <c r="AC100" s="72" t="str">
        <f t="shared" si="11"/>
        <v>A</v>
      </c>
      <c r="AD100" s="7"/>
      <c r="AE100" s="7"/>
      <c r="AF100" s="7"/>
      <c r="AG100" s="7"/>
      <c r="AH100" s="7"/>
      <c r="AI100" s="72" t="str">
        <f t="shared" si="12"/>
        <v>A</v>
      </c>
      <c r="AJ100" s="7"/>
      <c r="AK100" s="7"/>
      <c r="AL100" s="7"/>
      <c r="AM100" s="7"/>
      <c r="AN100" s="7"/>
      <c r="AO100" s="72" t="str">
        <f t="shared" si="13"/>
        <v>A</v>
      </c>
      <c r="AP100" s="7"/>
      <c r="AQ100" s="7"/>
      <c r="AR100" s="7"/>
      <c r="AS100" s="7"/>
      <c r="AT100" s="7"/>
      <c r="AU100" s="72" t="str">
        <f t="shared" si="14"/>
        <v>A</v>
      </c>
      <c r="AV100" s="7"/>
      <c r="AW100" s="7"/>
      <c r="AX100" s="62">
        <v>5</v>
      </c>
      <c r="AY100" s="62">
        <v>2</v>
      </c>
      <c r="AZ100" s="62">
        <v>3</v>
      </c>
      <c r="BA100" s="72">
        <f t="shared" si="15"/>
        <v>3.3333333333333335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3</v>
      </c>
      <c r="M101" s="62"/>
      <c r="N101" s="62">
        <v>3</v>
      </c>
      <c r="O101" s="62">
        <v>2</v>
      </c>
      <c r="P101" s="62"/>
      <c r="Q101" s="72">
        <f t="shared" si="9"/>
        <v>2.6666666666666665</v>
      </c>
      <c r="R101" s="62"/>
      <c r="S101" s="62"/>
      <c r="T101" s="62"/>
      <c r="U101" s="62"/>
      <c r="V101" s="62"/>
      <c r="W101" s="72" t="str">
        <f t="shared" si="10"/>
        <v>A</v>
      </c>
      <c r="X101" s="62"/>
      <c r="Y101" s="62"/>
      <c r="Z101" s="62"/>
      <c r="AA101" s="62"/>
      <c r="AB101" s="62"/>
      <c r="AC101" s="72" t="str">
        <f t="shared" si="11"/>
        <v>A</v>
      </c>
      <c r="AD101" s="62"/>
      <c r="AE101" s="62"/>
      <c r="AF101" s="62"/>
      <c r="AG101" s="62"/>
      <c r="AH101" s="62"/>
      <c r="AI101" s="72" t="str">
        <f t="shared" si="12"/>
        <v>A</v>
      </c>
      <c r="AJ101" s="62"/>
      <c r="AK101" s="62"/>
      <c r="AL101" s="62"/>
      <c r="AM101" s="62"/>
      <c r="AN101" s="62"/>
      <c r="AO101" s="72" t="str">
        <f t="shared" si="13"/>
        <v>A</v>
      </c>
      <c r="AP101" s="62"/>
      <c r="AQ101" s="62"/>
      <c r="AR101" s="62"/>
      <c r="AS101" s="62"/>
      <c r="AT101" s="62"/>
      <c r="AU101" s="72" t="str">
        <f t="shared" si="14"/>
        <v>A</v>
      </c>
      <c r="AV101" s="62"/>
      <c r="AW101" s="62"/>
      <c r="AX101" s="62">
        <v>5</v>
      </c>
      <c r="AY101" s="62">
        <v>0</v>
      </c>
      <c r="AZ101" s="62">
        <v>2</v>
      </c>
      <c r="BA101" s="72">
        <f t="shared" si="15"/>
        <v>2.3333333333333335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0</v>
      </c>
      <c r="M102" s="62"/>
      <c r="N102" s="62">
        <v>0</v>
      </c>
      <c r="O102" s="62">
        <v>0</v>
      </c>
      <c r="P102" s="62"/>
      <c r="Q102" s="72">
        <f t="shared" si="9"/>
        <v>0</v>
      </c>
      <c r="R102" s="7"/>
      <c r="S102" s="7"/>
      <c r="T102" s="7"/>
      <c r="U102" s="7"/>
      <c r="V102" s="7"/>
      <c r="W102" s="72" t="str">
        <f t="shared" si="10"/>
        <v>A</v>
      </c>
      <c r="X102" s="7"/>
      <c r="Y102" s="7"/>
      <c r="Z102" s="7"/>
      <c r="AA102" s="7"/>
      <c r="AB102" s="7"/>
      <c r="AC102" s="72" t="str">
        <f t="shared" si="11"/>
        <v>A</v>
      </c>
      <c r="AD102" s="7"/>
      <c r="AE102" s="7"/>
      <c r="AF102" s="7"/>
      <c r="AG102" s="7"/>
      <c r="AH102" s="7"/>
      <c r="AI102" s="72" t="str">
        <f t="shared" si="12"/>
        <v>A</v>
      </c>
      <c r="AJ102" s="7"/>
      <c r="AK102" s="7"/>
      <c r="AL102" s="7"/>
      <c r="AM102" s="7"/>
      <c r="AN102" s="7"/>
      <c r="AO102" s="72" t="str">
        <f t="shared" si="13"/>
        <v>A</v>
      </c>
      <c r="AP102" s="7"/>
      <c r="AQ102" s="7"/>
      <c r="AR102" s="7"/>
      <c r="AS102" s="7"/>
      <c r="AT102" s="7"/>
      <c r="AU102" s="72" t="str">
        <f t="shared" si="14"/>
        <v>A</v>
      </c>
      <c r="AV102" s="7"/>
      <c r="AW102" s="7"/>
      <c r="AX102" s="62">
        <v>0</v>
      </c>
      <c r="AY102" s="62">
        <v>0</v>
      </c>
      <c r="AZ102" s="62">
        <v>0</v>
      </c>
      <c r="BA102" s="72">
        <f t="shared" si="15"/>
        <v>0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5</v>
      </c>
      <c r="M103" s="62"/>
      <c r="N103" s="62">
        <v>5</v>
      </c>
      <c r="O103" s="62">
        <v>4</v>
      </c>
      <c r="P103" s="62"/>
      <c r="Q103" s="72">
        <f t="shared" si="9"/>
        <v>4.666666666666667</v>
      </c>
      <c r="R103" s="62"/>
      <c r="S103" s="62"/>
      <c r="T103" s="62"/>
      <c r="U103" s="62"/>
      <c r="V103" s="62"/>
      <c r="W103" s="72" t="str">
        <f t="shared" si="10"/>
        <v>A</v>
      </c>
      <c r="X103" s="62"/>
      <c r="Y103" s="62"/>
      <c r="Z103" s="62"/>
      <c r="AA103" s="62"/>
      <c r="AB103" s="62"/>
      <c r="AC103" s="72" t="str">
        <f t="shared" si="11"/>
        <v>A</v>
      </c>
      <c r="AD103" s="62"/>
      <c r="AE103" s="62"/>
      <c r="AF103" s="62"/>
      <c r="AG103" s="62"/>
      <c r="AH103" s="62"/>
      <c r="AI103" s="72" t="str">
        <f t="shared" si="12"/>
        <v>A</v>
      </c>
      <c r="AJ103" s="62"/>
      <c r="AK103" s="62"/>
      <c r="AL103" s="62"/>
      <c r="AM103" s="62"/>
      <c r="AN103" s="62"/>
      <c r="AO103" s="72" t="str">
        <f t="shared" si="13"/>
        <v>A</v>
      </c>
      <c r="AP103" s="62"/>
      <c r="AQ103" s="62"/>
      <c r="AR103" s="62"/>
      <c r="AS103" s="62"/>
      <c r="AT103" s="62"/>
      <c r="AU103" s="72" t="str">
        <f t="shared" si="14"/>
        <v>A</v>
      </c>
      <c r="AV103" s="62"/>
      <c r="AW103" s="62"/>
      <c r="AX103" s="62">
        <v>5</v>
      </c>
      <c r="AY103" s="62">
        <v>2</v>
      </c>
      <c r="AZ103" s="62">
        <v>4</v>
      </c>
      <c r="BA103" s="72">
        <f t="shared" si="15"/>
        <v>3.6666666666666665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3</v>
      </c>
      <c r="M104" s="62"/>
      <c r="N104" s="62">
        <v>3</v>
      </c>
      <c r="O104" s="62">
        <v>3</v>
      </c>
      <c r="P104" s="62"/>
      <c r="Q104" s="72">
        <f t="shared" si="9"/>
        <v>3</v>
      </c>
      <c r="R104" s="7"/>
      <c r="S104" s="7"/>
      <c r="T104" s="7"/>
      <c r="U104" s="7"/>
      <c r="V104" s="7"/>
      <c r="W104" s="72" t="str">
        <f t="shared" si="10"/>
        <v>A</v>
      </c>
      <c r="X104" s="7"/>
      <c r="Y104" s="7"/>
      <c r="Z104" s="7"/>
      <c r="AA104" s="7"/>
      <c r="AB104" s="7"/>
      <c r="AC104" s="72" t="str">
        <f t="shared" si="11"/>
        <v>A</v>
      </c>
      <c r="AD104" s="7"/>
      <c r="AE104" s="7"/>
      <c r="AF104" s="7"/>
      <c r="AG104" s="7"/>
      <c r="AH104" s="7"/>
      <c r="AI104" s="72" t="str">
        <f t="shared" si="12"/>
        <v>A</v>
      </c>
      <c r="AJ104" s="7"/>
      <c r="AK104" s="7"/>
      <c r="AL104" s="7"/>
      <c r="AM104" s="7"/>
      <c r="AN104" s="7"/>
      <c r="AO104" s="72" t="str">
        <f t="shared" si="13"/>
        <v>A</v>
      </c>
      <c r="AP104" s="7"/>
      <c r="AQ104" s="7"/>
      <c r="AR104" s="7"/>
      <c r="AS104" s="7"/>
      <c r="AT104" s="7"/>
      <c r="AU104" s="72" t="str">
        <f t="shared" si="14"/>
        <v>A</v>
      </c>
      <c r="AV104" s="7"/>
      <c r="AW104" s="7"/>
      <c r="AX104" s="62">
        <v>5</v>
      </c>
      <c r="AY104" s="62">
        <v>2</v>
      </c>
      <c r="AZ104" s="62">
        <v>3</v>
      </c>
      <c r="BA104" s="72">
        <f t="shared" si="15"/>
        <v>3.3333333333333335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3</v>
      </c>
      <c r="M105" s="62"/>
      <c r="N105" s="62">
        <v>3</v>
      </c>
      <c r="O105" s="62">
        <v>2</v>
      </c>
      <c r="P105" s="62"/>
      <c r="Q105" s="72">
        <f t="shared" si="9"/>
        <v>2.6666666666666665</v>
      </c>
      <c r="R105" s="62"/>
      <c r="S105" s="62"/>
      <c r="T105" s="62"/>
      <c r="U105" s="62"/>
      <c r="V105" s="62"/>
      <c r="W105" s="72" t="str">
        <f t="shared" si="10"/>
        <v>A</v>
      </c>
      <c r="X105" s="62"/>
      <c r="Y105" s="62"/>
      <c r="Z105" s="62"/>
      <c r="AA105" s="62"/>
      <c r="AB105" s="62"/>
      <c r="AC105" s="72" t="str">
        <f t="shared" si="11"/>
        <v>A</v>
      </c>
      <c r="AD105" s="62"/>
      <c r="AE105" s="62"/>
      <c r="AF105" s="62"/>
      <c r="AG105" s="62"/>
      <c r="AH105" s="62"/>
      <c r="AI105" s="72" t="str">
        <f t="shared" si="12"/>
        <v>A</v>
      </c>
      <c r="AJ105" s="62"/>
      <c r="AK105" s="62"/>
      <c r="AL105" s="62"/>
      <c r="AM105" s="62"/>
      <c r="AN105" s="62"/>
      <c r="AO105" s="72" t="str">
        <f t="shared" si="13"/>
        <v>A</v>
      </c>
      <c r="AP105" s="62"/>
      <c r="AQ105" s="62"/>
      <c r="AR105" s="62"/>
      <c r="AS105" s="62"/>
      <c r="AT105" s="62"/>
      <c r="AU105" s="72" t="str">
        <f t="shared" si="14"/>
        <v>A</v>
      </c>
      <c r="AV105" s="62"/>
      <c r="AW105" s="62"/>
      <c r="AX105" s="62">
        <v>5</v>
      </c>
      <c r="AY105" s="62">
        <v>0</v>
      </c>
      <c r="AZ105" s="62">
        <v>1</v>
      </c>
      <c r="BA105" s="72">
        <f t="shared" si="15"/>
        <v>2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0</v>
      </c>
      <c r="M106" s="62"/>
      <c r="N106" s="62">
        <v>0</v>
      </c>
      <c r="O106" s="62">
        <v>0</v>
      </c>
      <c r="P106" s="62"/>
      <c r="Q106" s="72">
        <f t="shared" si="9"/>
        <v>0</v>
      </c>
      <c r="R106" s="7"/>
      <c r="S106" s="7"/>
      <c r="T106" s="7"/>
      <c r="U106" s="7"/>
      <c r="V106" s="7"/>
      <c r="W106" s="72" t="str">
        <f t="shared" si="10"/>
        <v>A</v>
      </c>
      <c r="X106" s="7"/>
      <c r="Y106" s="7"/>
      <c r="Z106" s="7"/>
      <c r="AA106" s="7"/>
      <c r="AB106" s="7"/>
      <c r="AC106" s="72" t="str">
        <f t="shared" si="11"/>
        <v>A</v>
      </c>
      <c r="AD106" s="7"/>
      <c r="AE106" s="7"/>
      <c r="AF106" s="7"/>
      <c r="AG106" s="7"/>
      <c r="AH106" s="7"/>
      <c r="AI106" s="72" t="str">
        <f t="shared" si="12"/>
        <v>A</v>
      </c>
      <c r="AJ106" s="7"/>
      <c r="AK106" s="7"/>
      <c r="AL106" s="7"/>
      <c r="AM106" s="7"/>
      <c r="AN106" s="7"/>
      <c r="AO106" s="72" t="str">
        <f t="shared" si="13"/>
        <v>A</v>
      </c>
      <c r="AP106" s="7"/>
      <c r="AQ106" s="7"/>
      <c r="AR106" s="7"/>
      <c r="AS106" s="7"/>
      <c r="AT106" s="7"/>
      <c r="AU106" s="72" t="str">
        <f t="shared" si="14"/>
        <v>A</v>
      </c>
      <c r="AV106" s="7"/>
      <c r="AW106" s="7"/>
      <c r="AX106" s="62">
        <v>0</v>
      </c>
      <c r="AY106" s="62">
        <v>0</v>
      </c>
      <c r="AZ106" s="62">
        <v>0</v>
      </c>
      <c r="BA106" s="72">
        <f t="shared" si="15"/>
        <v>0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4</v>
      </c>
      <c r="M107" s="62"/>
      <c r="N107" s="62">
        <v>4</v>
      </c>
      <c r="O107" s="62">
        <v>4</v>
      </c>
      <c r="P107" s="62"/>
      <c r="Q107" s="72">
        <f t="shared" si="9"/>
        <v>4</v>
      </c>
      <c r="R107" s="62"/>
      <c r="S107" s="62"/>
      <c r="T107" s="62"/>
      <c r="U107" s="62"/>
      <c r="V107" s="62"/>
      <c r="W107" s="72" t="str">
        <f t="shared" si="10"/>
        <v>A</v>
      </c>
      <c r="X107" s="62"/>
      <c r="Y107" s="62"/>
      <c r="Z107" s="62"/>
      <c r="AA107" s="62"/>
      <c r="AB107" s="62"/>
      <c r="AC107" s="72" t="str">
        <f t="shared" si="11"/>
        <v>A</v>
      </c>
      <c r="AD107" s="62"/>
      <c r="AE107" s="62"/>
      <c r="AF107" s="62"/>
      <c r="AG107" s="62"/>
      <c r="AH107" s="62"/>
      <c r="AI107" s="72" t="str">
        <f t="shared" si="12"/>
        <v>A</v>
      </c>
      <c r="AJ107" s="62"/>
      <c r="AK107" s="62"/>
      <c r="AL107" s="62"/>
      <c r="AM107" s="62"/>
      <c r="AN107" s="62"/>
      <c r="AO107" s="72" t="str">
        <f t="shared" si="13"/>
        <v>A</v>
      </c>
      <c r="AP107" s="62"/>
      <c r="AQ107" s="62"/>
      <c r="AR107" s="62"/>
      <c r="AS107" s="62"/>
      <c r="AT107" s="62"/>
      <c r="AU107" s="72" t="str">
        <f t="shared" si="14"/>
        <v>A</v>
      </c>
      <c r="AV107" s="62"/>
      <c r="AW107" s="62"/>
      <c r="AX107" s="62">
        <v>5</v>
      </c>
      <c r="AY107" s="62">
        <v>0</v>
      </c>
      <c r="AZ107" s="62">
        <v>5</v>
      </c>
      <c r="BA107" s="72">
        <f t="shared" si="15"/>
        <v>3.3333333333333335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2</v>
      </c>
      <c r="M108" s="62"/>
      <c r="N108" s="62">
        <v>2</v>
      </c>
      <c r="O108" s="62">
        <v>2</v>
      </c>
      <c r="P108" s="62"/>
      <c r="Q108" s="72">
        <f t="shared" si="9"/>
        <v>2</v>
      </c>
      <c r="R108" s="7"/>
      <c r="S108" s="7"/>
      <c r="T108" s="7"/>
      <c r="U108" s="7"/>
      <c r="V108" s="7"/>
      <c r="W108" s="72" t="str">
        <f t="shared" si="10"/>
        <v>A</v>
      </c>
      <c r="X108" s="7"/>
      <c r="Y108" s="7"/>
      <c r="Z108" s="7"/>
      <c r="AA108" s="7"/>
      <c r="AB108" s="7"/>
      <c r="AC108" s="72" t="str">
        <f t="shared" si="11"/>
        <v>A</v>
      </c>
      <c r="AD108" s="7"/>
      <c r="AE108" s="7"/>
      <c r="AF108" s="7"/>
      <c r="AG108" s="7"/>
      <c r="AH108" s="7"/>
      <c r="AI108" s="72" t="str">
        <f t="shared" si="12"/>
        <v>A</v>
      </c>
      <c r="AJ108" s="7"/>
      <c r="AK108" s="7"/>
      <c r="AL108" s="7"/>
      <c r="AM108" s="7"/>
      <c r="AN108" s="7"/>
      <c r="AO108" s="72" t="str">
        <f t="shared" si="13"/>
        <v>A</v>
      </c>
      <c r="AP108" s="7"/>
      <c r="AQ108" s="7"/>
      <c r="AR108" s="7"/>
      <c r="AS108" s="7"/>
      <c r="AT108" s="7"/>
      <c r="AU108" s="72" t="str">
        <f t="shared" si="14"/>
        <v>A</v>
      </c>
      <c r="AV108" s="7"/>
      <c r="AW108" s="7"/>
      <c r="AX108" s="62">
        <v>2</v>
      </c>
      <c r="AY108" s="62">
        <v>2</v>
      </c>
      <c r="AZ108" s="62">
        <v>2</v>
      </c>
      <c r="BA108" s="72">
        <f t="shared" si="15"/>
        <v>2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3</v>
      </c>
      <c r="M109" s="62"/>
      <c r="N109" s="62">
        <v>3</v>
      </c>
      <c r="O109" s="62">
        <v>2</v>
      </c>
      <c r="P109" s="62"/>
      <c r="Q109" s="72">
        <f t="shared" si="9"/>
        <v>2.6666666666666665</v>
      </c>
      <c r="R109" s="62"/>
      <c r="S109" s="62"/>
      <c r="T109" s="62"/>
      <c r="U109" s="62"/>
      <c r="V109" s="62"/>
      <c r="W109" s="72" t="str">
        <f t="shared" si="10"/>
        <v>A</v>
      </c>
      <c r="X109" s="62"/>
      <c r="Y109" s="62"/>
      <c r="Z109" s="62"/>
      <c r="AA109" s="62"/>
      <c r="AB109" s="62"/>
      <c r="AC109" s="72" t="str">
        <f t="shared" si="11"/>
        <v>A</v>
      </c>
      <c r="AD109" s="62"/>
      <c r="AE109" s="62"/>
      <c r="AF109" s="62"/>
      <c r="AG109" s="62"/>
      <c r="AH109" s="62"/>
      <c r="AI109" s="72" t="str">
        <f t="shared" si="12"/>
        <v>A</v>
      </c>
      <c r="AJ109" s="62"/>
      <c r="AK109" s="62"/>
      <c r="AL109" s="62"/>
      <c r="AM109" s="62"/>
      <c r="AN109" s="62"/>
      <c r="AO109" s="72" t="str">
        <f t="shared" si="13"/>
        <v>A</v>
      </c>
      <c r="AP109" s="62"/>
      <c r="AQ109" s="62"/>
      <c r="AR109" s="62"/>
      <c r="AS109" s="62"/>
      <c r="AT109" s="62"/>
      <c r="AU109" s="72" t="str">
        <f t="shared" si="14"/>
        <v>A</v>
      </c>
      <c r="AV109" s="62"/>
      <c r="AW109" s="62"/>
      <c r="AX109" s="62">
        <v>5</v>
      </c>
      <c r="AY109" s="62">
        <v>2</v>
      </c>
      <c r="AZ109" s="62">
        <v>2</v>
      </c>
      <c r="BA109" s="72">
        <f t="shared" si="15"/>
        <v>3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0</v>
      </c>
      <c r="M110" s="62"/>
      <c r="N110" s="62">
        <v>0</v>
      </c>
      <c r="O110" s="62">
        <v>0</v>
      </c>
      <c r="P110" s="62"/>
      <c r="Q110" s="72">
        <f t="shared" si="9"/>
        <v>0</v>
      </c>
      <c r="R110" s="7"/>
      <c r="S110" s="7"/>
      <c r="T110" s="7"/>
      <c r="U110" s="7"/>
      <c r="V110" s="7"/>
      <c r="W110" s="72" t="str">
        <f t="shared" si="10"/>
        <v>A</v>
      </c>
      <c r="X110" s="7"/>
      <c r="Y110" s="7"/>
      <c r="Z110" s="7"/>
      <c r="AA110" s="7"/>
      <c r="AB110" s="7"/>
      <c r="AC110" s="72" t="str">
        <f t="shared" si="11"/>
        <v>A</v>
      </c>
      <c r="AD110" s="7"/>
      <c r="AE110" s="7"/>
      <c r="AF110" s="7"/>
      <c r="AG110" s="7"/>
      <c r="AH110" s="7"/>
      <c r="AI110" s="72" t="str">
        <f t="shared" si="12"/>
        <v>A</v>
      </c>
      <c r="AJ110" s="7"/>
      <c r="AK110" s="7"/>
      <c r="AL110" s="7"/>
      <c r="AM110" s="7"/>
      <c r="AN110" s="7"/>
      <c r="AO110" s="72" t="str">
        <f t="shared" si="13"/>
        <v>A</v>
      </c>
      <c r="AP110" s="7"/>
      <c r="AQ110" s="7"/>
      <c r="AR110" s="7"/>
      <c r="AS110" s="7"/>
      <c r="AT110" s="7"/>
      <c r="AU110" s="72" t="str">
        <f t="shared" si="14"/>
        <v>A</v>
      </c>
      <c r="AV110" s="7"/>
      <c r="AW110" s="7"/>
      <c r="AX110" s="62">
        <v>0</v>
      </c>
      <c r="AY110" s="62">
        <v>0</v>
      </c>
      <c r="AZ110" s="62">
        <v>0</v>
      </c>
      <c r="BA110" s="72">
        <f t="shared" si="15"/>
        <v>0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3</v>
      </c>
      <c r="M111" s="62"/>
      <c r="N111" s="62">
        <v>3</v>
      </c>
      <c r="O111" s="62">
        <v>3</v>
      </c>
      <c r="P111" s="62"/>
      <c r="Q111" s="72">
        <f t="shared" si="9"/>
        <v>3</v>
      </c>
      <c r="R111" s="62"/>
      <c r="S111" s="62"/>
      <c r="T111" s="62"/>
      <c r="U111" s="62"/>
      <c r="V111" s="62"/>
      <c r="W111" s="72" t="str">
        <f t="shared" si="10"/>
        <v>A</v>
      </c>
      <c r="X111" s="62"/>
      <c r="Y111" s="62"/>
      <c r="Z111" s="62"/>
      <c r="AA111" s="62"/>
      <c r="AB111" s="62"/>
      <c r="AC111" s="72" t="str">
        <f t="shared" si="11"/>
        <v>A</v>
      </c>
      <c r="AD111" s="62"/>
      <c r="AE111" s="62"/>
      <c r="AF111" s="62"/>
      <c r="AG111" s="62"/>
      <c r="AH111" s="62"/>
      <c r="AI111" s="72" t="str">
        <f t="shared" si="12"/>
        <v>A</v>
      </c>
      <c r="AJ111" s="62"/>
      <c r="AK111" s="62"/>
      <c r="AL111" s="62"/>
      <c r="AM111" s="62"/>
      <c r="AN111" s="62"/>
      <c r="AO111" s="72" t="str">
        <f t="shared" si="13"/>
        <v>A</v>
      </c>
      <c r="AP111" s="62"/>
      <c r="AQ111" s="62"/>
      <c r="AR111" s="62"/>
      <c r="AS111" s="62"/>
      <c r="AT111" s="62"/>
      <c r="AU111" s="72" t="str">
        <f t="shared" si="14"/>
        <v>A</v>
      </c>
      <c r="AV111" s="62"/>
      <c r="AW111" s="62"/>
      <c r="AX111" s="62">
        <v>5</v>
      </c>
      <c r="AY111" s="62">
        <v>0</v>
      </c>
      <c r="AZ111" s="62">
        <v>3</v>
      </c>
      <c r="BA111" s="72">
        <f t="shared" si="15"/>
        <v>2.6666666666666665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2</v>
      </c>
      <c r="M112" s="62"/>
      <c r="N112" s="62">
        <v>2</v>
      </c>
      <c r="O112" s="62">
        <v>2</v>
      </c>
      <c r="P112" s="62"/>
      <c r="Q112" s="72">
        <f t="shared" si="9"/>
        <v>2</v>
      </c>
      <c r="R112" s="7"/>
      <c r="S112" s="7"/>
      <c r="T112" s="7"/>
      <c r="U112" s="7"/>
      <c r="V112" s="7"/>
      <c r="W112" s="72" t="str">
        <f t="shared" si="10"/>
        <v>A</v>
      </c>
      <c r="X112" s="7"/>
      <c r="Y112" s="7"/>
      <c r="Z112" s="7"/>
      <c r="AA112" s="7"/>
      <c r="AB112" s="7"/>
      <c r="AC112" s="72" t="str">
        <f t="shared" si="11"/>
        <v>A</v>
      </c>
      <c r="AD112" s="7"/>
      <c r="AE112" s="7"/>
      <c r="AF112" s="7"/>
      <c r="AG112" s="7"/>
      <c r="AH112" s="7"/>
      <c r="AI112" s="72" t="str">
        <f t="shared" si="12"/>
        <v>A</v>
      </c>
      <c r="AJ112" s="7"/>
      <c r="AK112" s="7"/>
      <c r="AL112" s="7"/>
      <c r="AM112" s="7"/>
      <c r="AN112" s="7"/>
      <c r="AO112" s="72" t="str">
        <f t="shared" si="13"/>
        <v>A</v>
      </c>
      <c r="AP112" s="7"/>
      <c r="AQ112" s="7"/>
      <c r="AR112" s="7"/>
      <c r="AS112" s="7"/>
      <c r="AT112" s="7"/>
      <c r="AU112" s="72" t="str">
        <f t="shared" si="14"/>
        <v>A</v>
      </c>
      <c r="AV112" s="7"/>
      <c r="AW112" s="7"/>
      <c r="AX112" s="62">
        <v>5</v>
      </c>
      <c r="AY112" s="62">
        <v>0</v>
      </c>
      <c r="AZ112" s="62">
        <v>1</v>
      </c>
      <c r="BA112" s="72">
        <f t="shared" si="15"/>
        <v>2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1</v>
      </c>
      <c r="M113" s="62"/>
      <c r="N113" s="62">
        <v>1</v>
      </c>
      <c r="O113" s="62">
        <v>1</v>
      </c>
      <c r="P113" s="62"/>
      <c r="Q113" s="72">
        <f t="shared" si="9"/>
        <v>1</v>
      </c>
      <c r="R113" s="62"/>
      <c r="S113" s="62"/>
      <c r="T113" s="62"/>
      <c r="U113" s="62"/>
      <c r="V113" s="62"/>
      <c r="W113" s="72" t="str">
        <f t="shared" si="10"/>
        <v>A</v>
      </c>
      <c r="X113" s="62"/>
      <c r="Y113" s="62"/>
      <c r="Z113" s="62"/>
      <c r="AA113" s="62"/>
      <c r="AB113" s="62"/>
      <c r="AC113" s="72" t="str">
        <f t="shared" si="11"/>
        <v>A</v>
      </c>
      <c r="AD113" s="62"/>
      <c r="AE113" s="62"/>
      <c r="AF113" s="62"/>
      <c r="AG113" s="62"/>
      <c r="AH113" s="62"/>
      <c r="AI113" s="72" t="str">
        <f t="shared" si="12"/>
        <v>A</v>
      </c>
      <c r="AJ113" s="62"/>
      <c r="AK113" s="62"/>
      <c r="AL113" s="62"/>
      <c r="AM113" s="62"/>
      <c r="AN113" s="62"/>
      <c r="AO113" s="72" t="str">
        <f t="shared" si="13"/>
        <v>A</v>
      </c>
      <c r="AP113" s="62"/>
      <c r="AQ113" s="62"/>
      <c r="AR113" s="62"/>
      <c r="AS113" s="62"/>
      <c r="AT113" s="62"/>
      <c r="AU113" s="72" t="str">
        <f t="shared" si="14"/>
        <v>A</v>
      </c>
      <c r="AV113" s="62"/>
      <c r="AW113" s="62"/>
      <c r="AX113" s="62">
        <v>5</v>
      </c>
      <c r="AY113" s="62">
        <v>0</v>
      </c>
      <c r="AZ113" s="62">
        <v>1</v>
      </c>
      <c r="BA113" s="72">
        <f t="shared" si="15"/>
        <v>2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4</v>
      </c>
      <c r="M114" s="62"/>
      <c r="N114" s="62">
        <v>4</v>
      </c>
      <c r="O114" s="62">
        <v>3</v>
      </c>
      <c r="P114" s="62"/>
      <c r="Q114" s="72">
        <f t="shared" si="9"/>
        <v>3.6666666666666665</v>
      </c>
      <c r="R114" s="7"/>
      <c r="S114" s="7"/>
      <c r="T114" s="7"/>
      <c r="U114" s="7"/>
      <c r="V114" s="7"/>
      <c r="W114" s="72" t="str">
        <f t="shared" si="10"/>
        <v>A</v>
      </c>
      <c r="X114" s="7"/>
      <c r="Y114" s="7"/>
      <c r="Z114" s="7"/>
      <c r="AA114" s="7"/>
      <c r="AB114" s="7"/>
      <c r="AC114" s="72" t="str">
        <f t="shared" si="11"/>
        <v>A</v>
      </c>
      <c r="AD114" s="7"/>
      <c r="AE114" s="7"/>
      <c r="AF114" s="7"/>
      <c r="AG114" s="7"/>
      <c r="AH114" s="7"/>
      <c r="AI114" s="72" t="str">
        <f t="shared" si="12"/>
        <v>A</v>
      </c>
      <c r="AJ114" s="7"/>
      <c r="AK114" s="7"/>
      <c r="AL114" s="7"/>
      <c r="AM114" s="7"/>
      <c r="AN114" s="7"/>
      <c r="AO114" s="72" t="str">
        <f t="shared" si="13"/>
        <v>A</v>
      </c>
      <c r="AP114" s="7"/>
      <c r="AQ114" s="7"/>
      <c r="AR114" s="7"/>
      <c r="AS114" s="7"/>
      <c r="AT114" s="7"/>
      <c r="AU114" s="72" t="str">
        <f t="shared" si="14"/>
        <v>A</v>
      </c>
      <c r="AV114" s="7"/>
      <c r="AW114" s="7"/>
      <c r="AX114" s="62">
        <v>5</v>
      </c>
      <c r="AY114" s="62">
        <v>0</v>
      </c>
      <c r="AZ114" s="62">
        <v>3</v>
      </c>
      <c r="BA114" s="72">
        <f t="shared" si="15"/>
        <v>2.6666666666666665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0</v>
      </c>
      <c r="M115" s="62"/>
      <c r="N115" s="62">
        <v>0</v>
      </c>
      <c r="O115" s="62">
        <v>0</v>
      </c>
      <c r="P115" s="62"/>
      <c r="Q115" s="72">
        <f t="shared" si="9"/>
        <v>0</v>
      </c>
      <c r="R115" s="62"/>
      <c r="S115" s="62"/>
      <c r="T115" s="62"/>
      <c r="U115" s="62"/>
      <c r="V115" s="62"/>
      <c r="W115" s="72" t="str">
        <f t="shared" si="10"/>
        <v>A</v>
      </c>
      <c r="X115" s="62"/>
      <c r="Y115" s="62"/>
      <c r="Z115" s="62"/>
      <c r="AA115" s="62"/>
      <c r="AB115" s="62"/>
      <c r="AC115" s="72" t="str">
        <f t="shared" si="11"/>
        <v>A</v>
      </c>
      <c r="AD115" s="62"/>
      <c r="AE115" s="62"/>
      <c r="AF115" s="62"/>
      <c r="AG115" s="62"/>
      <c r="AH115" s="62"/>
      <c r="AI115" s="72" t="str">
        <f t="shared" si="12"/>
        <v>A</v>
      </c>
      <c r="AJ115" s="62"/>
      <c r="AK115" s="62"/>
      <c r="AL115" s="62"/>
      <c r="AM115" s="62"/>
      <c r="AN115" s="62"/>
      <c r="AO115" s="72" t="str">
        <f t="shared" si="13"/>
        <v>A</v>
      </c>
      <c r="AP115" s="62"/>
      <c r="AQ115" s="62"/>
      <c r="AR115" s="62"/>
      <c r="AS115" s="62"/>
      <c r="AT115" s="62"/>
      <c r="AU115" s="72" t="str">
        <f t="shared" si="14"/>
        <v>A</v>
      </c>
      <c r="AV115" s="62"/>
      <c r="AW115" s="62"/>
      <c r="AX115" s="62">
        <v>0</v>
      </c>
      <c r="AY115" s="62">
        <v>0</v>
      </c>
      <c r="AZ115" s="62">
        <v>0</v>
      </c>
      <c r="BA115" s="72">
        <f t="shared" si="15"/>
        <v>0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0</v>
      </c>
      <c r="M116" s="62"/>
      <c r="N116" s="62">
        <v>0</v>
      </c>
      <c r="O116" s="62">
        <v>0</v>
      </c>
      <c r="P116" s="62"/>
      <c r="Q116" s="72">
        <f t="shared" si="9"/>
        <v>0</v>
      </c>
      <c r="R116" s="7"/>
      <c r="S116" s="7"/>
      <c r="T116" s="7"/>
      <c r="U116" s="7"/>
      <c r="V116" s="7"/>
      <c r="W116" s="72" t="str">
        <f t="shared" si="10"/>
        <v>A</v>
      </c>
      <c r="X116" s="7"/>
      <c r="Y116" s="7"/>
      <c r="Z116" s="7"/>
      <c r="AA116" s="7"/>
      <c r="AB116" s="7"/>
      <c r="AC116" s="72" t="str">
        <f t="shared" si="11"/>
        <v>A</v>
      </c>
      <c r="AD116" s="7"/>
      <c r="AE116" s="7"/>
      <c r="AF116" s="7"/>
      <c r="AG116" s="7"/>
      <c r="AH116" s="7"/>
      <c r="AI116" s="72" t="str">
        <f t="shared" si="12"/>
        <v>A</v>
      </c>
      <c r="AJ116" s="7"/>
      <c r="AK116" s="7"/>
      <c r="AL116" s="7"/>
      <c r="AM116" s="7"/>
      <c r="AN116" s="7"/>
      <c r="AO116" s="72" t="str">
        <f t="shared" si="13"/>
        <v>A</v>
      </c>
      <c r="AP116" s="7"/>
      <c r="AQ116" s="7"/>
      <c r="AR116" s="7"/>
      <c r="AS116" s="7"/>
      <c r="AT116" s="7"/>
      <c r="AU116" s="72" t="str">
        <f t="shared" si="14"/>
        <v>A</v>
      </c>
      <c r="AV116" s="7"/>
      <c r="AW116" s="7"/>
      <c r="AX116" s="62">
        <v>5</v>
      </c>
      <c r="AY116" s="62">
        <v>0</v>
      </c>
      <c r="AZ116" s="62">
        <v>3</v>
      </c>
      <c r="BA116" s="72">
        <f t="shared" si="15"/>
        <v>2.6666666666666665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2</v>
      </c>
      <c r="M117" s="62"/>
      <c r="N117" s="62">
        <v>2</v>
      </c>
      <c r="O117" s="62">
        <v>2</v>
      </c>
      <c r="P117" s="62"/>
      <c r="Q117" s="72">
        <f t="shared" si="9"/>
        <v>2</v>
      </c>
      <c r="R117" s="62"/>
      <c r="S117" s="62"/>
      <c r="T117" s="62"/>
      <c r="U117" s="62"/>
      <c r="V117" s="62"/>
      <c r="W117" s="72" t="str">
        <f t="shared" si="10"/>
        <v>A</v>
      </c>
      <c r="X117" s="62"/>
      <c r="Y117" s="62"/>
      <c r="Z117" s="62"/>
      <c r="AA117" s="62"/>
      <c r="AB117" s="62"/>
      <c r="AC117" s="72" t="str">
        <f t="shared" si="11"/>
        <v>A</v>
      </c>
      <c r="AD117" s="62"/>
      <c r="AE117" s="62"/>
      <c r="AF117" s="62"/>
      <c r="AG117" s="62"/>
      <c r="AH117" s="62"/>
      <c r="AI117" s="72" t="str">
        <f t="shared" si="12"/>
        <v>A</v>
      </c>
      <c r="AJ117" s="62"/>
      <c r="AK117" s="62"/>
      <c r="AL117" s="62"/>
      <c r="AM117" s="62"/>
      <c r="AN117" s="62"/>
      <c r="AO117" s="72" t="str">
        <f t="shared" si="13"/>
        <v>A</v>
      </c>
      <c r="AP117" s="62"/>
      <c r="AQ117" s="62"/>
      <c r="AR117" s="62"/>
      <c r="AS117" s="62"/>
      <c r="AT117" s="62"/>
      <c r="AU117" s="72" t="str">
        <f t="shared" si="14"/>
        <v>A</v>
      </c>
      <c r="AV117" s="62"/>
      <c r="AW117" s="62"/>
      <c r="AX117" s="62">
        <v>5</v>
      </c>
      <c r="AY117" s="62">
        <v>0</v>
      </c>
      <c r="AZ117" s="62">
        <v>1</v>
      </c>
      <c r="BA117" s="72">
        <f t="shared" si="15"/>
        <v>2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2</v>
      </c>
      <c r="M118" s="62"/>
      <c r="N118" s="62">
        <v>2</v>
      </c>
      <c r="O118" s="62">
        <v>2</v>
      </c>
      <c r="P118" s="62"/>
      <c r="Q118" s="72">
        <f t="shared" si="9"/>
        <v>2</v>
      </c>
      <c r="R118" s="7"/>
      <c r="S118" s="7"/>
      <c r="T118" s="7"/>
      <c r="U118" s="7"/>
      <c r="V118" s="7"/>
      <c r="W118" s="72" t="str">
        <f t="shared" si="10"/>
        <v>A</v>
      </c>
      <c r="X118" s="7"/>
      <c r="Y118" s="7"/>
      <c r="Z118" s="7"/>
      <c r="AA118" s="7"/>
      <c r="AB118" s="7"/>
      <c r="AC118" s="72" t="str">
        <f t="shared" si="11"/>
        <v>A</v>
      </c>
      <c r="AD118" s="7"/>
      <c r="AE118" s="7"/>
      <c r="AF118" s="7"/>
      <c r="AG118" s="7"/>
      <c r="AH118" s="7"/>
      <c r="AI118" s="72" t="str">
        <f t="shared" si="12"/>
        <v>A</v>
      </c>
      <c r="AJ118" s="7"/>
      <c r="AK118" s="7"/>
      <c r="AL118" s="7"/>
      <c r="AM118" s="7"/>
      <c r="AN118" s="7"/>
      <c r="AO118" s="72" t="str">
        <f t="shared" si="13"/>
        <v>A</v>
      </c>
      <c r="AP118" s="7"/>
      <c r="AQ118" s="7"/>
      <c r="AR118" s="7"/>
      <c r="AS118" s="7"/>
      <c r="AT118" s="7"/>
      <c r="AU118" s="72" t="str">
        <f t="shared" si="14"/>
        <v>A</v>
      </c>
      <c r="AV118" s="7"/>
      <c r="AW118" s="7"/>
      <c r="AX118" s="62">
        <v>2</v>
      </c>
      <c r="AY118" s="62">
        <v>2</v>
      </c>
      <c r="AZ118" s="62">
        <v>2</v>
      </c>
      <c r="BA118" s="72">
        <f t="shared" si="15"/>
        <v>2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0</v>
      </c>
      <c r="M119" s="62"/>
      <c r="N119" s="62">
        <v>0</v>
      </c>
      <c r="O119" s="62">
        <v>0</v>
      </c>
      <c r="P119" s="62"/>
      <c r="Q119" s="72">
        <f t="shared" si="9"/>
        <v>0</v>
      </c>
      <c r="R119" s="62"/>
      <c r="S119" s="62"/>
      <c r="T119" s="62"/>
      <c r="U119" s="62"/>
      <c r="V119" s="62"/>
      <c r="W119" s="72" t="str">
        <f t="shared" si="10"/>
        <v>A</v>
      </c>
      <c r="X119" s="62"/>
      <c r="Y119" s="62"/>
      <c r="Z119" s="62"/>
      <c r="AA119" s="62"/>
      <c r="AB119" s="62"/>
      <c r="AC119" s="72" t="str">
        <f t="shared" si="11"/>
        <v>A</v>
      </c>
      <c r="AD119" s="62"/>
      <c r="AE119" s="62"/>
      <c r="AF119" s="62"/>
      <c r="AG119" s="62"/>
      <c r="AH119" s="62"/>
      <c r="AI119" s="72" t="str">
        <f t="shared" si="12"/>
        <v>A</v>
      </c>
      <c r="AJ119" s="62"/>
      <c r="AK119" s="62"/>
      <c r="AL119" s="62"/>
      <c r="AM119" s="62"/>
      <c r="AN119" s="62"/>
      <c r="AO119" s="72" t="str">
        <f t="shared" si="13"/>
        <v>A</v>
      </c>
      <c r="AP119" s="62"/>
      <c r="AQ119" s="62"/>
      <c r="AR119" s="62"/>
      <c r="AS119" s="62"/>
      <c r="AT119" s="62"/>
      <c r="AU119" s="72" t="str">
        <f t="shared" si="14"/>
        <v>A</v>
      </c>
      <c r="AV119" s="62"/>
      <c r="AW119" s="62"/>
      <c r="AX119" s="62">
        <v>0</v>
      </c>
      <c r="AY119" s="62">
        <v>0</v>
      </c>
      <c r="AZ119" s="62">
        <v>0</v>
      </c>
      <c r="BA119" s="72">
        <f t="shared" si="15"/>
        <v>0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3</v>
      </c>
      <c r="M120" s="62"/>
      <c r="N120" s="62">
        <v>3</v>
      </c>
      <c r="O120" s="62">
        <v>3</v>
      </c>
      <c r="P120" s="62"/>
      <c r="Q120" s="72">
        <f t="shared" si="9"/>
        <v>3</v>
      </c>
      <c r="R120" s="7"/>
      <c r="S120" s="7"/>
      <c r="T120" s="7"/>
      <c r="U120" s="7"/>
      <c r="V120" s="7"/>
      <c r="W120" s="72" t="str">
        <f t="shared" si="10"/>
        <v>A</v>
      </c>
      <c r="X120" s="7"/>
      <c r="Y120" s="7"/>
      <c r="Z120" s="7"/>
      <c r="AA120" s="7"/>
      <c r="AB120" s="7"/>
      <c r="AC120" s="72" t="str">
        <f t="shared" si="11"/>
        <v>A</v>
      </c>
      <c r="AD120" s="7"/>
      <c r="AE120" s="7"/>
      <c r="AF120" s="7"/>
      <c r="AG120" s="7"/>
      <c r="AH120" s="7"/>
      <c r="AI120" s="72" t="str">
        <f t="shared" si="12"/>
        <v>A</v>
      </c>
      <c r="AJ120" s="7"/>
      <c r="AK120" s="7"/>
      <c r="AL120" s="7"/>
      <c r="AM120" s="7"/>
      <c r="AN120" s="7"/>
      <c r="AO120" s="72" t="str">
        <f t="shared" si="13"/>
        <v>A</v>
      </c>
      <c r="AP120" s="7"/>
      <c r="AQ120" s="7"/>
      <c r="AR120" s="7"/>
      <c r="AS120" s="7"/>
      <c r="AT120" s="7"/>
      <c r="AU120" s="72" t="str">
        <f t="shared" si="14"/>
        <v>A</v>
      </c>
      <c r="AV120" s="7"/>
      <c r="AW120" s="7"/>
      <c r="AX120" s="62">
        <v>5</v>
      </c>
      <c r="AY120" s="62">
        <v>2</v>
      </c>
      <c r="AZ120" s="62">
        <v>3</v>
      </c>
      <c r="BA120" s="72">
        <f t="shared" si="15"/>
        <v>3.3333333333333335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/>
      <c r="N121" s="62">
        <v>2</v>
      </c>
      <c r="O121" s="62">
        <v>2</v>
      </c>
      <c r="P121" s="62"/>
      <c r="Q121" s="72">
        <f t="shared" si="9"/>
        <v>2</v>
      </c>
      <c r="R121" s="62"/>
      <c r="S121" s="62"/>
      <c r="T121" s="62"/>
      <c r="U121" s="62"/>
      <c r="V121" s="62"/>
      <c r="W121" s="72" t="str">
        <f t="shared" si="10"/>
        <v>A</v>
      </c>
      <c r="X121" s="62"/>
      <c r="Y121" s="62"/>
      <c r="Z121" s="62"/>
      <c r="AA121" s="62"/>
      <c r="AB121" s="62"/>
      <c r="AC121" s="72" t="str">
        <f t="shared" si="11"/>
        <v>A</v>
      </c>
      <c r="AD121" s="62"/>
      <c r="AE121" s="62"/>
      <c r="AF121" s="62"/>
      <c r="AG121" s="62"/>
      <c r="AH121" s="62"/>
      <c r="AI121" s="72" t="str">
        <f t="shared" si="12"/>
        <v>A</v>
      </c>
      <c r="AJ121" s="62"/>
      <c r="AK121" s="62"/>
      <c r="AL121" s="62"/>
      <c r="AM121" s="62"/>
      <c r="AN121" s="62"/>
      <c r="AO121" s="72" t="str">
        <f t="shared" si="13"/>
        <v>A</v>
      </c>
      <c r="AP121" s="62"/>
      <c r="AQ121" s="62"/>
      <c r="AR121" s="62"/>
      <c r="AS121" s="62"/>
      <c r="AT121" s="62"/>
      <c r="AU121" s="72" t="str">
        <f t="shared" si="14"/>
        <v>A</v>
      </c>
      <c r="AV121" s="62"/>
      <c r="AW121" s="62"/>
      <c r="AX121" s="62">
        <v>5</v>
      </c>
      <c r="AY121" s="62">
        <v>2</v>
      </c>
      <c r="AZ121" s="62">
        <v>1</v>
      </c>
      <c r="BA121" s="72">
        <f t="shared" si="15"/>
        <v>2.6666666666666665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0</v>
      </c>
      <c r="M122" s="62"/>
      <c r="N122" s="62">
        <v>0</v>
      </c>
      <c r="O122" s="62">
        <v>0</v>
      </c>
      <c r="P122" s="62"/>
      <c r="Q122" s="72">
        <f t="shared" si="9"/>
        <v>0</v>
      </c>
      <c r="R122" s="7"/>
      <c r="S122" s="7"/>
      <c r="T122" s="7"/>
      <c r="U122" s="7"/>
      <c r="V122" s="7"/>
      <c r="W122" s="72" t="str">
        <f t="shared" si="10"/>
        <v>A</v>
      </c>
      <c r="X122" s="7"/>
      <c r="Y122" s="7"/>
      <c r="Z122" s="7"/>
      <c r="AA122" s="7"/>
      <c r="AB122" s="7"/>
      <c r="AC122" s="72" t="str">
        <f t="shared" si="11"/>
        <v>A</v>
      </c>
      <c r="AD122" s="7"/>
      <c r="AE122" s="7"/>
      <c r="AF122" s="7"/>
      <c r="AG122" s="7"/>
      <c r="AH122" s="7"/>
      <c r="AI122" s="72" t="str">
        <f t="shared" si="12"/>
        <v>A</v>
      </c>
      <c r="AJ122" s="7"/>
      <c r="AK122" s="7"/>
      <c r="AL122" s="7"/>
      <c r="AM122" s="7"/>
      <c r="AN122" s="7"/>
      <c r="AO122" s="72" t="str">
        <f t="shared" si="13"/>
        <v>A</v>
      </c>
      <c r="AP122" s="7"/>
      <c r="AQ122" s="7"/>
      <c r="AR122" s="7"/>
      <c r="AS122" s="7"/>
      <c r="AT122" s="7"/>
      <c r="AU122" s="72" t="str">
        <f t="shared" si="14"/>
        <v>A</v>
      </c>
      <c r="AV122" s="7"/>
      <c r="AW122" s="7"/>
      <c r="AX122" s="62">
        <v>0</v>
      </c>
      <c r="AY122" s="62">
        <v>0</v>
      </c>
      <c r="AZ122" s="62">
        <v>0</v>
      </c>
      <c r="BA122" s="72">
        <f t="shared" si="15"/>
        <v>0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1</v>
      </c>
      <c r="M123" s="62"/>
      <c r="N123" s="62">
        <v>1</v>
      </c>
      <c r="O123" s="62">
        <v>1</v>
      </c>
      <c r="P123" s="62"/>
      <c r="Q123" s="72">
        <f t="shared" si="9"/>
        <v>1</v>
      </c>
      <c r="R123" s="62"/>
      <c r="S123" s="62"/>
      <c r="T123" s="62"/>
      <c r="U123" s="62"/>
      <c r="V123" s="62"/>
      <c r="W123" s="72" t="str">
        <f t="shared" si="10"/>
        <v>A</v>
      </c>
      <c r="X123" s="62"/>
      <c r="Y123" s="62"/>
      <c r="Z123" s="62"/>
      <c r="AA123" s="62"/>
      <c r="AB123" s="62"/>
      <c r="AC123" s="72" t="str">
        <f t="shared" si="11"/>
        <v>A</v>
      </c>
      <c r="AD123" s="62"/>
      <c r="AE123" s="62"/>
      <c r="AF123" s="62"/>
      <c r="AG123" s="62"/>
      <c r="AH123" s="62"/>
      <c r="AI123" s="72" t="str">
        <f t="shared" si="12"/>
        <v>A</v>
      </c>
      <c r="AJ123" s="62"/>
      <c r="AK123" s="62"/>
      <c r="AL123" s="62"/>
      <c r="AM123" s="62"/>
      <c r="AN123" s="62"/>
      <c r="AO123" s="72" t="str">
        <f t="shared" si="13"/>
        <v>A</v>
      </c>
      <c r="AP123" s="62"/>
      <c r="AQ123" s="62"/>
      <c r="AR123" s="62"/>
      <c r="AS123" s="62"/>
      <c r="AT123" s="62"/>
      <c r="AU123" s="72" t="str">
        <f t="shared" si="14"/>
        <v>A</v>
      </c>
      <c r="AV123" s="62"/>
      <c r="AW123" s="62"/>
      <c r="AX123" s="62">
        <v>5</v>
      </c>
      <c r="AY123" s="62">
        <v>2</v>
      </c>
      <c r="AZ123" s="62">
        <v>1</v>
      </c>
      <c r="BA123" s="72">
        <f t="shared" si="15"/>
        <v>2.6666666666666665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2</v>
      </c>
      <c r="M124" s="62"/>
      <c r="N124" s="62">
        <v>2</v>
      </c>
      <c r="O124" s="62">
        <v>2</v>
      </c>
      <c r="P124" s="62"/>
      <c r="Q124" s="72">
        <f t="shared" si="9"/>
        <v>2</v>
      </c>
      <c r="R124" s="7"/>
      <c r="S124" s="7"/>
      <c r="T124" s="7"/>
      <c r="U124" s="7"/>
      <c r="V124" s="7"/>
      <c r="W124" s="72" t="str">
        <f t="shared" si="10"/>
        <v>A</v>
      </c>
      <c r="X124" s="7"/>
      <c r="Y124" s="7"/>
      <c r="Z124" s="7"/>
      <c r="AA124" s="7"/>
      <c r="AB124" s="7"/>
      <c r="AC124" s="72" t="str">
        <f t="shared" si="11"/>
        <v>A</v>
      </c>
      <c r="AD124" s="7"/>
      <c r="AE124" s="7"/>
      <c r="AF124" s="7"/>
      <c r="AG124" s="7"/>
      <c r="AH124" s="7"/>
      <c r="AI124" s="72" t="str">
        <f t="shared" si="12"/>
        <v>A</v>
      </c>
      <c r="AJ124" s="7"/>
      <c r="AK124" s="7"/>
      <c r="AL124" s="7"/>
      <c r="AM124" s="7"/>
      <c r="AN124" s="7"/>
      <c r="AO124" s="72" t="str">
        <f t="shared" si="13"/>
        <v>A</v>
      </c>
      <c r="AP124" s="7"/>
      <c r="AQ124" s="7"/>
      <c r="AR124" s="7"/>
      <c r="AS124" s="7"/>
      <c r="AT124" s="7"/>
      <c r="AU124" s="72" t="str">
        <f t="shared" si="14"/>
        <v>A</v>
      </c>
      <c r="AV124" s="7"/>
      <c r="AW124" s="7"/>
      <c r="AX124" s="62">
        <v>2</v>
      </c>
      <c r="AY124" s="62">
        <v>2</v>
      </c>
      <c r="AZ124" s="62">
        <v>2</v>
      </c>
      <c r="BA124" s="72">
        <f t="shared" si="15"/>
        <v>2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2</v>
      </c>
      <c r="M125" s="62"/>
      <c r="N125" s="62">
        <v>2</v>
      </c>
      <c r="O125" s="62">
        <v>2</v>
      </c>
      <c r="P125" s="62"/>
      <c r="Q125" s="72">
        <f t="shared" si="9"/>
        <v>2</v>
      </c>
      <c r="R125" s="62"/>
      <c r="S125" s="62"/>
      <c r="T125" s="62"/>
      <c r="U125" s="62"/>
      <c r="V125" s="62"/>
      <c r="W125" s="72" t="str">
        <f t="shared" si="10"/>
        <v>A</v>
      </c>
      <c r="X125" s="62"/>
      <c r="Y125" s="62"/>
      <c r="Z125" s="62"/>
      <c r="AA125" s="62"/>
      <c r="AB125" s="62"/>
      <c r="AC125" s="72" t="str">
        <f t="shared" si="11"/>
        <v>A</v>
      </c>
      <c r="AD125" s="62"/>
      <c r="AE125" s="62"/>
      <c r="AF125" s="62"/>
      <c r="AG125" s="62"/>
      <c r="AH125" s="62"/>
      <c r="AI125" s="72" t="str">
        <f t="shared" si="12"/>
        <v>A</v>
      </c>
      <c r="AJ125" s="62"/>
      <c r="AK125" s="62"/>
      <c r="AL125" s="62"/>
      <c r="AM125" s="62"/>
      <c r="AN125" s="62"/>
      <c r="AO125" s="72" t="str">
        <f t="shared" si="13"/>
        <v>A</v>
      </c>
      <c r="AP125" s="62"/>
      <c r="AQ125" s="62"/>
      <c r="AR125" s="62"/>
      <c r="AS125" s="62"/>
      <c r="AT125" s="62"/>
      <c r="AU125" s="72" t="str">
        <f t="shared" si="14"/>
        <v>A</v>
      </c>
      <c r="AV125" s="62"/>
      <c r="AW125" s="62"/>
      <c r="AX125" s="62">
        <v>5</v>
      </c>
      <c r="AY125" s="62">
        <v>2</v>
      </c>
      <c r="AZ125" s="62">
        <v>3</v>
      </c>
      <c r="BA125" s="72">
        <f t="shared" si="15"/>
        <v>3.3333333333333335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2</v>
      </c>
      <c r="M126" s="62"/>
      <c r="N126" s="62">
        <v>2</v>
      </c>
      <c r="O126" s="62">
        <v>1</v>
      </c>
      <c r="P126" s="62"/>
      <c r="Q126" s="72">
        <f t="shared" si="9"/>
        <v>1.6666666666666667</v>
      </c>
      <c r="R126" s="7"/>
      <c r="S126" s="7"/>
      <c r="T126" s="7"/>
      <c r="U126" s="7"/>
      <c r="V126" s="7"/>
      <c r="W126" s="72" t="str">
        <f t="shared" si="10"/>
        <v>A</v>
      </c>
      <c r="X126" s="7"/>
      <c r="Y126" s="7"/>
      <c r="Z126" s="7"/>
      <c r="AA126" s="7"/>
      <c r="AB126" s="7"/>
      <c r="AC126" s="72" t="str">
        <f t="shared" si="11"/>
        <v>A</v>
      </c>
      <c r="AD126" s="7"/>
      <c r="AE126" s="7"/>
      <c r="AF126" s="7"/>
      <c r="AG126" s="7"/>
      <c r="AH126" s="7"/>
      <c r="AI126" s="72" t="str">
        <f t="shared" si="12"/>
        <v>A</v>
      </c>
      <c r="AJ126" s="7"/>
      <c r="AK126" s="7"/>
      <c r="AL126" s="7"/>
      <c r="AM126" s="7"/>
      <c r="AN126" s="7"/>
      <c r="AO126" s="72" t="str">
        <f t="shared" si="13"/>
        <v>A</v>
      </c>
      <c r="AP126" s="7"/>
      <c r="AQ126" s="7"/>
      <c r="AR126" s="7"/>
      <c r="AS126" s="7"/>
      <c r="AT126" s="7"/>
      <c r="AU126" s="72" t="str">
        <f t="shared" si="14"/>
        <v>A</v>
      </c>
      <c r="AV126" s="7"/>
      <c r="AW126" s="7"/>
      <c r="AX126" s="62">
        <v>5</v>
      </c>
      <c r="AY126" s="62">
        <v>0</v>
      </c>
      <c r="AZ126" s="62">
        <v>1</v>
      </c>
      <c r="BA126" s="72">
        <f t="shared" si="15"/>
        <v>2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0</v>
      </c>
      <c r="M127" s="62"/>
      <c r="N127" s="62">
        <v>0</v>
      </c>
      <c r="O127" s="62">
        <v>0</v>
      </c>
      <c r="P127" s="62"/>
      <c r="Q127" s="72">
        <f t="shared" si="9"/>
        <v>0</v>
      </c>
      <c r="R127" s="62"/>
      <c r="S127" s="62"/>
      <c r="T127" s="62"/>
      <c r="U127" s="62"/>
      <c r="V127" s="62"/>
      <c r="W127" s="72" t="str">
        <f t="shared" si="10"/>
        <v>A</v>
      </c>
      <c r="X127" s="62"/>
      <c r="Y127" s="62"/>
      <c r="Z127" s="62"/>
      <c r="AA127" s="62"/>
      <c r="AB127" s="62"/>
      <c r="AC127" s="72" t="str">
        <f t="shared" si="11"/>
        <v>A</v>
      </c>
      <c r="AD127" s="62"/>
      <c r="AE127" s="62"/>
      <c r="AF127" s="62"/>
      <c r="AG127" s="62"/>
      <c r="AH127" s="62"/>
      <c r="AI127" s="72" t="str">
        <f t="shared" si="12"/>
        <v>A</v>
      </c>
      <c r="AJ127" s="62"/>
      <c r="AK127" s="62"/>
      <c r="AL127" s="62"/>
      <c r="AM127" s="62"/>
      <c r="AN127" s="62"/>
      <c r="AO127" s="72" t="str">
        <f t="shared" si="13"/>
        <v>A</v>
      </c>
      <c r="AP127" s="62"/>
      <c r="AQ127" s="62"/>
      <c r="AR127" s="62"/>
      <c r="AS127" s="62"/>
      <c r="AT127" s="62"/>
      <c r="AU127" s="72" t="str">
        <f t="shared" si="14"/>
        <v>A</v>
      </c>
      <c r="AV127" s="62"/>
      <c r="AW127" s="62"/>
      <c r="AX127" s="62">
        <v>5</v>
      </c>
      <c r="AY127" s="62">
        <v>0</v>
      </c>
      <c r="AZ127" s="62">
        <v>3</v>
      </c>
      <c r="BA127" s="72">
        <f t="shared" si="15"/>
        <v>2.6666666666666665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3</v>
      </c>
      <c r="M128" s="62"/>
      <c r="N128" s="62">
        <v>3</v>
      </c>
      <c r="O128" s="62">
        <v>3</v>
      </c>
      <c r="P128" s="62"/>
      <c r="Q128" s="72">
        <f t="shared" si="9"/>
        <v>3</v>
      </c>
      <c r="R128" s="7"/>
      <c r="S128" s="7"/>
      <c r="T128" s="7"/>
      <c r="U128" s="7"/>
      <c r="V128" s="7"/>
      <c r="W128" s="72" t="str">
        <f t="shared" si="10"/>
        <v>A</v>
      </c>
      <c r="X128" s="7"/>
      <c r="Y128" s="7"/>
      <c r="Z128" s="7"/>
      <c r="AA128" s="7"/>
      <c r="AB128" s="7"/>
      <c r="AC128" s="72" t="str">
        <f t="shared" si="11"/>
        <v>A</v>
      </c>
      <c r="AD128" s="7"/>
      <c r="AE128" s="7"/>
      <c r="AF128" s="7"/>
      <c r="AG128" s="7"/>
      <c r="AH128" s="7"/>
      <c r="AI128" s="72" t="str">
        <f t="shared" si="12"/>
        <v>A</v>
      </c>
      <c r="AJ128" s="7"/>
      <c r="AK128" s="7"/>
      <c r="AL128" s="7"/>
      <c r="AM128" s="7"/>
      <c r="AN128" s="7"/>
      <c r="AO128" s="72" t="str">
        <f t="shared" si="13"/>
        <v>A</v>
      </c>
      <c r="AP128" s="7"/>
      <c r="AQ128" s="7"/>
      <c r="AR128" s="7"/>
      <c r="AS128" s="7"/>
      <c r="AT128" s="7"/>
      <c r="AU128" s="72" t="str">
        <f t="shared" si="14"/>
        <v>A</v>
      </c>
      <c r="AV128" s="7"/>
      <c r="AW128" s="7"/>
      <c r="AX128" s="62">
        <v>5</v>
      </c>
      <c r="AY128" s="62">
        <v>0</v>
      </c>
      <c r="AZ128" s="62">
        <v>1</v>
      </c>
      <c r="BA128" s="72">
        <f t="shared" si="15"/>
        <v>2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2</v>
      </c>
      <c r="M129" s="62"/>
      <c r="N129" s="62">
        <v>2</v>
      </c>
      <c r="O129" s="62">
        <v>2</v>
      </c>
      <c r="P129" s="62"/>
      <c r="Q129" s="72">
        <f t="shared" si="9"/>
        <v>2</v>
      </c>
      <c r="R129" s="62"/>
      <c r="S129" s="62"/>
      <c r="T129" s="62"/>
      <c r="U129" s="62"/>
      <c r="V129" s="62"/>
      <c r="W129" s="72" t="str">
        <f t="shared" si="10"/>
        <v>A</v>
      </c>
      <c r="X129" s="62"/>
      <c r="Y129" s="62"/>
      <c r="Z129" s="62"/>
      <c r="AA129" s="62"/>
      <c r="AB129" s="62"/>
      <c r="AC129" s="72" t="str">
        <f t="shared" si="11"/>
        <v>A</v>
      </c>
      <c r="AD129" s="62"/>
      <c r="AE129" s="62"/>
      <c r="AF129" s="62"/>
      <c r="AG129" s="62"/>
      <c r="AH129" s="62"/>
      <c r="AI129" s="72" t="str">
        <f t="shared" si="12"/>
        <v>A</v>
      </c>
      <c r="AJ129" s="62"/>
      <c r="AK129" s="62"/>
      <c r="AL129" s="62"/>
      <c r="AM129" s="62"/>
      <c r="AN129" s="62"/>
      <c r="AO129" s="72" t="str">
        <f t="shared" si="13"/>
        <v>A</v>
      </c>
      <c r="AP129" s="62"/>
      <c r="AQ129" s="62"/>
      <c r="AR129" s="62"/>
      <c r="AS129" s="62"/>
      <c r="AT129" s="62"/>
      <c r="AU129" s="72" t="str">
        <f t="shared" si="14"/>
        <v>A</v>
      </c>
      <c r="AV129" s="62"/>
      <c r="AW129" s="62"/>
      <c r="AX129" s="62">
        <v>5</v>
      </c>
      <c r="AY129" s="62">
        <v>2</v>
      </c>
      <c r="AZ129" s="62">
        <v>1</v>
      </c>
      <c r="BA129" s="72">
        <f t="shared" si="15"/>
        <v>2.6666666666666665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2</v>
      </c>
      <c r="M130" s="62"/>
      <c r="N130" s="62">
        <v>2</v>
      </c>
      <c r="O130" s="62">
        <v>2</v>
      </c>
      <c r="P130" s="62"/>
      <c r="Q130" s="72">
        <f t="shared" si="9"/>
        <v>2</v>
      </c>
      <c r="R130" s="7"/>
      <c r="S130" s="7"/>
      <c r="T130" s="7"/>
      <c r="U130" s="7"/>
      <c r="V130" s="7"/>
      <c r="W130" s="72" t="str">
        <f t="shared" si="10"/>
        <v>A</v>
      </c>
      <c r="X130" s="7"/>
      <c r="Y130" s="7"/>
      <c r="Z130" s="7"/>
      <c r="AA130" s="7"/>
      <c r="AB130" s="7"/>
      <c r="AC130" s="72" t="str">
        <f t="shared" si="11"/>
        <v>A</v>
      </c>
      <c r="AD130" s="7"/>
      <c r="AE130" s="7"/>
      <c r="AF130" s="7"/>
      <c r="AG130" s="7"/>
      <c r="AH130" s="7"/>
      <c r="AI130" s="72" t="str">
        <f t="shared" si="12"/>
        <v>A</v>
      </c>
      <c r="AJ130" s="7"/>
      <c r="AK130" s="7"/>
      <c r="AL130" s="7"/>
      <c r="AM130" s="7"/>
      <c r="AN130" s="7"/>
      <c r="AO130" s="72" t="str">
        <f t="shared" si="13"/>
        <v>A</v>
      </c>
      <c r="AP130" s="7"/>
      <c r="AQ130" s="7"/>
      <c r="AR130" s="7"/>
      <c r="AS130" s="7"/>
      <c r="AT130" s="7"/>
      <c r="AU130" s="72" t="str">
        <f t="shared" si="14"/>
        <v>A</v>
      </c>
      <c r="AV130" s="7"/>
      <c r="AW130" s="7"/>
      <c r="AX130" s="62">
        <v>2</v>
      </c>
      <c r="AY130" s="62">
        <v>2</v>
      </c>
      <c r="AZ130" s="62">
        <v>2</v>
      </c>
      <c r="BA130" s="72">
        <f t="shared" si="15"/>
        <v>2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0</v>
      </c>
      <c r="M131" s="62"/>
      <c r="N131" s="62">
        <v>0</v>
      </c>
      <c r="O131" s="62">
        <v>0</v>
      </c>
      <c r="P131" s="62"/>
      <c r="Q131" s="72">
        <f t="shared" si="9"/>
        <v>0</v>
      </c>
      <c r="R131" s="62"/>
      <c r="S131" s="62"/>
      <c r="T131" s="62"/>
      <c r="U131" s="62"/>
      <c r="V131" s="62"/>
      <c r="W131" s="72" t="str">
        <f t="shared" si="10"/>
        <v>A</v>
      </c>
      <c r="X131" s="62"/>
      <c r="Y131" s="62"/>
      <c r="Z131" s="62"/>
      <c r="AA131" s="62"/>
      <c r="AB131" s="62"/>
      <c r="AC131" s="72" t="str">
        <f t="shared" si="11"/>
        <v>A</v>
      </c>
      <c r="AD131" s="62"/>
      <c r="AE131" s="62"/>
      <c r="AF131" s="62"/>
      <c r="AG131" s="62"/>
      <c r="AH131" s="62"/>
      <c r="AI131" s="72" t="str">
        <f t="shared" si="12"/>
        <v>A</v>
      </c>
      <c r="AJ131" s="62"/>
      <c r="AK131" s="62"/>
      <c r="AL131" s="62"/>
      <c r="AM131" s="62"/>
      <c r="AN131" s="62"/>
      <c r="AO131" s="72" t="str">
        <f t="shared" si="13"/>
        <v>A</v>
      </c>
      <c r="AP131" s="62"/>
      <c r="AQ131" s="62"/>
      <c r="AR131" s="62"/>
      <c r="AS131" s="62"/>
      <c r="AT131" s="62"/>
      <c r="AU131" s="72" t="str">
        <f t="shared" si="14"/>
        <v>A</v>
      </c>
      <c r="AV131" s="62"/>
      <c r="AW131" s="62"/>
      <c r="AX131" s="62">
        <v>0</v>
      </c>
      <c r="AY131" s="62">
        <v>0</v>
      </c>
      <c r="AZ131" s="62">
        <v>0</v>
      </c>
      <c r="BA131" s="72">
        <f t="shared" si="15"/>
        <v>0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0</v>
      </c>
      <c r="M132" s="62"/>
      <c r="N132" s="62">
        <v>0</v>
      </c>
      <c r="O132" s="62">
        <v>0</v>
      </c>
      <c r="P132" s="62"/>
      <c r="Q132" s="72">
        <f t="shared" ref="Q132:Q195" si="17">IFERROR(AVERAGE(N132,L132,O132),"A")</f>
        <v>0</v>
      </c>
      <c r="R132" s="7"/>
      <c r="S132" s="7"/>
      <c r="T132" s="7"/>
      <c r="U132" s="7"/>
      <c r="V132" s="7"/>
      <c r="W132" s="72" t="str">
        <f t="shared" ref="W132:W195" si="18">IFERROR(AVERAGE(R132,S132,U132),"A")</f>
        <v>A</v>
      </c>
      <c r="X132" s="7"/>
      <c r="Y132" s="7"/>
      <c r="Z132" s="7"/>
      <c r="AA132" s="7"/>
      <c r="AB132" s="7"/>
      <c r="AC132" s="72" t="str">
        <f t="shared" ref="AC132:AC195" si="19">IFERROR(AVERAGE(Y132,X132),"A")</f>
        <v>A</v>
      </c>
      <c r="AD132" s="7"/>
      <c r="AE132" s="7"/>
      <c r="AF132" s="7"/>
      <c r="AG132" s="7"/>
      <c r="AH132" s="7"/>
      <c r="AI132" s="72" t="str">
        <f t="shared" ref="AI132:AI195" si="20">IFERROR(AVERAGE(AF132,AD132),"A")</f>
        <v>A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7"/>
      <c r="AQ132" s="7"/>
      <c r="AR132" s="7"/>
      <c r="AS132" s="7"/>
      <c r="AT132" s="7"/>
      <c r="AU132" s="72" t="str">
        <f t="shared" ref="AU132:AU195" si="22">IFERROR(AVERAGE(AR132,AQ132,AP132),"A")</f>
        <v>A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0</v>
      </c>
      <c r="M133" s="62"/>
      <c r="N133" s="62">
        <v>0</v>
      </c>
      <c r="O133" s="62">
        <v>0</v>
      </c>
      <c r="P133" s="62"/>
      <c r="Q133" s="72">
        <f t="shared" si="17"/>
        <v>0</v>
      </c>
      <c r="R133" s="62"/>
      <c r="S133" s="62"/>
      <c r="T133" s="62"/>
      <c r="U133" s="62"/>
      <c r="V133" s="62"/>
      <c r="W133" s="72" t="str">
        <f t="shared" si="18"/>
        <v>A</v>
      </c>
      <c r="X133" s="62"/>
      <c r="Y133" s="62"/>
      <c r="Z133" s="62"/>
      <c r="AA133" s="62"/>
      <c r="AB133" s="62"/>
      <c r="AC133" s="72" t="str">
        <f t="shared" si="19"/>
        <v>A</v>
      </c>
      <c r="AD133" s="62"/>
      <c r="AE133" s="62"/>
      <c r="AF133" s="62"/>
      <c r="AG133" s="62"/>
      <c r="AH133" s="62"/>
      <c r="AI133" s="72" t="str">
        <f t="shared" si="20"/>
        <v>A</v>
      </c>
      <c r="AJ133" s="62"/>
      <c r="AK133" s="62"/>
      <c r="AL133" s="62"/>
      <c r="AM133" s="62"/>
      <c r="AN133" s="62"/>
      <c r="AO133" s="72" t="str">
        <f t="shared" si="21"/>
        <v>A</v>
      </c>
      <c r="AP133" s="62"/>
      <c r="AQ133" s="62"/>
      <c r="AR133" s="62"/>
      <c r="AS133" s="62"/>
      <c r="AT133" s="62"/>
      <c r="AU133" s="72" t="str">
        <f t="shared" si="22"/>
        <v>A</v>
      </c>
      <c r="AV133" s="62"/>
      <c r="AW133" s="62"/>
      <c r="AX133" s="62">
        <v>0</v>
      </c>
      <c r="AY133" s="62">
        <v>0</v>
      </c>
      <c r="AZ133" s="62">
        <v>0</v>
      </c>
      <c r="BA133" s="72">
        <f t="shared" si="23"/>
        <v>0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4</v>
      </c>
      <c r="M134" s="62"/>
      <c r="N134" s="62">
        <v>4</v>
      </c>
      <c r="O134" s="62">
        <v>3</v>
      </c>
      <c r="P134" s="62"/>
      <c r="Q134" s="72">
        <f t="shared" si="17"/>
        <v>3.6666666666666665</v>
      </c>
      <c r="R134" s="7"/>
      <c r="S134" s="7"/>
      <c r="T134" s="7"/>
      <c r="U134" s="7"/>
      <c r="V134" s="7"/>
      <c r="W134" s="72" t="str">
        <f t="shared" si="18"/>
        <v>A</v>
      </c>
      <c r="X134" s="7"/>
      <c r="Y134" s="7"/>
      <c r="Z134" s="7"/>
      <c r="AA134" s="7"/>
      <c r="AB134" s="7"/>
      <c r="AC134" s="72" t="str">
        <f t="shared" si="19"/>
        <v>A</v>
      </c>
      <c r="AD134" s="7"/>
      <c r="AE134" s="7"/>
      <c r="AF134" s="7"/>
      <c r="AG134" s="7"/>
      <c r="AH134" s="7"/>
      <c r="AI134" s="72" t="str">
        <f t="shared" si="20"/>
        <v>A</v>
      </c>
      <c r="AJ134" s="7"/>
      <c r="AK134" s="7"/>
      <c r="AL134" s="7"/>
      <c r="AM134" s="7"/>
      <c r="AN134" s="7"/>
      <c r="AO134" s="72" t="str">
        <f t="shared" si="21"/>
        <v>A</v>
      </c>
      <c r="AP134" s="7"/>
      <c r="AQ134" s="7"/>
      <c r="AR134" s="7"/>
      <c r="AS134" s="7"/>
      <c r="AT134" s="7"/>
      <c r="AU134" s="72" t="str">
        <f t="shared" si="22"/>
        <v>A</v>
      </c>
      <c r="AV134" s="7"/>
      <c r="AW134" s="7"/>
      <c r="AX134" s="62">
        <v>5</v>
      </c>
      <c r="AY134" s="62">
        <v>0</v>
      </c>
      <c r="AZ134" s="62">
        <v>3</v>
      </c>
      <c r="BA134" s="72">
        <f t="shared" si="23"/>
        <v>2.6666666666666665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4</v>
      </c>
      <c r="M135" s="62"/>
      <c r="N135" s="62">
        <v>4</v>
      </c>
      <c r="O135" s="62">
        <v>4</v>
      </c>
      <c r="P135" s="62"/>
      <c r="Q135" s="72">
        <f t="shared" si="17"/>
        <v>4</v>
      </c>
      <c r="R135" s="62"/>
      <c r="S135" s="62"/>
      <c r="T135" s="62"/>
      <c r="U135" s="62"/>
      <c r="V135" s="62"/>
      <c r="W135" s="72" t="str">
        <f t="shared" si="18"/>
        <v>A</v>
      </c>
      <c r="X135" s="62"/>
      <c r="Y135" s="62"/>
      <c r="Z135" s="62"/>
      <c r="AA135" s="62"/>
      <c r="AB135" s="62"/>
      <c r="AC135" s="72" t="str">
        <f t="shared" si="19"/>
        <v>A</v>
      </c>
      <c r="AD135" s="62"/>
      <c r="AE135" s="62"/>
      <c r="AF135" s="62"/>
      <c r="AG135" s="62"/>
      <c r="AH135" s="62"/>
      <c r="AI135" s="72" t="str">
        <f t="shared" si="20"/>
        <v>A</v>
      </c>
      <c r="AJ135" s="62"/>
      <c r="AK135" s="62"/>
      <c r="AL135" s="62"/>
      <c r="AM135" s="62"/>
      <c r="AN135" s="62"/>
      <c r="AO135" s="72" t="str">
        <f t="shared" si="21"/>
        <v>A</v>
      </c>
      <c r="AP135" s="62"/>
      <c r="AQ135" s="62"/>
      <c r="AR135" s="62"/>
      <c r="AS135" s="62"/>
      <c r="AT135" s="62"/>
      <c r="AU135" s="72" t="str">
        <f t="shared" si="22"/>
        <v>A</v>
      </c>
      <c r="AV135" s="62"/>
      <c r="AW135" s="62"/>
      <c r="AX135" s="62">
        <v>5</v>
      </c>
      <c r="AY135" s="62">
        <v>0</v>
      </c>
      <c r="AZ135" s="62">
        <v>4</v>
      </c>
      <c r="BA135" s="72">
        <f t="shared" si="23"/>
        <v>3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0</v>
      </c>
      <c r="M136" s="62"/>
      <c r="N136" s="62">
        <v>0</v>
      </c>
      <c r="O136" s="62">
        <v>0</v>
      </c>
      <c r="P136" s="62"/>
      <c r="Q136" s="72">
        <f t="shared" si="17"/>
        <v>0</v>
      </c>
      <c r="R136" s="7"/>
      <c r="S136" s="7"/>
      <c r="T136" s="7"/>
      <c r="U136" s="7"/>
      <c r="V136" s="7"/>
      <c r="W136" s="72" t="str">
        <f t="shared" si="18"/>
        <v>A</v>
      </c>
      <c r="X136" s="7"/>
      <c r="Y136" s="7"/>
      <c r="Z136" s="7"/>
      <c r="AA136" s="7"/>
      <c r="AB136" s="7"/>
      <c r="AC136" s="72" t="str">
        <f t="shared" si="19"/>
        <v>A</v>
      </c>
      <c r="AD136" s="7"/>
      <c r="AE136" s="7"/>
      <c r="AF136" s="7"/>
      <c r="AG136" s="7"/>
      <c r="AH136" s="7"/>
      <c r="AI136" s="72" t="str">
        <f t="shared" si="20"/>
        <v>A</v>
      </c>
      <c r="AJ136" s="7"/>
      <c r="AK136" s="7"/>
      <c r="AL136" s="7"/>
      <c r="AM136" s="7"/>
      <c r="AN136" s="7"/>
      <c r="AO136" s="72" t="str">
        <f t="shared" si="21"/>
        <v>A</v>
      </c>
      <c r="AP136" s="7"/>
      <c r="AQ136" s="7"/>
      <c r="AR136" s="7"/>
      <c r="AS136" s="7"/>
      <c r="AT136" s="7"/>
      <c r="AU136" s="72" t="str">
        <f t="shared" si="22"/>
        <v>A</v>
      </c>
      <c r="AV136" s="7"/>
      <c r="AW136" s="7"/>
      <c r="AX136" s="62">
        <v>0</v>
      </c>
      <c r="AY136" s="62">
        <v>0</v>
      </c>
      <c r="AZ136" s="62">
        <v>0</v>
      </c>
      <c r="BA136" s="72">
        <f t="shared" si="23"/>
        <v>0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2</v>
      </c>
      <c r="M137" s="62"/>
      <c r="N137" s="62">
        <v>2</v>
      </c>
      <c r="O137" s="62">
        <v>2</v>
      </c>
      <c r="P137" s="62"/>
      <c r="Q137" s="72">
        <f t="shared" si="17"/>
        <v>2</v>
      </c>
      <c r="R137" s="62"/>
      <c r="S137" s="62"/>
      <c r="T137" s="62"/>
      <c r="U137" s="62"/>
      <c r="V137" s="62"/>
      <c r="W137" s="72" t="str">
        <f t="shared" si="18"/>
        <v>A</v>
      </c>
      <c r="X137" s="62"/>
      <c r="Y137" s="62"/>
      <c r="Z137" s="62"/>
      <c r="AA137" s="62"/>
      <c r="AB137" s="62"/>
      <c r="AC137" s="72" t="str">
        <f t="shared" si="19"/>
        <v>A</v>
      </c>
      <c r="AD137" s="62"/>
      <c r="AE137" s="62"/>
      <c r="AF137" s="62"/>
      <c r="AG137" s="62"/>
      <c r="AH137" s="62"/>
      <c r="AI137" s="72" t="str">
        <f t="shared" si="20"/>
        <v>A</v>
      </c>
      <c r="AJ137" s="62"/>
      <c r="AK137" s="62"/>
      <c r="AL137" s="62"/>
      <c r="AM137" s="62"/>
      <c r="AN137" s="62"/>
      <c r="AO137" s="72" t="str">
        <f t="shared" si="21"/>
        <v>A</v>
      </c>
      <c r="AP137" s="62"/>
      <c r="AQ137" s="62"/>
      <c r="AR137" s="62"/>
      <c r="AS137" s="62"/>
      <c r="AT137" s="62"/>
      <c r="AU137" s="72" t="str">
        <f t="shared" si="22"/>
        <v>A</v>
      </c>
      <c r="AV137" s="62"/>
      <c r="AW137" s="62"/>
      <c r="AX137" s="62">
        <v>5</v>
      </c>
      <c r="AY137" s="62">
        <v>2</v>
      </c>
      <c r="AZ137" s="62">
        <v>3</v>
      </c>
      <c r="BA137" s="72">
        <f t="shared" si="23"/>
        <v>3.3333333333333335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3</v>
      </c>
      <c r="M138" s="62"/>
      <c r="N138" s="62">
        <v>3</v>
      </c>
      <c r="O138" s="62">
        <v>3</v>
      </c>
      <c r="P138" s="62"/>
      <c r="Q138" s="72">
        <f t="shared" si="17"/>
        <v>3</v>
      </c>
      <c r="R138" s="7"/>
      <c r="S138" s="7"/>
      <c r="T138" s="7"/>
      <c r="U138" s="7"/>
      <c r="V138" s="7"/>
      <c r="W138" s="72" t="str">
        <f t="shared" si="18"/>
        <v>A</v>
      </c>
      <c r="X138" s="7"/>
      <c r="Y138" s="7"/>
      <c r="Z138" s="7"/>
      <c r="AA138" s="7"/>
      <c r="AB138" s="7"/>
      <c r="AC138" s="72" t="str">
        <f t="shared" si="19"/>
        <v>A</v>
      </c>
      <c r="AD138" s="7"/>
      <c r="AE138" s="7"/>
      <c r="AF138" s="7"/>
      <c r="AG138" s="7"/>
      <c r="AH138" s="7"/>
      <c r="AI138" s="72" t="str">
        <f t="shared" si="20"/>
        <v>A</v>
      </c>
      <c r="AJ138" s="7"/>
      <c r="AK138" s="7"/>
      <c r="AL138" s="7"/>
      <c r="AM138" s="7"/>
      <c r="AN138" s="7"/>
      <c r="AO138" s="72" t="str">
        <f t="shared" si="21"/>
        <v>A</v>
      </c>
      <c r="AP138" s="7"/>
      <c r="AQ138" s="7"/>
      <c r="AR138" s="7"/>
      <c r="AS138" s="7"/>
      <c r="AT138" s="7"/>
      <c r="AU138" s="72" t="str">
        <f t="shared" si="22"/>
        <v>A</v>
      </c>
      <c r="AV138" s="7"/>
      <c r="AW138" s="7"/>
      <c r="AX138" s="62">
        <v>5</v>
      </c>
      <c r="AY138" s="62">
        <v>2</v>
      </c>
      <c r="AZ138" s="62">
        <v>1</v>
      </c>
      <c r="BA138" s="72">
        <f t="shared" si="23"/>
        <v>2.6666666666666665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2</v>
      </c>
      <c r="M139" s="62"/>
      <c r="N139" s="62">
        <v>3</v>
      </c>
      <c r="O139" s="62">
        <v>3</v>
      </c>
      <c r="P139" s="62"/>
      <c r="Q139" s="72">
        <f t="shared" si="17"/>
        <v>2.6666666666666665</v>
      </c>
      <c r="R139" s="62"/>
      <c r="S139" s="62"/>
      <c r="T139" s="62"/>
      <c r="U139" s="62"/>
      <c r="V139" s="62"/>
      <c r="W139" s="72" t="str">
        <f t="shared" si="18"/>
        <v>A</v>
      </c>
      <c r="X139" s="62"/>
      <c r="Y139" s="62"/>
      <c r="Z139" s="62"/>
      <c r="AA139" s="62"/>
      <c r="AB139" s="62"/>
      <c r="AC139" s="72" t="str">
        <f t="shared" si="19"/>
        <v>A</v>
      </c>
      <c r="AD139" s="62"/>
      <c r="AE139" s="62"/>
      <c r="AF139" s="62"/>
      <c r="AG139" s="62"/>
      <c r="AH139" s="62"/>
      <c r="AI139" s="72" t="str">
        <f t="shared" si="20"/>
        <v>A</v>
      </c>
      <c r="AJ139" s="62"/>
      <c r="AK139" s="62"/>
      <c r="AL139" s="62"/>
      <c r="AM139" s="62"/>
      <c r="AN139" s="62"/>
      <c r="AO139" s="72" t="str">
        <f t="shared" si="21"/>
        <v>A</v>
      </c>
      <c r="AP139" s="62"/>
      <c r="AQ139" s="62"/>
      <c r="AR139" s="62"/>
      <c r="AS139" s="62"/>
      <c r="AT139" s="62"/>
      <c r="AU139" s="72" t="str">
        <f t="shared" si="22"/>
        <v>A</v>
      </c>
      <c r="AV139" s="62"/>
      <c r="AW139" s="62"/>
      <c r="AX139" s="62">
        <v>5</v>
      </c>
      <c r="AY139" s="62">
        <v>0</v>
      </c>
      <c r="AZ139" s="62">
        <v>2</v>
      </c>
      <c r="BA139" s="72">
        <f t="shared" si="23"/>
        <v>2.3333333333333335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2</v>
      </c>
      <c r="M140" s="62"/>
      <c r="N140" s="62">
        <v>2</v>
      </c>
      <c r="O140" s="62">
        <v>1</v>
      </c>
      <c r="P140" s="62"/>
      <c r="Q140" s="72">
        <f t="shared" si="17"/>
        <v>1.6666666666666667</v>
      </c>
      <c r="R140" s="7"/>
      <c r="S140" s="7"/>
      <c r="T140" s="7"/>
      <c r="U140" s="7"/>
      <c r="V140" s="7"/>
      <c r="W140" s="72" t="str">
        <f t="shared" si="18"/>
        <v>A</v>
      </c>
      <c r="X140" s="7"/>
      <c r="Y140" s="7"/>
      <c r="Z140" s="7"/>
      <c r="AA140" s="7"/>
      <c r="AB140" s="7"/>
      <c r="AC140" s="72" t="str">
        <f t="shared" si="19"/>
        <v>A</v>
      </c>
      <c r="AD140" s="7"/>
      <c r="AE140" s="7"/>
      <c r="AF140" s="7"/>
      <c r="AG140" s="7"/>
      <c r="AH140" s="7"/>
      <c r="AI140" s="72" t="str">
        <f t="shared" si="20"/>
        <v>A</v>
      </c>
      <c r="AJ140" s="7"/>
      <c r="AK140" s="7"/>
      <c r="AL140" s="7"/>
      <c r="AM140" s="7"/>
      <c r="AN140" s="7"/>
      <c r="AO140" s="72" t="str">
        <f t="shared" si="21"/>
        <v>A</v>
      </c>
      <c r="AP140" s="7"/>
      <c r="AQ140" s="7"/>
      <c r="AR140" s="7"/>
      <c r="AS140" s="7"/>
      <c r="AT140" s="7"/>
      <c r="AU140" s="72" t="str">
        <f t="shared" si="22"/>
        <v>A</v>
      </c>
      <c r="AV140" s="7"/>
      <c r="AW140" s="7"/>
      <c r="AX140" s="62">
        <v>5</v>
      </c>
      <c r="AY140" s="62">
        <v>0</v>
      </c>
      <c r="AZ140" s="62">
        <v>1</v>
      </c>
      <c r="BA140" s="72">
        <f t="shared" si="23"/>
        <v>2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0</v>
      </c>
      <c r="M141" s="62"/>
      <c r="N141" s="62">
        <v>0</v>
      </c>
      <c r="O141" s="62">
        <v>0</v>
      </c>
      <c r="P141" s="62"/>
      <c r="Q141" s="72">
        <f t="shared" si="17"/>
        <v>0</v>
      </c>
      <c r="R141" s="62"/>
      <c r="S141" s="62"/>
      <c r="T141" s="62"/>
      <c r="U141" s="62"/>
      <c r="V141" s="62"/>
      <c r="W141" s="72" t="str">
        <f t="shared" si="18"/>
        <v>A</v>
      </c>
      <c r="X141" s="62"/>
      <c r="Y141" s="62"/>
      <c r="Z141" s="62"/>
      <c r="AA141" s="62"/>
      <c r="AB141" s="62"/>
      <c r="AC141" s="72" t="str">
        <f t="shared" si="19"/>
        <v>A</v>
      </c>
      <c r="AD141" s="62"/>
      <c r="AE141" s="62"/>
      <c r="AF141" s="62"/>
      <c r="AG141" s="62"/>
      <c r="AH141" s="62"/>
      <c r="AI141" s="72" t="str">
        <f t="shared" si="20"/>
        <v>A</v>
      </c>
      <c r="AJ141" s="62"/>
      <c r="AK141" s="62"/>
      <c r="AL141" s="62"/>
      <c r="AM141" s="62"/>
      <c r="AN141" s="62"/>
      <c r="AO141" s="72" t="str">
        <f t="shared" si="21"/>
        <v>A</v>
      </c>
      <c r="AP141" s="62"/>
      <c r="AQ141" s="62"/>
      <c r="AR141" s="62"/>
      <c r="AS141" s="62"/>
      <c r="AT141" s="62"/>
      <c r="AU141" s="72" t="str">
        <f t="shared" si="22"/>
        <v>A</v>
      </c>
      <c r="AV141" s="62"/>
      <c r="AW141" s="62"/>
      <c r="AX141" s="62">
        <v>0</v>
      </c>
      <c r="AY141" s="62">
        <v>0</v>
      </c>
      <c r="AZ141" s="62">
        <v>0</v>
      </c>
      <c r="BA141" s="72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2</v>
      </c>
      <c r="M142" s="62"/>
      <c r="N142" s="62">
        <v>2</v>
      </c>
      <c r="O142" s="62">
        <v>2</v>
      </c>
      <c r="P142" s="62"/>
      <c r="Q142" s="72">
        <f t="shared" si="17"/>
        <v>2</v>
      </c>
      <c r="R142" s="7"/>
      <c r="S142" s="7"/>
      <c r="T142" s="7"/>
      <c r="U142" s="7"/>
      <c r="V142" s="7"/>
      <c r="W142" s="72" t="str">
        <f t="shared" si="18"/>
        <v>A</v>
      </c>
      <c r="X142" s="7"/>
      <c r="Y142" s="7"/>
      <c r="Z142" s="7"/>
      <c r="AA142" s="7"/>
      <c r="AB142" s="7"/>
      <c r="AC142" s="72" t="str">
        <f t="shared" si="19"/>
        <v>A</v>
      </c>
      <c r="AD142" s="7"/>
      <c r="AE142" s="7"/>
      <c r="AF142" s="7"/>
      <c r="AG142" s="7"/>
      <c r="AH142" s="7"/>
      <c r="AI142" s="72" t="str">
        <f t="shared" si="20"/>
        <v>A</v>
      </c>
      <c r="AJ142" s="7"/>
      <c r="AK142" s="7"/>
      <c r="AL142" s="7"/>
      <c r="AM142" s="7"/>
      <c r="AN142" s="7"/>
      <c r="AO142" s="72" t="str">
        <f t="shared" si="21"/>
        <v>A</v>
      </c>
      <c r="AP142" s="7"/>
      <c r="AQ142" s="7"/>
      <c r="AR142" s="7"/>
      <c r="AS142" s="7"/>
      <c r="AT142" s="7"/>
      <c r="AU142" s="72" t="str">
        <f t="shared" si="22"/>
        <v>A</v>
      </c>
      <c r="AV142" s="7"/>
      <c r="AW142" s="7"/>
      <c r="AX142" s="62">
        <v>2</v>
      </c>
      <c r="AY142" s="62">
        <v>2</v>
      </c>
      <c r="AZ142" s="62">
        <v>2</v>
      </c>
      <c r="BA142" s="72">
        <f t="shared" si="23"/>
        <v>2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4</v>
      </c>
      <c r="M143" s="62"/>
      <c r="N143" s="62">
        <v>4</v>
      </c>
      <c r="O143" s="62">
        <v>4</v>
      </c>
      <c r="P143" s="62"/>
      <c r="Q143" s="72">
        <f t="shared" si="17"/>
        <v>4</v>
      </c>
      <c r="R143" s="62"/>
      <c r="S143" s="62"/>
      <c r="T143" s="62"/>
      <c r="U143" s="62"/>
      <c r="V143" s="62"/>
      <c r="W143" s="72" t="str">
        <f t="shared" si="18"/>
        <v>A</v>
      </c>
      <c r="X143" s="62"/>
      <c r="Y143" s="62"/>
      <c r="Z143" s="62"/>
      <c r="AA143" s="62"/>
      <c r="AB143" s="62"/>
      <c r="AC143" s="72" t="str">
        <f t="shared" si="19"/>
        <v>A</v>
      </c>
      <c r="AD143" s="62"/>
      <c r="AE143" s="62"/>
      <c r="AF143" s="62"/>
      <c r="AG143" s="62"/>
      <c r="AH143" s="62"/>
      <c r="AI143" s="72" t="str">
        <f t="shared" si="20"/>
        <v>A</v>
      </c>
      <c r="AJ143" s="62"/>
      <c r="AK143" s="62"/>
      <c r="AL143" s="62"/>
      <c r="AM143" s="62"/>
      <c r="AN143" s="62"/>
      <c r="AO143" s="72" t="str">
        <f t="shared" si="21"/>
        <v>A</v>
      </c>
      <c r="AP143" s="62"/>
      <c r="AQ143" s="62"/>
      <c r="AR143" s="62"/>
      <c r="AS143" s="62"/>
      <c r="AT143" s="62"/>
      <c r="AU143" s="72" t="str">
        <f t="shared" si="22"/>
        <v>A</v>
      </c>
      <c r="AV143" s="62"/>
      <c r="AW143" s="62"/>
      <c r="AX143" s="62">
        <v>5</v>
      </c>
      <c r="AY143" s="62">
        <v>0</v>
      </c>
      <c r="AZ143" s="62">
        <v>4</v>
      </c>
      <c r="BA143" s="72">
        <f t="shared" si="23"/>
        <v>3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0</v>
      </c>
      <c r="M144" s="62"/>
      <c r="N144" s="62">
        <v>0</v>
      </c>
      <c r="O144" s="62">
        <v>0</v>
      </c>
      <c r="P144" s="62"/>
      <c r="Q144" s="72">
        <f t="shared" si="17"/>
        <v>0</v>
      </c>
      <c r="R144" s="7"/>
      <c r="S144" s="7"/>
      <c r="T144" s="7"/>
      <c r="U144" s="7"/>
      <c r="V144" s="7"/>
      <c r="W144" s="72" t="str">
        <f t="shared" si="18"/>
        <v>A</v>
      </c>
      <c r="X144" s="7"/>
      <c r="Y144" s="7"/>
      <c r="Z144" s="7"/>
      <c r="AA144" s="7"/>
      <c r="AB144" s="7"/>
      <c r="AC144" s="72" t="str">
        <f t="shared" si="19"/>
        <v>A</v>
      </c>
      <c r="AD144" s="7"/>
      <c r="AE144" s="7"/>
      <c r="AF144" s="7"/>
      <c r="AG144" s="7"/>
      <c r="AH144" s="7"/>
      <c r="AI144" s="72" t="str">
        <f t="shared" si="20"/>
        <v>A</v>
      </c>
      <c r="AJ144" s="7"/>
      <c r="AK144" s="7"/>
      <c r="AL144" s="7"/>
      <c r="AM144" s="7"/>
      <c r="AN144" s="7"/>
      <c r="AO144" s="72" t="str">
        <f t="shared" si="21"/>
        <v>A</v>
      </c>
      <c r="AP144" s="7"/>
      <c r="AQ144" s="7"/>
      <c r="AR144" s="7"/>
      <c r="AS144" s="7"/>
      <c r="AT144" s="7"/>
      <c r="AU144" s="72" t="str">
        <f t="shared" si="22"/>
        <v>A</v>
      </c>
      <c r="AV144" s="7"/>
      <c r="AW144" s="7"/>
      <c r="AX144" s="62">
        <v>0</v>
      </c>
      <c r="AY144" s="62">
        <v>0</v>
      </c>
      <c r="AZ144" s="62">
        <v>0</v>
      </c>
      <c r="BA144" s="72">
        <f t="shared" si="23"/>
        <v>0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3</v>
      </c>
      <c r="M145" s="62"/>
      <c r="N145" s="62">
        <v>3</v>
      </c>
      <c r="O145" s="62">
        <v>2</v>
      </c>
      <c r="P145" s="62"/>
      <c r="Q145" s="72">
        <f t="shared" si="17"/>
        <v>2.6666666666666665</v>
      </c>
      <c r="R145" s="62"/>
      <c r="S145" s="62"/>
      <c r="T145" s="62"/>
      <c r="U145" s="62"/>
      <c r="V145" s="62"/>
      <c r="W145" s="72" t="str">
        <f t="shared" si="18"/>
        <v>A</v>
      </c>
      <c r="X145" s="62"/>
      <c r="Y145" s="62"/>
      <c r="Z145" s="62"/>
      <c r="AA145" s="62"/>
      <c r="AB145" s="62"/>
      <c r="AC145" s="72" t="str">
        <f t="shared" si="19"/>
        <v>A</v>
      </c>
      <c r="AD145" s="62"/>
      <c r="AE145" s="62"/>
      <c r="AF145" s="62"/>
      <c r="AG145" s="62"/>
      <c r="AH145" s="62"/>
      <c r="AI145" s="72" t="str">
        <f t="shared" si="20"/>
        <v>A</v>
      </c>
      <c r="AJ145" s="62"/>
      <c r="AK145" s="62"/>
      <c r="AL145" s="62"/>
      <c r="AM145" s="62"/>
      <c r="AN145" s="62"/>
      <c r="AO145" s="72" t="str">
        <f t="shared" si="21"/>
        <v>A</v>
      </c>
      <c r="AP145" s="62"/>
      <c r="AQ145" s="62"/>
      <c r="AR145" s="62"/>
      <c r="AS145" s="62"/>
      <c r="AT145" s="62"/>
      <c r="AU145" s="72" t="str">
        <f t="shared" si="22"/>
        <v>A</v>
      </c>
      <c r="AV145" s="62"/>
      <c r="AW145" s="62"/>
      <c r="AX145" s="62">
        <v>5</v>
      </c>
      <c r="AY145" s="62">
        <v>0</v>
      </c>
      <c r="AZ145" s="62">
        <v>1</v>
      </c>
      <c r="BA145" s="72">
        <f t="shared" si="23"/>
        <v>2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4</v>
      </c>
      <c r="M146" s="62"/>
      <c r="N146" s="62">
        <v>4</v>
      </c>
      <c r="O146" s="62">
        <v>4</v>
      </c>
      <c r="P146" s="62"/>
      <c r="Q146" s="72">
        <f t="shared" si="17"/>
        <v>4</v>
      </c>
      <c r="R146" s="7"/>
      <c r="S146" s="7"/>
      <c r="T146" s="7"/>
      <c r="U146" s="7"/>
      <c r="V146" s="7"/>
      <c r="W146" s="72" t="str">
        <f t="shared" si="18"/>
        <v>A</v>
      </c>
      <c r="X146" s="7"/>
      <c r="Y146" s="7"/>
      <c r="Z146" s="7"/>
      <c r="AA146" s="7"/>
      <c r="AB146" s="7"/>
      <c r="AC146" s="72" t="str">
        <f t="shared" si="19"/>
        <v>A</v>
      </c>
      <c r="AD146" s="7"/>
      <c r="AE146" s="7"/>
      <c r="AF146" s="7"/>
      <c r="AG146" s="7"/>
      <c r="AH146" s="7"/>
      <c r="AI146" s="72" t="str">
        <f t="shared" si="20"/>
        <v>A</v>
      </c>
      <c r="AJ146" s="7"/>
      <c r="AK146" s="7"/>
      <c r="AL146" s="7"/>
      <c r="AM146" s="7"/>
      <c r="AN146" s="7"/>
      <c r="AO146" s="72" t="str">
        <f t="shared" si="21"/>
        <v>A</v>
      </c>
      <c r="AP146" s="7"/>
      <c r="AQ146" s="7"/>
      <c r="AR146" s="7"/>
      <c r="AS146" s="7"/>
      <c r="AT146" s="7"/>
      <c r="AU146" s="72" t="str">
        <f t="shared" si="22"/>
        <v>A</v>
      </c>
      <c r="AV146" s="7"/>
      <c r="AW146" s="7"/>
      <c r="AX146" s="62">
        <v>5</v>
      </c>
      <c r="AY146" s="62">
        <v>0</v>
      </c>
      <c r="AZ146" s="62">
        <v>5</v>
      </c>
      <c r="BA146" s="72">
        <f t="shared" si="23"/>
        <v>3.3333333333333335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/>
      <c r="N147" s="62">
        <v>2</v>
      </c>
      <c r="O147" s="62">
        <v>2</v>
      </c>
      <c r="P147" s="62"/>
      <c r="Q147" s="72">
        <f t="shared" si="17"/>
        <v>2</v>
      </c>
      <c r="R147" s="62"/>
      <c r="S147" s="62"/>
      <c r="T147" s="62"/>
      <c r="U147" s="62"/>
      <c r="V147" s="62"/>
      <c r="W147" s="72" t="str">
        <f t="shared" si="18"/>
        <v>A</v>
      </c>
      <c r="X147" s="62"/>
      <c r="Y147" s="62"/>
      <c r="Z147" s="62"/>
      <c r="AA147" s="62"/>
      <c r="AB147" s="62"/>
      <c r="AC147" s="72" t="str">
        <f t="shared" si="19"/>
        <v>A</v>
      </c>
      <c r="AD147" s="62"/>
      <c r="AE147" s="62"/>
      <c r="AF147" s="62"/>
      <c r="AG147" s="62"/>
      <c r="AH147" s="62"/>
      <c r="AI147" s="72" t="str">
        <f t="shared" si="20"/>
        <v>A</v>
      </c>
      <c r="AJ147" s="62"/>
      <c r="AK147" s="62"/>
      <c r="AL147" s="62"/>
      <c r="AM147" s="62"/>
      <c r="AN147" s="62"/>
      <c r="AO147" s="72" t="str">
        <f t="shared" si="21"/>
        <v>A</v>
      </c>
      <c r="AP147" s="62"/>
      <c r="AQ147" s="62"/>
      <c r="AR147" s="62"/>
      <c r="AS147" s="62"/>
      <c r="AT147" s="62"/>
      <c r="AU147" s="72" t="str">
        <f t="shared" si="22"/>
        <v>A</v>
      </c>
      <c r="AV147" s="62"/>
      <c r="AW147" s="62"/>
      <c r="AX147" s="62">
        <v>2</v>
      </c>
      <c r="AY147" s="62">
        <v>2</v>
      </c>
      <c r="AZ147" s="62">
        <v>2</v>
      </c>
      <c r="BA147" s="72">
        <f t="shared" si="23"/>
        <v>2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2</v>
      </c>
      <c r="M148" s="62"/>
      <c r="N148" s="62">
        <v>2</v>
      </c>
      <c r="O148" s="62">
        <v>2</v>
      </c>
      <c r="P148" s="62"/>
      <c r="Q148" s="72">
        <f t="shared" si="17"/>
        <v>2</v>
      </c>
      <c r="R148" s="7"/>
      <c r="S148" s="7"/>
      <c r="T148" s="7"/>
      <c r="U148" s="7"/>
      <c r="V148" s="7"/>
      <c r="W148" s="72" t="str">
        <f t="shared" si="18"/>
        <v>A</v>
      </c>
      <c r="X148" s="7"/>
      <c r="Y148" s="7"/>
      <c r="Z148" s="7"/>
      <c r="AA148" s="7"/>
      <c r="AB148" s="7"/>
      <c r="AC148" s="72" t="str">
        <f t="shared" si="19"/>
        <v>A</v>
      </c>
      <c r="AD148" s="7"/>
      <c r="AE148" s="7"/>
      <c r="AF148" s="7"/>
      <c r="AG148" s="7"/>
      <c r="AH148" s="7"/>
      <c r="AI148" s="72" t="str">
        <f t="shared" si="20"/>
        <v>A</v>
      </c>
      <c r="AJ148" s="7"/>
      <c r="AK148" s="7"/>
      <c r="AL148" s="7"/>
      <c r="AM148" s="7"/>
      <c r="AN148" s="7"/>
      <c r="AO148" s="72" t="str">
        <f t="shared" si="21"/>
        <v>A</v>
      </c>
      <c r="AP148" s="7"/>
      <c r="AQ148" s="7"/>
      <c r="AR148" s="7"/>
      <c r="AS148" s="7"/>
      <c r="AT148" s="7"/>
      <c r="AU148" s="72" t="str">
        <f t="shared" si="22"/>
        <v>A</v>
      </c>
      <c r="AV148" s="7"/>
      <c r="AW148" s="7"/>
      <c r="AX148" s="62">
        <v>2</v>
      </c>
      <c r="AY148" s="62">
        <v>2</v>
      </c>
      <c r="AZ148" s="62">
        <v>2</v>
      </c>
      <c r="BA148" s="72">
        <f t="shared" si="23"/>
        <v>2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3</v>
      </c>
      <c r="M149" s="62"/>
      <c r="N149" s="62">
        <v>4</v>
      </c>
      <c r="O149" s="62">
        <v>3</v>
      </c>
      <c r="P149" s="62"/>
      <c r="Q149" s="72">
        <f t="shared" si="17"/>
        <v>3.3333333333333335</v>
      </c>
      <c r="R149" s="62"/>
      <c r="S149" s="62"/>
      <c r="T149" s="62"/>
      <c r="U149" s="62"/>
      <c r="V149" s="62"/>
      <c r="W149" s="72" t="str">
        <f t="shared" si="18"/>
        <v>A</v>
      </c>
      <c r="X149" s="62"/>
      <c r="Y149" s="62"/>
      <c r="Z149" s="62"/>
      <c r="AA149" s="62"/>
      <c r="AB149" s="62"/>
      <c r="AC149" s="72" t="str">
        <f t="shared" si="19"/>
        <v>A</v>
      </c>
      <c r="AD149" s="62"/>
      <c r="AE149" s="62"/>
      <c r="AF149" s="62"/>
      <c r="AG149" s="62"/>
      <c r="AH149" s="62"/>
      <c r="AI149" s="72" t="str">
        <f t="shared" si="20"/>
        <v>A</v>
      </c>
      <c r="AJ149" s="62"/>
      <c r="AK149" s="62"/>
      <c r="AL149" s="62"/>
      <c r="AM149" s="62"/>
      <c r="AN149" s="62"/>
      <c r="AO149" s="72" t="str">
        <f t="shared" si="21"/>
        <v>A</v>
      </c>
      <c r="AP149" s="62"/>
      <c r="AQ149" s="62"/>
      <c r="AR149" s="62"/>
      <c r="AS149" s="62"/>
      <c r="AT149" s="62"/>
      <c r="AU149" s="72" t="str">
        <f t="shared" si="22"/>
        <v>A</v>
      </c>
      <c r="AV149" s="62"/>
      <c r="AW149" s="62"/>
      <c r="AX149" s="62">
        <v>5</v>
      </c>
      <c r="AY149" s="62">
        <v>0</v>
      </c>
      <c r="AZ149" s="62">
        <v>3</v>
      </c>
      <c r="BA149" s="72">
        <f t="shared" si="23"/>
        <v>2.6666666666666665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2</v>
      </c>
      <c r="M150" s="62"/>
      <c r="N150" s="62">
        <v>3</v>
      </c>
      <c r="O150" s="62">
        <v>3</v>
      </c>
      <c r="P150" s="62"/>
      <c r="Q150" s="72">
        <f t="shared" si="17"/>
        <v>2.6666666666666665</v>
      </c>
      <c r="R150" s="7"/>
      <c r="S150" s="7"/>
      <c r="T150" s="7"/>
      <c r="U150" s="7"/>
      <c r="V150" s="7"/>
      <c r="W150" s="72" t="str">
        <f t="shared" si="18"/>
        <v>A</v>
      </c>
      <c r="X150" s="7"/>
      <c r="Y150" s="7"/>
      <c r="Z150" s="7"/>
      <c r="AA150" s="7"/>
      <c r="AB150" s="7"/>
      <c r="AC150" s="72" t="str">
        <f t="shared" si="19"/>
        <v>A</v>
      </c>
      <c r="AD150" s="7"/>
      <c r="AE150" s="7"/>
      <c r="AF150" s="7"/>
      <c r="AG150" s="7"/>
      <c r="AH150" s="7"/>
      <c r="AI150" s="72" t="str">
        <f t="shared" si="20"/>
        <v>A</v>
      </c>
      <c r="AJ150" s="7"/>
      <c r="AK150" s="7"/>
      <c r="AL150" s="7"/>
      <c r="AM150" s="7"/>
      <c r="AN150" s="7"/>
      <c r="AO150" s="72" t="str">
        <f t="shared" si="21"/>
        <v>A</v>
      </c>
      <c r="AP150" s="7"/>
      <c r="AQ150" s="7"/>
      <c r="AR150" s="7"/>
      <c r="AS150" s="7"/>
      <c r="AT150" s="7"/>
      <c r="AU150" s="72" t="str">
        <f t="shared" si="22"/>
        <v>A</v>
      </c>
      <c r="AV150" s="7"/>
      <c r="AW150" s="7"/>
      <c r="AX150" s="62">
        <v>5</v>
      </c>
      <c r="AY150" s="62">
        <v>2</v>
      </c>
      <c r="AZ150" s="62">
        <v>2</v>
      </c>
      <c r="BA150" s="72">
        <f t="shared" si="23"/>
        <v>3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0</v>
      </c>
      <c r="M151" s="62"/>
      <c r="N151" s="62">
        <v>0</v>
      </c>
      <c r="O151" s="62">
        <v>0</v>
      </c>
      <c r="P151" s="62"/>
      <c r="Q151" s="72">
        <f t="shared" si="17"/>
        <v>0</v>
      </c>
      <c r="R151" s="62"/>
      <c r="S151" s="62"/>
      <c r="T151" s="62"/>
      <c r="U151" s="62"/>
      <c r="V151" s="62"/>
      <c r="W151" s="72" t="str">
        <f t="shared" si="18"/>
        <v>A</v>
      </c>
      <c r="X151" s="62"/>
      <c r="Y151" s="62"/>
      <c r="Z151" s="62"/>
      <c r="AA151" s="62"/>
      <c r="AB151" s="62"/>
      <c r="AC151" s="72" t="str">
        <f t="shared" si="19"/>
        <v>A</v>
      </c>
      <c r="AD151" s="62"/>
      <c r="AE151" s="62"/>
      <c r="AF151" s="62"/>
      <c r="AG151" s="62"/>
      <c r="AH151" s="62"/>
      <c r="AI151" s="72" t="str">
        <f t="shared" si="20"/>
        <v>A</v>
      </c>
      <c r="AJ151" s="62"/>
      <c r="AK151" s="62"/>
      <c r="AL151" s="62"/>
      <c r="AM151" s="62"/>
      <c r="AN151" s="62"/>
      <c r="AO151" s="72" t="str">
        <f t="shared" si="21"/>
        <v>A</v>
      </c>
      <c r="AP151" s="62"/>
      <c r="AQ151" s="62"/>
      <c r="AR151" s="62"/>
      <c r="AS151" s="62"/>
      <c r="AT151" s="62"/>
      <c r="AU151" s="72" t="str">
        <f t="shared" si="22"/>
        <v>A</v>
      </c>
      <c r="AV151" s="62"/>
      <c r="AW151" s="62"/>
      <c r="AX151" s="62">
        <v>0</v>
      </c>
      <c r="AY151" s="62">
        <v>0</v>
      </c>
      <c r="AZ151" s="62">
        <v>0</v>
      </c>
      <c r="BA151" s="72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/>
      <c r="N152" s="62">
        <v>2</v>
      </c>
      <c r="O152" s="62">
        <v>1</v>
      </c>
      <c r="P152" s="62"/>
      <c r="Q152" s="72">
        <f t="shared" si="17"/>
        <v>1.6666666666666667</v>
      </c>
      <c r="R152" s="7"/>
      <c r="S152" s="7"/>
      <c r="T152" s="7"/>
      <c r="U152" s="7"/>
      <c r="V152" s="7"/>
      <c r="W152" s="72" t="str">
        <f t="shared" si="18"/>
        <v>A</v>
      </c>
      <c r="X152" s="7"/>
      <c r="Y152" s="7"/>
      <c r="Z152" s="7"/>
      <c r="AA152" s="7"/>
      <c r="AB152" s="7"/>
      <c r="AC152" s="72" t="str">
        <f t="shared" si="19"/>
        <v>A</v>
      </c>
      <c r="AD152" s="7"/>
      <c r="AE152" s="7"/>
      <c r="AF152" s="7"/>
      <c r="AG152" s="7"/>
      <c r="AH152" s="7"/>
      <c r="AI152" s="72" t="str">
        <f t="shared" si="20"/>
        <v>A</v>
      </c>
      <c r="AJ152" s="7"/>
      <c r="AK152" s="7"/>
      <c r="AL152" s="7"/>
      <c r="AM152" s="7"/>
      <c r="AN152" s="7"/>
      <c r="AO152" s="72" t="str">
        <f t="shared" si="21"/>
        <v>A</v>
      </c>
      <c r="AP152" s="7"/>
      <c r="AQ152" s="7"/>
      <c r="AR152" s="7"/>
      <c r="AS152" s="7"/>
      <c r="AT152" s="7"/>
      <c r="AU152" s="72" t="str">
        <f t="shared" si="22"/>
        <v>A</v>
      </c>
      <c r="AV152" s="7"/>
      <c r="AW152" s="7"/>
      <c r="AX152" s="62">
        <v>5</v>
      </c>
      <c r="AY152" s="62">
        <v>2</v>
      </c>
      <c r="AZ152" s="62">
        <v>1</v>
      </c>
      <c r="BA152" s="72">
        <f t="shared" si="23"/>
        <v>2.6666666666666665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0</v>
      </c>
      <c r="M153" s="62"/>
      <c r="N153" s="62">
        <v>0</v>
      </c>
      <c r="O153" s="62">
        <v>0</v>
      </c>
      <c r="P153" s="62"/>
      <c r="Q153" s="72">
        <f t="shared" si="17"/>
        <v>0</v>
      </c>
      <c r="R153" s="62"/>
      <c r="S153" s="62"/>
      <c r="T153" s="62"/>
      <c r="U153" s="62"/>
      <c r="V153" s="62"/>
      <c r="W153" s="72" t="str">
        <f t="shared" si="18"/>
        <v>A</v>
      </c>
      <c r="X153" s="62"/>
      <c r="Y153" s="62"/>
      <c r="Z153" s="62"/>
      <c r="AA153" s="62"/>
      <c r="AB153" s="62"/>
      <c r="AC153" s="72" t="str">
        <f t="shared" si="19"/>
        <v>A</v>
      </c>
      <c r="AD153" s="62"/>
      <c r="AE153" s="62"/>
      <c r="AF153" s="62"/>
      <c r="AG153" s="62"/>
      <c r="AH153" s="62"/>
      <c r="AI153" s="72" t="str">
        <f t="shared" si="20"/>
        <v>A</v>
      </c>
      <c r="AJ153" s="62"/>
      <c r="AK153" s="62"/>
      <c r="AL153" s="62"/>
      <c r="AM153" s="62"/>
      <c r="AN153" s="62"/>
      <c r="AO153" s="72" t="str">
        <f t="shared" si="21"/>
        <v>A</v>
      </c>
      <c r="AP153" s="62"/>
      <c r="AQ153" s="62"/>
      <c r="AR153" s="62"/>
      <c r="AS153" s="62"/>
      <c r="AT153" s="62"/>
      <c r="AU153" s="72" t="str">
        <f t="shared" si="22"/>
        <v>A</v>
      </c>
      <c r="AV153" s="62"/>
      <c r="AW153" s="62"/>
      <c r="AX153" s="62">
        <v>0</v>
      </c>
      <c r="AY153" s="62">
        <v>0</v>
      </c>
      <c r="AZ153" s="62">
        <v>0</v>
      </c>
      <c r="BA153" s="72">
        <f t="shared" si="23"/>
        <v>0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/>
      <c r="N154" s="62">
        <v>3</v>
      </c>
      <c r="O154" s="62">
        <v>3</v>
      </c>
      <c r="P154" s="62"/>
      <c r="Q154" s="72">
        <f t="shared" si="17"/>
        <v>3</v>
      </c>
      <c r="R154" s="7"/>
      <c r="S154" s="7"/>
      <c r="T154" s="7"/>
      <c r="U154" s="7"/>
      <c r="V154" s="7"/>
      <c r="W154" s="72" t="str">
        <f t="shared" si="18"/>
        <v>A</v>
      </c>
      <c r="X154" s="7"/>
      <c r="Y154" s="7"/>
      <c r="Z154" s="7"/>
      <c r="AA154" s="7"/>
      <c r="AB154" s="7"/>
      <c r="AC154" s="72" t="str">
        <f t="shared" si="19"/>
        <v>A</v>
      </c>
      <c r="AD154" s="7"/>
      <c r="AE154" s="7"/>
      <c r="AF154" s="7"/>
      <c r="AG154" s="7"/>
      <c r="AH154" s="7"/>
      <c r="AI154" s="72" t="str">
        <f t="shared" si="20"/>
        <v>A</v>
      </c>
      <c r="AJ154" s="7"/>
      <c r="AK154" s="7"/>
      <c r="AL154" s="7"/>
      <c r="AM154" s="7"/>
      <c r="AN154" s="7"/>
      <c r="AO154" s="72" t="str">
        <f t="shared" si="21"/>
        <v>A</v>
      </c>
      <c r="AP154" s="7"/>
      <c r="AQ154" s="7"/>
      <c r="AR154" s="7"/>
      <c r="AS154" s="7"/>
      <c r="AT154" s="7"/>
      <c r="AU154" s="72" t="str">
        <f t="shared" si="22"/>
        <v>A</v>
      </c>
      <c r="AV154" s="7"/>
      <c r="AW154" s="7"/>
      <c r="AX154" s="62">
        <v>5</v>
      </c>
      <c r="AY154" s="62">
        <v>0</v>
      </c>
      <c r="AZ154" s="62">
        <v>4</v>
      </c>
      <c r="BA154" s="72">
        <f t="shared" si="23"/>
        <v>3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4</v>
      </c>
      <c r="M155" s="62"/>
      <c r="N155" s="62">
        <v>4</v>
      </c>
      <c r="O155" s="62">
        <v>4</v>
      </c>
      <c r="P155" s="62"/>
      <c r="Q155" s="72">
        <f t="shared" si="17"/>
        <v>4</v>
      </c>
      <c r="R155" s="62"/>
      <c r="S155" s="62"/>
      <c r="T155" s="62"/>
      <c r="U155" s="62"/>
      <c r="V155" s="62"/>
      <c r="W155" s="72" t="str">
        <f t="shared" si="18"/>
        <v>A</v>
      </c>
      <c r="X155" s="62"/>
      <c r="Y155" s="62"/>
      <c r="Z155" s="62"/>
      <c r="AA155" s="62"/>
      <c r="AB155" s="62"/>
      <c r="AC155" s="72" t="str">
        <f t="shared" si="19"/>
        <v>A</v>
      </c>
      <c r="AD155" s="62"/>
      <c r="AE155" s="62"/>
      <c r="AF155" s="62"/>
      <c r="AG155" s="62"/>
      <c r="AH155" s="62"/>
      <c r="AI155" s="72" t="str">
        <f t="shared" si="20"/>
        <v>A</v>
      </c>
      <c r="AJ155" s="62"/>
      <c r="AK155" s="62"/>
      <c r="AL155" s="62"/>
      <c r="AM155" s="62"/>
      <c r="AN155" s="62"/>
      <c r="AO155" s="72" t="str">
        <f t="shared" si="21"/>
        <v>A</v>
      </c>
      <c r="AP155" s="62"/>
      <c r="AQ155" s="62"/>
      <c r="AR155" s="62"/>
      <c r="AS155" s="62"/>
      <c r="AT155" s="62"/>
      <c r="AU155" s="72" t="str">
        <f t="shared" si="22"/>
        <v>A</v>
      </c>
      <c r="AV155" s="62"/>
      <c r="AW155" s="62"/>
      <c r="AX155" s="62">
        <v>5</v>
      </c>
      <c r="AY155" s="62">
        <v>2</v>
      </c>
      <c r="AZ155" s="62">
        <v>4</v>
      </c>
      <c r="BA155" s="72">
        <f t="shared" si="23"/>
        <v>3.6666666666666665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2</v>
      </c>
      <c r="M156" s="62"/>
      <c r="N156" s="62">
        <v>2</v>
      </c>
      <c r="O156" s="62">
        <v>1</v>
      </c>
      <c r="P156" s="62"/>
      <c r="Q156" s="72">
        <f t="shared" si="17"/>
        <v>1.6666666666666667</v>
      </c>
      <c r="R156" s="7"/>
      <c r="S156" s="7"/>
      <c r="T156" s="7"/>
      <c r="U156" s="7"/>
      <c r="V156" s="7"/>
      <c r="W156" s="72" t="str">
        <f t="shared" si="18"/>
        <v>A</v>
      </c>
      <c r="X156" s="7"/>
      <c r="Y156" s="7"/>
      <c r="Z156" s="7"/>
      <c r="AA156" s="7"/>
      <c r="AB156" s="7"/>
      <c r="AC156" s="72" t="str">
        <f t="shared" si="19"/>
        <v>A</v>
      </c>
      <c r="AD156" s="7"/>
      <c r="AE156" s="7"/>
      <c r="AF156" s="7"/>
      <c r="AG156" s="7"/>
      <c r="AH156" s="7"/>
      <c r="AI156" s="72" t="str">
        <f t="shared" si="20"/>
        <v>A</v>
      </c>
      <c r="AJ156" s="7"/>
      <c r="AK156" s="7"/>
      <c r="AL156" s="7"/>
      <c r="AM156" s="7"/>
      <c r="AN156" s="7"/>
      <c r="AO156" s="72" t="str">
        <f t="shared" si="21"/>
        <v>A</v>
      </c>
      <c r="AP156" s="7"/>
      <c r="AQ156" s="7"/>
      <c r="AR156" s="7"/>
      <c r="AS156" s="7"/>
      <c r="AT156" s="7"/>
      <c r="AU156" s="72" t="str">
        <f t="shared" si="22"/>
        <v>A</v>
      </c>
      <c r="AV156" s="7"/>
      <c r="AW156" s="7"/>
      <c r="AX156" s="62">
        <v>5</v>
      </c>
      <c r="AY156" s="62">
        <v>0</v>
      </c>
      <c r="AZ156" s="62">
        <v>1</v>
      </c>
      <c r="BA156" s="72">
        <f t="shared" si="23"/>
        <v>2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2</v>
      </c>
      <c r="M157" s="62"/>
      <c r="N157" s="62">
        <v>2</v>
      </c>
      <c r="O157" s="62">
        <v>1</v>
      </c>
      <c r="P157" s="62"/>
      <c r="Q157" s="72">
        <f t="shared" si="17"/>
        <v>1.6666666666666667</v>
      </c>
      <c r="R157" s="62"/>
      <c r="S157" s="62"/>
      <c r="T157" s="62"/>
      <c r="U157" s="62"/>
      <c r="V157" s="62"/>
      <c r="W157" s="72" t="str">
        <f t="shared" si="18"/>
        <v>A</v>
      </c>
      <c r="X157" s="62"/>
      <c r="Y157" s="62"/>
      <c r="Z157" s="62"/>
      <c r="AA157" s="62"/>
      <c r="AB157" s="62"/>
      <c r="AC157" s="72" t="str">
        <f t="shared" si="19"/>
        <v>A</v>
      </c>
      <c r="AD157" s="62"/>
      <c r="AE157" s="62"/>
      <c r="AF157" s="62"/>
      <c r="AG157" s="62"/>
      <c r="AH157" s="62"/>
      <c r="AI157" s="72" t="str">
        <f t="shared" si="20"/>
        <v>A</v>
      </c>
      <c r="AJ157" s="62"/>
      <c r="AK157" s="62"/>
      <c r="AL157" s="62"/>
      <c r="AM157" s="62"/>
      <c r="AN157" s="62"/>
      <c r="AO157" s="72" t="str">
        <f t="shared" si="21"/>
        <v>A</v>
      </c>
      <c r="AP157" s="62"/>
      <c r="AQ157" s="62"/>
      <c r="AR157" s="62"/>
      <c r="AS157" s="62"/>
      <c r="AT157" s="62"/>
      <c r="AU157" s="72" t="str">
        <f t="shared" si="22"/>
        <v>A</v>
      </c>
      <c r="AV157" s="62"/>
      <c r="AW157" s="62"/>
      <c r="AX157" s="62">
        <v>5</v>
      </c>
      <c r="AY157" s="62">
        <v>0</v>
      </c>
      <c r="AZ157" s="62">
        <v>1</v>
      </c>
      <c r="BA157" s="72">
        <f t="shared" si="23"/>
        <v>2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4</v>
      </c>
      <c r="M158" s="62"/>
      <c r="N158" s="62">
        <v>4</v>
      </c>
      <c r="O158" s="62">
        <v>3</v>
      </c>
      <c r="P158" s="62"/>
      <c r="Q158" s="72">
        <f t="shared" si="17"/>
        <v>3.6666666666666665</v>
      </c>
      <c r="R158" s="7"/>
      <c r="S158" s="7"/>
      <c r="T158" s="7"/>
      <c r="U158" s="7"/>
      <c r="V158" s="7"/>
      <c r="W158" s="72" t="str">
        <f t="shared" si="18"/>
        <v>A</v>
      </c>
      <c r="X158" s="7"/>
      <c r="Y158" s="7"/>
      <c r="Z158" s="7"/>
      <c r="AA158" s="7"/>
      <c r="AB158" s="7"/>
      <c r="AC158" s="72" t="str">
        <f t="shared" si="19"/>
        <v>A</v>
      </c>
      <c r="AD158" s="7"/>
      <c r="AE158" s="7"/>
      <c r="AF158" s="7"/>
      <c r="AG158" s="7"/>
      <c r="AH158" s="7"/>
      <c r="AI158" s="72" t="str">
        <f t="shared" si="20"/>
        <v>A</v>
      </c>
      <c r="AJ158" s="7"/>
      <c r="AK158" s="7"/>
      <c r="AL158" s="7"/>
      <c r="AM158" s="7"/>
      <c r="AN158" s="7"/>
      <c r="AO158" s="72" t="str">
        <f t="shared" si="21"/>
        <v>A</v>
      </c>
      <c r="AP158" s="7"/>
      <c r="AQ158" s="7"/>
      <c r="AR158" s="7"/>
      <c r="AS158" s="7"/>
      <c r="AT158" s="7"/>
      <c r="AU158" s="72" t="str">
        <f t="shared" si="22"/>
        <v>A</v>
      </c>
      <c r="AV158" s="7"/>
      <c r="AW158" s="7"/>
      <c r="AX158" s="62">
        <v>5</v>
      </c>
      <c r="AY158" s="62">
        <v>0</v>
      </c>
      <c r="AZ158" s="62">
        <v>3</v>
      </c>
      <c r="BA158" s="72">
        <f t="shared" si="23"/>
        <v>2.6666666666666665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0</v>
      </c>
      <c r="M159" s="62"/>
      <c r="N159" s="62">
        <v>0</v>
      </c>
      <c r="O159" s="62">
        <v>0</v>
      </c>
      <c r="P159" s="62"/>
      <c r="Q159" s="72">
        <f t="shared" si="17"/>
        <v>0</v>
      </c>
      <c r="R159" s="62"/>
      <c r="S159" s="62"/>
      <c r="T159" s="62"/>
      <c r="U159" s="62"/>
      <c r="V159" s="62"/>
      <c r="W159" s="72" t="str">
        <f t="shared" si="18"/>
        <v>A</v>
      </c>
      <c r="X159" s="62"/>
      <c r="Y159" s="62"/>
      <c r="Z159" s="62"/>
      <c r="AA159" s="62"/>
      <c r="AB159" s="62"/>
      <c r="AC159" s="72" t="str">
        <f t="shared" si="19"/>
        <v>A</v>
      </c>
      <c r="AD159" s="62"/>
      <c r="AE159" s="62"/>
      <c r="AF159" s="62"/>
      <c r="AG159" s="62"/>
      <c r="AH159" s="62"/>
      <c r="AI159" s="72" t="str">
        <f t="shared" si="20"/>
        <v>A</v>
      </c>
      <c r="AJ159" s="62"/>
      <c r="AK159" s="62"/>
      <c r="AL159" s="62"/>
      <c r="AM159" s="62"/>
      <c r="AN159" s="62"/>
      <c r="AO159" s="72" t="str">
        <f t="shared" si="21"/>
        <v>A</v>
      </c>
      <c r="AP159" s="62"/>
      <c r="AQ159" s="62"/>
      <c r="AR159" s="62"/>
      <c r="AS159" s="62"/>
      <c r="AT159" s="62"/>
      <c r="AU159" s="72" t="str">
        <f t="shared" si="22"/>
        <v>A</v>
      </c>
      <c r="AV159" s="62"/>
      <c r="AW159" s="62"/>
      <c r="AX159" s="62">
        <v>0</v>
      </c>
      <c r="AY159" s="62">
        <v>0</v>
      </c>
      <c r="AZ159" s="62">
        <v>0</v>
      </c>
      <c r="BA159" s="72">
        <f t="shared" si="23"/>
        <v>0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2</v>
      </c>
      <c r="M160" s="62"/>
      <c r="N160" s="62">
        <v>2</v>
      </c>
      <c r="O160" s="62">
        <v>2</v>
      </c>
      <c r="P160" s="62"/>
      <c r="Q160" s="72">
        <f t="shared" si="17"/>
        <v>2</v>
      </c>
      <c r="R160" s="7"/>
      <c r="S160" s="7"/>
      <c r="T160" s="7"/>
      <c r="U160" s="7"/>
      <c r="V160" s="7"/>
      <c r="W160" s="72" t="str">
        <f t="shared" si="18"/>
        <v>A</v>
      </c>
      <c r="X160" s="7"/>
      <c r="Y160" s="7"/>
      <c r="Z160" s="7"/>
      <c r="AA160" s="7"/>
      <c r="AB160" s="7"/>
      <c r="AC160" s="72" t="str">
        <f t="shared" si="19"/>
        <v>A</v>
      </c>
      <c r="AD160" s="7"/>
      <c r="AE160" s="7"/>
      <c r="AF160" s="7"/>
      <c r="AG160" s="7"/>
      <c r="AH160" s="7"/>
      <c r="AI160" s="72" t="str">
        <f t="shared" si="20"/>
        <v>A</v>
      </c>
      <c r="AJ160" s="7"/>
      <c r="AK160" s="7"/>
      <c r="AL160" s="7"/>
      <c r="AM160" s="7"/>
      <c r="AN160" s="7"/>
      <c r="AO160" s="72" t="str">
        <f t="shared" si="21"/>
        <v>A</v>
      </c>
      <c r="AP160" s="7"/>
      <c r="AQ160" s="7"/>
      <c r="AR160" s="7"/>
      <c r="AS160" s="7"/>
      <c r="AT160" s="7"/>
      <c r="AU160" s="72" t="str">
        <f t="shared" si="22"/>
        <v>A</v>
      </c>
      <c r="AV160" s="7"/>
      <c r="AW160" s="7"/>
      <c r="AX160" s="62">
        <v>2</v>
      </c>
      <c r="AY160" s="62">
        <v>2</v>
      </c>
      <c r="AZ160" s="62">
        <v>2</v>
      </c>
      <c r="BA160" s="72">
        <f t="shared" si="23"/>
        <v>2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2</v>
      </c>
      <c r="M161" s="62"/>
      <c r="N161" s="62">
        <v>2</v>
      </c>
      <c r="O161" s="62">
        <v>1</v>
      </c>
      <c r="P161" s="62"/>
      <c r="Q161" s="72">
        <f t="shared" si="17"/>
        <v>1.6666666666666667</v>
      </c>
      <c r="R161" s="62"/>
      <c r="S161" s="62"/>
      <c r="T161" s="62"/>
      <c r="U161" s="62"/>
      <c r="V161" s="62"/>
      <c r="W161" s="72" t="str">
        <f t="shared" si="18"/>
        <v>A</v>
      </c>
      <c r="X161" s="62"/>
      <c r="Y161" s="62"/>
      <c r="Z161" s="62"/>
      <c r="AA161" s="62"/>
      <c r="AB161" s="62"/>
      <c r="AC161" s="72" t="str">
        <f t="shared" si="19"/>
        <v>A</v>
      </c>
      <c r="AD161" s="62"/>
      <c r="AE161" s="62"/>
      <c r="AF161" s="62"/>
      <c r="AG161" s="62"/>
      <c r="AH161" s="62"/>
      <c r="AI161" s="72" t="str">
        <f t="shared" si="20"/>
        <v>A</v>
      </c>
      <c r="AJ161" s="62"/>
      <c r="AK161" s="62"/>
      <c r="AL161" s="62"/>
      <c r="AM161" s="62"/>
      <c r="AN161" s="62"/>
      <c r="AO161" s="72" t="str">
        <f t="shared" si="21"/>
        <v>A</v>
      </c>
      <c r="AP161" s="62"/>
      <c r="AQ161" s="62"/>
      <c r="AR161" s="62"/>
      <c r="AS161" s="62"/>
      <c r="AT161" s="62"/>
      <c r="AU161" s="72" t="str">
        <f t="shared" si="22"/>
        <v>A</v>
      </c>
      <c r="AV161" s="62"/>
      <c r="AW161" s="62"/>
      <c r="AX161" s="62">
        <v>5</v>
      </c>
      <c r="AY161" s="62">
        <v>0</v>
      </c>
      <c r="AZ161" s="62">
        <v>1</v>
      </c>
      <c r="BA161" s="72">
        <f t="shared" si="23"/>
        <v>2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0</v>
      </c>
      <c r="M162" s="62"/>
      <c r="N162" s="62">
        <v>0</v>
      </c>
      <c r="O162" s="62">
        <v>0</v>
      </c>
      <c r="P162" s="62"/>
      <c r="Q162" s="72">
        <f t="shared" si="17"/>
        <v>0</v>
      </c>
      <c r="R162" s="7"/>
      <c r="S162" s="7"/>
      <c r="T162" s="7"/>
      <c r="U162" s="7"/>
      <c r="V162" s="7"/>
      <c r="W162" s="72" t="str">
        <f t="shared" si="18"/>
        <v>A</v>
      </c>
      <c r="X162" s="7"/>
      <c r="Y162" s="7"/>
      <c r="Z162" s="7"/>
      <c r="AA162" s="7"/>
      <c r="AB162" s="7"/>
      <c r="AC162" s="72" t="str">
        <f t="shared" si="19"/>
        <v>A</v>
      </c>
      <c r="AD162" s="7"/>
      <c r="AE162" s="7"/>
      <c r="AF162" s="7"/>
      <c r="AG162" s="7"/>
      <c r="AH162" s="7"/>
      <c r="AI162" s="72" t="str">
        <f t="shared" si="20"/>
        <v>A</v>
      </c>
      <c r="AJ162" s="7"/>
      <c r="AK162" s="7"/>
      <c r="AL162" s="7"/>
      <c r="AM162" s="7"/>
      <c r="AN162" s="7"/>
      <c r="AO162" s="72" t="str">
        <f t="shared" si="21"/>
        <v>A</v>
      </c>
      <c r="AP162" s="7"/>
      <c r="AQ162" s="7"/>
      <c r="AR162" s="7"/>
      <c r="AS162" s="7"/>
      <c r="AT162" s="7"/>
      <c r="AU162" s="72" t="str">
        <f t="shared" si="22"/>
        <v>A</v>
      </c>
      <c r="AV162" s="7"/>
      <c r="AW162" s="7"/>
      <c r="AX162" s="62">
        <v>0</v>
      </c>
      <c r="AY162" s="62">
        <v>0</v>
      </c>
      <c r="AZ162" s="62">
        <v>0</v>
      </c>
      <c r="BA162" s="72">
        <f t="shared" si="23"/>
        <v>0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3</v>
      </c>
      <c r="M163" s="62"/>
      <c r="N163" s="62">
        <v>3</v>
      </c>
      <c r="O163" s="62">
        <v>2</v>
      </c>
      <c r="P163" s="62"/>
      <c r="Q163" s="72">
        <f t="shared" si="17"/>
        <v>2.6666666666666665</v>
      </c>
      <c r="R163" s="62"/>
      <c r="S163" s="62"/>
      <c r="T163" s="62"/>
      <c r="U163" s="62"/>
      <c r="V163" s="62"/>
      <c r="W163" s="72" t="str">
        <f t="shared" si="18"/>
        <v>A</v>
      </c>
      <c r="X163" s="62"/>
      <c r="Y163" s="62"/>
      <c r="Z163" s="62"/>
      <c r="AA163" s="62"/>
      <c r="AB163" s="62"/>
      <c r="AC163" s="72" t="str">
        <f t="shared" si="19"/>
        <v>A</v>
      </c>
      <c r="AD163" s="62"/>
      <c r="AE163" s="62"/>
      <c r="AF163" s="62"/>
      <c r="AG163" s="62"/>
      <c r="AH163" s="62"/>
      <c r="AI163" s="72" t="str">
        <f t="shared" si="20"/>
        <v>A</v>
      </c>
      <c r="AJ163" s="62"/>
      <c r="AK163" s="62"/>
      <c r="AL163" s="62"/>
      <c r="AM163" s="62"/>
      <c r="AN163" s="62"/>
      <c r="AO163" s="72" t="str">
        <f t="shared" si="21"/>
        <v>A</v>
      </c>
      <c r="AP163" s="62"/>
      <c r="AQ163" s="62"/>
      <c r="AR163" s="62"/>
      <c r="AS163" s="62"/>
      <c r="AT163" s="62"/>
      <c r="AU163" s="72" t="str">
        <f t="shared" si="22"/>
        <v>A</v>
      </c>
      <c r="AV163" s="62"/>
      <c r="AW163" s="62"/>
      <c r="AX163" s="62">
        <v>5</v>
      </c>
      <c r="AY163" s="62">
        <v>2</v>
      </c>
      <c r="AZ163" s="62">
        <v>1</v>
      </c>
      <c r="BA163" s="72">
        <f t="shared" si="23"/>
        <v>2.6666666666666665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4</v>
      </c>
      <c r="M164" s="62"/>
      <c r="N164" s="62">
        <v>4</v>
      </c>
      <c r="O164" s="62">
        <v>4</v>
      </c>
      <c r="P164" s="62"/>
      <c r="Q164" s="72">
        <f t="shared" si="17"/>
        <v>4</v>
      </c>
      <c r="R164" s="7"/>
      <c r="S164" s="7"/>
      <c r="T164" s="7"/>
      <c r="U164" s="7"/>
      <c r="V164" s="7"/>
      <c r="W164" s="72" t="str">
        <f t="shared" si="18"/>
        <v>A</v>
      </c>
      <c r="X164" s="7"/>
      <c r="Y164" s="7"/>
      <c r="Z164" s="7"/>
      <c r="AA164" s="7"/>
      <c r="AB164" s="7"/>
      <c r="AC164" s="72" t="str">
        <f t="shared" si="19"/>
        <v>A</v>
      </c>
      <c r="AD164" s="7"/>
      <c r="AE164" s="7"/>
      <c r="AF164" s="7"/>
      <c r="AG164" s="7"/>
      <c r="AH164" s="7"/>
      <c r="AI164" s="72" t="str">
        <f t="shared" si="20"/>
        <v>A</v>
      </c>
      <c r="AJ164" s="7"/>
      <c r="AK164" s="7"/>
      <c r="AL164" s="7"/>
      <c r="AM164" s="7"/>
      <c r="AN164" s="7"/>
      <c r="AO164" s="72" t="str">
        <f t="shared" si="21"/>
        <v>A</v>
      </c>
      <c r="AP164" s="7"/>
      <c r="AQ164" s="7"/>
      <c r="AR164" s="7"/>
      <c r="AS164" s="7"/>
      <c r="AT164" s="7"/>
      <c r="AU164" s="72" t="str">
        <f t="shared" si="22"/>
        <v>A</v>
      </c>
      <c r="AV164" s="7"/>
      <c r="AW164" s="7"/>
      <c r="AX164" s="62">
        <v>5</v>
      </c>
      <c r="AY164" s="62">
        <v>2</v>
      </c>
      <c r="AZ164" s="62">
        <v>5</v>
      </c>
      <c r="BA164" s="72">
        <f t="shared" si="23"/>
        <v>4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3</v>
      </c>
      <c r="M165" s="62"/>
      <c r="N165" s="62">
        <v>3</v>
      </c>
      <c r="O165" s="62">
        <v>3</v>
      </c>
      <c r="P165" s="62"/>
      <c r="Q165" s="72">
        <f t="shared" si="17"/>
        <v>3</v>
      </c>
      <c r="R165" s="62"/>
      <c r="S165" s="62"/>
      <c r="T165" s="62"/>
      <c r="U165" s="62"/>
      <c r="V165" s="62"/>
      <c r="W165" s="72" t="str">
        <f t="shared" si="18"/>
        <v>A</v>
      </c>
      <c r="X165" s="62"/>
      <c r="Y165" s="62"/>
      <c r="Z165" s="62"/>
      <c r="AA165" s="62"/>
      <c r="AB165" s="62"/>
      <c r="AC165" s="72" t="str">
        <f t="shared" si="19"/>
        <v>A</v>
      </c>
      <c r="AD165" s="62"/>
      <c r="AE165" s="62"/>
      <c r="AF165" s="62"/>
      <c r="AG165" s="62"/>
      <c r="AH165" s="62"/>
      <c r="AI165" s="72" t="str">
        <f t="shared" si="20"/>
        <v>A</v>
      </c>
      <c r="AJ165" s="62"/>
      <c r="AK165" s="62"/>
      <c r="AL165" s="62"/>
      <c r="AM165" s="62"/>
      <c r="AN165" s="62"/>
      <c r="AO165" s="72" t="str">
        <f t="shared" si="21"/>
        <v>A</v>
      </c>
      <c r="AP165" s="62"/>
      <c r="AQ165" s="62"/>
      <c r="AR165" s="62"/>
      <c r="AS165" s="62"/>
      <c r="AT165" s="62"/>
      <c r="AU165" s="72" t="str">
        <f t="shared" si="22"/>
        <v>A</v>
      </c>
      <c r="AV165" s="62"/>
      <c r="AW165" s="62"/>
      <c r="AX165" s="62">
        <v>5</v>
      </c>
      <c r="AY165" s="62">
        <v>0</v>
      </c>
      <c r="AZ165" s="62">
        <v>4</v>
      </c>
      <c r="BA165" s="72">
        <f t="shared" si="23"/>
        <v>3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0</v>
      </c>
      <c r="M166" s="62"/>
      <c r="N166" s="62">
        <v>0</v>
      </c>
      <c r="O166" s="62">
        <v>0</v>
      </c>
      <c r="P166" s="62"/>
      <c r="Q166" s="72">
        <f t="shared" si="17"/>
        <v>0</v>
      </c>
      <c r="R166" s="7"/>
      <c r="S166" s="7"/>
      <c r="T166" s="7"/>
      <c r="U166" s="7"/>
      <c r="V166" s="7"/>
      <c r="W166" s="72" t="str">
        <f t="shared" si="18"/>
        <v>A</v>
      </c>
      <c r="X166" s="7"/>
      <c r="Y166" s="7"/>
      <c r="Z166" s="7"/>
      <c r="AA166" s="7"/>
      <c r="AB166" s="7"/>
      <c r="AC166" s="72" t="str">
        <f t="shared" si="19"/>
        <v>A</v>
      </c>
      <c r="AD166" s="7"/>
      <c r="AE166" s="7"/>
      <c r="AF166" s="7"/>
      <c r="AG166" s="7"/>
      <c r="AH166" s="7"/>
      <c r="AI166" s="72" t="str">
        <f t="shared" si="20"/>
        <v>A</v>
      </c>
      <c r="AJ166" s="7"/>
      <c r="AK166" s="7"/>
      <c r="AL166" s="7"/>
      <c r="AM166" s="7"/>
      <c r="AN166" s="7"/>
      <c r="AO166" s="72" t="str">
        <f t="shared" si="21"/>
        <v>A</v>
      </c>
      <c r="AP166" s="7"/>
      <c r="AQ166" s="7"/>
      <c r="AR166" s="7"/>
      <c r="AS166" s="7"/>
      <c r="AT166" s="7"/>
      <c r="AU166" s="72" t="str">
        <f t="shared" si="22"/>
        <v>A</v>
      </c>
      <c r="AV166" s="7"/>
      <c r="AW166" s="7"/>
      <c r="AX166" s="62">
        <v>0</v>
      </c>
      <c r="AY166" s="62">
        <v>0</v>
      </c>
      <c r="AZ166" s="62">
        <v>0</v>
      </c>
      <c r="BA166" s="72">
        <f t="shared" si="23"/>
        <v>0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2</v>
      </c>
      <c r="M167" s="62"/>
      <c r="N167" s="62">
        <v>2</v>
      </c>
      <c r="O167" s="62">
        <v>2</v>
      </c>
      <c r="P167" s="62"/>
      <c r="Q167" s="72">
        <f t="shared" si="17"/>
        <v>2</v>
      </c>
      <c r="R167" s="62"/>
      <c r="S167" s="62"/>
      <c r="T167" s="62"/>
      <c r="U167" s="62"/>
      <c r="V167" s="62"/>
      <c r="W167" s="72" t="str">
        <f t="shared" si="18"/>
        <v>A</v>
      </c>
      <c r="X167" s="62"/>
      <c r="Y167" s="62"/>
      <c r="Z167" s="62"/>
      <c r="AA167" s="62"/>
      <c r="AB167" s="62"/>
      <c r="AC167" s="72" t="str">
        <f t="shared" si="19"/>
        <v>A</v>
      </c>
      <c r="AD167" s="62"/>
      <c r="AE167" s="62"/>
      <c r="AF167" s="62"/>
      <c r="AG167" s="62"/>
      <c r="AH167" s="62"/>
      <c r="AI167" s="72" t="str">
        <f t="shared" si="20"/>
        <v>A</v>
      </c>
      <c r="AJ167" s="62"/>
      <c r="AK167" s="62"/>
      <c r="AL167" s="62"/>
      <c r="AM167" s="62"/>
      <c r="AN167" s="62"/>
      <c r="AO167" s="72" t="str">
        <f t="shared" si="21"/>
        <v>A</v>
      </c>
      <c r="AP167" s="62"/>
      <c r="AQ167" s="62"/>
      <c r="AR167" s="62"/>
      <c r="AS167" s="62"/>
      <c r="AT167" s="62"/>
      <c r="AU167" s="72" t="str">
        <f t="shared" si="22"/>
        <v>A</v>
      </c>
      <c r="AV167" s="62"/>
      <c r="AW167" s="62"/>
      <c r="AX167" s="62">
        <v>5</v>
      </c>
      <c r="AY167" s="62">
        <v>0</v>
      </c>
      <c r="AZ167" s="62">
        <v>2</v>
      </c>
      <c r="BA167" s="72">
        <f t="shared" si="23"/>
        <v>2.3333333333333335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2</v>
      </c>
      <c r="M168" s="62"/>
      <c r="N168" s="62">
        <v>2</v>
      </c>
      <c r="O168" s="62">
        <v>1</v>
      </c>
      <c r="P168" s="62"/>
      <c r="Q168" s="72">
        <f t="shared" si="17"/>
        <v>1.6666666666666667</v>
      </c>
      <c r="R168" s="7"/>
      <c r="S168" s="7"/>
      <c r="T168" s="7"/>
      <c r="U168" s="7"/>
      <c r="V168" s="7"/>
      <c r="W168" s="72" t="str">
        <f t="shared" si="18"/>
        <v>A</v>
      </c>
      <c r="X168" s="7"/>
      <c r="Y168" s="7"/>
      <c r="Z168" s="7"/>
      <c r="AA168" s="7"/>
      <c r="AB168" s="7"/>
      <c r="AC168" s="72" t="str">
        <f t="shared" si="19"/>
        <v>A</v>
      </c>
      <c r="AD168" s="7"/>
      <c r="AE168" s="7"/>
      <c r="AF168" s="7"/>
      <c r="AG168" s="7"/>
      <c r="AH168" s="7"/>
      <c r="AI168" s="72" t="str">
        <f t="shared" si="20"/>
        <v>A</v>
      </c>
      <c r="AJ168" s="7"/>
      <c r="AK168" s="7"/>
      <c r="AL168" s="7"/>
      <c r="AM168" s="7"/>
      <c r="AN168" s="7"/>
      <c r="AO168" s="72" t="str">
        <f t="shared" si="21"/>
        <v>A</v>
      </c>
      <c r="AP168" s="7"/>
      <c r="AQ168" s="7"/>
      <c r="AR168" s="7"/>
      <c r="AS168" s="7"/>
      <c r="AT168" s="7"/>
      <c r="AU168" s="72" t="str">
        <f t="shared" si="22"/>
        <v>A</v>
      </c>
      <c r="AV168" s="7"/>
      <c r="AW168" s="7"/>
      <c r="AX168" s="62">
        <v>5</v>
      </c>
      <c r="AY168" s="62">
        <v>0</v>
      </c>
      <c r="AZ168" s="62">
        <v>1</v>
      </c>
      <c r="BA168" s="72">
        <f t="shared" si="23"/>
        <v>2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4</v>
      </c>
      <c r="M169" s="62"/>
      <c r="N169" s="62">
        <v>4</v>
      </c>
      <c r="O169" s="62">
        <v>3</v>
      </c>
      <c r="P169" s="62"/>
      <c r="Q169" s="72">
        <f t="shared" si="17"/>
        <v>3.6666666666666665</v>
      </c>
      <c r="R169" s="62"/>
      <c r="S169" s="62"/>
      <c r="T169" s="62"/>
      <c r="U169" s="62"/>
      <c r="V169" s="62"/>
      <c r="W169" s="72" t="str">
        <f t="shared" si="18"/>
        <v>A</v>
      </c>
      <c r="X169" s="62"/>
      <c r="Y169" s="62"/>
      <c r="Z169" s="62"/>
      <c r="AA169" s="62"/>
      <c r="AB169" s="62"/>
      <c r="AC169" s="72" t="str">
        <f t="shared" si="19"/>
        <v>A</v>
      </c>
      <c r="AD169" s="62"/>
      <c r="AE169" s="62"/>
      <c r="AF169" s="62"/>
      <c r="AG169" s="62"/>
      <c r="AH169" s="62"/>
      <c r="AI169" s="72" t="str">
        <f t="shared" si="20"/>
        <v>A</v>
      </c>
      <c r="AJ169" s="62"/>
      <c r="AK169" s="62"/>
      <c r="AL169" s="62"/>
      <c r="AM169" s="62"/>
      <c r="AN169" s="62"/>
      <c r="AO169" s="72" t="str">
        <f t="shared" si="21"/>
        <v>A</v>
      </c>
      <c r="AP169" s="62"/>
      <c r="AQ169" s="62"/>
      <c r="AR169" s="62"/>
      <c r="AS169" s="62"/>
      <c r="AT169" s="62"/>
      <c r="AU169" s="72" t="str">
        <f t="shared" si="22"/>
        <v>A</v>
      </c>
      <c r="AV169" s="62"/>
      <c r="AW169" s="62"/>
      <c r="AX169" s="62">
        <v>5</v>
      </c>
      <c r="AY169" s="62">
        <v>0</v>
      </c>
      <c r="AZ169" s="62">
        <v>3</v>
      </c>
      <c r="BA169" s="72">
        <f t="shared" si="23"/>
        <v>2.6666666666666665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4</v>
      </c>
      <c r="M170" s="62"/>
      <c r="N170" s="62">
        <v>4</v>
      </c>
      <c r="O170" s="62">
        <v>4</v>
      </c>
      <c r="P170" s="62"/>
      <c r="Q170" s="72">
        <f t="shared" si="17"/>
        <v>4</v>
      </c>
      <c r="R170" s="7"/>
      <c r="S170" s="7"/>
      <c r="T170" s="7"/>
      <c r="U170" s="7"/>
      <c r="V170" s="7"/>
      <c r="W170" s="72" t="str">
        <f t="shared" si="18"/>
        <v>A</v>
      </c>
      <c r="X170" s="7"/>
      <c r="Y170" s="7"/>
      <c r="Z170" s="7"/>
      <c r="AA170" s="7"/>
      <c r="AB170" s="7"/>
      <c r="AC170" s="72" t="str">
        <f t="shared" si="19"/>
        <v>A</v>
      </c>
      <c r="AD170" s="7"/>
      <c r="AE170" s="7"/>
      <c r="AF170" s="7"/>
      <c r="AG170" s="7"/>
      <c r="AH170" s="7"/>
      <c r="AI170" s="72" t="str">
        <f t="shared" si="20"/>
        <v>A</v>
      </c>
      <c r="AJ170" s="7"/>
      <c r="AK170" s="7"/>
      <c r="AL170" s="7"/>
      <c r="AM170" s="7"/>
      <c r="AN170" s="7"/>
      <c r="AO170" s="72" t="str">
        <f t="shared" si="21"/>
        <v>A</v>
      </c>
      <c r="AP170" s="7"/>
      <c r="AQ170" s="7"/>
      <c r="AR170" s="7"/>
      <c r="AS170" s="7"/>
      <c r="AT170" s="7"/>
      <c r="AU170" s="72" t="str">
        <f t="shared" si="22"/>
        <v>A</v>
      </c>
      <c r="AV170" s="7"/>
      <c r="AW170" s="7"/>
      <c r="AX170" s="62">
        <v>5</v>
      </c>
      <c r="AY170" s="62">
        <v>0</v>
      </c>
      <c r="AZ170" s="62">
        <v>4</v>
      </c>
      <c r="BA170" s="72">
        <f t="shared" si="23"/>
        <v>3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2</v>
      </c>
      <c r="M171" s="62"/>
      <c r="N171" s="62">
        <v>2</v>
      </c>
      <c r="O171" s="62">
        <v>1</v>
      </c>
      <c r="P171" s="62"/>
      <c r="Q171" s="72">
        <f t="shared" si="17"/>
        <v>1.6666666666666667</v>
      </c>
      <c r="R171" s="62"/>
      <c r="S171" s="62"/>
      <c r="T171" s="62"/>
      <c r="U171" s="62"/>
      <c r="V171" s="62"/>
      <c r="W171" s="72" t="str">
        <f t="shared" si="18"/>
        <v>A</v>
      </c>
      <c r="X171" s="62"/>
      <c r="Y171" s="62"/>
      <c r="Z171" s="62"/>
      <c r="AA171" s="62"/>
      <c r="AB171" s="62"/>
      <c r="AC171" s="72" t="str">
        <f t="shared" si="19"/>
        <v>A</v>
      </c>
      <c r="AD171" s="62"/>
      <c r="AE171" s="62"/>
      <c r="AF171" s="62"/>
      <c r="AG171" s="62"/>
      <c r="AH171" s="62"/>
      <c r="AI171" s="72" t="str">
        <f t="shared" si="20"/>
        <v>A</v>
      </c>
      <c r="AJ171" s="62"/>
      <c r="AK171" s="62"/>
      <c r="AL171" s="62"/>
      <c r="AM171" s="62"/>
      <c r="AN171" s="62"/>
      <c r="AO171" s="72" t="str">
        <f t="shared" si="21"/>
        <v>A</v>
      </c>
      <c r="AP171" s="62"/>
      <c r="AQ171" s="62"/>
      <c r="AR171" s="62"/>
      <c r="AS171" s="62"/>
      <c r="AT171" s="62"/>
      <c r="AU171" s="72" t="str">
        <f t="shared" si="22"/>
        <v>A</v>
      </c>
      <c r="AV171" s="62"/>
      <c r="AW171" s="62"/>
      <c r="AX171" s="62">
        <v>5</v>
      </c>
      <c r="AY171" s="62">
        <v>2</v>
      </c>
      <c r="AZ171" s="62">
        <v>1</v>
      </c>
      <c r="BA171" s="72">
        <f t="shared" si="23"/>
        <v>2.6666666666666665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4</v>
      </c>
      <c r="M172" s="62"/>
      <c r="N172" s="62">
        <v>4</v>
      </c>
      <c r="O172" s="62">
        <v>3</v>
      </c>
      <c r="P172" s="62"/>
      <c r="Q172" s="72">
        <f t="shared" si="17"/>
        <v>3.6666666666666665</v>
      </c>
      <c r="R172" s="7"/>
      <c r="S172" s="7"/>
      <c r="T172" s="7"/>
      <c r="U172" s="7"/>
      <c r="V172" s="7"/>
      <c r="W172" s="72" t="str">
        <f t="shared" si="18"/>
        <v>A</v>
      </c>
      <c r="X172" s="7"/>
      <c r="Y172" s="7"/>
      <c r="Z172" s="7"/>
      <c r="AA172" s="7"/>
      <c r="AB172" s="7"/>
      <c r="AC172" s="72" t="str">
        <f t="shared" si="19"/>
        <v>A</v>
      </c>
      <c r="AD172" s="7"/>
      <c r="AE172" s="7"/>
      <c r="AF172" s="7"/>
      <c r="AG172" s="7"/>
      <c r="AH172" s="7"/>
      <c r="AI172" s="72" t="str">
        <f t="shared" si="20"/>
        <v>A</v>
      </c>
      <c r="AJ172" s="7"/>
      <c r="AK172" s="7"/>
      <c r="AL172" s="7"/>
      <c r="AM172" s="7"/>
      <c r="AN172" s="7"/>
      <c r="AO172" s="72" t="str">
        <f t="shared" si="21"/>
        <v>A</v>
      </c>
      <c r="AP172" s="7"/>
      <c r="AQ172" s="7"/>
      <c r="AR172" s="7"/>
      <c r="AS172" s="7"/>
      <c r="AT172" s="7"/>
      <c r="AU172" s="72" t="str">
        <f t="shared" si="22"/>
        <v>A</v>
      </c>
      <c r="AV172" s="7"/>
      <c r="AW172" s="7"/>
      <c r="AX172" s="62">
        <v>5</v>
      </c>
      <c r="AY172" s="62">
        <v>2</v>
      </c>
      <c r="AZ172" s="62">
        <v>3</v>
      </c>
      <c r="BA172" s="72">
        <f t="shared" si="23"/>
        <v>3.3333333333333335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0</v>
      </c>
      <c r="M173" s="62"/>
      <c r="N173" s="62">
        <v>0</v>
      </c>
      <c r="O173" s="62">
        <v>0</v>
      </c>
      <c r="P173" s="62"/>
      <c r="Q173" s="72">
        <f t="shared" si="17"/>
        <v>0</v>
      </c>
      <c r="R173" s="62"/>
      <c r="S173" s="62"/>
      <c r="T173" s="62"/>
      <c r="U173" s="62"/>
      <c r="V173" s="62"/>
      <c r="W173" s="72" t="str">
        <f t="shared" si="18"/>
        <v>A</v>
      </c>
      <c r="X173" s="62"/>
      <c r="Y173" s="62"/>
      <c r="Z173" s="62"/>
      <c r="AA173" s="62"/>
      <c r="AB173" s="62"/>
      <c r="AC173" s="72" t="str">
        <f t="shared" si="19"/>
        <v>A</v>
      </c>
      <c r="AD173" s="62"/>
      <c r="AE173" s="62"/>
      <c r="AF173" s="62"/>
      <c r="AG173" s="62"/>
      <c r="AH173" s="62"/>
      <c r="AI173" s="72" t="str">
        <f t="shared" si="20"/>
        <v>A</v>
      </c>
      <c r="AJ173" s="62"/>
      <c r="AK173" s="62"/>
      <c r="AL173" s="62"/>
      <c r="AM173" s="62"/>
      <c r="AN173" s="62"/>
      <c r="AO173" s="72" t="str">
        <f t="shared" si="21"/>
        <v>A</v>
      </c>
      <c r="AP173" s="62"/>
      <c r="AQ173" s="62"/>
      <c r="AR173" s="62"/>
      <c r="AS173" s="62"/>
      <c r="AT173" s="62"/>
      <c r="AU173" s="72" t="str">
        <f t="shared" si="22"/>
        <v>A</v>
      </c>
      <c r="AV173" s="62"/>
      <c r="AW173" s="62"/>
      <c r="AX173" s="62">
        <v>0</v>
      </c>
      <c r="AY173" s="62">
        <v>0</v>
      </c>
      <c r="AZ173" s="62">
        <v>0</v>
      </c>
      <c r="BA173" s="72">
        <f t="shared" si="23"/>
        <v>0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2</v>
      </c>
      <c r="M174" s="62"/>
      <c r="N174" s="62">
        <v>2</v>
      </c>
      <c r="O174" s="62">
        <v>2</v>
      </c>
      <c r="P174" s="62"/>
      <c r="Q174" s="72">
        <f t="shared" si="17"/>
        <v>2</v>
      </c>
      <c r="R174" s="7"/>
      <c r="S174" s="7"/>
      <c r="T174" s="7"/>
      <c r="U174" s="7"/>
      <c r="V174" s="7"/>
      <c r="W174" s="72" t="str">
        <f t="shared" si="18"/>
        <v>A</v>
      </c>
      <c r="X174" s="7"/>
      <c r="Y174" s="7"/>
      <c r="Z174" s="7"/>
      <c r="AA174" s="7"/>
      <c r="AB174" s="7"/>
      <c r="AC174" s="72" t="str">
        <f t="shared" si="19"/>
        <v>A</v>
      </c>
      <c r="AD174" s="7"/>
      <c r="AE174" s="7"/>
      <c r="AF174" s="7"/>
      <c r="AG174" s="7"/>
      <c r="AH174" s="7"/>
      <c r="AI174" s="72" t="str">
        <f t="shared" si="20"/>
        <v>A</v>
      </c>
      <c r="AJ174" s="7"/>
      <c r="AK174" s="7"/>
      <c r="AL174" s="7"/>
      <c r="AM174" s="7"/>
      <c r="AN174" s="7"/>
      <c r="AO174" s="72" t="str">
        <f t="shared" si="21"/>
        <v>A</v>
      </c>
      <c r="AP174" s="7"/>
      <c r="AQ174" s="7"/>
      <c r="AR174" s="7"/>
      <c r="AS174" s="7"/>
      <c r="AT174" s="7"/>
      <c r="AU174" s="72" t="str">
        <f t="shared" si="22"/>
        <v>A</v>
      </c>
      <c r="AV174" s="7"/>
      <c r="AW174" s="7"/>
      <c r="AX174" s="62">
        <v>2</v>
      </c>
      <c r="AY174" s="62">
        <v>2</v>
      </c>
      <c r="AZ174" s="62">
        <v>2</v>
      </c>
      <c r="BA174" s="72">
        <f t="shared" si="23"/>
        <v>2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2</v>
      </c>
      <c r="M175" s="62"/>
      <c r="N175" s="62">
        <v>2</v>
      </c>
      <c r="O175" s="62">
        <v>1</v>
      </c>
      <c r="P175" s="62"/>
      <c r="Q175" s="72">
        <f t="shared" si="17"/>
        <v>1.6666666666666667</v>
      </c>
      <c r="R175" s="62"/>
      <c r="S175" s="62"/>
      <c r="T175" s="62"/>
      <c r="U175" s="62"/>
      <c r="V175" s="62"/>
      <c r="W175" s="72" t="str">
        <f t="shared" si="18"/>
        <v>A</v>
      </c>
      <c r="X175" s="62"/>
      <c r="Y175" s="62"/>
      <c r="Z175" s="62"/>
      <c r="AA175" s="62"/>
      <c r="AB175" s="62"/>
      <c r="AC175" s="72" t="str">
        <f t="shared" si="19"/>
        <v>A</v>
      </c>
      <c r="AD175" s="62"/>
      <c r="AE175" s="62"/>
      <c r="AF175" s="62"/>
      <c r="AG175" s="62"/>
      <c r="AH175" s="62"/>
      <c r="AI175" s="72" t="str">
        <f t="shared" si="20"/>
        <v>A</v>
      </c>
      <c r="AJ175" s="62"/>
      <c r="AK175" s="62"/>
      <c r="AL175" s="62"/>
      <c r="AM175" s="62"/>
      <c r="AN175" s="62"/>
      <c r="AO175" s="72" t="str">
        <f t="shared" si="21"/>
        <v>A</v>
      </c>
      <c r="AP175" s="62"/>
      <c r="AQ175" s="62"/>
      <c r="AR175" s="62"/>
      <c r="AS175" s="62"/>
      <c r="AT175" s="62"/>
      <c r="AU175" s="72" t="str">
        <f t="shared" si="22"/>
        <v>A</v>
      </c>
      <c r="AV175" s="62"/>
      <c r="AW175" s="62"/>
      <c r="AX175" s="62">
        <v>5</v>
      </c>
      <c r="AY175" s="62">
        <v>2</v>
      </c>
      <c r="AZ175" s="62">
        <v>1</v>
      </c>
      <c r="BA175" s="72">
        <f t="shared" si="23"/>
        <v>2.6666666666666665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3</v>
      </c>
      <c r="M176" s="62"/>
      <c r="N176" s="62">
        <v>3</v>
      </c>
      <c r="O176" s="62">
        <v>3</v>
      </c>
      <c r="P176" s="62"/>
      <c r="Q176" s="72">
        <f t="shared" si="17"/>
        <v>3</v>
      </c>
      <c r="R176" s="7"/>
      <c r="S176" s="7"/>
      <c r="T176" s="7"/>
      <c r="U176" s="7"/>
      <c r="V176" s="7"/>
      <c r="W176" s="72" t="str">
        <f t="shared" si="18"/>
        <v>A</v>
      </c>
      <c r="X176" s="7"/>
      <c r="Y176" s="7"/>
      <c r="Z176" s="7"/>
      <c r="AA176" s="7"/>
      <c r="AB176" s="7"/>
      <c r="AC176" s="72" t="str">
        <f t="shared" si="19"/>
        <v>A</v>
      </c>
      <c r="AD176" s="7"/>
      <c r="AE176" s="7"/>
      <c r="AF176" s="7"/>
      <c r="AG176" s="7"/>
      <c r="AH176" s="7"/>
      <c r="AI176" s="72" t="str">
        <f t="shared" si="20"/>
        <v>A</v>
      </c>
      <c r="AJ176" s="7"/>
      <c r="AK176" s="7"/>
      <c r="AL176" s="7"/>
      <c r="AM176" s="7"/>
      <c r="AN176" s="7"/>
      <c r="AO176" s="72" t="str">
        <f t="shared" si="21"/>
        <v>A</v>
      </c>
      <c r="AP176" s="7"/>
      <c r="AQ176" s="7"/>
      <c r="AR176" s="7"/>
      <c r="AS176" s="7"/>
      <c r="AT176" s="7"/>
      <c r="AU176" s="72" t="str">
        <f t="shared" si="22"/>
        <v>A</v>
      </c>
      <c r="AV176" s="7"/>
      <c r="AW176" s="7"/>
      <c r="AX176" s="62">
        <v>5</v>
      </c>
      <c r="AY176" s="62">
        <v>2</v>
      </c>
      <c r="AZ176" s="62">
        <v>4</v>
      </c>
      <c r="BA176" s="72">
        <f t="shared" si="23"/>
        <v>3.6666666666666665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2</v>
      </c>
      <c r="M177" s="62"/>
      <c r="N177" s="62">
        <v>2</v>
      </c>
      <c r="O177" s="62">
        <v>1</v>
      </c>
      <c r="P177" s="62"/>
      <c r="Q177" s="72">
        <f t="shared" si="17"/>
        <v>1.6666666666666667</v>
      </c>
      <c r="R177" s="62"/>
      <c r="S177" s="62"/>
      <c r="T177" s="62"/>
      <c r="U177" s="62"/>
      <c r="V177" s="62"/>
      <c r="W177" s="72" t="str">
        <f t="shared" si="18"/>
        <v>A</v>
      </c>
      <c r="X177" s="62"/>
      <c r="Y177" s="62"/>
      <c r="Z177" s="62"/>
      <c r="AA177" s="62"/>
      <c r="AB177" s="62"/>
      <c r="AC177" s="72" t="str">
        <f t="shared" si="19"/>
        <v>A</v>
      </c>
      <c r="AD177" s="62"/>
      <c r="AE177" s="62"/>
      <c r="AF177" s="62"/>
      <c r="AG177" s="62"/>
      <c r="AH177" s="62"/>
      <c r="AI177" s="72" t="str">
        <f t="shared" si="20"/>
        <v>A</v>
      </c>
      <c r="AJ177" s="62"/>
      <c r="AK177" s="62"/>
      <c r="AL177" s="62"/>
      <c r="AM177" s="62"/>
      <c r="AN177" s="62"/>
      <c r="AO177" s="72" t="str">
        <f t="shared" si="21"/>
        <v>A</v>
      </c>
      <c r="AP177" s="62"/>
      <c r="AQ177" s="62"/>
      <c r="AR177" s="62"/>
      <c r="AS177" s="62"/>
      <c r="AT177" s="62"/>
      <c r="AU177" s="72" t="str">
        <f t="shared" si="22"/>
        <v>A</v>
      </c>
      <c r="AV177" s="62"/>
      <c r="AW177" s="62"/>
      <c r="AX177" s="62">
        <v>5</v>
      </c>
      <c r="AY177" s="62">
        <v>0</v>
      </c>
      <c r="AZ177" s="62">
        <v>1</v>
      </c>
      <c r="BA177" s="72">
        <f t="shared" si="23"/>
        <v>2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0</v>
      </c>
      <c r="M178" s="62"/>
      <c r="N178" s="62">
        <v>0</v>
      </c>
      <c r="O178" s="62">
        <v>0</v>
      </c>
      <c r="P178" s="62"/>
      <c r="Q178" s="72">
        <f t="shared" si="17"/>
        <v>0</v>
      </c>
      <c r="R178" s="7"/>
      <c r="S178" s="7"/>
      <c r="T178" s="7"/>
      <c r="U178" s="7"/>
      <c r="V178" s="7"/>
      <c r="W178" s="72" t="str">
        <f t="shared" si="18"/>
        <v>A</v>
      </c>
      <c r="X178" s="7"/>
      <c r="Y178" s="7"/>
      <c r="Z178" s="7"/>
      <c r="AA178" s="7"/>
      <c r="AB178" s="7"/>
      <c r="AC178" s="72" t="str">
        <f t="shared" si="19"/>
        <v>A</v>
      </c>
      <c r="AD178" s="7"/>
      <c r="AE178" s="7"/>
      <c r="AF178" s="7"/>
      <c r="AG178" s="7"/>
      <c r="AH178" s="7"/>
      <c r="AI178" s="72" t="str">
        <f t="shared" si="20"/>
        <v>A</v>
      </c>
      <c r="AJ178" s="7"/>
      <c r="AK178" s="7"/>
      <c r="AL178" s="7"/>
      <c r="AM178" s="7"/>
      <c r="AN178" s="7"/>
      <c r="AO178" s="72" t="str">
        <f t="shared" si="21"/>
        <v>A</v>
      </c>
      <c r="AP178" s="7"/>
      <c r="AQ178" s="7"/>
      <c r="AR178" s="7"/>
      <c r="AS178" s="7"/>
      <c r="AT178" s="7"/>
      <c r="AU178" s="72" t="str">
        <f t="shared" si="22"/>
        <v>A</v>
      </c>
      <c r="AV178" s="7"/>
      <c r="AW178" s="7"/>
      <c r="AX178" s="62">
        <v>0</v>
      </c>
      <c r="AY178" s="62">
        <v>0</v>
      </c>
      <c r="AZ178" s="62">
        <v>0</v>
      </c>
      <c r="BA178" s="72">
        <f t="shared" si="23"/>
        <v>0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4</v>
      </c>
      <c r="M179" s="62"/>
      <c r="N179" s="62">
        <v>4</v>
      </c>
      <c r="O179" s="62">
        <v>3</v>
      </c>
      <c r="P179" s="62"/>
      <c r="Q179" s="72">
        <f t="shared" si="17"/>
        <v>3.6666666666666665</v>
      </c>
      <c r="R179" s="62"/>
      <c r="S179" s="62"/>
      <c r="T179" s="62"/>
      <c r="U179" s="62"/>
      <c r="V179" s="62"/>
      <c r="W179" s="72" t="str">
        <f t="shared" si="18"/>
        <v>A</v>
      </c>
      <c r="X179" s="62"/>
      <c r="Y179" s="62"/>
      <c r="Z179" s="62"/>
      <c r="AA179" s="62"/>
      <c r="AB179" s="62"/>
      <c r="AC179" s="72" t="str">
        <f t="shared" si="19"/>
        <v>A</v>
      </c>
      <c r="AD179" s="62"/>
      <c r="AE179" s="62"/>
      <c r="AF179" s="62"/>
      <c r="AG179" s="62"/>
      <c r="AH179" s="62"/>
      <c r="AI179" s="72" t="str">
        <f t="shared" si="20"/>
        <v>A</v>
      </c>
      <c r="AJ179" s="62"/>
      <c r="AK179" s="62"/>
      <c r="AL179" s="62"/>
      <c r="AM179" s="62"/>
      <c r="AN179" s="62"/>
      <c r="AO179" s="72" t="str">
        <f t="shared" si="21"/>
        <v>A</v>
      </c>
      <c r="AP179" s="62"/>
      <c r="AQ179" s="62"/>
      <c r="AR179" s="62"/>
      <c r="AS179" s="62"/>
      <c r="AT179" s="62"/>
      <c r="AU179" s="72" t="str">
        <f t="shared" si="22"/>
        <v>A</v>
      </c>
      <c r="AV179" s="62"/>
      <c r="AW179" s="62"/>
      <c r="AX179" s="62">
        <v>5</v>
      </c>
      <c r="AY179" s="62">
        <v>0</v>
      </c>
      <c r="AZ179" s="62">
        <v>2</v>
      </c>
      <c r="BA179" s="72">
        <f t="shared" si="23"/>
        <v>2.3333333333333335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4</v>
      </c>
      <c r="M180" s="62"/>
      <c r="N180" s="62">
        <v>4</v>
      </c>
      <c r="O180" s="62">
        <v>3</v>
      </c>
      <c r="P180" s="62"/>
      <c r="Q180" s="72">
        <f t="shared" si="17"/>
        <v>3.6666666666666665</v>
      </c>
      <c r="R180" s="7"/>
      <c r="S180" s="7"/>
      <c r="T180" s="7"/>
      <c r="U180" s="7"/>
      <c r="V180" s="7"/>
      <c r="W180" s="72" t="str">
        <f t="shared" si="18"/>
        <v>A</v>
      </c>
      <c r="X180" s="7"/>
      <c r="Y180" s="7"/>
      <c r="Z180" s="7"/>
      <c r="AA180" s="7"/>
      <c r="AB180" s="7"/>
      <c r="AC180" s="72" t="str">
        <f t="shared" si="19"/>
        <v>A</v>
      </c>
      <c r="AD180" s="7"/>
      <c r="AE180" s="7"/>
      <c r="AF180" s="7"/>
      <c r="AG180" s="7"/>
      <c r="AH180" s="7"/>
      <c r="AI180" s="72" t="str">
        <f t="shared" si="20"/>
        <v>A</v>
      </c>
      <c r="AJ180" s="7"/>
      <c r="AK180" s="7"/>
      <c r="AL180" s="7"/>
      <c r="AM180" s="7"/>
      <c r="AN180" s="7"/>
      <c r="AO180" s="72" t="str">
        <f t="shared" si="21"/>
        <v>A</v>
      </c>
      <c r="AP180" s="7"/>
      <c r="AQ180" s="7"/>
      <c r="AR180" s="7"/>
      <c r="AS180" s="7"/>
      <c r="AT180" s="7"/>
      <c r="AU180" s="72" t="str">
        <f t="shared" si="22"/>
        <v>A</v>
      </c>
      <c r="AV180" s="7"/>
      <c r="AW180" s="7"/>
      <c r="AX180" s="62">
        <v>5</v>
      </c>
      <c r="AY180" s="62">
        <v>0</v>
      </c>
      <c r="AZ180" s="62">
        <v>2</v>
      </c>
      <c r="BA180" s="72">
        <f t="shared" si="23"/>
        <v>2.3333333333333335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2</v>
      </c>
      <c r="M181" s="62"/>
      <c r="N181" s="62">
        <v>2</v>
      </c>
      <c r="O181" s="62">
        <v>2</v>
      </c>
      <c r="P181" s="62"/>
      <c r="Q181" s="72">
        <f t="shared" si="17"/>
        <v>2</v>
      </c>
      <c r="R181" s="62"/>
      <c r="S181" s="62"/>
      <c r="T181" s="62"/>
      <c r="U181" s="62"/>
      <c r="V181" s="62"/>
      <c r="W181" s="72" t="str">
        <f t="shared" si="18"/>
        <v>A</v>
      </c>
      <c r="X181" s="62"/>
      <c r="Y181" s="62"/>
      <c r="Z181" s="62"/>
      <c r="AA181" s="62"/>
      <c r="AB181" s="62"/>
      <c r="AC181" s="72" t="str">
        <f t="shared" si="19"/>
        <v>A</v>
      </c>
      <c r="AD181" s="62"/>
      <c r="AE181" s="62"/>
      <c r="AF181" s="62"/>
      <c r="AG181" s="62"/>
      <c r="AH181" s="62"/>
      <c r="AI181" s="72" t="str">
        <f t="shared" si="20"/>
        <v>A</v>
      </c>
      <c r="AJ181" s="62"/>
      <c r="AK181" s="62"/>
      <c r="AL181" s="62"/>
      <c r="AM181" s="62"/>
      <c r="AN181" s="62"/>
      <c r="AO181" s="72" t="str">
        <f t="shared" si="21"/>
        <v>A</v>
      </c>
      <c r="AP181" s="62"/>
      <c r="AQ181" s="62"/>
      <c r="AR181" s="62"/>
      <c r="AS181" s="62"/>
      <c r="AT181" s="62"/>
      <c r="AU181" s="72" t="str">
        <f t="shared" si="22"/>
        <v>A</v>
      </c>
      <c r="AV181" s="62"/>
      <c r="AW181" s="62"/>
      <c r="AX181" s="62">
        <v>5</v>
      </c>
      <c r="AY181" s="62">
        <v>0</v>
      </c>
      <c r="AZ181" s="62">
        <v>2</v>
      </c>
      <c r="BA181" s="72">
        <f t="shared" si="23"/>
        <v>2.3333333333333335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3</v>
      </c>
      <c r="M182" s="62"/>
      <c r="N182" s="62">
        <v>4</v>
      </c>
      <c r="O182" s="62">
        <v>3</v>
      </c>
      <c r="P182" s="62"/>
      <c r="Q182" s="72">
        <f t="shared" si="17"/>
        <v>3.3333333333333335</v>
      </c>
      <c r="R182" s="7"/>
      <c r="S182" s="7"/>
      <c r="T182" s="7"/>
      <c r="U182" s="7"/>
      <c r="V182" s="7"/>
      <c r="W182" s="72" t="str">
        <f t="shared" si="18"/>
        <v>A</v>
      </c>
      <c r="X182" s="7"/>
      <c r="Y182" s="7"/>
      <c r="Z182" s="7"/>
      <c r="AA182" s="7"/>
      <c r="AB182" s="7"/>
      <c r="AC182" s="72" t="str">
        <f t="shared" si="19"/>
        <v>A</v>
      </c>
      <c r="AD182" s="7"/>
      <c r="AE182" s="7"/>
      <c r="AF182" s="7"/>
      <c r="AG182" s="7"/>
      <c r="AH182" s="7"/>
      <c r="AI182" s="72" t="str">
        <f t="shared" si="20"/>
        <v>A</v>
      </c>
      <c r="AJ182" s="7"/>
      <c r="AK182" s="7"/>
      <c r="AL182" s="7"/>
      <c r="AM182" s="7"/>
      <c r="AN182" s="7"/>
      <c r="AO182" s="72" t="str">
        <f t="shared" si="21"/>
        <v>A</v>
      </c>
      <c r="AP182" s="7"/>
      <c r="AQ182" s="7"/>
      <c r="AR182" s="7"/>
      <c r="AS182" s="7"/>
      <c r="AT182" s="7"/>
      <c r="AU182" s="72" t="str">
        <f t="shared" si="22"/>
        <v>A</v>
      </c>
      <c r="AV182" s="7"/>
      <c r="AW182" s="7"/>
      <c r="AX182" s="62">
        <v>5</v>
      </c>
      <c r="AY182" s="62">
        <v>0</v>
      </c>
      <c r="AZ182" s="62">
        <v>3</v>
      </c>
      <c r="BA182" s="72">
        <f t="shared" si="23"/>
        <v>2.6666666666666665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4</v>
      </c>
      <c r="M183" s="62"/>
      <c r="N183" s="62">
        <v>4</v>
      </c>
      <c r="O183" s="62">
        <v>3</v>
      </c>
      <c r="P183" s="62"/>
      <c r="Q183" s="72">
        <f t="shared" si="17"/>
        <v>3.6666666666666665</v>
      </c>
      <c r="R183" s="62"/>
      <c r="S183" s="62"/>
      <c r="T183" s="62"/>
      <c r="U183" s="62"/>
      <c r="V183" s="62"/>
      <c r="W183" s="72" t="str">
        <f t="shared" si="18"/>
        <v>A</v>
      </c>
      <c r="X183" s="62"/>
      <c r="Y183" s="62"/>
      <c r="Z183" s="62"/>
      <c r="AA183" s="62"/>
      <c r="AB183" s="62"/>
      <c r="AC183" s="72" t="str">
        <f t="shared" si="19"/>
        <v>A</v>
      </c>
      <c r="AD183" s="62"/>
      <c r="AE183" s="62"/>
      <c r="AF183" s="62"/>
      <c r="AG183" s="62"/>
      <c r="AH183" s="62"/>
      <c r="AI183" s="72" t="str">
        <f t="shared" si="20"/>
        <v>A</v>
      </c>
      <c r="AJ183" s="62"/>
      <c r="AK183" s="62"/>
      <c r="AL183" s="62"/>
      <c r="AM183" s="62"/>
      <c r="AN183" s="62"/>
      <c r="AO183" s="72" t="str">
        <f t="shared" si="21"/>
        <v>A</v>
      </c>
      <c r="AP183" s="62"/>
      <c r="AQ183" s="62"/>
      <c r="AR183" s="62"/>
      <c r="AS183" s="62"/>
      <c r="AT183" s="62"/>
      <c r="AU183" s="72" t="str">
        <f t="shared" si="22"/>
        <v>A</v>
      </c>
      <c r="AV183" s="62"/>
      <c r="AW183" s="62"/>
      <c r="AX183" s="62">
        <v>5</v>
      </c>
      <c r="AY183" s="62">
        <v>2</v>
      </c>
      <c r="AZ183" s="62">
        <v>3</v>
      </c>
      <c r="BA183" s="72">
        <f t="shared" si="23"/>
        <v>3.3333333333333335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/>
      <c r="N184" s="62">
        <v>4</v>
      </c>
      <c r="O184" s="62">
        <v>4</v>
      </c>
      <c r="P184" s="62"/>
      <c r="Q184" s="72">
        <f t="shared" si="17"/>
        <v>4</v>
      </c>
      <c r="R184" s="7"/>
      <c r="S184" s="7"/>
      <c r="T184" s="7"/>
      <c r="U184" s="7"/>
      <c r="V184" s="7"/>
      <c r="W184" s="72" t="str">
        <f t="shared" si="18"/>
        <v>A</v>
      </c>
      <c r="X184" s="7"/>
      <c r="Y184" s="7"/>
      <c r="Z184" s="7"/>
      <c r="AA184" s="7"/>
      <c r="AB184" s="7"/>
      <c r="AC184" s="72" t="str">
        <f t="shared" si="19"/>
        <v>A</v>
      </c>
      <c r="AD184" s="7"/>
      <c r="AE184" s="7"/>
      <c r="AF184" s="7"/>
      <c r="AG184" s="7"/>
      <c r="AH184" s="7"/>
      <c r="AI184" s="72" t="str">
        <f t="shared" si="20"/>
        <v>A</v>
      </c>
      <c r="AJ184" s="7"/>
      <c r="AK184" s="7"/>
      <c r="AL184" s="7"/>
      <c r="AM184" s="7"/>
      <c r="AN184" s="7"/>
      <c r="AO184" s="72" t="str">
        <f t="shared" si="21"/>
        <v>A</v>
      </c>
      <c r="AP184" s="7"/>
      <c r="AQ184" s="7"/>
      <c r="AR184" s="7"/>
      <c r="AS184" s="7"/>
      <c r="AT184" s="7"/>
      <c r="AU184" s="72" t="str">
        <f t="shared" si="22"/>
        <v>A</v>
      </c>
      <c r="AV184" s="7"/>
      <c r="AW184" s="7"/>
      <c r="AX184" s="62">
        <v>5</v>
      </c>
      <c r="AY184" s="62">
        <v>0</v>
      </c>
      <c r="AZ184" s="62">
        <v>4</v>
      </c>
      <c r="BA184" s="72">
        <f t="shared" si="23"/>
        <v>3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4</v>
      </c>
      <c r="M185" s="62"/>
      <c r="N185" s="62">
        <v>4</v>
      </c>
      <c r="O185" s="62">
        <v>4</v>
      </c>
      <c r="P185" s="62"/>
      <c r="Q185" s="72">
        <f t="shared" si="17"/>
        <v>4</v>
      </c>
      <c r="R185" s="62"/>
      <c r="S185" s="62"/>
      <c r="T185" s="62"/>
      <c r="U185" s="62"/>
      <c r="V185" s="62"/>
      <c r="W185" s="72" t="str">
        <f t="shared" si="18"/>
        <v>A</v>
      </c>
      <c r="X185" s="62"/>
      <c r="Y185" s="62"/>
      <c r="Z185" s="62"/>
      <c r="AA185" s="62"/>
      <c r="AB185" s="62"/>
      <c r="AC185" s="72" t="str">
        <f t="shared" si="19"/>
        <v>A</v>
      </c>
      <c r="AD185" s="62"/>
      <c r="AE185" s="62"/>
      <c r="AF185" s="62"/>
      <c r="AG185" s="62"/>
      <c r="AH185" s="62"/>
      <c r="AI185" s="72" t="str">
        <f t="shared" si="20"/>
        <v>A</v>
      </c>
      <c r="AJ185" s="62"/>
      <c r="AK185" s="62"/>
      <c r="AL185" s="62"/>
      <c r="AM185" s="62"/>
      <c r="AN185" s="62"/>
      <c r="AO185" s="72" t="str">
        <f t="shared" si="21"/>
        <v>A</v>
      </c>
      <c r="AP185" s="62"/>
      <c r="AQ185" s="62"/>
      <c r="AR185" s="62"/>
      <c r="AS185" s="62"/>
      <c r="AT185" s="62"/>
      <c r="AU185" s="72" t="str">
        <f t="shared" si="22"/>
        <v>A</v>
      </c>
      <c r="AV185" s="62"/>
      <c r="AW185" s="62"/>
      <c r="AX185" s="62">
        <v>5</v>
      </c>
      <c r="AY185" s="62">
        <v>2</v>
      </c>
      <c r="AZ185" s="62">
        <v>4</v>
      </c>
      <c r="BA185" s="72">
        <f t="shared" si="23"/>
        <v>3.6666666666666665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0</v>
      </c>
      <c r="M186" s="62"/>
      <c r="N186" s="62">
        <v>0</v>
      </c>
      <c r="O186" s="62">
        <v>0</v>
      </c>
      <c r="P186" s="62"/>
      <c r="Q186" s="72">
        <f t="shared" si="17"/>
        <v>0</v>
      </c>
      <c r="R186" s="7"/>
      <c r="S186" s="7"/>
      <c r="T186" s="7"/>
      <c r="U186" s="7"/>
      <c r="V186" s="7"/>
      <c r="W186" s="72" t="str">
        <f t="shared" si="18"/>
        <v>A</v>
      </c>
      <c r="X186" s="7"/>
      <c r="Y186" s="7"/>
      <c r="Z186" s="7"/>
      <c r="AA186" s="7"/>
      <c r="AB186" s="7"/>
      <c r="AC186" s="72" t="str">
        <f t="shared" si="19"/>
        <v>A</v>
      </c>
      <c r="AD186" s="7"/>
      <c r="AE186" s="7"/>
      <c r="AF186" s="7"/>
      <c r="AG186" s="7"/>
      <c r="AH186" s="7"/>
      <c r="AI186" s="72" t="str">
        <f t="shared" si="20"/>
        <v>A</v>
      </c>
      <c r="AJ186" s="7"/>
      <c r="AK186" s="7"/>
      <c r="AL186" s="7"/>
      <c r="AM186" s="7"/>
      <c r="AN186" s="7"/>
      <c r="AO186" s="72" t="str">
        <f t="shared" si="21"/>
        <v>A</v>
      </c>
      <c r="AP186" s="7"/>
      <c r="AQ186" s="7"/>
      <c r="AR186" s="7"/>
      <c r="AS186" s="7"/>
      <c r="AT186" s="7"/>
      <c r="AU186" s="72" t="str">
        <f t="shared" si="22"/>
        <v>A</v>
      </c>
      <c r="AV186" s="7"/>
      <c r="AW186" s="7"/>
      <c r="AX186" s="62">
        <v>0</v>
      </c>
      <c r="AY186" s="62">
        <v>0</v>
      </c>
      <c r="AZ186" s="62">
        <v>0</v>
      </c>
      <c r="BA186" s="72">
        <f t="shared" si="23"/>
        <v>0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2</v>
      </c>
      <c r="M187" s="62"/>
      <c r="N187" s="62">
        <v>2</v>
      </c>
      <c r="O187" s="62">
        <v>2</v>
      </c>
      <c r="P187" s="62"/>
      <c r="Q187" s="72">
        <f t="shared" si="17"/>
        <v>2</v>
      </c>
      <c r="R187" s="62"/>
      <c r="S187" s="62"/>
      <c r="T187" s="62"/>
      <c r="U187" s="62"/>
      <c r="V187" s="62"/>
      <c r="W187" s="72" t="str">
        <f t="shared" si="18"/>
        <v>A</v>
      </c>
      <c r="X187" s="62"/>
      <c r="Y187" s="62"/>
      <c r="Z187" s="62"/>
      <c r="AA187" s="62"/>
      <c r="AB187" s="62"/>
      <c r="AC187" s="72" t="str">
        <f t="shared" si="19"/>
        <v>A</v>
      </c>
      <c r="AD187" s="62"/>
      <c r="AE187" s="62"/>
      <c r="AF187" s="62"/>
      <c r="AG187" s="62"/>
      <c r="AH187" s="62"/>
      <c r="AI187" s="72" t="str">
        <f t="shared" si="20"/>
        <v>A</v>
      </c>
      <c r="AJ187" s="62"/>
      <c r="AK187" s="62"/>
      <c r="AL187" s="62"/>
      <c r="AM187" s="62"/>
      <c r="AN187" s="62"/>
      <c r="AO187" s="72" t="str">
        <f t="shared" si="21"/>
        <v>A</v>
      </c>
      <c r="AP187" s="62"/>
      <c r="AQ187" s="62"/>
      <c r="AR187" s="62"/>
      <c r="AS187" s="62"/>
      <c r="AT187" s="62"/>
      <c r="AU187" s="72" t="str">
        <f t="shared" si="22"/>
        <v>A</v>
      </c>
      <c r="AV187" s="62"/>
      <c r="AW187" s="62"/>
      <c r="AX187" s="62">
        <v>2</v>
      </c>
      <c r="AY187" s="62">
        <v>2</v>
      </c>
      <c r="AZ187" s="62">
        <v>2</v>
      </c>
      <c r="BA187" s="72">
        <f t="shared" si="23"/>
        <v>2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4</v>
      </c>
      <c r="M188" s="62"/>
      <c r="N188" s="62">
        <v>4</v>
      </c>
      <c r="O188" s="62">
        <v>3</v>
      </c>
      <c r="P188" s="62"/>
      <c r="Q188" s="72">
        <f t="shared" si="17"/>
        <v>3.6666666666666665</v>
      </c>
      <c r="R188" s="7"/>
      <c r="S188" s="7"/>
      <c r="T188" s="7"/>
      <c r="U188" s="7"/>
      <c r="V188" s="7"/>
      <c r="W188" s="72" t="str">
        <f t="shared" si="18"/>
        <v>A</v>
      </c>
      <c r="X188" s="7"/>
      <c r="Y188" s="7"/>
      <c r="Z188" s="7"/>
      <c r="AA188" s="7"/>
      <c r="AB188" s="7"/>
      <c r="AC188" s="72" t="str">
        <f t="shared" si="19"/>
        <v>A</v>
      </c>
      <c r="AD188" s="7"/>
      <c r="AE188" s="7"/>
      <c r="AF188" s="7"/>
      <c r="AG188" s="7"/>
      <c r="AH188" s="7"/>
      <c r="AI188" s="72" t="str">
        <f t="shared" si="20"/>
        <v>A</v>
      </c>
      <c r="AJ188" s="7"/>
      <c r="AK188" s="7"/>
      <c r="AL188" s="7"/>
      <c r="AM188" s="7"/>
      <c r="AN188" s="7"/>
      <c r="AO188" s="72" t="str">
        <f t="shared" si="21"/>
        <v>A</v>
      </c>
      <c r="AP188" s="7"/>
      <c r="AQ188" s="7"/>
      <c r="AR188" s="7"/>
      <c r="AS188" s="7"/>
      <c r="AT188" s="7"/>
      <c r="AU188" s="72" t="str">
        <f t="shared" si="22"/>
        <v>A</v>
      </c>
      <c r="AV188" s="7"/>
      <c r="AW188" s="7"/>
      <c r="AX188" s="62">
        <v>5</v>
      </c>
      <c r="AY188" s="62">
        <v>2</v>
      </c>
      <c r="AZ188" s="62">
        <v>2</v>
      </c>
      <c r="BA188" s="72">
        <f t="shared" si="23"/>
        <v>3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/>
      <c r="N189" s="62">
        <v>2</v>
      </c>
      <c r="O189" s="62">
        <v>2</v>
      </c>
      <c r="P189" s="62"/>
      <c r="Q189" s="72">
        <f t="shared" si="17"/>
        <v>2</v>
      </c>
      <c r="R189" s="62"/>
      <c r="S189" s="62"/>
      <c r="T189" s="62"/>
      <c r="U189" s="62"/>
      <c r="V189" s="62"/>
      <c r="W189" s="72" t="str">
        <f t="shared" si="18"/>
        <v>A</v>
      </c>
      <c r="X189" s="62"/>
      <c r="Y189" s="62"/>
      <c r="Z189" s="62"/>
      <c r="AA189" s="62"/>
      <c r="AB189" s="62"/>
      <c r="AC189" s="72" t="str">
        <f t="shared" si="19"/>
        <v>A</v>
      </c>
      <c r="AD189" s="62"/>
      <c r="AE189" s="62"/>
      <c r="AF189" s="62"/>
      <c r="AG189" s="62"/>
      <c r="AH189" s="62"/>
      <c r="AI189" s="72" t="str">
        <f t="shared" si="20"/>
        <v>A</v>
      </c>
      <c r="AJ189" s="62"/>
      <c r="AK189" s="62"/>
      <c r="AL189" s="62"/>
      <c r="AM189" s="62"/>
      <c r="AN189" s="62"/>
      <c r="AO189" s="72" t="str">
        <f t="shared" si="21"/>
        <v>A</v>
      </c>
      <c r="AP189" s="62"/>
      <c r="AQ189" s="62"/>
      <c r="AR189" s="62"/>
      <c r="AS189" s="62"/>
      <c r="AT189" s="62"/>
      <c r="AU189" s="72" t="str">
        <f t="shared" si="22"/>
        <v>A</v>
      </c>
      <c r="AV189" s="62"/>
      <c r="AW189" s="62"/>
      <c r="AX189" s="62">
        <v>5</v>
      </c>
      <c r="AY189" s="62">
        <v>2</v>
      </c>
      <c r="AZ189" s="62">
        <v>2</v>
      </c>
      <c r="BA189" s="72">
        <f t="shared" si="23"/>
        <v>3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3</v>
      </c>
      <c r="M190" s="62"/>
      <c r="N190" s="62">
        <v>3</v>
      </c>
      <c r="O190" s="62">
        <v>3</v>
      </c>
      <c r="P190" s="62"/>
      <c r="Q190" s="72">
        <f t="shared" si="17"/>
        <v>3</v>
      </c>
      <c r="R190" s="7"/>
      <c r="S190" s="7"/>
      <c r="T190" s="7"/>
      <c r="U190" s="7"/>
      <c r="V190" s="7"/>
      <c r="W190" s="72" t="str">
        <f t="shared" si="18"/>
        <v>A</v>
      </c>
      <c r="X190" s="7"/>
      <c r="Y190" s="7"/>
      <c r="Z190" s="7"/>
      <c r="AA190" s="7"/>
      <c r="AB190" s="7"/>
      <c r="AC190" s="72" t="str">
        <f t="shared" si="19"/>
        <v>A</v>
      </c>
      <c r="AD190" s="7"/>
      <c r="AE190" s="7"/>
      <c r="AF190" s="7"/>
      <c r="AG190" s="7"/>
      <c r="AH190" s="7"/>
      <c r="AI190" s="72" t="str">
        <f t="shared" si="20"/>
        <v>A</v>
      </c>
      <c r="AJ190" s="7"/>
      <c r="AK190" s="7"/>
      <c r="AL190" s="7"/>
      <c r="AM190" s="7"/>
      <c r="AN190" s="7"/>
      <c r="AO190" s="72" t="str">
        <f t="shared" si="21"/>
        <v>A</v>
      </c>
      <c r="AP190" s="7"/>
      <c r="AQ190" s="7"/>
      <c r="AR190" s="7"/>
      <c r="AS190" s="7"/>
      <c r="AT190" s="7"/>
      <c r="AU190" s="72" t="str">
        <f t="shared" si="22"/>
        <v>A</v>
      </c>
      <c r="AV190" s="7"/>
      <c r="AW190" s="7"/>
      <c r="AX190" s="62">
        <v>5</v>
      </c>
      <c r="AY190" s="62">
        <v>0</v>
      </c>
      <c r="AZ190" s="62">
        <v>3</v>
      </c>
      <c r="BA190" s="72">
        <f t="shared" si="23"/>
        <v>2.6666666666666665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3</v>
      </c>
      <c r="M191" s="62"/>
      <c r="N191" s="62">
        <v>4</v>
      </c>
      <c r="O191" s="62">
        <v>3</v>
      </c>
      <c r="P191" s="62"/>
      <c r="Q191" s="72">
        <f t="shared" si="17"/>
        <v>3.3333333333333335</v>
      </c>
      <c r="R191" s="62"/>
      <c r="S191" s="62"/>
      <c r="T191" s="62"/>
      <c r="U191" s="62"/>
      <c r="V191" s="62"/>
      <c r="W191" s="72" t="str">
        <f t="shared" si="18"/>
        <v>A</v>
      </c>
      <c r="X191" s="62"/>
      <c r="Y191" s="62"/>
      <c r="Z191" s="62"/>
      <c r="AA191" s="62"/>
      <c r="AB191" s="62"/>
      <c r="AC191" s="72" t="str">
        <f t="shared" si="19"/>
        <v>A</v>
      </c>
      <c r="AD191" s="62"/>
      <c r="AE191" s="62"/>
      <c r="AF191" s="62"/>
      <c r="AG191" s="62"/>
      <c r="AH191" s="62"/>
      <c r="AI191" s="72" t="str">
        <f t="shared" si="20"/>
        <v>A</v>
      </c>
      <c r="AJ191" s="62"/>
      <c r="AK191" s="62"/>
      <c r="AL191" s="62"/>
      <c r="AM191" s="62"/>
      <c r="AN191" s="62"/>
      <c r="AO191" s="72" t="str">
        <f t="shared" si="21"/>
        <v>A</v>
      </c>
      <c r="AP191" s="62"/>
      <c r="AQ191" s="62"/>
      <c r="AR191" s="62"/>
      <c r="AS191" s="62"/>
      <c r="AT191" s="62"/>
      <c r="AU191" s="72" t="str">
        <f t="shared" si="22"/>
        <v>A</v>
      </c>
      <c r="AV191" s="62"/>
      <c r="AW191" s="62"/>
      <c r="AX191" s="62">
        <v>5</v>
      </c>
      <c r="AY191" s="62">
        <v>2</v>
      </c>
      <c r="AZ191" s="62">
        <v>3</v>
      </c>
      <c r="BA191" s="72">
        <f t="shared" si="23"/>
        <v>3.3333333333333335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4</v>
      </c>
      <c r="M192" s="62"/>
      <c r="N192" s="62">
        <v>3</v>
      </c>
      <c r="O192" s="62">
        <v>3</v>
      </c>
      <c r="P192" s="62"/>
      <c r="Q192" s="72">
        <f t="shared" si="17"/>
        <v>3.3333333333333335</v>
      </c>
      <c r="R192" s="7"/>
      <c r="S192" s="7"/>
      <c r="T192" s="7"/>
      <c r="U192" s="7"/>
      <c r="V192" s="7"/>
      <c r="W192" s="72" t="str">
        <f t="shared" si="18"/>
        <v>A</v>
      </c>
      <c r="X192" s="7"/>
      <c r="Y192" s="7"/>
      <c r="Z192" s="7"/>
      <c r="AA192" s="7"/>
      <c r="AB192" s="7"/>
      <c r="AC192" s="72" t="str">
        <f t="shared" si="19"/>
        <v>A</v>
      </c>
      <c r="AD192" s="7"/>
      <c r="AE192" s="7"/>
      <c r="AF192" s="7"/>
      <c r="AG192" s="7"/>
      <c r="AH192" s="7"/>
      <c r="AI192" s="72" t="str">
        <f t="shared" si="20"/>
        <v>A</v>
      </c>
      <c r="AJ192" s="7"/>
      <c r="AK192" s="7"/>
      <c r="AL192" s="7"/>
      <c r="AM192" s="7"/>
      <c r="AN192" s="7"/>
      <c r="AO192" s="72" t="str">
        <f t="shared" si="21"/>
        <v>A</v>
      </c>
      <c r="AP192" s="7"/>
      <c r="AQ192" s="7"/>
      <c r="AR192" s="7"/>
      <c r="AS192" s="7"/>
      <c r="AT192" s="7"/>
      <c r="AU192" s="72" t="str">
        <f t="shared" si="22"/>
        <v>A</v>
      </c>
      <c r="AV192" s="7"/>
      <c r="AW192" s="7"/>
      <c r="AX192" s="62">
        <v>4</v>
      </c>
      <c r="AY192" s="62">
        <v>2</v>
      </c>
      <c r="AZ192" s="62">
        <v>4</v>
      </c>
      <c r="BA192" s="72">
        <f t="shared" si="23"/>
        <v>3.3333333333333335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2</v>
      </c>
      <c r="M193" s="62"/>
      <c r="N193" s="62">
        <v>2</v>
      </c>
      <c r="O193" s="62">
        <v>2</v>
      </c>
      <c r="P193" s="62"/>
      <c r="Q193" s="72">
        <f t="shared" si="17"/>
        <v>2</v>
      </c>
      <c r="R193" s="62"/>
      <c r="S193" s="62"/>
      <c r="T193" s="62"/>
      <c r="U193" s="62"/>
      <c r="V193" s="62"/>
      <c r="W193" s="72" t="str">
        <f t="shared" si="18"/>
        <v>A</v>
      </c>
      <c r="X193" s="62"/>
      <c r="Y193" s="62"/>
      <c r="Z193" s="62"/>
      <c r="AA193" s="62"/>
      <c r="AB193" s="62"/>
      <c r="AC193" s="72" t="str">
        <f t="shared" si="19"/>
        <v>A</v>
      </c>
      <c r="AD193" s="62"/>
      <c r="AE193" s="62"/>
      <c r="AF193" s="62"/>
      <c r="AG193" s="62"/>
      <c r="AH193" s="62"/>
      <c r="AI193" s="72" t="str">
        <f t="shared" si="20"/>
        <v>A</v>
      </c>
      <c r="AJ193" s="62"/>
      <c r="AK193" s="62"/>
      <c r="AL193" s="62"/>
      <c r="AM193" s="62"/>
      <c r="AN193" s="62"/>
      <c r="AO193" s="72" t="str">
        <f t="shared" si="21"/>
        <v>A</v>
      </c>
      <c r="AP193" s="62"/>
      <c r="AQ193" s="62"/>
      <c r="AR193" s="62"/>
      <c r="AS193" s="62"/>
      <c r="AT193" s="62"/>
      <c r="AU193" s="72" t="str">
        <f t="shared" si="22"/>
        <v>A</v>
      </c>
      <c r="AV193" s="62"/>
      <c r="AW193" s="62"/>
      <c r="AX193" s="62">
        <v>2</v>
      </c>
      <c r="AY193" s="62">
        <v>2</v>
      </c>
      <c r="AZ193" s="62">
        <v>2</v>
      </c>
      <c r="BA193" s="72">
        <f t="shared" si="23"/>
        <v>2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2</v>
      </c>
      <c r="M194" s="62"/>
      <c r="N194" s="62">
        <v>2</v>
      </c>
      <c r="O194" s="62">
        <v>2</v>
      </c>
      <c r="P194" s="62"/>
      <c r="Q194" s="72">
        <f t="shared" si="17"/>
        <v>2</v>
      </c>
      <c r="R194" s="7"/>
      <c r="S194" s="7"/>
      <c r="T194" s="7"/>
      <c r="U194" s="7"/>
      <c r="V194" s="7"/>
      <c r="W194" s="72" t="str">
        <f t="shared" si="18"/>
        <v>A</v>
      </c>
      <c r="X194" s="7"/>
      <c r="Y194" s="7"/>
      <c r="Z194" s="7"/>
      <c r="AA194" s="7"/>
      <c r="AB194" s="7"/>
      <c r="AC194" s="72" t="str">
        <f t="shared" si="19"/>
        <v>A</v>
      </c>
      <c r="AD194" s="7"/>
      <c r="AE194" s="7"/>
      <c r="AF194" s="7"/>
      <c r="AG194" s="7"/>
      <c r="AH194" s="7"/>
      <c r="AI194" s="72" t="str">
        <f t="shared" si="20"/>
        <v>A</v>
      </c>
      <c r="AJ194" s="7"/>
      <c r="AK194" s="7"/>
      <c r="AL194" s="7"/>
      <c r="AM194" s="7"/>
      <c r="AN194" s="7"/>
      <c r="AO194" s="72" t="str">
        <f t="shared" si="21"/>
        <v>A</v>
      </c>
      <c r="AP194" s="7"/>
      <c r="AQ194" s="7"/>
      <c r="AR194" s="7"/>
      <c r="AS194" s="7"/>
      <c r="AT194" s="7"/>
      <c r="AU194" s="72" t="str">
        <f t="shared" si="22"/>
        <v>A</v>
      </c>
      <c r="AV194" s="7"/>
      <c r="AW194" s="7"/>
      <c r="AX194" s="62">
        <v>2</v>
      </c>
      <c r="AY194" s="62">
        <v>2</v>
      </c>
      <c r="AZ194" s="62">
        <v>2</v>
      </c>
      <c r="BA194" s="72">
        <f t="shared" si="23"/>
        <v>2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4</v>
      </c>
      <c r="M195" s="62"/>
      <c r="N195" s="62">
        <v>4</v>
      </c>
      <c r="O195" s="62">
        <v>4</v>
      </c>
      <c r="P195" s="62"/>
      <c r="Q195" s="72">
        <f t="shared" si="17"/>
        <v>4</v>
      </c>
      <c r="R195" s="62"/>
      <c r="S195" s="62"/>
      <c r="T195" s="62"/>
      <c r="U195" s="62"/>
      <c r="V195" s="62"/>
      <c r="W195" s="72" t="str">
        <f t="shared" si="18"/>
        <v>A</v>
      </c>
      <c r="X195" s="62"/>
      <c r="Y195" s="62"/>
      <c r="Z195" s="62"/>
      <c r="AA195" s="62"/>
      <c r="AB195" s="62"/>
      <c r="AC195" s="72" t="str">
        <f t="shared" si="19"/>
        <v>A</v>
      </c>
      <c r="AD195" s="62"/>
      <c r="AE195" s="62"/>
      <c r="AF195" s="62"/>
      <c r="AG195" s="62"/>
      <c r="AH195" s="62"/>
      <c r="AI195" s="72" t="str">
        <f t="shared" si="20"/>
        <v>A</v>
      </c>
      <c r="AJ195" s="62"/>
      <c r="AK195" s="62"/>
      <c r="AL195" s="62"/>
      <c r="AM195" s="62"/>
      <c r="AN195" s="62"/>
      <c r="AO195" s="72" t="str">
        <f t="shared" si="21"/>
        <v>A</v>
      </c>
      <c r="AP195" s="62"/>
      <c r="AQ195" s="62"/>
      <c r="AR195" s="62"/>
      <c r="AS195" s="62"/>
      <c r="AT195" s="62"/>
      <c r="AU195" s="72" t="str">
        <f t="shared" si="22"/>
        <v>A</v>
      </c>
      <c r="AV195" s="62"/>
      <c r="AW195" s="62"/>
      <c r="AX195" s="62">
        <v>2</v>
      </c>
      <c r="AY195" s="62">
        <v>2</v>
      </c>
      <c r="AZ195" s="62">
        <v>2</v>
      </c>
      <c r="BA195" s="72">
        <f t="shared" si="23"/>
        <v>2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2</v>
      </c>
      <c r="M196" s="62"/>
      <c r="N196" s="62">
        <v>2</v>
      </c>
      <c r="O196" s="62">
        <v>2</v>
      </c>
      <c r="P196" s="62"/>
      <c r="Q196" s="72">
        <f t="shared" ref="Q196:Q230" si="25">IFERROR(AVERAGE(N196,L196,O196),"A")</f>
        <v>2</v>
      </c>
      <c r="R196" s="7"/>
      <c r="S196" s="7"/>
      <c r="T196" s="7"/>
      <c r="U196" s="7"/>
      <c r="V196" s="7"/>
      <c r="W196" s="72" t="str">
        <f t="shared" ref="W196:W230" si="26">IFERROR(AVERAGE(R196,S196,U196),"A")</f>
        <v>A</v>
      </c>
      <c r="X196" s="7"/>
      <c r="Y196" s="7"/>
      <c r="Z196" s="7"/>
      <c r="AA196" s="7"/>
      <c r="AB196" s="7"/>
      <c r="AC196" s="72" t="str">
        <f t="shared" ref="AC196:AC230" si="27">IFERROR(AVERAGE(Y196,X196),"A")</f>
        <v>A</v>
      </c>
      <c r="AD196" s="7"/>
      <c r="AE196" s="7"/>
      <c r="AF196" s="7"/>
      <c r="AG196" s="7"/>
      <c r="AH196" s="7"/>
      <c r="AI196" s="72" t="str">
        <f t="shared" ref="AI196:AI230" si="28">IFERROR(AVERAGE(AF196,AD196),"A")</f>
        <v>A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7"/>
      <c r="AQ196" s="7"/>
      <c r="AR196" s="7"/>
      <c r="AS196" s="7"/>
      <c r="AT196" s="7"/>
      <c r="AU196" s="72" t="str">
        <f t="shared" ref="AU196:AU230" si="30">IFERROR(AVERAGE(AR196,AQ196,AP196),"A")</f>
        <v>A</v>
      </c>
      <c r="AV196" s="7"/>
      <c r="AW196" s="7"/>
      <c r="AX196" s="62">
        <v>5</v>
      </c>
      <c r="AY196" s="62">
        <v>2</v>
      </c>
      <c r="AZ196" s="62">
        <v>2</v>
      </c>
      <c r="BA196" s="72">
        <f t="shared" ref="BA196:BA230" si="31">IFERROR(AVERAGE(AX196,AY196,AZ196),"A")</f>
        <v>3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3</v>
      </c>
      <c r="M197" s="62"/>
      <c r="N197" s="62">
        <v>3</v>
      </c>
      <c r="O197" s="62">
        <v>1</v>
      </c>
      <c r="P197" s="62"/>
      <c r="Q197" s="72">
        <f t="shared" si="25"/>
        <v>2.3333333333333335</v>
      </c>
      <c r="R197" s="62"/>
      <c r="S197" s="62"/>
      <c r="T197" s="62"/>
      <c r="U197" s="62"/>
      <c r="V197" s="62"/>
      <c r="W197" s="72" t="str">
        <f t="shared" si="26"/>
        <v>A</v>
      </c>
      <c r="X197" s="62"/>
      <c r="Y197" s="62"/>
      <c r="Z197" s="62"/>
      <c r="AA197" s="62"/>
      <c r="AB197" s="62"/>
      <c r="AC197" s="72" t="str">
        <f t="shared" si="27"/>
        <v>A</v>
      </c>
      <c r="AD197" s="62"/>
      <c r="AE197" s="62"/>
      <c r="AF197" s="62"/>
      <c r="AG197" s="62"/>
      <c r="AH197" s="62"/>
      <c r="AI197" s="72" t="str">
        <f t="shared" si="28"/>
        <v>A</v>
      </c>
      <c r="AJ197" s="62"/>
      <c r="AK197" s="62"/>
      <c r="AL197" s="62"/>
      <c r="AM197" s="62"/>
      <c r="AN197" s="62"/>
      <c r="AO197" s="72" t="str">
        <f t="shared" si="29"/>
        <v>A</v>
      </c>
      <c r="AP197" s="62"/>
      <c r="AQ197" s="62"/>
      <c r="AR197" s="62"/>
      <c r="AS197" s="62"/>
      <c r="AT197" s="62"/>
      <c r="AU197" s="72" t="str">
        <f t="shared" si="30"/>
        <v>A</v>
      </c>
      <c r="AV197" s="62"/>
      <c r="AW197" s="62"/>
      <c r="AX197" s="62">
        <v>4</v>
      </c>
      <c r="AY197" s="62">
        <v>2</v>
      </c>
      <c r="AZ197" s="62">
        <v>1</v>
      </c>
      <c r="BA197" s="72">
        <f t="shared" si="31"/>
        <v>2.3333333333333335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4</v>
      </c>
      <c r="M198" s="62"/>
      <c r="N198" s="62">
        <v>4</v>
      </c>
      <c r="O198" s="62">
        <v>3</v>
      </c>
      <c r="P198" s="62"/>
      <c r="Q198" s="72">
        <f t="shared" si="25"/>
        <v>3.6666666666666665</v>
      </c>
      <c r="R198" s="7"/>
      <c r="S198" s="7"/>
      <c r="T198" s="7"/>
      <c r="U198" s="7"/>
      <c r="V198" s="7"/>
      <c r="W198" s="72" t="str">
        <f t="shared" si="26"/>
        <v>A</v>
      </c>
      <c r="X198" s="7"/>
      <c r="Y198" s="7"/>
      <c r="Z198" s="7"/>
      <c r="AA198" s="7"/>
      <c r="AB198" s="7"/>
      <c r="AC198" s="72" t="str">
        <f t="shared" si="27"/>
        <v>A</v>
      </c>
      <c r="AD198" s="7"/>
      <c r="AE198" s="7"/>
      <c r="AF198" s="7"/>
      <c r="AG198" s="7"/>
      <c r="AH198" s="7"/>
      <c r="AI198" s="72" t="str">
        <f t="shared" si="28"/>
        <v>A</v>
      </c>
      <c r="AJ198" s="7"/>
      <c r="AK198" s="7"/>
      <c r="AL198" s="7"/>
      <c r="AM198" s="7"/>
      <c r="AN198" s="7"/>
      <c r="AO198" s="72" t="str">
        <f t="shared" si="29"/>
        <v>A</v>
      </c>
      <c r="AP198" s="7"/>
      <c r="AQ198" s="7"/>
      <c r="AR198" s="7"/>
      <c r="AS198" s="7"/>
      <c r="AT198" s="7"/>
      <c r="AU198" s="72" t="str">
        <f t="shared" si="30"/>
        <v>A</v>
      </c>
      <c r="AV198" s="7"/>
      <c r="AW198" s="7"/>
      <c r="AX198" s="62">
        <v>5</v>
      </c>
      <c r="AY198" s="62">
        <v>2</v>
      </c>
      <c r="AZ198" s="62">
        <v>2</v>
      </c>
      <c r="BA198" s="72">
        <f t="shared" si="31"/>
        <v>3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2</v>
      </c>
      <c r="M199" s="62"/>
      <c r="N199" s="62">
        <v>2</v>
      </c>
      <c r="O199" s="62">
        <v>2</v>
      </c>
      <c r="P199" s="62"/>
      <c r="Q199" s="72">
        <f t="shared" si="25"/>
        <v>2</v>
      </c>
      <c r="R199" s="62"/>
      <c r="S199" s="62"/>
      <c r="T199" s="62"/>
      <c r="U199" s="62"/>
      <c r="V199" s="62"/>
      <c r="W199" s="72" t="str">
        <f t="shared" si="26"/>
        <v>A</v>
      </c>
      <c r="X199" s="62"/>
      <c r="Y199" s="62"/>
      <c r="Z199" s="62"/>
      <c r="AA199" s="62"/>
      <c r="AB199" s="62"/>
      <c r="AC199" s="72" t="str">
        <f t="shared" si="27"/>
        <v>A</v>
      </c>
      <c r="AD199" s="62"/>
      <c r="AE199" s="62"/>
      <c r="AF199" s="62"/>
      <c r="AG199" s="62"/>
      <c r="AH199" s="62"/>
      <c r="AI199" s="72" t="str">
        <f t="shared" si="28"/>
        <v>A</v>
      </c>
      <c r="AJ199" s="62"/>
      <c r="AK199" s="62"/>
      <c r="AL199" s="62"/>
      <c r="AM199" s="62"/>
      <c r="AN199" s="62"/>
      <c r="AO199" s="72" t="str">
        <f t="shared" si="29"/>
        <v>A</v>
      </c>
      <c r="AP199" s="62"/>
      <c r="AQ199" s="62"/>
      <c r="AR199" s="62"/>
      <c r="AS199" s="62"/>
      <c r="AT199" s="62"/>
      <c r="AU199" s="72" t="str">
        <f t="shared" si="30"/>
        <v>A</v>
      </c>
      <c r="AV199" s="62"/>
      <c r="AW199" s="62"/>
      <c r="AX199" s="62">
        <v>5</v>
      </c>
      <c r="AY199" s="62">
        <v>2</v>
      </c>
      <c r="AZ199" s="62">
        <v>3</v>
      </c>
      <c r="BA199" s="72">
        <f t="shared" si="31"/>
        <v>3.3333333333333335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0</v>
      </c>
      <c r="M200" s="62"/>
      <c r="N200" s="62">
        <v>0</v>
      </c>
      <c r="O200" s="62">
        <v>0</v>
      </c>
      <c r="P200" s="62"/>
      <c r="Q200" s="72">
        <f t="shared" si="25"/>
        <v>0</v>
      </c>
      <c r="R200" s="7"/>
      <c r="S200" s="7"/>
      <c r="T200" s="7"/>
      <c r="U200" s="7"/>
      <c r="V200" s="7"/>
      <c r="W200" s="72" t="str">
        <f t="shared" si="26"/>
        <v>A</v>
      </c>
      <c r="X200" s="7"/>
      <c r="Y200" s="7"/>
      <c r="Z200" s="7"/>
      <c r="AA200" s="7"/>
      <c r="AB200" s="7"/>
      <c r="AC200" s="72" t="str">
        <f t="shared" si="27"/>
        <v>A</v>
      </c>
      <c r="AD200" s="7"/>
      <c r="AE200" s="7"/>
      <c r="AF200" s="7"/>
      <c r="AG200" s="7"/>
      <c r="AH200" s="7"/>
      <c r="AI200" s="72" t="str">
        <f t="shared" si="28"/>
        <v>A</v>
      </c>
      <c r="AJ200" s="7"/>
      <c r="AK200" s="7"/>
      <c r="AL200" s="7"/>
      <c r="AM200" s="7"/>
      <c r="AN200" s="7"/>
      <c r="AO200" s="72" t="str">
        <f t="shared" si="29"/>
        <v>A</v>
      </c>
      <c r="AP200" s="7"/>
      <c r="AQ200" s="7"/>
      <c r="AR200" s="7"/>
      <c r="AS200" s="7"/>
      <c r="AT200" s="7"/>
      <c r="AU200" s="72" t="str">
        <f t="shared" si="30"/>
        <v>A</v>
      </c>
      <c r="AV200" s="7"/>
      <c r="AW200" s="7"/>
      <c r="AX200" s="62">
        <v>0</v>
      </c>
      <c r="AY200" s="62">
        <v>0</v>
      </c>
      <c r="AZ200" s="62">
        <v>0</v>
      </c>
      <c r="BA200" s="72">
        <f t="shared" si="31"/>
        <v>0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3</v>
      </c>
      <c r="M201" s="62"/>
      <c r="N201" s="62">
        <v>3</v>
      </c>
      <c r="O201" s="62">
        <v>3</v>
      </c>
      <c r="P201" s="62"/>
      <c r="Q201" s="72">
        <f t="shared" si="25"/>
        <v>3</v>
      </c>
      <c r="R201" s="62"/>
      <c r="S201" s="62"/>
      <c r="T201" s="62"/>
      <c r="U201" s="62"/>
      <c r="V201" s="62"/>
      <c r="W201" s="72" t="str">
        <f t="shared" si="26"/>
        <v>A</v>
      </c>
      <c r="X201" s="62"/>
      <c r="Y201" s="62"/>
      <c r="Z201" s="62"/>
      <c r="AA201" s="62"/>
      <c r="AB201" s="62"/>
      <c r="AC201" s="72" t="str">
        <f t="shared" si="27"/>
        <v>A</v>
      </c>
      <c r="AD201" s="62"/>
      <c r="AE201" s="62"/>
      <c r="AF201" s="62"/>
      <c r="AG201" s="62"/>
      <c r="AH201" s="62"/>
      <c r="AI201" s="72" t="str">
        <f t="shared" si="28"/>
        <v>A</v>
      </c>
      <c r="AJ201" s="62"/>
      <c r="AK201" s="62"/>
      <c r="AL201" s="62"/>
      <c r="AM201" s="62"/>
      <c r="AN201" s="62"/>
      <c r="AO201" s="72" t="str">
        <f t="shared" si="29"/>
        <v>A</v>
      </c>
      <c r="AP201" s="62"/>
      <c r="AQ201" s="62"/>
      <c r="AR201" s="62"/>
      <c r="AS201" s="62"/>
      <c r="AT201" s="62"/>
      <c r="AU201" s="72" t="str">
        <f t="shared" si="30"/>
        <v>A</v>
      </c>
      <c r="AV201" s="62"/>
      <c r="AW201" s="62"/>
      <c r="AX201" s="62">
        <v>4</v>
      </c>
      <c r="AY201" s="62">
        <v>2</v>
      </c>
      <c r="AZ201" s="62">
        <v>3</v>
      </c>
      <c r="BA201" s="72">
        <f t="shared" si="31"/>
        <v>3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3</v>
      </c>
      <c r="M202" s="62"/>
      <c r="N202" s="62">
        <v>4</v>
      </c>
      <c r="O202" s="62">
        <v>3</v>
      </c>
      <c r="P202" s="62"/>
      <c r="Q202" s="72">
        <f t="shared" si="25"/>
        <v>3.3333333333333335</v>
      </c>
      <c r="R202" s="7"/>
      <c r="S202" s="7"/>
      <c r="T202" s="7"/>
      <c r="U202" s="7"/>
      <c r="V202" s="7"/>
      <c r="W202" s="72" t="str">
        <f t="shared" si="26"/>
        <v>A</v>
      </c>
      <c r="X202" s="7"/>
      <c r="Y202" s="7"/>
      <c r="Z202" s="7"/>
      <c r="AA202" s="7"/>
      <c r="AB202" s="7"/>
      <c r="AC202" s="72" t="str">
        <f t="shared" si="27"/>
        <v>A</v>
      </c>
      <c r="AD202" s="7"/>
      <c r="AE202" s="7"/>
      <c r="AF202" s="7"/>
      <c r="AG202" s="7"/>
      <c r="AH202" s="7"/>
      <c r="AI202" s="72" t="str">
        <f t="shared" si="28"/>
        <v>A</v>
      </c>
      <c r="AJ202" s="7"/>
      <c r="AK202" s="7"/>
      <c r="AL202" s="7"/>
      <c r="AM202" s="7"/>
      <c r="AN202" s="7"/>
      <c r="AO202" s="72" t="str">
        <f t="shared" si="29"/>
        <v>A</v>
      </c>
      <c r="AP202" s="7"/>
      <c r="AQ202" s="7"/>
      <c r="AR202" s="7"/>
      <c r="AS202" s="7"/>
      <c r="AT202" s="7"/>
      <c r="AU202" s="72" t="str">
        <f t="shared" si="30"/>
        <v>A</v>
      </c>
      <c r="AV202" s="7"/>
      <c r="AW202" s="7"/>
      <c r="AX202" s="62">
        <v>2</v>
      </c>
      <c r="AY202" s="62">
        <v>2</v>
      </c>
      <c r="AZ202" s="62">
        <v>2</v>
      </c>
      <c r="BA202" s="72">
        <f t="shared" si="31"/>
        <v>2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2</v>
      </c>
      <c r="M203" s="62"/>
      <c r="N203" s="62">
        <v>2</v>
      </c>
      <c r="O203" s="62">
        <v>2</v>
      </c>
      <c r="P203" s="62"/>
      <c r="Q203" s="72">
        <f t="shared" si="25"/>
        <v>2</v>
      </c>
      <c r="R203" s="62"/>
      <c r="S203" s="62"/>
      <c r="T203" s="62"/>
      <c r="U203" s="62"/>
      <c r="V203" s="62"/>
      <c r="W203" s="72" t="str">
        <f t="shared" si="26"/>
        <v>A</v>
      </c>
      <c r="X203" s="62"/>
      <c r="Y203" s="62"/>
      <c r="Z203" s="62"/>
      <c r="AA203" s="62"/>
      <c r="AB203" s="62"/>
      <c r="AC203" s="72" t="str">
        <f t="shared" si="27"/>
        <v>A</v>
      </c>
      <c r="AD203" s="62"/>
      <c r="AE203" s="62"/>
      <c r="AF203" s="62"/>
      <c r="AG203" s="62"/>
      <c r="AH203" s="62"/>
      <c r="AI203" s="72" t="str">
        <f t="shared" si="28"/>
        <v>A</v>
      </c>
      <c r="AJ203" s="62"/>
      <c r="AK203" s="62"/>
      <c r="AL203" s="62"/>
      <c r="AM203" s="62"/>
      <c r="AN203" s="62"/>
      <c r="AO203" s="72" t="str">
        <f t="shared" si="29"/>
        <v>A</v>
      </c>
      <c r="AP203" s="62"/>
      <c r="AQ203" s="62"/>
      <c r="AR203" s="62"/>
      <c r="AS203" s="62"/>
      <c r="AT203" s="62"/>
      <c r="AU203" s="72" t="str">
        <f t="shared" si="30"/>
        <v>A</v>
      </c>
      <c r="AV203" s="62"/>
      <c r="AW203" s="62"/>
      <c r="AX203" s="62">
        <v>2</v>
      </c>
      <c r="AY203" s="62">
        <v>2</v>
      </c>
      <c r="AZ203" s="62">
        <v>2</v>
      </c>
      <c r="BA203" s="72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2</v>
      </c>
      <c r="M204" s="62"/>
      <c r="N204" s="62">
        <v>2</v>
      </c>
      <c r="O204" s="62">
        <v>2</v>
      </c>
      <c r="P204" s="62"/>
      <c r="Q204" s="72">
        <f t="shared" si="25"/>
        <v>2</v>
      </c>
      <c r="R204" s="7"/>
      <c r="S204" s="7"/>
      <c r="T204" s="7"/>
      <c r="U204" s="7"/>
      <c r="V204" s="7"/>
      <c r="W204" s="72" t="str">
        <f t="shared" si="26"/>
        <v>A</v>
      </c>
      <c r="X204" s="7"/>
      <c r="Y204" s="7"/>
      <c r="Z204" s="7"/>
      <c r="AA204" s="7"/>
      <c r="AB204" s="7"/>
      <c r="AC204" s="72" t="str">
        <f t="shared" si="27"/>
        <v>A</v>
      </c>
      <c r="AD204" s="7"/>
      <c r="AE204" s="7"/>
      <c r="AF204" s="7"/>
      <c r="AG204" s="7"/>
      <c r="AH204" s="7"/>
      <c r="AI204" s="72" t="str">
        <f t="shared" si="28"/>
        <v>A</v>
      </c>
      <c r="AJ204" s="7"/>
      <c r="AK204" s="7"/>
      <c r="AL204" s="7"/>
      <c r="AM204" s="7"/>
      <c r="AN204" s="7"/>
      <c r="AO204" s="72" t="str">
        <f t="shared" si="29"/>
        <v>A</v>
      </c>
      <c r="AP204" s="7"/>
      <c r="AQ204" s="7"/>
      <c r="AR204" s="7"/>
      <c r="AS204" s="7"/>
      <c r="AT204" s="7"/>
      <c r="AU204" s="72" t="str">
        <f t="shared" si="30"/>
        <v>A</v>
      </c>
      <c r="AV204" s="7"/>
      <c r="AW204" s="7"/>
      <c r="AX204" s="62">
        <v>4</v>
      </c>
      <c r="AY204" s="62">
        <v>2</v>
      </c>
      <c r="AZ204" s="62">
        <v>2</v>
      </c>
      <c r="BA204" s="72">
        <f t="shared" si="31"/>
        <v>2.6666666666666665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/>
      <c r="N205" s="62">
        <v>2</v>
      </c>
      <c r="O205" s="62">
        <v>2</v>
      </c>
      <c r="P205" s="62"/>
      <c r="Q205" s="72">
        <f t="shared" si="25"/>
        <v>2</v>
      </c>
      <c r="R205" s="62"/>
      <c r="S205" s="62"/>
      <c r="T205" s="62"/>
      <c r="U205" s="62"/>
      <c r="V205" s="62"/>
      <c r="W205" s="72" t="str">
        <f t="shared" si="26"/>
        <v>A</v>
      </c>
      <c r="X205" s="62"/>
      <c r="Y205" s="62"/>
      <c r="Z205" s="62"/>
      <c r="AA205" s="62"/>
      <c r="AB205" s="62"/>
      <c r="AC205" s="72" t="str">
        <f t="shared" si="27"/>
        <v>A</v>
      </c>
      <c r="AD205" s="62"/>
      <c r="AE205" s="62"/>
      <c r="AF205" s="62"/>
      <c r="AG205" s="62"/>
      <c r="AH205" s="62"/>
      <c r="AI205" s="72" t="str">
        <f t="shared" si="28"/>
        <v>A</v>
      </c>
      <c r="AJ205" s="62"/>
      <c r="AK205" s="62"/>
      <c r="AL205" s="62"/>
      <c r="AM205" s="62"/>
      <c r="AN205" s="62"/>
      <c r="AO205" s="72" t="str">
        <f t="shared" si="29"/>
        <v>A</v>
      </c>
      <c r="AP205" s="62"/>
      <c r="AQ205" s="62"/>
      <c r="AR205" s="62"/>
      <c r="AS205" s="62"/>
      <c r="AT205" s="62"/>
      <c r="AU205" s="72" t="str">
        <f t="shared" si="30"/>
        <v>A</v>
      </c>
      <c r="AV205" s="62"/>
      <c r="AW205" s="62"/>
      <c r="AX205" s="62">
        <v>2</v>
      </c>
      <c r="AY205" s="62">
        <v>2</v>
      </c>
      <c r="AZ205" s="62">
        <v>2</v>
      </c>
      <c r="BA205" s="72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/>
      <c r="N206" s="62">
        <v>2</v>
      </c>
      <c r="O206" s="62">
        <v>3</v>
      </c>
      <c r="P206" s="62"/>
      <c r="Q206" s="72">
        <f t="shared" si="25"/>
        <v>2.6666666666666665</v>
      </c>
      <c r="R206" s="7"/>
      <c r="S206" s="7"/>
      <c r="T206" s="7"/>
      <c r="U206" s="7"/>
      <c r="V206" s="7"/>
      <c r="W206" s="72" t="str">
        <f t="shared" si="26"/>
        <v>A</v>
      </c>
      <c r="X206" s="7"/>
      <c r="Y206" s="7"/>
      <c r="Z206" s="7"/>
      <c r="AA206" s="7"/>
      <c r="AB206" s="7"/>
      <c r="AC206" s="72" t="str">
        <f t="shared" si="27"/>
        <v>A</v>
      </c>
      <c r="AD206" s="7"/>
      <c r="AE206" s="7"/>
      <c r="AF206" s="7"/>
      <c r="AG206" s="7"/>
      <c r="AH206" s="7"/>
      <c r="AI206" s="72" t="str">
        <f t="shared" si="28"/>
        <v>A</v>
      </c>
      <c r="AJ206" s="7"/>
      <c r="AK206" s="7"/>
      <c r="AL206" s="7"/>
      <c r="AM206" s="7"/>
      <c r="AN206" s="7"/>
      <c r="AO206" s="72" t="str">
        <f t="shared" si="29"/>
        <v>A</v>
      </c>
      <c r="AP206" s="7"/>
      <c r="AQ206" s="7"/>
      <c r="AR206" s="7"/>
      <c r="AS206" s="7"/>
      <c r="AT206" s="7"/>
      <c r="AU206" s="72" t="str">
        <f t="shared" si="30"/>
        <v>A</v>
      </c>
      <c r="AV206" s="7"/>
      <c r="AW206" s="7"/>
      <c r="AX206" s="62">
        <v>4</v>
      </c>
      <c r="AY206" s="62">
        <v>2</v>
      </c>
      <c r="AZ206" s="62">
        <v>3</v>
      </c>
      <c r="BA206" s="72">
        <f t="shared" si="31"/>
        <v>3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1</v>
      </c>
      <c r="M207" s="62"/>
      <c r="N207" s="62">
        <v>1</v>
      </c>
      <c r="O207" s="62">
        <v>1</v>
      </c>
      <c r="P207" s="62"/>
      <c r="Q207" s="72">
        <f t="shared" si="25"/>
        <v>1</v>
      </c>
      <c r="R207" s="62"/>
      <c r="S207" s="62"/>
      <c r="T207" s="62"/>
      <c r="U207" s="62"/>
      <c r="V207" s="62"/>
      <c r="W207" s="72" t="str">
        <f t="shared" si="26"/>
        <v>A</v>
      </c>
      <c r="X207" s="62"/>
      <c r="Y207" s="62"/>
      <c r="Z207" s="62"/>
      <c r="AA207" s="62"/>
      <c r="AB207" s="62"/>
      <c r="AC207" s="72" t="str">
        <f t="shared" si="27"/>
        <v>A</v>
      </c>
      <c r="AD207" s="62"/>
      <c r="AE207" s="62"/>
      <c r="AF207" s="62"/>
      <c r="AG207" s="62"/>
      <c r="AH207" s="62"/>
      <c r="AI207" s="72" t="str">
        <f t="shared" si="28"/>
        <v>A</v>
      </c>
      <c r="AJ207" s="62"/>
      <c r="AK207" s="62"/>
      <c r="AL207" s="62"/>
      <c r="AM207" s="62"/>
      <c r="AN207" s="62"/>
      <c r="AO207" s="72" t="str">
        <f t="shared" si="29"/>
        <v>A</v>
      </c>
      <c r="AP207" s="62"/>
      <c r="AQ207" s="62"/>
      <c r="AR207" s="62"/>
      <c r="AS207" s="62"/>
      <c r="AT207" s="62"/>
      <c r="AU207" s="72" t="str">
        <f t="shared" si="30"/>
        <v>A</v>
      </c>
      <c r="AV207" s="62"/>
      <c r="AW207" s="62"/>
      <c r="AX207" s="62">
        <v>4</v>
      </c>
      <c r="AY207" s="62">
        <v>2</v>
      </c>
      <c r="AZ207" s="62">
        <v>1</v>
      </c>
      <c r="BA207" s="72">
        <f t="shared" si="31"/>
        <v>2.3333333333333335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2</v>
      </c>
      <c r="M208" s="62"/>
      <c r="N208" s="62">
        <v>2</v>
      </c>
      <c r="O208" s="62">
        <v>2</v>
      </c>
      <c r="P208" s="62"/>
      <c r="Q208" s="72">
        <f t="shared" si="25"/>
        <v>2</v>
      </c>
      <c r="R208" s="7"/>
      <c r="S208" s="7"/>
      <c r="T208" s="7"/>
      <c r="U208" s="7"/>
      <c r="V208" s="7"/>
      <c r="W208" s="72" t="str">
        <f t="shared" si="26"/>
        <v>A</v>
      </c>
      <c r="X208" s="7"/>
      <c r="Y208" s="7"/>
      <c r="Z208" s="7"/>
      <c r="AA208" s="7"/>
      <c r="AB208" s="7"/>
      <c r="AC208" s="72" t="str">
        <f t="shared" si="27"/>
        <v>A</v>
      </c>
      <c r="AD208" s="7"/>
      <c r="AE208" s="7"/>
      <c r="AF208" s="7"/>
      <c r="AG208" s="7"/>
      <c r="AH208" s="7"/>
      <c r="AI208" s="72" t="str">
        <f t="shared" si="28"/>
        <v>A</v>
      </c>
      <c r="AJ208" s="7"/>
      <c r="AK208" s="7"/>
      <c r="AL208" s="7"/>
      <c r="AM208" s="7"/>
      <c r="AN208" s="7"/>
      <c r="AO208" s="72" t="str">
        <f t="shared" si="29"/>
        <v>A</v>
      </c>
      <c r="AP208" s="7"/>
      <c r="AQ208" s="7"/>
      <c r="AR208" s="7"/>
      <c r="AS208" s="7"/>
      <c r="AT208" s="7"/>
      <c r="AU208" s="72" t="str">
        <f t="shared" si="30"/>
        <v>A</v>
      </c>
      <c r="AV208" s="7"/>
      <c r="AW208" s="7"/>
      <c r="AX208" s="62">
        <v>2</v>
      </c>
      <c r="AY208" s="62">
        <v>2</v>
      </c>
      <c r="AZ208" s="62">
        <v>2</v>
      </c>
      <c r="BA208" s="72">
        <f t="shared" si="31"/>
        <v>2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3</v>
      </c>
      <c r="M209" s="62"/>
      <c r="N209" s="62">
        <v>4</v>
      </c>
      <c r="O209" s="62">
        <v>3</v>
      </c>
      <c r="P209" s="62"/>
      <c r="Q209" s="72">
        <f t="shared" si="25"/>
        <v>3.3333333333333335</v>
      </c>
      <c r="R209" s="62"/>
      <c r="S209" s="62"/>
      <c r="T209" s="62"/>
      <c r="U209" s="62"/>
      <c r="V209" s="62"/>
      <c r="W209" s="72" t="str">
        <f t="shared" si="26"/>
        <v>A</v>
      </c>
      <c r="X209" s="62"/>
      <c r="Y209" s="62"/>
      <c r="Z209" s="62"/>
      <c r="AA209" s="62"/>
      <c r="AB209" s="62"/>
      <c r="AC209" s="72" t="str">
        <f t="shared" si="27"/>
        <v>A</v>
      </c>
      <c r="AD209" s="62"/>
      <c r="AE209" s="62"/>
      <c r="AF209" s="62"/>
      <c r="AG209" s="62"/>
      <c r="AH209" s="62"/>
      <c r="AI209" s="72" t="str">
        <f t="shared" si="28"/>
        <v>A</v>
      </c>
      <c r="AJ209" s="62"/>
      <c r="AK209" s="62"/>
      <c r="AL209" s="62"/>
      <c r="AM209" s="62"/>
      <c r="AN209" s="62"/>
      <c r="AO209" s="72" t="str">
        <f t="shared" si="29"/>
        <v>A</v>
      </c>
      <c r="AP209" s="62"/>
      <c r="AQ209" s="62"/>
      <c r="AR209" s="62"/>
      <c r="AS209" s="62"/>
      <c r="AT209" s="62"/>
      <c r="AU209" s="72" t="str">
        <f t="shared" si="30"/>
        <v>A</v>
      </c>
      <c r="AV209" s="62"/>
      <c r="AW209" s="62"/>
      <c r="AX209" s="62">
        <v>4</v>
      </c>
      <c r="AY209" s="62">
        <v>2</v>
      </c>
      <c r="AZ209" s="62">
        <v>4</v>
      </c>
      <c r="BA209" s="72">
        <f t="shared" si="31"/>
        <v>3.3333333333333335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4</v>
      </c>
      <c r="M210" s="62"/>
      <c r="N210" s="62">
        <v>4</v>
      </c>
      <c r="O210" s="62">
        <v>4</v>
      </c>
      <c r="P210" s="62"/>
      <c r="Q210" s="72">
        <f t="shared" si="25"/>
        <v>4</v>
      </c>
      <c r="R210" s="7"/>
      <c r="S210" s="7"/>
      <c r="T210" s="7"/>
      <c r="U210" s="7"/>
      <c r="V210" s="7"/>
      <c r="W210" s="72" t="str">
        <f t="shared" si="26"/>
        <v>A</v>
      </c>
      <c r="X210" s="7"/>
      <c r="Y210" s="7"/>
      <c r="Z210" s="7"/>
      <c r="AA210" s="7"/>
      <c r="AB210" s="7"/>
      <c r="AC210" s="72" t="str">
        <f t="shared" si="27"/>
        <v>A</v>
      </c>
      <c r="AD210" s="7"/>
      <c r="AE210" s="7"/>
      <c r="AF210" s="7"/>
      <c r="AG210" s="7"/>
      <c r="AH210" s="7"/>
      <c r="AI210" s="72" t="str">
        <f t="shared" si="28"/>
        <v>A</v>
      </c>
      <c r="AJ210" s="7"/>
      <c r="AK210" s="7"/>
      <c r="AL210" s="7"/>
      <c r="AM210" s="7"/>
      <c r="AN210" s="7"/>
      <c r="AO210" s="72" t="str">
        <f t="shared" si="29"/>
        <v>A</v>
      </c>
      <c r="AP210" s="7"/>
      <c r="AQ210" s="7"/>
      <c r="AR210" s="7"/>
      <c r="AS210" s="7"/>
      <c r="AT210" s="7"/>
      <c r="AU210" s="72" t="str">
        <f t="shared" si="30"/>
        <v>A</v>
      </c>
      <c r="AV210" s="7"/>
      <c r="AW210" s="7"/>
      <c r="AX210" s="62">
        <v>5</v>
      </c>
      <c r="AY210" s="62">
        <v>0</v>
      </c>
      <c r="AZ210" s="62">
        <v>4</v>
      </c>
      <c r="BA210" s="72">
        <f t="shared" si="31"/>
        <v>3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2</v>
      </c>
      <c r="M211" s="62"/>
      <c r="N211" s="62">
        <v>2</v>
      </c>
      <c r="O211" s="62">
        <v>2</v>
      </c>
      <c r="P211" s="62"/>
      <c r="Q211" s="72">
        <f t="shared" si="25"/>
        <v>2</v>
      </c>
      <c r="R211" s="62"/>
      <c r="S211" s="62"/>
      <c r="T211" s="62"/>
      <c r="U211" s="62"/>
      <c r="V211" s="62"/>
      <c r="W211" s="72" t="str">
        <f t="shared" si="26"/>
        <v>A</v>
      </c>
      <c r="X211" s="62"/>
      <c r="Y211" s="62"/>
      <c r="Z211" s="62"/>
      <c r="AA211" s="62"/>
      <c r="AB211" s="62"/>
      <c r="AC211" s="72" t="str">
        <f t="shared" si="27"/>
        <v>A</v>
      </c>
      <c r="AD211" s="62"/>
      <c r="AE211" s="62"/>
      <c r="AF211" s="62"/>
      <c r="AG211" s="62"/>
      <c r="AH211" s="62"/>
      <c r="AI211" s="72" t="str">
        <f t="shared" si="28"/>
        <v>A</v>
      </c>
      <c r="AJ211" s="62"/>
      <c r="AK211" s="62"/>
      <c r="AL211" s="62"/>
      <c r="AM211" s="62"/>
      <c r="AN211" s="62"/>
      <c r="AO211" s="72" t="str">
        <f t="shared" si="29"/>
        <v>A</v>
      </c>
      <c r="AP211" s="62"/>
      <c r="AQ211" s="62"/>
      <c r="AR211" s="62"/>
      <c r="AS211" s="62"/>
      <c r="AT211" s="62"/>
      <c r="AU211" s="72" t="str">
        <f t="shared" si="30"/>
        <v>A</v>
      </c>
      <c r="AV211" s="62"/>
      <c r="AW211" s="62"/>
      <c r="AX211" s="62">
        <v>2</v>
      </c>
      <c r="AY211" s="62">
        <v>2</v>
      </c>
      <c r="AZ211" s="62">
        <v>2</v>
      </c>
      <c r="BA211" s="72">
        <f t="shared" si="31"/>
        <v>2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/>
      <c r="N212" s="62">
        <v>4</v>
      </c>
      <c r="O212" s="62">
        <v>4</v>
      </c>
      <c r="P212" s="62"/>
      <c r="Q212" s="72">
        <f t="shared" si="25"/>
        <v>3.6666666666666665</v>
      </c>
      <c r="R212" s="7"/>
      <c r="S212" s="7"/>
      <c r="T212" s="7"/>
      <c r="U212" s="7"/>
      <c r="V212" s="7"/>
      <c r="W212" s="72" t="str">
        <f t="shared" si="26"/>
        <v>A</v>
      </c>
      <c r="X212" s="7"/>
      <c r="Y212" s="7"/>
      <c r="Z212" s="7"/>
      <c r="AA212" s="7"/>
      <c r="AB212" s="7"/>
      <c r="AC212" s="72" t="str">
        <f t="shared" si="27"/>
        <v>A</v>
      </c>
      <c r="AD212" s="7"/>
      <c r="AE212" s="7"/>
      <c r="AF212" s="7"/>
      <c r="AG212" s="7"/>
      <c r="AH212" s="7"/>
      <c r="AI212" s="72" t="str">
        <f t="shared" si="28"/>
        <v>A</v>
      </c>
      <c r="AJ212" s="7"/>
      <c r="AK212" s="7"/>
      <c r="AL212" s="7"/>
      <c r="AM212" s="7"/>
      <c r="AN212" s="7"/>
      <c r="AO212" s="72" t="str">
        <f t="shared" si="29"/>
        <v>A</v>
      </c>
      <c r="AP212" s="7"/>
      <c r="AQ212" s="7"/>
      <c r="AR212" s="7"/>
      <c r="AS212" s="7"/>
      <c r="AT212" s="7"/>
      <c r="AU212" s="72" t="str">
        <f t="shared" si="30"/>
        <v>A</v>
      </c>
      <c r="AV212" s="7"/>
      <c r="AW212" s="7"/>
      <c r="AX212" s="62">
        <v>4</v>
      </c>
      <c r="AY212" s="62">
        <v>2</v>
      </c>
      <c r="AZ212" s="62">
        <v>4</v>
      </c>
      <c r="BA212" s="72">
        <f t="shared" si="31"/>
        <v>3.3333333333333335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 t="s">
        <v>582</v>
      </c>
      <c r="M213" s="62"/>
      <c r="N213" s="62" t="s">
        <v>582</v>
      </c>
      <c r="O213" s="62" t="s">
        <v>582</v>
      </c>
      <c r="P213" s="62"/>
      <c r="Q213" s="72" t="str">
        <f t="shared" si="25"/>
        <v>A</v>
      </c>
      <c r="R213" s="62"/>
      <c r="S213" s="62"/>
      <c r="T213" s="62"/>
      <c r="U213" s="62"/>
      <c r="V213" s="62"/>
      <c r="W213" s="72" t="str">
        <f t="shared" si="26"/>
        <v>A</v>
      </c>
      <c r="X213" s="62"/>
      <c r="Y213" s="62"/>
      <c r="Z213" s="62"/>
      <c r="AA213" s="62"/>
      <c r="AB213" s="62"/>
      <c r="AC213" s="72" t="str">
        <f t="shared" si="27"/>
        <v>A</v>
      </c>
      <c r="AD213" s="62"/>
      <c r="AE213" s="62"/>
      <c r="AF213" s="62"/>
      <c r="AG213" s="62"/>
      <c r="AH213" s="62"/>
      <c r="AI213" s="72" t="str">
        <f t="shared" si="28"/>
        <v>A</v>
      </c>
      <c r="AJ213" s="62"/>
      <c r="AK213" s="62"/>
      <c r="AL213" s="62"/>
      <c r="AM213" s="62"/>
      <c r="AN213" s="62"/>
      <c r="AO213" s="72" t="str">
        <f t="shared" si="29"/>
        <v>A</v>
      </c>
      <c r="AP213" s="62"/>
      <c r="AQ213" s="62"/>
      <c r="AR213" s="62"/>
      <c r="AS213" s="62"/>
      <c r="AT213" s="62"/>
      <c r="AU213" s="72" t="str">
        <f t="shared" si="30"/>
        <v>A</v>
      </c>
      <c r="AV213" s="62"/>
      <c r="AW213" s="62"/>
      <c r="AX213" s="62" t="s">
        <v>582</v>
      </c>
      <c r="AY213" s="62" t="s">
        <v>582</v>
      </c>
      <c r="AZ213" s="62" t="s">
        <v>582</v>
      </c>
      <c r="BA213" s="72" t="str">
        <f t="shared" si="31"/>
        <v>A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2</v>
      </c>
      <c r="M214" s="62"/>
      <c r="N214" s="62">
        <v>2</v>
      </c>
      <c r="O214" s="62">
        <v>2</v>
      </c>
      <c r="P214" s="62"/>
      <c r="Q214" s="72">
        <f t="shared" si="25"/>
        <v>2</v>
      </c>
      <c r="R214" s="7"/>
      <c r="S214" s="7"/>
      <c r="T214" s="7"/>
      <c r="U214" s="7"/>
      <c r="V214" s="7"/>
      <c r="W214" s="72" t="str">
        <f t="shared" si="26"/>
        <v>A</v>
      </c>
      <c r="X214" s="7"/>
      <c r="Y214" s="7"/>
      <c r="Z214" s="7"/>
      <c r="AA214" s="7"/>
      <c r="AB214" s="7"/>
      <c r="AC214" s="72" t="str">
        <f t="shared" si="27"/>
        <v>A</v>
      </c>
      <c r="AD214" s="7"/>
      <c r="AE214" s="7"/>
      <c r="AF214" s="7"/>
      <c r="AG214" s="7"/>
      <c r="AH214" s="7"/>
      <c r="AI214" s="72" t="str">
        <f t="shared" si="28"/>
        <v>A</v>
      </c>
      <c r="AJ214" s="7"/>
      <c r="AK214" s="7"/>
      <c r="AL214" s="7"/>
      <c r="AM214" s="7"/>
      <c r="AN214" s="7"/>
      <c r="AO214" s="72" t="str">
        <f t="shared" si="29"/>
        <v>A</v>
      </c>
      <c r="AP214" s="7"/>
      <c r="AQ214" s="7"/>
      <c r="AR214" s="7"/>
      <c r="AS214" s="7"/>
      <c r="AT214" s="7"/>
      <c r="AU214" s="72" t="str">
        <f t="shared" si="30"/>
        <v>A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2</v>
      </c>
      <c r="M215" s="62"/>
      <c r="N215" s="62">
        <v>2</v>
      </c>
      <c r="O215" s="62">
        <v>1</v>
      </c>
      <c r="P215" s="62"/>
      <c r="Q215" s="72">
        <f t="shared" si="25"/>
        <v>1.6666666666666667</v>
      </c>
      <c r="R215" s="62"/>
      <c r="S215" s="62"/>
      <c r="T215" s="62"/>
      <c r="U215" s="62"/>
      <c r="V215" s="62"/>
      <c r="W215" s="72" t="str">
        <f t="shared" si="26"/>
        <v>A</v>
      </c>
      <c r="X215" s="62"/>
      <c r="Y215" s="62"/>
      <c r="Z215" s="62"/>
      <c r="AA215" s="62"/>
      <c r="AB215" s="62"/>
      <c r="AC215" s="72" t="str">
        <f t="shared" si="27"/>
        <v>A</v>
      </c>
      <c r="AD215" s="62"/>
      <c r="AE215" s="62"/>
      <c r="AF215" s="62"/>
      <c r="AG215" s="62"/>
      <c r="AH215" s="62"/>
      <c r="AI215" s="72" t="str">
        <f t="shared" si="28"/>
        <v>A</v>
      </c>
      <c r="AJ215" s="62"/>
      <c r="AK215" s="62"/>
      <c r="AL215" s="62"/>
      <c r="AM215" s="62"/>
      <c r="AN215" s="62"/>
      <c r="AO215" s="72" t="str">
        <f t="shared" si="29"/>
        <v>A</v>
      </c>
      <c r="AP215" s="62"/>
      <c r="AQ215" s="62"/>
      <c r="AR215" s="62"/>
      <c r="AS215" s="62"/>
      <c r="AT215" s="62"/>
      <c r="AU215" s="72" t="str">
        <f t="shared" si="30"/>
        <v>A</v>
      </c>
      <c r="AV215" s="62"/>
      <c r="AW215" s="62"/>
      <c r="AX215" s="62">
        <v>4</v>
      </c>
      <c r="AY215" s="62">
        <v>2</v>
      </c>
      <c r="AZ215" s="62">
        <v>1</v>
      </c>
      <c r="BA215" s="72">
        <f t="shared" si="31"/>
        <v>2.3333333333333335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2</v>
      </c>
      <c r="M216" s="62"/>
      <c r="N216" s="62">
        <v>2</v>
      </c>
      <c r="O216" s="62">
        <v>1</v>
      </c>
      <c r="P216" s="62"/>
      <c r="Q216" s="72">
        <f t="shared" si="25"/>
        <v>1.6666666666666667</v>
      </c>
      <c r="R216" s="7"/>
      <c r="S216" s="7"/>
      <c r="T216" s="7"/>
      <c r="U216" s="7"/>
      <c r="V216" s="7"/>
      <c r="W216" s="72" t="str">
        <f t="shared" si="26"/>
        <v>A</v>
      </c>
      <c r="X216" s="7"/>
      <c r="Y216" s="7"/>
      <c r="Z216" s="7"/>
      <c r="AA216" s="7"/>
      <c r="AB216" s="7"/>
      <c r="AC216" s="72" t="str">
        <f t="shared" si="27"/>
        <v>A</v>
      </c>
      <c r="AD216" s="7"/>
      <c r="AE216" s="7"/>
      <c r="AF216" s="7"/>
      <c r="AG216" s="7"/>
      <c r="AH216" s="7"/>
      <c r="AI216" s="72" t="str">
        <f t="shared" si="28"/>
        <v>A</v>
      </c>
      <c r="AJ216" s="7"/>
      <c r="AK216" s="7"/>
      <c r="AL216" s="7"/>
      <c r="AM216" s="7"/>
      <c r="AN216" s="7"/>
      <c r="AO216" s="72" t="str">
        <f t="shared" si="29"/>
        <v>A</v>
      </c>
      <c r="AP216" s="7"/>
      <c r="AQ216" s="7"/>
      <c r="AR216" s="7"/>
      <c r="AS216" s="7"/>
      <c r="AT216" s="7"/>
      <c r="AU216" s="72" t="str">
        <f t="shared" si="30"/>
        <v>A</v>
      </c>
      <c r="AV216" s="7"/>
      <c r="AW216" s="7"/>
      <c r="AX216" s="62">
        <v>4</v>
      </c>
      <c r="AY216" s="62">
        <v>2</v>
      </c>
      <c r="AZ216" s="62">
        <v>1</v>
      </c>
      <c r="BA216" s="72">
        <f t="shared" si="31"/>
        <v>2.3333333333333335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2</v>
      </c>
      <c r="M217" s="62"/>
      <c r="N217" s="62">
        <v>2</v>
      </c>
      <c r="O217" s="62">
        <v>2</v>
      </c>
      <c r="P217" s="62"/>
      <c r="Q217" s="72">
        <f t="shared" si="25"/>
        <v>2</v>
      </c>
      <c r="R217" s="62"/>
      <c r="S217" s="62"/>
      <c r="T217" s="62"/>
      <c r="U217" s="62"/>
      <c r="V217" s="62"/>
      <c r="W217" s="72" t="str">
        <f t="shared" si="26"/>
        <v>A</v>
      </c>
      <c r="X217" s="62"/>
      <c r="Y217" s="62"/>
      <c r="Z217" s="62"/>
      <c r="AA217" s="62"/>
      <c r="AB217" s="62"/>
      <c r="AC217" s="72" t="str">
        <f t="shared" si="27"/>
        <v>A</v>
      </c>
      <c r="AD217" s="62"/>
      <c r="AE217" s="62"/>
      <c r="AF217" s="62"/>
      <c r="AG217" s="62"/>
      <c r="AH217" s="62"/>
      <c r="AI217" s="72" t="str">
        <f t="shared" si="28"/>
        <v>A</v>
      </c>
      <c r="AJ217" s="62"/>
      <c r="AK217" s="62"/>
      <c r="AL217" s="62"/>
      <c r="AM217" s="62"/>
      <c r="AN217" s="62"/>
      <c r="AO217" s="72" t="str">
        <f t="shared" si="29"/>
        <v>A</v>
      </c>
      <c r="AP217" s="62"/>
      <c r="AQ217" s="62"/>
      <c r="AR217" s="62"/>
      <c r="AS217" s="62"/>
      <c r="AT217" s="62"/>
      <c r="AU217" s="72" t="str">
        <f t="shared" si="30"/>
        <v>A</v>
      </c>
      <c r="AV217" s="62"/>
      <c r="AW217" s="62"/>
      <c r="AX217" s="62">
        <v>2</v>
      </c>
      <c r="AY217" s="62">
        <v>2</v>
      </c>
      <c r="AZ217" s="62">
        <v>2</v>
      </c>
      <c r="BA217" s="72">
        <f t="shared" si="31"/>
        <v>2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2</v>
      </c>
      <c r="M218" s="62"/>
      <c r="N218" s="62">
        <v>2</v>
      </c>
      <c r="O218" s="62">
        <v>2</v>
      </c>
      <c r="P218" s="62"/>
      <c r="Q218" s="72">
        <f t="shared" si="25"/>
        <v>2</v>
      </c>
      <c r="R218" s="7"/>
      <c r="S218" s="7"/>
      <c r="T218" s="7"/>
      <c r="U218" s="7"/>
      <c r="V218" s="7"/>
      <c r="W218" s="72" t="str">
        <f t="shared" si="26"/>
        <v>A</v>
      </c>
      <c r="X218" s="7"/>
      <c r="Y218" s="7"/>
      <c r="Z218" s="7"/>
      <c r="AA218" s="7"/>
      <c r="AB218" s="7"/>
      <c r="AC218" s="72" t="str">
        <f t="shared" si="27"/>
        <v>A</v>
      </c>
      <c r="AD218" s="7"/>
      <c r="AE218" s="7"/>
      <c r="AF218" s="7"/>
      <c r="AG218" s="7"/>
      <c r="AH218" s="7"/>
      <c r="AI218" s="72" t="str">
        <f t="shared" si="28"/>
        <v>A</v>
      </c>
      <c r="AJ218" s="7"/>
      <c r="AK218" s="7"/>
      <c r="AL218" s="7"/>
      <c r="AM218" s="7"/>
      <c r="AN218" s="7"/>
      <c r="AO218" s="72" t="str">
        <f t="shared" si="29"/>
        <v>A</v>
      </c>
      <c r="AP218" s="7"/>
      <c r="AQ218" s="7"/>
      <c r="AR218" s="7"/>
      <c r="AS218" s="7"/>
      <c r="AT218" s="7"/>
      <c r="AU218" s="72" t="str">
        <f t="shared" si="30"/>
        <v>A</v>
      </c>
      <c r="AV218" s="7"/>
      <c r="AW218" s="7"/>
      <c r="AX218" s="62">
        <v>2</v>
      </c>
      <c r="AY218" s="62">
        <v>2</v>
      </c>
      <c r="AZ218" s="62">
        <v>2</v>
      </c>
      <c r="BA218" s="72">
        <f t="shared" si="31"/>
        <v>2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3</v>
      </c>
      <c r="M219" s="62"/>
      <c r="N219" s="62">
        <v>3</v>
      </c>
      <c r="O219" s="62">
        <v>2</v>
      </c>
      <c r="P219" s="62"/>
      <c r="Q219" s="72">
        <f t="shared" si="25"/>
        <v>2.6666666666666665</v>
      </c>
      <c r="R219" s="62"/>
      <c r="S219" s="62"/>
      <c r="T219" s="62"/>
      <c r="U219" s="62"/>
      <c r="V219" s="62"/>
      <c r="W219" s="72" t="str">
        <f t="shared" si="26"/>
        <v>A</v>
      </c>
      <c r="X219" s="62"/>
      <c r="Y219" s="62"/>
      <c r="Z219" s="62"/>
      <c r="AA219" s="62"/>
      <c r="AB219" s="62"/>
      <c r="AC219" s="72" t="str">
        <f t="shared" si="27"/>
        <v>A</v>
      </c>
      <c r="AD219" s="62"/>
      <c r="AE219" s="62"/>
      <c r="AF219" s="62"/>
      <c r="AG219" s="62"/>
      <c r="AH219" s="62"/>
      <c r="AI219" s="72" t="str">
        <f t="shared" si="28"/>
        <v>A</v>
      </c>
      <c r="AJ219" s="62"/>
      <c r="AK219" s="62"/>
      <c r="AL219" s="62"/>
      <c r="AM219" s="62"/>
      <c r="AN219" s="62"/>
      <c r="AO219" s="72" t="str">
        <f t="shared" si="29"/>
        <v>A</v>
      </c>
      <c r="AP219" s="62"/>
      <c r="AQ219" s="62"/>
      <c r="AR219" s="62"/>
      <c r="AS219" s="62"/>
      <c r="AT219" s="62"/>
      <c r="AU219" s="72" t="str">
        <f t="shared" si="30"/>
        <v>A</v>
      </c>
      <c r="AV219" s="62"/>
      <c r="AW219" s="62"/>
      <c r="AX219" s="62">
        <v>4</v>
      </c>
      <c r="AY219" s="62">
        <v>2</v>
      </c>
      <c r="AZ219" s="62">
        <v>2</v>
      </c>
      <c r="BA219" s="72">
        <f t="shared" si="31"/>
        <v>2.6666666666666665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4</v>
      </c>
      <c r="M220" s="62"/>
      <c r="N220" s="62">
        <v>4</v>
      </c>
      <c r="O220" s="62">
        <v>4</v>
      </c>
      <c r="P220" s="62"/>
      <c r="Q220" s="72">
        <f t="shared" si="25"/>
        <v>4</v>
      </c>
      <c r="R220" s="7"/>
      <c r="S220" s="7"/>
      <c r="T220" s="7"/>
      <c r="U220" s="7"/>
      <c r="V220" s="7"/>
      <c r="W220" s="72" t="str">
        <f t="shared" si="26"/>
        <v>A</v>
      </c>
      <c r="X220" s="7"/>
      <c r="Y220" s="7"/>
      <c r="Z220" s="7"/>
      <c r="AA220" s="7"/>
      <c r="AB220" s="7"/>
      <c r="AC220" s="72" t="str">
        <f t="shared" si="27"/>
        <v>A</v>
      </c>
      <c r="AD220" s="7"/>
      <c r="AE220" s="7"/>
      <c r="AF220" s="7"/>
      <c r="AG220" s="7"/>
      <c r="AH220" s="7"/>
      <c r="AI220" s="72" t="str">
        <f t="shared" si="28"/>
        <v>A</v>
      </c>
      <c r="AJ220" s="7"/>
      <c r="AK220" s="7"/>
      <c r="AL220" s="7"/>
      <c r="AM220" s="7"/>
      <c r="AN220" s="7"/>
      <c r="AO220" s="72" t="str">
        <f t="shared" si="29"/>
        <v>A</v>
      </c>
      <c r="AP220" s="7"/>
      <c r="AQ220" s="7"/>
      <c r="AR220" s="7"/>
      <c r="AS220" s="7"/>
      <c r="AT220" s="7"/>
      <c r="AU220" s="72" t="str">
        <f t="shared" si="30"/>
        <v>A</v>
      </c>
      <c r="AV220" s="7"/>
      <c r="AW220" s="7"/>
      <c r="AX220" s="62">
        <v>4</v>
      </c>
      <c r="AY220" s="62">
        <v>2</v>
      </c>
      <c r="AZ220" s="62">
        <v>4</v>
      </c>
      <c r="BA220" s="72">
        <f t="shared" si="31"/>
        <v>3.3333333333333335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2</v>
      </c>
      <c r="M221" s="62"/>
      <c r="N221" s="62">
        <v>2</v>
      </c>
      <c r="O221" s="62">
        <v>1</v>
      </c>
      <c r="P221" s="62"/>
      <c r="Q221" s="72">
        <f t="shared" si="25"/>
        <v>1.6666666666666667</v>
      </c>
      <c r="R221" s="62"/>
      <c r="S221" s="62"/>
      <c r="T221" s="62"/>
      <c r="U221" s="62"/>
      <c r="V221" s="62"/>
      <c r="W221" s="72" t="str">
        <f t="shared" si="26"/>
        <v>A</v>
      </c>
      <c r="X221" s="62"/>
      <c r="Y221" s="62"/>
      <c r="Z221" s="62"/>
      <c r="AA221" s="62"/>
      <c r="AB221" s="62"/>
      <c r="AC221" s="72" t="str">
        <f t="shared" si="27"/>
        <v>A</v>
      </c>
      <c r="AD221" s="62"/>
      <c r="AE221" s="62"/>
      <c r="AF221" s="62"/>
      <c r="AG221" s="62"/>
      <c r="AH221" s="62"/>
      <c r="AI221" s="72" t="str">
        <f t="shared" si="28"/>
        <v>A</v>
      </c>
      <c r="AJ221" s="62"/>
      <c r="AK221" s="62"/>
      <c r="AL221" s="62"/>
      <c r="AM221" s="62"/>
      <c r="AN221" s="62"/>
      <c r="AO221" s="72" t="str">
        <f t="shared" si="29"/>
        <v>A</v>
      </c>
      <c r="AP221" s="62"/>
      <c r="AQ221" s="62"/>
      <c r="AR221" s="62"/>
      <c r="AS221" s="62"/>
      <c r="AT221" s="62"/>
      <c r="AU221" s="72" t="str">
        <f t="shared" si="30"/>
        <v>A</v>
      </c>
      <c r="AV221" s="62"/>
      <c r="AW221" s="62"/>
      <c r="AX221" s="62">
        <v>4</v>
      </c>
      <c r="AY221" s="62">
        <v>2</v>
      </c>
      <c r="AZ221" s="62">
        <v>1</v>
      </c>
      <c r="BA221" s="72">
        <f t="shared" si="31"/>
        <v>2.3333333333333335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 t="s">
        <v>582</v>
      </c>
      <c r="M222" s="62"/>
      <c r="N222" s="62" t="s">
        <v>582</v>
      </c>
      <c r="O222" s="62" t="s">
        <v>582</v>
      </c>
      <c r="P222" s="62"/>
      <c r="Q222" s="72" t="str">
        <f t="shared" si="25"/>
        <v>A</v>
      </c>
      <c r="R222" s="7"/>
      <c r="S222" s="7"/>
      <c r="T222" s="7"/>
      <c r="U222" s="7"/>
      <c r="V222" s="7"/>
      <c r="W222" s="72" t="str">
        <f t="shared" si="26"/>
        <v>A</v>
      </c>
      <c r="X222" s="7"/>
      <c r="Y222" s="7"/>
      <c r="Z222" s="7"/>
      <c r="AA222" s="7"/>
      <c r="AB222" s="7"/>
      <c r="AC222" s="72" t="str">
        <f t="shared" si="27"/>
        <v>A</v>
      </c>
      <c r="AD222" s="7"/>
      <c r="AE222" s="7"/>
      <c r="AF222" s="7"/>
      <c r="AG222" s="7"/>
      <c r="AH222" s="7"/>
      <c r="AI222" s="72" t="str">
        <f t="shared" si="28"/>
        <v>A</v>
      </c>
      <c r="AJ222" s="7"/>
      <c r="AK222" s="7"/>
      <c r="AL222" s="7"/>
      <c r="AM222" s="7"/>
      <c r="AN222" s="7"/>
      <c r="AO222" s="72" t="str">
        <f t="shared" si="29"/>
        <v>A</v>
      </c>
      <c r="AP222" s="7"/>
      <c r="AQ222" s="7"/>
      <c r="AR222" s="7"/>
      <c r="AS222" s="7"/>
      <c r="AT222" s="7"/>
      <c r="AU222" s="72" t="str">
        <f t="shared" si="30"/>
        <v>A</v>
      </c>
      <c r="AV222" s="7"/>
      <c r="AW222" s="7"/>
      <c r="AX222" s="62" t="s">
        <v>582</v>
      </c>
      <c r="AY222" s="62" t="s">
        <v>582</v>
      </c>
      <c r="AZ222" s="62" t="s">
        <v>582</v>
      </c>
      <c r="BA222" s="72" t="str">
        <f t="shared" si="31"/>
        <v>A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4</v>
      </c>
      <c r="M223" s="62"/>
      <c r="N223" s="62">
        <v>4</v>
      </c>
      <c r="O223" s="62">
        <v>4</v>
      </c>
      <c r="P223" s="62"/>
      <c r="Q223" s="72">
        <f t="shared" si="25"/>
        <v>4</v>
      </c>
      <c r="R223" s="62"/>
      <c r="S223" s="62"/>
      <c r="T223" s="62"/>
      <c r="U223" s="62"/>
      <c r="V223" s="62"/>
      <c r="W223" s="72" t="str">
        <f t="shared" si="26"/>
        <v>A</v>
      </c>
      <c r="X223" s="62"/>
      <c r="Y223" s="62"/>
      <c r="Z223" s="62"/>
      <c r="AA223" s="62"/>
      <c r="AB223" s="62"/>
      <c r="AC223" s="72" t="str">
        <f t="shared" si="27"/>
        <v>A</v>
      </c>
      <c r="AD223" s="62"/>
      <c r="AE223" s="62"/>
      <c r="AF223" s="62"/>
      <c r="AG223" s="62"/>
      <c r="AH223" s="62"/>
      <c r="AI223" s="72" t="str">
        <f t="shared" si="28"/>
        <v>A</v>
      </c>
      <c r="AJ223" s="62"/>
      <c r="AK223" s="62"/>
      <c r="AL223" s="62"/>
      <c r="AM223" s="62"/>
      <c r="AN223" s="62"/>
      <c r="AO223" s="72" t="str">
        <f t="shared" si="29"/>
        <v>A</v>
      </c>
      <c r="AP223" s="62"/>
      <c r="AQ223" s="62"/>
      <c r="AR223" s="62"/>
      <c r="AS223" s="62"/>
      <c r="AT223" s="62"/>
      <c r="AU223" s="72" t="str">
        <f t="shared" si="30"/>
        <v>A</v>
      </c>
      <c r="AV223" s="62"/>
      <c r="AW223" s="62"/>
      <c r="AX223" s="62">
        <v>4</v>
      </c>
      <c r="AY223" s="62">
        <v>2</v>
      </c>
      <c r="AZ223" s="62">
        <v>4</v>
      </c>
      <c r="BA223" s="72">
        <f t="shared" si="31"/>
        <v>3.3333333333333335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4</v>
      </c>
      <c r="M224" s="62"/>
      <c r="N224" s="62">
        <v>4</v>
      </c>
      <c r="O224" s="62">
        <v>4</v>
      </c>
      <c r="P224" s="62"/>
      <c r="Q224" s="72">
        <f t="shared" si="25"/>
        <v>4</v>
      </c>
      <c r="R224" s="7"/>
      <c r="S224" s="7"/>
      <c r="T224" s="7"/>
      <c r="U224" s="7"/>
      <c r="V224" s="7"/>
      <c r="W224" s="72" t="str">
        <f t="shared" si="26"/>
        <v>A</v>
      </c>
      <c r="X224" s="7"/>
      <c r="Y224" s="7"/>
      <c r="Z224" s="7"/>
      <c r="AA224" s="7"/>
      <c r="AB224" s="7"/>
      <c r="AC224" s="72" t="str">
        <f t="shared" si="27"/>
        <v>A</v>
      </c>
      <c r="AD224" s="7"/>
      <c r="AE224" s="7"/>
      <c r="AF224" s="7"/>
      <c r="AG224" s="7"/>
      <c r="AH224" s="7"/>
      <c r="AI224" s="72" t="str">
        <f t="shared" si="28"/>
        <v>A</v>
      </c>
      <c r="AJ224" s="7"/>
      <c r="AK224" s="7"/>
      <c r="AL224" s="7"/>
      <c r="AM224" s="7"/>
      <c r="AN224" s="7"/>
      <c r="AO224" s="72" t="str">
        <f t="shared" si="29"/>
        <v>A</v>
      </c>
      <c r="AP224" s="7"/>
      <c r="AQ224" s="7"/>
      <c r="AR224" s="7"/>
      <c r="AS224" s="7"/>
      <c r="AT224" s="7"/>
      <c r="AU224" s="72" t="str">
        <f t="shared" si="30"/>
        <v>A</v>
      </c>
      <c r="AV224" s="7"/>
      <c r="AW224" s="7"/>
      <c r="AX224" s="62">
        <v>4</v>
      </c>
      <c r="AY224" s="62">
        <v>2</v>
      </c>
      <c r="AZ224" s="62">
        <v>4</v>
      </c>
      <c r="BA224" s="72">
        <f t="shared" si="31"/>
        <v>3.3333333333333335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4</v>
      </c>
      <c r="M225" s="62"/>
      <c r="N225" s="62">
        <v>3</v>
      </c>
      <c r="O225" s="62">
        <v>3</v>
      </c>
      <c r="P225" s="62"/>
      <c r="Q225" s="72">
        <f t="shared" si="25"/>
        <v>3.3333333333333335</v>
      </c>
      <c r="R225" s="62"/>
      <c r="S225" s="62"/>
      <c r="T225" s="62"/>
      <c r="U225" s="62"/>
      <c r="V225" s="62"/>
      <c r="W225" s="72" t="str">
        <f t="shared" si="26"/>
        <v>A</v>
      </c>
      <c r="X225" s="62"/>
      <c r="Y225" s="62"/>
      <c r="Z225" s="62"/>
      <c r="AA225" s="62"/>
      <c r="AB225" s="62"/>
      <c r="AC225" s="72" t="str">
        <f t="shared" si="27"/>
        <v>A</v>
      </c>
      <c r="AD225" s="62"/>
      <c r="AE225" s="62"/>
      <c r="AF225" s="62"/>
      <c r="AG225" s="62"/>
      <c r="AH225" s="62"/>
      <c r="AI225" s="72" t="str">
        <f t="shared" si="28"/>
        <v>A</v>
      </c>
      <c r="AJ225" s="62"/>
      <c r="AK225" s="62"/>
      <c r="AL225" s="62"/>
      <c r="AM225" s="62"/>
      <c r="AN225" s="62"/>
      <c r="AO225" s="72" t="str">
        <f t="shared" si="29"/>
        <v>A</v>
      </c>
      <c r="AP225" s="62"/>
      <c r="AQ225" s="62"/>
      <c r="AR225" s="62"/>
      <c r="AS225" s="62"/>
      <c r="AT225" s="62"/>
      <c r="AU225" s="72" t="str">
        <f t="shared" si="30"/>
        <v>A</v>
      </c>
      <c r="AV225" s="62"/>
      <c r="AW225" s="62"/>
      <c r="AX225" s="62">
        <v>4</v>
      </c>
      <c r="AY225" s="62">
        <v>2</v>
      </c>
      <c r="AZ225" s="62">
        <v>3</v>
      </c>
      <c r="BA225" s="72">
        <f t="shared" si="31"/>
        <v>3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3</v>
      </c>
      <c r="M226" s="62"/>
      <c r="N226" s="62">
        <v>3</v>
      </c>
      <c r="O226" s="62">
        <v>2</v>
      </c>
      <c r="P226" s="62"/>
      <c r="Q226" s="72">
        <f t="shared" si="25"/>
        <v>2.6666666666666665</v>
      </c>
      <c r="R226" s="7"/>
      <c r="S226" s="7"/>
      <c r="T226" s="7"/>
      <c r="U226" s="7"/>
      <c r="V226" s="7"/>
      <c r="W226" s="72" t="str">
        <f t="shared" si="26"/>
        <v>A</v>
      </c>
      <c r="X226" s="7"/>
      <c r="Y226" s="7"/>
      <c r="Z226" s="7"/>
      <c r="AA226" s="7"/>
      <c r="AB226" s="7"/>
      <c r="AC226" s="72" t="str">
        <f t="shared" si="27"/>
        <v>A</v>
      </c>
      <c r="AD226" s="7"/>
      <c r="AE226" s="7"/>
      <c r="AF226" s="7"/>
      <c r="AG226" s="7"/>
      <c r="AH226" s="7"/>
      <c r="AI226" s="72" t="str">
        <f t="shared" si="28"/>
        <v>A</v>
      </c>
      <c r="AJ226" s="7"/>
      <c r="AK226" s="7"/>
      <c r="AL226" s="7"/>
      <c r="AM226" s="7"/>
      <c r="AN226" s="7"/>
      <c r="AO226" s="72" t="str">
        <f t="shared" si="29"/>
        <v>A</v>
      </c>
      <c r="AP226" s="7"/>
      <c r="AQ226" s="7"/>
      <c r="AR226" s="7"/>
      <c r="AS226" s="7"/>
      <c r="AT226" s="7"/>
      <c r="AU226" s="72" t="str">
        <f t="shared" si="30"/>
        <v>A</v>
      </c>
      <c r="AV226" s="7"/>
      <c r="AW226" s="7"/>
      <c r="AX226" s="62">
        <v>4</v>
      </c>
      <c r="AY226" s="62">
        <v>2</v>
      </c>
      <c r="AZ226" s="62">
        <v>2</v>
      </c>
      <c r="BA226" s="72">
        <f t="shared" si="31"/>
        <v>2.6666666666666665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2</v>
      </c>
      <c r="M227" s="62"/>
      <c r="N227" s="62">
        <v>2</v>
      </c>
      <c r="O227" s="62">
        <v>2</v>
      </c>
      <c r="P227" s="62"/>
      <c r="Q227" s="72">
        <f t="shared" si="25"/>
        <v>2</v>
      </c>
      <c r="R227" s="62"/>
      <c r="S227" s="62"/>
      <c r="T227" s="62"/>
      <c r="U227" s="62"/>
      <c r="V227" s="62"/>
      <c r="W227" s="72" t="str">
        <f t="shared" si="26"/>
        <v>A</v>
      </c>
      <c r="X227" s="62"/>
      <c r="Y227" s="62"/>
      <c r="Z227" s="62"/>
      <c r="AA227" s="62"/>
      <c r="AB227" s="62"/>
      <c r="AC227" s="72" t="str">
        <f t="shared" si="27"/>
        <v>A</v>
      </c>
      <c r="AD227" s="62"/>
      <c r="AE227" s="62"/>
      <c r="AF227" s="62"/>
      <c r="AG227" s="62"/>
      <c r="AH227" s="62"/>
      <c r="AI227" s="72" t="str">
        <f t="shared" si="28"/>
        <v>A</v>
      </c>
      <c r="AJ227" s="62"/>
      <c r="AK227" s="62"/>
      <c r="AL227" s="62"/>
      <c r="AM227" s="62"/>
      <c r="AN227" s="62"/>
      <c r="AO227" s="72" t="str">
        <f t="shared" si="29"/>
        <v>A</v>
      </c>
      <c r="AP227" s="62"/>
      <c r="AQ227" s="62"/>
      <c r="AR227" s="62"/>
      <c r="AS227" s="62"/>
      <c r="AT227" s="62"/>
      <c r="AU227" s="72" t="str">
        <f t="shared" si="30"/>
        <v>A</v>
      </c>
      <c r="AV227" s="62"/>
      <c r="AW227" s="62"/>
      <c r="AX227" s="62">
        <v>2</v>
      </c>
      <c r="AY227" s="62">
        <v>2</v>
      </c>
      <c r="AZ227" s="62">
        <v>2</v>
      </c>
      <c r="BA227" s="72">
        <f t="shared" si="31"/>
        <v>2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3</v>
      </c>
      <c r="M228" s="62"/>
      <c r="N228" s="62">
        <v>3</v>
      </c>
      <c r="O228" s="62">
        <v>3</v>
      </c>
      <c r="P228" s="62"/>
      <c r="Q228" s="72">
        <f t="shared" si="25"/>
        <v>3</v>
      </c>
      <c r="R228" s="7"/>
      <c r="S228" s="7"/>
      <c r="T228" s="7"/>
      <c r="U228" s="7"/>
      <c r="V228" s="7"/>
      <c r="W228" s="72" t="str">
        <f t="shared" si="26"/>
        <v>A</v>
      </c>
      <c r="X228" s="7"/>
      <c r="Y228" s="7"/>
      <c r="Z228" s="7"/>
      <c r="AA228" s="7"/>
      <c r="AB228" s="7"/>
      <c r="AC228" s="72" t="str">
        <f t="shared" si="27"/>
        <v>A</v>
      </c>
      <c r="AD228" s="7"/>
      <c r="AE228" s="7"/>
      <c r="AF228" s="7"/>
      <c r="AG228" s="7"/>
      <c r="AH228" s="7"/>
      <c r="AI228" s="72" t="str">
        <f t="shared" si="28"/>
        <v>A</v>
      </c>
      <c r="AJ228" s="7"/>
      <c r="AK228" s="7"/>
      <c r="AL228" s="7"/>
      <c r="AM228" s="7"/>
      <c r="AN228" s="7"/>
      <c r="AO228" s="72" t="str">
        <f t="shared" si="29"/>
        <v>A</v>
      </c>
      <c r="AP228" s="7"/>
      <c r="AQ228" s="7"/>
      <c r="AR228" s="7"/>
      <c r="AS228" s="7"/>
      <c r="AT228" s="7"/>
      <c r="AU228" s="72" t="str">
        <f t="shared" si="30"/>
        <v>A</v>
      </c>
      <c r="AV228" s="7"/>
      <c r="AW228" s="7"/>
      <c r="AX228" s="62">
        <v>4</v>
      </c>
      <c r="AY228" s="62">
        <v>2</v>
      </c>
      <c r="AZ228" s="62">
        <v>3</v>
      </c>
      <c r="BA228" s="72">
        <f t="shared" si="31"/>
        <v>3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4</v>
      </c>
      <c r="M229" s="62"/>
      <c r="N229" s="62">
        <v>4</v>
      </c>
      <c r="O229" s="62">
        <v>4</v>
      </c>
      <c r="P229" s="62"/>
      <c r="Q229" s="72">
        <f t="shared" si="25"/>
        <v>4</v>
      </c>
      <c r="R229" s="62"/>
      <c r="S229" s="62"/>
      <c r="T229" s="62"/>
      <c r="U229" s="62"/>
      <c r="V229" s="62"/>
      <c r="W229" s="72" t="str">
        <f t="shared" si="26"/>
        <v>A</v>
      </c>
      <c r="X229" s="62"/>
      <c r="Y229" s="62"/>
      <c r="Z229" s="62"/>
      <c r="AA229" s="62"/>
      <c r="AB229" s="62"/>
      <c r="AC229" s="72" t="str">
        <f t="shared" si="27"/>
        <v>A</v>
      </c>
      <c r="AD229" s="62"/>
      <c r="AE229" s="62"/>
      <c r="AF229" s="62"/>
      <c r="AG229" s="62"/>
      <c r="AH229" s="62"/>
      <c r="AI229" s="72" t="str">
        <f t="shared" si="28"/>
        <v>A</v>
      </c>
      <c r="AJ229" s="62"/>
      <c r="AK229" s="62"/>
      <c r="AL229" s="62"/>
      <c r="AM229" s="62"/>
      <c r="AN229" s="62"/>
      <c r="AO229" s="72" t="str">
        <f t="shared" si="29"/>
        <v>A</v>
      </c>
      <c r="AP229" s="62"/>
      <c r="AQ229" s="62"/>
      <c r="AR229" s="62"/>
      <c r="AS229" s="62"/>
      <c r="AT229" s="62"/>
      <c r="AU229" s="72" t="str">
        <f t="shared" si="30"/>
        <v>A</v>
      </c>
      <c r="AV229" s="62"/>
      <c r="AW229" s="62"/>
      <c r="AX229" s="62">
        <v>4</v>
      </c>
      <c r="AY229" s="62">
        <v>2</v>
      </c>
      <c r="AZ229" s="62">
        <v>4</v>
      </c>
      <c r="BA229" s="72">
        <f t="shared" si="31"/>
        <v>3.3333333333333335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3</v>
      </c>
      <c r="M230" s="62"/>
      <c r="N230" s="62">
        <v>3</v>
      </c>
      <c r="O230" s="62">
        <v>3</v>
      </c>
      <c r="P230" s="62"/>
      <c r="Q230" s="72">
        <f t="shared" si="25"/>
        <v>3</v>
      </c>
      <c r="R230" s="7"/>
      <c r="S230" s="7"/>
      <c r="T230" s="7"/>
      <c r="U230" s="7"/>
      <c r="V230" s="7"/>
      <c r="W230" s="72" t="str">
        <f t="shared" si="26"/>
        <v>A</v>
      </c>
      <c r="X230" s="7"/>
      <c r="Y230" s="7"/>
      <c r="Z230" s="7"/>
      <c r="AA230" s="7"/>
      <c r="AB230" s="7"/>
      <c r="AC230" s="72" t="str">
        <f t="shared" si="27"/>
        <v>A</v>
      </c>
      <c r="AD230" s="7"/>
      <c r="AE230" s="7"/>
      <c r="AF230" s="7"/>
      <c r="AG230" s="7"/>
      <c r="AH230" s="7"/>
      <c r="AI230" s="72" t="str">
        <f t="shared" si="28"/>
        <v>A</v>
      </c>
      <c r="AJ230" s="7"/>
      <c r="AK230" s="7"/>
      <c r="AL230" s="7"/>
      <c r="AM230" s="7"/>
      <c r="AN230" s="7"/>
      <c r="AO230" s="72" t="str">
        <f t="shared" si="29"/>
        <v>A</v>
      </c>
      <c r="AP230" s="7"/>
      <c r="AQ230" s="7"/>
      <c r="AR230" s="7"/>
      <c r="AS230" s="7"/>
      <c r="AT230" s="7"/>
      <c r="AU230" s="72" t="str">
        <f t="shared" si="30"/>
        <v>A</v>
      </c>
      <c r="AV230" s="7"/>
      <c r="AW230" s="7"/>
      <c r="AX230" s="62">
        <v>4</v>
      </c>
      <c r="AY230" s="62">
        <v>2</v>
      </c>
      <c r="AZ230" s="62">
        <v>3</v>
      </c>
      <c r="BA230" s="72">
        <f t="shared" si="31"/>
        <v>3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A1:A2"/>
    <mergeCell ref="B1:B2"/>
    <mergeCell ref="C1:C2"/>
    <mergeCell ref="D1:D2"/>
    <mergeCell ref="E1:E2"/>
    <mergeCell ref="F1:J1"/>
    <mergeCell ref="K1:K2"/>
    <mergeCell ref="L1:P1"/>
    <mergeCell ref="Q1:Q2"/>
    <mergeCell ref="R1:V1"/>
    <mergeCell ref="W1:W2"/>
    <mergeCell ref="X1:AB1"/>
    <mergeCell ref="AP1:AT1"/>
    <mergeCell ref="AU1:AU2"/>
    <mergeCell ref="AV1:AZ1"/>
    <mergeCell ref="BA1:BA2"/>
    <mergeCell ref="AC1:AC2"/>
    <mergeCell ref="AD1:AH1"/>
    <mergeCell ref="AI1:AI2"/>
    <mergeCell ref="AJ1:AN1"/>
    <mergeCell ref="AO1:AO2"/>
  </mergeCells>
  <phoneticPr fontId="9" type="noConversion"/>
  <conditionalFormatting sqref="K3:K230">
    <cfRule type="containsText" dxfId="20" priority="8" operator="containsText" text="A">
      <formula>NOT(ISERROR(SEARCH("A",K3)))</formula>
    </cfRule>
  </conditionalFormatting>
  <conditionalFormatting sqref="Q3:Q230">
    <cfRule type="containsText" dxfId="19" priority="7" operator="containsText" text="A">
      <formula>NOT(ISERROR(SEARCH("A",Q3)))</formula>
    </cfRule>
  </conditionalFormatting>
  <conditionalFormatting sqref="W3:W230">
    <cfRule type="containsText" dxfId="18" priority="1" operator="containsText" text="A">
      <formula>NOT(ISERROR(SEARCH("A",W3)))</formula>
    </cfRule>
  </conditionalFormatting>
  <conditionalFormatting sqref="AC3:AC230">
    <cfRule type="containsText" dxfId="17" priority="2" operator="containsText" text="A">
      <formula>NOT(ISERROR(SEARCH("A",AC3)))</formula>
    </cfRule>
  </conditionalFormatting>
  <conditionalFormatting sqref="AI3:AI230">
    <cfRule type="containsText" dxfId="16" priority="3" operator="containsText" text="A">
      <formula>NOT(ISERROR(SEARCH("A",AI3)))</formula>
    </cfRule>
  </conditionalFormatting>
  <conditionalFormatting sqref="AO3:AO230">
    <cfRule type="containsText" dxfId="15" priority="6" operator="containsText" text="A">
      <formula>NOT(ISERROR(SEARCH("A",AO3)))</formula>
    </cfRule>
  </conditionalFormatting>
  <conditionalFormatting sqref="AU3:AU230">
    <cfRule type="containsText" dxfId="14" priority="4" operator="containsText" text="A">
      <formula>NOT(ISERROR(SEARCH("A",AU3)))</formula>
    </cfRule>
  </conditionalFormatting>
  <conditionalFormatting sqref="BA3:BA230">
    <cfRule type="containsText" dxfId="13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4C7F-8345-4778-B71C-627C697CAFA0}">
  <dimension ref="A1:BC232"/>
  <sheetViews>
    <sheetView topLeftCell="AW1" workbookViewId="0">
      <selection activeCell="R9" sqref="R9"/>
    </sheetView>
  </sheetViews>
  <sheetFormatPr defaultRowHeight="15.6" x14ac:dyDescent="0.3"/>
  <cols>
    <col min="1" max="1" width="11.109375" style="132" customWidth="1"/>
    <col min="2" max="2" width="21.6640625" style="132" customWidth="1"/>
    <col min="3" max="3" width="22.77734375" style="121" customWidth="1"/>
    <col min="4" max="5" width="12.44140625" style="132" customWidth="1"/>
    <col min="6" max="8" width="11.109375" style="132" customWidth="1"/>
    <col min="9" max="10" width="12.21875" style="122" customWidth="1"/>
    <col min="11" max="11" width="12.77734375" style="133" customWidth="1"/>
    <col min="12" max="12" width="13" style="122" customWidth="1"/>
    <col min="13" max="16" width="12.21875" style="122" customWidth="1"/>
    <col min="17" max="17" width="12.77734375" style="133" customWidth="1"/>
    <col min="18" max="22" width="12.21875" style="122" customWidth="1"/>
    <col min="23" max="23" width="12.77734375" style="133" customWidth="1"/>
    <col min="24" max="28" width="12.21875" style="122" customWidth="1"/>
    <col min="29" max="29" width="12.77734375" style="133" customWidth="1"/>
    <col min="30" max="34" width="12.21875" style="122" customWidth="1"/>
    <col min="35" max="35" width="12.77734375" style="133" customWidth="1"/>
    <col min="36" max="40" width="12.21875" style="122" customWidth="1"/>
    <col min="41" max="41" width="12.77734375" style="133" customWidth="1"/>
    <col min="42" max="46" width="12.21875" style="122" customWidth="1"/>
    <col min="47" max="47" width="12.77734375" style="133" customWidth="1"/>
    <col min="48" max="52" width="12.21875" style="122" customWidth="1"/>
    <col min="53" max="53" width="12.77734375" style="133" customWidth="1"/>
    <col min="54" max="16384" width="8.88671875" style="122"/>
  </cols>
  <sheetData>
    <row r="1" spans="1:55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8" t="s">
        <v>28</v>
      </c>
      <c r="L1" s="146" t="s">
        <v>496</v>
      </c>
      <c r="M1" s="146"/>
      <c r="N1" s="146"/>
      <c r="O1" s="146"/>
      <c r="P1" s="146"/>
      <c r="Q1" s="148" t="s">
        <v>28</v>
      </c>
      <c r="R1" s="146" t="s">
        <v>497</v>
      </c>
      <c r="S1" s="146"/>
      <c r="T1" s="146"/>
      <c r="U1" s="146"/>
      <c r="V1" s="146"/>
      <c r="W1" s="148" t="s">
        <v>28</v>
      </c>
      <c r="X1" s="146" t="s">
        <v>498</v>
      </c>
      <c r="Y1" s="146"/>
      <c r="Z1" s="146"/>
      <c r="AA1" s="146"/>
      <c r="AB1" s="146"/>
      <c r="AC1" s="148" t="s">
        <v>28</v>
      </c>
      <c r="AD1" s="146" t="s">
        <v>499</v>
      </c>
      <c r="AE1" s="146"/>
      <c r="AF1" s="146"/>
      <c r="AG1" s="146"/>
      <c r="AH1" s="146"/>
      <c r="AI1" s="148" t="s">
        <v>28</v>
      </c>
      <c r="AJ1" s="146" t="s">
        <v>500</v>
      </c>
      <c r="AK1" s="146"/>
      <c r="AL1" s="146"/>
      <c r="AM1" s="146"/>
      <c r="AN1" s="146"/>
      <c r="AO1" s="148" t="s">
        <v>28</v>
      </c>
      <c r="AP1" s="146" t="s">
        <v>501</v>
      </c>
      <c r="AQ1" s="146"/>
      <c r="AR1" s="146"/>
      <c r="AS1" s="146"/>
      <c r="AT1" s="146"/>
      <c r="AU1" s="148" t="s">
        <v>28</v>
      </c>
      <c r="AV1" s="146" t="s">
        <v>29</v>
      </c>
      <c r="AW1" s="146"/>
      <c r="AX1" s="146"/>
      <c r="AY1" s="146"/>
      <c r="AZ1" s="146"/>
      <c r="BA1" s="148" t="s">
        <v>28</v>
      </c>
    </row>
    <row r="2" spans="1:55" s="3" customFormat="1" ht="20.100000000000001" customHeight="1" x14ac:dyDescent="0.3">
      <c r="A2" s="153"/>
      <c r="B2" s="153"/>
      <c r="C2" s="155"/>
      <c r="D2" s="153"/>
      <c r="E2" s="153"/>
      <c r="F2" s="113" t="s">
        <v>502</v>
      </c>
      <c r="G2" s="113" t="s">
        <v>503</v>
      </c>
      <c r="H2" s="113" t="s">
        <v>504</v>
      </c>
      <c r="I2" s="113" t="s">
        <v>505</v>
      </c>
      <c r="J2" s="113" t="s">
        <v>506</v>
      </c>
      <c r="K2" s="156"/>
      <c r="L2" s="113" t="s">
        <v>507</v>
      </c>
      <c r="M2" s="113" t="s">
        <v>508</v>
      </c>
      <c r="N2" s="113" t="s">
        <v>509</v>
      </c>
      <c r="O2" s="113" t="s">
        <v>510</v>
      </c>
      <c r="P2" s="113" t="s">
        <v>511</v>
      </c>
      <c r="Q2" s="156"/>
      <c r="R2" s="113" t="s">
        <v>512</v>
      </c>
      <c r="S2" s="113" t="s">
        <v>513</v>
      </c>
      <c r="T2" s="113" t="s">
        <v>514</v>
      </c>
      <c r="U2" s="113" t="s">
        <v>515</v>
      </c>
      <c r="V2" s="113" t="s">
        <v>516</v>
      </c>
      <c r="W2" s="156"/>
      <c r="X2" s="113" t="s">
        <v>517</v>
      </c>
      <c r="Y2" s="113" t="s">
        <v>518</v>
      </c>
      <c r="Z2" s="113" t="s">
        <v>519</v>
      </c>
      <c r="AA2" s="113" t="s">
        <v>520</v>
      </c>
      <c r="AB2" s="113" t="s">
        <v>521</v>
      </c>
      <c r="AC2" s="156"/>
      <c r="AD2" s="113" t="s">
        <v>522</v>
      </c>
      <c r="AE2" s="113" t="s">
        <v>523</v>
      </c>
      <c r="AF2" s="113" t="s">
        <v>524</v>
      </c>
      <c r="AG2" s="113" t="s">
        <v>525</v>
      </c>
      <c r="AH2" s="113" t="s">
        <v>526</v>
      </c>
      <c r="AI2" s="156"/>
      <c r="AJ2" s="113" t="s">
        <v>527</v>
      </c>
      <c r="AK2" s="113" t="s">
        <v>528</v>
      </c>
      <c r="AL2" s="113" t="s">
        <v>529</v>
      </c>
      <c r="AM2" s="113" t="s">
        <v>530</v>
      </c>
      <c r="AN2" s="113" t="s">
        <v>531</v>
      </c>
      <c r="AO2" s="156"/>
      <c r="AP2" s="113" t="s">
        <v>532</v>
      </c>
      <c r="AQ2" s="113" t="s">
        <v>533</v>
      </c>
      <c r="AR2" s="113" t="s">
        <v>534</v>
      </c>
      <c r="AS2" s="113" t="s">
        <v>535</v>
      </c>
      <c r="AT2" s="113" t="s">
        <v>536</v>
      </c>
      <c r="AU2" s="156"/>
      <c r="AV2" s="113" t="s">
        <v>30</v>
      </c>
      <c r="AW2" s="113" t="s">
        <v>31</v>
      </c>
      <c r="AX2" s="113" t="s">
        <v>32</v>
      </c>
      <c r="AY2" s="113" t="s">
        <v>33</v>
      </c>
      <c r="AZ2" s="113" t="s">
        <v>34</v>
      </c>
      <c r="BA2" s="156"/>
      <c r="BC2" s="122"/>
    </row>
    <row r="3" spans="1:55" ht="23.1" customHeight="1" x14ac:dyDescent="0.3">
      <c r="A3" s="62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62"/>
      <c r="G3" s="62"/>
      <c r="H3" s="62"/>
      <c r="I3" s="62"/>
      <c r="J3" s="62"/>
      <c r="K3" s="72" t="str">
        <f>IFERROR(AVERAGE(F3,G3,H3,I3),"A")</f>
        <v>A</v>
      </c>
      <c r="L3" s="62">
        <v>0</v>
      </c>
      <c r="M3" s="62"/>
      <c r="N3" s="62">
        <v>0</v>
      </c>
      <c r="O3" s="62">
        <v>0</v>
      </c>
      <c r="P3" s="62"/>
      <c r="Q3" s="72">
        <f>IFERROR(AVERAGE(N3,L3,O3),"A")</f>
        <v>0</v>
      </c>
      <c r="R3" s="62"/>
      <c r="S3" s="62"/>
      <c r="T3" s="62"/>
      <c r="U3" s="62"/>
      <c r="V3" s="62"/>
      <c r="W3" s="72" t="str">
        <f>IFERROR(AVERAGE(R3,S3,U3),"A")</f>
        <v>A</v>
      </c>
      <c r="X3" s="62"/>
      <c r="Y3" s="62"/>
      <c r="Z3" s="62"/>
      <c r="AA3" s="62"/>
      <c r="AB3" s="62"/>
      <c r="AC3" s="72" t="str">
        <f>IFERROR(AVERAGE(Y3,X3),"A")</f>
        <v>A</v>
      </c>
      <c r="AD3" s="62"/>
      <c r="AE3" s="62"/>
      <c r="AF3" s="62"/>
      <c r="AG3" s="62"/>
      <c r="AH3" s="62"/>
      <c r="AI3" s="72" t="str">
        <f>IFERROR(AVERAGE(AF3,AD3),"A")</f>
        <v>A</v>
      </c>
      <c r="AJ3" s="62"/>
      <c r="AK3" s="62"/>
      <c r="AL3" s="62"/>
      <c r="AM3" s="62"/>
      <c r="AN3" s="62"/>
      <c r="AO3" s="72" t="str">
        <f>IFERROR(AVERAGE(AJ3,AK3,AL3,AM3),"A")</f>
        <v>A</v>
      </c>
      <c r="AP3" s="62"/>
      <c r="AQ3" s="62"/>
      <c r="AR3" s="62"/>
      <c r="AS3" s="62"/>
      <c r="AT3" s="62"/>
      <c r="AU3" s="72" t="str">
        <f>IFERROR(AVERAGE(AR3,AQ3,AP3),"A")</f>
        <v>A</v>
      </c>
      <c r="AV3" s="62"/>
      <c r="AW3" s="62"/>
      <c r="AX3" s="62">
        <v>0</v>
      </c>
      <c r="AY3" s="62">
        <v>0</v>
      </c>
      <c r="AZ3" s="62">
        <v>0</v>
      </c>
      <c r="BA3" s="72">
        <f>IFERROR(AVERAGE(AX3,AY3,AZ3),"A")</f>
        <v>0</v>
      </c>
      <c r="BC3" s="141" t="str">
        <f>IFERROR(VLOOKUP(B3,'[1]Reflection -1 '!$B$4:$I$231,9,FALSE),"ER")</f>
        <v>ER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7"/>
      <c r="I4" s="7"/>
      <c r="J4" s="7"/>
      <c r="K4" s="72" t="str">
        <f t="shared" ref="K4:K67" si="0">IFERROR(AVERAGE(F4,G4,H4,I4),"A")</f>
        <v>A</v>
      </c>
      <c r="L4" s="62">
        <v>0</v>
      </c>
      <c r="M4" s="62"/>
      <c r="N4" s="62">
        <v>0</v>
      </c>
      <c r="O4" s="62">
        <v>0</v>
      </c>
      <c r="P4" s="62"/>
      <c r="Q4" s="72">
        <f t="shared" ref="Q4:Q67" si="1">IFERROR(AVERAGE(N4,L4,O4),"A")</f>
        <v>0</v>
      </c>
      <c r="R4" s="7"/>
      <c r="S4" s="7"/>
      <c r="T4" s="7"/>
      <c r="U4" s="7"/>
      <c r="V4" s="7"/>
      <c r="W4" s="72" t="str">
        <f t="shared" ref="W4:W67" si="2">IFERROR(AVERAGE(R4,S4,U4),"A")</f>
        <v>A</v>
      </c>
      <c r="X4" s="7"/>
      <c r="Y4" s="7"/>
      <c r="Z4" s="7"/>
      <c r="AA4" s="7"/>
      <c r="AB4" s="7"/>
      <c r="AC4" s="72" t="str">
        <f t="shared" ref="AC4:AC67" si="3">IFERROR(AVERAGE(Y4,X4),"A")</f>
        <v>A</v>
      </c>
      <c r="AD4" s="7"/>
      <c r="AE4" s="7"/>
      <c r="AF4" s="7"/>
      <c r="AG4" s="7"/>
      <c r="AH4" s="7"/>
      <c r="AI4" s="72" t="str">
        <f t="shared" ref="AI4:AI67" si="4">IFERROR(AVERAGE(AF4,AD4),"A")</f>
        <v>A</v>
      </c>
      <c r="AJ4" s="7"/>
      <c r="AK4" s="7"/>
      <c r="AL4" s="7"/>
      <c r="AM4" s="7"/>
      <c r="AN4" s="7"/>
      <c r="AO4" s="72" t="str">
        <f t="shared" ref="AO4:AO67" si="5">IFERROR(AVERAGE(AJ4,AK4,AL4,AM4),"A")</f>
        <v>A</v>
      </c>
      <c r="AP4" s="7"/>
      <c r="AQ4" s="7"/>
      <c r="AR4" s="7"/>
      <c r="AS4" s="7"/>
      <c r="AT4" s="7"/>
      <c r="AU4" s="72" t="str">
        <f t="shared" ref="AU4:AU67" si="6">IFERROR(AVERAGE(AR4,AQ4,AP4),"A")</f>
        <v>A</v>
      </c>
      <c r="AV4" s="7"/>
      <c r="AW4" s="7"/>
      <c r="AX4" s="62">
        <v>0</v>
      </c>
      <c r="AY4" s="62">
        <v>0</v>
      </c>
      <c r="AZ4" s="62">
        <v>0</v>
      </c>
      <c r="BA4" s="72">
        <f t="shared" ref="BA4:BA67" si="7">IFERROR(AVERAGE(AX4,AY4,AZ4),"A")</f>
        <v>0</v>
      </c>
    </row>
    <row r="5" spans="1:55" ht="23.1" customHeight="1" x14ac:dyDescent="0.3">
      <c r="A5" s="62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62"/>
      <c r="G5" s="62"/>
      <c r="H5" s="62"/>
      <c r="I5" s="62"/>
      <c r="J5" s="62"/>
      <c r="K5" s="72" t="str">
        <f t="shared" si="0"/>
        <v>A</v>
      </c>
      <c r="L5" s="62">
        <v>3</v>
      </c>
      <c r="M5" s="62"/>
      <c r="N5" s="62">
        <v>2</v>
      </c>
      <c r="O5" s="62">
        <v>2</v>
      </c>
      <c r="P5" s="62"/>
      <c r="Q5" s="72">
        <f t="shared" si="1"/>
        <v>2.3333333333333335</v>
      </c>
      <c r="R5" s="62"/>
      <c r="S5" s="62"/>
      <c r="T5" s="62"/>
      <c r="U5" s="62"/>
      <c r="V5" s="62"/>
      <c r="W5" s="72" t="str">
        <f t="shared" si="2"/>
        <v>A</v>
      </c>
      <c r="X5" s="62"/>
      <c r="Y5" s="62"/>
      <c r="Z5" s="62"/>
      <c r="AA5" s="62"/>
      <c r="AB5" s="62"/>
      <c r="AC5" s="72" t="str">
        <f t="shared" si="3"/>
        <v>A</v>
      </c>
      <c r="AD5" s="62"/>
      <c r="AE5" s="62"/>
      <c r="AF5" s="62"/>
      <c r="AG5" s="62"/>
      <c r="AH5" s="62"/>
      <c r="AI5" s="72" t="str">
        <f t="shared" si="4"/>
        <v>A</v>
      </c>
      <c r="AJ5" s="62"/>
      <c r="AK5" s="62"/>
      <c r="AL5" s="62"/>
      <c r="AM5" s="62"/>
      <c r="AN5" s="62"/>
      <c r="AO5" s="72" t="str">
        <f t="shared" si="5"/>
        <v>A</v>
      </c>
      <c r="AP5" s="62"/>
      <c r="AQ5" s="62"/>
      <c r="AR5" s="62"/>
      <c r="AS5" s="62"/>
      <c r="AT5" s="62"/>
      <c r="AU5" s="72" t="str">
        <f t="shared" si="6"/>
        <v>A</v>
      </c>
      <c r="AV5" s="62"/>
      <c r="AW5" s="62"/>
      <c r="AX5" s="62">
        <v>5</v>
      </c>
      <c r="AY5" s="62">
        <v>0</v>
      </c>
      <c r="AZ5" s="62">
        <v>2</v>
      </c>
      <c r="BA5" s="72">
        <f t="shared" si="7"/>
        <v>2.3333333333333335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7"/>
      <c r="I6" s="7"/>
      <c r="J6" s="7"/>
      <c r="K6" s="72" t="str">
        <f t="shared" si="0"/>
        <v>A</v>
      </c>
      <c r="L6" s="62">
        <v>0</v>
      </c>
      <c r="M6" s="62"/>
      <c r="N6" s="62">
        <v>0</v>
      </c>
      <c r="O6" s="62">
        <v>0</v>
      </c>
      <c r="P6" s="62"/>
      <c r="Q6" s="72">
        <f t="shared" si="1"/>
        <v>0</v>
      </c>
      <c r="R6" s="7"/>
      <c r="S6" s="7"/>
      <c r="T6" s="7"/>
      <c r="U6" s="7"/>
      <c r="V6" s="7"/>
      <c r="W6" s="72" t="str">
        <f t="shared" si="2"/>
        <v>A</v>
      </c>
      <c r="X6" s="7"/>
      <c r="Y6" s="7"/>
      <c r="Z6" s="7"/>
      <c r="AA6" s="7"/>
      <c r="AB6" s="7"/>
      <c r="AC6" s="72" t="str">
        <f t="shared" si="3"/>
        <v>A</v>
      </c>
      <c r="AD6" s="7"/>
      <c r="AE6" s="7"/>
      <c r="AF6" s="7"/>
      <c r="AG6" s="7"/>
      <c r="AH6" s="7"/>
      <c r="AI6" s="72" t="str">
        <f t="shared" si="4"/>
        <v>A</v>
      </c>
      <c r="AJ6" s="7"/>
      <c r="AK6" s="7"/>
      <c r="AL6" s="7"/>
      <c r="AM6" s="7"/>
      <c r="AN6" s="7"/>
      <c r="AO6" s="72" t="str">
        <f t="shared" si="5"/>
        <v>A</v>
      </c>
      <c r="AP6" s="7"/>
      <c r="AQ6" s="7"/>
      <c r="AR6" s="7"/>
      <c r="AS6" s="7"/>
      <c r="AT6" s="7"/>
      <c r="AU6" s="72" t="str">
        <f t="shared" si="6"/>
        <v>A</v>
      </c>
      <c r="AV6" s="7"/>
      <c r="AW6" s="7"/>
      <c r="AX6" s="62">
        <v>0</v>
      </c>
      <c r="AY6" s="62">
        <v>0</v>
      </c>
      <c r="AZ6" s="62">
        <v>0</v>
      </c>
      <c r="BA6" s="72">
        <f t="shared" si="7"/>
        <v>0</v>
      </c>
    </row>
    <row r="7" spans="1:55" ht="23.1" customHeight="1" x14ac:dyDescent="0.3">
      <c r="A7" s="62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62"/>
      <c r="G7" s="62"/>
      <c r="H7" s="62"/>
      <c r="I7" s="62"/>
      <c r="J7" s="62"/>
      <c r="K7" s="72" t="str">
        <f t="shared" si="0"/>
        <v>A</v>
      </c>
      <c r="L7" s="62">
        <v>2</v>
      </c>
      <c r="M7" s="62"/>
      <c r="N7" s="62">
        <v>2</v>
      </c>
      <c r="O7" s="62">
        <v>2</v>
      </c>
      <c r="P7" s="62"/>
      <c r="Q7" s="72">
        <f t="shared" si="1"/>
        <v>2</v>
      </c>
      <c r="R7" s="62"/>
      <c r="S7" s="62"/>
      <c r="T7" s="62"/>
      <c r="U7" s="62"/>
      <c r="V7" s="62"/>
      <c r="W7" s="72" t="str">
        <f t="shared" si="2"/>
        <v>A</v>
      </c>
      <c r="X7" s="62"/>
      <c r="Y7" s="62"/>
      <c r="Z7" s="62"/>
      <c r="AA7" s="62"/>
      <c r="AB7" s="62"/>
      <c r="AC7" s="72" t="str">
        <f t="shared" si="3"/>
        <v>A</v>
      </c>
      <c r="AD7" s="62"/>
      <c r="AE7" s="62"/>
      <c r="AF7" s="62"/>
      <c r="AG7" s="62"/>
      <c r="AH7" s="62"/>
      <c r="AI7" s="72" t="str">
        <f t="shared" si="4"/>
        <v>A</v>
      </c>
      <c r="AJ7" s="62"/>
      <c r="AK7" s="62"/>
      <c r="AL7" s="62"/>
      <c r="AM7" s="62"/>
      <c r="AN7" s="62"/>
      <c r="AO7" s="72" t="str">
        <f t="shared" si="5"/>
        <v>A</v>
      </c>
      <c r="AP7" s="62"/>
      <c r="AQ7" s="62"/>
      <c r="AR7" s="62"/>
      <c r="AS7" s="62"/>
      <c r="AT7" s="62"/>
      <c r="AU7" s="72" t="str">
        <f t="shared" si="6"/>
        <v>A</v>
      </c>
      <c r="AV7" s="62"/>
      <c r="AW7" s="62"/>
      <c r="AX7" s="62">
        <v>2</v>
      </c>
      <c r="AY7" s="62">
        <v>2</v>
      </c>
      <c r="AZ7" s="62">
        <v>2</v>
      </c>
      <c r="BA7" s="72">
        <f t="shared" si="7"/>
        <v>2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7"/>
      <c r="I8" s="7"/>
      <c r="J8" s="7"/>
      <c r="K8" s="72" t="str">
        <f t="shared" si="0"/>
        <v>A</v>
      </c>
      <c r="L8" s="62">
        <v>0</v>
      </c>
      <c r="M8" s="62"/>
      <c r="N8" s="62">
        <v>0</v>
      </c>
      <c r="O8" s="62">
        <v>0</v>
      </c>
      <c r="P8" s="62"/>
      <c r="Q8" s="72">
        <f t="shared" si="1"/>
        <v>0</v>
      </c>
      <c r="R8" s="7"/>
      <c r="S8" s="7"/>
      <c r="T8" s="7"/>
      <c r="U8" s="7"/>
      <c r="V8" s="7"/>
      <c r="W8" s="72" t="str">
        <f t="shared" si="2"/>
        <v>A</v>
      </c>
      <c r="X8" s="7"/>
      <c r="Y8" s="7"/>
      <c r="Z8" s="7"/>
      <c r="AA8" s="7"/>
      <c r="AB8" s="7"/>
      <c r="AC8" s="72" t="str">
        <f t="shared" si="3"/>
        <v>A</v>
      </c>
      <c r="AD8" s="7"/>
      <c r="AE8" s="7"/>
      <c r="AF8" s="7"/>
      <c r="AG8" s="7"/>
      <c r="AH8" s="7"/>
      <c r="AI8" s="72" t="str">
        <f t="shared" si="4"/>
        <v>A</v>
      </c>
      <c r="AJ8" s="7"/>
      <c r="AK8" s="7"/>
      <c r="AL8" s="7"/>
      <c r="AM8" s="7"/>
      <c r="AN8" s="7"/>
      <c r="AO8" s="72" t="str">
        <f t="shared" si="5"/>
        <v>A</v>
      </c>
      <c r="AP8" s="7"/>
      <c r="AQ8" s="7"/>
      <c r="AR8" s="7"/>
      <c r="AS8" s="7"/>
      <c r="AT8" s="7"/>
      <c r="AU8" s="72" t="str">
        <f t="shared" si="6"/>
        <v>A</v>
      </c>
      <c r="AV8" s="7"/>
      <c r="AW8" s="7"/>
      <c r="AX8" s="62">
        <v>0</v>
      </c>
      <c r="AY8" s="62">
        <v>0</v>
      </c>
      <c r="AZ8" s="62">
        <v>0</v>
      </c>
      <c r="BA8" s="72">
        <f t="shared" si="7"/>
        <v>0</v>
      </c>
    </row>
    <row r="9" spans="1:55" ht="23.1" customHeight="1" x14ac:dyDescent="0.3">
      <c r="A9" s="62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62"/>
      <c r="G9" s="62"/>
      <c r="H9" s="62"/>
      <c r="I9" s="62"/>
      <c r="J9" s="62"/>
      <c r="K9" s="72" t="str">
        <f t="shared" si="0"/>
        <v>A</v>
      </c>
      <c r="L9" s="62">
        <v>0</v>
      </c>
      <c r="M9" s="62"/>
      <c r="N9" s="62">
        <v>0</v>
      </c>
      <c r="O9" s="62">
        <v>0</v>
      </c>
      <c r="P9" s="62"/>
      <c r="Q9" s="72">
        <f t="shared" si="1"/>
        <v>0</v>
      </c>
      <c r="R9" s="62"/>
      <c r="S9" s="62"/>
      <c r="T9" s="62"/>
      <c r="U9" s="62"/>
      <c r="V9" s="62"/>
      <c r="W9" s="72" t="str">
        <f t="shared" si="2"/>
        <v>A</v>
      </c>
      <c r="X9" s="62"/>
      <c r="Y9" s="62"/>
      <c r="Z9" s="62"/>
      <c r="AA9" s="62"/>
      <c r="AB9" s="62"/>
      <c r="AC9" s="72" t="str">
        <f t="shared" si="3"/>
        <v>A</v>
      </c>
      <c r="AD9" s="62"/>
      <c r="AE9" s="62"/>
      <c r="AF9" s="62"/>
      <c r="AG9" s="62"/>
      <c r="AH9" s="62"/>
      <c r="AI9" s="72" t="str">
        <f t="shared" si="4"/>
        <v>A</v>
      </c>
      <c r="AJ9" s="62"/>
      <c r="AK9" s="62"/>
      <c r="AL9" s="62"/>
      <c r="AM9" s="62"/>
      <c r="AN9" s="62"/>
      <c r="AO9" s="72" t="str">
        <f t="shared" si="5"/>
        <v>A</v>
      </c>
      <c r="AP9" s="62"/>
      <c r="AQ9" s="62"/>
      <c r="AR9" s="62"/>
      <c r="AS9" s="62"/>
      <c r="AT9" s="62"/>
      <c r="AU9" s="72" t="str">
        <f t="shared" si="6"/>
        <v>A</v>
      </c>
      <c r="AV9" s="62"/>
      <c r="AW9" s="62"/>
      <c r="AX9" s="62">
        <v>0</v>
      </c>
      <c r="AY9" s="62">
        <v>0</v>
      </c>
      <c r="AZ9" s="62">
        <v>0</v>
      </c>
      <c r="BA9" s="72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7"/>
      <c r="I10" s="7"/>
      <c r="J10" s="7"/>
      <c r="K10" s="72" t="str">
        <f t="shared" si="0"/>
        <v>A</v>
      </c>
      <c r="L10" s="62">
        <v>2</v>
      </c>
      <c r="M10" s="62"/>
      <c r="N10" s="62">
        <v>2</v>
      </c>
      <c r="O10" s="62">
        <v>2</v>
      </c>
      <c r="P10" s="62"/>
      <c r="Q10" s="72">
        <f t="shared" si="1"/>
        <v>2</v>
      </c>
      <c r="R10" s="7"/>
      <c r="S10" s="7"/>
      <c r="T10" s="7"/>
      <c r="U10" s="7"/>
      <c r="V10" s="7"/>
      <c r="W10" s="72" t="str">
        <f t="shared" si="2"/>
        <v>A</v>
      </c>
      <c r="X10" s="7"/>
      <c r="Y10" s="7"/>
      <c r="Z10" s="7"/>
      <c r="AA10" s="7"/>
      <c r="AB10" s="7"/>
      <c r="AC10" s="72" t="str">
        <f t="shared" si="3"/>
        <v>A</v>
      </c>
      <c r="AD10" s="7"/>
      <c r="AE10" s="7"/>
      <c r="AF10" s="7"/>
      <c r="AG10" s="7"/>
      <c r="AH10" s="7"/>
      <c r="AI10" s="72" t="str">
        <f t="shared" si="4"/>
        <v>A</v>
      </c>
      <c r="AJ10" s="7"/>
      <c r="AK10" s="7"/>
      <c r="AL10" s="7"/>
      <c r="AM10" s="7"/>
      <c r="AN10" s="7"/>
      <c r="AO10" s="72" t="str">
        <f t="shared" si="5"/>
        <v>A</v>
      </c>
      <c r="AP10" s="7"/>
      <c r="AQ10" s="7"/>
      <c r="AR10" s="7"/>
      <c r="AS10" s="7"/>
      <c r="AT10" s="7"/>
      <c r="AU10" s="72" t="str">
        <f t="shared" si="6"/>
        <v>A</v>
      </c>
      <c r="AV10" s="7"/>
      <c r="AW10" s="7"/>
      <c r="AX10" s="62">
        <v>2</v>
      </c>
      <c r="AY10" s="62">
        <v>2</v>
      </c>
      <c r="AZ10" s="62">
        <v>2</v>
      </c>
      <c r="BA10" s="72">
        <f t="shared" si="7"/>
        <v>2</v>
      </c>
    </row>
    <row r="11" spans="1:55" ht="23.1" customHeight="1" x14ac:dyDescent="0.3">
      <c r="A11" s="62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62"/>
      <c r="G11" s="62"/>
      <c r="H11" s="62"/>
      <c r="I11" s="62"/>
      <c r="J11" s="62"/>
      <c r="K11" s="72" t="str">
        <f t="shared" si="0"/>
        <v>A</v>
      </c>
      <c r="L11" s="62">
        <v>3</v>
      </c>
      <c r="M11" s="62"/>
      <c r="N11" s="62">
        <v>3</v>
      </c>
      <c r="O11" s="62">
        <v>3</v>
      </c>
      <c r="P11" s="62"/>
      <c r="Q11" s="72">
        <f t="shared" si="1"/>
        <v>3</v>
      </c>
      <c r="R11" s="62"/>
      <c r="S11" s="62"/>
      <c r="T11" s="62"/>
      <c r="U11" s="62"/>
      <c r="V11" s="62"/>
      <c r="W11" s="72" t="str">
        <f t="shared" si="2"/>
        <v>A</v>
      </c>
      <c r="X11" s="62"/>
      <c r="Y11" s="62"/>
      <c r="Z11" s="62"/>
      <c r="AA11" s="62"/>
      <c r="AB11" s="62"/>
      <c r="AC11" s="72" t="str">
        <f t="shared" si="3"/>
        <v>A</v>
      </c>
      <c r="AD11" s="62"/>
      <c r="AE11" s="62"/>
      <c r="AF11" s="62"/>
      <c r="AG11" s="62"/>
      <c r="AH11" s="62"/>
      <c r="AI11" s="72" t="str">
        <f t="shared" si="4"/>
        <v>A</v>
      </c>
      <c r="AJ11" s="62"/>
      <c r="AK11" s="62"/>
      <c r="AL11" s="62"/>
      <c r="AM11" s="62"/>
      <c r="AN11" s="62"/>
      <c r="AO11" s="72" t="str">
        <f t="shared" si="5"/>
        <v>A</v>
      </c>
      <c r="AP11" s="62"/>
      <c r="AQ11" s="62"/>
      <c r="AR11" s="62"/>
      <c r="AS11" s="62"/>
      <c r="AT11" s="62"/>
      <c r="AU11" s="72" t="str">
        <f t="shared" si="6"/>
        <v>A</v>
      </c>
      <c r="AV11" s="62"/>
      <c r="AW11" s="62"/>
      <c r="AX11" s="62">
        <v>5</v>
      </c>
      <c r="AY11" s="62">
        <v>0</v>
      </c>
      <c r="AZ11" s="62">
        <v>3</v>
      </c>
      <c r="BA11" s="72">
        <f t="shared" si="7"/>
        <v>2.6666666666666665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7"/>
      <c r="I12" s="7"/>
      <c r="J12" s="7"/>
      <c r="K12" s="72" t="str">
        <f t="shared" si="0"/>
        <v>A</v>
      </c>
      <c r="L12" s="62">
        <v>0</v>
      </c>
      <c r="M12" s="62"/>
      <c r="N12" s="62">
        <v>0</v>
      </c>
      <c r="O12" s="62">
        <v>0</v>
      </c>
      <c r="P12" s="62"/>
      <c r="Q12" s="72">
        <f t="shared" si="1"/>
        <v>0</v>
      </c>
      <c r="R12" s="7"/>
      <c r="S12" s="7"/>
      <c r="T12" s="7"/>
      <c r="U12" s="7"/>
      <c r="V12" s="7"/>
      <c r="W12" s="72" t="str">
        <f t="shared" si="2"/>
        <v>A</v>
      </c>
      <c r="X12" s="7"/>
      <c r="Y12" s="7"/>
      <c r="Z12" s="7"/>
      <c r="AA12" s="7"/>
      <c r="AB12" s="7"/>
      <c r="AC12" s="72" t="str">
        <f t="shared" si="3"/>
        <v>A</v>
      </c>
      <c r="AD12" s="7"/>
      <c r="AE12" s="7"/>
      <c r="AF12" s="7"/>
      <c r="AG12" s="7"/>
      <c r="AH12" s="7"/>
      <c r="AI12" s="72" t="str">
        <f t="shared" si="4"/>
        <v>A</v>
      </c>
      <c r="AJ12" s="7"/>
      <c r="AK12" s="7"/>
      <c r="AL12" s="7"/>
      <c r="AM12" s="7"/>
      <c r="AN12" s="7"/>
      <c r="AO12" s="72" t="str">
        <f t="shared" si="5"/>
        <v>A</v>
      </c>
      <c r="AP12" s="7"/>
      <c r="AQ12" s="7"/>
      <c r="AR12" s="7"/>
      <c r="AS12" s="7"/>
      <c r="AT12" s="7"/>
      <c r="AU12" s="72" t="str">
        <f t="shared" si="6"/>
        <v>A</v>
      </c>
      <c r="AV12" s="7"/>
      <c r="AW12" s="7"/>
      <c r="AX12" s="62">
        <v>0</v>
      </c>
      <c r="AY12" s="62">
        <v>0</v>
      </c>
      <c r="AZ12" s="62">
        <v>0</v>
      </c>
      <c r="BA12" s="72">
        <f t="shared" si="7"/>
        <v>0</v>
      </c>
    </row>
    <row r="13" spans="1:55" ht="23.1" customHeight="1" x14ac:dyDescent="0.3">
      <c r="A13" s="62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62"/>
      <c r="G13" s="62"/>
      <c r="H13" s="62"/>
      <c r="I13" s="62"/>
      <c r="J13" s="62"/>
      <c r="K13" s="72" t="str">
        <f t="shared" si="0"/>
        <v>A</v>
      </c>
      <c r="L13" s="62">
        <v>0</v>
      </c>
      <c r="M13" s="62"/>
      <c r="N13" s="62">
        <v>0</v>
      </c>
      <c r="O13" s="62">
        <v>0</v>
      </c>
      <c r="P13" s="62"/>
      <c r="Q13" s="72">
        <f t="shared" si="1"/>
        <v>0</v>
      </c>
      <c r="R13" s="62"/>
      <c r="S13" s="62"/>
      <c r="T13" s="62"/>
      <c r="U13" s="62"/>
      <c r="V13" s="62"/>
      <c r="W13" s="72" t="str">
        <f t="shared" si="2"/>
        <v>A</v>
      </c>
      <c r="X13" s="62"/>
      <c r="Y13" s="62"/>
      <c r="Z13" s="62"/>
      <c r="AA13" s="62"/>
      <c r="AB13" s="62"/>
      <c r="AC13" s="72" t="str">
        <f t="shared" si="3"/>
        <v>A</v>
      </c>
      <c r="AD13" s="62"/>
      <c r="AE13" s="62"/>
      <c r="AF13" s="62"/>
      <c r="AG13" s="62"/>
      <c r="AH13" s="62"/>
      <c r="AI13" s="72" t="str">
        <f t="shared" si="4"/>
        <v>A</v>
      </c>
      <c r="AJ13" s="62"/>
      <c r="AK13" s="62"/>
      <c r="AL13" s="62"/>
      <c r="AM13" s="62"/>
      <c r="AN13" s="62"/>
      <c r="AO13" s="72" t="str">
        <f t="shared" si="5"/>
        <v>A</v>
      </c>
      <c r="AP13" s="62"/>
      <c r="AQ13" s="62"/>
      <c r="AR13" s="62"/>
      <c r="AS13" s="62"/>
      <c r="AT13" s="62"/>
      <c r="AU13" s="72" t="str">
        <f t="shared" si="6"/>
        <v>A</v>
      </c>
      <c r="AV13" s="62"/>
      <c r="AW13" s="62"/>
      <c r="AX13" s="62">
        <v>0</v>
      </c>
      <c r="AY13" s="62">
        <v>0</v>
      </c>
      <c r="AZ13" s="62">
        <v>0</v>
      </c>
      <c r="BA13" s="72">
        <f t="shared" si="7"/>
        <v>0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7"/>
      <c r="I14" s="7"/>
      <c r="J14" s="7"/>
      <c r="K14" s="72" t="str">
        <f t="shared" si="0"/>
        <v>A</v>
      </c>
      <c r="L14" s="62">
        <v>0</v>
      </c>
      <c r="M14" s="62"/>
      <c r="N14" s="62">
        <v>0</v>
      </c>
      <c r="O14" s="62">
        <v>0</v>
      </c>
      <c r="P14" s="62"/>
      <c r="Q14" s="72">
        <f t="shared" si="1"/>
        <v>0</v>
      </c>
      <c r="R14" s="7"/>
      <c r="S14" s="7"/>
      <c r="T14" s="7"/>
      <c r="U14" s="7"/>
      <c r="V14" s="7"/>
      <c r="W14" s="72" t="str">
        <f t="shared" si="2"/>
        <v>A</v>
      </c>
      <c r="X14" s="7"/>
      <c r="Y14" s="7"/>
      <c r="Z14" s="7"/>
      <c r="AA14" s="7"/>
      <c r="AB14" s="7"/>
      <c r="AC14" s="72" t="str">
        <f t="shared" si="3"/>
        <v>A</v>
      </c>
      <c r="AD14" s="7"/>
      <c r="AE14" s="7"/>
      <c r="AF14" s="7"/>
      <c r="AG14" s="7"/>
      <c r="AH14" s="7"/>
      <c r="AI14" s="72" t="str">
        <f t="shared" si="4"/>
        <v>A</v>
      </c>
      <c r="AJ14" s="7"/>
      <c r="AK14" s="7"/>
      <c r="AL14" s="7"/>
      <c r="AM14" s="7"/>
      <c r="AN14" s="7"/>
      <c r="AO14" s="72" t="str">
        <f t="shared" si="5"/>
        <v>A</v>
      </c>
      <c r="AP14" s="7"/>
      <c r="AQ14" s="7"/>
      <c r="AR14" s="7"/>
      <c r="AS14" s="7"/>
      <c r="AT14" s="7"/>
      <c r="AU14" s="72" t="str">
        <f t="shared" si="6"/>
        <v>A</v>
      </c>
      <c r="AV14" s="7"/>
      <c r="AW14" s="7"/>
      <c r="AX14" s="62">
        <v>0</v>
      </c>
      <c r="AY14" s="62">
        <v>0</v>
      </c>
      <c r="AZ14" s="62">
        <v>0</v>
      </c>
      <c r="BA14" s="72">
        <f t="shared" si="7"/>
        <v>0</v>
      </c>
    </row>
    <row r="15" spans="1:55" ht="23.1" customHeight="1" x14ac:dyDescent="0.3">
      <c r="A15" s="62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62"/>
      <c r="G15" s="62"/>
      <c r="H15" s="62"/>
      <c r="I15" s="62"/>
      <c r="J15" s="62"/>
      <c r="K15" s="72" t="str">
        <f t="shared" si="0"/>
        <v>A</v>
      </c>
      <c r="L15" s="62">
        <v>2</v>
      </c>
      <c r="M15" s="62"/>
      <c r="N15" s="62">
        <v>2</v>
      </c>
      <c r="O15" s="62">
        <v>1</v>
      </c>
      <c r="P15" s="62"/>
      <c r="Q15" s="72">
        <f t="shared" si="1"/>
        <v>1.6666666666666667</v>
      </c>
      <c r="R15" s="62"/>
      <c r="S15" s="62"/>
      <c r="T15" s="62"/>
      <c r="U15" s="62"/>
      <c r="V15" s="62"/>
      <c r="W15" s="72" t="str">
        <f t="shared" si="2"/>
        <v>A</v>
      </c>
      <c r="X15" s="62"/>
      <c r="Y15" s="62"/>
      <c r="Z15" s="62"/>
      <c r="AA15" s="62"/>
      <c r="AB15" s="62"/>
      <c r="AC15" s="72" t="str">
        <f t="shared" si="3"/>
        <v>A</v>
      </c>
      <c r="AD15" s="62"/>
      <c r="AE15" s="62"/>
      <c r="AF15" s="62"/>
      <c r="AG15" s="62"/>
      <c r="AH15" s="62"/>
      <c r="AI15" s="72" t="str">
        <f t="shared" si="4"/>
        <v>A</v>
      </c>
      <c r="AJ15" s="62"/>
      <c r="AK15" s="62"/>
      <c r="AL15" s="62"/>
      <c r="AM15" s="62"/>
      <c r="AN15" s="62"/>
      <c r="AO15" s="72" t="str">
        <f t="shared" si="5"/>
        <v>A</v>
      </c>
      <c r="AP15" s="62"/>
      <c r="AQ15" s="62"/>
      <c r="AR15" s="62"/>
      <c r="AS15" s="62"/>
      <c r="AT15" s="62"/>
      <c r="AU15" s="72" t="str">
        <f t="shared" si="6"/>
        <v>A</v>
      </c>
      <c r="AV15" s="62"/>
      <c r="AW15" s="62"/>
      <c r="AX15" s="62">
        <v>5</v>
      </c>
      <c r="AY15" s="62">
        <v>0</v>
      </c>
      <c r="AZ15" s="62">
        <v>1</v>
      </c>
      <c r="BA15" s="72">
        <f t="shared" si="7"/>
        <v>2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7"/>
      <c r="I16" s="7"/>
      <c r="J16" s="7"/>
      <c r="K16" s="72" t="str">
        <f t="shared" si="0"/>
        <v>A</v>
      </c>
      <c r="L16" s="62">
        <v>3</v>
      </c>
      <c r="M16" s="62"/>
      <c r="N16" s="62">
        <v>2</v>
      </c>
      <c r="O16" s="62">
        <v>2</v>
      </c>
      <c r="P16" s="62"/>
      <c r="Q16" s="72">
        <f t="shared" si="1"/>
        <v>2.3333333333333335</v>
      </c>
      <c r="R16" s="7"/>
      <c r="S16" s="7"/>
      <c r="T16" s="7"/>
      <c r="U16" s="7"/>
      <c r="V16" s="7"/>
      <c r="W16" s="72" t="str">
        <f t="shared" si="2"/>
        <v>A</v>
      </c>
      <c r="X16" s="7"/>
      <c r="Y16" s="7"/>
      <c r="Z16" s="7"/>
      <c r="AA16" s="7"/>
      <c r="AB16" s="7"/>
      <c r="AC16" s="72" t="str">
        <f t="shared" si="3"/>
        <v>A</v>
      </c>
      <c r="AD16" s="7"/>
      <c r="AE16" s="7"/>
      <c r="AF16" s="7"/>
      <c r="AG16" s="7"/>
      <c r="AH16" s="7"/>
      <c r="AI16" s="72" t="str">
        <f t="shared" si="4"/>
        <v>A</v>
      </c>
      <c r="AJ16" s="7"/>
      <c r="AK16" s="7"/>
      <c r="AL16" s="7"/>
      <c r="AM16" s="7"/>
      <c r="AN16" s="7"/>
      <c r="AO16" s="72" t="str">
        <f t="shared" si="5"/>
        <v>A</v>
      </c>
      <c r="AP16" s="7"/>
      <c r="AQ16" s="7"/>
      <c r="AR16" s="7"/>
      <c r="AS16" s="7"/>
      <c r="AT16" s="7"/>
      <c r="AU16" s="72" t="str">
        <f t="shared" si="6"/>
        <v>A</v>
      </c>
      <c r="AV16" s="7"/>
      <c r="AW16" s="7"/>
      <c r="AX16" s="62">
        <v>5</v>
      </c>
      <c r="AY16" s="62">
        <v>0</v>
      </c>
      <c r="AZ16" s="62">
        <v>2</v>
      </c>
      <c r="BA16" s="72">
        <f t="shared" si="7"/>
        <v>2.3333333333333335</v>
      </c>
    </row>
    <row r="17" spans="1:53" ht="23.1" customHeight="1" x14ac:dyDescent="0.3">
      <c r="A17" s="62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62"/>
      <c r="G17" s="62"/>
      <c r="H17" s="62"/>
      <c r="I17" s="62"/>
      <c r="J17" s="62"/>
      <c r="K17" s="72" t="str">
        <f t="shared" si="0"/>
        <v>A</v>
      </c>
      <c r="L17" s="62">
        <v>2</v>
      </c>
      <c r="M17" s="62"/>
      <c r="N17" s="62">
        <v>2</v>
      </c>
      <c r="O17" s="62">
        <v>2</v>
      </c>
      <c r="P17" s="62"/>
      <c r="Q17" s="72">
        <f t="shared" si="1"/>
        <v>2</v>
      </c>
      <c r="R17" s="62"/>
      <c r="S17" s="62"/>
      <c r="T17" s="62"/>
      <c r="U17" s="62"/>
      <c r="V17" s="62"/>
      <c r="W17" s="72" t="str">
        <f t="shared" si="2"/>
        <v>A</v>
      </c>
      <c r="X17" s="62"/>
      <c r="Y17" s="62"/>
      <c r="Z17" s="62"/>
      <c r="AA17" s="62"/>
      <c r="AB17" s="62"/>
      <c r="AC17" s="72" t="str">
        <f t="shared" si="3"/>
        <v>A</v>
      </c>
      <c r="AD17" s="62"/>
      <c r="AE17" s="62"/>
      <c r="AF17" s="62"/>
      <c r="AG17" s="62"/>
      <c r="AH17" s="62"/>
      <c r="AI17" s="72" t="str">
        <f t="shared" si="4"/>
        <v>A</v>
      </c>
      <c r="AJ17" s="62"/>
      <c r="AK17" s="62"/>
      <c r="AL17" s="62"/>
      <c r="AM17" s="62"/>
      <c r="AN17" s="62"/>
      <c r="AO17" s="72" t="str">
        <f t="shared" si="5"/>
        <v>A</v>
      </c>
      <c r="AP17" s="62"/>
      <c r="AQ17" s="62"/>
      <c r="AR17" s="62"/>
      <c r="AS17" s="62"/>
      <c r="AT17" s="62"/>
      <c r="AU17" s="72" t="str">
        <f t="shared" si="6"/>
        <v>A</v>
      </c>
      <c r="AV17" s="62"/>
      <c r="AW17" s="62"/>
      <c r="AX17" s="62">
        <v>2</v>
      </c>
      <c r="AY17" s="62">
        <v>2</v>
      </c>
      <c r="AZ17" s="62">
        <v>2</v>
      </c>
      <c r="BA17" s="72">
        <f t="shared" si="7"/>
        <v>2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7"/>
      <c r="I18" s="7"/>
      <c r="J18" s="7"/>
      <c r="K18" s="72" t="str">
        <f t="shared" si="0"/>
        <v>A</v>
      </c>
      <c r="L18" s="62">
        <v>3</v>
      </c>
      <c r="M18" s="62"/>
      <c r="N18" s="62">
        <v>3</v>
      </c>
      <c r="O18" s="62">
        <v>3</v>
      </c>
      <c r="P18" s="62"/>
      <c r="Q18" s="72">
        <f t="shared" si="1"/>
        <v>3</v>
      </c>
      <c r="R18" s="7"/>
      <c r="S18" s="7"/>
      <c r="T18" s="7"/>
      <c r="U18" s="7"/>
      <c r="V18" s="7"/>
      <c r="W18" s="72" t="str">
        <f t="shared" si="2"/>
        <v>A</v>
      </c>
      <c r="X18" s="7"/>
      <c r="Y18" s="7"/>
      <c r="Z18" s="7"/>
      <c r="AA18" s="7"/>
      <c r="AB18" s="7"/>
      <c r="AC18" s="72" t="str">
        <f t="shared" si="3"/>
        <v>A</v>
      </c>
      <c r="AD18" s="7"/>
      <c r="AE18" s="7"/>
      <c r="AF18" s="7"/>
      <c r="AG18" s="7"/>
      <c r="AH18" s="7"/>
      <c r="AI18" s="72" t="str">
        <f t="shared" si="4"/>
        <v>A</v>
      </c>
      <c r="AJ18" s="7"/>
      <c r="AK18" s="7"/>
      <c r="AL18" s="7"/>
      <c r="AM18" s="7"/>
      <c r="AN18" s="7"/>
      <c r="AO18" s="72" t="str">
        <f t="shared" si="5"/>
        <v>A</v>
      </c>
      <c r="AP18" s="7"/>
      <c r="AQ18" s="7"/>
      <c r="AR18" s="7"/>
      <c r="AS18" s="7"/>
      <c r="AT18" s="7"/>
      <c r="AU18" s="72" t="str">
        <f t="shared" si="6"/>
        <v>A</v>
      </c>
      <c r="AV18" s="7"/>
      <c r="AW18" s="7"/>
      <c r="AX18" s="62">
        <v>5</v>
      </c>
      <c r="AY18" s="62">
        <v>0</v>
      </c>
      <c r="AZ18" s="62">
        <v>3</v>
      </c>
      <c r="BA18" s="72">
        <f t="shared" si="7"/>
        <v>2.6666666666666665</v>
      </c>
    </row>
    <row r="19" spans="1:53" ht="23.1" customHeight="1" x14ac:dyDescent="0.3">
      <c r="A19" s="62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62"/>
      <c r="G19" s="62"/>
      <c r="H19" s="62"/>
      <c r="I19" s="62"/>
      <c r="J19" s="62"/>
      <c r="K19" s="72" t="str">
        <f t="shared" si="0"/>
        <v>A</v>
      </c>
      <c r="L19" s="62">
        <v>3</v>
      </c>
      <c r="M19" s="62"/>
      <c r="N19" s="62">
        <v>2</v>
      </c>
      <c r="O19" s="62">
        <v>2</v>
      </c>
      <c r="P19" s="62"/>
      <c r="Q19" s="72">
        <f t="shared" si="1"/>
        <v>2.3333333333333335</v>
      </c>
      <c r="R19" s="62"/>
      <c r="S19" s="62"/>
      <c r="T19" s="62"/>
      <c r="U19" s="62"/>
      <c r="V19" s="62"/>
      <c r="W19" s="72" t="str">
        <f t="shared" si="2"/>
        <v>A</v>
      </c>
      <c r="X19" s="62"/>
      <c r="Y19" s="62"/>
      <c r="Z19" s="62"/>
      <c r="AA19" s="62"/>
      <c r="AB19" s="62"/>
      <c r="AC19" s="72" t="str">
        <f t="shared" si="3"/>
        <v>A</v>
      </c>
      <c r="AD19" s="62"/>
      <c r="AE19" s="62"/>
      <c r="AF19" s="62"/>
      <c r="AG19" s="62"/>
      <c r="AH19" s="62"/>
      <c r="AI19" s="72" t="str">
        <f t="shared" si="4"/>
        <v>A</v>
      </c>
      <c r="AJ19" s="62"/>
      <c r="AK19" s="62"/>
      <c r="AL19" s="62"/>
      <c r="AM19" s="62"/>
      <c r="AN19" s="62"/>
      <c r="AO19" s="72" t="str">
        <f t="shared" si="5"/>
        <v>A</v>
      </c>
      <c r="AP19" s="62"/>
      <c r="AQ19" s="62"/>
      <c r="AR19" s="62"/>
      <c r="AS19" s="62"/>
      <c r="AT19" s="62"/>
      <c r="AU19" s="72" t="str">
        <f t="shared" si="6"/>
        <v>A</v>
      </c>
      <c r="AV19" s="62"/>
      <c r="AW19" s="62"/>
      <c r="AX19" s="62">
        <v>5</v>
      </c>
      <c r="AY19" s="62">
        <v>2</v>
      </c>
      <c r="AZ19" s="62">
        <v>2</v>
      </c>
      <c r="BA19" s="72">
        <f t="shared" si="7"/>
        <v>3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7"/>
      <c r="I20" s="7"/>
      <c r="J20" s="7"/>
      <c r="K20" s="72" t="str">
        <f t="shared" si="0"/>
        <v>A</v>
      </c>
      <c r="L20" s="62">
        <v>3</v>
      </c>
      <c r="M20" s="62"/>
      <c r="N20" s="62">
        <v>3</v>
      </c>
      <c r="O20" s="62">
        <v>2</v>
      </c>
      <c r="P20" s="62"/>
      <c r="Q20" s="72">
        <f t="shared" si="1"/>
        <v>2.6666666666666665</v>
      </c>
      <c r="R20" s="7"/>
      <c r="S20" s="7"/>
      <c r="T20" s="7"/>
      <c r="U20" s="7"/>
      <c r="V20" s="7"/>
      <c r="W20" s="72" t="str">
        <f t="shared" si="2"/>
        <v>A</v>
      </c>
      <c r="X20" s="7"/>
      <c r="Y20" s="7"/>
      <c r="Z20" s="7"/>
      <c r="AA20" s="7"/>
      <c r="AB20" s="7"/>
      <c r="AC20" s="72" t="str">
        <f t="shared" si="3"/>
        <v>A</v>
      </c>
      <c r="AD20" s="7"/>
      <c r="AE20" s="7"/>
      <c r="AF20" s="7"/>
      <c r="AG20" s="7"/>
      <c r="AH20" s="7"/>
      <c r="AI20" s="72" t="str">
        <f t="shared" si="4"/>
        <v>A</v>
      </c>
      <c r="AJ20" s="7"/>
      <c r="AK20" s="7"/>
      <c r="AL20" s="7"/>
      <c r="AM20" s="7"/>
      <c r="AN20" s="7"/>
      <c r="AO20" s="72" t="str">
        <f t="shared" si="5"/>
        <v>A</v>
      </c>
      <c r="AP20" s="7"/>
      <c r="AQ20" s="7"/>
      <c r="AR20" s="7"/>
      <c r="AS20" s="7"/>
      <c r="AT20" s="7"/>
      <c r="AU20" s="72" t="str">
        <f t="shared" si="6"/>
        <v>A</v>
      </c>
      <c r="AV20" s="7"/>
      <c r="AW20" s="7"/>
      <c r="AX20" s="62">
        <v>5</v>
      </c>
      <c r="AY20" s="62">
        <v>0</v>
      </c>
      <c r="AZ20" s="62">
        <v>2</v>
      </c>
      <c r="BA20" s="72">
        <f t="shared" si="7"/>
        <v>2.3333333333333335</v>
      </c>
    </row>
    <row r="21" spans="1:53" ht="23.1" customHeight="1" x14ac:dyDescent="0.3">
      <c r="A21" s="62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62"/>
      <c r="G21" s="62"/>
      <c r="H21" s="62"/>
      <c r="I21" s="62"/>
      <c r="J21" s="62"/>
      <c r="K21" s="72" t="str">
        <f t="shared" si="0"/>
        <v>A</v>
      </c>
      <c r="L21" s="62">
        <v>0</v>
      </c>
      <c r="M21" s="62"/>
      <c r="N21" s="62">
        <v>0</v>
      </c>
      <c r="O21" s="62">
        <v>0</v>
      </c>
      <c r="P21" s="62"/>
      <c r="Q21" s="72">
        <f t="shared" si="1"/>
        <v>0</v>
      </c>
      <c r="R21" s="62"/>
      <c r="S21" s="62"/>
      <c r="T21" s="62"/>
      <c r="U21" s="62"/>
      <c r="V21" s="62"/>
      <c r="W21" s="72" t="str">
        <f t="shared" si="2"/>
        <v>A</v>
      </c>
      <c r="X21" s="62"/>
      <c r="Y21" s="62"/>
      <c r="Z21" s="62"/>
      <c r="AA21" s="62"/>
      <c r="AB21" s="62"/>
      <c r="AC21" s="72" t="str">
        <f t="shared" si="3"/>
        <v>A</v>
      </c>
      <c r="AD21" s="62"/>
      <c r="AE21" s="62"/>
      <c r="AF21" s="62"/>
      <c r="AG21" s="62"/>
      <c r="AH21" s="62"/>
      <c r="AI21" s="72" t="str">
        <f t="shared" si="4"/>
        <v>A</v>
      </c>
      <c r="AJ21" s="62"/>
      <c r="AK21" s="62"/>
      <c r="AL21" s="62"/>
      <c r="AM21" s="62"/>
      <c r="AN21" s="62"/>
      <c r="AO21" s="72" t="str">
        <f t="shared" si="5"/>
        <v>A</v>
      </c>
      <c r="AP21" s="62"/>
      <c r="AQ21" s="62"/>
      <c r="AR21" s="62"/>
      <c r="AS21" s="62"/>
      <c r="AT21" s="62"/>
      <c r="AU21" s="72" t="str">
        <f t="shared" si="6"/>
        <v>A</v>
      </c>
      <c r="AV21" s="62"/>
      <c r="AW21" s="62"/>
      <c r="AX21" s="62">
        <v>0</v>
      </c>
      <c r="AY21" s="62">
        <v>0</v>
      </c>
      <c r="AZ21" s="62">
        <v>0</v>
      </c>
      <c r="BA21" s="72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7"/>
      <c r="I22" s="7"/>
      <c r="J22" s="7"/>
      <c r="K22" s="72" t="str">
        <f t="shared" si="0"/>
        <v>A</v>
      </c>
      <c r="L22" s="62">
        <v>0</v>
      </c>
      <c r="M22" s="62"/>
      <c r="N22" s="62">
        <v>0</v>
      </c>
      <c r="O22" s="62">
        <v>0</v>
      </c>
      <c r="P22" s="62"/>
      <c r="Q22" s="72">
        <f t="shared" si="1"/>
        <v>0</v>
      </c>
      <c r="R22" s="7"/>
      <c r="S22" s="7"/>
      <c r="T22" s="7"/>
      <c r="U22" s="7"/>
      <c r="V22" s="7"/>
      <c r="W22" s="72" t="str">
        <f t="shared" si="2"/>
        <v>A</v>
      </c>
      <c r="X22" s="7"/>
      <c r="Y22" s="7"/>
      <c r="Z22" s="7"/>
      <c r="AA22" s="7"/>
      <c r="AB22" s="7"/>
      <c r="AC22" s="72" t="str">
        <f t="shared" si="3"/>
        <v>A</v>
      </c>
      <c r="AD22" s="7"/>
      <c r="AE22" s="7"/>
      <c r="AF22" s="7"/>
      <c r="AG22" s="7"/>
      <c r="AH22" s="7"/>
      <c r="AI22" s="72" t="str">
        <f t="shared" si="4"/>
        <v>A</v>
      </c>
      <c r="AJ22" s="7"/>
      <c r="AK22" s="7"/>
      <c r="AL22" s="7"/>
      <c r="AM22" s="7"/>
      <c r="AN22" s="7"/>
      <c r="AO22" s="72" t="str">
        <f t="shared" si="5"/>
        <v>A</v>
      </c>
      <c r="AP22" s="7"/>
      <c r="AQ22" s="7"/>
      <c r="AR22" s="7"/>
      <c r="AS22" s="7"/>
      <c r="AT22" s="7"/>
      <c r="AU22" s="72" t="str">
        <f t="shared" si="6"/>
        <v>A</v>
      </c>
      <c r="AV22" s="7"/>
      <c r="AW22" s="7"/>
      <c r="AX22" s="62">
        <v>0</v>
      </c>
      <c r="AY22" s="62">
        <v>0</v>
      </c>
      <c r="AZ22" s="62">
        <v>0</v>
      </c>
      <c r="BA22" s="72">
        <f t="shared" si="7"/>
        <v>0</v>
      </c>
    </row>
    <row r="23" spans="1:53" ht="23.1" customHeight="1" x14ac:dyDescent="0.3">
      <c r="A23" s="62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62"/>
      <c r="G23" s="62"/>
      <c r="H23" s="62"/>
      <c r="I23" s="62"/>
      <c r="J23" s="62"/>
      <c r="K23" s="72" t="str">
        <f t="shared" si="0"/>
        <v>A</v>
      </c>
      <c r="L23" s="62">
        <v>0</v>
      </c>
      <c r="M23" s="62"/>
      <c r="N23" s="62">
        <v>0</v>
      </c>
      <c r="O23" s="62">
        <v>0</v>
      </c>
      <c r="P23" s="62"/>
      <c r="Q23" s="72">
        <f t="shared" si="1"/>
        <v>0</v>
      </c>
      <c r="R23" s="62"/>
      <c r="S23" s="62"/>
      <c r="T23" s="62"/>
      <c r="U23" s="62"/>
      <c r="V23" s="62"/>
      <c r="W23" s="72" t="str">
        <f t="shared" si="2"/>
        <v>A</v>
      </c>
      <c r="X23" s="62"/>
      <c r="Y23" s="62"/>
      <c r="Z23" s="62"/>
      <c r="AA23" s="62"/>
      <c r="AB23" s="62"/>
      <c r="AC23" s="72" t="str">
        <f t="shared" si="3"/>
        <v>A</v>
      </c>
      <c r="AD23" s="62"/>
      <c r="AE23" s="62"/>
      <c r="AF23" s="62"/>
      <c r="AG23" s="62"/>
      <c r="AH23" s="62"/>
      <c r="AI23" s="72" t="str">
        <f t="shared" si="4"/>
        <v>A</v>
      </c>
      <c r="AJ23" s="62"/>
      <c r="AK23" s="62"/>
      <c r="AL23" s="62"/>
      <c r="AM23" s="62"/>
      <c r="AN23" s="62"/>
      <c r="AO23" s="72" t="str">
        <f t="shared" si="5"/>
        <v>A</v>
      </c>
      <c r="AP23" s="62"/>
      <c r="AQ23" s="62"/>
      <c r="AR23" s="62"/>
      <c r="AS23" s="62"/>
      <c r="AT23" s="62"/>
      <c r="AU23" s="72" t="str">
        <f t="shared" si="6"/>
        <v>A</v>
      </c>
      <c r="AV23" s="62"/>
      <c r="AW23" s="62"/>
      <c r="AX23" s="62">
        <v>0</v>
      </c>
      <c r="AY23" s="62">
        <v>0</v>
      </c>
      <c r="AZ23" s="62">
        <v>0</v>
      </c>
      <c r="BA23" s="72">
        <f t="shared" si="7"/>
        <v>0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7"/>
      <c r="I24" s="7"/>
      <c r="J24" s="7"/>
      <c r="K24" s="72" t="str">
        <f t="shared" si="0"/>
        <v>A</v>
      </c>
      <c r="L24" s="62">
        <v>1</v>
      </c>
      <c r="M24" s="62"/>
      <c r="N24" s="62">
        <v>1</v>
      </c>
      <c r="O24" s="62">
        <v>1</v>
      </c>
      <c r="P24" s="62"/>
      <c r="Q24" s="72">
        <f t="shared" si="1"/>
        <v>1</v>
      </c>
      <c r="R24" s="7"/>
      <c r="S24" s="7"/>
      <c r="T24" s="7"/>
      <c r="U24" s="7"/>
      <c r="V24" s="7"/>
      <c r="W24" s="72" t="str">
        <f t="shared" si="2"/>
        <v>A</v>
      </c>
      <c r="X24" s="7"/>
      <c r="Y24" s="7"/>
      <c r="Z24" s="7"/>
      <c r="AA24" s="7"/>
      <c r="AB24" s="7"/>
      <c r="AC24" s="72" t="str">
        <f t="shared" si="3"/>
        <v>A</v>
      </c>
      <c r="AD24" s="7"/>
      <c r="AE24" s="7"/>
      <c r="AF24" s="7"/>
      <c r="AG24" s="7"/>
      <c r="AH24" s="7"/>
      <c r="AI24" s="72" t="str">
        <f t="shared" si="4"/>
        <v>A</v>
      </c>
      <c r="AJ24" s="7"/>
      <c r="AK24" s="7"/>
      <c r="AL24" s="7"/>
      <c r="AM24" s="7"/>
      <c r="AN24" s="7"/>
      <c r="AO24" s="72" t="str">
        <f t="shared" si="5"/>
        <v>A</v>
      </c>
      <c r="AP24" s="7"/>
      <c r="AQ24" s="7"/>
      <c r="AR24" s="7"/>
      <c r="AS24" s="7"/>
      <c r="AT24" s="7"/>
      <c r="AU24" s="72" t="str">
        <f t="shared" si="6"/>
        <v>A</v>
      </c>
      <c r="AV24" s="7"/>
      <c r="AW24" s="7"/>
      <c r="AX24" s="62">
        <v>5</v>
      </c>
      <c r="AY24" s="62">
        <v>0</v>
      </c>
      <c r="AZ24" s="62">
        <v>1</v>
      </c>
      <c r="BA24" s="72">
        <f t="shared" si="7"/>
        <v>2</v>
      </c>
    </row>
    <row r="25" spans="1:53" ht="23.1" customHeight="1" x14ac:dyDescent="0.3">
      <c r="A25" s="62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62"/>
      <c r="G25" s="62"/>
      <c r="H25" s="62"/>
      <c r="I25" s="62"/>
      <c r="J25" s="62"/>
      <c r="K25" s="72" t="str">
        <f t="shared" si="0"/>
        <v>A</v>
      </c>
      <c r="L25" s="62">
        <v>0</v>
      </c>
      <c r="M25" s="62"/>
      <c r="N25" s="62">
        <v>0</v>
      </c>
      <c r="O25" s="62">
        <v>0</v>
      </c>
      <c r="P25" s="62"/>
      <c r="Q25" s="72">
        <f t="shared" si="1"/>
        <v>0</v>
      </c>
      <c r="R25" s="62"/>
      <c r="S25" s="62"/>
      <c r="T25" s="62"/>
      <c r="U25" s="62"/>
      <c r="V25" s="62"/>
      <c r="W25" s="72" t="str">
        <f t="shared" si="2"/>
        <v>A</v>
      </c>
      <c r="X25" s="62"/>
      <c r="Y25" s="62"/>
      <c r="Z25" s="62"/>
      <c r="AA25" s="62"/>
      <c r="AB25" s="62"/>
      <c r="AC25" s="72" t="str">
        <f t="shared" si="3"/>
        <v>A</v>
      </c>
      <c r="AD25" s="62"/>
      <c r="AE25" s="62"/>
      <c r="AF25" s="62"/>
      <c r="AG25" s="62"/>
      <c r="AH25" s="62"/>
      <c r="AI25" s="72" t="str">
        <f t="shared" si="4"/>
        <v>A</v>
      </c>
      <c r="AJ25" s="62"/>
      <c r="AK25" s="62"/>
      <c r="AL25" s="62"/>
      <c r="AM25" s="62"/>
      <c r="AN25" s="62"/>
      <c r="AO25" s="72" t="str">
        <f t="shared" si="5"/>
        <v>A</v>
      </c>
      <c r="AP25" s="62"/>
      <c r="AQ25" s="62"/>
      <c r="AR25" s="62"/>
      <c r="AS25" s="62"/>
      <c r="AT25" s="62"/>
      <c r="AU25" s="72" t="str">
        <f t="shared" si="6"/>
        <v>A</v>
      </c>
      <c r="AV25" s="62"/>
      <c r="AW25" s="62"/>
      <c r="AX25" s="62">
        <v>0</v>
      </c>
      <c r="AY25" s="62">
        <v>0</v>
      </c>
      <c r="AZ25" s="62">
        <v>0</v>
      </c>
      <c r="BA25" s="72">
        <f t="shared" si="7"/>
        <v>0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7"/>
      <c r="I26" s="7"/>
      <c r="J26" s="7"/>
      <c r="K26" s="72" t="str">
        <f t="shared" si="0"/>
        <v>A</v>
      </c>
      <c r="L26" s="62">
        <v>0</v>
      </c>
      <c r="M26" s="62"/>
      <c r="N26" s="62">
        <v>0</v>
      </c>
      <c r="O26" s="62">
        <v>0</v>
      </c>
      <c r="P26" s="62"/>
      <c r="Q26" s="72">
        <f t="shared" si="1"/>
        <v>0</v>
      </c>
      <c r="R26" s="7"/>
      <c r="S26" s="7"/>
      <c r="T26" s="7"/>
      <c r="U26" s="7"/>
      <c r="V26" s="7"/>
      <c r="W26" s="72" t="str">
        <f t="shared" si="2"/>
        <v>A</v>
      </c>
      <c r="X26" s="7"/>
      <c r="Y26" s="7"/>
      <c r="Z26" s="7"/>
      <c r="AA26" s="7"/>
      <c r="AB26" s="7"/>
      <c r="AC26" s="72" t="str">
        <f t="shared" si="3"/>
        <v>A</v>
      </c>
      <c r="AD26" s="7"/>
      <c r="AE26" s="7"/>
      <c r="AF26" s="7"/>
      <c r="AG26" s="7"/>
      <c r="AH26" s="7"/>
      <c r="AI26" s="72" t="str">
        <f t="shared" si="4"/>
        <v>A</v>
      </c>
      <c r="AJ26" s="7"/>
      <c r="AK26" s="7"/>
      <c r="AL26" s="7"/>
      <c r="AM26" s="7"/>
      <c r="AN26" s="7"/>
      <c r="AO26" s="72" t="str">
        <f t="shared" si="5"/>
        <v>A</v>
      </c>
      <c r="AP26" s="7"/>
      <c r="AQ26" s="7"/>
      <c r="AR26" s="7"/>
      <c r="AS26" s="7"/>
      <c r="AT26" s="7"/>
      <c r="AU26" s="72" t="str">
        <f t="shared" si="6"/>
        <v>A</v>
      </c>
      <c r="AV26" s="7"/>
      <c r="AW26" s="7"/>
      <c r="AX26" s="62">
        <v>0</v>
      </c>
      <c r="AY26" s="62">
        <v>0</v>
      </c>
      <c r="AZ26" s="62">
        <v>0</v>
      </c>
      <c r="BA26" s="72">
        <f t="shared" si="7"/>
        <v>0</v>
      </c>
    </row>
    <row r="27" spans="1:53" ht="23.1" customHeight="1" x14ac:dyDescent="0.3">
      <c r="A27" s="62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62"/>
      <c r="G27" s="62"/>
      <c r="H27" s="62"/>
      <c r="I27" s="62"/>
      <c r="J27" s="62"/>
      <c r="K27" s="72" t="str">
        <f t="shared" si="0"/>
        <v>A</v>
      </c>
      <c r="L27" s="62">
        <v>3</v>
      </c>
      <c r="M27" s="62"/>
      <c r="N27" s="62">
        <v>3</v>
      </c>
      <c r="O27" s="62">
        <v>3</v>
      </c>
      <c r="P27" s="62"/>
      <c r="Q27" s="72">
        <f t="shared" si="1"/>
        <v>3</v>
      </c>
      <c r="R27" s="62"/>
      <c r="S27" s="62"/>
      <c r="T27" s="62"/>
      <c r="U27" s="62"/>
      <c r="V27" s="62"/>
      <c r="W27" s="72" t="str">
        <f t="shared" si="2"/>
        <v>A</v>
      </c>
      <c r="X27" s="62"/>
      <c r="Y27" s="62"/>
      <c r="Z27" s="62"/>
      <c r="AA27" s="62"/>
      <c r="AB27" s="62"/>
      <c r="AC27" s="72" t="str">
        <f t="shared" si="3"/>
        <v>A</v>
      </c>
      <c r="AD27" s="62"/>
      <c r="AE27" s="62"/>
      <c r="AF27" s="62"/>
      <c r="AG27" s="62"/>
      <c r="AH27" s="62"/>
      <c r="AI27" s="72" t="str">
        <f t="shared" si="4"/>
        <v>A</v>
      </c>
      <c r="AJ27" s="62"/>
      <c r="AK27" s="62"/>
      <c r="AL27" s="62"/>
      <c r="AM27" s="62"/>
      <c r="AN27" s="62"/>
      <c r="AO27" s="72" t="str">
        <f t="shared" si="5"/>
        <v>A</v>
      </c>
      <c r="AP27" s="62"/>
      <c r="AQ27" s="62"/>
      <c r="AR27" s="62"/>
      <c r="AS27" s="62"/>
      <c r="AT27" s="62"/>
      <c r="AU27" s="72" t="str">
        <f t="shared" si="6"/>
        <v>A</v>
      </c>
      <c r="AV27" s="62"/>
      <c r="AW27" s="62"/>
      <c r="AX27" s="62">
        <v>5</v>
      </c>
      <c r="AY27" s="62">
        <v>0</v>
      </c>
      <c r="AZ27" s="62">
        <v>3</v>
      </c>
      <c r="BA27" s="72">
        <f t="shared" si="7"/>
        <v>2.6666666666666665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7"/>
      <c r="I28" s="7"/>
      <c r="J28" s="7"/>
      <c r="K28" s="72" t="str">
        <f t="shared" si="0"/>
        <v>A</v>
      </c>
      <c r="L28" s="62">
        <v>2</v>
      </c>
      <c r="M28" s="62"/>
      <c r="N28" s="62">
        <v>2</v>
      </c>
      <c r="O28" s="62">
        <v>2</v>
      </c>
      <c r="P28" s="62"/>
      <c r="Q28" s="72">
        <f t="shared" si="1"/>
        <v>2</v>
      </c>
      <c r="R28" s="7"/>
      <c r="S28" s="7"/>
      <c r="T28" s="7"/>
      <c r="U28" s="7"/>
      <c r="V28" s="7"/>
      <c r="W28" s="72" t="str">
        <f t="shared" si="2"/>
        <v>A</v>
      </c>
      <c r="X28" s="7"/>
      <c r="Y28" s="7"/>
      <c r="Z28" s="7"/>
      <c r="AA28" s="7"/>
      <c r="AB28" s="7"/>
      <c r="AC28" s="72" t="str">
        <f t="shared" si="3"/>
        <v>A</v>
      </c>
      <c r="AD28" s="7"/>
      <c r="AE28" s="7"/>
      <c r="AF28" s="7"/>
      <c r="AG28" s="7"/>
      <c r="AH28" s="7"/>
      <c r="AI28" s="72" t="str">
        <f t="shared" si="4"/>
        <v>A</v>
      </c>
      <c r="AJ28" s="7"/>
      <c r="AK28" s="7"/>
      <c r="AL28" s="7"/>
      <c r="AM28" s="7"/>
      <c r="AN28" s="7"/>
      <c r="AO28" s="72" t="str">
        <f t="shared" si="5"/>
        <v>A</v>
      </c>
      <c r="AP28" s="7"/>
      <c r="AQ28" s="7"/>
      <c r="AR28" s="7"/>
      <c r="AS28" s="7"/>
      <c r="AT28" s="7"/>
      <c r="AU28" s="72" t="str">
        <f t="shared" si="6"/>
        <v>A</v>
      </c>
      <c r="AV28" s="7"/>
      <c r="AW28" s="7"/>
      <c r="AX28" s="62">
        <v>2</v>
      </c>
      <c r="AY28" s="62">
        <v>2</v>
      </c>
      <c r="AZ28" s="62">
        <v>2</v>
      </c>
      <c r="BA28" s="72">
        <f t="shared" si="7"/>
        <v>2</v>
      </c>
    </row>
    <row r="29" spans="1:53" ht="23.1" customHeight="1" x14ac:dyDescent="0.3">
      <c r="A29" s="62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62"/>
      <c r="G29" s="62"/>
      <c r="H29" s="62"/>
      <c r="I29" s="62"/>
      <c r="J29" s="62"/>
      <c r="K29" s="72" t="str">
        <f t="shared" si="0"/>
        <v>A</v>
      </c>
      <c r="L29" s="62">
        <v>0</v>
      </c>
      <c r="M29" s="62"/>
      <c r="N29" s="62">
        <v>0</v>
      </c>
      <c r="O29" s="62">
        <v>0</v>
      </c>
      <c r="P29" s="62"/>
      <c r="Q29" s="72">
        <f t="shared" si="1"/>
        <v>0</v>
      </c>
      <c r="R29" s="62"/>
      <c r="S29" s="62"/>
      <c r="T29" s="62"/>
      <c r="U29" s="62"/>
      <c r="V29" s="62"/>
      <c r="W29" s="72" t="str">
        <f t="shared" si="2"/>
        <v>A</v>
      </c>
      <c r="X29" s="62"/>
      <c r="Y29" s="62"/>
      <c r="Z29" s="62"/>
      <c r="AA29" s="62"/>
      <c r="AB29" s="62"/>
      <c r="AC29" s="72" t="str">
        <f t="shared" si="3"/>
        <v>A</v>
      </c>
      <c r="AD29" s="62"/>
      <c r="AE29" s="62"/>
      <c r="AF29" s="62"/>
      <c r="AG29" s="62"/>
      <c r="AH29" s="62"/>
      <c r="AI29" s="72" t="str">
        <f t="shared" si="4"/>
        <v>A</v>
      </c>
      <c r="AJ29" s="62"/>
      <c r="AK29" s="62"/>
      <c r="AL29" s="62"/>
      <c r="AM29" s="62"/>
      <c r="AN29" s="62"/>
      <c r="AO29" s="72" t="str">
        <f t="shared" si="5"/>
        <v>A</v>
      </c>
      <c r="AP29" s="62"/>
      <c r="AQ29" s="62"/>
      <c r="AR29" s="62"/>
      <c r="AS29" s="62"/>
      <c r="AT29" s="62"/>
      <c r="AU29" s="72" t="str">
        <f t="shared" si="6"/>
        <v>A</v>
      </c>
      <c r="AV29" s="62"/>
      <c r="AW29" s="62"/>
      <c r="AX29" s="62">
        <v>0</v>
      </c>
      <c r="AY29" s="62">
        <v>0</v>
      </c>
      <c r="AZ29" s="62">
        <v>0</v>
      </c>
      <c r="BA29" s="72">
        <f t="shared" si="7"/>
        <v>0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7"/>
      <c r="I30" s="7"/>
      <c r="J30" s="7"/>
      <c r="K30" s="72" t="str">
        <f t="shared" si="0"/>
        <v>A</v>
      </c>
      <c r="L30" s="62">
        <v>2</v>
      </c>
      <c r="M30" s="62"/>
      <c r="N30" s="62">
        <v>1</v>
      </c>
      <c r="O30" s="62">
        <v>1</v>
      </c>
      <c r="P30" s="62"/>
      <c r="Q30" s="72">
        <f t="shared" si="1"/>
        <v>1.3333333333333333</v>
      </c>
      <c r="R30" s="7"/>
      <c r="S30" s="7"/>
      <c r="T30" s="7"/>
      <c r="U30" s="7"/>
      <c r="V30" s="7"/>
      <c r="W30" s="72" t="str">
        <f t="shared" si="2"/>
        <v>A</v>
      </c>
      <c r="X30" s="7"/>
      <c r="Y30" s="7"/>
      <c r="Z30" s="7"/>
      <c r="AA30" s="7"/>
      <c r="AB30" s="7"/>
      <c r="AC30" s="72" t="str">
        <f t="shared" si="3"/>
        <v>A</v>
      </c>
      <c r="AD30" s="7"/>
      <c r="AE30" s="7"/>
      <c r="AF30" s="7"/>
      <c r="AG30" s="7"/>
      <c r="AH30" s="7"/>
      <c r="AI30" s="72" t="str">
        <f t="shared" si="4"/>
        <v>A</v>
      </c>
      <c r="AJ30" s="7"/>
      <c r="AK30" s="7"/>
      <c r="AL30" s="7"/>
      <c r="AM30" s="7"/>
      <c r="AN30" s="7"/>
      <c r="AO30" s="72" t="str">
        <f t="shared" si="5"/>
        <v>A</v>
      </c>
      <c r="AP30" s="7"/>
      <c r="AQ30" s="7"/>
      <c r="AR30" s="7"/>
      <c r="AS30" s="7"/>
      <c r="AT30" s="7"/>
      <c r="AU30" s="72" t="str">
        <f t="shared" si="6"/>
        <v>A</v>
      </c>
      <c r="AV30" s="7"/>
      <c r="AW30" s="7"/>
      <c r="AX30" s="62">
        <v>5</v>
      </c>
      <c r="AY30" s="62">
        <v>0</v>
      </c>
      <c r="AZ30" s="62">
        <v>1</v>
      </c>
      <c r="BA30" s="72">
        <f t="shared" si="7"/>
        <v>2</v>
      </c>
    </row>
    <row r="31" spans="1:53" ht="23.1" customHeight="1" x14ac:dyDescent="0.3">
      <c r="A31" s="62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62"/>
      <c r="G31" s="62"/>
      <c r="H31" s="62"/>
      <c r="I31" s="62"/>
      <c r="J31" s="62"/>
      <c r="K31" s="72" t="str">
        <f t="shared" si="0"/>
        <v>A</v>
      </c>
      <c r="L31" s="62">
        <v>2</v>
      </c>
      <c r="M31" s="62"/>
      <c r="N31" s="62">
        <v>2</v>
      </c>
      <c r="O31" s="62">
        <v>2</v>
      </c>
      <c r="P31" s="62"/>
      <c r="Q31" s="72">
        <f t="shared" si="1"/>
        <v>2</v>
      </c>
      <c r="R31" s="62"/>
      <c r="S31" s="62"/>
      <c r="T31" s="62"/>
      <c r="U31" s="62"/>
      <c r="V31" s="62"/>
      <c r="W31" s="72" t="str">
        <f t="shared" si="2"/>
        <v>A</v>
      </c>
      <c r="X31" s="62"/>
      <c r="Y31" s="62"/>
      <c r="Z31" s="62"/>
      <c r="AA31" s="62"/>
      <c r="AB31" s="62"/>
      <c r="AC31" s="72" t="str">
        <f t="shared" si="3"/>
        <v>A</v>
      </c>
      <c r="AD31" s="62"/>
      <c r="AE31" s="62"/>
      <c r="AF31" s="62"/>
      <c r="AG31" s="62"/>
      <c r="AH31" s="62"/>
      <c r="AI31" s="72" t="str">
        <f t="shared" si="4"/>
        <v>A</v>
      </c>
      <c r="AJ31" s="62"/>
      <c r="AK31" s="62"/>
      <c r="AL31" s="62"/>
      <c r="AM31" s="62"/>
      <c r="AN31" s="62"/>
      <c r="AO31" s="72" t="str">
        <f t="shared" si="5"/>
        <v>A</v>
      </c>
      <c r="AP31" s="62"/>
      <c r="AQ31" s="62"/>
      <c r="AR31" s="62"/>
      <c r="AS31" s="62"/>
      <c r="AT31" s="62"/>
      <c r="AU31" s="72" t="str">
        <f t="shared" si="6"/>
        <v>A</v>
      </c>
      <c r="AV31" s="62"/>
      <c r="AW31" s="62"/>
      <c r="AX31" s="62">
        <v>2</v>
      </c>
      <c r="AY31" s="62">
        <v>2</v>
      </c>
      <c r="AZ31" s="62">
        <v>2</v>
      </c>
      <c r="BA31" s="72">
        <f t="shared" si="7"/>
        <v>2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7"/>
      <c r="I32" s="7"/>
      <c r="J32" s="7"/>
      <c r="K32" s="72" t="str">
        <f t="shared" si="0"/>
        <v>A</v>
      </c>
      <c r="L32" s="62">
        <v>3</v>
      </c>
      <c r="M32" s="62"/>
      <c r="N32" s="62">
        <v>3</v>
      </c>
      <c r="O32" s="62">
        <v>2</v>
      </c>
      <c r="P32" s="62"/>
      <c r="Q32" s="72">
        <f t="shared" si="1"/>
        <v>2.6666666666666665</v>
      </c>
      <c r="R32" s="7"/>
      <c r="S32" s="7"/>
      <c r="T32" s="7"/>
      <c r="U32" s="7"/>
      <c r="V32" s="7"/>
      <c r="W32" s="72" t="str">
        <f t="shared" si="2"/>
        <v>A</v>
      </c>
      <c r="X32" s="7"/>
      <c r="Y32" s="7"/>
      <c r="Z32" s="7"/>
      <c r="AA32" s="7"/>
      <c r="AB32" s="7"/>
      <c r="AC32" s="72" t="str">
        <f t="shared" si="3"/>
        <v>A</v>
      </c>
      <c r="AD32" s="7"/>
      <c r="AE32" s="7"/>
      <c r="AF32" s="7"/>
      <c r="AG32" s="7"/>
      <c r="AH32" s="7"/>
      <c r="AI32" s="72" t="str">
        <f t="shared" si="4"/>
        <v>A</v>
      </c>
      <c r="AJ32" s="7"/>
      <c r="AK32" s="7"/>
      <c r="AL32" s="7"/>
      <c r="AM32" s="7"/>
      <c r="AN32" s="7"/>
      <c r="AO32" s="72" t="str">
        <f t="shared" si="5"/>
        <v>A</v>
      </c>
      <c r="AP32" s="7"/>
      <c r="AQ32" s="7"/>
      <c r="AR32" s="7"/>
      <c r="AS32" s="7"/>
      <c r="AT32" s="7"/>
      <c r="AU32" s="72" t="str">
        <f t="shared" si="6"/>
        <v>A</v>
      </c>
      <c r="AV32" s="7"/>
      <c r="AW32" s="7"/>
      <c r="AX32" s="62">
        <v>5</v>
      </c>
      <c r="AY32" s="62">
        <v>0</v>
      </c>
      <c r="AZ32" s="62">
        <v>2</v>
      </c>
      <c r="BA32" s="72">
        <f t="shared" si="7"/>
        <v>2.3333333333333335</v>
      </c>
    </row>
    <row r="33" spans="1:53" ht="23.1" customHeight="1" x14ac:dyDescent="0.3">
      <c r="A33" s="62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62"/>
      <c r="G33" s="62"/>
      <c r="H33" s="62"/>
      <c r="I33" s="62"/>
      <c r="J33" s="62"/>
      <c r="K33" s="72" t="str">
        <f t="shared" si="0"/>
        <v>A</v>
      </c>
      <c r="L33" s="62">
        <v>0</v>
      </c>
      <c r="M33" s="62"/>
      <c r="N33" s="62">
        <v>0</v>
      </c>
      <c r="O33" s="62">
        <v>0</v>
      </c>
      <c r="P33" s="62"/>
      <c r="Q33" s="72">
        <f t="shared" si="1"/>
        <v>0</v>
      </c>
      <c r="R33" s="62"/>
      <c r="S33" s="62"/>
      <c r="T33" s="62"/>
      <c r="U33" s="62"/>
      <c r="V33" s="62"/>
      <c r="W33" s="72" t="str">
        <f t="shared" si="2"/>
        <v>A</v>
      </c>
      <c r="X33" s="62"/>
      <c r="Y33" s="62"/>
      <c r="Z33" s="62"/>
      <c r="AA33" s="62"/>
      <c r="AB33" s="62"/>
      <c r="AC33" s="72" t="str">
        <f t="shared" si="3"/>
        <v>A</v>
      </c>
      <c r="AD33" s="62"/>
      <c r="AE33" s="62"/>
      <c r="AF33" s="62"/>
      <c r="AG33" s="62"/>
      <c r="AH33" s="62"/>
      <c r="AI33" s="72" t="str">
        <f t="shared" si="4"/>
        <v>A</v>
      </c>
      <c r="AJ33" s="62"/>
      <c r="AK33" s="62"/>
      <c r="AL33" s="62"/>
      <c r="AM33" s="62"/>
      <c r="AN33" s="62"/>
      <c r="AO33" s="72" t="str">
        <f t="shared" si="5"/>
        <v>A</v>
      </c>
      <c r="AP33" s="62"/>
      <c r="AQ33" s="62"/>
      <c r="AR33" s="62"/>
      <c r="AS33" s="62"/>
      <c r="AT33" s="62"/>
      <c r="AU33" s="72" t="str">
        <f t="shared" si="6"/>
        <v>A</v>
      </c>
      <c r="AV33" s="62"/>
      <c r="AW33" s="62"/>
      <c r="AX33" s="62">
        <v>0</v>
      </c>
      <c r="AY33" s="62">
        <v>0</v>
      </c>
      <c r="AZ33" s="62">
        <v>0</v>
      </c>
      <c r="BA33" s="72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7"/>
      <c r="I34" s="7"/>
      <c r="J34" s="7"/>
      <c r="K34" s="72" t="str">
        <f t="shared" si="0"/>
        <v>A</v>
      </c>
      <c r="L34" s="62">
        <v>2</v>
      </c>
      <c r="M34" s="62"/>
      <c r="N34" s="62">
        <v>2</v>
      </c>
      <c r="O34" s="62">
        <v>1</v>
      </c>
      <c r="P34" s="62"/>
      <c r="Q34" s="72">
        <f t="shared" si="1"/>
        <v>1.6666666666666667</v>
      </c>
      <c r="R34" s="7"/>
      <c r="S34" s="7"/>
      <c r="T34" s="7"/>
      <c r="U34" s="7"/>
      <c r="V34" s="7"/>
      <c r="W34" s="72" t="str">
        <f t="shared" si="2"/>
        <v>A</v>
      </c>
      <c r="X34" s="7"/>
      <c r="Y34" s="7"/>
      <c r="Z34" s="7"/>
      <c r="AA34" s="7"/>
      <c r="AB34" s="7"/>
      <c r="AC34" s="72" t="str">
        <f t="shared" si="3"/>
        <v>A</v>
      </c>
      <c r="AD34" s="7"/>
      <c r="AE34" s="7"/>
      <c r="AF34" s="7"/>
      <c r="AG34" s="7"/>
      <c r="AH34" s="7"/>
      <c r="AI34" s="72" t="str">
        <f t="shared" si="4"/>
        <v>A</v>
      </c>
      <c r="AJ34" s="7"/>
      <c r="AK34" s="7"/>
      <c r="AL34" s="7"/>
      <c r="AM34" s="7"/>
      <c r="AN34" s="7"/>
      <c r="AO34" s="72" t="str">
        <f t="shared" si="5"/>
        <v>A</v>
      </c>
      <c r="AP34" s="7"/>
      <c r="AQ34" s="7"/>
      <c r="AR34" s="7"/>
      <c r="AS34" s="7"/>
      <c r="AT34" s="7"/>
      <c r="AU34" s="72" t="str">
        <f t="shared" si="6"/>
        <v>A</v>
      </c>
      <c r="AV34" s="7"/>
      <c r="AW34" s="7"/>
      <c r="AX34" s="62">
        <v>5</v>
      </c>
      <c r="AY34" s="62">
        <v>0</v>
      </c>
      <c r="AZ34" s="62">
        <v>1</v>
      </c>
      <c r="BA34" s="72">
        <f t="shared" si="7"/>
        <v>2</v>
      </c>
    </row>
    <row r="35" spans="1:53" ht="23.1" customHeight="1" x14ac:dyDescent="0.3">
      <c r="A35" s="62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62"/>
      <c r="G35" s="62"/>
      <c r="H35" s="62"/>
      <c r="I35" s="62"/>
      <c r="J35" s="62"/>
      <c r="K35" s="72" t="str">
        <f t="shared" si="0"/>
        <v>A</v>
      </c>
      <c r="L35" s="62">
        <v>3</v>
      </c>
      <c r="M35" s="62"/>
      <c r="N35" s="62">
        <v>3</v>
      </c>
      <c r="O35" s="62">
        <v>3</v>
      </c>
      <c r="P35" s="62"/>
      <c r="Q35" s="72">
        <f t="shared" si="1"/>
        <v>3</v>
      </c>
      <c r="R35" s="62"/>
      <c r="S35" s="62"/>
      <c r="T35" s="62"/>
      <c r="U35" s="62"/>
      <c r="V35" s="62"/>
      <c r="W35" s="72" t="str">
        <f t="shared" si="2"/>
        <v>A</v>
      </c>
      <c r="X35" s="62"/>
      <c r="Y35" s="62"/>
      <c r="Z35" s="62"/>
      <c r="AA35" s="62"/>
      <c r="AB35" s="62"/>
      <c r="AC35" s="72" t="str">
        <f t="shared" si="3"/>
        <v>A</v>
      </c>
      <c r="AD35" s="62"/>
      <c r="AE35" s="62"/>
      <c r="AF35" s="62"/>
      <c r="AG35" s="62"/>
      <c r="AH35" s="62"/>
      <c r="AI35" s="72" t="str">
        <f t="shared" si="4"/>
        <v>A</v>
      </c>
      <c r="AJ35" s="62"/>
      <c r="AK35" s="62"/>
      <c r="AL35" s="62"/>
      <c r="AM35" s="62"/>
      <c r="AN35" s="62"/>
      <c r="AO35" s="72" t="str">
        <f t="shared" si="5"/>
        <v>A</v>
      </c>
      <c r="AP35" s="62"/>
      <c r="AQ35" s="62"/>
      <c r="AR35" s="62"/>
      <c r="AS35" s="62"/>
      <c r="AT35" s="62"/>
      <c r="AU35" s="72" t="str">
        <f t="shared" si="6"/>
        <v>A</v>
      </c>
      <c r="AV35" s="62"/>
      <c r="AW35" s="62"/>
      <c r="AX35" s="62">
        <v>5</v>
      </c>
      <c r="AY35" s="62">
        <v>0</v>
      </c>
      <c r="AZ35" s="62">
        <v>3</v>
      </c>
      <c r="BA35" s="72">
        <f t="shared" si="7"/>
        <v>2.6666666666666665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7"/>
      <c r="I36" s="7"/>
      <c r="J36" s="7"/>
      <c r="K36" s="72" t="str">
        <f t="shared" si="0"/>
        <v>A</v>
      </c>
      <c r="L36" s="62">
        <v>0</v>
      </c>
      <c r="M36" s="62"/>
      <c r="N36" s="62">
        <v>0</v>
      </c>
      <c r="O36" s="62">
        <v>0</v>
      </c>
      <c r="P36" s="62"/>
      <c r="Q36" s="72">
        <f t="shared" si="1"/>
        <v>0</v>
      </c>
      <c r="R36" s="7"/>
      <c r="S36" s="7"/>
      <c r="T36" s="7"/>
      <c r="U36" s="7"/>
      <c r="V36" s="7"/>
      <c r="W36" s="72" t="str">
        <f t="shared" si="2"/>
        <v>A</v>
      </c>
      <c r="X36" s="7"/>
      <c r="Y36" s="7"/>
      <c r="Z36" s="7"/>
      <c r="AA36" s="7"/>
      <c r="AB36" s="7"/>
      <c r="AC36" s="72" t="str">
        <f t="shared" si="3"/>
        <v>A</v>
      </c>
      <c r="AD36" s="7"/>
      <c r="AE36" s="7"/>
      <c r="AF36" s="7"/>
      <c r="AG36" s="7"/>
      <c r="AH36" s="7"/>
      <c r="AI36" s="72" t="str">
        <f t="shared" si="4"/>
        <v>A</v>
      </c>
      <c r="AJ36" s="7"/>
      <c r="AK36" s="7"/>
      <c r="AL36" s="7"/>
      <c r="AM36" s="7"/>
      <c r="AN36" s="7"/>
      <c r="AO36" s="72" t="str">
        <f t="shared" si="5"/>
        <v>A</v>
      </c>
      <c r="AP36" s="7"/>
      <c r="AQ36" s="7"/>
      <c r="AR36" s="7"/>
      <c r="AS36" s="7"/>
      <c r="AT36" s="7"/>
      <c r="AU36" s="72" t="str">
        <f t="shared" si="6"/>
        <v>A</v>
      </c>
      <c r="AV36" s="7"/>
      <c r="AW36" s="7"/>
      <c r="AX36" s="62">
        <v>0</v>
      </c>
      <c r="AY36" s="62">
        <v>0</v>
      </c>
      <c r="AZ36" s="62">
        <v>0</v>
      </c>
      <c r="BA36" s="72">
        <f t="shared" si="7"/>
        <v>0</v>
      </c>
    </row>
    <row r="37" spans="1:53" ht="23.1" customHeight="1" x14ac:dyDescent="0.3">
      <c r="A37" s="62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62"/>
      <c r="G37" s="62"/>
      <c r="H37" s="62"/>
      <c r="I37" s="62"/>
      <c r="J37" s="62"/>
      <c r="K37" s="72" t="str">
        <f t="shared" si="0"/>
        <v>A</v>
      </c>
      <c r="L37" s="62">
        <v>3</v>
      </c>
      <c r="M37" s="62"/>
      <c r="N37" s="62">
        <v>3</v>
      </c>
      <c r="O37" s="62">
        <v>2</v>
      </c>
      <c r="P37" s="62"/>
      <c r="Q37" s="72">
        <f t="shared" si="1"/>
        <v>2.6666666666666665</v>
      </c>
      <c r="R37" s="62"/>
      <c r="S37" s="62"/>
      <c r="T37" s="62"/>
      <c r="U37" s="62"/>
      <c r="V37" s="62"/>
      <c r="W37" s="72" t="str">
        <f t="shared" si="2"/>
        <v>A</v>
      </c>
      <c r="X37" s="62"/>
      <c r="Y37" s="62"/>
      <c r="Z37" s="62"/>
      <c r="AA37" s="62"/>
      <c r="AB37" s="62"/>
      <c r="AC37" s="72" t="str">
        <f t="shared" si="3"/>
        <v>A</v>
      </c>
      <c r="AD37" s="62"/>
      <c r="AE37" s="62"/>
      <c r="AF37" s="62"/>
      <c r="AG37" s="62"/>
      <c r="AH37" s="62"/>
      <c r="AI37" s="72" t="str">
        <f t="shared" si="4"/>
        <v>A</v>
      </c>
      <c r="AJ37" s="62"/>
      <c r="AK37" s="62"/>
      <c r="AL37" s="62"/>
      <c r="AM37" s="62"/>
      <c r="AN37" s="62"/>
      <c r="AO37" s="72" t="str">
        <f t="shared" si="5"/>
        <v>A</v>
      </c>
      <c r="AP37" s="62"/>
      <c r="AQ37" s="62"/>
      <c r="AR37" s="62"/>
      <c r="AS37" s="62"/>
      <c r="AT37" s="62"/>
      <c r="AU37" s="72" t="str">
        <f t="shared" si="6"/>
        <v>A</v>
      </c>
      <c r="AV37" s="62"/>
      <c r="AW37" s="62"/>
      <c r="AX37" s="62">
        <v>5</v>
      </c>
      <c r="AY37" s="62">
        <v>0</v>
      </c>
      <c r="AZ37" s="62">
        <v>2</v>
      </c>
      <c r="BA37" s="72">
        <f t="shared" si="7"/>
        <v>2.3333333333333335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7"/>
      <c r="I38" s="7"/>
      <c r="J38" s="7"/>
      <c r="K38" s="72" t="str">
        <f t="shared" si="0"/>
        <v>A</v>
      </c>
      <c r="L38" s="62">
        <v>3</v>
      </c>
      <c r="M38" s="62"/>
      <c r="N38" s="62">
        <v>2</v>
      </c>
      <c r="O38" s="62">
        <v>3</v>
      </c>
      <c r="P38" s="62"/>
      <c r="Q38" s="72">
        <f t="shared" si="1"/>
        <v>2.6666666666666665</v>
      </c>
      <c r="R38" s="7"/>
      <c r="S38" s="7"/>
      <c r="T38" s="7"/>
      <c r="U38" s="7"/>
      <c r="V38" s="7"/>
      <c r="W38" s="72" t="str">
        <f t="shared" si="2"/>
        <v>A</v>
      </c>
      <c r="X38" s="7"/>
      <c r="Y38" s="7"/>
      <c r="Z38" s="7"/>
      <c r="AA38" s="7"/>
      <c r="AB38" s="7"/>
      <c r="AC38" s="72" t="str">
        <f t="shared" si="3"/>
        <v>A</v>
      </c>
      <c r="AD38" s="7"/>
      <c r="AE38" s="7"/>
      <c r="AF38" s="7"/>
      <c r="AG38" s="7"/>
      <c r="AH38" s="7"/>
      <c r="AI38" s="72" t="str">
        <f t="shared" si="4"/>
        <v>A</v>
      </c>
      <c r="AJ38" s="7"/>
      <c r="AK38" s="7"/>
      <c r="AL38" s="7"/>
      <c r="AM38" s="7"/>
      <c r="AN38" s="7"/>
      <c r="AO38" s="72" t="str">
        <f t="shared" si="5"/>
        <v>A</v>
      </c>
      <c r="AP38" s="7"/>
      <c r="AQ38" s="7"/>
      <c r="AR38" s="7"/>
      <c r="AS38" s="7"/>
      <c r="AT38" s="7"/>
      <c r="AU38" s="72" t="str">
        <f t="shared" si="6"/>
        <v>A</v>
      </c>
      <c r="AV38" s="7"/>
      <c r="AW38" s="7"/>
      <c r="AX38" s="62">
        <v>5</v>
      </c>
      <c r="AY38" s="62">
        <v>0</v>
      </c>
      <c r="AZ38" s="62">
        <v>3</v>
      </c>
      <c r="BA38" s="72">
        <f t="shared" si="7"/>
        <v>2.6666666666666665</v>
      </c>
    </row>
    <row r="39" spans="1:53" ht="23.1" customHeight="1" x14ac:dyDescent="0.3">
      <c r="A39" s="62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62"/>
      <c r="G39" s="62"/>
      <c r="H39" s="62"/>
      <c r="I39" s="62"/>
      <c r="J39" s="62"/>
      <c r="K39" s="72" t="str">
        <f t="shared" si="0"/>
        <v>A</v>
      </c>
      <c r="L39" s="62">
        <v>2</v>
      </c>
      <c r="M39" s="62"/>
      <c r="N39" s="62">
        <v>2</v>
      </c>
      <c r="O39" s="62">
        <v>2</v>
      </c>
      <c r="P39" s="62"/>
      <c r="Q39" s="72">
        <f t="shared" si="1"/>
        <v>2</v>
      </c>
      <c r="R39" s="62"/>
      <c r="S39" s="62"/>
      <c r="T39" s="62"/>
      <c r="U39" s="62"/>
      <c r="V39" s="62"/>
      <c r="W39" s="72" t="str">
        <f t="shared" si="2"/>
        <v>A</v>
      </c>
      <c r="X39" s="62"/>
      <c r="Y39" s="62"/>
      <c r="Z39" s="62"/>
      <c r="AA39" s="62"/>
      <c r="AB39" s="62"/>
      <c r="AC39" s="72" t="str">
        <f t="shared" si="3"/>
        <v>A</v>
      </c>
      <c r="AD39" s="62"/>
      <c r="AE39" s="62"/>
      <c r="AF39" s="62"/>
      <c r="AG39" s="62"/>
      <c r="AH39" s="62"/>
      <c r="AI39" s="72" t="str">
        <f t="shared" si="4"/>
        <v>A</v>
      </c>
      <c r="AJ39" s="62"/>
      <c r="AK39" s="62"/>
      <c r="AL39" s="62"/>
      <c r="AM39" s="62"/>
      <c r="AN39" s="62"/>
      <c r="AO39" s="72" t="str">
        <f t="shared" si="5"/>
        <v>A</v>
      </c>
      <c r="AP39" s="62"/>
      <c r="AQ39" s="62"/>
      <c r="AR39" s="62"/>
      <c r="AS39" s="62"/>
      <c r="AT39" s="62"/>
      <c r="AU39" s="72" t="str">
        <f t="shared" si="6"/>
        <v>A</v>
      </c>
      <c r="AV39" s="62"/>
      <c r="AW39" s="62"/>
      <c r="AX39" s="62">
        <v>2</v>
      </c>
      <c r="AY39" s="62">
        <v>2</v>
      </c>
      <c r="AZ39" s="62">
        <v>2</v>
      </c>
      <c r="BA39" s="72">
        <f t="shared" si="7"/>
        <v>2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7"/>
      <c r="I40" s="7"/>
      <c r="J40" s="7"/>
      <c r="K40" s="72" t="str">
        <f t="shared" si="0"/>
        <v>A</v>
      </c>
      <c r="L40" s="62">
        <v>0</v>
      </c>
      <c r="M40" s="62"/>
      <c r="N40" s="62">
        <v>0</v>
      </c>
      <c r="O40" s="62">
        <v>0</v>
      </c>
      <c r="P40" s="62"/>
      <c r="Q40" s="72">
        <f t="shared" si="1"/>
        <v>0</v>
      </c>
      <c r="R40" s="7"/>
      <c r="S40" s="7"/>
      <c r="T40" s="7"/>
      <c r="U40" s="7"/>
      <c r="V40" s="7"/>
      <c r="W40" s="72" t="str">
        <f t="shared" si="2"/>
        <v>A</v>
      </c>
      <c r="X40" s="7"/>
      <c r="Y40" s="7"/>
      <c r="Z40" s="7"/>
      <c r="AA40" s="7"/>
      <c r="AB40" s="7"/>
      <c r="AC40" s="72" t="str">
        <f t="shared" si="3"/>
        <v>A</v>
      </c>
      <c r="AD40" s="7"/>
      <c r="AE40" s="7"/>
      <c r="AF40" s="7"/>
      <c r="AG40" s="7"/>
      <c r="AH40" s="7"/>
      <c r="AI40" s="72" t="str">
        <f t="shared" si="4"/>
        <v>A</v>
      </c>
      <c r="AJ40" s="7"/>
      <c r="AK40" s="7"/>
      <c r="AL40" s="7"/>
      <c r="AM40" s="7"/>
      <c r="AN40" s="7"/>
      <c r="AO40" s="72" t="str">
        <f t="shared" si="5"/>
        <v>A</v>
      </c>
      <c r="AP40" s="7"/>
      <c r="AQ40" s="7"/>
      <c r="AR40" s="7"/>
      <c r="AS40" s="7"/>
      <c r="AT40" s="7"/>
      <c r="AU40" s="72" t="str">
        <f t="shared" si="6"/>
        <v>A</v>
      </c>
      <c r="AV40" s="7"/>
      <c r="AW40" s="7"/>
      <c r="AX40" s="62">
        <v>0</v>
      </c>
      <c r="AY40" s="62">
        <v>0</v>
      </c>
      <c r="AZ40" s="62">
        <v>0</v>
      </c>
      <c r="BA40" s="72">
        <f t="shared" si="7"/>
        <v>0</v>
      </c>
    </row>
    <row r="41" spans="1:53" ht="23.1" customHeight="1" x14ac:dyDescent="0.3">
      <c r="A41" s="62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62"/>
      <c r="G41" s="62"/>
      <c r="H41" s="62"/>
      <c r="I41" s="62"/>
      <c r="J41" s="62"/>
      <c r="K41" s="72" t="str">
        <f t="shared" si="0"/>
        <v>A</v>
      </c>
      <c r="L41" s="62">
        <v>3</v>
      </c>
      <c r="M41" s="62"/>
      <c r="N41" s="62">
        <v>3</v>
      </c>
      <c r="O41" s="62">
        <v>3</v>
      </c>
      <c r="P41" s="62"/>
      <c r="Q41" s="72">
        <f t="shared" si="1"/>
        <v>3</v>
      </c>
      <c r="R41" s="62"/>
      <c r="S41" s="62"/>
      <c r="T41" s="62"/>
      <c r="U41" s="62"/>
      <c r="V41" s="62"/>
      <c r="W41" s="72" t="str">
        <f t="shared" si="2"/>
        <v>A</v>
      </c>
      <c r="X41" s="62"/>
      <c r="Y41" s="62"/>
      <c r="Z41" s="62"/>
      <c r="AA41" s="62"/>
      <c r="AB41" s="62"/>
      <c r="AC41" s="72" t="str">
        <f t="shared" si="3"/>
        <v>A</v>
      </c>
      <c r="AD41" s="62"/>
      <c r="AE41" s="62"/>
      <c r="AF41" s="62"/>
      <c r="AG41" s="62"/>
      <c r="AH41" s="62"/>
      <c r="AI41" s="72" t="str">
        <f t="shared" si="4"/>
        <v>A</v>
      </c>
      <c r="AJ41" s="62"/>
      <c r="AK41" s="62"/>
      <c r="AL41" s="62"/>
      <c r="AM41" s="62"/>
      <c r="AN41" s="62"/>
      <c r="AO41" s="72" t="str">
        <f t="shared" si="5"/>
        <v>A</v>
      </c>
      <c r="AP41" s="62"/>
      <c r="AQ41" s="62"/>
      <c r="AR41" s="62"/>
      <c r="AS41" s="62"/>
      <c r="AT41" s="62"/>
      <c r="AU41" s="72" t="str">
        <f t="shared" si="6"/>
        <v>A</v>
      </c>
      <c r="AV41" s="62"/>
      <c r="AW41" s="62"/>
      <c r="AX41" s="62">
        <v>5</v>
      </c>
      <c r="AY41" s="62">
        <v>2</v>
      </c>
      <c r="AZ41" s="62">
        <v>3</v>
      </c>
      <c r="BA41" s="72">
        <f t="shared" si="7"/>
        <v>3.3333333333333335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7"/>
      <c r="I42" s="7"/>
      <c r="J42" s="7"/>
      <c r="K42" s="72" t="str">
        <f t="shared" si="0"/>
        <v>A</v>
      </c>
      <c r="L42" s="62">
        <v>2</v>
      </c>
      <c r="M42" s="62"/>
      <c r="N42" s="62">
        <v>2</v>
      </c>
      <c r="O42" s="62">
        <v>2</v>
      </c>
      <c r="P42" s="62"/>
      <c r="Q42" s="72">
        <f t="shared" si="1"/>
        <v>2</v>
      </c>
      <c r="R42" s="7"/>
      <c r="S42" s="7"/>
      <c r="T42" s="7"/>
      <c r="U42" s="7"/>
      <c r="V42" s="7"/>
      <c r="W42" s="72" t="str">
        <f t="shared" si="2"/>
        <v>A</v>
      </c>
      <c r="X42" s="7"/>
      <c r="Y42" s="7"/>
      <c r="Z42" s="7"/>
      <c r="AA42" s="7"/>
      <c r="AB42" s="7"/>
      <c r="AC42" s="72" t="str">
        <f t="shared" si="3"/>
        <v>A</v>
      </c>
      <c r="AD42" s="7"/>
      <c r="AE42" s="7"/>
      <c r="AF42" s="7"/>
      <c r="AG42" s="7"/>
      <c r="AH42" s="7"/>
      <c r="AI42" s="72" t="str">
        <f t="shared" si="4"/>
        <v>A</v>
      </c>
      <c r="AJ42" s="7"/>
      <c r="AK42" s="7"/>
      <c r="AL42" s="7"/>
      <c r="AM42" s="7"/>
      <c r="AN42" s="7"/>
      <c r="AO42" s="72" t="str">
        <f t="shared" si="5"/>
        <v>A</v>
      </c>
      <c r="AP42" s="7"/>
      <c r="AQ42" s="7"/>
      <c r="AR42" s="7"/>
      <c r="AS42" s="7"/>
      <c r="AT42" s="7"/>
      <c r="AU42" s="72" t="str">
        <f t="shared" si="6"/>
        <v>A</v>
      </c>
      <c r="AV42" s="7"/>
      <c r="AW42" s="7"/>
      <c r="AX42" s="62">
        <v>5</v>
      </c>
      <c r="AY42" s="62">
        <v>0</v>
      </c>
      <c r="AZ42" s="62">
        <v>2</v>
      </c>
      <c r="BA42" s="72">
        <f t="shared" si="7"/>
        <v>2.3333333333333335</v>
      </c>
    </row>
    <row r="43" spans="1:53" ht="23.1" customHeight="1" x14ac:dyDescent="0.3">
      <c r="A43" s="62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62"/>
      <c r="G43" s="62"/>
      <c r="H43" s="62"/>
      <c r="I43" s="62"/>
      <c r="J43" s="62"/>
      <c r="K43" s="72" t="str">
        <f t="shared" si="0"/>
        <v>A</v>
      </c>
      <c r="L43" s="62">
        <v>2</v>
      </c>
      <c r="M43" s="62"/>
      <c r="N43" s="62">
        <v>2</v>
      </c>
      <c r="O43" s="62">
        <v>2</v>
      </c>
      <c r="P43" s="62"/>
      <c r="Q43" s="72">
        <f t="shared" si="1"/>
        <v>2</v>
      </c>
      <c r="R43" s="62"/>
      <c r="S43" s="62"/>
      <c r="T43" s="62"/>
      <c r="U43" s="62"/>
      <c r="V43" s="62"/>
      <c r="W43" s="72" t="str">
        <f t="shared" si="2"/>
        <v>A</v>
      </c>
      <c r="X43" s="62"/>
      <c r="Y43" s="62"/>
      <c r="Z43" s="62"/>
      <c r="AA43" s="62"/>
      <c r="AB43" s="62"/>
      <c r="AC43" s="72" t="str">
        <f t="shared" si="3"/>
        <v>A</v>
      </c>
      <c r="AD43" s="62"/>
      <c r="AE43" s="62"/>
      <c r="AF43" s="62"/>
      <c r="AG43" s="62"/>
      <c r="AH43" s="62"/>
      <c r="AI43" s="72" t="str">
        <f t="shared" si="4"/>
        <v>A</v>
      </c>
      <c r="AJ43" s="62"/>
      <c r="AK43" s="62"/>
      <c r="AL43" s="62"/>
      <c r="AM43" s="62"/>
      <c r="AN43" s="62"/>
      <c r="AO43" s="72" t="str">
        <f t="shared" si="5"/>
        <v>A</v>
      </c>
      <c r="AP43" s="62"/>
      <c r="AQ43" s="62"/>
      <c r="AR43" s="62"/>
      <c r="AS43" s="62"/>
      <c r="AT43" s="62"/>
      <c r="AU43" s="72" t="str">
        <f t="shared" si="6"/>
        <v>A</v>
      </c>
      <c r="AV43" s="62"/>
      <c r="AW43" s="62"/>
      <c r="AX43" s="62">
        <v>2</v>
      </c>
      <c r="AY43" s="62">
        <v>2</v>
      </c>
      <c r="AZ43" s="62">
        <v>2</v>
      </c>
      <c r="BA43" s="72">
        <f t="shared" si="7"/>
        <v>2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7"/>
      <c r="I44" s="7"/>
      <c r="J44" s="7"/>
      <c r="K44" s="72" t="str">
        <f t="shared" si="0"/>
        <v>A</v>
      </c>
      <c r="L44" s="62">
        <v>0</v>
      </c>
      <c r="M44" s="62"/>
      <c r="N44" s="62">
        <v>0</v>
      </c>
      <c r="O44" s="62">
        <v>0</v>
      </c>
      <c r="P44" s="62"/>
      <c r="Q44" s="72">
        <f t="shared" si="1"/>
        <v>0</v>
      </c>
      <c r="R44" s="7"/>
      <c r="S44" s="7"/>
      <c r="T44" s="7"/>
      <c r="U44" s="7"/>
      <c r="V44" s="7"/>
      <c r="W44" s="72" t="str">
        <f t="shared" si="2"/>
        <v>A</v>
      </c>
      <c r="X44" s="7"/>
      <c r="Y44" s="7"/>
      <c r="Z44" s="7"/>
      <c r="AA44" s="7"/>
      <c r="AB44" s="7"/>
      <c r="AC44" s="72" t="str">
        <f t="shared" si="3"/>
        <v>A</v>
      </c>
      <c r="AD44" s="7"/>
      <c r="AE44" s="7"/>
      <c r="AF44" s="7"/>
      <c r="AG44" s="7"/>
      <c r="AH44" s="7"/>
      <c r="AI44" s="72" t="str">
        <f t="shared" si="4"/>
        <v>A</v>
      </c>
      <c r="AJ44" s="7"/>
      <c r="AK44" s="7"/>
      <c r="AL44" s="7"/>
      <c r="AM44" s="7"/>
      <c r="AN44" s="7"/>
      <c r="AO44" s="72" t="str">
        <f t="shared" si="5"/>
        <v>A</v>
      </c>
      <c r="AP44" s="7"/>
      <c r="AQ44" s="7"/>
      <c r="AR44" s="7"/>
      <c r="AS44" s="7"/>
      <c r="AT44" s="7"/>
      <c r="AU44" s="72" t="str">
        <f t="shared" si="6"/>
        <v>A</v>
      </c>
      <c r="AV44" s="7"/>
      <c r="AW44" s="7"/>
      <c r="AX44" s="62">
        <v>0</v>
      </c>
      <c r="AY44" s="62">
        <v>0</v>
      </c>
      <c r="AZ44" s="62">
        <v>0</v>
      </c>
      <c r="BA44" s="72">
        <f t="shared" si="7"/>
        <v>0</v>
      </c>
    </row>
    <row r="45" spans="1:53" ht="23.1" customHeight="1" x14ac:dyDescent="0.3">
      <c r="A45" s="62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62"/>
      <c r="G45" s="62"/>
      <c r="H45" s="62"/>
      <c r="I45" s="62"/>
      <c r="J45" s="62"/>
      <c r="K45" s="72" t="str">
        <f t="shared" si="0"/>
        <v>A</v>
      </c>
      <c r="L45" s="62">
        <v>4</v>
      </c>
      <c r="M45" s="62"/>
      <c r="N45" s="62">
        <v>3</v>
      </c>
      <c r="O45" s="62">
        <v>3</v>
      </c>
      <c r="P45" s="62"/>
      <c r="Q45" s="72">
        <f t="shared" si="1"/>
        <v>3.3333333333333335</v>
      </c>
      <c r="R45" s="62"/>
      <c r="S45" s="62"/>
      <c r="T45" s="62"/>
      <c r="U45" s="62"/>
      <c r="V45" s="62"/>
      <c r="W45" s="72" t="str">
        <f t="shared" si="2"/>
        <v>A</v>
      </c>
      <c r="X45" s="62"/>
      <c r="Y45" s="62"/>
      <c r="Z45" s="62"/>
      <c r="AA45" s="62"/>
      <c r="AB45" s="62"/>
      <c r="AC45" s="72" t="str">
        <f t="shared" si="3"/>
        <v>A</v>
      </c>
      <c r="AD45" s="62"/>
      <c r="AE45" s="62"/>
      <c r="AF45" s="62"/>
      <c r="AG45" s="62"/>
      <c r="AH45" s="62"/>
      <c r="AI45" s="72" t="str">
        <f t="shared" si="4"/>
        <v>A</v>
      </c>
      <c r="AJ45" s="62"/>
      <c r="AK45" s="62"/>
      <c r="AL45" s="62"/>
      <c r="AM45" s="62"/>
      <c r="AN45" s="62"/>
      <c r="AO45" s="72" t="str">
        <f t="shared" si="5"/>
        <v>A</v>
      </c>
      <c r="AP45" s="62"/>
      <c r="AQ45" s="62"/>
      <c r="AR45" s="62"/>
      <c r="AS45" s="62"/>
      <c r="AT45" s="62"/>
      <c r="AU45" s="72" t="str">
        <f t="shared" si="6"/>
        <v>A</v>
      </c>
      <c r="AV45" s="62"/>
      <c r="AW45" s="62"/>
      <c r="AX45" s="62">
        <v>5</v>
      </c>
      <c r="AY45" s="62">
        <v>0</v>
      </c>
      <c r="AZ45" s="62">
        <v>3</v>
      </c>
      <c r="BA45" s="72">
        <f t="shared" si="7"/>
        <v>2.6666666666666665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7"/>
      <c r="I46" s="7"/>
      <c r="J46" s="7"/>
      <c r="K46" s="72" t="str">
        <f t="shared" si="0"/>
        <v>A</v>
      </c>
      <c r="L46" s="62">
        <v>5</v>
      </c>
      <c r="M46" s="62"/>
      <c r="N46" s="62">
        <v>4</v>
      </c>
      <c r="O46" s="62">
        <v>4</v>
      </c>
      <c r="P46" s="62"/>
      <c r="Q46" s="72">
        <f t="shared" si="1"/>
        <v>4.333333333333333</v>
      </c>
      <c r="R46" s="7"/>
      <c r="S46" s="7"/>
      <c r="T46" s="7"/>
      <c r="U46" s="7"/>
      <c r="V46" s="7"/>
      <c r="W46" s="72" t="str">
        <f t="shared" si="2"/>
        <v>A</v>
      </c>
      <c r="X46" s="7"/>
      <c r="Y46" s="7"/>
      <c r="Z46" s="7"/>
      <c r="AA46" s="7"/>
      <c r="AB46" s="7"/>
      <c r="AC46" s="72" t="str">
        <f t="shared" si="3"/>
        <v>A</v>
      </c>
      <c r="AD46" s="7"/>
      <c r="AE46" s="7"/>
      <c r="AF46" s="7"/>
      <c r="AG46" s="7"/>
      <c r="AH46" s="7"/>
      <c r="AI46" s="72" t="str">
        <f t="shared" si="4"/>
        <v>A</v>
      </c>
      <c r="AJ46" s="7"/>
      <c r="AK46" s="7"/>
      <c r="AL46" s="7"/>
      <c r="AM46" s="7"/>
      <c r="AN46" s="7"/>
      <c r="AO46" s="72" t="str">
        <f t="shared" si="5"/>
        <v>A</v>
      </c>
      <c r="AP46" s="7"/>
      <c r="AQ46" s="7"/>
      <c r="AR46" s="7"/>
      <c r="AS46" s="7"/>
      <c r="AT46" s="7"/>
      <c r="AU46" s="72" t="str">
        <f t="shared" si="6"/>
        <v>A</v>
      </c>
      <c r="AV46" s="7"/>
      <c r="AW46" s="7"/>
      <c r="AX46" s="62">
        <v>5</v>
      </c>
      <c r="AY46" s="62">
        <v>0</v>
      </c>
      <c r="AZ46" s="62">
        <v>5</v>
      </c>
      <c r="BA46" s="72">
        <f t="shared" si="7"/>
        <v>3.3333333333333335</v>
      </c>
    </row>
    <row r="47" spans="1:53" ht="23.1" customHeight="1" x14ac:dyDescent="0.3">
      <c r="A47" s="62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62"/>
      <c r="G47" s="62"/>
      <c r="H47" s="62"/>
      <c r="I47" s="62"/>
      <c r="J47" s="62"/>
      <c r="K47" s="72" t="str">
        <f t="shared" si="0"/>
        <v>A</v>
      </c>
      <c r="L47" s="62">
        <v>1</v>
      </c>
      <c r="M47" s="62"/>
      <c r="N47" s="62">
        <v>1</v>
      </c>
      <c r="O47" s="62">
        <v>1</v>
      </c>
      <c r="P47" s="62"/>
      <c r="Q47" s="72">
        <f t="shared" si="1"/>
        <v>1</v>
      </c>
      <c r="R47" s="62"/>
      <c r="S47" s="62"/>
      <c r="T47" s="62"/>
      <c r="U47" s="62"/>
      <c r="V47" s="62"/>
      <c r="W47" s="72" t="str">
        <f t="shared" si="2"/>
        <v>A</v>
      </c>
      <c r="X47" s="62"/>
      <c r="Y47" s="62"/>
      <c r="Z47" s="62"/>
      <c r="AA47" s="62"/>
      <c r="AB47" s="62"/>
      <c r="AC47" s="72" t="str">
        <f t="shared" si="3"/>
        <v>A</v>
      </c>
      <c r="AD47" s="62"/>
      <c r="AE47" s="62"/>
      <c r="AF47" s="62"/>
      <c r="AG47" s="62"/>
      <c r="AH47" s="62"/>
      <c r="AI47" s="72" t="str">
        <f t="shared" si="4"/>
        <v>A</v>
      </c>
      <c r="AJ47" s="62"/>
      <c r="AK47" s="62"/>
      <c r="AL47" s="62"/>
      <c r="AM47" s="62"/>
      <c r="AN47" s="62"/>
      <c r="AO47" s="72" t="str">
        <f t="shared" si="5"/>
        <v>A</v>
      </c>
      <c r="AP47" s="62"/>
      <c r="AQ47" s="62"/>
      <c r="AR47" s="62"/>
      <c r="AS47" s="62"/>
      <c r="AT47" s="62"/>
      <c r="AU47" s="72" t="str">
        <f t="shared" si="6"/>
        <v>A</v>
      </c>
      <c r="AV47" s="62"/>
      <c r="AW47" s="62"/>
      <c r="AX47" s="62">
        <v>5</v>
      </c>
      <c r="AY47" s="62">
        <v>0</v>
      </c>
      <c r="AZ47" s="62">
        <v>1</v>
      </c>
      <c r="BA47" s="72">
        <f t="shared" si="7"/>
        <v>2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7"/>
      <c r="I48" s="7"/>
      <c r="J48" s="7"/>
      <c r="K48" s="72" t="str">
        <f t="shared" si="0"/>
        <v>A</v>
      </c>
      <c r="L48" s="62">
        <v>2</v>
      </c>
      <c r="M48" s="62"/>
      <c r="N48" s="62">
        <v>2</v>
      </c>
      <c r="O48" s="62">
        <v>1</v>
      </c>
      <c r="P48" s="62"/>
      <c r="Q48" s="72">
        <f t="shared" si="1"/>
        <v>1.6666666666666667</v>
      </c>
      <c r="R48" s="7"/>
      <c r="S48" s="7"/>
      <c r="T48" s="7"/>
      <c r="U48" s="7"/>
      <c r="V48" s="7"/>
      <c r="W48" s="72" t="str">
        <f t="shared" si="2"/>
        <v>A</v>
      </c>
      <c r="X48" s="7"/>
      <c r="Y48" s="7"/>
      <c r="Z48" s="7"/>
      <c r="AA48" s="7"/>
      <c r="AB48" s="7"/>
      <c r="AC48" s="72" t="str">
        <f t="shared" si="3"/>
        <v>A</v>
      </c>
      <c r="AD48" s="7"/>
      <c r="AE48" s="7"/>
      <c r="AF48" s="7"/>
      <c r="AG48" s="7"/>
      <c r="AH48" s="7"/>
      <c r="AI48" s="72" t="str">
        <f t="shared" si="4"/>
        <v>A</v>
      </c>
      <c r="AJ48" s="7"/>
      <c r="AK48" s="7"/>
      <c r="AL48" s="7"/>
      <c r="AM48" s="7"/>
      <c r="AN48" s="7"/>
      <c r="AO48" s="72" t="str">
        <f t="shared" si="5"/>
        <v>A</v>
      </c>
      <c r="AP48" s="7"/>
      <c r="AQ48" s="7"/>
      <c r="AR48" s="7"/>
      <c r="AS48" s="7"/>
      <c r="AT48" s="7"/>
      <c r="AU48" s="72" t="str">
        <f t="shared" si="6"/>
        <v>A</v>
      </c>
      <c r="AV48" s="7"/>
      <c r="AW48" s="7"/>
      <c r="AX48" s="62">
        <v>5</v>
      </c>
      <c r="AY48" s="62">
        <v>2</v>
      </c>
      <c r="AZ48" s="62">
        <v>1</v>
      </c>
      <c r="BA48" s="72">
        <f t="shared" si="7"/>
        <v>2.6666666666666665</v>
      </c>
    </row>
    <row r="49" spans="1:53" ht="23.1" customHeight="1" x14ac:dyDescent="0.3">
      <c r="A49" s="62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62"/>
      <c r="G49" s="62"/>
      <c r="H49" s="62"/>
      <c r="I49" s="62"/>
      <c r="J49" s="62"/>
      <c r="K49" s="72" t="str">
        <f t="shared" si="0"/>
        <v>A</v>
      </c>
      <c r="L49" s="62">
        <v>1</v>
      </c>
      <c r="M49" s="62"/>
      <c r="N49" s="62">
        <v>1</v>
      </c>
      <c r="O49" s="62">
        <v>1</v>
      </c>
      <c r="P49" s="62"/>
      <c r="Q49" s="72">
        <f t="shared" si="1"/>
        <v>1</v>
      </c>
      <c r="R49" s="62"/>
      <c r="S49" s="62"/>
      <c r="T49" s="62"/>
      <c r="U49" s="62"/>
      <c r="V49" s="62"/>
      <c r="W49" s="72" t="str">
        <f t="shared" si="2"/>
        <v>A</v>
      </c>
      <c r="X49" s="62"/>
      <c r="Y49" s="62"/>
      <c r="Z49" s="62"/>
      <c r="AA49" s="62"/>
      <c r="AB49" s="62"/>
      <c r="AC49" s="72" t="str">
        <f t="shared" si="3"/>
        <v>A</v>
      </c>
      <c r="AD49" s="62"/>
      <c r="AE49" s="62"/>
      <c r="AF49" s="62"/>
      <c r="AG49" s="62"/>
      <c r="AH49" s="62"/>
      <c r="AI49" s="72" t="str">
        <f t="shared" si="4"/>
        <v>A</v>
      </c>
      <c r="AJ49" s="62"/>
      <c r="AK49" s="62"/>
      <c r="AL49" s="62"/>
      <c r="AM49" s="62"/>
      <c r="AN49" s="62"/>
      <c r="AO49" s="72" t="str">
        <f t="shared" si="5"/>
        <v>A</v>
      </c>
      <c r="AP49" s="62"/>
      <c r="AQ49" s="62"/>
      <c r="AR49" s="62"/>
      <c r="AS49" s="62"/>
      <c r="AT49" s="62"/>
      <c r="AU49" s="72" t="str">
        <f t="shared" si="6"/>
        <v>A</v>
      </c>
      <c r="AV49" s="62"/>
      <c r="AW49" s="62"/>
      <c r="AX49" s="62">
        <v>5</v>
      </c>
      <c r="AY49" s="62">
        <v>0</v>
      </c>
      <c r="AZ49" s="62">
        <v>1</v>
      </c>
      <c r="BA49" s="72">
        <f t="shared" si="7"/>
        <v>2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7"/>
      <c r="I50" s="7"/>
      <c r="J50" s="7"/>
      <c r="K50" s="72" t="str">
        <f t="shared" si="0"/>
        <v>A</v>
      </c>
      <c r="L50" s="62">
        <v>0</v>
      </c>
      <c r="M50" s="62"/>
      <c r="N50" s="62">
        <v>0</v>
      </c>
      <c r="O50" s="62">
        <v>0</v>
      </c>
      <c r="P50" s="62"/>
      <c r="Q50" s="72">
        <f t="shared" si="1"/>
        <v>0</v>
      </c>
      <c r="R50" s="7"/>
      <c r="S50" s="7"/>
      <c r="T50" s="7"/>
      <c r="U50" s="7"/>
      <c r="V50" s="7"/>
      <c r="W50" s="72" t="str">
        <f t="shared" si="2"/>
        <v>A</v>
      </c>
      <c r="X50" s="7"/>
      <c r="Y50" s="7"/>
      <c r="Z50" s="7"/>
      <c r="AA50" s="7"/>
      <c r="AB50" s="7"/>
      <c r="AC50" s="72" t="str">
        <f t="shared" si="3"/>
        <v>A</v>
      </c>
      <c r="AD50" s="7"/>
      <c r="AE50" s="7"/>
      <c r="AF50" s="7"/>
      <c r="AG50" s="7"/>
      <c r="AH50" s="7"/>
      <c r="AI50" s="72" t="str">
        <f t="shared" si="4"/>
        <v>A</v>
      </c>
      <c r="AJ50" s="7"/>
      <c r="AK50" s="7"/>
      <c r="AL50" s="7"/>
      <c r="AM50" s="7"/>
      <c r="AN50" s="7"/>
      <c r="AO50" s="72" t="str">
        <f t="shared" si="5"/>
        <v>A</v>
      </c>
      <c r="AP50" s="7"/>
      <c r="AQ50" s="7"/>
      <c r="AR50" s="7"/>
      <c r="AS50" s="7"/>
      <c r="AT50" s="7"/>
      <c r="AU50" s="72" t="str">
        <f t="shared" si="6"/>
        <v>A</v>
      </c>
      <c r="AV50" s="7"/>
      <c r="AW50" s="7"/>
      <c r="AX50" s="62">
        <v>0</v>
      </c>
      <c r="AY50" s="62">
        <v>0</v>
      </c>
      <c r="AZ50" s="62">
        <v>0</v>
      </c>
      <c r="BA50" s="72">
        <f t="shared" si="7"/>
        <v>0</v>
      </c>
    </row>
    <row r="51" spans="1:53" ht="23.1" customHeight="1" x14ac:dyDescent="0.3">
      <c r="A51" s="62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62"/>
      <c r="G51" s="62"/>
      <c r="H51" s="62"/>
      <c r="I51" s="62"/>
      <c r="J51" s="62"/>
      <c r="K51" s="72" t="str">
        <f t="shared" si="0"/>
        <v>A</v>
      </c>
      <c r="L51" s="62">
        <v>3</v>
      </c>
      <c r="M51" s="62"/>
      <c r="N51" s="62">
        <v>3</v>
      </c>
      <c r="O51" s="62">
        <v>3</v>
      </c>
      <c r="P51" s="62"/>
      <c r="Q51" s="72">
        <f t="shared" si="1"/>
        <v>3</v>
      </c>
      <c r="R51" s="62"/>
      <c r="S51" s="62"/>
      <c r="T51" s="62"/>
      <c r="U51" s="62"/>
      <c r="V51" s="62"/>
      <c r="W51" s="72" t="str">
        <f t="shared" si="2"/>
        <v>A</v>
      </c>
      <c r="X51" s="62"/>
      <c r="Y51" s="62"/>
      <c r="Z51" s="62"/>
      <c r="AA51" s="62"/>
      <c r="AB51" s="62"/>
      <c r="AC51" s="72" t="str">
        <f t="shared" si="3"/>
        <v>A</v>
      </c>
      <c r="AD51" s="62"/>
      <c r="AE51" s="62"/>
      <c r="AF51" s="62"/>
      <c r="AG51" s="62"/>
      <c r="AH51" s="62"/>
      <c r="AI51" s="72" t="str">
        <f t="shared" si="4"/>
        <v>A</v>
      </c>
      <c r="AJ51" s="62"/>
      <c r="AK51" s="62"/>
      <c r="AL51" s="62"/>
      <c r="AM51" s="62"/>
      <c r="AN51" s="62"/>
      <c r="AO51" s="72" t="str">
        <f t="shared" si="5"/>
        <v>A</v>
      </c>
      <c r="AP51" s="62"/>
      <c r="AQ51" s="62"/>
      <c r="AR51" s="62"/>
      <c r="AS51" s="62"/>
      <c r="AT51" s="62"/>
      <c r="AU51" s="72" t="str">
        <f t="shared" si="6"/>
        <v>A</v>
      </c>
      <c r="AV51" s="62"/>
      <c r="AW51" s="62"/>
      <c r="AX51" s="62">
        <v>5</v>
      </c>
      <c r="AY51" s="62">
        <v>2</v>
      </c>
      <c r="AZ51" s="62">
        <v>3</v>
      </c>
      <c r="BA51" s="72">
        <f t="shared" si="7"/>
        <v>3.3333333333333335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7"/>
      <c r="I52" s="7"/>
      <c r="J52" s="7"/>
      <c r="K52" s="72" t="str">
        <f t="shared" si="0"/>
        <v>A</v>
      </c>
      <c r="L52" s="62">
        <v>0</v>
      </c>
      <c r="M52" s="62"/>
      <c r="N52" s="62">
        <v>0</v>
      </c>
      <c r="O52" s="62">
        <v>0</v>
      </c>
      <c r="P52" s="62"/>
      <c r="Q52" s="72">
        <f t="shared" si="1"/>
        <v>0</v>
      </c>
      <c r="R52" s="7"/>
      <c r="S52" s="7"/>
      <c r="T52" s="7"/>
      <c r="U52" s="7"/>
      <c r="V52" s="7"/>
      <c r="W52" s="72" t="str">
        <f t="shared" si="2"/>
        <v>A</v>
      </c>
      <c r="X52" s="7"/>
      <c r="Y52" s="7"/>
      <c r="Z52" s="7"/>
      <c r="AA52" s="7"/>
      <c r="AB52" s="7"/>
      <c r="AC52" s="72" t="str">
        <f t="shared" si="3"/>
        <v>A</v>
      </c>
      <c r="AD52" s="7"/>
      <c r="AE52" s="7"/>
      <c r="AF52" s="7"/>
      <c r="AG52" s="7"/>
      <c r="AH52" s="7"/>
      <c r="AI52" s="72" t="str">
        <f t="shared" si="4"/>
        <v>A</v>
      </c>
      <c r="AJ52" s="7"/>
      <c r="AK52" s="7"/>
      <c r="AL52" s="7"/>
      <c r="AM52" s="7"/>
      <c r="AN52" s="7"/>
      <c r="AO52" s="72" t="str">
        <f t="shared" si="5"/>
        <v>A</v>
      </c>
      <c r="AP52" s="7"/>
      <c r="AQ52" s="7"/>
      <c r="AR52" s="7"/>
      <c r="AS52" s="7"/>
      <c r="AT52" s="7"/>
      <c r="AU52" s="72" t="str">
        <f t="shared" si="6"/>
        <v>A</v>
      </c>
      <c r="AV52" s="7"/>
      <c r="AW52" s="7"/>
      <c r="AX52" s="62">
        <v>0</v>
      </c>
      <c r="AY52" s="62">
        <v>0</v>
      </c>
      <c r="AZ52" s="62">
        <v>0</v>
      </c>
      <c r="BA52" s="72">
        <f t="shared" si="7"/>
        <v>0</v>
      </c>
    </row>
    <row r="53" spans="1:53" ht="23.1" customHeight="1" x14ac:dyDescent="0.3">
      <c r="A53" s="62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62"/>
      <c r="G53" s="62"/>
      <c r="H53" s="62"/>
      <c r="I53" s="62"/>
      <c r="J53" s="62"/>
      <c r="K53" s="72" t="str">
        <f t="shared" si="0"/>
        <v>A</v>
      </c>
      <c r="L53" s="62">
        <v>2</v>
      </c>
      <c r="M53" s="62"/>
      <c r="N53" s="62">
        <v>1</v>
      </c>
      <c r="O53" s="62">
        <v>1</v>
      </c>
      <c r="P53" s="62"/>
      <c r="Q53" s="72">
        <f t="shared" si="1"/>
        <v>1.3333333333333333</v>
      </c>
      <c r="R53" s="62"/>
      <c r="S53" s="62"/>
      <c r="T53" s="62"/>
      <c r="U53" s="62"/>
      <c r="V53" s="62"/>
      <c r="W53" s="72" t="str">
        <f t="shared" si="2"/>
        <v>A</v>
      </c>
      <c r="X53" s="62"/>
      <c r="Y53" s="62"/>
      <c r="Z53" s="62"/>
      <c r="AA53" s="62"/>
      <c r="AB53" s="62"/>
      <c r="AC53" s="72" t="str">
        <f t="shared" si="3"/>
        <v>A</v>
      </c>
      <c r="AD53" s="62"/>
      <c r="AE53" s="62"/>
      <c r="AF53" s="62"/>
      <c r="AG53" s="62"/>
      <c r="AH53" s="62"/>
      <c r="AI53" s="72" t="str">
        <f t="shared" si="4"/>
        <v>A</v>
      </c>
      <c r="AJ53" s="62"/>
      <c r="AK53" s="62"/>
      <c r="AL53" s="62"/>
      <c r="AM53" s="62"/>
      <c r="AN53" s="62"/>
      <c r="AO53" s="72" t="str">
        <f t="shared" si="5"/>
        <v>A</v>
      </c>
      <c r="AP53" s="62"/>
      <c r="AQ53" s="62"/>
      <c r="AR53" s="62"/>
      <c r="AS53" s="62"/>
      <c r="AT53" s="62"/>
      <c r="AU53" s="72" t="str">
        <f t="shared" si="6"/>
        <v>A</v>
      </c>
      <c r="AV53" s="62"/>
      <c r="AW53" s="62"/>
      <c r="AX53" s="62">
        <v>5</v>
      </c>
      <c r="AY53" s="62">
        <v>0</v>
      </c>
      <c r="AZ53" s="62">
        <v>1</v>
      </c>
      <c r="BA53" s="72">
        <f t="shared" si="7"/>
        <v>2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7"/>
      <c r="I54" s="7"/>
      <c r="J54" s="7"/>
      <c r="K54" s="72" t="str">
        <f t="shared" si="0"/>
        <v>A</v>
      </c>
      <c r="L54" s="62">
        <v>3</v>
      </c>
      <c r="M54" s="62"/>
      <c r="N54" s="62">
        <v>3</v>
      </c>
      <c r="O54" s="62">
        <v>2</v>
      </c>
      <c r="P54" s="62"/>
      <c r="Q54" s="72">
        <f t="shared" si="1"/>
        <v>2.6666666666666665</v>
      </c>
      <c r="R54" s="7"/>
      <c r="S54" s="7"/>
      <c r="T54" s="7"/>
      <c r="U54" s="7"/>
      <c r="V54" s="7"/>
      <c r="W54" s="72" t="str">
        <f t="shared" si="2"/>
        <v>A</v>
      </c>
      <c r="X54" s="7"/>
      <c r="Y54" s="7"/>
      <c r="Z54" s="7"/>
      <c r="AA54" s="7"/>
      <c r="AB54" s="7"/>
      <c r="AC54" s="72" t="str">
        <f t="shared" si="3"/>
        <v>A</v>
      </c>
      <c r="AD54" s="7"/>
      <c r="AE54" s="7"/>
      <c r="AF54" s="7"/>
      <c r="AG54" s="7"/>
      <c r="AH54" s="7"/>
      <c r="AI54" s="72" t="str">
        <f t="shared" si="4"/>
        <v>A</v>
      </c>
      <c r="AJ54" s="7"/>
      <c r="AK54" s="7"/>
      <c r="AL54" s="7"/>
      <c r="AM54" s="7"/>
      <c r="AN54" s="7"/>
      <c r="AO54" s="72" t="str">
        <f t="shared" si="5"/>
        <v>A</v>
      </c>
      <c r="AP54" s="7"/>
      <c r="AQ54" s="7"/>
      <c r="AR54" s="7"/>
      <c r="AS54" s="7"/>
      <c r="AT54" s="7"/>
      <c r="AU54" s="72" t="str">
        <f t="shared" si="6"/>
        <v>A</v>
      </c>
      <c r="AV54" s="7"/>
      <c r="AW54" s="7"/>
      <c r="AX54" s="62">
        <v>5</v>
      </c>
      <c r="AY54" s="62">
        <v>0</v>
      </c>
      <c r="AZ54" s="62">
        <v>2</v>
      </c>
      <c r="BA54" s="72">
        <f t="shared" si="7"/>
        <v>2.3333333333333335</v>
      </c>
    </row>
    <row r="55" spans="1:53" ht="23.1" customHeight="1" x14ac:dyDescent="0.3">
      <c r="A55" s="62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62"/>
      <c r="G55" s="62"/>
      <c r="H55" s="62"/>
      <c r="I55" s="62"/>
      <c r="J55" s="62"/>
      <c r="K55" s="72" t="str">
        <f t="shared" si="0"/>
        <v>A</v>
      </c>
      <c r="L55" s="62">
        <v>0</v>
      </c>
      <c r="M55" s="62"/>
      <c r="N55" s="62">
        <v>0</v>
      </c>
      <c r="O55" s="62">
        <v>0</v>
      </c>
      <c r="P55" s="62"/>
      <c r="Q55" s="72">
        <f t="shared" si="1"/>
        <v>0</v>
      </c>
      <c r="R55" s="62"/>
      <c r="S55" s="62"/>
      <c r="T55" s="62"/>
      <c r="U55" s="62"/>
      <c r="V55" s="62"/>
      <c r="W55" s="72" t="str">
        <f t="shared" si="2"/>
        <v>A</v>
      </c>
      <c r="X55" s="62"/>
      <c r="Y55" s="62"/>
      <c r="Z55" s="62"/>
      <c r="AA55" s="62"/>
      <c r="AB55" s="62"/>
      <c r="AC55" s="72" t="str">
        <f t="shared" si="3"/>
        <v>A</v>
      </c>
      <c r="AD55" s="62"/>
      <c r="AE55" s="62"/>
      <c r="AF55" s="62"/>
      <c r="AG55" s="62"/>
      <c r="AH55" s="62"/>
      <c r="AI55" s="72" t="str">
        <f t="shared" si="4"/>
        <v>A</v>
      </c>
      <c r="AJ55" s="62"/>
      <c r="AK55" s="62"/>
      <c r="AL55" s="62"/>
      <c r="AM55" s="62"/>
      <c r="AN55" s="62"/>
      <c r="AO55" s="72" t="str">
        <f t="shared" si="5"/>
        <v>A</v>
      </c>
      <c r="AP55" s="62"/>
      <c r="AQ55" s="62"/>
      <c r="AR55" s="62"/>
      <c r="AS55" s="62"/>
      <c r="AT55" s="62"/>
      <c r="AU55" s="72" t="str">
        <f t="shared" si="6"/>
        <v>A</v>
      </c>
      <c r="AV55" s="62"/>
      <c r="AW55" s="62"/>
      <c r="AX55" s="62">
        <v>0</v>
      </c>
      <c r="AY55" s="62">
        <v>0</v>
      </c>
      <c r="AZ55" s="62">
        <v>0</v>
      </c>
      <c r="BA55" s="72">
        <f t="shared" si="7"/>
        <v>0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7"/>
      <c r="I56" s="7"/>
      <c r="J56" s="7"/>
      <c r="K56" s="72" t="str">
        <f t="shared" si="0"/>
        <v>A</v>
      </c>
      <c r="L56" s="62">
        <v>3</v>
      </c>
      <c r="M56" s="62"/>
      <c r="N56" s="62">
        <v>3</v>
      </c>
      <c r="O56" s="62">
        <v>2</v>
      </c>
      <c r="P56" s="62"/>
      <c r="Q56" s="72">
        <f t="shared" si="1"/>
        <v>2.6666666666666665</v>
      </c>
      <c r="R56" s="7"/>
      <c r="S56" s="7"/>
      <c r="T56" s="7"/>
      <c r="U56" s="7"/>
      <c r="V56" s="7"/>
      <c r="W56" s="72" t="str">
        <f t="shared" si="2"/>
        <v>A</v>
      </c>
      <c r="X56" s="7"/>
      <c r="Y56" s="7"/>
      <c r="Z56" s="7"/>
      <c r="AA56" s="7"/>
      <c r="AB56" s="7"/>
      <c r="AC56" s="72" t="str">
        <f t="shared" si="3"/>
        <v>A</v>
      </c>
      <c r="AD56" s="7"/>
      <c r="AE56" s="7"/>
      <c r="AF56" s="7"/>
      <c r="AG56" s="7"/>
      <c r="AH56" s="7"/>
      <c r="AI56" s="72" t="str">
        <f t="shared" si="4"/>
        <v>A</v>
      </c>
      <c r="AJ56" s="7"/>
      <c r="AK56" s="7"/>
      <c r="AL56" s="7"/>
      <c r="AM56" s="7"/>
      <c r="AN56" s="7"/>
      <c r="AO56" s="72" t="str">
        <f t="shared" si="5"/>
        <v>A</v>
      </c>
      <c r="AP56" s="7"/>
      <c r="AQ56" s="7"/>
      <c r="AR56" s="7"/>
      <c r="AS56" s="7"/>
      <c r="AT56" s="7"/>
      <c r="AU56" s="72" t="str">
        <f t="shared" si="6"/>
        <v>A</v>
      </c>
      <c r="AV56" s="7"/>
      <c r="AW56" s="7"/>
      <c r="AX56" s="62">
        <v>5</v>
      </c>
      <c r="AY56" s="62">
        <v>2</v>
      </c>
      <c r="AZ56" s="62">
        <v>2</v>
      </c>
      <c r="BA56" s="72">
        <f t="shared" si="7"/>
        <v>3</v>
      </c>
    </row>
    <row r="57" spans="1:53" ht="23.1" customHeight="1" x14ac:dyDescent="0.3">
      <c r="A57" s="62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62"/>
      <c r="G57" s="62"/>
      <c r="H57" s="62"/>
      <c r="I57" s="62"/>
      <c r="J57" s="62"/>
      <c r="K57" s="72" t="str">
        <f t="shared" si="0"/>
        <v>A</v>
      </c>
      <c r="L57" s="62">
        <v>0</v>
      </c>
      <c r="M57" s="62"/>
      <c r="N57" s="62">
        <v>0</v>
      </c>
      <c r="O57" s="62">
        <v>0</v>
      </c>
      <c r="P57" s="62"/>
      <c r="Q57" s="72">
        <f t="shared" si="1"/>
        <v>0</v>
      </c>
      <c r="R57" s="62"/>
      <c r="S57" s="62"/>
      <c r="T57" s="62"/>
      <c r="U57" s="62"/>
      <c r="V57" s="62"/>
      <c r="W57" s="72" t="str">
        <f t="shared" si="2"/>
        <v>A</v>
      </c>
      <c r="X57" s="62"/>
      <c r="Y57" s="62"/>
      <c r="Z57" s="62"/>
      <c r="AA57" s="62"/>
      <c r="AB57" s="62"/>
      <c r="AC57" s="72" t="str">
        <f t="shared" si="3"/>
        <v>A</v>
      </c>
      <c r="AD57" s="62"/>
      <c r="AE57" s="62"/>
      <c r="AF57" s="62"/>
      <c r="AG57" s="62"/>
      <c r="AH57" s="62"/>
      <c r="AI57" s="72" t="str">
        <f t="shared" si="4"/>
        <v>A</v>
      </c>
      <c r="AJ57" s="62"/>
      <c r="AK57" s="62"/>
      <c r="AL57" s="62"/>
      <c r="AM57" s="62"/>
      <c r="AN57" s="62"/>
      <c r="AO57" s="72" t="str">
        <f t="shared" si="5"/>
        <v>A</v>
      </c>
      <c r="AP57" s="62"/>
      <c r="AQ57" s="62"/>
      <c r="AR57" s="62"/>
      <c r="AS57" s="62"/>
      <c r="AT57" s="62"/>
      <c r="AU57" s="72" t="str">
        <f t="shared" si="6"/>
        <v>A</v>
      </c>
      <c r="AV57" s="62"/>
      <c r="AW57" s="62"/>
      <c r="AX57" s="62">
        <v>0</v>
      </c>
      <c r="AY57" s="62">
        <v>0</v>
      </c>
      <c r="AZ57" s="62">
        <v>0</v>
      </c>
      <c r="BA57" s="72">
        <f t="shared" si="7"/>
        <v>0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7"/>
      <c r="I58" s="7"/>
      <c r="J58" s="7"/>
      <c r="K58" s="72" t="str">
        <f t="shared" si="0"/>
        <v>A</v>
      </c>
      <c r="L58" s="62">
        <v>4</v>
      </c>
      <c r="M58" s="62"/>
      <c r="N58" s="62">
        <v>4</v>
      </c>
      <c r="O58" s="62">
        <v>4</v>
      </c>
      <c r="P58" s="62"/>
      <c r="Q58" s="72">
        <f t="shared" si="1"/>
        <v>4</v>
      </c>
      <c r="R58" s="7"/>
      <c r="S58" s="7"/>
      <c r="T58" s="7"/>
      <c r="U58" s="7"/>
      <c r="V58" s="7"/>
      <c r="W58" s="72" t="str">
        <f t="shared" si="2"/>
        <v>A</v>
      </c>
      <c r="X58" s="7"/>
      <c r="Y58" s="7"/>
      <c r="Z58" s="7"/>
      <c r="AA58" s="7"/>
      <c r="AB58" s="7"/>
      <c r="AC58" s="72" t="str">
        <f t="shared" si="3"/>
        <v>A</v>
      </c>
      <c r="AD58" s="7"/>
      <c r="AE58" s="7"/>
      <c r="AF58" s="7"/>
      <c r="AG58" s="7"/>
      <c r="AH58" s="7"/>
      <c r="AI58" s="72" t="str">
        <f t="shared" si="4"/>
        <v>A</v>
      </c>
      <c r="AJ58" s="7"/>
      <c r="AK58" s="7"/>
      <c r="AL58" s="7"/>
      <c r="AM58" s="7"/>
      <c r="AN58" s="7"/>
      <c r="AO58" s="72" t="str">
        <f t="shared" si="5"/>
        <v>A</v>
      </c>
      <c r="AP58" s="7"/>
      <c r="AQ58" s="7"/>
      <c r="AR58" s="7"/>
      <c r="AS58" s="7"/>
      <c r="AT58" s="7"/>
      <c r="AU58" s="72" t="str">
        <f t="shared" si="6"/>
        <v>A</v>
      </c>
      <c r="AV58" s="7"/>
      <c r="AW58" s="7"/>
      <c r="AX58" s="62">
        <v>5</v>
      </c>
      <c r="AY58" s="62">
        <v>0</v>
      </c>
      <c r="AZ58" s="62">
        <v>5</v>
      </c>
      <c r="BA58" s="72">
        <f t="shared" si="7"/>
        <v>3.3333333333333335</v>
      </c>
    </row>
    <row r="59" spans="1:53" ht="23.1" customHeight="1" x14ac:dyDescent="0.3">
      <c r="A59" s="62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62"/>
      <c r="G59" s="62"/>
      <c r="H59" s="62"/>
      <c r="I59" s="62"/>
      <c r="J59" s="62"/>
      <c r="K59" s="72" t="str">
        <f t="shared" si="0"/>
        <v>A</v>
      </c>
      <c r="L59" s="62">
        <v>2</v>
      </c>
      <c r="M59" s="62"/>
      <c r="N59" s="62">
        <v>2</v>
      </c>
      <c r="O59" s="62">
        <v>2</v>
      </c>
      <c r="P59" s="62"/>
      <c r="Q59" s="72">
        <f t="shared" si="1"/>
        <v>2</v>
      </c>
      <c r="R59" s="62"/>
      <c r="S59" s="62"/>
      <c r="T59" s="62"/>
      <c r="U59" s="62"/>
      <c r="V59" s="62"/>
      <c r="W59" s="72" t="str">
        <f t="shared" si="2"/>
        <v>A</v>
      </c>
      <c r="X59" s="62"/>
      <c r="Y59" s="62"/>
      <c r="Z59" s="62"/>
      <c r="AA59" s="62"/>
      <c r="AB59" s="62"/>
      <c r="AC59" s="72" t="str">
        <f t="shared" si="3"/>
        <v>A</v>
      </c>
      <c r="AD59" s="62"/>
      <c r="AE59" s="62"/>
      <c r="AF59" s="62"/>
      <c r="AG59" s="62"/>
      <c r="AH59" s="62"/>
      <c r="AI59" s="72" t="str">
        <f t="shared" si="4"/>
        <v>A</v>
      </c>
      <c r="AJ59" s="62"/>
      <c r="AK59" s="62"/>
      <c r="AL59" s="62"/>
      <c r="AM59" s="62"/>
      <c r="AN59" s="62"/>
      <c r="AO59" s="72" t="str">
        <f t="shared" si="5"/>
        <v>A</v>
      </c>
      <c r="AP59" s="62"/>
      <c r="AQ59" s="62"/>
      <c r="AR59" s="62"/>
      <c r="AS59" s="62"/>
      <c r="AT59" s="62"/>
      <c r="AU59" s="72" t="str">
        <f t="shared" si="6"/>
        <v>A</v>
      </c>
      <c r="AV59" s="62"/>
      <c r="AW59" s="62"/>
      <c r="AX59" s="62">
        <v>2</v>
      </c>
      <c r="AY59" s="62">
        <v>2</v>
      </c>
      <c r="AZ59" s="62">
        <v>2</v>
      </c>
      <c r="BA59" s="72">
        <f t="shared" si="7"/>
        <v>2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7"/>
      <c r="I60" s="7"/>
      <c r="J60" s="7"/>
      <c r="K60" s="72" t="str">
        <f t="shared" si="0"/>
        <v>A</v>
      </c>
      <c r="L60" s="62">
        <v>2</v>
      </c>
      <c r="M60" s="62"/>
      <c r="N60" s="62">
        <v>2</v>
      </c>
      <c r="O60" s="62">
        <v>2</v>
      </c>
      <c r="P60" s="62"/>
      <c r="Q60" s="72">
        <f t="shared" si="1"/>
        <v>2</v>
      </c>
      <c r="R60" s="7"/>
      <c r="S60" s="7"/>
      <c r="T60" s="7"/>
      <c r="U60" s="7"/>
      <c r="V60" s="7"/>
      <c r="W60" s="72" t="str">
        <f t="shared" si="2"/>
        <v>A</v>
      </c>
      <c r="X60" s="7"/>
      <c r="Y60" s="7"/>
      <c r="Z60" s="7"/>
      <c r="AA60" s="7"/>
      <c r="AB60" s="7"/>
      <c r="AC60" s="72" t="str">
        <f t="shared" si="3"/>
        <v>A</v>
      </c>
      <c r="AD60" s="7"/>
      <c r="AE60" s="7"/>
      <c r="AF60" s="7"/>
      <c r="AG60" s="7"/>
      <c r="AH60" s="7"/>
      <c r="AI60" s="72" t="str">
        <f t="shared" si="4"/>
        <v>A</v>
      </c>
      <c r="AJ60" s="7"/>
      <c r="AK60" s="7"/>
      <c r="AL60" s="7"/>
      <c r="AM60" s="7"/>
      <c r="AN60" s="7"/>
      <c r="AO60" s="72" t="str">
        <f t="shared" si="5"/>
        <v>A</v>
      </c>
      <c r="AP60" s="7"/>
      <c r="AQ60" s="7"/>
      <c r="AR60" s="7"/>
      <c r="AS60" s="7"/>
      <c r="AT60" s="7"/>
      <c r="AU60" s="72" t="str">
        <f t="shared" si="6"/>
        <v>A</v>
      </c>
      <c r="AV60" s="7"/>
      <c r="AW60" s="7"/>
      <c r="AX60" s="62">
        <v>2</v>
      </c>
      <c r="AY60" s="62">
        <v>2</v>
      </c>
      <c r="AZ60" s="62">
        <v>2</v>
      </c>
      <c r="BA60" s="72">
        <f t="shared" si="7"/>
        <v>2</v>
      </c>
    </row>
    <row r="61" spans="1:53" ht="23.1" customHeight="1" x14ac:dyDescent="0.3">
      <c r="A61" s="62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62"/>
      <c r="G61" s="62"/>
      <c r="H61" s="62"/>
      <c r="I61" s="62"/>
      <c r="J61" s="62"/>
      <c r="K61" s="72" t="str">
        <f t="shared" si="0"/>
        <v>A</v>
      </c>
      <c r="L61" s="62">
        <v>0</v>
      </c>
      <c r="M61" s="62"/>
      <c r="N61" s="62">
        <v>0</v>
      </c>
      <c r="O61" s="62">
        <v>0</v>
      </c>
      <c r="P61" s="62"/>
      <c r="Q61" s="72">
        <f t="shared" si="1"/>
        <v>0</v>
      </c>
      <c r="R61" s="62"/>
      <c r="S61" s="62"/>
      <c r="T61" s="62"/>
      <c r="U61" s="62"/>
      <c r="V61" s="62"/>
      <c r="W61" s="72" t="str">
        <f t="shared" si="2"/>
        <v>A</v>
      </c>
      <c r="X61" s="62"/>
      <c r="Y61" s="62"/>
      <c r="Z61" s="62"/>
      <c r="AA61" s="62"/>
      <c r="AB61" s="62"/>
      <c r="AC61" s="72" t="str">
        <f t="shared" si="3"/>
        <v>A</v>
      </c>
      <c r="AD61" s="62"/>
      <c r="AE61" s="62"/>
      <c r="AF61" s="62"/>
      <c r="AG61" s="62"/>
      <c r="AH61" s="62"/>
      <c r="AI61" s="72" t="str">
        <f t="shared" si="4"/>
        <v>A</v>
      </c>
      <c r="AJ61" s="62"/>
      <c r="AK61" s="62"/>
      <c r="AL61" s="62"/>
      <c r="AM61" s="62"/>
      <c r="AN61" s="62"/>
      <c r="AO61" s="72" t="str">
        <f t="shared" si="5"/>
        <v>A</v>
      </c>
      <c r="AP61" s="62"/>
      <c r="AQ61" s="62"/>
      <c r="AR61" s="62"/>
      <c r="AS61" s="62"/>
      <c r="AT61" s="62"/>
      <c r="AU61" s="72" t="str">
        <f t="shared" si="6"/>
        <v>A</v>
      </c>
      <c r="AV61" s="62"/>
      <c r="AW61" s="62"/>
      <c r="AX61" s="62">
        <v>0</v>
      </c>
      <c r="AY61" s="62">
        <v>0</v>
      </c>
      <c r="AZ61" s="62">
        <v>0</v>
      </c>
      <c r="BA61" s="72">
        <f t="shared" si="7"/>
        <v>0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7"/>
      <c r="I62" s="7"/>
      <c r="J62" s="7"/>
      <c r="K62" s="72" t="str">
        <f t="shared" si="0"/>
        <v>A</v>
      </c>
      <c r="L62" s="62">
        <v>0</v>
      </c>
      <c r="M62" s="62"/>
      <c r="N62" s="62">
        <v>0</v>
      </c>
      <c r="O62" s="62">
        <v>0</v>
      </c>
      <c r="P62" s="62"/>
      <c r="Q62" s="72">
        <f t="shared" si="1"/>
        <v>0</v>
      </c>
      <c r="R62" s="7"/>
      <c r="S62" s="7"/>
      <c r="T62" s="7"/>
      <c r="U62" s="7"/>
      <c r="V62" s="7"/>
      <c r="W62" s="72" t="str">
        <f t="shared" si="2"/>
        <v>A</v>
      </c>
      <c r="X62" s="7"/>
      <c r="Y62" s="7"/>
      <c r="Z62" s="7"/>
      <c r="AA62" s="7"/>
      <c r="AB62" s="7"/>
      <c r="AC62" s="72" t="str">
        <f t="shared" si="3"/>
        <v>A</v>
      </c>
      <c r="AD62" s="7"/>
      <c r="AE62" s="7"/>
      <c r="AF62" s="7"/>
      <c r="AG62" s="7"/>
      <c r="AH62" s="7"/>
      <c r="AI62" s="72" t="str">
        <f t="shared" si="4"/>
        <v>A</v>
      </c>
      <c r="AJ62" s="7"/>
      <c r="AK62" s="7"/>
      <c r="AL62" s="7"/>
      <c r="AM62" s="7"/>
      <c r="AN62" s="7"/>
      <c r="AO62" s="72" t="str">
        <f t="shared" si="5"/>
        <v>A</v>
      </c>
      <c r="AP62" s="7"/>
      <c r="AQ62" s="7"/>
      <c r="AR62" s="7"/>
      <c r="AS62" s="7"/>
      <c r="AT62" s="7"/>
      <c r="AU62" s="72" t="str">
        <f t="shared" si="6"/>
        <v>A</v>
      </c>
      <c r="AV62" s="7"/>
      <c r="AW62" s="7"/>
      <c r="AX62" s="62">
        <v>0</v>
      </c>
      <c r="AY62" s="62">
        <v>0</v>
      </c>
      <c r="AZ62" s="62">
        <v>0</v>
      </c>
      <c r="BA62" s="72">
        <f t="shared" si="7"/>
        <v>0</v>
      </c>
    </row>
    <row r="63" spans="1:53" ht="23.1" customHeight="1" x14ac:dyDescent="0.3">
      <c r="A63" s="62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62"/>
      <c r="G63" s="62"/>
      <c r="H63" s="62"/>
      <c r="I63" s="62"/>
      <c r="J63" s="62"/>
      <c r="K63" s="72" t="str">
        <f t="shared" si="0"/>
        <v>A</v>
      </c>
      <c r="L63" s="62">
        <v>3</v>
      </c>
      <c r="M63" s="62"/>
      <c r="N63" s="62">
        <v>3</v>
      </c>
      <c r="O63" s="62">
        <v>4</v>
      </c>
      <c r="P63" s="62"/>
      <c r="Q63" s="72">
        <f t="shared" si="1"/>
        <v>3.3333333333333335</v>
      </c>
      <c r="R63" s="62"/>
      <c r="S63" s="62"/>
      <c r="T63" s="62"/>
      <c r="U63" s="62"/>
      <c r="V63" s="62"/>
      <c r="W63" s="72" t="str">
        <f t="shared" si="2"/>
        <v>A</v>
      </c>
      <c r="X63" s="62"/>
      <c r="Y63" s="62"/>
      <c r="Z63" s="62"/>
      <c r="AA63" s="62"/>
      <c r="AB63" s="62"/>
      <c r="AC63" s="72" t="str">
        <f t="shared" si="3"/>
        <v>A</v>
      </c>
      <c r="AD63" s="62"/>
      <c r="AE63" s="62"/>
      <c r="AF63" s="62"/>
      <c r="AG63" s="62"/>
      <c r="AH63" s="62"/>
      <c r="AI63" s="72" t="str">
        <f t="shared" si="4"/>
        <v>A</v>
      </c>
      <c r="AJ63" s="62"/>
      <c r="AK63" s="62"/>
      <c r="AL63" s="62"/>
      <c r="AM63" s="62"/>
      <c r="AN63" s="62"/>
      <c r="AO63" s="72" t="str">
        <f t="shared" si="5"/>
        <v>A</v>
      </c>
      <c r="AP63" s="62"/>
      <c r="AQ63" s="62"/>
      <c r="AR63" s="62"/>
      <c r="AS63" s="62"/>
      <c r="AT63" s="62"/>
      <c r="AU63" s="72" t="str">
        <f t="shared" si="6"/>
        <v>A</v>
      </c>
      <c r="AV63" s="62"/>
      <c r="AW63" s="62"/>
      <c r="AX63" s="62">
        <v>5</v>
      </c>
      <c r="AY63" s="62">
        <v>0</v>
      </c>
      <c r="AZ63" s="62">
        <v>4</v>
      </c>
      <c r="BA63" s="72">
        <f t="shared" si="7"/>
        <v>3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7"/>
      <c r="I64" s="7"/>
      <c r="J64" s="7"/>
      <c r="K64" s="72" t="str">
        <f t="shared" si="0"/>
        <v>A</v>
      </c>
      <c r="L64" s="62">
        <v>3</v>
      </c>
      <c r="M64" s="62"/>
      <c r="N64" s="62">
        <v>2</v>
      </c>
      <c r="O64" s="62">
        <v>3</v>
      </c>
      <c r="P64" s="62"/>
      <c r="Q64" s="72">
        <f t="shared" si="1"/>
        <v>2.6666666666666665</v>
      </c>
      <c r="R64" s="7"/>
      <c r="S64" s="7"/>
      <c r="T64" s="7"/>
      <c r="U64" s="7"/>
      <c r="V64" s="7"/>
      <c r="W64" s="72" t="str">
        <f t="shared" si="2"/>
        <v>A</v>
      </c>
      <c r="X64" s="7"/>
      <c r="Y64" s="7"/>
      <c r="Z64" s="7"/>
      <c r="AA64" s="7"/>
      <c r="AB64" s="7"/>
      <c r="AC64" s="72" t="str">
        <f t="shared" si="3"/>
        <v>A</v>
      </c>
      <c r="AD64" s="7"/>
      <c r="AE64" s="7"/>
      <c r="AF64" s="7"/>
      <c r="AG64" s="7"/>
      <c r="AH64" s="7"/>
      <c r="AI64" s="72" t="str">
        <f t="shared" si="4"/>
        <v>A</v>
      </c>
      <c r="AJ64" s="7"/>
      <c r="AK64" s="7"/>
      <c r="AL64" s="7"/>
      <c r="AM64" s="7"/>
      <c r="AN64" s="7"/>
      <c r="AO64" s="72" t="str">
        <f t="shared" si="5"/>
        <v>A</v>
      </c>
      <c r="AP64" s="7"/>
      <c r="AQ64" s="7"/>
      <c r="AR64" s="7"/>
      <c r="AS64" s="7"/>
      <c r="AT64" s="7"/>
      <c r="AU64" s="72" t="str">
        <f t="shared" si="6"/>
        <v>A</v>
      </c>
      <c r="AV64" s="7"/>
      <c r="AW64" s="7"/>
      <c r="AX64" s="62">
        <v>5</v>
      </c>
      <c r="AY64" s="62">
        <v>0</v>
      </c>
      <c r="AZ64" s="62">
        <v>3</v>
      </c>
      <c r="BA64" s="72">
        <f t="shared" si="7"/>
        <v>2.6666666666666665</v>
      </c>
    </row>
    <row r="65" spans="1:53" ht="23.1" customHeight="1" x14ac:dyDescent="0.3">
      <c r="A65" s="62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62"/>
      <c r="G65" s="62"/>
      <c r="H65" s="62"/>
      <c r="I65" s="62"/>
      <c r="J65" s="62"/>
      <c r="K65" s="72" t="str">
        <f t="shared" si="0"/>
        <v>A</v>
      </c>
      <c r="L65" s="62">
        <v>3</v>
      </c>
      <c r="M65" s="62"/>
      <c r="N65" s="62">
        <v>3</v>
      </c>
      <c r="O65" s="62">
        <v>3</v>
      </c>
      <c r="P65" s="62"/>
      <c r="Q65" s="72">
        <f t="shared" si="1"/>
        <v>3</v>
      </c>
      <c r="R65" s="62"/>
      <c r="S65" s="62"/>
      <c r="T65" s="62"/>
      <c r="U65" s="62"/>
      <c r="V65" s="62"/>
      <c r="W65" s="72" t="str">
        <f t="shared" si="2"/>
        <v>A</v>
      </c>
      <c r="X65" s="62"/>
      <c r="Y65" s="62"/>
      <c r="Z65" s="62"/>
      <c r="AA65" s="62"/>
      <c r="AB65" s="62"/>
      <c r="AC65" s="72" t="str">
        <f t="shared" si="3"/>
        <v>A</v>
      </c>
      <c r="AD65" s="62"/>
      <c r="AE65" s="62"/>
      <c r="AF65" s="62"/>
      <c r="AG65" s="62"/>
      <c r="AH65" s="62"/>
      <c r="AI65" s="72" t="str">
        <f t="shared" si="4"/>
        <v>A</v>
      </c>
      <c r="AJ65" s="62"/>
      <c r="AK65" s="62"/>
      <c r="AL65" s="62"/>
      <c r="AM65" s="62"/>
      <c r="AN65" s="62"/>
      <c r="AO65" s="72" t="str">
        <f t="shared" si="5"/>
        <v>A</v>
      </c>
      <c r="AP65" s="62"/>
      <c r="AQ65" s="62"/>
      <c r="AR65" s="62"/>
      <c r="AS65" s="62"/>
      <c r="AT65" s="62"/>
      <c r="AU65" s="72" t="str">
        <f t="shared" si="6"/>
        <v>A</v>
      </c>
      <c r="AV65" s="62"/>
      <c r="AW65" s="62"/>
      <c r="AX65" s="62">
        <v>5</v>
      </c>
      <c r="AY65" s="62">
        <v>0</v>
      </c>
      <c r="AZ65" s="62">
        <v>3</v>
      </c>
      <c r="BA65" s="72">
        <f t="shared" si="7"/>
        <v>2.6666666666666665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7"/>
      <c r="I66" s="7"/>
      <c r="J66" s="7"/>
      <c r="K66" s="72" t="str">
        <f t="shared" si="0"/>
        <v>A</v>
      </c>
      <c r="L66" s="62">
        <v>1</v>
      </c>
      <c r="M66" s="62"/>
      <c r="N66" s="62">
        <v>1</v>
      </c>
      <c r="O66" s="62">
        <v>1</v>
      </c>
      <c r="P66" s="62"/>
      <c r="Q66" s="72">
        <f t="shared" si="1"/>
        <v>1</v>
      </c>
      <c r="R66" s="7"/>
      <c r="S66" s="7"/>
      <c r="T66" s="7"/>
      <c r="U66" s="7"/>
      <c r="V66" s="7"/>
      <c r="W66" s="72" t="str">
        <f t="shared" si="2"/>
        <v>A</v>
      </c>
      <c r="X66" s="7"/>
      <c r="Y66" s="7"/>
      <c r="Z66" s="7"/>
      <c r="AA66" s="7"/>
      <c r="AB66" s="7"/>
      <c r="AC66" s="72" t="str">
        <f t="shared" si="3"/>
        <v>A</v>
      </c>
      <c r="AD66" s="7"/>
      <c r="AE66" s="7"/>
      <c r="AF66" s="7"/>
      <c r="AG66" s="7"/>
      <c r="AH66" s="7"/>
      <c r="AI66" s="72" t="str">
        <f t="shared" si="4"/>
        <v>A</v>
      </c>
      <c r="AJ66" s="7"/>
      <c r="AK66" s="7"/>
      <c r="AL66" s="7"/>
      <c r="AM66" s="7"/>
      <c r="AN66" s="7"/>
      <c r="AO66" s="72" t="str">
        <f t="shared" si="5"/>
        <v>A</v>
      </c>
      <c r="AP66" s="7"/>
      <c r="AQ66" s="7"/>
      <c r="AR66" s="7"/>
      <c r="AS66" s="7"/>
      <c r="AT66" s="7"/>
      <c r="AU66" s="72" t="str">
        <f t="shared" si="6"/>
        <v>A</v>
      </c>
      <c r="AV66" s="7"/>
      <c r="AW66" s="7"/>
      <c r="AX66" s="62">
        <v>5</v>
      </c>
      <c r="AY66" s="62">
        <v>2</v>
      </c>
      <c r="AZ66" s="62">
        <v>1</v>
      </c>
      <c r="BA66" s="72">
        <f t="shared" si="7"/>
        <v>2.6666666666666665</v>
      </c>
    </row>
    <row r="67" spans="1:53" ht="23.1" customHeight="1" x14ac:dyDescent="0.3">
      <c r="A67" s="62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62"/>
      <c r="G67" s="62"/>
      <c r="H67" s="62"/>
      <c r="I67" s="62"/>
      <c r="J67" s="62"/>
      <c r="K67" s="72" t="str">
        <f t="shared" si="0"/>
        <v>A</v>
      </c>
      <c r="L67" s="62">
        <v>0</v>
      </c>
      <c r="M67" s="62"/>
      <c r="N67" s="62">
        <v>0</v>
      </c>
      <c r="O67" s="62">
        <v>0</v>
      </c>
      <c r="P67" s="62"/>
      <c r="Q67" s="72">
        <f t="shared" si="1"/>
        <v>0</v>
      </c>
      <c r="R67" s="62"/>
      <c r="S67" s="62"/>
      <c r="T67" s="62"/>
      <c r="U67" s="62"/>
      <c r="V67" s="62"/>
      <c r="W67" s="72" t="str">
        <f t="shared" si="2"/>
        <v>A</v>
      </c>
      <c r="X67" s="62"/>
      <c r="Y67" s="62"/>
      <c r="Z67" s="62"/>
      <c r="AA67" s="62"/>
      <c r="AB67" s="62"/>
      <c r="AC67" s="72" t="str">
        <f t="shared" si="3"/>
        <v>A</v>
      </c>
      <c r="AD67" s="62"/>
      <c r="AE67" s="62"/>
      <c r="AF67" s="62"/>
      <c r="AG67" s="62"/>
      <c r="AH67" s="62"/>
      <c r="AI67" s="72" t="str">
        <f t="shared" si="4"/>
        <v>A</v>
      </c>
      <c r="AJ67" s="62"/>
      <c r="AK67" s="62"/>
      <c r="AL67" s="62"/>
      <c r="AM67" s="62"/>
      <c r="AN67" s="62"/>
      <c r="AO67" s="72" t="str">
        <f t="shared" si="5"/>
        <v>A</v>
      </c>
      <c r="AP67" s="62"/>
      <c r="AQ67" s="62"/>
      <c r="AR67" s="62"/>
      <c r="AS67" s="62"/>
      <c r="AT67" s="62"/>
      <c r="AU67" s="72" t="str">
        <f t="shared" si="6"/>
        <v>A</v>
      </c>
      <c r="AV67" s="62"/>
      <c r="AW67" s="62"/>
      <c r="AX67" s="62">
        <v>0</v>
      </c>
      <c r="AY67" s="62">
        <v>0</v>
      </c>
      <c r="AZ67" s="62">
        <v>0</v>
      </c>
      <c r="BA67" s="72">
        <f t="shared" si="7"/>
        <v>0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7"/>
      <c r="I68" s="7"/>
      <c r="J68" s="7"/>
      <c r="K68" s="72" t="str">
        <f t="shared" ref="K68:K131" si="8">IFERROR(AVERAGE(F68,G68,H68,I68),"A")</f>
        <v>A</v>
      </c>
      <c r="L68" s="62">
        <v>2</v>
      </c>
      <c r="M68" s="62"/>
      <c r="N68" s="62">
        <v>2</v>
      </c>
      <c r="O68" s="62">
        <v>2</v>
      </c>
      <c r="P68" s="62"/>
      <c r="Q68" s="72">
        <f t="shared" ref="Q68:Q131" si="9">IFERROR(AVERAGE(N68,L68,O68),"A")</f>
        <v>2</v>
      </c>
      <c r="R68" s="7"/>
      <c r="S68" s="7"/>
      <c r="T68" s="7"/>
      <c r="U68" s="7"/>
      <c r="V68" s="7"/>
      <c r="W68" s="72" t="str">
        <f t="shared" ref="W68:W131" si="10">IFERROR(AVERAGE(R68,S68,U68),"A")</f>
        <v>A</v>
      </c>
      <c r="X68" s="7"/>
      <c r="Y68" s="7"/>
      <c r="Z68" s="7"/>
      <c r="AA68" s="7"/>
      <c r="AB68" s="7"/>
      <c r="AC68" s="72" t="str">
        <f t="shared" ref="AC68:AC131" si="11">IFERROR(AVERAGE(Y68,X68),"A")</f>
        <v>A</v>
      </c>
      <c r="AD68" s="7"/>
      <c r="AE68" s="7"/>
      <c r="AF68" s="7"/>
      <c r="AG68" s="7"/>
      <c r="AH68" s="7"/>
      <c r="AI68" s="72" t="str">
        <f t="shared" ref="AI68:AI131" si="12">IFERROR(AVERAGE(AF68,AD68),"A")</f>
        <v>A</v>
      </c>
      <c r="AJ68" s="7"/>
      <c r="AK68" s="7"/>
      <c r="AL68" s="7"/>
      <c r="AM68" s="7"/>
      <c r="AN68" s="7"/>
      <c r="AO68" s="72" t="str">
        <f t="shared" ref="AO68:AO131" si="13">IFERROR(AVERAGE(AJ68,AK68,AL68,AM68),"A")</f>
        <v>A</v>
      </c>
      <c r="AP68" s="7"/>
      <c r="AQ68" s="7"/>
      <c r="AR68" s="7"/>
      <c r="AS68" s="7"/>
      <c r="AT68" s="7"/>
      <c r="AU68" s="72" t="str">
        <f t="shared" ref="AU68:AU131" si="14">IFERROR(AVERAGE(AR68,AQ68,AP68),"A")</f>
        <v>A</v>
      </c>
      <c r="AV68" s="7"/>
      <c r="AW68" s="7"/>
      <c r="AX68" s="62">
        <v>5</v>
      </c>
      <c r="AY68" s="62">
        <v>0</v>
      </c>
      <c r="AZ68" s="62">
        <v>2</v>
      </c>
      <c r="BA68" s="72">
        <f t="shared" ref="BA68:BA131" si="15">IFERROR(AVERAGE(AX68,AY68,AZ68),"A")</f>
        <v>2.3333333333333335</v>
      </c>
    </row>
    <row r="69" spans="1:53" ht="23.1" customHeight="1" x14ac:dyDescent="0.3">
      <c r="A69" s="62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62"/>
      <c r="G69" s="62"/>
      <c r="H69" s="62"/>
      <c r="I69" s="62"/>
      <c r="J69" s="62"/>
      <c r="K69" s="72" t="str">
        <f t="shared" si="8"/>
        <v>A</v>
      </c>
      <c r="L69" s="62">
        <v>4</v>
      </c>
      <c r="M69" s="62"/>
      <c r="N69" s="62">
        <v>4</v>
      </c>
      <c r="O69" s="62">
        <v>4</v>
      </c>
      <c r="P69" s="62"/>
      <c r="Q69" s="72">
        <f t="shared" si="9"/>
        <v>4</v>
      </c>
      <c r="R69" s="62"/>
      <c r="S69" s="62"/>
      <c r="T69" s="62"/>
      <c r="U69" s="62"/>
      <c r="V69" s="62"/>
      <c r="W69" s="72" t="str">
        <f t="shared" si="10"/>
        <v>A</v>
      </c>
      <c r="X69" s="62"/>
      <c r="Y69" s="62"/>
      <c r="Z69" s="62"/>
      <c r="AA69" s="62"/>
      <c r="AB69" s="62"/>
      <c r="AC69" s="72" t="str">
        <f t="shared" si="11"/>
        <v>A</v>
      </c>
      <c r="AD69" s="62"/>
      <c r="AE69" s="62"/>
      <c r="AF69" s="62"/>
      <c r="AG69" s="62"/>
      <c r="AH69" s="62"/>
      <c r="AI69" s="72" t="str">
        <f t="shared" si="12"/>
        <v>A</v>
      </c>
      <c r="AJ69" s="62"/>
      <c r="AK69" s="62"/>
      <c r="AL69" s="62"/>
      <c r="AM69" s="62"/>
      <c r="AN69" s="62"/>
      <c r="AO69" s="72" t="str">
        <f t="shared" si="13"/>
        <v>A</v>
      </c>
      <c r="AP69" s="62"/>
      <c r="AQ69" s="62"/>
      <c r="AR69" s="62"/>
      <c r="AS69" s="62"/>
      <c r="AT69" s="62"/>
      <c r="AU69" s="72" t="str">
        <f t="shared" si="14"/>
        <v>A</v>
      </c>
      <c r="AV69" s="62"/>
      <c r="AW69" s="62"/>
      <c r="AX69" s="62">
        <v>5</v>
      </c>
      <c r="AY69" s="62">
        <v>0</v>
      </c>
      <c r="AZ69" s="62">
        <v>4</v>
      </c>
      <c r="BA69" s="72">
        <f t="shared" si="15"/>
        <v>3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7"/>
      <c r="I70" s="7"/>
      <c r="J70" s="7"/>
      <c r="K70" s="72" t="str">
        <f t="shared" si="8"/>
        <v>A</v>
      </c>
      <c r="L70" s="62">
        <v>4</v>
      </c>
      <c r="M70" s="62"/>
      <c r="N70" s="62">
        <v>3</v>
      </c>
      <c r="O70" s="62">
        <v>3</v>
      </c>
      <c r="P70" s="62"/>
      <c r="Q70" s="72">
        <f t="shared" si="9"/>
        <v>3.3333333333333335</v>
      </c>
      <c r="R70" s="7"/>
      <c r="S70" s="7"/>
      <c r="T70" s="7"/>
      <c r="U70" s="7"/>
      <c r="V70" s="7"/>
      <c r="W70" s="72" t="str">
        <f t="shared" si="10"/>
        <v>A</v>
      </c>
      <c r="X70" s="7"/>
      <c r="Y70" s="7"/>
      <c r="Z70" s="7"/>
      <c r="AA70" s="7"/>
      <c r="AB70" s="7"/>
      <c r="AC70" s="72" t="str">
        <f t="shared" si="11"/>
        <v>A</v>
      </c>
      <c r="AD70" s="7"/>
      <c r="AE70" s="7"/>
      <c r="AF70" s="7"/>
      <c r="AG70" s="7"/>
      <c r="AH70" s="7"/>
      <c r="AI70" s="72" t="str">
        <f t="shared" si="12"/>
        <v>A</v>
      </c>
      <c r="AJ70" s="7"/>
      <c r="AK70" s="7"/>
      <c r="AL70" s="7"/>
      <c r="AM70" s="7"/>
      <c r="AN70" s="7"/>
      <c r="AO70" s="72" t="str">
        <f t="shared" si="13"/>
        <v>A</v>
      </c>
      <c r="AP70" s="7"/>
      <c r="AQ70" s="7"/>
      <c r="AR70" s="7"/>
      <c r="AS70" s="7"/>
      <c r="AT70" s="7"/>
      <c r="AU70" s="72" t="str">
        <f t="shared" si="14"/>
        <v>A</v>
      </c>
      <c r="AV70" s="7"/>
      <c r="AW70" s="7"/>
      <c r="AX70" s="62">
        <v>5</v>
      </c>
      <c r="AY70" s="62">
        <v>0</v>
      </c>
      <c r="AZ70" s="62">
        <v>3</v>
      </c>
      <c r="BA70" s="72">
        <f t="shared" si="15"/>
        <v>2.6666666666666665</v>
      </c>
    </row>
    <row r="71" spans="1:53" ht="23.1" customHeight="1" x14ac:dyDescent="0.3">
      <c r="A71" s="62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62"/>
      <c r="G71" s="62"/>
      <c r="H71" s="62"/>
      <c r="I71" s="62"/>
      <c r="J71" s="62"/>
      <c r="K71" s="72" t="str">
        <f t="shared" si="8"/>
        <v>A</v>
      </c>
      <c r="L71" s="62">
        <v>2</v>
      </c>
      <c r="M71" s="62"/>
      <c r="N71" s="62">
        <v>2</v>
      </c>
      <c r="O71" s="62">
        <v>1</v>
      </c>
      <c r="P71" s="62"/>
      <c r="Q71" s="72">
        <f t="shared" si="9"/>
        <v>1.6666666666666667</v>
      </c>
      <c r="R71" s="62"/>
      <c r="S71" s="62"/>
      <c r="T71" s="62"/>
      <c r="U71" s="62"/>
      <c r="V71" s="62"/>
      <c r="W71" s="72" t="str">
        <f t="shared" si="10"/>
        <v>A</v>
      </c>
      <c r="X71" s="62"/>
      <c r="Y71" s="62"/>
      <c r="Z71" s="62"/>
      <c r="AA71" s="62"/>
      <c r="AB71" s="62"/>
      <c r="AC71" s="72" t="str">
        <f t="shared" si="11"/>
        <v>A</v>
      </c>
      <c r="AD71" s="62"/>
      <c r="AE71" s="62"/>
      <c r="AF71" s="62"/>
      <c r="AG71" s="62"/>
      <c r="AH71" s="62"/>
      <c r="AI71" s="72" t="str">
        <f t="shared" si="12"/>
        <v>A</v>
      </c>
      <c r="AJ71" s="62"/>
      <c r="AK71" s="62"/>
      <c r="AL71" s="62"/>
      <c r="AM71" s="62"/>
      <c r="AN71" s="62"/>
      <c r="AO71" s="72" t="str">
        <f t="shared" si="13"/>
        <v>A</v>
      </c>
      <c r="AP71" s="62"/>
      <c r="AQ71" s="62"/>
      <c r="AR71" s="62"/>
      <c r="AS71" s="62"/>
      <c r="AT71" s="62"/>
      <c r="AU71" s="72" t="str">
        <f t="shared" si="14"/>
        <v>A</v>
      </c>
      <c r="AV71" s="62"/>
      <c r="AW71" s="62"/>
      <c r="AX71" s="62">
        <v>5</v>
      </c>
      <c r="AY71" s="62">
        <v>0</v>
      </c>
      <c r="AZ71" s="62">
        <v>1</v>
      </c>
      <c r="BA71" s="72">
        <f t="shared" si="15"/>
        <v>2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7"/>
      <c r="I72" s="7"/>
      <c r="J72" s="7"/>
      <c r="K72" s="72" t="str">
        <f t="shared" si="8"/>
        <v>A</v>
      </c>
      <c r="L72" s="62">
        <v>2</v>
      </c>
      <c r="M72" s="62"/>
      <c r="N72" s="62">
        <v>2</v>
      </c>
      <c r="O72" s="62">
        <v>2</v>
      </c>
      <c r="P72" s="62"/>
      <c r="Q72" s="72">
        <f t="shared" si="9"/>
        <v>2</v>
      </c>
      <c r="R72" s="7"/>
      <c r="S72" s="7"/>
      <c r="T72" s="7"/>
      <c r="U72" s="7"/>
      <c r="V72" s="7"/>
      <c r="W72" s="72" t="str">
        <f t="shared" si="10"/>
        <v>A</v>
      </c>
      <c r="X72" s="7"/>
      <c r="Y72" s="7"/>
      <c r="Z72" s="7"/>
      <c r="AA72" s="7"/>
      <c r="AB72" s="7"/>
      <c r="AC72" s="72" t="str">
        <f t="shared" si="11"/>
        <v>A</v>
      </c>
      <c r="AD72" s="7"/>
      <c r="AE72" s="7"/>
      <c r="AF72" s="7"/>
      <c r="AG72" s="7"/>
      <c r="AH72" s="7"/>
      <c r="AI72" s="72" t="str">
        <f t="shared" si="12"/>
        <v>A</v>
      </c>
      <c r="AJ72" s="7"/>
      <c r="AK72" s="7"/>
      <c r="AL72" s="7"/>
      <c r="AM72" s="7"/>
      <c r="AN72" s="7"/>
      <c r="AO72" s="72" t="str">
        <f t="shared" si="13"/>
        <v>A</v>
      </c>
      <c r="AP72" s="7"/>
      <c r="AQ72" s="7"/>
      <c r="AR72" s="7"/>
      <c r="AS72" s="7"/>
      <c r="AT72" s="7"/>
      <c r="AU72" s="72" t="str">
        <f t="shared" si="14"/>
        <v>A</v>
      </c>
      <c r="AV72" s="7"/>
      <c r="AW72" s="7"/>
      <c r="AX72" s="62">
        <v>2</v>
      </c>
      <c r="AY72" s="62">
        <v>2</v>
      </c>
      <c r="AZ72" s="62">
        <v>2</v>
      </c>
      <c r="BA72" s="72">
        <f t="shared" si="15"/>
        <v>2</v>
      </c>
    </row>
    <row r="73" spans="1:53" ht="23.1" customHeight="1" x14ac:dyDescent="0.3">
      <c r="A73" s="62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62"/>
      <c r="G73" s="62"/>
      <c r="H73" s="62"/>
      <c r="I73" s="62"/>
      <c r="J73" s="62"/>
      <c r="K73" s="72" t="str">
        <f t="shared" si="8"/>
        <v>A</v>
      </c>
      <c r="L73" s="62">
        <v>3</v>
      </c>
      <c r="M73" s="62"/>
      <c r="N73" s="62">
        <v>3</v>
      </c>
      <c r="O73" s="62">
        <v>3</v>
      </c>
      <c r="P73" s="62"/>
      <c r="Q73" s="72">
        <f t="shared" si="9"/>
        <v>3</v>
      </c>
      <c r="R73" s="62"/>
      <c r="S73" s="62"/>
      <c r="T73" s="62"/>
      <c r="U73" s="62"/>
      <c r="V73" s="62"/>
      <c r="W73" s="72" t="str">
        <f t="shared" si="10"/>
        <v>A</v>
      </c>
      <c r="X73" s="62"/>
      <c r="Y73" s="62"/>
      <c r="Z73" s="62"/>
      <c r="AA73" s="62"/>
      <c r="AB73" s="62"/>
      <c r="AC73" s="72" t="str">
        <f t="shared" si="11"/>
        <v>A</v>
      </c>
      <c r="AD73" s="62"/>
      <c r="AE73" s="62"/>
      <c r="AF73" s="62"/>
      <c r="AG73" s="62"/>
      <c r="AH73" s="62"/>
      <c r="AI73" s="72" t="str">
        <f t="shared" si="12"/>
        <v>A</v>
      </c>
      <c r="AJ73" s="62"/>
      <c r="AK73" s="62"/>
      <c r="AL73" s="62"/>
      <c r="AM73" s="62"/>
      <c r="AN73" s="62"/>
      <c r="AO73" s="72" t="str">
        <f t="shared" si="13"/>
        <v>A</v>
      </c>
      <c r="AP73" s="62"/>
      <c r="AQ73" s="62"/>
      <c r="AR73" s="62"/>
      <c r="AS73" s="62"/>
      <c r="AT73" s="62"/>
      <c r="AU73" s="72" t="str">
        <f t="shared" si="14"/>
        <v>A</v>
      </c>
      <c r="AV73" s="62"/>
      <c r="AW73" s="62"/>
      <c r="AX73" s="62">
        <v>5</v>
      </c>
      <c r="AY73" s="62">
        <v>0</v>
      </c>
      <c r="AZ73" s="62">
        <v>3</v>
      </c>
      <c r="BA73" s="72">
        <f t="shared" si="15"/>
        <v>2.6666666666666665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7"/>
      <c r="I74" s="7"/>
      <c r="J74" s="7"/>
      <c r="K74" s="72" t="str">
        <f t="shared" si="8"/>
        <v>A</v>
      </c>
      <c r="L74" s="62">
        <v>5</v>
      </c>
      <c r="M74" s="62"/>
      <c r="N74" s="62">
        <v>4</v>
      </c>
      <c r="O74" s="62">
        <v>4</v>
      </c>
      <c r="P74" s="62"/>
      <c r="Q74" s="72">
        <f t="shared" si="9"/>
        <v>4.333333333333333</v>
      </c>
      <c r="R74" s="7"/>
      <c r="S74" s="7"/>
      <c r="T74" s="7"/>
      <c r="U74" s="7"/>
      <c r="V74" s="7"/>
      <c r="W74" s="72" t="str">
        <f t="shared" si="10"/>
        <v>A</v>
      </c>
      <c r="X74" s="7"/>
      <c r="Y74" s="7"/>
      <c r="Z74" s="7"/>
      <c r="AA74" s="7"/>
      <c r="AB74" s="7"/>
      <c r="AC74" s="72" t="str">
        <f t="shared" si="11"/>
        <v>A</v>
      </c>
      <c r="AD74" s="7"/>
      <c r="AE74" s="7"/>
      <c r="AF74" s="7"/>
      <c r="AG74" s="7"/>
      <c r="AH74" s="7"/>
      <c r="AI74" s="72" t="str">
        <f t="shared" si="12"/>
        <v>A</v>
      </c>
      <c r="AJ74" s="7"/>
      <c r="AK74" s="7"/>
      <c r="AL74" s="7"/>
      <c r="AM74" s="7"/>
      <c r="AN74" s="7"/>
      <c r="AO74" s="72" t="str">
        <f t="shared" si="13"/>
        <v>A</v>
      </c>
      <c r="AP74" s="7"/>
      <c r="AQ74" s="7"/>
      <c r="AR74" s="7"/>
      <c r="AS74" s="7"/>
      <c r="AT74" s="7"/>
      <c r="AU74" s="72" t="str">
        <f t="shared" si="14"/>
        <v>A</v>
      </c>
      <c r="AV74" s="7"/>
      <c r="AW74" s="7"/>
      <c r="AX74" s="62">
        <v>5</v>
      </c>
      <c r="AY74" s="62">
        <v>0</v>
      </c>
      <c r="AZ74" s="62">
        <v>5</v>
      </c>
      <c r="BA74" s="72">
        <f t="shared" si="15"/>
        <v>3.3333333333333335</v>
      </c>
    </row>
    <row r="75" spans="1:53" ht="23.1" customHeight="1" x14ac:dyDescent="0.3">
      <c r="A75" s="62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62"/>
      <c r="G75" s="62"/>
      <c r="H75" s="62"/>
      <c r="I75" s="62"/>
      <c r="J75" s="62"/>
      <c r="K75" s="72" t="str">
        <f t="shared" si="8"/>
        <v>A</v>
      </c>
      <c r="L75" s="62">
        <v>1</v>
      </c>
      <c r="M75" s="62"/>
      <c r="N75" s="62">
        <v>1</v>
      </c>
      <c r="O75" s="62">
        <v>1</v>
      </c>
      <c r="P75" s="62"/>
      <c r="Q75" s="72">
        <f t="shared" si="9"/>
        <v>1</v>
      </c>
      <c r="R75" s="62"/>
      <c r="S75" s="62"/>
      <c r="T75" s="62"/>
      <c r="U75" s="62"/>
      <c r="V75" s="62"/>
      <c r="W75" s="72" t="str">
        <f t="shared" si="10"/>
        <v>A</v>
      </c>
      <c r="X75" s="62"/>
      <c r="Y75" s="62"/>
      <c r="Z75" s="62"/>
      <c r="AA75" s="62"/>
      <c r="AB75" s="62"/>
      <c r="AC75" s="72" t="str">
        <f t="shared" si="11"/>
        <v>A</v>
      </c>
      <c r="AD75" s="62"/>
      <c r="AE75" s="62"/>
      <c r="AF75" s="62"/>
      <c r="AG75" s="62"/>
      <c r="AH75" s="62"/>
      <c r="AI75" s="72" t="str">
        <f t="shared" si="12"/>
        <v>A</v>
      </c>
      <c r="AJ75" s="62"/>
      <c r="AK75" s="62"/>
      <c r="AL75" s="62"/>
      <c r="AM75" s="62"/>
      <c r="AN75" s="62"/>
      <c r="AO75" s="72" t="str">
        <f t="shared" si="13"/>
        <v>A</v>
      </c>
      <c r="AP75" s="62"/>
      <c r="AQ75" s="62"/>
      <c r="AR75" s="62"/>
      <c r="AS75" s="62"/>
      <c r="AT75" s="62"/>
      <c r="AU75" s="72" t="str">
        <f t="shared" si="14"/>
        <v>A</v>
      </c>
      <c r="AV75" s="62"/>
      <c r="AW75" s="62"/>
      <c r="AX75" s="62">
        <v>5</v>
      </c>
      <c r="AY75" s="62">
        <v>0</v>
      </c>
      <c r="AZ75" s="62">
        <v>1</v>
      </c>
      <c r="BA75" s="72">
        <f t="shared" si="15"/>
        <v>2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7"/>
      <c r="I76" s="7"/>
      <c r="J76" s="7"/>
      <c r="K76" s="72" t="str">
        <f t="shared" si="8"/>
        <v>A</v>
      </c>
      <c r="L76" s="62">
        <v>2</v>
      </c>
      <c r="M76" s="62"/>
      <c r="N76" s="62">
        <v>1</v>
      </c>
      <c r="O76" s="62">
        <v>1</v>
      </c>
      <c r="P76" s="62"/>
      <c r="Q76" s="72">
        <f t="shared" si="9"/>
        <v>1.3333333333333333</v>
      </c>
      <c r="R76" s="7"/>
      <c r="S76" s="7"/>
      <c r="T76" s="7"/>
      <c r="U76" s="7"/>
      <c r="V76" s="7"/>
      <c r="W76" s="72" t="str">
        <f t="shared" si="10"/>
        <v>A</v>
      </c>
      <c r="X76" s="7"/>
      <c r="Y76" s="7"/>
      <c r="Z76" s="7"/>
      <c r="AA76" s="7"/>
      <c r="AB76" s="7"/>
      <c r="AC76" s="72" t="str">
        <f t="shared" si="11"/>
        <v>A</v>
      </c>
      <c r="AD76" s="7"/>
      <c r="AE76" s="7"/>
      <c r="AF76" s="7"/>
      <c r="AG76" s="7"/>
      <c r="AH76" s="7"/>
      <c r="AI76" s="72" t="str">
        <f t="shared" si="12"/>
        <v>A</v>
      </c>
      <c r="AJ76" s="7"/>
      <c r="AK76" s="7"/>
      <c r="AL76" s="7"/>
      <c r="AM76" s="7"/>
      <c r="AN76" s="7"/>
      <c r="AO76" s="72" t="str">
        <f t="shared" si="13"/>
        <v>A</v>
      </c>
      <c r="AP76" s="7"/>
      <c r="AQ76" s="7"/>
      <c r="AR76" s="7"/>
      <c r="AS76" s="7"/>
      <c r="AT76" s="7"/>
      <c r="AU76" s="72" t="str">
        <f t="shared" si="14"/>
        <v>A</v>
      </c>
      <c r="AV76" s="7"/>
      <c r="AW76" s="7"/>
      <c r="AX76" s="62">
        <v>5</v>
      </c>
      <c r="AY76" s="62">
        <v>2</v>
      </c>
      <c r="AZ76" s="62">
        <v>1</v>
      </c>
      <c r="BA76" s="72">
        <f t="shared" si="15"/>
        <v>2.6666666666666665</v>
      </c>
    </row>
    <row r="77" spans="1:53" ht="23.1" customHeight="1" x14ac:dyDescent="0.3">
      <c r="A77" s="62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62"/>
      <c r="G77" s="62"/>
      <c r="H77" s="62"/>
      <c r="I77" s="62"/>
      <c r="J77" s="62"/>
      <c r="K77" s="72" t="str">
        <f t="shared" si="8"/>
        <v>A</v>
      </c>
      <c r="L77" s="62">
        <v>3</v>
      </c>
      <c r="M77" s="62"/>
      <c r="N77" s="62">
        <v>3</v>
      </c>
      <c r="O77" s="62">
        <v>2</v>
      </c>
      <c r="P77" s="62"/>
      <c r="Q77" s="72">
        <f t="shared" si="9"/>
        <v>2.6666666666666665</v>
      </c>
      <c r="R77" s="62"/>
      <c r="S77" s="62"/>
      <c r="T77" s="62"/>
      <c r="U77" s="62"/>
      <c r="V77" s="62"/>
      <c r="W77" s="72" t="str">
        <f t="shared" si="10"/>
        <v>A</v>
      </c>
      <c r="X77" s="62"/>
      <c r="Y77" s="62"/>
      <c r="Z77" s="62"/>
      <c r="AA77" s="62"/>
      <c r="AB77" s="62"/>
      <c r="AC77" s="72" t="str">
        <f t="shared" si="11"/>
        <v>A</v>
      </c>
      <c r="AD77" s="62"/>
      <c r="AE77" s="62"/>
      <c r="AF77" s="62"/>
      <c r="AG77" s="62"/>
      <c r="AH77" s="62"/>
      <c r="AI77" s="72" t="str">
        <f t="shared" si="12"/>
        <v>A</v>
      </c>
      <c r="AJ77" s="62"/>
      <c r="AK77" s="62"/>
      <c r="AL77" s="62"/>
      <c r="AM77" s="62"/>
      <c r="AN77" s="62"/>
      <c r="AO77" s="72" t="str">
        <f t="shared" si="13"/>
        <v>A</v>
      </c>
      <c r="AP77" s="62"/>
      <c r="AQ77" s="62"/>
      <c r="AR77" s="62"/>
      <c r="AS77" s="62"/>
      <c r="AT77" s="62"/>
      <c r="AU77" s="72" t="str">
        <f t="shared" si="14"/>
        <v>A</v>
      </c>
      <c r="AV77" s="62"/>
      <c r="AW77" s="62"/>
      <c r="AX77" s="62">
        <v>5</v>
      </c>
      <c r="AY77" s="62">
        <v>2</v>
      </c>
      <c r="AZ77" s="62">
        <v>2</v>
      </c>
      <c r="BA77" s="72">
        <f t="shared" si="15"/>
        <v>3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7"/>
      <c r="I78" s="7"/>
      <c r="J78" s="7"/>
      <c r="K78" s="72" t="str">
        <f t="shared" si="8"/>
        <v>A</v>
      </c>
      <c r="L78" s="62">
        <v>2</v>
      </c>
      <c r="M78" s="62"/>
      <c r="N78" s="62">
        <v>2</v>
      </c>
      <c r="O78" s="62">
        <v>2</v>
      </c>
      <c r="P78" s="62"/>
      <c r="Q78" s="72">
        <f t="shared" si="9"/>
        <v>2</v>
      </c>
      <c r="R78" s="7"/>
      <c r="S78" s="7"/>
      <c r="T78" s="7"/>
      <c r="U78" s="7"/>
      <c r="V78" s="7"/>
      <c r="W78" s="72" t="str">
        <f t="shared" si="10"/>
        <v>A</v>
      </c>
      <c r="X78" s="7"/>
      <c r="Y78" s="7"/>
      <c r="Z78" s="7"/>
      <c r="AA78" s="7"/>
      <c r="AB78" s="7"/>
      <c r="AC78" s="72" t="str">
        <f t="shared" si="11"/>
        <v>A</v>
      </c>
      <c r="AD78" s="7"/>
      <c r="AE78" s="7"/>
      <c r="AF78" s="7"/>
      <c r="AG78" s="7"/>
      <c r="AH78" s="7"/>
      <c r="AI78" s="72" t="str">
        <f t="shared" si="12"/>
        <v>A</v>
      </c>
      <c r="AJ78" s="7"/>
      <c r="AK78" s="7"/>
      <c r="AL78" s="7"/>
      <c r="AM78" s="7"/>
      <c r="AN78" s="7"/>
      <c r="AO78" s="72" t="str">
        <f t="shared" si="13"/>
        <v>A</v>
      </c>
      <c r="AP78" s="7"/>
      <c r="AQ78" s="7"/>
      <c r="AR78" s="7"/>
      <c r="AS78" s="7"/>
      <c r="AT78" s="7"/>
      <c r="AU78" s="72" t="str">
        <f t="shared" si="14"/>
        <v>A</v>
      </c>
      <c r="AV78" s="7"/>
      <c r="AW78" s="7"/>
      <c r="AX78" s="62">
        <v>2</v>
      </c>
      <c r="AY78" s="62">
        <v>2</v>
      </c>
      <c r="AZ78" s="62">
        <v>2</v>
      </c>
      <c r="BA78" s="72">
        <f t="shared" si="15"/>
        <v>2</v>
      </c>
    </row>
    <row r="79" spans="1:53" ht="23.1" customHeight="1" x14ac:dyDescent="0.3">
      <c r="A79" s="62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62"/>
      <c r="G79" s="62"/>
      <c r="H79" s="62"/>
      <c r="I79" s="62"/>
      <c r="J79" s="62"/>
      <c r="K79" s="72" t="str">
        <f t="shared" si="8"/>
        <v>A</v>
      </c>
      <c r="L79" s="62">
        <v>2</v>
      </c>
      <c r="M79" s="62"/>
      <c r="N79" s="62">
        <v>2</v>
      </c>
      <c r="O79" s="62">
        <v>2</v>
      </c>
      <c r="P79" s="62"/>
      <c r="Q79" s="72">
        <f t="shared" si="9"/>
        <v>2</v>
      </c>
      <c r="R79" s="62"/>
      <c r="S79" s="62"/>
      <c r="T79" s="62"/>
      <c r="U79" s="62"/>
      <c r="V79" s="62"/>
      <c r="W79" s="72" t="str">
        <f t="shared" si="10"/>
        <v>A</v>
      </c>
      <c r="X79" s="62"/>
      <c r="Y79" s="62"/>
      <c r="Z79" s="62"/>
      <c r="AA79" s="62"/>
      <c r="AB79" s="62"/>
      <c r="AC79" s="72" t="str">
        <f t="shared" si="11"/>
        <v>A</v>
      </c>
      <c r="AD79" s="62"/>
      <c r="AE79" s="62"/>
      <c r="AF79" s="62"/>
      <c r="AG79" s="62"/>
      <c r="AH79" s="62"/>
      <c r="AI79" s="72" t="str">
        <f t="shared" si="12"/>
        <v>A</v>
      </c>
      <c r="AJ79" s="62"/>
      <c r="AK79" s="62"/>
      <c r="AL79" s="62"/>
      <c r="AM79" s="62"/>
      <c r="AN79" s="62"/>
      <c r="AO79" s="72" t="str">
        <f t="shared" si="13"/>
        <v>A</v>
      </c>
      <c r="AP79" s="62"/>
      <c r="AQ79" s="62"/>
      <c r="AR79" s="62"/>
      <c r="AS79" s="62"/>
      <c r="AT79" s="62"/>
      <c r="AU79" s="72" t="str">
        <f t="shared" si="14"/>
        <v>A</v>
      </c>
      <c r="AV79" s="62"/>
      <c r="AW79" s="62"/>
      <c r="AX79" s="62">
        <v>2</v>
      </c>
      <c r="AY79" s="62">
        <v>2</v>
      </c>
      <c r="AZ79" s="62">
        <v>2</v>
      </c>
      <c r="BA79" s="72">
        <f t="shared" si="15"/>
        <v>2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7"/>
      <c r="I80" s="7"/>
      <c r="J80" s="7"/>
      <c r="K80" s="72" t="str">
        <f t="shared" si="8"/>
        <v>A</v>
      </c>
      <c r="L80" s="62">
        <v>3</v>
      </c>
      <c r="M80" s="62"/>
      <c r="N80" s="62">
        <v>2</v>
      </c>
      <c r="O80" s="62">
        <v>3</v>
      </c>
      <c r="P80" s="62"/>
      <c r="Q80" s="72">
        <f t="shared" si="9"/>
        <v>2.6666666666666665</v>
      </c>
      <c r="R80" s="7"/>
      <c r="S80" s="7"/>
      <c r="T80" s="7"/>
      <c r="U80" s="7"/>
      <c r="V80" s="7"/>
      <c r="W80" s="72" t="str">
        <f t="shared" si="10"/>
        <v>A</v>
      </c>
      <c r="X80" s="7"/>
      <c r="Y80" s="7"/>
      <c r="Z80" s="7"/>
      <c r="AA80" s="7"/>
      <c r="AB80" s="7"/>
      <c r="AC80" s="72" t="str">
        <f t="shared" si="11"/>
        <v>A</v>
      </c>
      <c r="AD80" s="7"/>
      <c r="AE80" s="7"/>
      <c r="AF80" s="7"/>
      <c r="AG80" s="7"/>
      <c r="AH80" s="7"/>
      <c r="AI80" s="72" t="str">
        <f t="shared" si="12"/>
        <v>A</v>
      </c>
      <c r="AJ80" s="7"/>
      <c r="AK80" s="7"/>
      <c r="AL80" s="7"/>
      <c r="AM80" s="7"/>
      <c r="AN80" s="7"/>
      <c r="AO80" s="72" t="str">
        <f t="shared" si="13"/>
        <v>A</v>
      </c>
      <c r="AP80" s="7"/>
      <c r="AQ80" s="7"/>
      <c r="AR80" s="7"/>
      <c r="AS80" s="7"/>
      <c r="AT80" s="7"/>
      <c r="AU80" s="72" t="str">
        <f t="shared" si="14"/>
        <v>A</v>
      </c>
      <c r="AV80" s="7"/>
      <c r="AW80" s="7"/>
      <c r="AX80" s="62">
        <v>5</v>
      </c>
      <c r="AY80" s="62">
        <v>2</v>
      </c>
      <c r="AZ80" s="62">
        <v>3</v>
      </c>
      <c r="BA80" s="72">
        <f t="shared" si="15"/>
        <v>3.3333333333333335</v>
      </c>
    </row>
    <row r="81" spans="1:53" ht="23.1" customHeight="1" x14ac:dyDescent="0.3">
      <c r="A81" s="62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62"/>
      <c r="G81" s="62"/>
      <c r="H81" s="62"/>
      <c r="I81" s="62"/>
      <c r="J81" s="62"/>
      <c r="K81" s="72" t="str">
        <f t="shared" si="8"/>
        <v>A</v>
      </c>
      <c r="L81" s="62">
        <v>0</v>
      </c>
      <c r="M81" s="62"/>
      <c r="N81" s="62">
        <v>0</v>
      </c>
      <c r="O81" s="62">
        <v>0</v>
      </c>
      <c r="P81" s="62"/>
      <c r="Q81" s="72">
        <f t="shared" si="9"/>
        <v>0</v>
      </c>
      <c r="R81" s="62"/>
      <c r="S81" s="62"/>
      <c r="T81" s="62"/>
      <c r="U81" s="62"/>
      <c r="V81" s="62"/>
      <c r="W81" s="72" t="str">
        <f t="shared" si="10"/>
        <v>A</v>
      </c>
      <c r="X81" s="62"/>
      <c r="Y81" s="62"/>
      <c r="Z81" s="62"/>
      <c r="AA81" s="62"/>
      <c r="AB81" s="62"/>
      <c r="AC81" s="72" t="str">
        <f t="shared" si="11"/>
        <v>A</v>
      </c>
      <c r="AD81" s="62"/>
      <c r="AE81" s="62"/>
      <c r="AF81" s="62"/>
      <c r="AG81" s="62"/>
      <c r="AH81" s="62"/>
      <c r="AI81" s="72" t="str">
        <f t="shared" si="12"/>
        <v>A</v>
      </c>
      <c r="AJ81" s="62"/>
      <c r="AK81" s="62"/>
      <c r="AL81" s="62"/>
      <c r="AM81" s="62"/>
      <c r="AN81" s="62"/>
      <c r="AO81" s="72" t="str">
        <f t="shared" si="13"/>
        <v>A</v>
      </c>
      <c r="AP81" s="62"/>
      <c r="AQ81" s="62"/>
      <c r="AR81" s="62"/>
      <c r="AS81" s="62"/>
      <c r="AT81" s="62"/>
      <c r="AU81" s="72" t="str">
        <f t="shared" si="14"/>
        <v>A</v>
      </c>
      <c r="AV81" s="62"/>
      <c r="AW81" s="62"/>
      <c r="AX81" s="62">
        <v>0</v>
      </c>
      <c r="AY81" s="62">
        <v>0</v>
      </c>
      <c r="AZ81" s="62">
        <v>0</v>
      </c>
      <c r="BA81" s="72">
        <f t="shared" si="15"/>
        <v>0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7"/>
      <c r="I82" s="7"/>
      <c r="J82" s="7"/>
      <c r="K82" s="72" t="str">
        <f t="shared" si="8"/>
        <v>A</v>
      </c>
      <c r="L82" s="62">
        <v>2</v>
      </c>
      <c r="M82" s="62"/>
      <c r="N82" s="62">
        <v>2</v>
      </c>
      <c r="O82" s="62">
        <v>2</v>
      </c>
      <c r="P82" s="62"/>
      <c r="Q82" s="72">
        <f t="shared" si="9"/>
        <v>2</v>
      </c>
      <c r="R82" s="7"/>
      <c r="S82" s="7"/>
      <c r="T82" s="7"/>
      <c r="U82" s="7"/>
      <c r="V82" s="7"/>
      <c r="W82" s="72" t="str">
        <f t="shared" si="10"/>
        <v>A</v>
      </c>
      <c r="X82" s="7"/>
      <c r="Y82" s="7"/>
      <c r="Z82" s="7"/>
      <c r="AA82" s="7"/>
      <c r="AB82" s="7"/>
      <c r="AC82" s="72" t="str">
        <f t="shared" si="11"/>
        <v>A</v>
      </c>
      <c r="AD82" s="7"/>
      <c r="AE82" s="7"/>
      <c r="AF82" s="7"/>
      <c r="AG82" s="7"/>
      <c r="AH82" s="7"/>
      <c r="AI82" s="72" t="str">
        <f t="shared" si="12"/>
        <v>A</v>
      </c>
      <c r="AJ82" s="7"/>
      <c r="AK82" s="7"/>
      <c r="AL82" s="7"/>
      <c r="AM82" s="7"/>
      <c r="AN82" s="7"/>
      <c r="AO82" s="72" t="str">
        <f t="shared" si="13"/>
        <v>A</v>
      </c>
      <c r="AP82" s="7"/>
      <c r="AQ82" s="7"/>
      <c r="AR82" s="7"/>
      <c r="AS82" s="7"/>
      <c r="AT82" s="7"/>
      <c r="AU82" s="72" t="str">
        <f t="shared" si="14"/>
        <v>A</v>
      </c>
      <c r="AV82" s="7"/>
      <c r="AW82" s="7"/>
      <c r="AX82" s="62">
        <v>5</v>
      </c>
      <c r="AY82" s="62">
        <v>2</v>
      </c>
      <c r="AZ82" s="62">
        <v>2</v>
      </c>
      <c r="BA82" s="72">
        <f t="shared" si="15"/>
        <v>3</v>
      </c>
    </row>
    <row r="83" spans="1:53" ht="23.1" customHeight="1" x14ac:dyDescent="0.3">
      <c r="A83" s="62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62"/>
      <c r="G83" s="62"/>
      <c r="H83" s="62"/>
      <c r="I83" s="62"/>
      <c r="J83" s="62"/>
      <c r="K83" s="72" t="str">
        <f t="shared" si="8"/>
        <v>A</v>
      </c>
      <c r="L83" s="62">
        <v>4</v>
      </c>
      <c r="M83" s="62"/>
      <c r="N83" s="62">
        <v>4</v>
      </c>
      <c r="O83" s="62">
        <v>4</v>
      </c>
      <c r="P83" s="62"/>
      <c r="Q83" s="72">
        <f t="shared" si="9"/>
        <v>4</v>
      </c>
      <c r="R83" s="62"/>
      <c r="S83" s="62"/>
      <c r="T83" s="62"/>
      <c r="U83" s="62"/>
      <c r="V83" s="62"/>
      <c r="W83" s="72" t="str">
        <f t="shared" si="10"/>
        <v>A</v>
      </c>
      <c r="X83" s="62"/>
      <c r="Y83" s="62"/>
      <c r="Z83" s="62"/>
      <c r="AA83" s="62"/>
      <c r="AB83" s="62"/>
      <c r="AC83" s="72" t="str">
        <f t="shared" si="11"/>
        <v>A</v>
      </c>
      <c r="AD83" s="62"/>
      <c r="AE83" s="62"/>
      <c r="AF83" s="62"/>
      <c r="AG83" s="62"/>
      <c r="AH83" s="62"/>
      <c r="AI83" s="72" t="str">
        <f t="shared" si="12"/>
        <v>A</v>
      </c>
      <c r="AJ83" s="62"/>
      <c r="AK83" s="62"/>
      <c r="AL83" s="62"/>
      <c r="AM83" s="62"/>
      <c r="AN83" s="62"/>
      <c r="AO83" s="72" t="str">
        <f t="shared" si="13"/>
        <v>A</v>
      </c>
      <c r="AP83" s="62"/>
      <c r="AQ83" s="62"/>
      <c r="AR83" s="62"/>
      <c r="AS83" s="62"/>
      <c r="AT83" s="62"/>
      <c r="AU83" s="72" t="str">
        <f t="shared" si="14"/>
        <v>A</v>
      </c>
      <c r="AV83" s="62"/>
      <c r="AW83" s="62"/>
      <c r="AX83" s="62">
        <v>5</v>
      </c>
      <c r="AY83" s="62">
        <v>2</v>
      </c>
      <c r="AZ83" s="62">
        <v>4</v>
      </c>
      <c r="BA83" s="72">
        <f t="shared" si="15"/>
        <v>3.6666666666666665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7"/>
      <c r="I84" s="7"/>
      <c r="J84" s="7"/>
      <c r="K84" s="72" t="str">
        <f t="shared" si="8"/>
        <v>A</v>
      </c>
      <c r="L84" s="62">
        <v>4</v>
      </c>
      <c r="M84" s="62"/>
      <c r="N84" s="62">
        <v>4</v>
      </c>
      <c r="O84" s="62">
        <v>4</v>
      </c>
      <c r="P84" s="62"/>
      <c r="Q84" s="72">
        <f t="shared" si="9"/>
        <v>4</v>
      </c>
      <c r="R84" s="7"/>
      <c r="S84" s="7"/>
      <c r="T84" s="7"/>
      <c r="U84" s="7"/>
      <c r="V84" s="7"/>
      <c r="W84" s="72" t="str">
        <f t="shared" si="10"/>
        <v>A</v>
      </c>
      <c r="X84" s="7"/>
      <c r="Y84" s="7"/>
      <c r="Z84" s="7"/>
      <c r="AA84" s="7"/>
      <c r="AB84" s="7"/>
      <c r="AC84" s="72" t="str">
        <f t="shared" si="11"/>
        <v>A</v>
      </c>
      <c r="AD84" s="7"/>
      <c r="AE84" s="7"/>
      <c r="AF84" s="7"/>
      <c r="AG84" s="7"/>
      <c r="AH84" s="7"/>
      <c r="AI84" s="72" t="str">
        <f t="shared" si="12"/>
        <v>A</v>
      </c>
      <c r="AJ84" s="7"/>
      <c r="AK84" s="7"/>
      <c r="AL84" s="7"/>
      <c r="AM84" s="7"/>
      <c r="AN84" s="7"/>
      <c r="AO84" s="72" t="str">
        <f t="shared" si="13"/>
        <v>A</v>
      </c>
      <c r="AP84" s="7"/>
      <c r="AQ84" s="7"/>
      <c r="AR84" s="7"/>
      <c r="AS84" s="7"/>
      <c r="AT84" s="7"/>
      <c r="AU84" s="72" t="str">
        <f t="shared" si="14"/>
        <v>A</v>
      </c>
      <c r="AV84" s="7"/>
      <c r="AW84" s="7"/>
      <c r="AX84" s="62">
        <v>5</v>
      </c>
      <c r="AY84" s="62">
        <v>0</v>
      </c>
      <c r="AZ84" s="62">
        <v>4</v>
      </c>
      <c r="BA84" s="72">
        <f t="shared" si="15"/>
        <v>3</v>
      </c>
    </row>
    <row r="85" spans="1:53" ht="23.1" customHeight="1" x14ac:dyDescent="0.3">
      <c r="A85" s="62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62"/>
      <c r="G85" s="62"/>
      <c r="H85" s="62"/>
      <c r="I85" s="62"/>
      <c r="J85" s="62"/>
      <c r="K85" s="72" t="str">
        <f t="shared" si="8"/>
        <v>A</v>
      </c>
      <c r="L85" s="62">
        <v>0</v>
      </c>
      <c r="M85" s="62"/>
      <c r="N85" s="62">
        <v>0</v>
      </c>
      <c r="O85" s="62">
        <v>0</v>
      </c>
      <c r="P85" s="62"/>
      <c r="Q85" s="72">
        <f t="shared" si="9"/>
        <v>0</v>
      </c>
      <c r="R85" s="62"/>
      <c r="S85" s="62"/>
      <c r="T85" s="62"/>
      <c r="U85" s="62"/>
      <c r="V85" s="62"/>
      <c r="W85" s="72" t="str">
        <f t="shared" si="10"/>
        <v>A</v>
      </c>
      <c r="X85" s="62"/>
      <c r="Y85" s="62"/>
      <c r="Z85" s="62"/>
      <c r="AA85" s="62"/>
      <c r="AB85" s="62"/>
      <c r="AC85" s="72" t="str">
        <f t="shared" si="11"/>
        <v>A</v>
      </c>
      <c r="AD85" s="62"/>
      <c r="AE85" s="62"/>
      <c r="AF85" s="62"/>
      <c r="AG85" s="62"/>
      <c r="AH85" s="62"/>
      <c r="AI85" s="72" t="str">
        <f t="shared" si="12"/>
        <v>A</v>
      </c>
      <c r="AJ85" s="62"/>
      <c r="AK85" s="62"/>
      <c r="AL85" s="62"/>
      <c r="AM85" s="62"/>
      <c r="AN85" s="62"/>
      <c r="AO85" s="72" t="str">
        <f t="shared" si="13"/>
        <v>A</v>
      </c>
      <c r="AP85" s="62"/>
      <c r="AQ85" s="62"/>
      <c r="AR85" s="62"/>
      <c r="AS85" s="62"/>
      <c r="AT85" s="62"/>
      <c r="AU85" s="72" t="str">
        <f t="shared" si="14"/>
        <v>A</v>
      </c>
      <c r="AV85" s="62"/>
      <c r="AW85" s="62"/>
      <c r="AX85" s="62">
        <v>0</v>
      </c>
      <c r="AY85" s="62">
        <v>0</v>
      </c>
      <c r="AZ85" s="62">
        <v>0</v>
      </c>
      <c r="BA85" s="72">
        <f t="shared" si="15"/>
        <v>0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7"/>
      <c r="I86" s="7"/>
      <c r="J86" s="7"/>
      <c r="K86" s="72" t="str">
        <f t="shared" si="8"/>
        <v>A</v>
      </c>
      <c r="L86" s="62">
        <v>4</v>
      </c>
      <c r="M86" s="62"/>
      <c r="N86" s="62">
        <v>3</v>
      </c>
      <c r="O86" s="62">
        <v>3</v>
      </c>
      <c r="P86" s="62"/>
      <c r="Q86" s="72">
        <f t="shared" si="9"/>
        <v>3.3333333333333335</v>
      </c>
      <c r="R86" s="7"/>
      <c r="S86" s="7"/>
      <c r="T86" s="7"/>
      <c r="U86" s="7"/>
      <c r="V86" s="7"/>
      <c r="W86" s="72" t="str">
        <f t="shared" si="10"/>
        <v>A</v>
      </c>
      <c r="X86" s="7"/>
      <c r="Y86" s="7"/>
      <c r="Z86" s="7"/>
      <c r="AA86" s="7"/>
      <c r="AB86" s="7"/>
      <c r="AC86" s="72" t="str">
        <f t="shared" si="11"/>
        <v>A</v>
      </c>
      <c r="AD86" s="7"/>
      <c r="AE86" s="7"/>
      <c r="AF86" s="7"/>
      <c r="AG86" s="7"/>
      <c r="AH86" s="7"/>
      <c r="AI86" s="72" t="str">
        <f t="shared" si="12"/>
        <v>A</v>
      </c>
      <c r="AJ86" s="7"/>
      <c r="AK86" s="7"/>
      <c r="AL86" s="7"/>
      <c r="AM86" s="7"/>
      <c r="AN86" s="7"/>
      <c r="AO86" s="72" t="str">
        <f t="shared" si="13"/>
        <v>A</v>
      </c>
      <c r="AP86" s="7"/>
      <c r="AQ86" s="7"/>
      <c r="AR86" s="7"/>
      <c r="AS86" s="7"/>
      <c r="AT86" s="7"/>
      <c r="AU86" s="72" t="str">
        <f t="shared" si="14"/>
        <v>A</v>
      </c>
      <c r="AV86" s="7"/>
      <c r="AW86" s="7"/>
      <c r="AX86" s="62">
        <v>5</v>
      </c>
      <c r="AY86" s="62">
        <v>2</v>
      </c>
      <c r="AZ86" s="62">
        <v>3</v>
      </c>
      <c r="BA86" s="72">
        <f t="shared" si="15"/>
        <v>3.3333333333333335</v>
      </c>
    </row>
    <row r="87" spans="1:53" ht="23.1" customHeight="1" x14ac:dyDescent="0.3">
      <c r="A87" s="62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62"/>
      <c r="G87" s="62"/>
      <c r="H87" s="62"/>
      <c r="I87" s="62"/>
      <c r="J87" s="62"/>
      <c r="K87" s="72" t="str">
        <f t="shared" si="8"/>
        <v>A</v>
      </c>
      <c r="L87" s="62">
        <v>0</v>
      </c>
      <c r="M87" s="62"/>
      <c r="N87" s="62">
        <v>0</v>
      </c>
      <c r="O87" s="62">
        <v>0</v>
      </c>
      <c r="P87" s="62"/>
      <c r="Q87" s="72">
        <f t="shared" si="9"/>
        <v>0</v>
      </c>
      <c r="R87" s="62"/>
      <c r="S87" s="62"/>
      <c r="T87" s="62"/>
      <c r="U87" s="62"/>
      <c r="V87" s="62"/>
      <c r="W87" s="72" t="str">
        <f t="shared" si="10"/>
        <v>A</v>
      </c>
      <c r="X87" s="62"/>
      <c r="Y87" s="62"/>
      <c r="Z87" s="62"/>
      <c r="AA87" s="62"/>
      <c r="AB87" s="62"/>
      <c r="AC87" s="72" t="str">
        <f t="shared" si="11"/>
        <v>A</v>
      </c>
      <c r="AD87" s="62"/>
      <c r="AE87" s="62"/>
      <c r="AF87" s="62"/>
      <c r="AG87" s="62"/>
      <c r="AH87" s="62"/>
      <c r="AI87" s="72" t="str">
        <f t="shared" si="12"/>
        <v>A</v>
      </c>
      <c r="AJ87" s="62"/>
      <c r="AK87" s="62"/>
      <c r="AL87" s="62"/>
      <c r="AM87" s="62"/>
      <c r="AN87" s="62"/>
      <c r="AO87" s="72" t="str">
        <f t="shared" si="13"/>
        <v>A</v>
      </c>
      <c r="AP87" s="62"/>
      <c r="AQ87" s="62"/>
      <c r="AR87" s="62"/>
      <c r="AS87" s="62"/>
      <c r="AT87" s="62"/>
      <c r="AU87" s="72" t="str">
        <f t="shared" si="14"/>
        <v>A</v>
      </c>
      <c r="AV87" s="62"/>
      <c r="AW87" s="62"/>
      <c r="AX87" s="62">
        <v>0</v>
      </c>
      <c r="AY87" s="62">
        <v>0</v>
      </c>
      <c r="AZ87" s="62">
        <v>0</v>
      </c>
      <c r="BA87" s="72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7"/>
      <c r="I88" s="7"/>
      <c r="J88" s="7"/>
      <c r="K88" s="72" t="str">
        <f t="shared" si="8"/>
        <v>A</v>
      </c>
      <c r="L88" s="62">
        <v>0</v>
      </c>
      <c r="M88" s="62"/>
      <c r="N88" s="62">
        <v>0</v>
      </c>
      <c r="O88" s="62">
        <v>0</v>
      </c>
      <c r="P88" s="62"/>
      <c r="Q88" s="72">
        <f t="shared" si="9"/>
        <v>0</v>
      </c>
      <c r="R88" s="7"/>
      <c r="S88" s="7"/>
      <c r="T88" s="7"/>
      <c r="U88" s="7"/>
      <c r="V88" s="7"/>
      <c r="W88" s="72" t="str">
        <f t="shared" si="10"/>
        <v>A</v>
      </c>
      <c r="X88" s="7"/>
      <c r="Y88" s="7"/>
      <c r="Z88" s="7"/>
      <c r="AA88" s="7"/>
      <c r="AB88" s="7"/>
      <c r="AC88" s="72" t="str">
        <f t="shared" si="11"/>
        <v>A</v>
      </c>
      <c r="AD88" s="7"/>
      <c r="AE88" s="7"/>
      <c r="AF88" s="7"/>
      <c r="AG88" s="7"/>
      <c r="AH88" s="7"/>
      <c r="AI88" s="72" t="str">
        <f t="shared" si="12"/>
        <v>A</v>
      </c>
      <c r="AJ88" s="7"/>
      <c r="AK88" s="7"/>
      <c r="AL88" s="7"/>
      <c r="AM88" s="7"/>
      <c r="AN88" s="7"/>
      <c r="AO88" s="72" t="str">
        <f t="shared" si="13"/>
        <v>A</v>
      </c>
      <c r="AP88" s="7"/>
      <c r="AQ88" s="7"/>
      <c r="AR88" s="7"/>
      <c r="AS88" s="7"/>
      <c r="AT88" s="7"/>
      <c r="AU88" s="72" t="str">
        <f t="shared" si="14"/>
        <v>A</v>
      </c>
      <c r="AV88" s="7"/>
      <c r="AW88" s="7"/>
      <c r="AX88" s="62">
        <v>0</v>
      </c>
      <c r="AY88" s="62">
        <v>0</v>
      </c>
      <c r="AZ88" s="62">
        <v>0</v>
      </c>
      <c r="BA88" s="72">
        <f t="shared" si="15"/>
        <v>0</v>
      </c>
    </row>
    <row r="89" spans="1:53" ht="23.1" customHeight="1" x14ac:dyDescent="0.3">
      <c r="A89" s="62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62"/>
      <c r="G89" s="62"/>
      <c r="H89" s="62"/>
      <c r="I89" s="62"/>
      <c r="J89" s="62"/>
      <c r="K89" s="72" t="str">
        <f t="shared" si="8"/>
        <v>A</v>
      </c>
      <c r="L89" s="62">
        <v>5</v>
      </c>
      <c r="M89" s="62"/>
      <c r="N89" s="62">
        <v>4</v>
      </c>
      <c r="O89" s="62">
        <v>4</v>
      </c>
      <c r="P89" s="62"/>
      <c r="Q89" s="72">
        <f t="shared" si="9"/>
        <v>4.333333333333333</v>
      </c>
      <c r="R89" s="62"/>
      <c r="S89" s="62"/>
      <c r="T89" s="62"/>
      <c r="U89" s="62"/>
      <c r="V89" s="62"/>
      <c r="W89" s="72" t="str">
        <f t="shared" si="10"/>
        <v>A</v>
      </c>
      <c r="X89" s="62"/>
      <c r="Y89" s="62"/>
      <c r="Z89" s="62"/>
      <c r="AA89" s="62"/>
      <c r="AB89" s="62"/>
      <c r="AC89" s="72" t="str">
        <f t="shared" si="11"/>
        <v>A</v>
      </c>
      <c r="AD89" s="62"/>
      <c r="AE89" s="62"/>
      <c r="AF89" s="62"/>
      <c r="AG89" s="62"/>
      <c r="AH89" s="62"/>
      <c r="AI89" s="72" t="str">
        <f t="shared" si="12"/>
        <v>A</v>
      </c>
      <c r="AJ89" s="62"/>
      <c r="AK89" s="62"/>
      <c r="AL89" s="62"/>
      <c r="AM89" s="62"/>
      <c r="AN89" s="62"/>
      <c r="AO89" s="72" t="str">
        <f t="shared" si="13"/>
        <v>A</v>
      </c>
      <c r="AP89" s="62"/>
      <c r="AQ89" s="62"/>
      <c r="AR89" s="62"/>
      <c r="AS89" s="62"/>
      <c r="AT89" s="62"/>
      <c r="AU89" s="72" t="str">
        <f t="shared" si="14"/>
        <v>A</v>
      </c>
      <c r="AV89" s="62"/>
      <c r="AW89" s="62"/>
      <c r="AX89" s="62">
        <v>5</v>
      </c>
      <c r="AY89" s="62">
        <v>2</v>
      </c>
      <c r="AZ89" s="62">
        <v>5</v>
      </c>
      <c r="BA89" s="72">
        <f t="shared" si="15"/>
        <v>4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7"/>
      <c r="I90" s="7"/>
      <c r="J90" s="7"/>
      <c r="K90" s="72" t="str">
        <f t="shared" si="8"/>
        <v>A</v>
      </c>
      <c r="L90" s="62">
        <v>0</v>
      </c>
      <c r="M90" s="62"/>
      <c r="N90" s="62">
        <v>0</v>
      </c>
      <c r="O90" s="62">
        <v>0</v>
      </c>
      <c r="P90" s="62"/>
      <c r="Q90" s="72">
        <f t="shared" si="9"/>
        <v>0</v>
      </c>
      <c r="R90" s="7"/>
      <c r="S90" s="7"/>
      <c r="T90" s="7"/>
      <c r="U90" s="7"/>
      <c r="V90" s="7"/>
      <c r="W90" s="72" t="str">
        <f t="shared" si="10"/>
        <v>A</v>
      </c>
      <c r="X90" s="7"/>
      <c r="Y90" s="7"/>
      <c r="Z90" s="7"/>
      <c r="AA90" s="7"/>
      <c r="AB90" s="7"/>
      <c r="AC90" s="72" t="str">
        <f t="shared" si="11"/>
        <v>A</v>
      </c>
      <c r="AD90" s="7"/>
      <c r="AE90" s="7"/>
      <c r="AF90" s="7"/>
      <c r="AG90" s="7"/>
      <c r="AH90" s="7"/>
      <c r="AI90" s="72" t="str">
        <f t="shared" si="12"/>
        <v>A</v>
      </c>
      <c r="AJ90" s="7"/>
      <c r="AK90" s="7"/>
      <c r="AL90" s="7"/>
      <c r="AM90" s="7"/>
      <c r="AN90" s="7"/>
      <c r="AO90" s="72" t="str">
        <f t="shared" si="13"/>
        <v>A</v>
      </c>
      <c r="AP90" s="7"/>
      <c r="AQ90" s="7"/>
      <c r="AR90" s="7"/>
      <c r="AS90" s="7"/>
      <c r="AT90" s="7"/>
      <c r="AU90" s="72" t="str">
        <f t="shared" si="14"/>
        <v>A</v>
      </c>
      <c r="AV90" s="7"/>
      <c r="AW90" s="7"/>
      <c r="AX90" s="62">
        <v>0</v>
      </c>
      <c r="AY90" s="62">
        <v>0</v>
      </c>
      <c r="AZ90" s="62">
        <v>0</v>
      </c>
      <c r="BA90" s="72">
        <f t="shared" si="15"/>
        <v>0</v>
      </c>
    </row>
    <row r="91" spans="1:53" ht="23.1" customHeight="1" x14ac:dyDescent="0.3">
      <c r="A91" s="62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62"/>
      <c r="G91" s="62"/>
      <c r="H91" s="62"/>
      <c r="I91" s="62"/>
      <c r="J91" s="62"/>
      <c r="K91" s="72" t="str">
        <f t="shared" si="8"/>
        <v>A</v>
      </c>
      <c r="L91" s="62">
        <v>2</v>
      </c>
      <c r="M91" s="62"/>
      <c r="N91" s="62">
        <v>2</v>
      </c>
      <c r="O91" s="62">
        <v>2</v>
      </c>
      <c r="P91" s="62"/>
      <c r="Q91" s="72">
        <f t="shared" si="9"/>
        <v>2</v>
      </c>
      <c r="R91" s="62"/>
      <c r="S91" s="62"/>
      <c r="T91" s="62"/>
      <c r="U91" s="62"/>
      <c r="V91" s="62"/>
      <c r="W91" s="72" t="str">
        <f t="shared" si="10"/>
        <v>A</v>
      </c>
      <c r="X91" s="62"/>
      <c r="Y91" s="62"/>
      <c r="Z91" s="62"/>
      <c r="AA91" s="62"/>
      <c r="AB91" s="62"/>
      <c r="AC91" s="72" t="str">
        <f t="shared" si="11"/>
        <v>A</v>
      </c>
      <c r="AD91" s="62"/>
      <c r="AE91" s="62"/>
      <c r="AF91" s="62"/>
      <c r="AG91" s="62"/>
      <c r="AH91" s="62"/>
      <c r="AI91" s="72" t="str">
        <f t="shared" si="12"/>
        <v>A</v>
      </c>
      <c r="AJ91" s="62"/>
      <c r="AK91" s="62"/>
      <c r="AL91" s="62"/>
      <c r="AM91" s="62"/>
      <c r="AN91" s="62"/>
      <c r="AO91" s="72" t="str">
        <f t="shared" si="13"/>
        <v>A</v>
      </c>
      <c r="AP91" s="62"/>
      <c r="AQ91" s="62"/>
      <c r="AR91" s="62"/>
      <c r="AS91" s="62"/>
      <c r="AT91" s="62"/>
      <c r="AU91" s="72" t="str">
        <f t="shared" si="14"/>
        <v>A</v>
      </c>
      <c r="AV91" s="62"/>
      <c r="AW91" s="62"/>
      <c r="AX91" s="62">
        <v>2</v>
      </c>
      <c r="AY91" s="62">
        <v>0</v>
      </c>
      <c r="AZ91" s="62">
        <v>2</v>
      </c>
      <c r="BA91" s="72">
        <f t="shared" si="15"/>
        <v>1.3333333333333333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7"/>
      <c r="I92" s="7"/>
      <c r="J92" s="7"/>
      <c r="K92" s="72" t="str">
        <f t="shared" si="8"/>
        <v>A</v>
      </c>
      <c r="L92" s="62">
        <v>0</v>
      </c>
      <c r="M92" s="62"/>
      <c r="N92" s="62">
        <v>0</v>
      </c>
      <c r="O92" s="62">
        <v>0</v>
      </c>
      <c r="P92" s="62"/>
      <c r="Q92" s="72">
        <f t="shared" si="9"/>
        <v>0</v>
      </c>
      <c r="R92" s="7"/>
      <c r="S92" s="7"/>
      <c r="T92" s="7"/>
      <c r="U92" s="7"/>
      <c r="V92" s="7"/>
      <c r="W92" s="72" t="str">
        <f t="shared" si="10"/>
        <v>A</v>
      </c>
      <c r="X92" s="7"/>
      <c r="Y92" s="7"/>
      <c r="Z92" s="7"/>
      <c r="AA92" s="7"/>
      <c r="AB92" s="7"/>
      <c r="AC92" s="72" t="str">
        <f t="shared" si="11"/>
        <v>A</v>
      </c>
      <c r="AD92" s="7"/>
      <c r="AE92" s="7"/>
      <c r="AF92" s="7"/>
      <c r="AG92" s="7"/>
      <c r="AH92" s="7"/>
      <c r="AI92" s="72" t="str">
        <f t="shared" si="12"/>
        <v>A</v>
      </c>
      <c r="AJ92" s="7"/>
      <c r="AK92" s="7"/>
      <c r="AL92" s="7"/>
      <c r="AM92" s="7"/>
      <c r="AN92" s="7"/>
      <c r="AO92" s="72" t="str">
        <f t="shared" si="13"/>
        <v>A</v>
      </c>
      <c r="AP92" s="7"/>
      <c r="AQ92" s="7"/>
      <c r="AR92" s="7"/>
      <c r="AS92" s="7"/>
      <c r="AT92" s="7"/>
      <c r="AU92" s="72" t="str">
        <f t="shared" si="14"/>
        <v>A</v>
      </c>
      <c r="AV92" s="7"/>
      <c r="AW92" s="7"/>
      <c r="AX92" s="62">
        <v>0</v>
      </c>
      <c r="AY92" s="62">
        <v>0</v>
      </c>
      <c r="AZ92" s="62">
        <v>0</v>
      </c>
      <c r="BA92" s="72">
        <f t="shared" si="15"/>
        <v>0</v>
      </c>
    </row>
    <row r="93" spans="1:53" ht="23.1" customHeight="1" x14ac:dyDescent="0.3">
      <c r="A93" s="62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62"/>
      <c r="G93" s="62"/>
      <c r="H93" s="62"/>
      <c r="I93" s="62"/>
      <c r="J93" s="62"/>
      <c r="K93" s="72" t="str">
        <f t="shared" si="8"/>
        <v>A</v>
      </c>
      <c r="L93" s="62">
        <v>0</v>
      </c>
      <c r="M93" s="62"/>
      <c r="N93" s="62">
        <v>0</v>
      </c>
      <c r="O93" s="62">
        <v>0</v>
      </c>
      <c r="P93" s="62"/>
      <c r="Q93" s="72">
        <f t="shared" si="9"/>
        <v>0</v>
      </c>
      <c r="R93" s="62"/>
      <c r="S93" s="62"/>
      <c r="T93" s="62"/>
      <c r="U93" s="62"/>
      <c r="V93" s="62"/>
      <c r="W93" s="72" t="str">
        <f t="shared" si="10"/>
        <v>A</v>
      </c>
      <c r="X93" s="62"/>
      <c r="Y93" s="62"/>
      <c r="Z93" s="62"/>
      <c r="AA93" s="62"/>
      <c r="AB93" s="62"/>
      <c r="AC93" s="72" t="str">
        <f t="shared" si="11"/>
        <v>A</v>
      </c>
      <c r="AD93" s="62"/>
      <c r="AE93" s="62"/>
      <c r="AF93" s="62"/>
      <c r="AG93" s="62"/>
      <c r="AH93" s="62"/>
      <c r="AI93" s="72" t="str">
        <f t="shared" si="12"/>
        <v>A</v>
      </c>
      <c r="AJ93" s="62"/>
      <c r="AK93" s="62"/>
      <c r="AL93" s="62"/>
      <c r="AM93" s="62"/>
      <c r="AN93" s="62"/>
      <c r="AO93" s="72" t="str">
        <f t="shared" si="13"/>
        <v>A</v>
      </c>
      <c r="AP93" s="62"/>
      <c r="AQ93" s="62"/>
      <c r="AR93" s="62"/>
      <c r="AS93" s="62"/>
      <c r="AT93" s="62"/>
      <c r="AU93" s="72" t="str">
        <f t="shared" si="14"/>
        <v>A</v>
      </c>
      <c r="AV93" s="62"/>
      <c r="AW93" s="62"/>
      <c r="AX93" s="62">
        <v>0</v>
      </c>
      <c r="AY93" s="62">
        <v>0</v>
      </c>
      <c r="AZ93" s="62">
        <v>0</v>
      </c>
      <c r="BA93" s="72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7"/>
      <c r="I94" s="7"/>
      <c r="J94" s="7"/>
      <c r="K94" s="72" t="str">
        <f t="shared" si="8"/>
        <v>A</v>
      </c>
      <c r="L94" s="62">
        <v>4</v>
      </c>
      <c r="M94" s="62"/>
      <c r="N94" s="62">
        <v>4</v>
      </c>
      <c r="O94" s="62">
        <v>4</v>
      </c>
      <c r="P94" s="62"/>
      <c r="Q94" s="72">
        <f t="shared" si="9"/>
        <v>4</v>
      </c>
      <c r="R94" s="7"/>
      <c r="S94" s="7"/>
      <c r="T94" s="7"/>
      <c r="U94" s="7"/>
      <c r="V94" s="7"/>
      <c r="W94" s="72" t="str">
        <f t="shared" si="10"/>
        <v>A</v>
      </c>
      <c r="X94" s="7"/>
      <c r="Y94" s="7"/>
      <c r="Z94" s="7"/>
      <c r="AA94" s="7"/>
      <c r="AB94" s="7"/>
      <c r="AC94" s="72" t="str">
        <f t="shared" si="11"/>
        <v>A</v>
      </c>
      <c r="AD94" s="7"/>
      <c r="AE94" s="7"/>
      <c r="AF94" s="7"/>
      <c r="AG94" s="7"/>
      <c r="AH94" s="7"/>
      <c r="AI94" s="72" t="str">
        <f t="shared" si="12"/>
        <v>A</v>
      </c>
      <c r="AJ94" s="7"/>
      <c r="AK94" s="7"/>
      <c r="AL94" s="7"/>
      <c r="AM94" s="7"/>
      <c r="AN94" s="7"/>
      <c r="AO94" s="72" t="str">
        <f t="shared" si="13"/>
        <v>A</v>
      </c>
      <c r="AP94" s="7"/>
      <c r="AQ94" s="7"/>
      <c r="AR94" s="7"/>
      <c r="AS94" s="7"/>
      <c r="AT94" s="7"/>
      <c r="AU94" s="72" t="str">
        <f t="shared" si="14"/>
        <v>A</v>
      </c>
      <c r="AV94" s="7"/>
      <c r="AW94" s="7"/>
      <c r="AX94" s="62">
        <v>5</v>
      </c>
      <c r="AY94" s="62">
        <v>0</v>
      </c>
      <c r="AZ94" s="62">
        <v>5</v>
      </c>
      <c r="BA94" s="72">
        <f t="shared" si="15"/>
        <v>3.3333333333333335</v>
      </c>
    </row>
    <row r="95" spans="1:53" ht="23.1" customHeight="1" x14ac:dyDescent="0.3">
      <c r="A95" s="62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62"/>
      <c r="G95" s="62"/>
      <c r="H95" s="62"/>
      <c r="I95" s="62"/>
      <c r="J95" s="62"/>
      <c r="K95" s="72" t="str">
        <f t="shared" si="8"/>
        <v>A</v>
      </c>
      <c r="L95" s="62">
        <v>1</v>
      </c>
      <c r="M95" s="62"/>
      <c r="N95" s="62">
        <v>1</v>
      </c>
      <c r="O95" s="62">
        <v>1</v>
      </c>
      <c r="P95" s="62"/>
      <c r="Q95" s="72">
        <f t="shared" si="9"/>
        <v>1</v>
      </c>
      <c r="R95" s="62"/>
      <c r="S95" s="62"/>
      <c r="T95" s="62"/>
      <c r="U95" s="62"/>
      <c r="V95" s="62"/>
      <c r="W95" s="72" t="str">
        <f t="shared" si="10"/>
        <v>A</v>
      </c>
      <c r="X95" s="62"/>
      <c r="Y95" s="62"/>
      <c r="Z95" s="62"/>
      <c r="AA95" s="62"/>
      <c r="AB95" s="62"/>
      <c r="AC95" s="72" t="str">
        <f t="shared" si="11"/>
        <v>A</v>
      </c>
      <c r="AD95" s="62"/>
      <c r="AE95" s="62"/>
      <c r="AF95" s="62"/>
      <c r="AG95" s="62"/>
      <c r="AH95" s="62"/>
      <c r="AI95" s="72" t="str">
        <f t="shared" si="12"/>
        <v>A</v>
      </c>
      <c r="AJ95" s="62"/>
      <c r="AK95" s="62"/>
      <c r="AL95" s="62"/>
      <c r="AM95" s="62"/>
      <c r="AN95" s="62"/>
      <c r="AO95" s="72" t="str">
        <f t="shared" si="13"/>
        <v>A</v>
      </c>
      <c r="AP95" s="62"/>
      <c r="AQ95" s="62"/>
      <c r="AR95" s="62"/>
      <c r="AS95" s="62"/>
      <c r="AT95" s="62"/>
      <c r="AU95" s="72" t="str">
        <f t="shared" si="14"/>
        <v>A</v>
      </c>
      <c r="AV95" s="62"/>
      <c r="AW95" s="62"/>
      <c r="AX95" s="62">
        <v>5</v>
      </c>
      <c r="AY95" s="62">
        <v>2</v>
      </c>
      <c r="AZ95" s="62">
        <v>1</v>
      </c>
      <c r="BA95" s="72">
        <f t="shared" si="15"/>
        <v>2.6666666666666665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7"/>
      <c r="I96" s="7"/>
      <c r="J96" s="7"/>
      <c r="K96" s="72" t="str">
        <f t="shared" si="8"/>
        <v>A</v>
      </c>
      <c r="L96" s="62">
        <v>3</v>
      </c>
      <c r="M96" s="62"/>
      <c r="N96" s="62">
        <v>2</v>
      </c>
      <c r="O96" s="62">
        <v>3</v>
      </c>
      <c r="P96" s="62"/>
      <c r="Q96" s="72">
        <f t="shared" si="9"/>
        <v>2.6666666666666665</v>
      </c>
      <c r="R96" s="7"/>
      <c r="S96" s="7"/>
      <c r="T96" s="7"/>
      <c r="U96" s="7"/>
      <c r="V96" s="7"/>
      <c r="W96" s="72" t="str">
        <f t="shared" si="10"/>
        <v>A</v>
      </c>
      <c r="X96" s="7"/>
      <c r="Y96" s="7"/>
      <c r="Z96" s="7"/>
      <c r="AA96" s="7"/>
      <c r="AB96" s="7"/>
      <c r="AC96" s="72" t="str">
        <f t="shared" si="11"/>
        <v>A</v>
      </c>
      <c r="AD96" s="7"/>
      <c r="AE96" s="7"/>
      <c r="AF96" s="7"/>
      <c r="AG96" s="7"/>
      <c r="AH96" s="7"/>
      <c r="AI96" s="72" t="str">
        <f t="shared" si="12"/>
        <v>A</v>
      </c>
      <c r="AJ96" s="7"/>
      <c r="AK96" s="7"/>
      <c r="AL96" s="7"/>
      <c r="AM96" s="7"/>
      <c r="AN96" s="7"/>
      <c r="AO96" s="72" t="str">
        <f t="shared" si="13"/>
        <v>A</v>
      </c>
      <c r="AP96" s="7"/>
      <c r="AQ96" s="7"/>
      <c r="AR96" s="7"/>
      <c r="AS96" s="7"/>
      <c r="AT96" s="7"/>
      <c r="AU96" s="72" t="str">
        <f t="shared" si="14"/>
        <v>A</v>
      </c>
      <c r="AV96" s="7"/>
      <c r="AW96" s="7"/>
      <c r="AX96" s="62">
        <v>5</v>
      </c>
      <c r="AY96" s="62">
        <v>0</v>
      </c>
      <c r="AZ96" s="62">
        <v>3</v>
      </c>
      <c r="BA96" s="72">
        <f t="shared" si="15"/>
        <v>2.6666666666666665</v>
      </c>
    </row>
    <row r="97" spans="1:53" ht="23.1" customHeight="1" x14ac:dyDescent="0.3">
      <c r="A97" s="62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62"/>
      <c r="G97" s="62"/>
      <c r="H97" s="62"/>
      <c r="I97" s="62"/>
      <c r="J97" s="62"/>
      <c r="K97" s="72" t="str">
        <f t="shared" si="8"/>
        <v>A</v>
      </c>
      <c r="L97" s="62">
        <v>0</v>
      </c>
      <c r="M97" s="62"/>
      <c r="N97" s="62">
        <v>0</v>
      </c>
      <c r="O97" s="62">
        <v>0</v>
      </c>
      <c r="P97" s="62"/>
      <c r="Q97" s="72">
        <f t="shared" si="9"/>
        <v>0</v>
      </c>
      <c r="R97" s="62"/>
      <c r="S97" s="62"/>
      <c r="T97" s="62"/>
      <c r="U97" s="62"/>
      <c r="V97" s="62"/>
      <c r="W97" s="72" t="str">
        <f t="shared" si="10"/>
        <v>A</v>
      </c>
      <c r="X97" s="62"/>
      <c r="Y97" s="62"/>
      <c r="Z97" s="62"/>
      <c r="AA97" s="62"/>
      <c r="AB97" s="62"/>
      <c r="AC97" s="72" t="str">
        <f t="shared" si="11"/>
        <v>A</v>
      </c>
      <c r="AD97" s="62"/>
      <c r="AE97" s="62"/>
      <c r="AF97" s="62"/>
      <c r="AG97" s="62"/>
      <c r="AH97" s="62"/>
      <c r="AI97" s="72" t="str">
        <f t="shared" si="12"/>
        <v>A</v>
      </c>
      <c r="AJ97" s="62"/>
      <c r="AK97" s="62"/>
      <c r="AL97" s="62"/>
      <c r="AM97" s="62"/>
      <c r="AN97" s="62"/>
      <c r="AO97" s="72" t="str">
        <f t="shared" si="13"/>
        <v>A</v>
      </c>
      <c r="AP97" s="62"/>
      <c r="AQ97" s="62"/>
      <c r="AR97" s="62"/>
      <c r="AS97" s="62"/>
      <c r="AT97" s="62"/>
      <c r="AU97" s="72" t="str">
        <f t="shared" si="14"/>
        <v>A</v>
      </c>
      <c r="AV97" s="62"/>
      <c r="AW97" s="62"/>
      <c r="AX97" s="62">
        <v>0</v>
      </c>
      <c r="AY97" s="62">
        <v>0</v>
      </c>
      <c r="AZ97" s="62">
        <v>0</v>
      </c>
      <c r="BA97" s="72">
        <f t="shared" si="15"/>
        <v>0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7"/>
      <c r="I98" s="7"/>
      <c r="J98" s="7"/>
      <c r="K98" s="72" t="str">
        <f t="shared" si="8"/>
        <v>A</v>
      </c>
      <c r="L98" s="62">
        <v>2</v>
      </c>
      <c r="M98" s="62"/>
      <c r="N98" s="62">
        <v>2</v>
      </c>
      <c r="O98" s="62">
        <v>2</v>
      </c>
      <c r="P98" s="62"/>
      <c r="Q98" s="72">
        <f t="shared" si="9"/>
        <v>2</v>
      </c>
      <c r="R98" s="7"/>
      <c r="S98" s="7"/>
      <c r="T98" s="7"/>
      <c r="U98" s="7"/>
      <c r="V98" s="7"/>
      <c r="W98" s="72" t="str">
        <f t="shared" si="10"/>
        <v>A</v>
      </c>
      <c r="X98" s="7"/>
      <c r="Y98" s="7"/>
      <c r="Z98" s="7"/>
      <c r="AA98" s="7"/>
      <c r="AB98" s="7"/>
      <c r="AC98" s="72" t="str">
        <f t="shared" si="11"/>
        <v>A</v>
      </c>
      <c r="AD98" s="7"/>
      <c r="AE98" s="7"/>
      <c r="AF98" s="7"/>
      <c r="AG98" s="7"/>
      <c r="AH98" s="7"/>
      <c r="AI98" s="72" t="str">
        <f t="shared" si="12"/>
        <v>A</v>
      </c>
      <c r="AJ98" s="7"/>
      <c r="AK98" s="7"/>
      <c r="AL98" s="7"/>
      <c r="AM98" s="7"/>
      <c r="AN98" s="7"/>
      <c r="AO98" s="72" t="str">
        <f t="shared" si="13"/>
        <v>A</v>
      </c>
      <c r="AP98" s="7"/>
      <c r="AQ98" s="7"/>
      <c r="AR98" s="7"/>
      <c r="AS98" s="7"/>
      <c r="AT98" s="7"/>
      <c r="AU98" s="72" t="str">
        <f t="shared" si="14"/>
        <v>A</v>
      </c>
      <c r="AV98" s="7"/>
      <c r="AW98" s="7"/>
      <c r="AX98" s="62">
        <v>2</v>
      </c>
      <c r="AY98" s="62">
        <v>2</v>
      </c>
      <c r="AZ98" s="62">
        <v>2</v>
      </c>
      <c r="BA98" s="72">
        <f t="shared" si="15"/>
        <v>2</v>
      </c>
    </row>
    <row r="99" spans="1:53" ht="23.1" customHeight="1" x14ac:dyDescent="0.3">
      <c r="A99" s="62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62"/>
      <c r="G99" s="62"/>
      <c r="H99" s="62"/>
      <c r="I99" s="62"/>
      <c r="J99" s="62"/>
      <c r="K99" s="72" t="str">
        <f t="shared" si="8"/>
        <v>A</v>
      </c>
      <c r="L99" s="62">
        <v>0</v>
      </c>
      <c r="M99" s="62"/>
      <c r="N99" s="62">
        <v>0</v>
      </c>
      <c r="O99" s="62">
        <v>0</v>
      </c>
      <c r="P99" s="62"/>
      <c r="Q99" s="72">
        <f t="shared" si="9"/>
        <v>0</v>
      </c>
      <c r="R99" s="62"/>
      <c r="S99" s="62"/>
      <c r="T99" s="62"/>
      <c r="U99" s="62"/>
      <c r="V99" s="62"/>
      <c r="W99" s="72" t="str">
        <f t="shared" si="10"/>
        <v>A</v>
      </c>
      <c r="X99" s="62"/>
      <c r="Y99" s="62"/>
      <c r="Z99" s="62"/>
      <c r="AA99" s="62"/>
      <c r="AB99" s="62"/>
      <c r="AC99" s="72" t="str">
        <f t="shared" si="11"/>
        <v>A</v>
      </c>
      <c r="AD99" s="62"/>
      <c r="AE99" s="62"/>
      <c r="AF99" s="62"/>
      <c r="AG99" s="62"/>
      <c r="AH99" s="62"/>
      <c r="AI99" s="72" t="str">
        <f t="shared" si="12"/>
        <v>A</v>
      </c>
      <c r="AJ99" s="62"/>
      <c r="AK99" s="62"/>
      <c r="AL99" s="62"/>
      <c r="AM99" s="62"/>
      <c r="AN99" s="62"/>
      <c r="AO99" s="72" t="str">
        <f t="shared" si="13"/>
        <v>A</v>
      </c>
      <c r="AP99" s="62"/>
      <c r="AQ99" s="62"/>
      <c r="AR99" s="62"/>
      <c r="AS99" s="62"/>
      <c r="AT99" s="62"/>
      <c r="AU99" s="72" t="str">
        <f t="shared" si="14"/>
        <v>A</v>
      </c>
      <c r="AV99" s="62"/>
      <c r="AW99" s="62"/>
      <c r="AX99" s="62">
        <v>0</v>
      </c>
      <c r="AY99" s="62">
        <v>0</v>
      </c>
      <c r="AZ99" s="62">
        <v>0</v>
      </c>
      <c r="BA99" s="72">
        <f t="shared" si="15"/>
        <v>0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7"/>
      <c r="I100" s="7"/>
      <c r="J100" s="7"/>
      <c r="K100" s="72" t="str">
        <f t="shared" si="8"/>
        <v>A</v>
      </c>
      <c r="L100" s="62">
        <v>2</v>
      </c>
      <c r="M100" s="62"/>
      <c r="N100" s="62">
        <v>2</v>
      </c>
      <c r="O100" s="62">
        <v>2</v>
      </c>
      <c r="P100" s="62"/>
      <c r="Q100" s="72">
        <f t="shared" si="9"/>
        <v>2</v>
      </c>
      <c r="R100" s="7"/>
      <c r="S100" s="7"/>
      <c r="T100" s="7"/>
      <c r="U100" s="7"/>
      <c r="V100" s="7"/>
      <c r="W100" s="72" t="str">
        <f t="shared" si="10"/>
        <v>A</v>
      </c>
      <c r="X100" s="7"/>
      <c r="Y100" s="7"/>
      <c r="Z100" s="7"/>
      <c r="AA100" s="7"/>
      <c r="AB100" s="7"/>
      <c r="AC100" s="72" t="str">
        <f t="shared" si="11"/>
        <v>A</v>
      </c>
      <c r="AD100" s="7"/>
      <c r="AE100" s="7"/>
      <c r="AF100" s="7"/>
      <c r="AG100" s="7"/>
      <c r="AH100" s="7"/>
      <c r="AI100" s="72" t="str">
        <f t="shared" si="12"/>
        <v>A</v>
      </c>
      <c r="AJ100" s="7"/>
      <c r="AK100" s="7"/>
      <c r="AL100" s="7"/>
      <c r="AM100" s="7"/>
      <c r="AN100" s="7"/>
      <c r="AO100" s="72" t="str">
        <f t="shared" si="13"/>
        <v>A</v>
      </c>
      <c r="AP100" s="7"/>
      <c r="AQ100" s="7"/>
      <c r="AR100" s="7"/>
      <c r="AS100" s="7"/>
      <c r="AT100" s="7"/>
      <c r="AU100" s="72" t="str">
        <f t="shared" si="14"/>
        <v>A</v>
      </c>
      <c r="AV100" s="7"/>
      <c r="AW100" s="7"/>
      <c r="AX100" s="62">
        <v>2</v>
      </c>
      <c r="AY100" s="62">
        <v>2</v>
      </c>
      <c r="AZ100" s="62">
        <v>2</v>
      </c>
      <c r="BA100" s="72">
        <f t="shared" si="15"/>
        <v>2</v>
      </c>
    </row>
    <row r="101" spans="1:53" ht="23.1" customHeight="1" x14ac:dyDescent="0.3">
      <c r="A101" s="62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62"/>
      <c r="G101" s="62"/>
      <c r="H101" s="62"/>
      <c r="I101" s="62"/>
      <c r="J101" s="62"/>
      <c r="K101" s="72" t="str">
        <f t="shared" si="8"/>
        <v>A</v>
      </c>
      <c r="L101" s="62">
        <v>3</v>
      </c>
      <c r="M101" s="62"/>
      <c r="N101" s="62">
        <v>3</v>
      </c>
      <c r="O101" s="62">
        <v>4</v>
      </c>
      <c r="P101" s="62"/>
      <c r="Q101" s="72">
        <f t="shared" si="9"/>
        <v>3.3333333333333335</v>
      </c>
      <c r="R101" s="62"/>
      <c r="S101" s="62"/>
      <c r="T101" s="62"/>
      <c r="U101" s="62"/>
      <c r="V101" s="62"/>
      <c r="W101" s="72" t="str">
        <f t="shared" si="10"/>
        <v>A</v>
      </c>
      <c r="X101" s="62"/>
      <c r="Y101" s="62"/>
      <c r="Z101" s="62"/>
      <c r="AA101" s="62"/>
      <c r="AB101" s="62"/>
      <c r="AC101" s="72" t="str">
        <f t="shared" si="11"/>
        <v>A</v>
      </c>
      <c r="AD101" s="62"/>
      <c r="AE101" s="62"/>
      <c r="AF101" s="62"/>
      <c r="AG101" s="62"/>
      <c r="AH101" s="62"/>
      <c r="AI101" s="72" t="str">
        <f t="shared" si="12"/>
        <v>A</v>
      </c>
      <c r="AJ101" s="62"/>
      <c r="AK101" s="62"/>
      <c r="AL101" s="62"/>
      <c r="AM101" s="62"/>
      <c r="AN101" s="62"/>
      <c r="AO101" s="72" t="str">
        <f t="shared" si="13"/>
        <v>A</v>
      </c>
      <c r="AP101" s="62"/>
      <c r="AQ101" s="62"/>
      <c r="AR101" s="62"/>
      <c r="AS101" s="62"/>
      <c r="AT101" s="62"/>
      <c r="AU101" s="72" t="str">
        <f t="shared" si="14"/>
        <v>A</v>
      </c>
      <c r="AV101" s="62"/>
      <c r="AW101" s="62"/>
      <c r="AX101" s="62">
        <v>5</v>
      </c>
      <c r="AY101" s="62">
        <v>0</v>
      </c>
      <c r="AZ101" s="62">
        <v>4</v>
      </c>
      <c r="BA101" s="72">
        <f t="shared" si="15"/>
        <v>3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7"/>
      <c r="I102" s="7"/>
      <c r="J102" s="7"/>
      <c r="K102" s="72" t="str">
        <f t="shared" si="8"/>
        <v>A</v>
      </c>
      <c r="L102" s="62">
        <v>1</v>
      </c>
      <c r="M102" s="62"/>
      <c r="N102" s="62">
        <v>1</v>
      </c>
      <c r="O102" s="62">
        <v>1</v>
      </c>
      <c r="P102" s="62"/>
      <c r="Q102" s="72">
        <f t="shared" si="9"/>
        <v>1</v>
      </c>
      <c r="R102" s="7"/>
      <c r="S102" s="7"/>
      <c r="T102" s="7"/>
      <c r="U102" s="7"/>
      <c r="V102" s="7"/>
      <c r="W102" s="72" t="str">
        <f t="shared" si="10"/>
        <v>A</v>
      </c>
      <c r="X102" s="7"/>
      <c r="Y102" s="7"/>
      <c r="Z102" s="7"/>
      <c r="AA102" s="7"/>
      <c r="AB102" s="7"/>
      <c r="AC102" s="72" t="str">
        <f t="shared" si="11"/>
        <v>A</v>
      </c>
      <c r="AD102" s="7"/>
      <c r="AE102" s="7"/>
      <c r="AF102" s="7"/>
      <c r="AG102" s="7"/>
      <c r="AH102" s="7"/>
      <c r="AI102" s="72" t="str">
        <f t="shared" si="12"/>
        <v>A</v>
      </c>
      <c r="AJ102" s="7"/>
      <c r="AK102" s="7"/>
      <c r="AL102" s="7"/>
      <c r="AM102" s="7"/>
      <c r="AN102" s="7"/>
      <c r="AO102" s="72" t="str">
        <f t="shared" si="13"/>
        <v>A</v>
      </c>
      <c r="AP102" s="7"/>
      <c r="AQ102" s="7"/>
      <c r="AR102" s="7"/>
      <c r="AS102" s="7"/>
      <c r="AT102" s="7"/>
      <c r="AU102" s="72" t="str">
        <f t="shared" si="14"/>
        <v>A</v>
      </c>
      <c r="AV102" s="7"/>
      <c r="AW102" s="7"/>
      <c r="AX102" s="62">
        <v>5</v>
      </c>
      <c r="AY102" s="62">
        <v>0</v>
      </c>
      <c r="AZ102" s="62">
        <v>1</v>
      </c>
      <c r="BA102" s="72">
        <f t="shared" si="15"/>
        <v>2</v>
      </c>
    </row>
    <row r="103" spans="1:53" ht="23.1" customHeight="1" x14ac:dyDescent="0.3">
      <c r="A103" s="62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62"/>
      <c r="G103" s="62"/>
      <c r="H103" s="62"/>
      <c r="I103" s="62"/>
      <c r="J103" s="62"/>
      <c r="K103" s="72" t="str">
        <f t="shared" si="8"/>
        <v>A</v>
      </c>
      <c r="L103" s="62">
        <v>4</v>
      </c>
      <c r="M103" s="62"/>
      <c r="N103" s="62">
        <v>4</v>
      </c>
      <c r="O103" s="62">
        <v>4</v>
      </c>
      <c r="P103" s="62"/>
      <c r="Q103" s="72">
        <f t="shared" si="9"/>
        <v>4</v>
      </c>
      <c r="R103" s="62"/>
      <c r="S103" s="62"/>
      <c r="T103" s="62"/>
      <c r="U103" s="62"/>
      <c r="V103" s="62"/>
      <c r="W103" s="72" t="str">
        <f t="shared" si="10"/>
        <v>A</v>
      </c>
      <c r="X103" s="62"/>
      <c r="Y103" s="62"/>
      <c r="Z103" s="62"/>
      <c r="AA103" s="62"/>
      <c r="AB103" s="62"/>
      <c r="AC103" s="72" t="str">
        <f t="shared" si="11"/>
        <v>A</v>
      </c>
      <c r="AD103" s="62"/>
      <c r="AE103" s="62"/>
      <c r="AF103" s="62"/>
      <c r="AG103" s="62"/>
      <c r="AH103" s="62"/>
      <c r="AI103" s="72" t="str">
        <f t="shared" si="12"/>
        <v>A</v>
      </c>
      <c r="AJ103" s="62"/>
      <c r="AK103" s="62"/>
      <c r="AL103" s="62"/>
      <c r="AM103" s="62"/>
      <c r="AN103" s="62"/>
      <c r="AO103" s="72" t="str">
        <f t="shared" si="13"/>
        <v>A</v>
      </c>
      <c r="AP103" s="62"/>
      <c r="AQ103" s="62"/>
      <c r="AR103" s="62"/>
      <c r="AS103" s="62"/>
      <c r="AT103" s="62"/>
      <c r="AU103" s="72" t="str">
        <f t="shared" si="14"/>
        <v>A</v>
      </c>
      <c r="AV103" s="62"/>
      <c r="AW103" s="62"/>
      <c r="AX103" s="62">
        <v>5</v>
      </c>
      <c r="AY103" s="62">
        <v>2</v>
      </c>
      <c r="AZ103" s="62">
        <v>5</v>
      </c>
      <c r="BA103" s="72">
        <f t="shared" si="15"/>
        <v>4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7"/>
      <c r="I104" s="7"/>
      <c r="J104" s="7"/>
      <c r="K104" s="72" t="str">
        <f t="shared" si="8"/>
        <v>A</v>
      </c>
      <c r="L104" s="62">
        <v>2</v>
      </c>
      <c r="M104" s="62"/>
      <c r="N104" s="62">
        <v>2</v>
      </c>
      <c r="O104" s="62">
        <v>2</v>
      </c>
      <c r="P104" s="62"/>
      <c r="Q104" s="72">
        <f t="shared" si="9"/>
        <v>2</v>
      </c>
      <c r="R104" s="7"/>
      <c r="S104" s="7"/>
      <c r="T104" s="7"/>
      <c r="U104" s="7"/>
      <c r="V104" s="7"/>
      <c r="W104" s="72" t="str">
        <f t="shared" si="10"/>
        <v>A</v>
      </c>
      <c r="X104" s="7"/>
      <c r="Y104" s="7"/>
      <c r="Z104" s="7"/>
      <c r="AA104" s="7"/>
      <c r="AB104" s="7"/>
      <c r="AC104" s="72" t="str">
        <f t="shared" si="11"/>
        <v>A</v>
      </c>
      <c r="AD104" s="7"/>
      <c r="AE104" s="7"/>
      <c r="AF104" s="7"/>
      <c r="AG104" s="7"/>
      <c r="AH104" s="7"/>
      <c r="AI104" s="72" t="str">
        <f t="shared" si="12"/>
        <v>A</v>
      </c>
      <c r="AJ104" s="7"/>
      <c r="AK104" s="7"/>
      <c r="AL104" s="7"/>
      <c r="AM104" s="7"/>
      <c r="AN104" s="7"/>
      <c r="AO104" s="72" t="str">
        <f t="shared" si="13"/>
        <v>A</v>
      </c>
      <c r="AP104" s="7"/>
      <c r="AQ104" s="7"/>
      <c r="AR104" s="7"/>
      <c r="AS104" s="7"/>
      <c r="AT104" s="7"/>
      <c r="AU104" s="72" t="str">
        <f t="shared" si="14"/>
        <v>A</v>
      </c>
      <c r="AV104" s="7"/>
      <c r="AW104" s="7"/>
      <c r="AX104" s="62">
        <v>2</v>
      </c>
      <c r="AY104" s="62">
        <v>2</v>
      </c>
      <c r="AZ104" s="62">
        <v>2</v>
      </c>
      <c r="BA104" s="72">
        <f t="shared" si="15"/>
        <v>2</v>
      </c>
    </row>
    <row r="105" spans="1:53" ht="23.1" customHeight="1" x14ac:dyDescent="0.3">
      <c r="A105" s="62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62"/>
      <c r="G105" s="62"/>
      <c r="H105" s="62"/>
      <c r="I105" s="62"/>
      <c r="J105" s="62"/>
      <c r="K105" s="72" t="str">
        <f t="shared" si="8"/>
        <v>A</v>
      </c>
      <c r="L105" s="62">
        <v>0</v>
      </c>
      <c r="M105" s="62"/>
      <c r="N105" s="62">
        <v>0</v>
      </c>
      <c r="O105" s="62">
        <v>0</v>
      </c>
      <c r="P105" s="62"/>
      <c r="Q105" s="72">
        <f t="shared" si="9"/>
        <v>0</v>
      </c>
      <c r="R105" s="62"/>
      <c r="S105" s="62"/>
      <c r="T105" s="62"/>
      <c r="U105" s="62"/>
      <c r="V105" s="62"/>
      <c r="W105" s="72" t="str">
        <f t="shared" si="10"/>
        <v>A</v>
      </c>
      <c r="X105" s="62"/>
      <c r="Y105" s="62"/>
      <c r="Z105" s="62"/>
      <c r="AA105" s="62"/>
      <c r="AB105" s="62"/>
      <c r="AC105" s="72" t="str">
        <f t="shared" si="11"/>
        <v>A</v>
      </c>
      <c r="AD105" s="62"/>
      <c r="AE105" s="62"/>
      <c r="AF105" s="62"/>
      <c r="AG105" s="62"/>
      <c r="AH105" s="62"/>
      <c r="AI105" s="72" t="str">
        <f t="shared" si="12"/>
        <v>A</v>
      </c>
      <c r="AJ105" s="62"/>
      <c r="AK105" s="62"/>
      <c r="AL105" s="62"/>
      <c r="AM105" s="62"/>
      <c r="AN105" s="62"/>
      <c r="AO105" s="72" t="str">
        <f t="shared" si="13"/>
        <v>A</v>
      </c>
      <c r="AP105" s="62"/>
      <c r="AQ105" s="62"/>
      <c r="AR105" s="62"/>
      <c r="AS105" s="62"/>
      <c r="AT105" s="62"/>
      <c r="AU105" s="72" t="str">
        <f t="shared" si="14"/>
        <v>A</v>
      </c>
      <c r="AV105" s="62"/>
      <c r="AW105" s="62"/>
      <c r="AX105" s="62">
        <v>0</v>
      </c>
      <c r="AY105" s="62">
        <v>0</v>
      </c>
      <c r="AZ105" s="62">
        <v>0</v>
      </c>
      <c r="BA105" s="72">
        <f t="shared" si="15"/>
        <v>0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7"/>
      <c r="I106" s="7"/>
      <c r="J106" s="7"/>
      <c r="K106" s="72" t="str">
        <f t="shared" si="8"/>
        <v>A</v>
      </c>
      <c r="L106" s="62">
        <v>0</v>
      </c>
      <c r="M106" s="62"/>
      <c r="N106" s="62">
        <v>0</v>
      </c>
      <c r="O106" s="62">
        <v>0</v>
      </c>
      <c r="P106" s="62"/>
      <c r="Q106" s="72">
        <f t="shared" si="9"/>
        <v>0</v>
      </c>
      <c r="R106" s="7"/>
      <c r="S106" s="7"/>
      <c r="T106" s="7"/>
      <c r="U106" s="7"/>
      <c r="V106" s="7"/>
      <c r="W106" s="72" t="str">
        <f t="shared" si="10"/>
        <v>A</v>
      </c>
      <c r="X106" s="7"/>
      <c r="Y106" s="7"/>
      <c r="Z106" s="7"/>
      <c r="AA106" s="7"/>
      <c r="AB106" s="7"/>
      <c r="AC106" s="72" t="str">
        <f t="shared" si="11"/>
        <v>A</v>
      </c>
      <c r="AD106" s="7"/>
      <c r="AE106" s="7"/>
      <c r="AF106" s="7"/>
      <c r="AG106" s="7"/>
      <c r="AH106" s="7"/>
      <c r="AI106" s="72" t="str">
        <f t="shared" si="12"/>
        <v>A</v>
      </c>
      <c r="AJ106" s="7"/>
      <c r="AK106" s="7"/>
      <c r="AL106" s="7"/>
      <c r="AM106" s="7"/>
      <c r="AN106" s="7"/>
      <c r="AO106" s="72" t="str">
        <f t="shared" si="13"/>
        <v>A</v>
      </c>
      <c r="AP106" s="7"/>
      <c r="AQ106" s="7"/>
      <c r="AR106" s="7"/>
      <c r="AS106" s="7"/>
      <c r="AT106" s="7"/>
      <c r="AU106" s="72" t="str">
        <f t="shared" si="14"/>
        <v>A</v>
      </c>
      <c r="AV106" s="7"/>
      <c r="AW106" s="7"/>
      <c r="AX106" s="62">
        <v>0</v>
      </c>
      <c r="AY106" s="62">
        <v>0</v>
      </c>
      <c r="AZ106" s="62">
        <v>0</v>
      </c>
      <c r="BA106" s="72">
        <f t="shared" si="15"/>
        <v>0</v>
      </c>
    </row>
    <row r="107" spans="1:53" ht="23.1" customHeight="1" x14ac:dyDescent="0.3">
      <c r="A107" s="62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62"/>
      <c r="G107" s="62"/>
      <c r="H107" s="62"/>
      <c r="I107" s="62"/>
      <c r="J107" s="62"/>
      <c r="K107" s="72" t="str">
        <f t="shared" si="8"/>
        <v>A</v>
      </c>
      <c r="L107" s="62">
        <v>4</v>
      </c>
      <c r="M107" s="62"/>
      <c r="N107" s="62">
        <v>4</v>
      </c>
      <c r="O107" s="62">
        <v>4</v>
      </c>
      <c r="P107" s="62"/>
      <c r="Q107" s="72">
        <f t="shared" si="9"/>
        <v>4</v>
      </c>
      <c r="R107" s="62"/>
      <c r="S107" s="62"/>
      <c r="T107" s="62"/>
      <c r="U107" s="62"/>
      <c r="V107" s="62"/>
      <c r="W107" s="72" t="str">
        <f t="shared" si="10"/>
        <v>A</v>
      </c>
      <c r="X107" s="62"/>
      <c r="Y107" s="62"/>
      <c r="Z107" s="62"/>
      <c r="AA107" s="62"/>
      <c r="AB107" s="62"/>
      <c r="AC107" s="72" t="str">
        <f t="shared" si="11"/>
        <v>A</v>
      </c>
      <c r="AD107" s="62"/>
      <c r="AE107" s="62"/>
      <c r="AF107" s="62"/>
      <c r="AG107" s="62"/>
      <c r="AH107" s="62"/>
      <c r="AI107" s="72" t="str">
        <f t="shared" si="12"/>
        <v>A</v>
      </c>
      <c r="AJ107" s="62"/>
      <c r="AK107" s="62"/>
      <c r="AL107" s="62"/>
      <c r="AM107" s="62"/>
      <c r="AN107" s="62"/>
      <c r="AO107" s="72" t="str">
        <f t="shared" si="13"/>
        <v>A</v>
      </c>
      <c r="AP107" s="62"/>
      <c r="AQ107" s="62"/>
      <c r="AR107" s="62"/>
      <c r="AS107" s="62"/>
      <c r="AT107" s="62"/>
      <c r="AU107" s="72" t="str">
        <f t="shared" si="14"/>
        <v>A</v>
      </c>
      <c r="AV107" s="62"/>
      <c r="AW107" s="62"/>
      <c r="AX107" s="62">
        <v>5</v>
      </c>
      <c r="AY107" s="62">
        <v>0</v>
      </c>
      <c r="AZ107" s="62">
        <v>4</v>
      </c>
      <c r="BA107" s="72">
        <f t="shared" si="15"/>
        <v>3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7"/>
      <c r="I108" s="7"/>
      <c r="J108" s="7"/>
      <c r="K108" s="72" t="str">
        <f t="shared" si="8"/>
        <v>A</v>
      </c>
      <c r="L108" s="62">
        <v>2</v>
      </c>
      <c r="M108" s="62"/>
      <c r="N108" s="62">
        <v>2</v>
      </c>
      <c r="O108" s="62">
        <v>2</v>
      </c>
      <c r="P108" s="62"/>
      <c r="Q108" s="72">
        <f t="shared" si="9"/>
        <v>2</v>
      </c>
      <c r="R108" s="7"/>
      <c r="S108" s="7"/>
      <c r="T108" s="7"/>
      <c r="U108" s="7"/>
      <c r="V108" s="7"/>
      <c r="W108" s="72" t="str">
        <f t="shared" si="10"/>
        <v>A</v>
      </c>
      <c r="X108" s="7"/>
      <c r="Y108" s="7"/>
      <c r="Z108" s="7"/>
      <c r="AA108" s="7"/>
      <c r="AB108" s="7"/>
      <c r="AC108" s="72" t="str">
        <f t="shared" si="11"/>
        <v>A</v>
      </c>
      <c r="AD108" s="7"/>
      <c r="AE108" s="7"/>
      <c r="AF108" s="7"/>
      <c r="AG108" s="7"/>
      <c r="AH108" s="7"/>
      <c r="AI108" s="72" t="str">
        <f t="shared" si="12"/>
        <v>A</v>
      </c>
      <c r="AJ108" s="7"/>
      <c r="AK108" s="7"/>
      <c r="AL108" s="7"/>
      <c r="AM108" s="7"/>
      <c r="AN108" s="7"/>
      <c r="AO108" s="72" t="str">
        <f t="shared" si="13"/>
        <v>A</v>
      </c>
      <c r="AP108" s="7"/>
      <c r="AQ108" s="7"/>
      <c r="AR108" s="7"/>
      <c r="AS108" s="7"/>
      <c r="AT108" s="7"/>
      <c r="AU108" s="72" t="str">
        <f t="shared" si="14"/>
        <v>A</v>
      </c>
      <c r="AV108" s="7"/>
      <c r="AW108" s="7"/>
      <c r="AX108" s="62">
        <v>2</v>
      </c>
      <c r="AY108" s="62">
        <v>2</v>
      </c>
      <c r="AZ108" s="62">
        <v>2</v>
      </c>
      <c r="BA108" s="72">
        <f t="shared" si="15"/>
        <v>2</v>
      </c>
    </row>
    <row r="109" spans="1:53" ht="23.1" customHeight="1" x14ac:dyDescent="0.3">
      <c r="A109" s="62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62"/>
      <c r="G109" s="62"/>
      <c r="H109" s="62"/>
      <c r="I109" s="62"/>
      <c r="J109" s="62"/>
      <c r="K109" s="72" t="str">
        <f t="shared" si="8"/>
        <v>A</v>
      </c>
      <c r="L109" s="62">
        <v>3</v>
      </c>
      <c r="M109" s="62"/>
      <c r="N109" s="62">
        <v>3</v>
      </c>
      <c r="O109" s="62">
        <v>4</v>
      </c>
      <c r="P109" s="62"/>
      <c r="Q109" s="72">
        <f t="shared" si="9"/>
        <v>3.3333333333333335</v>
      </c>
      <c r="R109" s="62"/>
      <c r="S109" s="62"/>
      <c r="T109" s="62"/>
      <c r="U109" s="62"/>
      <c r="V109" s="62"/>
      <c r="W109" s="72" t="str">
        <f t="shared" si="10"/>
        <v>A</v>
      </c>
      <c r="X109" s="62"/>
      <c r="Y109" s="62"/>
      <c r="Z109" s="62"/>
      <c r="AA109" s="62"/>
      <c r="AB109" s="62"/>
      <c r="AC109" s="72" t="str">
        <f t="shared" si="11"/>
        <v>A</v>
      </c>
      <c r="AD109" s="62"/>
      <c r="AE109" s="62"/>
      <c r="AF109" s="62"/>
      <c r="AG109" s="62"/>
      <c r="AH109" s="62"/>
      <c r="AI109" s="72" t="str">
        <f t="shared" si="12"/>
        <v>A</v>
      </c>
      <c r="AJ109" s="62"/>
      <c r="AK109" s="62"/>
      <c r="AL109" s="62"/>
      <c r="AM109" s="62"/>
      <c r="AN109" s="62"/>
      <c r="AO109" s="72" t="str">
        <f t="shared" si="13"/>
        <v>A</v>
      </c>
      <c r="AP109" s="62"/>
      <c r="AQ109" s="62"/>
      <c r="AR109" s="62"/>
      <c r="AS109" s="62"/>
      <c r="AT109" s="62"/>
      <c r="AU109" s="72" t="str">
        <f t="shared" si="14"/>
        <v>A</v>
      </c>
      <c r="AV109" s="62"/>
      <c r="AW109" s="62"/>
      <c r="AX109" s="62">
        <v>5</v>
      </c>
      <c r="AY109" s="62">
        <v>2</v>
      </c>
      <c r="AZ109" s="62">
        <v>4</v>
      </c>
      <c r="BA109" s="72">
        <f t="shared" si="15"/>
        <v>3.6666666666666665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7"/>
      <c r="I110" s="7"/>
      <c r="J110" s="7"/>
      <c r="K110" s="72" t="str">
        <f t="shared" si="8"/>
        <v>A</v>
      </c>
      <c r="L110" s="62">
        <v>3</v>
      </c>
      <c r="M110" s="62"/>
      <c r="N110" s="62">
        <v>3</v>
      </c>
      <c r="O110" s="62">
        <v>3</v>
      </c>
      <c r="P110" s="62"/>
      <c r="Q110" s="72">
        <f t="shared" si="9"/>
        <v>3</v>
      </c>
      <c r="R110" s="7"/>
      <c r="S110" s="7"/>
      <c r="T110" s="7"/>
      <c r="U110" s="7"/>
      <c r="V110" s="7"/>
      <c r="W110" s="72" t="str">
        <f t="shared" si="10"/>
        <v>A</v>
      </c>
      <c r="X110" s="7"/>
      <c r="Y110" s="7"/>
      <c r="Z110" s="7"/>
      <c r="AA110" s="7"/>
      <c r="AB110" s="7"/>
      <c r="AC110" s="72" t="str">
        <f t="shared" si="11"/>
        <v>A</v>
      </c>
      <c r="AD110" s="7"/>
      <c r="AE110" s="7"/>
      <c r="AF110" s="7"/>
      <c r="AG110" s="7"/>
      <c r="AH110" s="7"/>
      <c r="AI110" s="72" t="str">
        <f t="shared" si="12"/>
        <v>A</v>
      </c>
      <c r="AJ110" s="7"/>
      <c r="AK110" s="7"/>
      <c r="AL110" s="7"/>
      <c r="AM110" s="7"/>
      <c r="AN110" s="7"/>
      <c r="AO110" s="72" t="str">
        <f t="shared" si="13"/>
        <v>A</v>
      </c>
      <c r="AP110" s="7"/>
      <c r="AQ110" s="7"/>
      <c r="AR110" s="7"/>
      <c r="AS110" s="7"/>
      <c r="AT110" s="7"/>
      <c r="AU110" s="72" t="str">
        <f t="shared" si="14"/>
        <v>A</v>
      </c>
      <c r="AV110" s="7"/>
      <c r="AW110" s="7"/>
      <c r="AX110" s="62">
        <v>5</v>
      </c>
      <c r="AY110" s="62">
        <v>0</v>
      </c>
      <c r="AZ110" s="62">
        <v>3</v>
      </c>
      <c r="BA110" s="72">
        <f t="shared" si="15"/>
        <v>2.6666666666666665</v>
      </c>
    </row>
    <row r="111" spans="1:53" ht="23.1" customHeight="1" x14ac:dyDescent="0.3">
      <c r="A111" s="62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62"/>
      <c r="G111" s="62"/>
      <c r="H111" s="62"/>
      <c r="I111" s="62"/>
      <c r="J111" s="62"/>
      <c r="K111" s="72" t="str">
        <f t="shared" si="8"/>
        <v>A</v>
      </c>
      <c r="L111" s="62">
        <v>0</v>
      </c>
      <c r="M111" s="62"/>
      <c r="N111" s="62">
        <v>0</v>
      </c>
      <c r="O111" s="62">
        <v>0</v>
      </c>
      <c r="P111" s="62"/>
      <c r="Q111" s="72">
        <f t="shared" si="9"/>
        <v>0</v>
      </c>
      <c r="R111" s="62"/>
      <c r="S111" s="62"/>
      <c r="T111" s="62"/>
      <c r="U111" s="62"/>
      <c r="V111" s="62"/>
      <c r="W111" s="72" t="str">
        <f t="shared" si="10"/>
        <v>A</v>
      </c>
      <c r="X111" s="62"/>
      <c r="Y111" s="62"/>
      <c r="Z111" s="62"/>
      <c r="AA111" s="62"/>
      <c r="AB111" s="62"/>
      <c r="AC111" s="72" t="str">
        <f t="shared" si="11"/>
        <v>A</v>
      </c>
      <c r="AD111" s="62"/>
      <c r="AE111" s="62"/>
      <c r="AF111" s="62"/>
      <c r="AG111" s="62"/>
      <c r="AH111" s="62"/>
      <c r="AI111" s="72" t="str">
        <f t="shared" si="12"/>
        <v>A</v>
      </c>
      <c r="AJ111" s="62"/>
      <c r="AK111" s="62"/>
      <c r="AL111" s="62"/>
      <c r="AM111" s="62"/>
      <c r="AN111" s="62"/>
      <c r="AO111" s="72" t="str">
        <f t="shared" si="13"/>
        <v>A</v>
      </c>
      <c r="AP111" s="62"/>
      <c r="AQ111" s="62"/>
      <c r="AR111" s="62"/>
      <c r="AS111" s="62"/>
      <c r="AT111" s="62"/>
      <c r="AU111" s="72" t="str">
        <f t="shared" si="14"/>
        <v>A</v>
      </c>
      <c r="AV111" s="62"/>
      <c r="AW111" s="62"/>
      <c r="AX111" s="62">
        <v>0</v>
      </c>
      <c r="AY111" s="62">
        <v>0</v>
      </c>
      <c r="AZ111" s="62">
        <v>0</v>
      </c>
      <c r="BA111" s="72">
        <f t="shared" si="15"/>
        <v>0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7"/>
      <c r="I112" s="7"/>
      <c r="J112" s="7"/>
      <c r="K112" s="72" t="str">
        <f t="shared" si="8"/>
        <v>A</v>
      </c>
      <c r="L112" s="62">
        <v>2</v>
      </c>
      <c r="M112" s="62"/>
      <c r="N112" s="62">
        <v>2</v>
      </c>
      <c r="O112" s="62">
        <v>1</v>
      </c>
      <c r="P112" s="62"/>
      <c r="Q112" s="72">
        <f t="shared" si="9"/>
        <v>1.6666666666666667</v>
      </c>
      <c r="R112" s="7"/>
      <c r="S112" s="7"/>
      <c r="T112" s="7"/>
      <c r="U112" s="7"/>
      <c r="V112" s="7"/>
      <c r="W112" s="72" t="str">
        <f t="shared" si="10"/>
        <v>A</v>
      </c>
      <c r="X112" s="7"/>
      <c r="Y112" s="7"/>
      <c r="Z112" s="7"/>
      <c r="AA112" s="7"/>
      <c r="AB112" s="7"/>
      <c r="AC112" s="72" t="str">
        <f t="shared" si="11"/>
        <v>A</v>
      </c>
      <c r="AD112" s="7"/>
      <c r="AE112" s="7"/>
      <c r="AF112" s="7"/>
      <c r="AG112" s="7"/>
      <c r="AH112" s="7"/>
      <c r="AI112" s="72" t="str">
        <f t="shared" si="12"/>
        <v>A</v>
      </c>
      <c r="AJ112" s="7"/>
      <c r="AK112" s="7"/>
      <c r="AL112" s="7"/>
      <c r="AM112" s="7"/>
      <c r="AN112" s="7"/>
      <c r="AO112" s="72" t="str">
        <f t="shared" si="13"/>
        <v>A</v>
      </c>
      <c r="AP112" s="7"/>
      <c r="AQ112" s="7"/>
      <c r="AR112" s="7"/>
      <c r="AS112" s="7"/>
      <c r="AT112" s="7"/>
      <c r="AU112" s="72" t="str">
        <f t="shared" si="14"/>
        <v>A</v>
      </c>
      <c r="AV112" s="7"/>
      <c r="AW112" s="7"/>
      <c r="AX112" s="62">
        <v>5</v>
      </c>
      <c r="AY112" s="62">
        <v>0</v>
      </c>
      <c r="AZ112" s="62">
        <v>1</v>
      </c>
      <c r="BA112" s="72">
        <f t="shared" si="15"/>
        <v>2</v>
      </c>
    </row>
    <row r="113" spans="1:53" ht="23.1" customHeight="1" x14ac:dyDescent="0.3">
      <c r="A113" s="62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62"/>
      <c r="G113" s="62"/>
      <c r="H113" s="62"/>
      <c r="I113" s="62"/>
      <c r="J113" s="62"/>
      <c r="K113" s="72" t="str">
        <f t="shared" si="8"/>
        <v>A</v>
      </c>
      <c r="L113" s="62">
        <v>3</v>
      </c>
      <c r="M113" s="62"/>
      <c r="N113" s="62">
        <v>3</v>
      </c>
      <c r="O113" s="62">
        <v>3</v>
      </c>
      <c r="P113" s="62"/>
      <c r="Q113" s="72">
        <f t="shared" si="9"/>
        <v>3</v>
      </c>
      <c r="R113" s="62"/>
      <c r="S113" s="62"/>
      <c r="T113" s="62"/>
      <c r="U113" s="62"/>
      <c r="V113" s="62"/>
      <c r="W113" s="72" t="str">
        <f t="shared" si="10"/>
        <v>A</v>
      </c>
      <c r="X113" s="62"/>
      <c r="Y113" s="62"/>
      <c r="Z113" s="62"/>
      <c r="AA113" s="62"/>
      <c r="AB113" s="62"/>
      <c r="AC113" s="72" t="str">
        <f t="shared" si="11"/>
        <v>A</v>
      </c>
      <c r="AD113" s="62"/>
      <c r="AE113" s="62"/>
      <c r="AF113" s="62"/>
      <c r="AG113" s="62"/>
      <c r="AH113" s="62"/>
      <c r="AI113" s="72" t="str">
        <f t="shared" si="12"/>
        <v>A</v>
      </c>
      <c r="AJ113" s="62"/>
      <c r="AK113" s="62"/>
      <c r="AL113" s="62"/>
      <c r="AM113" s="62"/>
      <c r="AN113" s="62"/>
      <c r="AO113" s="72" t="str">
        <f t="shared" si="13"/>
        <v>A</v>
      </c>
      <c r="AP113" s="62"/>
      <c r="AQ113" s="62"/>
      <c r="AR113" s="62"/>
      <c r="AS113" s="62"/>
      <c r="AT113" s="62"/>
      <c r="AU113" s="72" t="str">
        <f t="shared" si="14"/>
        <v>A</v>
      </c>
      <c r="AV113" s="62"/>
      <c r="AW113" s="62"/>
      <c r="AX113" s="62">
        <v>5</v>
      </c>
      <c r="AY113" s="62">
        <v>0</v>
      </c>
      <c r="AZ113" s="62">
        <v>3</v>
      </c>
      <c r="BA113" s="72">
        <f t="shared" si="15"/>
        <v>2.6666666666666665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7"/>
      <c r="I114" s="7"/>
      <c r="J114" s="7"/>
      <c r="K114" s="72" t="str">
        <f t="shared" si="8"/>
        <v>A</v>
      </c>
      <c r="L114" s="62">
        <v>3</v>
      </c>
      <c r="M114" s="62"/>
      <c r="N114" s="62">
        <v>3</v>
      </c>
      <c r="O114" s="62">
        <v>3</v>
      </c>
      <c r="P114" s="62"/>
      <c r="Q114" s="72">
        <f t="shared" si="9"/>
        <v>3</v>
      </c>
      <c r="R114" s="7"/>
      <c r="S114" s="7"/>
      <c r="T114" s="7"/>
      <c r="U114" s="7"/>
      <c r="V114" s="7"/>
      <c r="W114" s="72" t="str">
        <f t="shared" si="10"/>
        <v>A</v>
      </c>
      <c r="X114" s="7"/>
      <c r="Y114" s="7"/>
      <c r="Z114" s="7"/>
      <c r="AA114" s="7"/>
      <c r="AB114" s="7"/>
      <c r="AC114" s="72" t="str">
        <f t="shared" si="11"/>
        <v>A</v>
      </c>
      <c r="AD114" s="7"/>
      <c r="AE114" s="7"/>
      <c r="AF114" s="7"/>
      <c r="AG114" s="7"/>
      <c r="AH114" s="7"/>
      <c r="AI114" s="72" t="str">
        <f t="shared" si="12"/>
        <v>A</v>
      </c>
      <c r="AJ114" s="7"/>
      <c r="AK114" s="7"/>
      <c r="AL114" s="7"/>
      <c r="AM114" s="7"/>
      <c r="AN114" s="7"/>
      <c r="AO114" s="72" t="str">
        <f t="shared" si="13"/>
        <v>A</v>
      </c>
      <c r="AP114" s="7"/>
      <c r="AQ114" s="7"/>
      <c r="AR114" s="7"/>
      <c r="AS114" s="7"/>
      <c r="AT114" s="7"/>
      <c r="AU114" s="72" t="str">
        <f t="shared" si="14"/>
        <v>A</v>
      </c>
      <c r="AV114" s="7"/>
      <c r="AW114" s="7"/>
      <c r="AX114" s="62">
        <v>5</v>
      </c>
      <c r="AY114" s="62">
        <v>0</v>
      </c>
      <c r="AZ114" s="62">
        <v>2</v>
      </c>
      <c r="BA114" s="72">
        <f t="shared" si="15"/>
        <v>2.3333333333333335</v>
      </c>
    </row>
    <row r="115" spans="1:53" ht="23.1" customHeight="1" x14ac:dyDescent="0.3">
      <c r="A115" s="62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62"/>
      <c r="G115" s="62"/>
      <c r="H115" s="62"/>
      <c r="I115" s="62"/>
      <c r="J115" s="62"/>
      <c r="K115" s="72" t="str">
        <f t="shared" si="8"/>
        <v>A</v>
      </c>
      <c r="L115" s="62">
        <v>0</v>
      </c>
      <c r="M115" s="62"/>
      <c r="N115" s="62">
        <v>0</v>
      </c>
      <c r="O115" s="62">
        <v>0</v>
      </c>
      <c r="P115" s="62"/>
      <c r="Q115" s="72">
        <f t="shared" si="9"/>
        <v>0</v>
      </c>
      <c r="R115" s="62"/>
      <c r="S115" s="62"/>
      <c r="T115" s="62"/>
      <c r="U115" s="62"/>
      <c r="V115" s="62"/>
      <c r="W115" s="72" t="str">
        <f t="shared" si="10"/>
        <v>A</v>
      </c>
      <c r="X115" s="62"/>
      <c r="Y115" s="62"/>
      <c r="Z115" s="62"/>
      <c r="AA115" s="62"/>
      <c r="AB115" s="62"/>
      <c r="AC115" s="72" t="str">
        <f t="shared" si="11"/>
        <v>A</v>
      </c>
      <c r="AD115" s="62"/>
      <c r="AE115" s="62"/>
      <c r="AF115" s="62"/>
      <c r="AG115" s="62"/>
      <c r="AH115" s="62"/>
      <c r="AI115" s="72" t="str">
        <f t="shared" si="12"/>
        <v>A</v>
      </c>
      <c r="AJ115" s="62"/>
      <c r="AK115" s="62"/>
      <c r="AL115" s="62"/>
      <c r="AM115" s="62"/>
      <c r="AN115" s="62"/>
      <c r="AO115" s="72" t="str">
        <f t="shared" si="13"/>
        <v>A</v>
      </c>
      <c r="AP115" s="62"/>
      <c r="AQ115" s="62"/>
      <c r="AR115" s="62"/>
      <c r="AS115" s="62"/>
      <c r="AT115" s="62"/>
      <c r="AU115" s="72" t="str">
        <f t="shared" si="14"/>
        <v>A</v>
      </c>
      <c r="AV115" s="62"/>
      <c r="AW115" s="62"/>
      <c r="AX115" s="62">
        <v>0</v>
      </c>
      <c r="AY115" s="62">
        <v>0</v>
      </c>
      <c r="AZ115" s="62">
        <v>0</v>
      </c>
      <c r="BA115" s="72">
        <f t="shared" si="15"/>
        <v>0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7"/>
      <c r="I116" s="7"/>
      <c r="J116" s="7"/>
      <c r="K116" s="72" t="str">
        <f t="shared" si="8"/>
        <v>A</v>
      </c>
      <c r="L116" s="62">
        <v>4</v>
      </c>
      <c r="M116" s="62"/>
      <c r="N116" s="62">
        <v>4</v>
      </c>
      <c r="O116" s="62">
        <v>4</v>
      </c>
      <c r="P116" s="62"/>
      <c r="Q116" s="72">
        <f t="shared" si="9"/>
        <v>4</v>
      </c>
      <c r="R116" s="7"/>
      <c r="S116" s="7"/>
      <c r="T116" s="7"/>
      <c r="U116" s="7"/>
      <c r="V116" s="7"/>
      <c r="W116" s="72" t="str">
        <f t="shared" si="10"/>
        <v>A</v>
      </c>
      <c r="X116" s="7"/>
      <c r="Y116" s="7"/>
      <c r="Z116" s="7"/>
      <c r="AA116" s="7"/>
      <c r="AB116" s="7"/>
      <c r="AC116" s="72" t="str">
        <f t="shared" si="11"/>
        <v>A</v>
      </c>
      <c r="AD116" s="7"/>
      <c r="AE116" s="7"/>
      <c r="AF116" s="7"/>
      <c r="AG116" s="7"/>
      <c r="AH116" s="7"/>
      <c r="AI116" s="72" t="str">
        <f t="shared" si="12"/>
        <v>A</v>
      </c>
      <c r="AJ116" s="7"/>
      <c r="AK116" s="7"/>
      <c r="AL116" s="7"/>
      <c r="AM116" s="7"/>
      <c r="AN116" s="7"/>
      <c r="AO116" s="72" t="str">
        <f t="shared" si="13"/>
        <v>A</v>
      </c>
      <c r="AP116" s="7"/>
      <c r="AQ116" s="7"/>
      <c r="AR116" s="7"/>
      <c r="AS116" s="7"/>
      <c r="AT116" s="7"/>
      <c r="AU116" s="72" t="str">
        <f t="shared" si="14"/>
        <v>A</v>
      </c>
      <c r="AV116" s="7"/>
      <c r="AW116" s="7"/>
      <c r="AX116" s="62">
        <v>5</v>
      </c>
      <c r="AY116" s="62">
        <v>0</v>
      </c>
      <c r="AZ116" s="62">
        <v>4</v>
      </c>
      <c r="BA116" s="72">
        <f t="shared" si="15"/>
        <v>3</v>
      </c>
    </row>
    <row r="117" spans="1:53" ht="23.1" customHeight="1" x14ac:dyDescent="0.3">
      <c r="A117" s="62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62"/>
      <c r="G117" s="62"/>
      <c r="H117" s="62"/>
      <c r="I117" s="62"/>
      <c r="J117" s="62"/>
      <c r="K117" s="72" t="str">
        <f t="shared" si="8"/>
        <v>A</v>
      </c>
      <c r="L117" s="62">
        <v>0</v>
      </c>
      <c r="M117" s="62"/>
      <c r="N117" s="62">
        <v>0</v>
      </c>
      <c r="O117" s="62">
        <v>0</v>
      </c>
      <c r="P117" s="62"/>
      <c r="Q117" s="72">
        <f t="shared" si="9"/>
        <v>0</v>
      </c>
      <c r="R117" s="62"/>
      <c r="S117" s="62"/>
      <c r="T117" s="62"/>
      <c r="U117" s="62"/>
      <c r="V117" s="62"/>
      <c r="W117" s="72" t="str">
        <f t="shared" si="10"/>
        <v>A</v>
      </c>
      <c r="X117" s="62"/>
      <c r="Y117" s="62"/>
      <c r="Z117" s="62"/>
      <c r="AA117" s="62"/>
      <c r="AB117" s="62"/>
      <c r="AC117" s="72" t="str">
        <f t="shared" si="11"/>
        <v>A</v>
      </c>
      <c r="AD117" s="62"/>
      <c r="AE117" s="62"/>
      <c r="AF117" s="62"/>
      <c r="AG117" s="62"/>
      <c r="AH117" s="62"/>
      <c r="AI117" s="72" t="str">
        <f t="shared" si="12"/>
        <v>A</v>
      </c>
      <c r="AJ117" s="62"/>
      <c r="AK117" s="62"/>
      <c r="AL117" s="62"/>
      <c r="AM117" s="62"/>
      <c r="AN117" s="62"/>
      <c r="AO117" s="72" t="str">
        <f t="shared" si="13"/>
        <v>A</v>
      </c>
      <c r="AP117" s="62"/>
      <c r="AQ117" s="62"/>
      <c r="AR117" s="62"/>
      <c r="AS117" s="62"/>
      <c r="AT117" s="62"/>
      <c r="AU117" s="72" t="str">
        <f t="shared" si="14"/>
        <v>A</v>
      </c>
      <c r="AV117" s="62"/>
      <c r="AW117" s="62"/>
      <c r="AX117" s="62">
        <v>0</v>
      </c>
      <c r="AY117" s="62">
        <v>0</v>
      </c>
      <c r="AZ117" s="62">
        <v>0</v>
      </c>
      <c r="BA117" s="72">
        <f t="shared" si="15"/>
        <v>0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7"/>
      <c r="I118" s="7"/>
      <c r="J118" s="7"/>
      <c r="K118" s="72" t="str">
        <f t="shared" si="8"/>
        <v>A</v>
      </c>
      <c r="L118" s="62">
        <v>3</v>
      </c>
      <c r="M118" s="62"/>
      <c r="N118" s="62">
        <v>3</v>
      </c>
      <c r="O118" s="62">
        <v>3</v>
      </c>
      <c r="P118" s="62"/>
      <c r="Q118" s="72">
        <f t="shared" si="9"/>
        <v>3</v>
      </c>
      <c r="R118" s="7"/>
      <c r="S118" s="7"/>
      <c r="T118" s="7"/>
      <c r="U118" s="7"/>
      <c r="V118" s="7"/>
      <c r="W118" s="72" t="str">
        <f t="shared" si="10"/>
        <v>A</v>
      </c>
      <c r="X118" s="7"/>
      <c r="Y118" s="7"/>
      <c r="Z118" s="7"/>
      <c r="AA118" s="7"/>
      <c r="AB118" s="7"/>
      <c r="AC118" s="72" t="str">
        <f t="shared" si="11"/>
        <v>A</v>
      </c>
      <c r="AD118" s="7"/>
      <c r="AE118" s="7"/>
      <c r="AF118" s="7"/>
      <c r="AG118" s="7"/>
      <c r="AH118" s="7"/>
      <c r="AI118" s="72" t="str">
        <f t="shared" si="12"/>
        <v>A</v>
      </c>
      <c r="AJ118" s="7"/>
      <c r="AK118" s="7"/>
      <c r="AL118" s="7"/>
      <c r="AM118" s="7"/>
      <c r="AN118" s="7"/>
      <c r="AO118" s="72" t="str">
        <f t="shared" si="13"/>
        <v>A</v>
      </c>
      <c r="AP118" s="7"/>
      <c r="AQ118" s="7"/>
      <c r="AR118" s="7"/>
      <c r="AS118" s="7"/>
      <c r="AT118" s="7"/>
      <c r="AU118" s="72" t="str">
        <f t="shared" si="14"/>
        <v>A</v>
      </c>
      <c r="AV118" s="7"/>
      <c r="AW118" s="7"/>
      <c r="AX118" s="62">
        <v>5</v>
      </c>
      <c r="AY118" s="62">
        <v>2</v>
      </c>
      <c r="AZ118" s="62">
        <v>3</v>
      </c>
      <c r="BA118" s="72">
        <f t="shared" si="15"/>
        <v>3.3333333333333335</v>
      </c>
    </row>
    <row r="119" spans="1:53" ht="23.1" customHeight="1" x14ac:dyDescent="0.3">
      <c r="A119" s="62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62"/>
      <c r="G119" s="62"/>
      <c r="H119" s="62"/>
      <c r="I119" s="62"/>
      <c r="J119" s="62"/>
      <c r="K119" s="72" t="str">
        <f t="shared" si="8"/>
        <v>A</v>
      </c>
      <c r="L119" s="62">
        <v>0</v>
      </c>
      <c r="M119" s="62"/>
      <c r="N119" s="62">
        <v>0</v>
      </c>
      <c r="O119" s="62">
        <v>0</v>
      </c>
      <c r="P119" s="62"/>
      <c r="Q119" s="72">
        <f t="shared" si="9"/>
        <v>0</v>
      </c>
      <c r="R119" s="62"/>
      <c r="S119" s="62"/>
      <c r="T119" s="62"/>
      <c r="U119" s="62"/>
      <c r="V119" s="62"/>
      <c r="W119" s="72" t="str">
        <f t="shared" si="10"/>
        <v>A</v>
      </c>
      <c r="X119" s="62"/>
      <c r="Y119" s="62"/>
      <c r="Z119" s="62"/>
      <c r="AA119" s="62"/>
      <c r="AB119" s="62"/>
      <c r="AC119" s="72" t="str">
        <f t="shared" si="11"/>
        <v>A</v>
      </c>
      <c r="AD119" s="62"/>
      <c r="AE119" s="62"/>
      <c r="AF119" s="62"/>
      <c r="AG119" s="62"/>
      <c r="AH119" s="62"/>
      <c r="AI119" s="72" t="str">
        <f t="shared" si="12"/>
        <v>A</v>
      </c>
      <c r="AJ119" s="62"/>
      <c r="AK119" s="62"/>
      <c r="AL119" s="62"/>
      <c r="AM119" s="62"/>
      <c r="AN119" s="62"/>
      <c r="AO119" s="72" t="str">
        <f t="shared" si="13"/>
        <v>A</v>
      </c>
      <c r="AP119" s="62"/>
      <c r="AQ119" s="62"/>
      <c r="AR119" s="62"/>
      <c r="AS119" s="62"/>
      <c r="AT119" s="62"/>
      <c r="AU119" s="72" t="str">
        <f t="shared" si="14"/>
        <v>A</v>
      </c>
      <c r="AV119" s="62"/>
      <c r="AW119" s="62"/>
      <c r="AX119" s="62">
        <v>0</v>
      </c>
      <c r="AY119" s="62">
        <v>0</v>
      </c>
      <c r="AZ119" s="62">
        <v>0</v>
      </c>
      <c r="BA119" s="72">
        <f t="shared" si="15"/>
        <v>0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7"/>
      <c r="I120" s="7"/>
      <c r="J120" s="7"/>
      <c r="K120" s="72" t="str">
        <f t="shared" si="8"/>
        <v>A</v>
      </c>
      <c r="L120" s="62">
        <v>2</v>
      </c>
      <c r="M120" s="62"/>
      <c r="N120" s="62">
        <v>2</v>
      </c>
      <c r="O120" s="62">
        <v>2</v>
      </c>
      <c r="P120" s="62"/>
      <c r="Q120" s="72">
        <f t="shared" si="9"/>
        <v>2</v>
      </c>
      <c r="R120" s="7"/>
      <c r="S120" s="7"/>
      <c r="T120" s="7"/>
      <c r="U120" s="7"/>
      <c r="V120" s="7"/>
      <c r="W120" s="72" t="str">
        <f t="shared" si="10"/>
        <v>A</v>
      </c>
      <c r="X120" s="7"/>
      <c r="Y120" s="7"/>
      <c r="Z120" s="7"/>
      <c r="AA120" s="7"/>
      <c r="AB120" s="7"/>
      <c r="AC120" s="72" t="str">
        <f t="shared" si="11"/>
        <v>A</v>
      </c>
      <c r="AD120" s="7"/>
      <c r="AE120" s="7"/>
      <c r="AF120" s="7"/>
      <c r="AG120" s="7"/>
      <c r="AH120" s="7"/>
      <c r="AI120" s="72" t="str">
        <f t="shared" si="12"/>
        <v>A</v>
      </c>
      <c r="AJ120" s="7"/>
      <c r="AK120" s="7"/>
      <c r="AL120" s="7"/>
      <c r="AM120" s="7"/>
      <c r="AN120" s="7"/>
      <c r="AO120" s="72" t="str">
        <f t="shared" si="13"/>
        <v>A</v>
      </c>
      <c r="AP120" s="7"/>
      <c r="AQ120" s="7"/>
      <c r="AR120" s="7"/>
      <c r="AS120" s="7"/>
      <c r="AT120" s="7"/>
      <c r="AU120" s="72" t="str">
        <f t="shared" si="14"/>
        <v>A</v>
      </c>
      <c r="AV120" s="7"/>
      <c r="AW120" s="7"/>
      <c r="AX120" s="62">
        <v>2</v>
      </c>
      <c r="AY120" s="62">
        <v>2</v>
      </c>
      <c r="AZ120" s="62">
        <v>2</v>
      </c>
      <c r="BA120" s="72">
        <f t="shared" si="15"/>
        <v>2</v>
      </c>
    </row>
    <row r="121" spans="1:53" ht="23.1" customHeight="1" x14ac:dyDescent="0.3">
      <c r="A121" s="62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62"/>
      <c r="G121" s="62"/>
      <c r="H121" s="62"/>
      <c r="I121" s="62"/>
      <c r="J121" s="62"/>
      <c r="K121" s="72" t="str">
        <f t="shared" si="8"/>
        <v>A</v>
      </c>
      <c r="L121" s="62">
        <v>2</v>
      </c>
      <c r="M121" s="62"/>
      <c r="N121" s="62">
        <v>2</v>
      </c>
      <c r="O121" s="62">
        <v>1</v>
      </c>
      <c r="P121" s="62"/>
      <c r="Q121" s="72">
        <f t="shared" si="9"/>
        <v>1.6666666666666667</v>
      </c>
      <c r="R121" s="62"/>
      <c r="S121" s="62"/>
      <c r="T121" s="62"/>
      <c r="U121" s="62"/>
      <c r="V121" s="62"/>
      <c r="W121" s="72" t="str">
        <f t="shared" si="10"/>
        <v>A</v>
      </c>
      <c r="X121" s="62"/>
      <c r="Y121" s="62"/>
      <c r="Z121" s="62"/>
      <c r="AA121" s="62"/>
      <c r="AB121" s="62"/>
      <c r="AC121" s="72" t="str">
        <f t="shared" si="11"/>
        <v>A</v>
      </c>
      <c r="AD121" s="62"/>
      <c r="AE121" s="62"/>
      <c r="AF121" s="62"/>
      <c r="AG121" s="62"/>
      <c r="AH121" s="62"/>
      <c r="AI121" s="72" t="str">
        <f t="shared" si="12"/>
        <v>A</v>
      </c>
      <c r="AJ121" s="62"/>
      <c r="AK121" s="62"/>
      <c r="AL121" s="62"/>
      <c r="AM121" s="62"/>
      <c r="AN121" s="62"/>
      <c r="AO121" s="72" t="str">
        <f t="shared" si="13"/>
        <v>A</v>
      </c>
      <c r="AP121" s="62"/>
      <c r="AQ121" s="62"/>
      <c r="AR121" s="62"/>
      <c r="AS121" s="62"/>
      <c r="AT121" s="62"/>
      <c r="AU121" s="72" t="str">
        <f t="shared" si="14"/>
        <v>A</v>
      </c>
      <c r="AV121" s="62"/>
      <c r="AW121" s="62"/>
      <c r="AX121" s="62">
        <v>5</v>
      </c>
      <c r="AY121" s="62">
        <v>2</v>
      </c>
      <c r="AZ121" s="62">
        <v>1</v>
      </c>
      <c r="BA121" s="72">
        <f t="shared" si="15"/>
        <v>2.6666666666666665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7"/>
      <c r="I122" s="7"/>
      <c r="J122" s="7"/>
      <c r="K122" s="72" t="str">
        <f t="shared" si="8"/>
        <v>A</v>
      </c>
      <c r="L122" s="62">
        <v>0</v>
      </c>
      <c r="M122" s="62"/>
      <c r="N122" s="62">
        <v>0</v>
      </c>
      <c r="O122" s="62">
        <v>0</v>
      </c>
      <c r="P122" s="62"/>
      <c r="Q122" s="72">
        <f t="shared" si="9"/>
        <v>0</v>
      </c>
      <c r="R122" s="7"/>
      <c r="S122" s="7"/>
      <c r="T122" s="7"/>
      <c r="U122" s="7"/>
      <c r="V122" s="7"/>
      <c r="W122" s="72" t="str">
        <f t="shared" si="10"/>
        <v>A</v>
      </c>
      <c r="X122" s="7"/>
      <c r="Y122" s="7"/>
      <c r="Z122" s="7"/>
      <c r="AA122" s="7"/>
      <c r="AB122" s="7"/>
      <c r="AC122" s="72" t="str">
        <f t="shared" si="11"/>
        <v>A</v>
      </c>
      <c r="AD122" s="7"/>
      <c r="AE122" s="7"/>
      <c r="AF122" s="7"/>
      <c r="AG122" s="7"/>
      <c r="AH122" s="7"/>
      <c r="AI122" s="72" t="str">
        <f t="shared" si="12"/>
        <v>A</v>
      </c>
      <c r="AJ122" s="7"/>
      <c r="AK122" s="7"/>
      <c r="AL122" s="7"/>
      <c r="AM122" s="7"/>
      <c r="AN122" s="7"/>
      <c r="AO122" s="72" t="str">
        <f t="shared" si="13"/>
        <v>A</v>
      </c>
      <c r="AP122" s="7"/>
      <c r="AQ122" s="7"/>
      <c r="AR122" s="7"/>
      <c r="AS122" s="7"/>
      <c r="AT122" s="7"/>
      <c r="AU122" s="72" t="str">
        <f t="shared" si="14"/>
        <v>A</v>
      </c>
      <c r="AV122" s="7"/>
      <c r="AW122" s="7"/>
      <c r="AX122" s="62">
        <v>0</v>
      </c>
      <c r="AY122" s="62">
        <v>0</v>
      </c>
      <c r="AZ122" s="62">
        <v>0</v>
      </c>
      <c r="BA122" s="72">
        <f t="shared" si="15"/>
        <v>0</v>
      </c>
    </row>
    <row r="123" spans="1:53" ht="23.1" customHeight="1" x14ac:dyDescent="0.3">
      <c r="A123" s="62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62"/>
      <c r="G123" s="62"/>
      <c r="H123" s="62"/>
      <c r="I123" s="62"/>
      <c r="J123" s="62"/>
      <c r="K123" s="72" t="str">
        <f t="shared" si="8"/>
        <v>A</v>
      </c>
      <c r="L123" s="62">
        <v>3</v>
      </c>
      <c r="M123" s="62"/>
      <c r="N123" s="62">
        <v>3</v>
      </c>
      <c r="O123" s="62">
        <v>3</v>
      </c>
      <c r="P123" s="62"/>
      <c r="Q123" s="72">
        <f t="shared" si="9"/>
        <v>3</v>
      </c>
      <c r="R123" s="62"/>
      <c r="S123" s="62"/>
      <c r="T123" s="62"/>
      <c r="U123" s="62"/>
      <c r="V123" s="62"/>
      <c r="W123" s="72" t="str">
        <f t="shared" si="10"/>
        <v>A</v>
      </c>
      <c r="X123" s="62"/>
      <c r="Y123" s="62"/>
      <c r="Z123" s="62"/>
      <c r="AA123" s="62"/>
      <c r="AB123" s="62"/>
      <c r="AC123" s="72" t="str">
        <f t="shared" si="11"/>
        <v>A</v>
      </c>
      <c r="AD123" s="62"/>
      <c r="AE123" s="62"/>
      <c r="AF123" s="62"/>
      <c r="AG123" s="62"/>
      <c r="AH123" s="62"/>
      <c r="AI123" s="72" t="str">
        <f t="shared" si="12"/>
        <v>A</v>
      </c>
      <c r="AJ123" s="62"/>
      <c r="AK123" s="62"/>
      <c r="AL123" s="62"/>
      <c r="AM123" s="62"/>
      <c r="AN123" s="62"/>
      <c r="AO123" s="72" t="str">
        <f t="shared" si="13"/>
        <v>A</v>
      </c>
      <c r="AP123" s="62"/>
      <c r="AQ123" s="62"/>
      <c r="AR123" s="62"/>
      <c r="AS123" s="62"/>
      <c r="AT123" s="62"/>
      <c r="AU123" s="72" t="str">
        <f t="shared" si="14"/>
        <v>A</v>
      </c>
      <c r="AV123" s="62"/>
      <c r="AW123" s="62"/>
      <c r="AX123" s="62">
        <v>5</v>
      </c>
      <c r="AY123" s="62">
        <v>2</v>
      </c>
      <c r="AZ123" s="62">
        <v>3</v>
      </c>
      <c r="BA123" s="72">
        <f t="shared" si="15"/>
        <v>3.3333333333333335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7"/>
      <c r="I124" s="7"/>
      <c r="J124" s="7"/>
      <c r="K124" s="72" t="str">
        <f t="shared" si="8"/>
        <v>A</v>
      </c>
      <c r="L124" s="62">
        <v>2</v>
      </c>
      <c r="M124" s="62"/>
      <c r="N124" s="62">
        <v>2</v>
      </c>
      <c r="O124" s="62">
        <v>2</v>
      </c>
      <c r="P124" s="62"/>
      <c r="Q124" s="72">
        <f t="shared" si="9"/>
        <v>2</v>
      </c>
      <c r="R124" s="7"/>
      <c r="S124" s="7"/>
      <c r="T124" s="7"/>
      <c r="U124" s="7"/>
      <c r="V124" s="7"/>
      <c r="W124" s="72" t="str">
        <f t="shared" si="10"/>
        <v>A</v>
      </c>
      <c r="X124" s="7"/>
      <c r="Y124" s="7"/>
      <c r="Z124" s="7"/>
      <c r="AA124" s="7"/>
      <c r="AB124" s="7"/>
      <c r="AC124" s="72" t="str">
        <f t="shared" si="11"/>
        <v>A</v>
      </c>
      <c r="AD124" s="7"/>
      <c r="AE124" s="7"/>
      <c r="AF124" s="7"/>
      <c r="AG124" s="7"/>
      <c r="AH124" s="7"/>
      <c r="AI124" s="72" t="str">
        <f t="shared" si="12"/>
        <v>A</v>
      </c>
      <c r="AJ124" s="7"/>
      <c r="AK124" s="7"/>
      <c r="AL124" s="7"/>
      <c r="AM124" s="7"/>
      <c r="AN124" s="7"/>
      <c r="AO124" s="72" t="str">
        <f t="shared" si="13"/>
        <v>A</v>
      </c>
      <c r="AP124" s="7"/>
      <c r="AQ124" s="7"/>
      <c r="AR124" s="7"/>
      <c r="AS124" s="7"/>
      <c r="AT124" s="7"/>
      <c r="AU124" s="72" t="str">
        <f t="shared" si="14"/>
        <v>A</v>
      </c>
      <c r="AV124" s="7"/>
      <c r="AW124" s="7"/>
      <c r="AX124" s="62">
        <v>2</v>
      </c>
      <c r="AY124" s="62">
        <v>2</v>
      </c>
      <c r="AZ124" s="62">
        <v>2</v>
      </c>
      <c r="BA124" s="72">
        <f t="shared" si="15"/>
        <v>2</v>
      </c>
    </row>
    <row r="125" spans="1:53" ht="23.1" customHeight="1" x14ac:dyDescent="0.3">
      <c r="A125" s="62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62"/>
      <c r="G125" s="62"/>
      <c r="H125" s="62"/>
      <c r="I125" s="62"/>
      <c r="J125" s="62"/>
      <c r="K125" s="72" t="str">
        <f t="shared" si="8"/>
        <v>A</v>
      </c>
      <c r="L125" s="62">
        <v>4</v>
      </c>
      <c r="M125" s="62"/>
      <c r="N125" s="62">
        <v>4</v>
      </c>
      <c r="O125" s="62">
        <v>4</v>
      </c>
      <c r="P125" s="62"/>
      <c r="Q125" s="72">
        <f t="shared" si="9"/>
        <v>4</v>
      </c>
      <c r="R125" s="62"/>
      <c r="S125" s="62"/>
      <c r="T125" s="62"/>
      <c r="U125" s="62"/>
      <c r="V125" s="62"/>
      <c r="W125" s="72" t="str">
        <f t="shared" si="10"/>
        <v>A</v>
      </c>
      <c r="X125" s="62"/>
      <c r="Y125" s="62"/>
      <c r="Z125" s="62"/>
      <c r="AA125" s="62"/>
      <c r="AB125" s="62"/>
      <c r="AC125" s="72" t="str">
        <f t="shared" si="11"/>
        <v>A</v>
      </c>
      <c r="AD125" s="62"/>
      <c r="AE125" s="62"/>
      <c r="AF125" s="62"/>
      <c r="AG125" s="62"/>
      <c r="AH125" s="62"/>
      <c r="AI125" s="72" t="str">
        <f t="shared" si="12"/>
        <v>A</v>
      </c>
      <c r="AJ125" s="62"/>
      <c r="AK125" s="62"/>
      <c r="AL125" s="62"/>
      <c r="AM125" s="62"/>
      <c r="AN125" s="62"/>
      <c r="AO125" s="72" t="str">
        <f t="shared" si="13"/>
        <v>A</v>
      </c>
      <c r="AP125" s="62"/>
      <c r="AQ125" s="62"/>
      <c r="AR125" s="62"/>
      <c r="AS125" s="62"/>
      <c r="AT125" s="62"/>
      <c r="AU125" s="72" t="str">
        <f t="shared" si="14"/>
        <v>A</v>
      </c>
      <c r="AV125" s="62"/>
      <c r="AW125" s="62"/>
      <c r="AX125" s="62">
        <v>5</v>
      </c>
      <c r="AY125" s="62">
        <v>2</v>
      </c>
      <c r="AZ125" s="62">
        <v>4</v>
      </c>
      <c r="BA125" s="72">
        <f t="shared" si="15"/>
        <v>3.6666666666666665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7"/>
      <c r="I126" s="7"/>
      <c r="J126" s="7"/>
      <c r="K126" s="72" t="str">
        <f t="shared" si="8"/>
        <v>A</v>
      </c>
      <c r="L126" s="62">
        <v>0</v>
      </c>
      <c r="M126" s="62"/>
      <c r="N126" s="62">
        <v>0</v>
      </c>
      <c r="O126" s="62">
        <v>0</v>
      </c>
      <c r="P126" s="62"/>
      <c r="Q126" s="72">
        <f t="shared" si="9"/>
        <v>0</v>
      </c>
      <c r="R126" s="7"/>
      <c r="S126" s="7"/>
      <c r="T126" s="7"/>
      <c r="U126" s="7"/>
      <c r="V126" s="7"/>
      <c r="W126" s="72" t="str">
        <f t="shared" si="10"/>
        <v>A</v>
      </c>
      <c r="X126" s="7"/>
      <c r="Y126" s="7"/>
      <c r="Z126" s="7"/>
      <c r="AA126" s="7"/>
      <c r="AB126" s="7"/>
      <c r="AC126" s="72" t="str">
        <f t="shared" si="11"/>
        <v>A</v>
      </c>
      <c r="AD126" s="7"/>
      <c r="AE126" s="7"/>
      <c r="AF126" s="7"/>
      <c r="AG126" s="7"/>
      <c r="AH126" s="7"/>
      <c r="AI126" s="72" t="str">
        <f t="shared" si="12"/>
        <v>A</v>
      </c>
      <c r="AJ126" s="7"/>
      <c r="AK126" s="7"/>
      <c r="AL126" s="7"/>
      <c r="AM126" s="7"/>
      <c r="AN126" s="7"/>
      <c r="AO126" s="72" t="str">
        <f t="shared" si="13"/>
        <v>A</v>
      </c>
      <c r="AP126" s="7"/>
      <c r="AQ126" s="7"/>
      <c r="AR126" s="7"/>
      <c r="AS126" s="7"/>
      <c r="AT126" s="7"/>
      <c r="AU126" s="72" t="str">
        <f t="shared" si="14"/>
        <v>A</v>
      </c>
      <c r="AV126" s="7"/>
      <c r="AW126" s="7"/>
      <c r="AX126" s="62">
        <v>0</v>
      </c>
      <c r="AY126" s="62">
        <v>0</v>
      </c>
      <c r="AZ126" s="62">
        <v>0</v>
      </c>
      <c r="BA126" s="72">
        <f t="shared" si="15"/>
        <v>0</v>
      </c>
    </row>
    <row r="127" spans="1:53" ht="23.1" customHeight="1" x14ac:dyDescent="0.3">
      <c r="A127" s="62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62"/>
      <c r="G127" s="62"/>
      <c r="H127" s="62"/>
      <c r="I127" s="62"/>
      <c r="J127" s="62"/>
      <c r="K127" s="72" t="str">
        <f t="shared" si="8"/>
        <v>A</v>
      </c>
      <c r="L127" s="62">
        <v>0</v>
      </c>
      <c r="M127" s="62"/>
      <c r="N127" s="62">
        <v>0</v>
      </c>
      <c r="O127" s="62">
        <v>0</v>
      </c>
      <c r="P127" s="62"/>
      <c r="Q127" s="72">
        <f t="shared" si="9"/>
        <v>0</v>
      </c>
      <c r="R127" s="62"/>
      <c r="S127" s="62"/>
      <c r="T127" s="62"/>
      <c r="U127" s="62"/>
      <c r="V127" s="62"/>
      <c r="W127" s="72" t="str">
        <f t="shared" si="10"/>
        <v>A</v>
      </c>
      <c r="X127" s="62"/>
      <c r="Y127" s="62"/>
      <c r="Z127" s="62"/>
      <c r="AA127" s="62"/>
      <c r="AB127" s="62"/>
      <c r="AC127" s="72" t="str">
        <f t="shared" si="11"/>
        <v>A</v>
      </c>
      <c r="AD127" s="62"/>
      <c r="AE127" s="62"/>
      <c r="AF127" s="62"/>
      <c r="AG127" s="62"/>
      <c r="AH127" s="62"/>
      <c r="AI127" s="72" t="str">
        <f t="shared" si="12"/>
        <v>A</v>
      </c>
      <c r="AJ127" s="62"/>
      <c r="AK127" s="62"/>
      <c r="AL127" s="62"/>
      <c r="AM127" s="62"/>
      <c r="AN127" s="62"/>
      <c r="AO127" s="72" t="str">
        <f t="shared" si="13"/>
        <v>A</v>
      </c>
      <c r="AP127" s="62"/>
      <c r="AQ127" s="62"/>
      <c r="AR127" s="62"/>
      <c r="AS127" s="62"/>
      <c r="AT127" s="62"/>
      <c r="AU127" s="72" t="str">
        <f t="shared" si="14"/>
        <v>A</v>
      </c>
      <c r="AV127" s="62"/>
      <c r="AW127" s="62"/>
      <c r="AX127" s="62">
        <v>0</v>
      </c>
      <c r="AY127" s="62">
        <v>0</v>
      </c>
      <c r="AZ127" s="62">
        <v>0</v>
      </c>
      <c r="BA127" s="72">
        <f t="shared" si="15"/>
        <v>0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7"/>
      <c r="I128" s="7"/>
      <c r="J128" s="7"/>
      <c r="K128" s="72" t="str">
        <f t="shared" si="8"/>
        <v>A</v>
      </c>
      <c r="L128" s="62">
        <v>2</v>
      </c>
      <c r="M128" s="62"/>
      <c r="N128" s="62">
        <v>2</v>
      </c>
      <c r="O128" s="62">
        <v>2</v>
      </c>
      <c r="P128" s="62"/>
      <c r="Q128" s="72">
        <f t="shared" si="9"/>
        <v>2</v>
      </c>
      <c r="R128" s="7"/>
      <c r="S128" s="7"/>
      <c r="T128" s="7"/>
      <c r="U128" s="7"/>
      <c r="V128" s="7"/>
      <c r="W128" s="72" t="str">
        <f t="shared" si="10"/>
        <v>A</v>
      </c>
      <c r="X128" s="7"/>
      <c r="Y128" s="7"/>
      <c r="Z128" s="7"/>
      <c r="AA128" s="7"/>
      <c r="AB128" s="7"/>
      <c r="AC128" s="72" t="str">
        <f t="shared" si="11"/>
        <v>A</v>
      </c>
      <c r="AD128" s="7"/>
      <c r="AE128" s="7"/>
      <c r="AF128" s="7"/>
      <c r="AG128" s="7"/>
      <c r="AH128" s="7"/>
      <c r="AI128" s="72" t="str">
        <f t="shared" si="12"/>
        <v>A</v>
      </c>
      <c r="AJ128" s="7"/>
      <c r="AK128" s="7"/>
      <c r="AL128" s="7"/>
      <c r="AM128" s="7"/>
      <c r="AN128" s="7"/>
      <c r="AO128" s="72" t="str">
        <f t="shared" si="13"/>
        <v>A</v>
      </c>
      <c r="AP128" s="7"/>
      <c r="AQ128" s="7"/>
      <c r="AR128" s="7"/>
      <c r="AS128" s="7"/>
      <c r="AT128" s="7"/>
      <c r="AU128" s="72" t="str">
        <f t="shared" si="14"/>
        <v>A</v>
      </c>
      <c r="AV128" s="7"/>
      <c r="AW128" s="7"/>
      <c r="AX128" s="62">
        <v>2</v>
      </c>
      <c r="AY128" s="62">
        <v>0</v>
      </c>
      <c r="AZ128" s="62">
        <v>2</v>
      </c>
      <c r="BA128" s="72">
        <f t="shared" si="15"/>
        <v>1.3333333333333333</v>
      </c>
    </row>
    <row r="129" spans="1:53" ht="23.1" customHeight="1" x14ac:dyDescent="0.3">
      <c r="A129" s="62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62"/>
      <c r="G129" s="62"/>
      <c r="H129" s="62"/>
      <c r="I129" s="62"/>
      <c r="J129" s="62"/>
      <c r="K129" s="72" t="str">
        <f t="shared" si="8"/>
        <v>A</v>
      </c>
      <c r="L129" s="62">
        <v>2</v>
      </c>
      <c r="M129" s="62"/>
      <c r="N129" s="62">
        <v>2</v>
      </c>
      <c r="O129" s="62">
        <v>2</v>
      </c>
      <c r="P129" s="62"/>
      <c r="Q129" s="72">
        <f t="shared" si="9"/>
        <v>2</v>
      </c>
      <c r="R129" s="62"/>
      <c r="S129" s="62"/>
      <c r="T129" s="62"/>
      <c r="U129" s="62"/>
      <c r="V129" s="62"/>
      <c r="W129" s="72" t="str">
        <f t="shared" si="10"/>
        <v>A</v>
      </c>
      <c r="X129" s="62"/>
      <c r="Y129" s="62"/>
      <c r="Z129" s="62"/>
      <c r="AA129" s="62"/>
      <c r="AB129" s="62"/>
      <c r="AC129" s="72" t="str">
        <f t="shared" si="11"/>
        <v>A</v>
      </c>
      <c r="AD129" s="62"/>
      <c r="AE129" s="62"/>
      <c r="AF129" s="62"/>
      <c r="AG129" s="62"/>
      <c r="AH129" s="62"/>
      <c r="AI129" s="72" t="str">
        <f t="shared" si="12"/>
        <v>A</v>
      </c>
      <c r="AJ129" s="62"/>
      <c r="AK129" s="62"/>
      <c r="AL129" s="62"/>
      <c r="AM129" s="62"/>
      <c r="AN129" s="62"/>
      <c r="AO129" s="72" t="str">
        <f t="shared" si="13"/>
        <v>A</v>
      </c>
      <c r="AP129" s="62"/>
      <c r="AQ129" s="62"/>
      <c r="AR129" s="62"/>
      <c r="AS129" s="62"/>
      <c r="AT129" s="62"/>
      <c r="AU129" s="72" t="str">
        <f t="shared" si="14"/>
        <v>A</v>
      </c>
      <c r="AV129" s="62"/>
      <c r="AW129" s="62"/>
      <c r="AX129" s="62">
        <v>2</v>
      </c>
      <c r="AY129" s="62">
        <v>2</v>
      </c>
      <c r="AZ129" s="62">
        <v>2</v>
      </c>
      <c r="BA129" s="72">
        <f t="shared" si="15"/>
        <v>2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7"/>
      <c r="I130" s="7"/>
      <c r="J130" s="7"/>
      <c r="K130" s="72" t="str">
        <f t="shared" si="8"/>
        <v>A</v>
      </c>
      <c r="L130" s="62">
        <v>2</v>
      </c>
      <c r="M130" s="62"/>
      <c r="N130" s="62">
        <v>2</v>
      </c>
      <c r="O130" s="62">
        <v>2</v>
      </c>
      <c r="P130" s="62"/>
      <c r="Q130" s="72">
        <f t="shared" si="9"/>
        <v>2</v>
      </c>
      <c r="R130" s="7"/>
      <c r="S130" s="7"/>
      <c r="T130" s="7"/>
      <c r="U130" s="7"/>
      <c r="V130" s="7"/>
      <c r="W130" s="72" t="str">
        <f t="shared" si="10"/>
        <v>A</v>
      </c>
      <c r="X130" s="7"/>
      <c r="Y130" s="7"/>
      <c r="Z130" s="7"/>
      <c r="AA130" s="7"/>
      <c r="AB130" s="7"/>
      <c r="AC130" s="72" t="str">
        <f t="shared" si="11"/>
        <v>A</v>
      </c>
      <c r="AD130" s="7"/>
      <c r="AE130" s="7"/>
      <c r="AF130" s="7"/>
      <c r="AG130" s="7"/>
      <c r="AH130" s="7"/>
      <c r="AI130" s="72" t="str">
        <f t="shared" si="12"/>
        <v>A</v>
      </c>
      <c r="AJ130" s="7"/>
      <c r="AK130" s="7"/>
      <c r="AL130" s="7"/>
      <c r="AM130" s="7"/>
      <c r="AN130" s="7"/>
      <c r="AO130" s="72" t="str">
        <f t="shared" si="13"/>
        <v>A</v>
      </c>
      <c r="AP130" s="7"/>
      <c r="AQ130" s="7"/>
      <c r="AR130" s="7"/>
      <c r="AS130" s="7"/>
      <c r="AT130" s="7"/>
      <c r="AU130" s="72" t="str">
        <f t="shared" si="14"/>
        <v>A</v>
      </c>
      <c r="AV130" s="7"/>
      <c r="AW130" s="7"/>
      <c r="AX130" s="62">
        <v>2</v>
      </c>
      <c r="AY130" s="62">
        <v>2</v>
      </c>
      <c r="AZ130" s="62">
        <v>2</v>
      </c>
      <c r="BA130" s="72">
        <f t="shared" si="15"/>
        <v>2</v>
      </c>
    </row>
    <row r="131" spans="1:53" ht="23.1" customHeight="1" x14ac:dyDescent="0.3">
      <c r="A131" s="62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62"/>
      <c r="G131" s="62"/>
      <c r="H131" s="62"/>
      <c r="I131" s="62"/>
      <c r="J131" s="62"/>
      <c r="K131" s="72" t="str">
        <f t="shared" si="8"/>
        <v>A</v>
      </c>
      <c r="L131" s="62">
        <v>0</v>
      </c>
      <c r="M131" s="62"/>
      <c r="N131" s="62">
        <v>0</v>
      </c>
      <c r="O131" s="62">
        <v>0</v>
      </c>
      <c r="P131" s="62"/>
      <c r="Q131" s="72">
        <f t="shared" si="9"/>
        <v>0</v>
      </c>
      <c r="R131" s="62"/>
      <c r="S131" s="62"/>
      <c r="T131" s="62"/>
      <c r="U131" s="62"/>
      <c r="V131" s="62"/>
      <c r="W131" s="72" t="str">
        <f t="shared" si="10"/>
        <v>A</v>
      </c>
      <c r="X131" s="62"/>
      <c r="Y131" s="62"/>
      <c r="Z131" s="62"/>
      <c r="AA131" s="62"/>
      <c r="AB131" s="62"/>
      <c r="AC131" s="72" t="str">
        <f t="shared" si="11"/>
        <v>A</v>
      </c>
      <c r="AD131" s="62"/>
      <c r="AE131" s="62"/>
      <c r="AF131" s="62"/>
      <c r="AG131" s="62"/>
      <c r="AH131" s="62"/>
      <c r="AI131" s="72" t="str">
        <f t="shared" si="12"/>
        <v>A</v>
      </c>
      <c r="AJ131" s="62"/>
      <c r="AK131" s="62"/>
      <c r="AL131" s="62"/>
      <c r="AM131" s="62"/>
      <c r="AN131" s="62"/>
      <c r="AO131" s="72" t="str">
        <f t="shared" si="13"/>
        <v>A</v>
      </c>
      <c r="AP131" s="62"/>
      <c r="AQ131" s="62"/>
      <c r="AR131" s="62"/>
      <c r="AS131" s="62"/>
      <c r="AT131" s="62"/>
      <c r="AU131" s="72" t="str">
        <f t="shared" si="14"/>
        <v>A</v>
      </c>
      <c r="AV131" s="62"/>
      <c r="AW131" s="62"/>
      <c r="AX131" s="62">
        <v>0</v>
      </c>
      <c r="AY131" s="62">
        <v>0</v>
      </c>
      <c r="AZ131" s="62">
        <v>0</v>
      </c>
      <c r="BA131" s="72">
        <f t="shared" si="15"/>
        <v>0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7"/>
      <c r="I132" s="7"/>
      <c r="J132" s="7"/>
      <c r="K132" s="72" t="str">
        <f t="shared" ref="K132:K195" si="16">IFERROR(AVERAGE(F132,G132,H132,I132),"A")</f>
        <v>A</v>
      </c>
      <c r="L132" s="62">
        <v>0</v>
      </c>
      <c r="M132" s="62"/>
      <c r="N132" s="62">
        <v>0</v>
      </c>
      <c r="O132" s="62">
        <v>0</v>
      </c>
      <c r="P132" s="62"/>
      <c r="Q132" s="72">
        <f t="shared" ref="Q132:Q195" si="17">IFERROR(AVERAGE(N132,L132,O132),"A")</f>
        <v>0</v>
      </c>
      <c r="R132" s="7"/>
      <c r="S132" s="7"/>
      <c r="T132" s="7"/>
      <c r="U132" s="7"/>
      <c r="V132" s="7"/>
      <c r="W132" s="72" t="str">
        <f t="shared" ref="W132:W195" si="18">IFERROR(AVERAGE(R132,S132,U132),"A")</f>
        <v>A</v>
      </c>
      <c r="X132" s="7"/>
      <c r="Y132" s="7"/>
      <c r="Z132" s="7"/>
      <c r="AA132" s="7"/>
      <c r="AB132" s="7"/>
      <c r="AC132" s="72" t="str">
        <f t="shared" ref="AC132:AC195" si="19">IFERROR(AVERAGE(Y132,X132),"A")</f>
        <v>A</v>
      </c>
      <c r="AD132" s="7"/>
      <c r="AE132" s="7"/>
      <c r="AF132" s="7"/>
      <c r="AG132" s="7"/>
      <c r="AH132" s="7"/>
      <c r="AI132" s="72" t="str">
        <f t="shared" ref="AI132:AI195" si="20">IFERROR(AVERAGE(AF132,AD132),"A")</f>
        <v>A</v>
      </c>
      <c r="AJ132" s="7"/>
      <c r="AK132" s="7"/>
      <c r="AL132" s="7"/>
      <c r="AM132" s="7"/>
      <c r="AN132" s="7"/>
      <c r="AO132" s="72" t="str">
        <f t="shared" ref="AO132:AO195" si="21">IFERROR(AVERAGE(AJ132,AK132,AL132,AM132),"A")</f>
        <v>A</v>
      </c>
      <c r="AP132" s="7"/>
      <c r="AQ132" s="7"/>
      <c r="AR132" s="7"/>
      <c r="AS132" s="7"/>
      <c r="AT132" s="7"/>
      <c r="AU132" s="72" t="str">
        <f t="shared" ref="AU132:AU195" si="22">IFERROR(AVERAGE(AR132,AQ132,AP132),"A")</f>
        <v>A</v>
      </c>
      <c r="AV132" s="7"/>
      <c r="AW132" s="7"/>
      <c r="AX132" s="62">
        <v>0</v>
      </c>
      <c r="AY132" s="62">
        <v>0</v>
      </c>
      <c r="AZ132" s="62">
        <v>0</v>
      </c>
      <c r="BA132" s="72">
        <f t="shared" ref="BA132:BA195" si="23">IFERROR(AVERAGE(AX132,AY132,AZ132),"A")</f>
        <v>0</v>
      </c>
    </row>
    <row r="133" spans="1:53" ht="23.1" customHeight="1" x14ac:dyDescent="0.3">
      <c r="A133" s="62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62"/>
      <c r="G133" s="62"/>
      <c r="H133" s="62"/>
      <c r="I133" s="62"/>
      <c r="J133" s="62"/>
      <c r="K133" s="72" t="str">
        <f t="shared" si="16"/>
        <v>A</v>
      </c>
      <c r="L133" s="62">
        <v>0</v>
      </c>
      <c r="M133" s="62"/>
      <c r="N133" s="62">
        <v>0</v>
      </c>
      <c r="O133" s="62">
        <v>0</v>
      </c>
      <c r="P133" s="62"/>
      <c r="Q133" s="72">
        <f t="shared" si="17"/>
        <v>0</v>
      </c>
      <c r="R133" s="62"/>
      <c r="S133" s="62"/>
      <c r="T133" s="62"/>
      <c r="U133" s="62"/>
      <c r="V133" s="62"/>
      <c r="W133" s="72" t="str">
        <f t="shared" si="18"/>
        <v>A</v>
      </c>
      <c r="X133" s="62"/>
      <c r="Y133" s="62"/>
      <c r="Z133" s="62"/>
      <c r="AA133" s="62"/>
      <c r="AB133" s="62"/>
      <c r="AC133" s="72" t="str">
        <f t="shared" si="19"/>
        <v>A</v>
      </c>
      <c r="AD133" s="62"/>
      <c r="AE133" s="62"/>
      <c r="AF133" s="62"/>
      <c r="AG133" s="62"/>
      <c r="AH133" s="62"/>
      <c r="AI133" s="72" t="str">
        <f t="shared" si="20"/>
        <v>A</v>
      </c>
      <c r="AJ133" s="62"/>
      <c r="AK133" s="62"/>
      <c r="AL133" s="62"/>
      <c r="AM133" s="62"/>
      <c r="AN133" s="62"/>
      <c r="AO133" s="72" t="str">
        <f t="shared" si="21"/>
        <v>A</v>
      </c>
      <c r="AP133" s="62"/>
      <c r="AQ133" s="62"/>
      <c r="AR133" s="62"/>
      <c r="AS133" s="62"/>
      <c r="AT133" s="62"/>
      <c r="AU133" s="72" t="str">
        <f t="shared" si="22"/>
        <v>A</v>
      </c>
      <c r="AV133" s="62"/>
      <c r="AW133" s="62"/>
      <c r="AX133" s="62">
        <v>0</v>
      </c>
      <c r="AY133" s="62">
        <v>0</v>
      </c>
      <c r="AZ133" s="62">
        <v>0</v>
      </c>
      <c r="BA133" s="72">
        <f t="shared" si="23"/>
        <v>0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7"/>
      <c r="I134" s="7"/>
      <c r="J134" s="7"/>
      <c r="K134" s="72" t="str">
        <f t="shared" si="16"/>
        <v>A</v>
      </c>
      <c r="L134" s="62">
        <v>3</v>
      </c>
      <c r="M134" s="62"/>
      <c r="N134" s="62">
        <v>3</v>
      </c>
      <c r="O134" s="62">
        <v>3</v>
      </c>
      <c r="P134" s="62"/>
      <c r="Q134" s="72">
        <f t="shared" si="17"/>
        <v>3</v>
      </c>
      <c r="R134" s="7"/>
      <c r="S134" s="7"/>
      <c r="T134" s="7"/>
      <c r="U134" s="7"/>
      <c r="V134" s="7"/>
      <c r="W134" s="72" t="str">
        <f t="shared" si="18"/>
        <v>A</v>
      </c>
      <c r="X134" s="7"/>
      <c r="Y134" s="7"/>
      <c r="Z134" s="7"/>
      <c r="AA134" s="7"/>
      <c r="AB134" s="7"/>
      <c r="AC134" s="72" t="str">
        <f t="shared" si="19"/>
        <v>A</v>
      </c>
      <c r="AD134" s="7"/>
      <c r="AE134" s="7"/>
      <c r="AF134" s="7"/>
      <c r="AG134" s="7"/>
      <c r="AH134" s="7"/>
      <c r="AI134" s="72" t="str">
        <f t="shared" si="20"/>
        <v>A</v>
      </c>
      <c r="AJ134" s="7"/>
      <c r="AK134" s="7"/>
      <c r="AL134" s="7"/>
      <c r="AM134" s="7"/>
      <c r="AN134" s="7"/>
      <c r="AO134" s="72" t="str">
        <f t="shared" si="21"/>
        <v>A</v>
      </c>
      <c r="AP134" s="7"/>
      <c r="AQ134" s="7"/>
      <c r="AR134" s="7"/>
      <c r="AS134" s="7"/>
      <c r="AT134" s="7"/>
      <c r="AU134" s="72" t="str">
        <f t="shared" si="22"/>
        <v>A</v>
      </c>
      <c r="AV134" s="7"/>
      <c r="AW134" s="7"/>
      <c r="AX134" s="62">
        <v>5</v>
      </c>
      <c r="AY134" s="62">
        <v>0</v>
      </c>
      <c r="AZ134" s="62">
        <v>2</v>
      </c>
      <c r="BA134" s="72">
        <f t="shared" si="23"/>
        <v>2.3333333333333335</v>
      </c>
    </row>
    <row r="135" spans="1:53" ht="23.1" customHeight="1" x14ac:dyDescent="0.3">
      <c r="A135" s="62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62"/>
      <c r="G135" s="62"/>
      <c r="H135" s="62"/>
      <c r="I135" s="62"/>
      <c r="J135" s="62"/>
      <c r="K135" s="72" t="str">
        <f t="shared" si="16"/>
        <v>A</v>
      </c>
      <c r="L135" s="62">
        <v>4</v>
      </c>
      <c r="M135" s="62"/>
      <c r="N135" s="62">
        <v>4</v>
      </c>
      <c r="O135" s="62">
        <v>4</v>
      </c>
      <c r="P135" s="62"/>
      <c r="Q135" s="72">
        <f t="shared" si="17"/>
        <v>4</v>
      </c>
      <c r="R135" s="62"/>
      <c r="S135" s="62"/>
      <c r="T135" s="62"/>
      <c r="U135" s="62"/>
      <c r="V135" s="62"/>
      <c r="W135" s="72" t="str">
        <f t="shared" si="18"/>
        <v>A</v>
      </c>
      <c r="X135" s="62"/>
      <c r="Y135" s="62"/>
      <c r="Z135" s="62"/>
      <c r="AA135" s="62"/>
      <c r="AB135" s="62"/>
      <c r="AC135" s="72" t="str">
        <f t="shared" si="19"/>
        <v>A</v>
      </c>
      <c r="AD135" s="62"/>
      <c r="AE135" s="62"/>
      <c r="AF135" s="62"/>
      <c r="AG135" s="62"/>
      <c r="AH135" s="62"/>
      <c r="AI135" s="72" t="str">
        <f t="shared" si="20"/>
        <v>A</v>
      </c>
      <c r="AJ135" s="62"/>
      <c r="AK135" s="62"/>
      <c r="AL135" s="62"/>
      <c r="AM135" s="62"/>
      <c r="AN135" s="62"/>
      <c r="AO135" s="72" t="str">
        <f t="shared" si="21"/>
        <v>A</v>
      </c>
      <c r="AP135" s="62"/>
      <c r="AQ135" s="62"/>
      <c r="AR135" s="62"/>
      <c r="AS135" s="62"/>
      <c r="AT135" s="62"/>
      <c r="AU135" s="72" t="str">
        <f t="shared" si="22"/>
        <v>A</v>
      </c>
      <c r="AV135" s="62"/>
      <c r="AW135" s="62"/>
      <c r="AX135" s="62">
        <v>5</v>
      </c>
      <c r="AY135" s="62">
        <v>0</v>
      </c>
      <c r="AZ135" s="62">
        <v>4</v>
      </c>
      <c r="BA135" s="72">
        <f t="shared" si="23"/>
        <v>3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7"/>
      <c r="I136" s="7"/>
      <c r="J136" s="7"/>
      <c r="K136" s="72" t="str">
        <f t="shared" si="16"/>
        <v>A</v>
      </c>
      <c r="L136" s="62">
        <v>0</v>
      </c>
      <c r="M136" s="62"/>
      <c r="N136" s="62">
        <v>0</v>
      </c>
      <c r="O136" s="62">
        <v>0</v>
      </c>
      <c r="P136" s="62"/>
      <c r="Q136" s="72">
        <f t="shared" si="17"/>
        <v>0</v>
      </c>
      <c r="R136" s="7"/>
      <c r="S136" s="7"/>
      <c r="T136" s="7"/>
      <c r="U136" s="7"/>
      <c r="V136" s="7"/>
      <c r="W136" s="72" t="str">
        <f t="shared" si="18"/>
        <v>A</v>
      </c>
      <c r="X136" s="7"/>
      <c r="Y136" s="7"/>
      <c r="Z136" s="7"/>
      <c r="AA136" s="7"/>
      <c r="AB136" s="7"/>
      <c r="AC136" s="72" t="str">
        <f t="shared" si="19"/>
        <v>A</v>
      </c>
      <c r="AD136" s="7"/>
      <c r="AE136" s="7"/>
      <c r="AF136" s="7"/>
      <c r="AG136" s="7"/>
      <c r="AH136" s="7"/>
      <c r="AI136" s="72" t="str">
        <f t="shared" si="20"/>
        <v>A</v>
      </c>
      <c r="AJ136" s="7"/>
      <c r="AK136" s="7"/>
      <c r="AL136" s="7"/>
      <c r="AM136" s="7"/>
      <c r="AN136" s="7"/>
      <c r="AO136" s="72" t="str">
        <f t="shared" si="21"/>
        <v>A</v>
      </c>
      <c r="AP136" s="7"/>
      <c r="AQ136" s="7"/>
      <c r="AR136" s="7"/>
      <c r="AS136" s="7"/>
      <c r="AT136" s="7"/>
      <c r="AU136" s="72" t="str">
        <f t="shared" si="22"/>
        <v>A</v>
      </c>
      <c r="AV136" s="7"/>
      <c r="AW136" s="7"/>
      <c r="AX136" s="62">
        <v>0</v>
      </c>
      <c r="AY136" s="62">
        <v>0</v>
      </c>
      <c r="AZ136" s="62">
        <v>0</v>
      </c>
      <c r="BA136" s="72">
        <f t="shared" si="23"/>
        <v>0</v>
      </c>
    </row>
    <row r="137" spans="1:53" ht="23.1" customHeight="1" x14ac:dyDescent="0.3">
      <c r="A137" s="62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62"/>
      <c r="G137" s="62"/>
      <c r="H137" s="62"/>
      <c r="I137" s="62"/>
      <c r="J137" s="62"/>
      <c r="K137" s="72" t="str">
        <f t="shared" si="16"/>
        <v>A</v>
      </c>
      <c r="L137" s="62">
        <v>2</v>
      </c>
      <c r="M137" s="62"/>
      <c r="N137" s="62">
        <v>2</v>
      </c>
      <c r="O137" s="62">
        <v>2</v>
      </c>
      <c r="P137" s="62"/>
      <c r="Q137" s="72">
        <f t="shared" si="17"/>
        <v>2</v>
      </c>
      <c r="R137" s="62"/>
      <c r="S137" s="62"/>
      <c r="T137" s="62"/>
      <c r="U137" s="62"/>
      <c r="V137" s="62"/>
      <c r="W137" s="72" t="str">
        <f t="shared" si="18"/>
        <v>A</v>
      </c>
      <c r="X137" s="62"/>
      <c r="Y137" s="62"/>
      <c r="Z137" s="62"/>
      <c r="AA137" s="62"/>
      <c r="AB137" s="62"/>
      <c r="AC137" s="72" t="str">
        <f t="shared" si="19"/>
        <v>A</v>
      </c>
      <c r="AD137" s="62"/>
      <c r="AE137" s="62"/>
      <c r="AF137" s="62"/>
      <c r="AG137" s="62"/>
      <c r="AH137" s="62"/>
      <c r="AI137" s="72" t="str">
        <f t="shared" si="20"/>
        <v>A</v>
      </c>
      <c r="AJ137" s="62"/>
      <c r="AK137" s="62"/>
      <c r="AL137" s="62"/>
      <c r="AM137" s="62"/>
      <c r="AN137" s="62"/>
      <c r="AO137" s="72" t="str">
        <f t="shared" si="21"/>
        <v>A</v>
      </c>
      <c r="AP137" s="62"/>
      <c r="AQ137" s="62"/>
      <c r="AR137" s="62"/>
      <c r="AS137" s="62"/>
      <c r="AT137" s="62"/>
      <c r="AU137" s="72" t="str">
        <f t="shared" si="22"/>
        <v>A</v>
      </c>
      <c r="AV137" s="62"/>
      <c r="AW137" s="62"/>
      <c r="AX137" s="62">
        <v>2</v>
      </c>
      <c r="AY137" s="62">
        <v>2</v>
      </c>
      <c r="AZ137" s="62">
        <v>2</v>
      </c>
      <c r="BA137" s="72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7"/>
      <c r="I138" s="7"/>
      <c r="J138" s="7"/>
      <c r="K138" s="72" t="str">
        <f t="shared" si="16"/>
        <v>A</v>
      </c>
      <c r="L138" s="62">
        <v>2</v>
      </c>
      <c r="M138" s="62"/>
      <c r="N138" s="62">
        <v>2</v>
      </c>
      <c r="O138" s="62">
        <v>2</v>
      </c>
      <c r="P138" s="62"/>
      <c r="Q138" s="72">
        <f t="shared" si="17"/>
        <v>2</v>
      </c>
      <c r="R138" s="7"/>
      <c r="S138" s="7"/>
      <c r="T138" s="7"/>
      <c r="U138" s="7"/>
      <c r="V138" s="7"/>
      <c r="W138" s="72" t="str">
        <f t="shared" si="18"/>
        <v>A</v>
      </c>
      <c r="X138" s="7"/>
      <c r="Y138" s="7"/>
      <c r="Z138" s="7"/>
      <c r="AA138" s="7"/>
      <c r="AB138" s="7"/>
      <c r="AC138" s="72" t="str">
        <f t="shared" si="19"/>
        <v>A</v>
      </c>
      <c r="AD138" s="7"/>
      <c r="AE138" s="7"/>
      <c r="AF138" s="7"/>
      <c r="AG138" s="7"/>
      <c r="AH138" s="7"/>
      <c r="AI138" s="72" t="str">
        <f t="shared" si="20"/>
        <v>A</v>
      </c>
      <c r="AJ138" s="7"/>
      <c r="AK138" s="7"/>
      <c r="AL138" s="7"/>
      <c r="AM138" s="7"/>
      <c r="AN138" s="7"/>
      <c r="AO138" s="72" t="str">
        <f t="shared" si="21"/>
        <v>A</v>
      </c>
      <c r="AP138" s="7"/>
      <c r="AQ138" s="7"/>
      <c r="AR138" s="7"/>
      <c r="AS138" s="7"/>
      <c r="AT138" s="7"/>
      <c r="AU138" s="72" t="str">
        <f t="shared" si="22"/>
        <v>A</v>
      </c>
      <c r="AV138" s="7"/>
      <c r="AW138" s="7"/>
      <c r="AX138" s="62">
        <v>2</v>
      </c>
      <c r="AY138" s="62">
        <v>2</v>
      </c>
      <c r="AZ138" s="62">
        <v>2</v>
      </c>
      <c r="BA138" s="72">
        <f t="shared" si="23"/>
        <v>2</v>
      </c>
    </row>
    <row r="139" spans="1:53" ht="23.1" customHeight="1" x14ac:dyDescent="0.3">
      <c r="A139" s="62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62"/>
      <c r="G139" s="62"/>
      <c r="H139" s="62"/>
      <c r="I139" s="62"/>
      <c r="J139" s="62"/>
      <c r="K139" s="72" t="str">
        <f t="shared" si="16"/>
        <v>A</v>
      </c>
      <c r="L139" s="62">
        <v>3</v>
      </c>
      <c r="M139" s="62"/>
      <c r="N139" s="62">
        <v>2</v>
      </c>
      <c r="O139" s="62">
        <v>3</v>
      </c>
      <c r="P139" s="62"/>
      <c r="Q139" s="72">
        <f t="shared" si="17"/>
        <v>2.6666666666666665</v>
      </c>
      <c r="R139" s="62"/>
      <c r="S139" s="62"/>
      <c r="T139" s="62"/>
      <c r="U139" s="62"/>
      <c r="V139" s="62"/>
      <c r="W139" s="72" t="str">
        <f t="shared" si="18"/>
        <v>A</v>
      </c>
      <c r="X139" s="62"/>
      <c r="Y139" s="62"/>
      <c r="Z139" s="62"/>
      <c r="AA139" s="62"/>
      <c r="AB139" s="62"/>
      <c r="AC139" s="72" t="str">
        <f t="shared" si="19"/>
        <v>A</v>
      </c>
      <c r="AD139" s="62"/>
      <c r="AE139" s="62"/>
      <c r="AF139" s="62"/>
      <c r="AG139" s="62"/>
      <c r="AH139" s="62"/>
      <c r="AI139" s="72" t="str">
        <f t="shared" si="20"/>
        <v>A</v>
      </c>
      <c r="AJ139" s="62"/>
      <c r="AK139" s="62"/>
      <c r="AL139" s="62"/>
      <c r="AM139" s="62"/>
      <c r="AN139" s="62"/>
      <c r="AO139" s="72" t="str">
        <f t="shared" si="21"/>
        <v>A</v>
      </c>
      <c r="AP139" s="62"/>
      <c r="AQ139" s="62"/>
      <c r="AR139" s="62"/>
      <c r="AS139" s="62"/>
      <c r="AT139" s="62"/>
      <c r="AU139" s="72" t="str">
        <f t="shared" si="22"/>
        <v>A</v>
      </c>
      <c r="AV139" s="62"/>
      <c r="AW139" s="62"/>
      <c r="AX139" s="62">
        <v>5</v>
      </c>
      <c r="AY139" s="62">
        <v>0</v>
      </c>
      <c r="AZ139" s="62">
        <v>3</v>
      </c>
      <c r="BA139" s="72">
        <f t="shared" si="23"/>
        <v>2.6666666666666665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7"/>
      <c r="I140" s="7"/>
      <c r="J140" s="7"/>
      <c r="K140" s="72" t="str">
        <f t="shared" si="16"/>
        <v>A</v>
      </c>
      <c r="L140" s="62">
        <v>2</v>
      </c>
      <c r="M140" s="62"/>
      <c r="N140" s="62">
        <v>2</v>
      </c>
      <c r="O140" s="62">
        <v>2</v>
      </c>
      <c r="P140" s="62"/>
      <c r="Q140" s="72">
        <f t="shared" si="17"/>
        <v>2</v>
      </c>
      <c r="R140" s="7"/>
      <c r="S140" s="7"/>
      <c r="T140" s="7"/>
      <c r="U140" s="7"/>
      <c r="V140" s="7"/>
      <c r="W140" s="72" t="str">
        <f t="shared" si="18"/>
        <v>A</v>
      </c>
      <c r="X140" s="7"/>
      <c r="Y140" s="7"/>
      <c r="Z140" s="7"/>
      <c r="AA140" s="7"/>
      <c r="AB140" s="7"/>
      <c r="AC140" s="72" t="str">
        <f t="shared" si="19"/>
        <v>A</v>
      </c>
      <c r="AD140" s="7"/>
      <c r="AE140" s="7"/>
      <c r="AF140" s="7"/>
      <c r="AG140" s="7"/>
      <c r="AH140" s="7"/>
      <c r="AI140" s="72" t="str">
        <f t="shared" si="20"/>
        <v>A</v>
      </c>
      <c r="AJ140" s="7"/>
      <c r="AK140" s="7"/>
      <c r="AL140" s="7"/>
      <c r="AM140" s="7"/>
      <c r="AN140" s="7"/>
      <c r="AO140" s="72" t="str">
        <f t="shared" si="21"/>
        <v>A</v>
      </c>
      <c r="AP140" s="7"/>
      <c r="AQ140" s="7"/>
      <c r="AR140" s="7"/>
      <c r="AS140" s="7"/>
      <c r="AT140" s="7"/>
      <c r="AU140" s="72" t="str">
        <f t="shared" si="22"/>
        <v>A</v>
      </c>
      <c r="AV140" s="7"/>
      <c r="AW140" s="7"/>
      <c r="AX140" s="62">
        <v>5</v>
      </c>
      <c r="AY140" s="62">
        <v>0</v>
      </c>
      <c r="AZ140" s="62">
        <v>2</v>
      </c>
      <c r="BA140" s="72">
        <f t="shared" si="23"/>
        <v>2.3333333333333335</v>
      </c>
    </row>
    <row r="141" spans="1:53" ht="23.1" customHeight="1" x14ac:dyDescent="0.3">
      <c r="A141" s="62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62"/>
      <c r="G141" s="62"/>
      <c r="H141" s="62"/>
      <c r="I141" s="62"/>
      <c r="J141" s="62"/>
      <c r="K141" s="72" t="str">
        <f t="shared" si="16"/>
        <v>A</v>
      </c>
      <c r="L141" s="62">
        <v>0</v>
      </c>
      <c r="M141" s="62"/>
      <c r="N141" s="62">
        <v>0</v>
      </c>
      <c r="O141" s="62">
        <v>0</v>
      </c>
      <c r="P141" s="62"/>
      <c r="Q141" s="72">
        <f t="shared" si="17"/>
        <v>0</v>
      </c>
      <c r="R141" s="62"/>
      <c r="S141" s="62"/>
      <c r="T141" s="62"/>
      <c r="U141" s="62"/>
      <c r="V141" s="62"/>
      <c r="W141" s="72" t="str">
        <f t="shared" si="18"/>
        <v>A</v>
      </c>
      <c r="X141" s="62"/>
      <c r="Y141" s="62"/>
      <c r="Z141" s="62"/>
      <c r="AA141" s="62"/>
      <c r="AB141" s="62"/>
      <c r="AC141" s="72" t="str">
        <f t="shared" si="19"/>
        <v>A</v>
      </c>
      <c r="AD141" s="62"/>
      <c r="AE141" s="62"/>
      <c r="AF141" s="62"/>
      <c r="AG141" s="62"/>
      <c r="AH141" s="62"/>
      <c r="AI141" s="72" t="str">
        <f t="shared" si="20"/>
        <v>A</v>
      </c>
      <c r="AJ141" s="62"/>
      <c r="AK141" s="62"/>
      <c r="AL141" s="62"/>
      <c r="AM141" s="62"/>
      <c r="AN141" s="62"/>
      <c r="AO141" s="72" t="str">
        <f t="shared" si="21"/>
        <v>A</v>
      </c>
      <c r="AP141" s="62"/>
      <c r="AQ141" s="62"/>
      <c r="AR141" s="62"/>
      <c r="AS141" s="62"/>
      <c r="AT141" s="62"/>
      <c r="AU141" s="72" t="str">
        <f t="shared" si="22"/>
        <v>A</v>
      </c>
      <c r="AV141" s="62"/>
      <c r="AW141" s="62"/>
      <c r="AX141" s="62">
        <v>0</v>
      </c>
      <c r="AY141" s="62">
        <v>0</v>
      </c>
      <c r="AZ141" s="62">
        <v>0</v>
      </c>
      <c r="BA141" s="72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7"/>
      <c r="I142" s="7"/>
      <c r="J142" s="7"/>
      <c r="K142" s="72" t="str">
        <f t="shared" si="16"/>
        <v>A</v>
      </c>
      <c r="L142" s="62">
        <v>2</v>
      </c>
      <c r="M142" s="62"/>
      <c r="N142" s="62">
        <v>2</v>
      </c>
      <c r="O142" s="62">
        <v>2</v>
      </c>
      <c r="P142" s="62"/>
      <c r="Q142" s="72">
        <f t="shared" si="17"/>
        <v>2</v>
      </c>
      <c r="R142" s="7"/>
      <c r="S142" s="7"/>
      <c r="T142" s="7"/>
      <c r="U142" s="7"/>
      <c r="V142" s="7"/>
      <c r="W142" s="72" t="str">
        <f t="shared" si="18"/>
        <v>A</v>
      </c>
      <c r="X142" s="7"/>
      <c r="Y142" s="7"/>
      <c r="Z142" s="7"/>
      <c r="AA142" s="7"/>
      <c r="AB142" s="7"/>
      <c r="AC142" s="72" t="str">
        <f t="shared" si="19"/>
        <v>A</v>
      </c>
      <c r="AD142" s="7"/>
      <c r="AE142" s="7"/>
      <c r="AF142" s="7"/>
      <c r="AG142" s="7"/>
      <c r="AH142" s="7"/>
      <c r="AI142" s="72" t="str">
        <f t="shared" si="20"/>
        <v>A</v>
      </c>
      <c r="AJ142" s="7"/>
      <c r="AK142" s="7"/>
      <c r="AL142" s="7"/>
      <c r="AM142" s="7"/>
      <c r="AN142" s="7"/>
      <c r="AO142" s="72" t="str">
        <f t="shared" si="21"/>
        <v>A</v>
      </c>
      <c r="AP142" s="7"/>
      <c r="AQ142" s="7"/>
      <c r="AR142" s="7"/>
      <c r="AS142" s="7"/>
      <c r="AT142" s="7"/>
      <c r="AU142" s="72" t="str">
        <f t="shared" si="22"/>
        <v>A</v>
      </c>
      <c r="AV142" s="7"/>
      <c r="AW142" s="7"/>
      <c r="AX142" s="62">
        <v>2</v>
      </c>
      <c r="AY142" s="62">
        <v>2</v>
      </c>
      <c r="AZ142" s="62">
        <v>2</v>
      </c>
      <c r="BA142" s="72">
        <f t="shared" si="23"/>
        <v>2</v>
      </c>
    </row>
    <row r="143" spans="1:53" ht="23.1" customHeight="1" x14ac:dyDescent="0.3">
      <c r="A143" s="62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62"/>
      <c r="G143" s="62"/>
      <c r="H143" s="62"/>
      <c r="I143" s="62"/>
      <c r="J143" s="62"/>
      <c r="K143" s="72" t="str">
        <f t="shared" si="16"/>
        <v>A</v>
      </c>
      <c r="L143" s="62">
        <v>0</v>
      </c>
      <c r="M143" s="62"/>
      <c r="N143" s="62">
        <v>0</v>
      </c>
      <c r="O143" s="62">
        <v>0</v>
      </c>
      <c r="P143" s="62"/>
      <c r="Q143" s="72">
        <f t="shared" si="17"/>
        <v>0</v>
      </c>
      <c r="R143" s="62"/>
      <c r="S143" s="62"/>
      <c r="T143" s="62"/>
      <c r="U143" s="62"/>
      <c r="V143" s="62"/>
      <c r="W143" s="72" t="str">
        <f t="shared" si="18"/>
        <v>A</v>
      </c>
      <c r="X143" s="62"/>
      <c r="Y143" s="62"/>
      <c r="Z143" s="62"/>
      <c r="AA143" s="62"/>
      <c r="AB143" s="62"/>
      <c r="AC143" s="72" t="str">
        <f t="shared" si="19"/>
        <v>A</v>
      </c>
      <c r="AD143" s="62"/>
      <c r="AE143" s="62"/>
      <c r="AF143" s="62"/>
      <c r="AG143" s="62"/>
      <c r="AH143" s="62"/>
      <c r="AI143" s="72" t="str">
        <f t="shared" si="20"/>
        <v>A</v>
      </c>
      <c r="AJ143" s="62"/>
      <c r="AK143" s="62"/>
      <c r="AL143" s="62"/>
      <c r="AM143" s="62"/>
      <c r="AN143" s="62"/>
      <c r="AO143" s="72" t="str">
        <f t="shared" si="21"/>
        <v>A</v>
      </c>
      <c r="AP143" s="62"/>
      <c r="AQ143" s="62"/>
      <c r="AR143" s="62"/>
      <c r="AS143" s="62"/>
      <c r="AT143" s="62"/>
      <c r="AU143" s="72" t="str">
        <f t="shared" si="22"/>
        <v>A</v>
      </c>
      <c r="AV143" s="62"/>
      <c r="AW143" s="62"/>
      <c r="AX143" s="62">
        <v>0</v>
      </c>
      <c r="AY143" s="62">
        <v>0</v>
      </c>
      <c r="AZ143" s="62">
        <v>0</v>
      </c>
      <c r="BA143" s="72">
        <f t="shared" si="23"/>
        <v>0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7"/>
      <c r="I144" s="7"/>
      <c r="J144" s="7"/>
      <c r="K144" s="72" t="str">
        <f t="shared" si="16"/>
        <v>A</v>
      </c>
      <c r="L144" s="62">
        <v>1</v>
      </c>
      <c r="M144" s="62"/>
      <c r="N144" s="62">
        <v>1</v>
      </c>
      <c r="O144" s="62">
        <v>1</v>
      </c>
      <c r="P144" s="62"/>
      <c r="Q144" s="72">
        <f t="shared" si="17"/>
        <v>1</v>
      </c>
      <c r="R144" s="7"/>
      <c r="S144" s="7"/>
      <c r="T144" s="7"/>
      <c r="U144" s="7"/>
      <c r="V144" s="7"/>
      <c r="W144" s="72" t="str">
        <f t="shared" si="18"/>
        <v>A</v>
      </c>
      <c r="X144" s="7"/>
      <c r="Y144" s="7"/>
      <c r="Z144" s="7"/>
      <c r="AA144" s="7"/>
      <c r="AB144" s="7"/>
      <c r="AC144" s="72" t="str">
        <f t="shared" si="19"/>
        <v>A</v>
      </c>
      <c r="AD144" s="7"/>
      <c r="AE144" s="7"/>
      <c r="AF144" s="7"/>
      <c r="AG144" s="7"/>
      <c r="AH144" s="7"/>
      <c r="AI144" s="72" t="str">
        <f t="shared" si="20"/>
        <v>A</v>
      </c>
      <c r="AJ144" s="7"/>
      <c r="AK144" s="7"/>
      <c r="AL144" s="7"/>
      <c r="AM144" s="7"/>
      <c r="AN144" s="7"/>
      <c r="AO144" s="72" t="str">
        <f t="shared" si="21"/>
        <v>A</v>
      </c>
      <c r="AP144" s="7"/>
      <c r="AQ144" s="7"/>
      <c r="AR144" s="7"/>
      <c r="AS144" s="7"/>
      <c r="AT144" s="7"/>
      <c r="AU144" s="72" t="str">
        <f t="shared" si="22"/>
        <v>A</v>
      </c>
      <c r="AV144" s="7"/>
      <c r="AW144" s="7"/>
      <c r="AX144" s="62">
        <v>5</v>
      </c>
      <c r="AY144" s="62">
        <v>0</v>
      </c>
      <c r="AZ144" s="62">
        <v>1</v>
      </c>
      <c r="BA144" s="72">
        <f t="shared" si="23"/>
        <v>2</v>
      </c>
    </row>
    <row r="145" spans="1:53" ht="23.1" customHeight="1" x14ac:dyDescent="0.3">
      <c r="A145" s="62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62"/>
      <c r="G145" s="62"/>
      <c r="H145" s="62"/>
      <c r="I145" s="62"/>
      <c r="J145" s="62"/>
      <c r="K145" s="72" t="str">
        <f t="shared" si="16"/>
        <v>A</v>
      </c>
      <c r="L145" s="62">
        <v>0</v>
      </c>
      <c r="M145" s="62"/>
      <c r="N145" s="62">
        <v>0</v>
      </c>
      <c r="O145" s="62">
        <v>0</v>
      </c>
      <c r="P145" s="62"/>
      <c r="Q145" s="72">
        <f t="shared" si="17"/>
        <v>0</v>
      </c>
      <c r="R145" s="62"/>
      <c r="S145" s="62"/>
      <c r="T145" s="62"/>
      <c r="U145" s="62"/>
      <c r="V145" s="62"/>
      <c r="W145" s="72" t="str">
        <f t="shared" si="18"/>
        <v>A</v>
      </c>
      <c r="X145" s="62"/>
      <c r="Y145" s="62"/>
      <c r="Z145" s="62"/>
      <c r="AA145" s="62"/>
      <c r="AB145" s="62"/>
      <c r="AC145" s="72" t="str">
        <f t="shared" si="19"/>
        <v>A</v>
      </c>
      <c r="AD145" s="62"/>
      <c r="AE145" s="62"/>
      <c r="AF145" s="62"/>
      <c r="AG145" s="62"/>
      <c r="AH145" s="62"/>
      <c r="AI145" s="72" t="str">
        <f t="shared" si="20"/>
        <v>A</v>
      </c>
      <c r="AJ145" s="62"/>
      <c r="AK145" s="62"/>
      <c r="AL145" s="62"/>
      <c r="AM145" s="62"/>
      <c r="AN145" s="62"/>
      <c r="AO145" s="72" t="str">
        <f t="shared" si="21"/>
        <v>A</v>
      </c>
      <c r="AP145" s="62"/>
      <c r="AQ145" s="62"/>
      <c r="AR145" s="62"/>
      <c r="AS145" s="62"/>
      <c r="AT145" s="62"/>
      <c r="AU145" s="72" t="str">
        <f t="shared" si="22"/>
        <v>A</v>
      </c>
      <c r="AV145" s="62"/>
      <c r="AW145" s="62"/>
      <c r="AX145" s="62">
        <v>0</v>
      </c>
      <c r="AY145" s="62">
        <v>0</v>
      </c>
      <c r="AZ145" s="62">
        <v>0</v>
      </c>
      <c r="BA145" s="72">
        <f t="shared" si="23"/>
        <v>0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7"/>
      <c r="I146" s="7"/>
      <c r="J146" s="7"/>
      <c r="K146" s="72" t="str">
        <f t="shared" si="16"/>
        <v>A</v>
      </c>
      <c r="L146" s="62">
        <v>4</v>
      </c>
      <c r="M146" s="62"/>
      <c r="N146" s="62">
        <v>4</v>
      </c>
      <c r="O146" s="62">
        <v>4</v>
      </c>
      <c r="P146" s="62"/>
      <c r="Q146" s="72">
        <f t="shared" si="17"/>
        <v>4</v>
      </c>
      <c r="R146" s="7"/>
      <c r="S146" s="7"/>
      <c r="T146" s="7"/>
      <c r="U146" s="7"/>
      <c r="V146" s="7"/>
      <c r="W146" s="72" t="str">
        <f t="shared" si="18"/>
        <v>A</v>
      </c>
      <c r="X146" s="7"/>
      <c r="Y146" s="7"/>
      <c r="Z146" s="7"/>
      <c r="AA146" s="7"/>
      <c r="AB146" s="7"/>
      <c r="AC146" s="72" t="str">
        <f t="shared" si="19"/>
        <v>A</v>
      </c>
      <c r="AD146" s="7"/>
      <c r="AE146" s="7"/>
      <c r="AF146" s="7"/>
      <c r="AG146" s="7"/>
      <c r="AH146" s="7"/>
      <c r="AI146" s="72" t="str">
        <f t="shared" si="20"/>
        <v>A</v>
      </c>
      <c r="AJ146" s="7"/>
      <c r="AK146" s="7"/>
      <c r="AL146" s="7"/>
      <c r="AM146" s="7"/>
      <c r="AN146" s="7"/>
      <c r="AO146" s="72" t="str">
        <f t="shared" si="21"/>
        <v>A</v>
      </c>
      <c r="AP146" s="7"/>
      <c r="AQ146" s="7"/>
      <c r="AR146" s="7"/>
      <c r="AS146" s="7"/>
      <c r="AT146" s="7"/>
      <c r="AU146" s="72" t="str">
        <f t="shared" si="22"/>
        <v>A</v>
      </c>
      <c r="AV146" s="7"/>
      <c r="AW146" s="7"/>
      <c r="AX146" s="62">
        <v>5</v>
      </c>
      <c r="AY146" s="62">
        <v>0</v>
      </c>
      <c r="AZ146" s="62">
        <v>4</v>
      </c>
      <c r="BA146" s="72">
        <f t="shared" si="23"/>
        <v>3</v>
      </c>
    </row>
    <row r="147" spans="1:53" ht="23.1" customHeight="1" x14ac:dyDescent="0.3">
      <c r="A147" s="62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62"/>
      <c r="G147" s="62"/>
      <c r="H147" s="62"/>
      <c r="I147" s="62"/>
      <c r="J147" s="62"/>
      <c r="K147" s="72" t="str">
        <f t="shared" si="16"/>
        <v>A</v>
      </c>
      <c r="L147" s="62">
        <v>2</v>
      </c>
      <c r="M147" s="62"/>
      <c r="N147" s="62">
        <v>2</v>
      </c>
      <c r="O147" s="62">
        <v>2</v>
      </c>
      <c r="P147" s="62"/>
      <c r="Q147" s="72">
        <f t="shared" si="17"/>
        <v>2</v>
      </c>
      <c r="R147" s="62"/>
      <c r="S147" s="62"/>
      <c r="T147" s="62"/>
      <c r="U147" s="62"/>
      <c r="V147" s="62"/>
      <c r="W147" s="72" t="str">
        <f t="shared" si="18"/>
        <v>A</v>
      </c>
      <c r="X147" s="62"/>
      <c r="Y147" s="62"/>
      <c r="Z147" s="62"/>
      <c r="AA147" s="62"/>
      <c r="AB147" s="62"/>
      <c r="AC147" s="72" t="str">
        <f t="shared" si="19"/>
        <v>A</v>
      </c>
      <c r="AD147" s="62"/>
      <c r="AE147" s="62"/>
      <c r="AF147" s="62"/>
      <c r="AG147" s="62"/>
      <c r="AH147" s="62"/>
      <c r="AI147" s="72" t="str">
        <f t="shared" si="20"/>
        <v>A</v>
      </c>
      <c r="AJ147" s="62"/>
      <c r="AK147" s="62"/>
      <c r="AL147" s="62"/>
      <c r="AM147" s="62"/>
      <c r="AN147" s="62"/>
      <c r="AO147" s="72" t="str">
        <f t="shared" si="21"/>
        <v>A</v>
      </c>
      <c r="AP147" s="62"/>
      <c r="AQ147" s="62"/>
      <c r="AR147" s="62"/>
      <c r="AS147" s="62"/>
      <c r="AT147" s="62"/>
      <c r="AU147" s="72" t="str">
        <f t="shared" si="22"/>
        <v>A</v>
      </c>
      <c r="AV147" s="62"/>
      <c r="AW147" s="62"/>
      <c r="AX147" s="62">
        <v>2</v>
      </c>
      <c r="AY147" s="62">
        <v>2</v>
      </c>
      <c r="AZ147" s="62">
        <v>2</v>
      </c>
      <c r="BA147" s="72">
        <f t="shared" si="23"/>
        <v>2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7"/>
      <c r="I148" s="7"/>
      <c r="J148" s="7"/>
      <c r="K148" s="72" t="str">
        <f t="shared" si="16"/>
        <v>A</v>
      </c>
      <c r="L148" s="62">
        <v>2</v>
      </c>
      <c r="M148" s="62"/>
      <c r="N148" s="62">
        <v>2</v>
      </c>
      <c r="O148" s="62">
        <v>2</v>
      </c>
      <c r="P148" s="62"/>
      <c r="Q148" s="72">
        <f t="shared" si="17"/>
        <v>2</v>
      </c>
      <c r="R148" s="7"/>
      <c r="S148" s="7"/>
      <c r="T148" s="7"/>
      <c r="U148" s="7"/>
      <c r="V148" s="7"/>
      <c r="W148" s="72" t="str">
        <f t="shared" si="18"/>
        <v>A</v>
      </c>
      <c r="X148" s="7"/>
      <c r="Y148" s="7"/>
      <c r="Z148" s="7"/>
      <c r="AA148" s="7"/>
      <c r="AB148" s="7"/>
      <c r="AC148" s="72" t="str">
        <f t="shared" si="19"/>
        <v>A</v>
      </c>
      <c r="AD148" s="7"/>
      <c r="AE148" s="7"/>
      <c r="AF148" s="7"/>
      <c r="AG148" s="7"/>
      <c r="AH148" s="7"/>
      <c r="AI148" s="72" t="str">
        <f t="shared" si="20"/>
        <v>A</v>
      </c>
      <c r="AJ148" s="7"/>
      <c r="AK148" s="7"/>
      <c r="AL148" s="7"/>
      <c r="AM148" s="7"/>
      <c r="AN148" s="7"/>
      <c r="AO148" s="72" t="str">
        <f t="shared" si="21"/>
        <v>A</v>
      </c>
      <c r="AP148" s="7"/>
      <c r="AQ148" s="7"/>
      <c r="AR148" s="7"/>
      <c r="AS148" s="7"/>
      <c r="AT148" s="7"/>
      <c r="AU148" s="72" t="str">
        <f t="shared" si="22"/>
        <v>A</v>
      </c>
      <c r="AV148" s="7"/>
      <c r="AW148" s="7"/>
      <c r="AX148" s="62">
        <v>2</v>
      </c>
      <c r="AY148" s="62">
        <v>2</v>
      </c>
      <c r="AZ148" s="62">
        <v>2</v>
      </c>
      <c r="BA148" s="72">
        <f t="shared" si="23"/>
        <v>2</v>
      </c>
    </row>
    <row r="149" spans="1:53" ht="23.1" customHeight="1" x14ac:dyDescent="0.3">
      <c r="A149" s="62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62"/>
      <c r="G149" s="62"/>
      <c r="H149" s="62"/>
      <c r="I149" s="62"/>
      <c r="J149" s="62"/>
      <c r="K149" s="72" t="str">
        <f t="shared" si="16"/>
        <v>A</v>
      </c>
      <c r="L149" s="62">
        <v>4</v>
      </c>
      <c r="M149" s="62"/>
      <c r="N149" s="62">
        <v>4</v>
      </c>
      <c r="O149" s="62">
        <v>3</v>
      </c>
      <c r="P149" s="62"/>
      <c r="Q149" s="72">
        <f t="shared" si="17"/>
        <v>3.6666666666666665</v>
      </c>
      <c r="R149" s="62"/>
      <c r="S149" s="62"/>
      <c r="T149" s="62"/>
      <c r="U149" s="62"/>
      <c r="V149" s="62"/>
      <c r="W149" s="72" t="str">
        <f t="shared" si="18"/>
        <v>A</v>
      </c>
      <c r="X149" s="62"/>
      <c r="Y149" s="62"/>
      <c r="Z149" s="62"/>
      <c r="AA149" s="62"/>
      <c r="AB149" s="62"/>
      <c r="AC149" s="72" t="str">
        <f t="shared" si="19"/>
        <v>A</v>
      </c>
      <c r="AD149" s="62"/>
      <c r="AE149" s="62"/>
      <c r="AF149" s="62"/>
      <c r="AG149" s="62"/>
      <c r="AH149" s="62"/>
      <c r="AI149" s="72" t="str">
        <f t="shared" si="20"/>
        <v>A</v>
      </c>
      <c r="AJ149" s="62"/>
      <c r="AK149" s="62"/>
      <c r="AL149" s="62"/>
      <c r="AM149" s="62"/>
      <c r="AN149" s="62"/>
      <c r="AO149" s="72" t="str">
        <f t="shared" si="21"/>
        <v>A</v>
      </c>
      <c r="AP149" s="62"/>
      <c r="AQ149" s="62"/>
      <c r="AR149" s="62"/>
      <c r="AS149" s="62"/>
      <c r="AT149" s="62"/>
      <c r="AU149" s="72" t="str">
        <f t="shared" si="22"/>
        <v>A</v>
      </c>
      <c r="AV149" s="62"/>
      <c r="AW149" s="62"/>
      <c r="AX149" s="62">
        <v>5</v>
      </c>
      <c r="AY149" s="62">
        <v>0</v>
      </c>
      <c r="AZ149" s="62">
        <v>4</v>
      </c>
      <c r="BA149" s="72">
        <f t="shared" si="23"/>
        <v>3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7"/>
      <c r="I150" s="7"/>
      <c r="J150" s="7"/>
      <c r="K150" s="72" t="str">
        <f t="shared" si="16"/>
        <v>A</v>
      </c>
      <c r="L150" s="62">
        <v>3</v>
      </c>
      <c r="M150" s="62"/>
      <c r="N150" s="62">
        <v>2</v>
      </c>
      <c r="O150" s="62">
        <v>3</v>
      </c>
      <c r="P150" s="62"/>
      <c r="Q150" s="72">
        <f t="shared" si="17"/>
        <v>2.6666666666666665</v>
      </c>
      <c r="R150" s="7"/>
      <c r="S150" s="7"/>
      <c r="T150" s="7"/>
      <c r="U150" s="7"/>
      <c r="V150" s="7"/>
      <c r="W150" s="72" t="str">
        <f t="shared" si="18"/>
        <v>A</v>
      </c>
      <c r="X150" s="7"/>
      <c r="Y150" s="7"/>
      <c r="Z150" s="7"/>
      <c r="AA150" s="7"/>
      <c r="AB150" s="7"/>
      <c r="AC150" s="72" t="str">
        <f t="shared" si="19"/>
        <v>A</v>
      </c>
      <c r="AD150" s="7"/>
      <c r="AE150" s="7"/>
      <c r="AF150" s="7"/>
      <c r="AG150" s="7"/>
      <c r="AH150" s="7"/>
      <c r="AI150" s="72" t="str">
        <f t="shared" si="20"/>
        <v>A</v>
      </c>
      <c r="AJ150" s="7"/>
      <c r="AK150" s="7"/>
      <c r="AL150" s="7"/>
      <c r="AM150" s="7"/>
      <c r="AN150" s="7"/>
      <c r="AO150" s="72" t="str">
        <f t="shared" si="21"/>
        <v>A</v>
      </c>
      <c r="AP150" s="7"/>
      <c r="AQ150" s="7"/>
      <c r="AR150" s="7"/>
      <c r="AS150" s="7"/>
      <c r="AT150" s="7"/>
      <c r="AU150" s="72" t="str">
        <f t="shared" si="22"/>
        <v>A</v>
      </c>
      <c r="AV150" s="7"/>
      <c r="AW150" s="7"/>
      <c r="AX150" s="62">
        <v>5</v>
      </c>
      <c r="AY150" s="62">
        <v>2</v>
      </c>
      <c r="AZ150" s="62">
        <v>3</v>
      </c>
      <c r="BA150" s="72">
        <f t="shared" si="23"/>
        <v>3.3333333333333335</v>
      </c>
    </row>
    <row r="151" spans="1:53" ht="23.1" customHeight="1" x14ac:dyDescent="0.3">
      <c r="A151" s="62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62"/>
      <c r="G151" s="62"/>
      <c r="H151" s="62"/>
      <c r="I151" s="62"/>
      <c r="J151" s="62"/>
      <c r="K151" s="72" t="str">
        <f t="shared" si="16"/>
        <v>A</v>
      </c>
      <c r="L151" s="62">
        <v>0</v>
      </c>
      <c r="M151" s="62"/>
      <c r="N151" s="62">
        <v>0</v>
      </c>
      <c r="O151" s="62">
        <v>0</v>
      </c>
      <c r="P151" s="62"/>
      <c r="Q151" s="72">
        <f t="shared" si="17"/>
        <v>0</v>
      </c>
      <c r="R151" s="62"/>
      <c r="S151" s="62"/>
      <c r="T151" s="62"/>
      <c r="U151" s="62"/>
      <c r="V151" s="62"/>
      <c r="W151" s="72" t="str">
        <f t="shared" si="18"/>
        <v>A</v>
      </c>
      <c r="X151" s="62"/>
      <c r="Y151" s="62"/>
      <c r="Z151" s="62"/>
      <c r="AA151" s="62"/>
      <c r="AB151" s="62"/>
      <c r="AC151" s="72" t="str">
        <f t="shared" si="19"/>
        <v>A</v>
      </c>
      <c r="AD151" s="62"/>
      <c r="AE151" s="62"/>
      <c r="AF151" s="62"/>
      <c r="AG151" s="62"/>
      <c r="AH151" s="62"/>
      <c r="AI151" s="72" t="str">
        <f t="shared" si="20"/>
        <v>A</v>
      </c>
      <c r="AJ151" s="62"/>
      <c r="AK151" s="62"/>
      <c r="AL151" s="62"/>
      <c r="AM151" s="62"/>
      <c r="AN151" s="62"/>
      <c r="AO151" s="72" t="str">
        <f t="shared" si="21"/>
        <v>A</v>
      </c>
      <c r="AP151" s="62"/>
      <c r="AQ151" s="62"/>
      <c r="AR151" s="62"/>
      <c r="AS151" s="62"/>
      <c r="AT151" s="62"/>
      <c r="AU151" s="72" t="str">
        <f t="shared" si="22"/>
        <v>A</v>
      </c>
      <c r="AV151" s="62"/>
      <c r="AW151" s="62"/>
      <c r="AX151" s="62">
        <v>0</v>
      </c>
      <c r="AY151" s="62">
        <v>0</v>
      </c>
      <c r="AZ151" s="62">
        <v>0</v>
      </c>
      <c r="BA151" s="72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7"/>
      <c r="I152" s="7"/>
      <c r="J152" s="7"/>
      <c r="K152" s="72" t="str">
        <f t="shared" si="16"/>
        <v>A</v>
      </c>
      <c r="L152" s="62">
        <v>2</v>
      </c>
      <c r="M152" s="62"/>
      <c r="N152" s="62">
        <v>2</v>
      </c>
      <c r="O152" s="62">
        <v>2</v>
      </c>
      <c r="P152" s="62"/>
      <c r="Q152" s="72">
        <f t="shared" si="17"/>
        <v>2</v>
      </c>
      <c r="R152" s="7"/>
      <c r="S152" s="7"/>
      <c r="T152" s="7"/>
      <c r="U152" s="7"/>
      <c r="V152" s="7"/>
      <c r="W152" s="72" t="str">
        <f t="shared" si="18"/>
        <v>A</v>
      </c>
      <c r="X152" s="7"/>
      <c r="Y152" s="7"/>
      <c r="Z152" s="7"/>
      <c r="AA152" s="7"/>
      <c r="AB152" s="7"/>
      <c r="AC152" s="72" t="str">
        <f t="shared" si="19"/>
        <v>A</v>
      </c>
      <c r="AD152" s="7"/>
      <c r="AE152" s="7"/>
      <c r="AF152" s="7"/>
      <c r="AG152" s="7"/>
      <c r="AH152" s="7"/>
      <c r="AI152" s="72" t="str">
        <f t="shared" si="20"/>
        <v>A</v>
      </c>
      <c r="AJ152" s="7"/>
      <c r="AK152" s="7"/>
      <c r="AL152" s="7"/>
      <c r="AM152" s="7"/>
      <c r="AN152" s="7"/>
      <c r="AO152" s="72" t="str">
        <f t="shared" si="21"/>
        <v>A</v>
      </c>
      <c r="AP152" s="7"/>
      <c r="AQ152" s="7"/>
      <c r="AR152" s="7"/>
      <c r="AS152" s="7"/>
      <c r="AT152" s="7"/>
      <c r="AU152" s="72" t="str">
        <f t="shared" si="22"/>
        <v>A</v>
      </c>
      <c r="AV152" s="7"/>
      <c r="AW152" s="7"/>
      <c r="AX152" s="62">
        <v>5</v>
      </c>
      <c r="AY152" s="62">
        <v>2</v>
      </c>
      <c r="AZ152" s="62">
        <v>2</v>
      </c>
      <c r="BA152" s="72">
        <f t="shared" si="23"/>
        <v>3</v>
      </c>
    </row>
    <row r="153" spans="1:53" ht="23.1" customHeight="1" x14ac:dyDescent="0.3">
      <c r="A153" s="62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62"/>
      <c r="G153" s="62"/>
      <c r="H153" s="62"/>
      <c r="I153" s="62"/>
      <c r="J153" s="62"/>
      <c r="K153" s="72" t="str">
        <f t="shared" si="16"/>
        <v>A</v>
      </c>
      <c r="L153" s="62">
        <v>0</v>
      </c>
      <c r="M153" s="62"/>
      <c r="N153" s="62">
        <v>0</v>
      </c>
      <c r="O153" s="62">
        <v>0</v>
      </c>
      <c r="P153" s="62"/>
      <c r="Q153" s="72">
        <f t="shared" si="17"/>
        <v>0</v>
      </c>
      <c r="R153" s="62"/>
      <c r="S153" s="62"/>
      <c r="T153" s="62"/>
      <c r="U153" s="62"/>
      <c r="V153" s="62"/>
      <c r="W153" s="72" t="str">
        <f t="shared" si="18"/>
        <v>A</v>
      </c>
      <c r="X153" s="62"/>
      <c r="Y153" s="62"/>
      <c r="Z153" s="62"/>
      <c r="AA153" s="62"/>
      <c r="AB153" s="62"/>
      <c r="AC153" s="72" t="str">
        <f t="shared" si="19"/>
        <v>A</v>
      </c>
      <c r="AD153" s="62"/>
      <c r="AE153" s="62"/>
      <c r="AF153" s="62"/>
      <c r="AG153" s="62"/>
      <c r="AH153" s="62"/>
      <c r="AI153" s="72" t="str">
        <f t="shared" si="20"/>
        <v>A</v>
      </c>
      <c r="AJ153" s="62"/>
      <c r="AK153" s="62"/>
      <c r="AL153" s="62"/>
      <c r="AM153" s="62"/>
      <c r="AN153" s="62"/>
      <c r="AO153" s="72" t="str">
        <f t="shared" si="21"/>
        <v>A</v>
      </c>
      <c r="AP153" s="62"/>
      <c r="AQ153" s="62"/>
      <c r="AR153" s="62"/>
      <c r="AS153" s="62"/>
      <c r="AT153" s="62"/>
      <c r="AU153" s="72" t="str">
        <f t="shared" si="22"/>
        <v>A</v>
      </c>
      <c r="AV153" s="62"/>
      <c r="AW153" s="62"/>
      <c r="AX153" s="62">
        <v>0</v>
      </c>
      <c r="AY153" s="62">
        <v>0</v>
      </c>
      <c r="AZ153" s="62">
        <v>0</v>
      </c>
      <c r="BA153" s="72">
        <f t="shared" si="23"/>
        <v>0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7"/>
      <c r="I154" s="7"/>
      <c r="J154" s="7"/>
      <c r="K154" s="72" t="str">
        <f t="shared" si="16"/>
        <v>A</v>
      </c>
      <c r="L154" s="62">
        <v>3</v>
      </c>
      <c r="M154" s="62"/>
      <c r="N154" s="62">
        <v>2</v>
      </c>
      <c r="O154" s="62">
        <v>2</v>
      </c>
      <c r="P154" s="62"/>
      <c r="Q154" s="72">
        <f t="shared" si="17"/>
        <v>2.3333333333333335</v>
      </c>
      <c r="R154" s="7"/>
      <c r="S154" s="7"/>
      <c r="T154" s="7"/>
      <c r="U154" s="7"/>
      <c r="V154" s="7"/>
      <c r="W154" s="72" t="str">
        <f t="shared" si="18"/>
        <v>A</v>
      </c>
      <c r="X154" s="7"/>
      <c r="Y154" s="7"/>
      <c r="Z154" s="7"/>
      <c r="AA154" s="7"/>
      <c r="AB154" s="7"/>
      <c r="AC154" s="72" t="str">
        <f t="shared" si="19"/>
        <v>A</v>
      </c>
      <c r="AD154" s="7"/>
      <c r="AE154" s="7"/>
      <c r="AF154" s="7"/>
      <c r="AG154" s="7"/>
      <c r="AH154" s="7"/>
      <c r="AI154" s="72" t="str">
        <f t="shared" si="20"/>
        <v>A</v>
      </c>
      <c r="AJ154" s="7"/>
      <c r="AK154" s="7"/>
      <c r="AL154" s="7"/>
      <c r="AM154" s="7"/>
      <c r="AN154" s="7"/>
      <c r="AO154" s="72" t="str">
        <f t="shared" si="21"/>
        <v>A</v>
      </c>
      <c r="AP154" s="7"/>
      <c r="AQ154" s="7"/>
      <c r="AR154" s="7"/>
      <c r="AS154" s="7"/>
      <c r="AT154" s="7"/>
      <c r="AU154" s="72" t="str">
        <f t="shared" si="22"/>
        <v>A</v>
      </c>
      <c r="AV154" s="7"/>
      <c r="AW154" s="7"/>
      <c r="AX154" s="62">
        <v>5</v>
      </c>
      <c r="AY154" s="62">
        <v>0</v>
      </c>
      <c r="AZ154" s="62">
        <v>2</v>
      </c>
      <c r="BA154" s="72">
        <f t="shared" si="23"/>
        <v>2.3333333333333335</v>
      </c>
    </row>
    <row r="155" spans="1:53" ht="23.1" customHeight="1" x14ac:dyDescent="0.3">
      <c r="A155" s="62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62"/>
      <c r="G155" s="62"/>
      <c r="H155" s="62"/>
      <c r="I155" s="62"/>
      <c r="J155" s="62"/>
      <c r="K155" s="72" t="str">
        <f t="shared" si="16"/>
        <v>A</v>
      </c>
      <c r="L155" s="62">
        <v>2</v>
      </c>
      <c r="M155" s="62"/>
      <c r="N155" s="62">
        <v>2</v>
      </c>
      <c r="O155" s="62">
        <v>2</v>
      </c>
      <c r="P155" s="62"/>
      <c r="Q155" s="72">
        <f t="shared" si="17"/>
        <v>2</v>
      </c>
      <c r="R155" s="62"/>
      <c r="S155" s="62"/>
      <c r="T155" s="62"/>
      <c r="U155" s="62"/>
      <c r="V155" s="62"/>
      <c r="W155" s="72" t="str">
        <f t="shared" si="18"/>
        <v>A</v>
      </c>
      <c r="X155" s="62"/>
      <c r="Y155" s="62"/>
      <c r="Z155" s="62"/>
      <c r="AA155" s="62"/>
      <c r="AB155" s="62"/>
      <c r="AC155" s="72" t="str">
        <f t="shared" si="19"/>
        <v>A</v>
      </c>
      <c r="AD155" s="62"/>
      <c r="AE155" s="62"/>
      <c r="AF155" s="62"/>
      <c r="AG155" s="62"/>
      <c r="AH155" s="62"/>
      <c r="AI155" s="72" t="str">
        <f t="shared" si="20"/>
        <v>A</v>
      </c>
      <c r="AJ155" s="62"/>
      <c r="AK155" s="62"/>
      <c r="AL155" s="62"/>
      <c r="AM155" s="62"/>
      <c r="AN155" s="62"/>
      <c r="AO155" s="72" t="str">
        <f t="shared" si="21"/>
        <v>A</v>
      </c>
      <c r="AP155" s="62"/>
      <c r="AQ155" s="62"/>
      <c r="AR155" s="62"/>
      <c r="AS155" s="62"/>
      <c r="AT155" s="62"/>
      <c r="AU155" s="72" t="str">
        <f t="shared" si="22"/>
        <v>A</v>
      </c>
      <c r="AV155" s="62"/>
      <c r="AW155" s="62"/>
      <c r="AX155" s="62">
        <v>2</v>
      </c>
      <c r="AY155" s="62">
        <v>2</v>
      </c>
      <c r="AZ155" s="62">
        <v>2</v>
      </c>
      <c r="BA155" s="72">
        <f t="shared" si="23"/>
        <v>2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7"/>
      <c r="I156" s="7"/>
      <c r="J156" s="7"/>
      <c r="K156" s="72" t="str">
        <f t="shared" si="16"/>
        <v>A</v>
      </c>
      <c r="L156" s="62">
        <v>1</v>
      </c>
      <c r="M156" s="62"/>
      <c r="N156" s="62">
        <v>1</v>
      </c>
      <c r="O156" s="62">
        <v>1</v>
      </c>
      <c r="P156" s="62"/>
      <c r="Q156" s="72">
        <f t="shared" si="17"/>
        <v>1</v>
      </c>
      <c r="R156" s="7"/>
      <c r="S156" s="7"/>
      <c r="T156" s="7"/>
      <c r="U156" s="7"/>
      <c r="V156" s="7"/>
      <c r="W156" s="72" t="str">
        <f t="shared" si="18"/>
        <v>A</v>
      </c>
      <c r="X156" s="7"/>
      <c r="Y156" s="7"/>
      <c r="Z156" s="7"/>
      <c r="AA156" s="7"/>
      <c r="AB156" s="7"/>
      <c r="AC156" s="72" t="str">
        <f t="shared" si="19"/>
        <v>A</v>
      </c>
      <c r="AD156" s="7"/>
      <c r="AE156" s="7"/>
      <c r="AF156" s="7"/>
      <c r="AG156" s="7"/>
      <c r="AH156" s="7"/>
      <c r="AI156" s="72" t="str">
        <f t="shared" si="20"/>
        <v>A</v>
      </c>
      <c r="AJ156" s="7"/>
      <c r="AK156" s="7"/>
      <c r="AL156" s="7"/>
      <c r="AM156" s="7"/>
      <c r="AN156" s="7"/>
      <c r="AO156" s="72" t="str">
        <f t="shared" si="21"/>
        <v>A</v>
      </c>
      <c r="AP156" s="7"/>
      <c r="AQ156" s="7"/>
      <c r="AR156" s="7"/>
      <c r="AS156" s="7"/>
      <c r="AT156" s="7"/>
      <c r="AU156" s="72" t="str">
        <f t="shared" si="22"/>
        <v>A</v>
      </c>
      <c r="AV156" s="7"/>
      <c r="AW156" s="7"/>
      <c r="AX156" s="62">
        <v>5</v>
      </c>
      <c r="AY156" s="62">
        <v>0</v>
      </c>
      <c r="AZ156" s="62">
        <v>1</v>
      </c>
      <c r="BA156" s="72">
        <f t="shared" si="23"/>
        <v>2</v>
      </c>
    </row>
    <row r="157" spans="1:53" ht="23.1" customHeight="1" x14ac:dyDescent="0.3">
      <c r="A157" s="62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62"/>
      <c r="G157" s="62"/>
      <c r="H157" s="62"/>
      <c r="I157" s="62"/>
      <c r="J157" s="62"/>
      <c r="K157" s="72" t="str">
        <f t="shared" si="16"/>
        <v>A</v>
      </c>
      <c r="L157" s="62">
        <v>1</v>
      </c>
      <c r="M157" s="62"/>
      <c r="N157" s="62">
        <v>1</v>
      </c>
      <c r="O157" s="62">
        <v>1</v>
      </c>
      <c r="P157" s="62"/>
      <c r="Q157" s="72">
        <f t="shared" si="17"/>
        <v>1</v>
      </c>
      <c r="R157" s="62"/>
      <c r="S157" s="62"/>
      <c r="T157" s="62"/>
      <c r="U157" s="62"/>
      <c r="V157" s="62"/>
      <c r="W157" s="72" t="str">
        <f t="shared" si="18"/>
        <v>A</v>
      </c>
      <c r="X157" s="62"/>
      <c r="Y157" s="62"/>
      <c r="Z157" s="62"/>
      <c r="AA157" s="62"/>
      <c r="AB157" s="62"/>
      <c r="AC157" s="72" t="str">
        <f t="shared" si="19"/>
        <v>A</v>
      </c>
      <c r="AD157" s="62"/>
      <c r="AE157" s="62"/>
      <c r="AF157" s="62"/>
      <c r="AG157" s="62"/>
      <c r="AH157" s="62"/>
      <c r="AI157" s="72" t="str">
        <f t="shared" si="20"/>
        <v>A</v>
      </c>
      <c r="AJ157" s="62"/>
      <c r="AK157" s="62"/>
      <c r="AL157" s="62"/>
      <c r="AM157" s="62"/>
      <c r="AN157" s="62"/>
      <c r="AO157" s="72" t="str">
        <f t="shared" si="21"/>
        <v>A</v>
      </c>
      <c r="AP157" s="62"/>
      <c r="AQ157" s="62"/>
      <c r="AR157" s="62"/>
      <c r="AS157" s="62"/>
      <c r="AT157" s="62"/>
      <c r="AU157" s="72" t="str">
        <f t="shared" si="22"/>
        <v>A</v>
      </c>
      <c r="AV157" s="62"/>
      <c r="AW157" s="62"/>
      <c r="AX157" s="62">
        <v>5</v>
      </c>
      <c r="AY157" s="62">
        <v>0</v>
      </c>
      <c r="AZ157" s="62">
        <v>1</v>
      </c>
      <c r="BA157" s="72">
        <f t="shared" si="23"/>
        <v>2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7"/>
      <c r="I158" s="7"/>
      <c r="J158" s="7"/>
      <c r="K158" s="72" t="str">
        <f t="shared" si="16"/>
        <v>A</v>
      </c>
      <c r="L158" s="62">
        <v>3</v>
      </c>
      <c r="M158" s="62"/>
      <c r="N158" s="62">
        <v>3</v>
      </c>
      <c r="O158" s="62">
        <v>3</v>
      </c>
      <c r="P158" s="62"/>
      <c r="Q158" s="72">
        <f t="shared" si="17"/>
        <v>3</v>
      </c>
      <c r="R158" s="7"/>
      <c r="S158" s="7"/>
      <c r="T158" s="7"/>
      <c r="U158" s="7"/>
      <c r="V158" s="7"/>
      <c r="W158" s="72" t="str">
        <f t="shared" si="18"/>
        <v>A</v>
      </c>
      <c r="X158" s="7"/>
      <c r="Y158" s="7"/>
      <c r="Z158" s="7"/>
      <c r="AA158" s="7"/>
      <c r="AB158" s="7"/>
      <c r="AC158" s="72" t="str">
        <f t="shared" si="19"/>
        <v>A</v>
      </c>
      <c r="AD158" s="7"/>
      <c r="AE158" s="7"/>
      <c r="AF158" s="7"/>
      <c r="AG158" s="7"/>
      <c r="AH158" s="7"/>
      <c r="AI158" s="72" t="str">
        <f t="shared" si="20"/>
        <v>A</v>
      </c>
      <c r="AJ158" s="7"/>
      <c r="AK158" s="7"/>
      <c r="AL158" s="7"/>
      <c r="AM158" s="7"/>
      <c r="AN158" s="7"/>
      <c r="AO158" s="72" t="str">
        <f t="shared" si="21"/>
        <v>A</v>
      </c>
      <c r="AP158" s="7"/>
      <c r="AQ158" s="7"/>
      <c r="AR158" s="7"/>
      <c r="AS158" s="7"/>
      <c r="AT158" s="7"/>
      <c r="AU158" s="72" t="str">
        <f t="shared" si="22"/>
        <v>A</v>
      </c>
      <c r="AV158" s="7"/>
      <c r="AW158" s="7"/>
      <c r="AX158" s="62">
        <v>5</v>
      </c>
      <c r="AY158" s="62">
        <v>0</v>
      </c>
      <c r="AZ158" s="62">
        <v>2</v>
      </c>
      <c r="BA158" s="72">
        <f t="shared" si="23"/>
        <v>2.3333333333333335</v>
      </c>
    </row>
    <row r="159" spans="1:53" ht="23.1" customHeight="1" x14ac:dyDescent="0.3">
      <c r="A159" s="62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62"/>
      <c r="G159" s="62"/>
      <c r="H159" s="62"/>
      <c r="I159" s="62"/>
      <c r="J159" s="62"/>
      <c r="K159" s="72" t="str">
        <f t="shared" si="16"/>
        <v>A</v>
      </c>
      <c r="L159" s="62">
        <v>0</v>
      </c>
      <c r="M159" s="62"/>
      <c r="N159" s="62">
        <v>0</v>
      </c>
      <c r="O159" s="62">
        <v>0</v>
      </c>
      <c r="P159" s="62"/>
      <c r="Q159" s="72">
        <f t="shared" si="17"/>
        <v>0</v>
      </c>
      <c r="R159" s="62"/>
      <c r="S159" s="62"/>
      <c r="T159" s="62"/>
      <c r="U159" s="62"/>
      <c r="V159" s="62"/>
      <c r="W159" s="72" t="str">
        <f t="shared" si="18"/>
        <v>A</v>
      </c>
      <c r="X159" s="62"/>
      <c r="Y159" s="62"/>
      <c r="Z159" s="62"/>
      <c r="AA159" s="62"/>
      <c r="AB159" s="62"/>
      <c r="AC159" s="72" t="str">
        <f t="shared" si="19"/>
        <v>A</v>
      </c>
      <c r="AD159" s="62"/>
      <c r="AE159" s="62"/>
      <c r="AF159" s="62"/>
      <c r="AG159" s="62"/>
      <c r="AH159" s="62"/>
      <c r="AI159" s="72" t="str">
        <f t="shared" si="20"/>
        <v>A</v>
      </c>
      <c r="AJ159" s="62"/>
      <c r="AK159" s="62"/>
      <c r="AL159" s="62"/>
      <c r="AM159" s="62"/>
      <c r="AN159" s="62"/>
      <c r="AO159" s="72" t="str">
        <f t="shared" si="21"/>
        <v>A</v>
      </c>
      <c r="AP159" s="62"/>
      <c r="AQ159" s="62"/>
      <c r="AR159" s="62"/>
      <c r="AS159" s="62"/>
      <c r="AT159" s="62"/>
      <c r="AU159" s="72" t="str">
        <f t="shared" si="22"/>
        <v>A</v>
      </c>
      <c r="AV159" s="62"/>
      <c r="AW159" s="62"/>
      <c r="AX159" s="62">
        <v>0</v>
      </c>
      <c r="AY159" s="62">
        <v>0</v>
      </c>
      <c r="AZ159" s="62">
        <v>0</v>
      </c>
      <c r="BA159" s="72">
        <f t="shared" si="23"/>
        <v>0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7"/>
      <c r="I160" s="7"/>
      <c r="J160" s="7"/>
      <c r="K160" s="72" t="str">
        <f t="shared" si="16"/>
        <v>A</v>
      </c>
      <c r="L160" s="62">
        <v>1</v>
      </c>
      <c r="M160" s="62"/>
      <c r="N160" s="62">
        <v>1</v>
      </c>
      <c r="O160" s="62">
        <v>1</v>
      </c>
      <c r="P160" s="62"/>
      <c r="Q160" s="72">
        <f t="shared" si="17"/>
        <v>1</v>
      </c>
      <c r="R160" s="7"/>
      <c r="S160" s="7"/>
      <c r="T160" s="7"/>
      <c r="U160" s="7"/>
      <c r="V160" s="7"/>
      <c r="W160" s="72" t="str">
        <f t="shared" si="18"/>
        <v>A</v>
      </c>
      <c r="X160" s="7"/>
      <c r="Y160" s="7"/>
      <c r="Z160" s="7"/>
      <c r="AA160" s="7"/>
      <c r="AB160" s="7"/>
      <c r="AC160" s="72" t="str">
        <f t="shared" si="19"/>
        <v>A</v>
      </c>
      <c r="AD160" s="7"/>
      <c r="AE160" s="7"/>
      <c r="AF160" s="7"/>
      <c r="AG160" s="7"/>
      <c r="AH160" s="7"/>
      <c r="AI160" s="72" t="str">
        <f t="shared" si="20"/>
        <v>A</v>
      </c>
      <c r="AJ160" s="7"/>
      <c r="AK160" s="7"/>
      <c r="AL160" s="7"/>
      <c r="AM160" s="7"/>
      <c r="AN160" s="7"/>
      <c r="AO160" s="72" t="str">
        <f t="shared" si="21"/>
        <v>A</v>
      </c>
      <c r="AP160" s="7"/>
      <c r="AQ160" s="7"/>
      <c r="AR160" s="7"/>
      <c r="AS160" s="7"/>
      <c r="AT160" s="7"/>
      <c r="AU160" s="72" t="str">
        <f t="shared" si="22"/>
        <v>A</v>
      </c>
      <c r="AV160" s="7"/>
      <c r="AW160" s="7"/>
      <c r="AX160" s="62">
        <v>5</v>
      </c>
      <c r="AY160" s="62">
        <v>2</v>
      </c>
      <c r="AZ160" s="62">
        <v>1</v>
      </c>
      <c r="BA160" s="72">
        <f t="shared" si="23"/>
        <v>2.6666666666666665</v>
      </c>
    </row>
    <row r="161" spans="1:53" ht="23.1" customHeight="1" x14ac:dyDescent="0.3">
      <c r="A161" s="62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62"/>
      <c r="G161" s="62"/>
      <c r="H161" s="62"/>
      <c r="I161" s="62"/>
      <c r="J161" s="62"/>
      <c r="K161" s="72" t="str">
        <f t="shared" si="16"/>
        <v>A</v>
      </c>
      <c r="L161" s="62">
        <v>0</v>
      </c>
      <c r="M161" s="62"/>
      <c r="N161" s="62">
        <v>0</v>
      </c>
      <c r="O161" s="62">
        <v>0</v>
      </c>
      <c r="P161" s="62"/>
      <c r="Q161" s="72">
        <f t="shared" si="17"/>
        <v>0</v>
      </c>
      <c r="R161" s="62"/>
      <c r="S161" s="62"/>
      <c r="T161" s="62"/>
      <c r="U161" s="62"/>
      <c r="V161" s="62"/>
      <c r="W161" s="72" t="str">
        <f t="shared" si="18"/>
        <v>A</v>
      </c>
      <c r="X161" s="62"/>
      <c r="Y161" s="62"/>
      <c r="Z161" s="62"/>
      <c r="AA161" s="62"/>
      <c r="AB161" s="62"/>
      <c r="AC161" s="72" t="str">
        <f t="shared" si="19"/>
        <v>A</v>
      </c>
      <c r="AD161" s="62"/>
      <c r="AE161" s="62"/>
      <c r="AF161" s="62"/>
      <c r="AG161" s="62"/>
      <c r="AH161" s="62"/>
      <c r="AI161" s="72" t="str">
        <f t="shared" si="20"/>
        <v>A</v>
      </c>
      <c r="AJ161" s="62"/>
      <c r="AK161" s="62"/>
      <c r="AL161" s="62"/>
      <c r="AM161" s="62"/>
      <c r="AN161" s="62"/>
      <c r="AO161" s="72" t="str">
        <f t="shared" si="21"/>
        <v>A</v>
      </c>
      <c r="AP161" s="62"/>
      <c r="AQ161" s="62"/>
      <c r="AR161" s="62"/>
      <c r="AS161" s="62"/>
      <c r="AT161" s="62"/>
      <c r="AU161" s="72" t="str">
        <f t="shared" si="22"/>
        <v>A</v>
      </c>
      <c r="AV161" s="62"/>
      <c r="AW161" s="62"/>
      <c r="AX161" s="62">
        <v>0</v>
      </c>
      <c r="AY161" s="62">
        <v>0</v>
      </c>
      <c r="AZ161" s="62">
        <v>0</v>
      </c>
      <c r="BA161" s="72">
        <f t="shared" si="23"/>
        <v>0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7"/>
      <c r="I162" s="7"/>
      <c r="J162" s="7"/>
      <c r="K162" s="72" t="str">
        <f t="shared" si="16"/>
        <v>A</v>
      </c>
      <c r="L162" s="62">
        <v>0</v>
      </c>
      <c r="M162" s="62"/>
      <c r="N162" s="62">
        <v>0</v>
      </c>
      <c r="O162" s="62">
        <v>0</v>
      </c>
      <c r="P162" s="62"/>
      <c r="Q162" s="72">
        <f t="shared" si="17"/>
        <v>0</v>
      </c>
      <c r="R162" s="7"/>
      <c r="S162" s="7"/>
      <c r="T162" s="7"/>
      <c r="U162" s="7"/>
      <c r="V162" s="7"/>
      <c r="W162" s="72" t="str">
        <f t="shared" si="18"/>
        <v>A</v>
      </c>
      <c r="X162" s="7"/>
      <c r="Y162" s="7"/>
      <c r="Z162" s="7"/>
      <c r="AA162" s="7"/>
      <c r="AB162" s="7"/>
      <c r="AC162" s="72" t="str">
        <f t="shared" si="19"/>
        <v>A</v>
      </c>
      <c r="AD162" s="7"/>
      <c r="AE162" s="7"/>
      <c r="AF162" s="7"/>
      <c r="AG162" s="7"/>
      <c r="AH162" s="7"/>
      <c r="AI162" s="72" t="str">
        <f t="shared" si="20"/>
        <v>A</v>
      </c>
      <c r="AJ162" s="7"/>
      <c r="AK162" s="7"/>
      <c r="AL162" s="7"/>
      <c r="AM162" s="7"/>
      <c r="AN162" s="7"/>
      <c r="AO162" s="72" t="str">
        <f t="shared" si="21"/>
        <v>A</v>
      </c>
      <c r="AP162" s="7"/>
      <c r="AQ162" s="7"/>
      <c r="AR162" s="7"/>
      <c r="AS162" s="7"/>
      <c r="AT162" s="7"/>
      <c r="AU162" s="72" t="str">
        <f t="shared" si="22"/>
        <v>A</v>
      </c>
      <c r="AV162" s="7"/>
      <c r="AW162" s="7"/>
      <c r="AX162" s="62">
        <v>0</v>
      </c>
      <c r="AY162" s="62">
        <v>0</v>
      </c>
      <c r="AZ162" s="62">
        <v>0</v>
      </c>
      <c r="BA162" s="72">
        <f t="shared" si="23"/>
        <v>0</v>
      </c>
    </row>
    <row r="163" spans="1:53" ht="23.1" customHeight="1" x14ac:dyDescent="0.3">
      <c r="A163" s="62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62"/>
      <c r="G163" s="62"/>
      <c r="H163" s="62"/>
      <c r="I163" s="62"/>
      <c r="J163" s="62"/>
      <c r="K163" s="72" t="str">
        <f t="shared" si="16"/>
        <v>A</v>
      </c>
      <c r="L163" s="62">
        <v>2</v>
      </c>
      <c r="M163" s="62"/>
      <c r="N163" s="62">
        <v>2</v>
      </c>
      <c r="O163" s="62">
        <v>2</v>
      </c>
      <c r="P163" s="62"/>
      <c r="Q163" s="72">
        <f t="shared" si="17"/>
        <v>2</v>
      </c>
      <c r="R163" s="62"/>
      <c r="S163" s="62"/>
      <c r="T163" s="62"/>
      <c r="U163" s="62"/>
      <c r="V163" s="62"/>
      <c r="W163" s="72" t="str">
        <f t="shared" si="18"/>
        <v>A</v>
      </c>
      <c r="X163" s="62"/>
      <c r="Y163" s="62"/>
      <c r="Z163" s="62"/>
      <c r="AA163" s="62"/>
      <c r="AB163" s="62"/>
      <c r="AC163" s="72" t="str">
        <f t="shared" si="19"/>
        <v>A</v>
      </c>
      <c r="AD163" s="62"/>
      <c r="AE163" s="62"/>
      <c r="AF163" s="62"/>
      <c r="AG163" s="62"/>
      <c r="AH163" s="62"/>
      <c r="AI163" s="72" t="str">
        <f t="shared" si="20"/>
        <v>A</v>
      </c>
      <c r="AJ163" s="62"/>
      <c r="AK163" s="62"/>
      <c r="AL163" s="62"/>
      <c r="AM163" s="62"/>
      <c r="AN163" s="62"/>
      <c r="AO163" s="72" t="str">
        <f t="shared" si="21"/>
        <v>A</v>
      </c>
      <c r="AP163" s="62"/>
      <c r="AQ163" s="62"/>
      <c r="AR163" s="62"/>
      <c r="AS163" s="62"/>
      <c r="AT163" s="62"/>
      <c r="AU163" s="72" t="str">
        <f t="shared" si="22"/>
        <v>A</v>
      </c>
      <c r="AV163" s="62"/>
      <c r="AW163" s="62"/>
      <c r="AX163" s="62">
        <v>2</v>
      </c>
      <c r="AY163" s="62">
        <v>2</v>
      </c>
      <c r="AZ163" s="62">
        <v>2</v>
      </c>
      <c r="BA163" s="72">
        <f t="shared" si="23"/>
        <v>2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7"/>
      <c r="I164" s="7"/>
      <c r="J164" s="7"/>
      <c r="K164" s="72" t="str">
        <f t="shared" si="16"/>
        <v>A</v>
      </c>
      <c r="L164" s="62">
        <v>4</v>
      </c>
      <c r="M164" s="62"/>
      <c r="N164" s="62">
        <v>4</v>
      </c>
      <c r="O164" s="62">
        <v>4</v>
      </c>
      <c r="P164" s="62"/>
      <c r="Q164" s="72">
        <f t="shared" si="17"/>
        <v>4</v>
      </c>
      <c r="R164" s="7"/>
      <c r="S164" s="7"/>
      <c r="T164" s="7"/>
      <c r="U164" s="7"/>
      <c r="V164" s="7"/>
      <c r="W164" s="72" t="str">
        <f t="shared" si="18"/>
        <v>A</v>
      </c>
      <c r="X164" s="7"/>
      <c r="Y164" s="7"/>
      <c r="Z164" s="7"/>
      <c r="AA164" s="7"/>
      <c r="AB164" s="7"/>
      <c r="AC164" s="72" t="str">
        <f t="shared" si="19"/>
        <v>A</v>
      </c>
      <c r="AD164" s="7"/>
      <c r="AE164" s="7"/>
      <c r="AF164" s="7"/>
      <c r="AG164" s="7"/>
      <c r="AH164" s="7"/>
      <c r="AI164" s="72" t="str">
        <f t="shared" si="20"/>
        <v>A</v>
      </c>
      <c r="AJ164" s="7"/>
      <c r="AK164" s="7"/>
      <c r="AL164" s="7"/>
      <c r="AM164" s="7"/>
      <c r="AN164" s="7"/>
      <c r="AO164" s="72" t="str">
        <f t="shared" si="21"/>
        <v>A</v>
      </c>
      <c r="AP164" s="7"/>
      <c r="AQ164" s="7"/>
      <c r="AR164" s="7"/>
      <c r="AS164" s="7"/>
      <c r="AT164" s="7"/>
      <c r="AU164" s="72" t="str">
        <f t="shared" si="22"/>
        <v>A</v>
      </c>
      <c r="AV164" s="7"/>
      <c r="AW164" s="7"/>
      <c r="AX164" s="62">
        <v>5</v>
      </c>
      <c r="AY164" s="62">
        <v>2</v>
      </c>
      <c r="AZ164" s="62">
        <v>4</v>
      </c>
      <c r="BA164" s="72">
        <f t="shared" si="23"/>
        <v>3.6666666666666665</v>
      </c>
    </row>
    <row r="165" spans="1:53" ht="23.1" customHeight="1" x14ac:dyDescent="0.3">
      <c r="A165" s="62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62"/>
      <c r="G165" s="62"/>
      <c r="H165" s="62"/>
      <c r="I165" s="62"/>
      <c r="J165" s="62"/>
      <c r="K165" s="72" t="str">
        <f t="shared" si="16"/>
        <v>A</v>
      </c>
      <c r="L165" s="62">
        <v>3</v>
      </c>
      <c r="M165" s="62"/>
      <c r="N165" s="62">
        <v>2</v>
      </c>
      <c r="O165" s="62">
        <v>2</v>
      </c>
      <c r="P165" s="62"/>
      <c r="Q165" s="72">
        <f t="shared" si="17"/>
        <v>2.3333333333333335</v>
      </c>
      <c r="R165" s="62"/>
      <c r="S165" s="62"/>
      <c r="T165" s="62"/>
      <c r="U165" s="62"/>
      <c r="V165" s="62"/>
      <c r="W165" s="72" t="str">
        <f t="shared" si="18"/>
        <v>A</v>
      </c>
      <c r="X165" s="62"/>
      <c r="Y165" s="62"/>
      <c r="Z165" s="62"/>
      <c r="AA165" s="62"/>
      <c r="AB165" s="62"/>
      <c r="AC165" s="72" t="str">
        <f t="shared" si="19"/>
        <v>A</v>
      </c>
      <c r="AD165" s="62"/>
      <c r="AE165" s="62"/>
      <c r="AF165" s="62"/>
      <c r="AG165" s="62"/>
      <c r="AH165" s="62"/>
      <c r="AI165" s="72" t="str">
        <f t="shared" si="20"/>
        <v>A</v>
      </c>
      <c r="AJ165" s="62"/>
      <c r="AK165" s="62"/>
      <c r="AL165" s="62"/>
      <c r="AM165" s="62"/>
      <c r="AN165" s="62"/>
      <c r="AO165" s="72" t="str">
        <f t="shared" si="21"/>
        <v>A</v>
      </c>
      <c r="AP165" s="62"/>
      <c r="AQ165" s="62"/>
      <c r="AR165" s="62"/>
      <c r="AS165" s="62"/>
      <c r="AT165" s="62"/>
      <c r="AU165" s="72" t="str">
        <f t="shared" si="22"/>
        <v>A</v>
      </c>
      <c r="AV165" s="62"/>
      <c r="AW165" s="62"/>
      <c r="AX165" s="62">
        <v>5</v>
      </c>
      <c r="AY165" s="62">
        <v>0</v>
      </c>
      <c r="AZ165" s="62">
        <v>2</v>
      </c>
      <c r="BA165" s="72">
        <f t="shared" si="23"/>
        <v>2.3333333333333335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7"/>
      <c r="I166" s="7"/>
      <c r="J166" s="7"/>
      <c r="K166" s="72" t="str">
        <f t="shared" si="16"/>
        <v>A</v>
      </c>
      <c r="L166" s="62">
        <v>0</v>
      </c>
      <c r="M166" s="62"/>
      <c r="N166" s="62">
        <v>0</v>
      </c>
      <c r="O166" s="62">
        <v>0</v>
      </c>
      <c r="P166" s="62"/>
      <c r="Q166" s="72">
        <f t="shared" si="17"/>
        <v>0</v>
      </c>
      <c r="R166" s="7"/>
      <c r="S166" s="7"/>
      <c r="T166" s="7"/>
      <c r="U166" s="7"/>
      <c r="V166" s="7"/>
      <c r="W166" s="72" t="str">
        <f t="shared" si="18"/>
        <v>A</v>
      </c>
      <c r="X166" s="7"/>
      <c r="Y166" s="7"/>
      <c r="Z166" s="7"/>
      <c r="AA166" s="7"/>
      <c r="AB166" s="7"/>
      <c r="AC166" s="72" t="str">
        <f t="shared" si="19"/>
        <v>A</v>
      </c>
      <c r="AD166" s="7"/>
      <c r="AE166" s="7"/>
      <c r="AF166" s="7"/>
      <c r="AG166" s="7"/>
      <c r="AH166" s="7"/>
      <c r="AI166" s="72" t="str">
        <f t="shared" si="20"/>
        <v>A</v>
      </c>
      <c r="AJ166" s="7"/>
      <c r="AK166" s="7"/>
      <c r="AL166" s="7"/>
      <c r="AM166" s="7"/>
      <c r="AN166" s="7"/>
      <c r="AO166" s="72" t="str">
        <f t="shared" si="21"/>
        <v>A</v>
      </c>
      <c r="AP166" s="7"/>
      <c r="AQ166" s="7"/>
      <c r="AR166" s="7"/>
      <c r="AS166" s="7"/>
      <c r="AT166" s="7"/>
      <c r="AU166" s="72" t="str">
        <f t="shared" si="22"/>
        <v>A</v>
      </c>
      <c r="AV166" s="7"/>
      <c r="AW166" s="7"/>
      <c r="AX166" s="62">
        <v>0</v>
      </c>
      <c r="AY166" s="62">
        <v>0</v>
      </c>
      <c r="AZ166" s="62">
        <v>0</v>
      </c>
      <c r="BA166" s="72">
        <f t="shared" si="23"/>
        <v>0</v>
      </c>
    </row>
    <row r="167" spans="1:53" ht="23.1" customHeight="1" x14ac:dyDescent="0.3">
      <c r="A167" s="62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62"/>
      <c r="G167" s="62"/>
      <c r="H167" s="62"/>
      <c r="I167" s="62"/>
      <c r="J167" s="62"/>
      <c r="K167" s="72" t="str">
        <f t="shared" si="16"/>
        <v>A</v>
      </c>
      <c r="L167" s="62">
        <v>0</v>
      </c>
      <c r="M167" s="62"/>
      <c r="N167" s="62">
        <v>0</v>
      </c>
      <c r="O167" s="62">
        <v>0</v>
      </c>
      <c r="P167" s="62"/>
      <c r="Q167" s="72">
        <f t="shared" si="17"/>
        <v>0</v>
      </c>
      <c r="R167" s="62"/>
      <c r="S167" s="62"/>
      <c r="T167" s="62"/>
      <c r="U167" s="62"/>
      <c r="V167" s="62"/>
      <c r="W167" s="72" t="str">
        <f t="shared" si="18"/>
        <v>A</v>
      </c>
      <c r="X167" s="62"/>
      <c r="Y167" s="62"/>
      <c r="Z167" s="62"/>
      <c r="AA167" s="62"/>
      <c r="AB167" s="62"/>
      <c r="AC167" s="72" t="str">
        <f t="shared" si="19"/>
        <v>A</v>
      </c>
      <c r="AD167" s="62"/>
      <c r="AE167" s="62"/>
      <c r="AF167" s="62"/>
      <c r="AG167" s="62"/>
      <c r="AH167" s="62"/>
      <c r="AI167" s="72" t="str">
        <f t="shared" si="20"/>
        <v>A</v>
      </c>
      <c r="AJ167" s="62"/>
      <c r="AK167" s="62"/>
      <c r="AL167" s="62"/>
      <c r="AM167" s="62"/>
      <c r="AN167" s="62"/>
      <c r="AO167" s="72" t="str">
        <f t="shared" si="21"/>
        <v>A</v>
      </c>
      <c r="AP167" s="62"/>
      <c r="AQ167" s="62"/>
      <c r="AR167" s="62"/>
      <c r="AS167" s="62"/>
      <c r="AT167" s="62"/>
      <c r="AU167" s="72" t="str">
        <f t="shared" si="22"/>
        <v>A</v>
      </c>
      <c r="AV167" s="62"/>
      <c r="AW167" s="62"/>
      <c r="AX167" s="62">
        <v>0</v>
      </c>
      <c r="AY167" s="62">
        <v>0</v>
      </c>
      <c r="AZ167" s="62">
        <v>0</v>
      </c>
      <c r="BA167" s="72">
        <f t="shared" si="23"/>
        <v>0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7"/>
      <c r="I168" s="7"/>
      <c r="J168" s="7"/>
      <c r="K168" s="72" t="str">
        <f t="shared" si="16"/>
        <v>A</v>
      </c>
      <c r="L168" s="62">
        <v>0</v>
      </c>
      <c r="M168" s="62"/>
      <c r="N168" s="62">
        <v>0</v>
      </c>
      <c r="O168" s="62">
        <v>0</v>
      </c>
      <c r="P168" s="62"/>
      <c r="Q168" s="72">
        <f t="shared" si="17"/>
        <v>0</v>
      </c>
      <c r="R168" s="7"/>
      <c r="S168" s="7"/>
      <c r="T168" s="7"/>
      <c r="U168" s="7"/>
      <c r="V168" s="7"/>
      <c r="W168" s="72" t="str">
        <f t="shared" si="18"/>
        <v>A</v>
      </c>
      <c r="X168" s="7"/>
      <c r="Y168" s="7"/>
      <c r="Z168" s="7"/>
      <c r="AA168" s="7"/>
      <c r="AB168" s="7"/>
      <c r="AC168" s="72" t="str">
        <f t="shared" si="19"/>
        <v>A</v>
      </c>
      <c r="AD168" s="7"/>
      <c r="AE168" s="7"/>
      <c r="AF168" s="7"/>
      <c r="AG168" s="7"/>
      <c r="AH168" s="7"/>
      <c r="AI168" s="72" t="str">
        <f t="shared" si="20"/>
        <v>A</v>
      </c>
      <c r="AJ168" s="7"/>
      <c r="AK168" s="7"/>
      <c r="AL168" s="7"/>
      <c r="AM168" s="7"/>
      <c r="AN168" s="7"/>
      <c r="AO168" s="72" t="str">
        <f t="shared" si="21"/>
        <v>A</v>
      </c>
      <c r="AP168" s="7"/>
      <c r="AQ168" s="7"/>
      <c r="AR168" s="7"/>
      <c r="AS168" s="7"/>
      <c r="AT168" s="7"/>
      <c r="AU168" s="72" t="str">
        <f t="shared" si="22"/>
        <v>A</v>
      </c>
      <c r="AV168" s="7"/>
      <c r="AW168" s="7"/>
      <c r="AX168" s="62">
        <v>0</v>
      </c>
      <c r="AY168" s="62">
        <v>0</v>
      </c>
      <c r="AZ168" s="62">
        <v>0</v>
      </c>
      <c r="BA168" s="72">
        <f t="shared" si="23"/>
        <v>0</v>
      </c>
    </row>
    <row r="169" spans="1:53" ht="23.1" customHeight="1" x14ac:dyDescent="0.3">
      <c r="A169" s="62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62"/>
      <c r="G169" s="62"/>
      <c r="H169" s="62"/>
      <c r="I169" s="62"/>
      <c r="J169" s="62"/>
      <c r="K169" s="72" t="str">
        <f t="shared" si="16"/>
        <v>A</v>
      </c>
      <c r="L169" s="62">
        <v>3</v>
      </c>
      <c r="M169" s="62"/>
      <c r="N169" s="62">
        <v>3</v>
      </c>
      <c r="O169" s="62">
        <v>3</v>
      </c>
      <c r="P169" s="62"/>
      <c r="Q169" s="72">
        <f t="shared" si="17"/>
        <v>3</v>
      </c>
      <c r="R169" s="62"/>
      <c r="S169" s="62"/>
      <c r="T169" s="62"/>
      <c r="U169" s="62"/>
      <c r="V169" s="62"/>
      <c r="W169" s="72" t="str">
        <f t="shared" si="18"/>
        <v>A</v>
      </c>
      <c r="X169" s="62"/>
      <c r="Y169" s="62"/>
      <c r="Z169" s="62"/>
      <c r="AA169" s="62"/>
      <c r="AB169" s="62"/>
      <c r="AC169" s="72" t="str">
        <f t="shared" si="19"/>
        <v>A</v>
      </c>
      <c r="AD169" s="62"/>
      <c r="AE169" s="62"/>
      <c r="AF169" s="62"/>
      <c r="AG169" s="62"/>
      <c r="AH169" s="62"/>
      <c r="AI169" s="72" t="str">
        <f t="shared" si="20"/>
        <v>A</v>
      </c>
      <c r="AJ169" s="62"/>
      <c r="AK169" s="62"/>
      <c r="AL169" s="62"/>
      <c r="AM169" s="62"/>
      <c r="AN169" s="62"/>
      <c r="AO169" s="72" t="str">
        <f t="shared" si="21"/>
        <v>A</v>
      </c>
      <c r="AP169" s="62"/>
      <c r="AQ169" s="62"/>
      <c r="AR169" s="62"/>
      <c r="AS169" s="62"/>
      <c r="AT169" s="62"/>
      <c r="AU169" s="72" t="str">
        <f t="shared" si="22"/>
        <v>A</v>
      </c>
      <c r="AV169" s="62"/>
      <c r="AW169" s="62"/>
      <c r="AX169" s="62">
        <v>5</v>
      </c>
      <c r="AY169" s="62">
        <v>0</v>
      </c>
      <c r="AZ169" s="62">
        <v>2</v>
      </c>
      <c r="BA169" s="72">
        <f t="shared" si="23"/>
        <v>2.3333333333333335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7"/>
      <c r="I170" s="7"/>
      <c r="J170" s="7"/>
      <c r="K170" s="72" t="str">
        <f t="shared" si="16"/>
        <v>A</v>
      </c>
      <c r="L170" s="62">
        <v>4</v>
      </c>
      <c r="M170" s="62"/>
      <c r="N170" s="62">
        <v>4</v>
      </c>
      <c r="O170" s="62">
        <v>4</v>
      </c>
      <c r="P170" s="62"/>
      <c r="Q170" s="72">
        <f t="shared" si="17"/>
        <v>4</v>
      </c>
      <c r="R170" s="7"/>
      <c r="S170" s="7"/>
      <c r="T170" s="7"/>
      <c r="U170" s="7"/>
      <c r="V170" s="7"/>
      <c r="W170" s="72" t="str">
        <f t="shared" si="18"/>
        <v>A</v>
      </c>
      <c r="X170" s="7"/>
      <c r="Y170" s="7"/>
      <c r="Z170" s="7"/>
      <c r="AA170" s="7"/>
      <c r="AB170" s="7"/>
      <c r="AC170" s="72" t="str">
        <f t="shared" si="19"/>
        <v>A</v>
      </c>
      <c r="AD170" s="7"/>
      <c r="AE170" s="7"/>
      <c r="AF170" s="7"/>
      <c r="AG170" s="7"/>
      <c r="AH170" s="7"/>
      <c r="AI170" s="72" t="str">
        <f t="shared" si="20"/>
        <v>A</v>
      </c>
      <c r="AJ170" s="7"/>
      <c r="AK170" s="7"/>
      <c r="AL170" s="7"/>
      <c r="AM170" s="7"/>
      <c r="AN170" s="7"/>
      <c r="AO170" s="72" t="str">
        <f t="shared" si="21"/>
        <v>A</v>
      </c>
      <c r="AP170" s="7"/>
      <c r="AQ170" s="7"/>
      <c r="AR170" s="7"/>
      <c r="AS170" s="7"/>
      <c r="AT170" s="7"/>
      <c r="AU170" s="72" t="str">
        <f t="shared" si="22"/>
        <v>A</v>
      </c>
      <c r="AV170" s="7"/>
      <c r="AW170" s="7"/>
      <c r="AX170" s="62">
        <v>5</v>
      </c>
      <c r="AY170" s="62">
        <v>0</v>
      </c>
      <c r="AZ170" s="62">
        <v>4</v>
      </c>
      <c r="BA170" s="72">
        <f t="shared" si="23"/>
        <v>3</v>
      </c>
    </row>
    <row r="171" spans="1:53" ht="23.1" customHeight="1" x14ac:dyDescent="0.3">
      <c r="A171" s="62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62"/>
      <c r="G171" s="62"/>
      <c r="H171" s="62"/>
      <c r="I171" s="62"/>
      <c r="J171" s="62"/>
      <c r="K171" s="72" t="str">
        <f t="shared" si="16"/>
        <v>A</v>
      </c>
      <c r="L171" s="62">
        <v>1</v>
      </c>
      <c r="M171" s="62"/>
      <c r="N171" s="62">
        <v>1</v>
      </c>
      <c r="O171" s="62">
        <v>1</v>
      </c>
      <c r="P171" s="62"/>
      <c r="Q171" s="72">
        <f t="shared" si="17"/>
        <v>1</v>
      </c>
      <c r="R171" s="62"/>
      <c r="S171" s="62"/>
      <c r="T171" s="62"/>
      <c r="U171" s="62"/>
      <c r="V171" s="62"/>
      <c r="W171" s="72" t="str">
        <f t="shared" si="18"/>
        <v>A</v>
      </c>
      <c r="X171" s="62"/>
      <c r="Y171" s="62"/>
      <c r="Z171" s="62"/>
      <c r="AA171" s="62"/>
      <c r="AB171" s="62"/>
      <c r="AC171" s="72" t="str">
        <f t="shared" si="19"/>
        <v>A</v>
      </c>
      <c r="AD171" s="62"/>
      <c r="AE171" s="62"/>
      <c r="AF171" s="62"/>
      <c r="AG171" s="62"/>
      <c r="AH171" s="62"/>
      <c r="AI171" s="72" t="str">
        <f t="shared" si="20"/>
        <v>A</v>
      </c>
      <c r="AJ171" s="62"/>
      <c r="AK171" s="62"/>
      <c r="AL171" s="62"/>
      <c r="AM171" s="62"/>
      <c r="AN171" s="62"/>
      <c r="AO171" s="72" t="str">
        <f t="shared" si="21"/>
        <v>A</v>
      </c>
      <c r="AP171" s="62"/>
      <c r="AQ171" s="62"/>
      <c r="AR171" s="62"/>
      <c r="AS171" s="62"/>
      <c r="AT171" s="62"/>
      <c r="AU171" s="72" t="str">
        <f t="shared" si="22"/>
        <v>A</v>
      </c>
      <c r="AV171" s="62"/>
      <c r="AW171" s="62"/>
      <c r="AX171" s="62">
        <v>5</v>
      </c>
      <c r="AY171" s="62">
        <v>2</v>
      </c>
      <c r="AZ171" s="62">
        <v>1</v>
      </c>
      <c r="BA171" s="72">
        <f t="shared" si="23"/>
        <v>2.6666666666666665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7"/>
      <c r="I172" s="7"/>
      <c r="J172" s="7"/>
      <c r="K172" s="72" t="str">
        <f t="shared" si="16"/>
        <v>A</v>
      </c>
      <c r="L172" s="62">
        <v>3</v>
      </c>
      <c r="M172" s="62"/>
      <c r="N172" s="62">
        <v>3</v>
      </c>
      <c r="O172" s="62">
        <v>3</v>
      </c>
      <c r="P172" s="62"/>
      <c r="Q172" s="72">
        <f t="shared" si="17"/>
        <v>3</v>
      </c>
      <c r="R172" s="7"/>
      <c r="S172" s="7"/>
      <c r="T172" s="7"/>
      <c r="U172" s="7"/>
      <c r="V172" s="7"/>
      <c r="W172" s="72" t="str">
        <f t="shared" si="18"/>
        <v>A</v>
      </c>
      <c r="X172" s="7"/>
      <c r="Y172" s="7"/>
      <c r="Z172" s="7"/>
      <c r="AA172" s="7"/>
      <c r="AB172" s="7"/>
      <c r="AC172" s="72" t="str">
        <f t="shared" si="19"/>
        <v>A</v>
      </c>
      <c r="AD172" s="7"/>
      <c r="AE172" s="7"/>
      <c r="AF172" s="7"/>
      <c r="AG172" s="7"/>
      <c r="AH172" s="7"/>
      <c r="AI172" s="72" t="str">
        <f t="shared" si="20"/>
        <v>A</v>
      </c>
      <c r="AJ172" s="7"/>
      <c r="AK172" s="7"/>
      <c r="AL172" s="7"/>
      <c r="AM172" s="7"/>
      <c r="AN172" s="7"/>
      <c r="AO172" s="72" t="str">
        <f t="shared" si="21"/>
        <v>A</v>
      </c>
      <c r="AP172" s="7"/>
      <c r="AQ172" s="7"/>
      <c r="AR172" s="7"/>
      <c r="AS172" s="7"/>
      <c r="AT172" s="7"/>
      <c r="AU172" s="72" t="str">
        <f t="shared" si="22"/>
        <v>A</v>
      </c>
      <c r="AV172" s="7"/>
      <c r="AW172" s="7"/>
      <c r="AX172" s="62">
        <v>5</v>
      </c>
      <c r="AY172" s="62">
        <v>2</v>
      </c>
      <c r="AZ172" s="62">
        <v>2</v>
      </c>
      <c r="BA172" s="72">
        <f t="shared" si="23"/>
        <v>3</v>
      </c>
    </row>
    <row r="173" spans="1:53" ht="23.1" customHeight="1" x14ac:dyDescent="0.3">
      <c r="A173" s="62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62"/>
      <c r="G173" s="62"/>
      <c r="H173" s="62"/>
      <c r="I173" s="62"/>
      <c r="J173" s="62"/>
      <c r="K173" s="72" t="str">
        <f t="shared" si="16"/>
        <v>A</v>
      </c>
      <c r="L173" s="62">
        <v>0</v>
      </c>
      <c r="M173" s="62"/>
      <c r="N173" s="62">
        <v>0</v>
      </c>
      <c r="O173" s="62">
        <v>0</v>
      </c>
      <c r="P173" s="62"/>
      <c r="Q173" s="72">
        <f t="shared" si="17"/>
        <v>0</v>
      </c>
      <c r="R173" s="62"/>
      <c r="S173" s="62"/>
      <c r="T173" s="62"/>
      <c r="U173" s="62"/>
      <c r="V173" s="62"/>
      <c r="W173" s="72" t="str">
        <f t="shared" si="18"/>
        <v>A</v>
      </c>
      <c r="X173" s="62"/>
      <c r="Y173" s="62"/>
      <c r="Z173" s="62"/>
      <c r="AA173" s="62"/>
      <c r="AB173" s="62"/>
      <c r="AC173" s="72" t="str">
        <f t="shared" si="19"/>
        <v>A</v>
      </c>
      <c r="AD173" s="62"/>
      <c r="AE173" s="62"/>
      <c r="AF173" s="62"/>
      <c r="AG173" s="62"/>
      <c r="AH173" s="62"/>
      <c r="AI173" s="72" t="str">
        <f t="shared" si="20"/>
        <v>A</v>
      </c>
      <c r="AJ173" s="62"/>
      <c r="AK173" s="62"/>
      <c r="AL173" s="62"/>
      <c r="AM173" s="62"/>
      <c r="AN173" s="62"/>
      <c r="AO173" s="72" t="str">
        <f t="shared" si="21"/>
        <v>A</v>
      </c>
      <c r="AP173" s="62"/>
      <c r="AQ173" s="62"/>
      <c r="AR173" s="62"/>
      <c r="AS173" s="62"/>
      <c r="AT173" s="62"/>
      <c r="AU173" s="72" t="str">
        <f t="shared" si="22"/>
        <v>A</v>
      </c>
      <c r="AV173" s="62"/>
      <c r="AW173" s="62"/>
      <c r="AX173" s="62">
        <v>0</v>
      </c>
      <c r="AY173" s="62">
        <v>0</v>
      </c>
      <c r="AZ173" s="62">
        <v>0</v>
      </c>
      <c r="BA173" s="72">
        <f t="shared" si="23"/>
        <v>0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7"/>
      <c r="I174" s="7"/>
      <c r="J174" s="7"/>
      <c r="K174" s="72" t="str">
        <f t="shared" si="16"/>
        <v>A</v>
      </c>
      <c r="L174" s="62">
        <v>2</v>
      </c>
      <c r="M174" s="62"/>
      <c r="N174" s="62">
        <v>2</v>
      </c>
      <c r="O174" s="62">
        <v>2</v>
      </c>
      <c r="P174" s="62"/>
      <c r="Q174" s="72">
        <f t="shared" si="17"/>
        <v>2</v>
      </c>
      <c r="R174" s="7"/>
      <c r="S174" s="7"/>
      <c r="T174" s="7"/>
      <c r="U174" s="7"/>
      <c r="V174" s="7"/>
      <c r="W174" s="72" t="str">
        <f t="shared" si="18"/>
        <v>A</v>
      </c>
      <c r="X174" s="7"/>
      <c r="Y174" s="7"/>
      <c r="Z174" s="7"/>
      <c r="AA174" s="7"/>
      <c r="AB174" s="7"/>
      <c r="AC174" s="72" t="str">
        <f t="shared" si="19"/>
        <v>A</v>
      </c>
      <c r="AD174" s="7"/>
      <c r="AE174" s="7"/>
      <c r="AF174" s="7"/>
      <c r="AG174" s="7"/>
      <c r="AH174" s="7"/>
      <c r="AI174" s="72" t="str">
        <f t="shared" si="20"/>
        <v>A</v>
      </c>
      <c r="AJ174" s="7"/>
      <c r="AK174" s="7"/>
      <c r="AL174" s="7"/>
      <c r="AM174" s="7"/>
      <c r="AN174" s="7"/>
      <c r="AO174" s="72" t="str">
        <f t="shared" si="21"/>
        <v>A</v>
      </c>
      <c r="AP174" s="7"/>
      <c r="AQ174" s="7"/>
      <c r="AR174" s="7"/>
      <c r="AS174" s="7"/>
      <c r="AT174" s="7"/>
      <c r="AU174" s="72" t="str">
        <f t="shared" si="22"/>
        <v>A</v>
      </c>
      <c r="AV174" s="7"/>
      <c r="AW174" s="7"/>
      <c r="AX174" s="62">
        <v>2</v>
      </c>
      <c r="AY174" s="62">
        <v>2</v>
      </c>
      <c r="AZ174" s="62">
        <v>2</v>
      </c>
      <c r="BA174" s="72">
        <f t="shared" si="23"/>
        <v>2</v>
      </c>
    </row>
    <row r="175" spans="1:53" ht="23.1" customHeight="1" x14ac:dyDescent="0.3">
      <c r="A175" s="62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62"/>
      <c r="G175" s="62"/>
      <c r="H175" s="62"/>
      <c r="I175" s="62"/>
      <c r="J175" s="62"/>
      <c r="K175" s="72" t="str">
        <f t="shared" si="16"/>
        <v>A</v>
      </c>
      <c r="L175" s="62">
        <v>2</v>
      </c>
      <c r="M175" s="62"/>
      <c r="N175" s="62">
        <v>2</v>
      </c>
      <c r="O175" s="62">
        <v>2</v>
      </c>
      <c r="P175" s="62"/>
      <c r="Q175" s="72">
        <f t="shared" si="17"/>
        <v>2</v>
      </c>
      <c r="R175" s="62"/>
      <c r="S175" s="62"/>
      <c r="T175" s="62"/>
      <c r="U175" s="62"/>
      <c r="V175" s="62"/>
      <c r="W175" s="72" t="str">
        <f t="shared" si="18"/>
        <v>A</v>
      </c>
      <c r="X175" s="62"/>
      <c r="Y175" s="62"/>
      <c r="Z175" s="62"/>
      <c r="AA175" s="62"/>
      <c r="AB175" s="62"/>
      <c r="AC175" s="72" t="str">
        <f t="shared" si="19"/>
        <v>A</v>
      </c>
      <c r="AD175" s="62"/>
      <c r="AE175" s="62"/>
      <c r="AF175" s="62"/>
      <c r="AG175" s="62"/>
      <c r="AH175" s="62"/>
      <c r="AI175" s="72" t="str">
        <f t="shared" si="20"/>
        <v>A</v>
      </c>
      <c r="AJ175" s="62"/>
      <c r="AK175" s="62"/>
      <c r="AL175" s="62"/>
      <c r="AM175" s="62"/>
      <c r="AN175" s="62"/>
      <c r="AO175" s="72" t="str">
        <f t="shared" si="21"/>
        <v>A</v>
      </c>
      <c r="AP175" s="62"/>
      <c r="AQ175" s="62"/>
      <c r="AR175" s="62"/>
      <c r="AS175" s="62"/>
      <c r="AT175" s="62"/>
      <c r="AU175" s="72" t="str">
        <f t="shared" si="22"/>
        <v>A</v>
      </c>
      <c r="AV175" s="62"/>
      <c r="AW175" s="62"/>
      <c r="AX175" s="62">
        <v>2</v>
      </c>
      <c r="AY175" s="62">
        <v>2</v>
      </c>
      <c r="AZ175" s="62">
        <v>2</v>
      </c>
      <c r="BA175" s="72">
        <f t="shared" si="23"/>
        <v>2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7"/>
      <c r="I176" s="7"/>
      <c r="J176" s="7"/>
      <c r="K176" s="72" t="str">
        <f t="shared" si="16"/>
        <v>A</v>
      </c>
      <c r="L176" s="62">
        <v>3</v>
      </c>
      <c r="M176" s="62"/>
      <c r="N176" s="62">
        <v>2</v>
      </c>
      <c r="O176" s="62">
        <v>2</v>
      </c>
      <c r="P176" s="62"/>
      <c r="Q176" s="72">
        <f t="shared" si="17"/>
        <v>2.3333333333333335</v>
      </c>
      <c r="R176" s="7"/>
      <c r="S176" s="7"/>
      <c r="T176" s="7"/>
      <c r="U176" s="7"/>
      <c r="V176" s="7"/>
      <c r="W176" s="72" t="str">
        <f t="shared" si="18"/>
        <v>A</v>
      </c>
      <c r="X176" s="7"/>
      <c r="Y176" s="7"/>
      <c r="Z176" s="7"/>
      <c r="AA176" s="7"/>
      <c r="AB176" s="7"/>
      <c r="AC176" s="72" t="str">
        <f t="shared" si="19"/>
        <v>A</v>
      </c>
      <c r="AD176" s="7"/>
      <c r="AE176" s="7"/>
      <c r="AF176" s="7"/>
      <c r="AG176" s="7"/>
      <c r="AH176" s="7"/>
      <c r="AI176" s="72" t="str">
        <f t="shared" si="20"/>
        <v>A</v>
      </c>
      <c r="AJ176" s="7"/>
      <c r="AK176" s="7"/>
      <c r="AL176" s="7"/>
      <c r="AM176" s="7"/>
      <c r="AN176" s="7"/>
      <c r="AO176" s="72" t="str">
        <f t="shared" si="21"/>
        <v>A</v>
      </c>
      <c r="AP176" s="7"/>
      <c r="AQ176" s="7"/>
      <c r="AR176" s="7"/>
      <c r="AS176" s="7"/>
      <c r="AT176" s="7"/>
      <c r="AU176" s="72" t="str">
        <f t="shared" si="22"/>
        <v>A</v>
      </c>
      <c r="AV176" s="7"/>
      <c r="AW176" s="7"/>
      <c r="AX176" s="62">
        <v>5</v>
      </c>
      <c r="AY176" s="62">
        <v>2</v>
      </c>
      <c r="AZ176" s="62">
        <v>2</v>
      </c>
      <c r="BA176" s="72">
        <f t="shared" si="23"/>
        <v>3</v>
      </c>
    </row>
    <row r="177" spans="1:53" ht="23.1" customHeight="1" x14ac:dyDescent="0.3">
      <c r="A177" s="62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62"/>
      <c r="G177" s="62"/>
      <c r="H177" s="62"/>
      <c r="I177" s="62"/>
      <c r="J177" s="62"/>
      <c r="K177" s="72" t="str">
        <f t="shared" si="16"/>
        <v>A</v>
      </c>
      <c r="L177" s="62">
        <v>2</v>
      </c>
      <c r="M177" s="62"/>
      <c r="N177" s="62">
        <v>2</v>
      </c>
      <c r="O177" s="62">
        <v>2</v>
      </c>
      <c r="P177" s="62"/>
      <c r="Q177" s="72">
        <f t="shared" si="17"/>
        <v>2</v>
      </c>
      <c r="R177" s="62"/>
      <c r="S177" s="62"/>
      <c r="T177" s="62"/>
      <c r="U177" s="62"/>
      <c r="V177" s="62"/>
      <c r="W177" s="72" t="str">
        <f t="shared" si="18"/>
        <v>A</v>
      </c>
      <c r="X177" s="62"/>
      <c r="Y177" s="62"/>
      <c r="Z177" s="62"/>
      <c r="AA177" s="62"/>
      <c r="AB177" s="62"/>
      <c r="AC177" s="72" t="str">
        <f t="shared" si="19"/>
        <v>A</v>
      </c>
      <c r="AD177" s="62"/>
      <c r="AE177" s="62"/>
      <c r="AF177" s="62"/>
      <c r="AG177" s="62"/>
      <c r="AH177" s="62"/>
      <c r="AI177" s="72" t="str">
        <f t="shared" si="20"/>
        <v>A</v>
      </c>
      <c r="AJ177" s="62"/>
      <c r="AK177" s="62"/>
      <c r="AL177" s="62"/>
      <c r="AM177" s="62"/>
      <c r="AN177" s="62"/>
      <c r="AO177" s="72" t="str">
        <f t="shared" si="21"/>
        <v>A</v>
      </c>
      <c r="AP177" s="62"/>
      <c r="AQ177" s="62"/>
      <c r="AR177" s="62"/>
      <c r="AS177" s="62"/>
      <c r="AT177" s="62"/>
      <c r="AU177" s="72" t="str">
        <f t="shared" si="22"/>
        <v>A</v>
      </c>
      <c r="AV177" s="62"/>
      <c r="AW177" s="62"/>
      <c r="AX177" s="62">
        <v>5</v>
      </c>
      <c r="AY177" s="62">
        <v>0</v>
      </c>
      <c r="AZ177" s="62">
        <v>2</v>
      </c>
      <c r="BA177" s="72">
        <f t="shared" si="23"/>
        <v>2.3333333333333335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7"/>
      <c r="I178" s="7"/>
      <c r="J178" s="7"/>
      <c r="K178" s="72" t="str">
        <f t="shared" si="16"/>
        <v>A</v>
      </c>
      <c r="L178" s="62">
        <v>0</v>
      </c>
      <c r="M178" s="62"/>
      <c r="N178" s="62">
        <v>0</v>
      </c>
      <c r="O178" s="62">
        <v>0</v>
      </c>
      <c r="P178" s="62"/>
      <c r="Q178" s="72">
        <f t="shared" si="17"/>
        <v>0</v>
      </c>
      <c r="R178" s="7"/>
      <c r="S178" s="7"/>
      <c r="T178" s="7"/>
      <c r="U178" s="7"/>
      <c r="V178" s="7"/>
      <c r="W178" s="72" t="str">
        <f t="shared" si="18"/>
        <v>A</v>
      </c>
      <c r="X178" s="7"/>
      <c r="Y178" s="7"/>
      <c r="Z178" s="7"/>
      <c r="AA178" s="7"/>
      <c r="AB178" s="7"/>
      <c r="AC178" s="72" t="str">
        <f t="shared" si="19"/>
        <v>A</v>
      </c>
      <c r="AD178" s="7"/>
      <c r="AE178" s="7"/>
      <c r="AF178" s="7"/>
      <c r="AG178" s="7"/>
      <c r="AH178" s="7"/>
      <c r="AI178" s="72" t="str">
        <f t="shared" si="20"/>
        <v>A</v>
      </c>
      <c r="AJ178" s="7"/>
      <c r="AK178" s="7"/>
      <c r="AL178" s="7"/>
      <c r="AM178" s="7"/>
      <c r="AN178" s="7"/>
      <c r="AO178" s="72" t="str">
        <f t="shared" si="21"/>
        <v>A</v>
      </c>
      <c r="AP178" s="7"/>
      <c r="AQ178" s="7"/>
      <c r="AR178" s="7"/>
      <c r="AS178" s="7"/>
      <c r="AT178" s="7"/>
      <c r="AU178" s="72" t="str">
        <f t="shared" si="22"/>
        <v>A</v>
      </c>
      <c r="AV178" s="7"/>
      <c r="AW178" s="7"/>
      <c r="AX178" s="62">
        <v>0</v>
      </c>
      <c r="AY178" s="62">
        <v>0</v>
      </c>
      <c r="AZ178" s="62">
        <v>0</v>
      </c>
      <c r="BA178" s="72">
        <f t="shared" si="23"/>
        <v>0</v>
      </c>
    </row>
    <row r="179" spans="1:53" ht="23.1" customHeight="1" x14ac:dyDescent="0.3">
      <c r="A179" s="62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62"/>
      <c r="G179" s="62"/>
      <c r="H179" s="62"/>
      <c r="I179" s="62"/>
      <c r="J179" s="62"/>
      <c r="K179" s="72" t="str">
        <f t="shared" si="16"/>
        <v>A</v>
      </c>
      <c r="L179" s="62">
        <v>3</v>
      </c>
      <c r="M179" s="62"/>
      <c r="N179" s="62">
        <v>2</v>
      </c>
      <c r="O179" s="62">
        <v>5</v>
      </c>
      <c r="P179" s="62"/>
      <c r="Q179" s="72">
        <f t="shared" si="17"/>
        <v>3.3333333333333335</v>
      </c>
      <c r="R179" s="62"/>
      <c r="S179" s="62"/>
      <c r="T179" s="62"/>
      <c r="U179" s="62"/>
      <c r="V179" s="62"/>
      <c r="W179" s="72" t="str">
        <f t="shared" si="18"/>
        <v>A</v>
      </c>
      <c r="X179" s="62"/>
      <c r="Y179" s="62"/>
      <c r="Z179" s="62"/>
      <c r="AA179" s="62"/>
      <c r="AB179" s="62"/>
      <c r="AC179" s="72" t="str">
        <f t="shared" si="19"/>
        <v>A</v>
      </c>
      <c r="AD179" s="62"/>
      <c r="AE179" s="62"/>
      <c r="AF179" s="62"/>
      <c r="AG179" s="62"/>
      <c r="AH179" s="62"/>
      <c r="AI179" s="72" t="str">
        <f t="shared" si="20"/>
        <v>A</v>
      </c>
      <c r="AJ179" s="62"/>
      <c r="AK179" s="62"/>
      <c r="AL179" s="62"/>
      <c r="AM179" s="62"/>
      <c r="AN179" s="62"/>
      <c r="AO179" s="72" t="str">
        <f t="shared" si="21"/>
        <v>A</v>
      </c>
      <c r="AP179" s="62"/>
      <c r="AQ179" s="62"/>
      <c r="AR179" s="62"/>
      <c r="AS179" s="62"/>
      <c r="AT179" s="62"/>
      <c r="AU179" s="72" t="str">
        <f t="shared" si="22"/>
        <v>A</v>
      </c>
      <c r="AV179" s="62"/>
      <c r="AW179" s="62"/>
      <c r="AX179" s="62">
        <v>2</v>
      </c>
      <c r="AY179" s="62">
        <v>0</v>
      </c>
      <c r="AZ179" s="62">
        <v>2</v>
      </c>
      <c r="BA179" s="72">
        <f t="shared" si="23"/>
        <v>1.3333333333333333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7"/>
      <c r="I180" s="7"/>
      <c r="J180" s="7"/>
      <c r="K180" s="72" t="str">
        <f t="shared" si="16"/>
        <v>A</v>
      </c>
      <c r="L180" s="62">
        <v>3</v>
      </c>
      <c r="M180" s="62"/>
      <c r="N180" s="62">
        <v>2</v>
      </c>
      <c r="O180" s="62">
        <v>5</v>
      </c>
      <c r="P180" s="62"/>
      <c r="Q180" s="72">
        <f t="shared" si="17"/>
        <v>3.3333333333333335</v>
      </c>
      <c r="R180" s="7"/>
      <c r="S180" s="7"/>
      <c r="T180" s="7"/>
      <c r="U180" s="7"/>
      <c r="V180" s="7"/>
      <c r="W180" s="72" t="str">
        <f t="shared" si="18"/>
        <v>A</v>
      </c>
      <c r="X180" s="7"/>
      <c r="Y180" s="7"/>
      <c r="Z180" s="7"/>
      <c r="AA180" s="7"/>
      <c r="AB180" s="7"/>
      <c r="AC180" s="72" t="str">
        <f t="shared" si="19"/>
        <v>A</v>
      </c>
      <c r="AD180" s="7"/>
      <c r="AE180" s="7"/>
      <c r="AF180" s="7"/>
      <c r="AG180" s="7"/>
      <c r="AH180" s="7"/>
      <c r="AI180" s="72" t="str">
        <f t="shared" si="20"/>
        <v>A</v>
      </c>
      <c r="AJ180" s="7"/>
      <c r="AK180" s="7"/>
      <c r="AL180" s="7"/>
      <c r="AM180" s="7"/>
      <c r="AN180" s="7"/>
      <c r="AO180" s="72" t="str">
        <f t="shared" si="21"/>
        <v>A</v>
      </c>
      <c r="AP180" s="7"/>
      <c r="AQ180" s="7"/>
      <c r="AR180" s="7"/>
      <c r="AS180" s="7"/>
      <c r="AT180" s="7"/>
      <c r="AU180" s="72" t="str">
        <f t="shared" si="22"/>
        <v>A</v>
      </c>
      <c r="AV180" s="7"/>
      <c r="AW180" s="7"/>
      <c r="AX180" s="62">
        <v>2</v>
      </c>
      <c r="AY180" s="62">
        <v>0</v>
      </c>
      <c r="AZ180" s="62">
        <v>2</v>
      </c>
      <c r="BA180" s="72">
        <f t="shared" si="23"/>
        <v>1.3333333333333333</v>
      </c>
    </row>
    <row r="181" spans="1:53" ht="23.1" customHeight="1" x14ac:dyDescent="0.3">
      <c r="A181" s="62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62"/>
      <c r="G181" s="62"/>
      <c r="H181" s="62"/>
      <c r="I181" s="62"/>
      <c r="J181" s="62"/>
      <c r="K181" s="72" t="str">
        <f t="shared" si="16"/>
        <v>A</v>
      </c>
      <c r="L181" s="62">
        <v>0</v>
      </c>
      <c r="M181" s="62"/>
      <c r="N181" s="62">
        <v>0</v>
      </c>
      <c r="O181" s="62">
        <v>0</v>
      </c>
      <c r="P181" s="62"/>
      <c r="Q181" s="72">
        <f t="shared" si="17"/>
        <v>0</v>
      </c>
      <c r="R181" s="62"/>
      <c r="S181" s="62"/>
      <c r="T181" s="62"/>
      <c r="U181" s="62"/>
      <c r="V181" s="62"/>
      <c r="W181" s="72" t="str">
        <f t="shared" si="18"/>
        <v>A</v>
      </c>
      <c r="X181" s="62"/>
      <c r="Y181" s="62"/>
      <c r="Z181" s="62"/>
      <c r="AA181" s="62"/>
      <c r="AB181" s="62"/>
      <c r="AC181" s="72" t="str">
        <f t="shared" si="19"/>
        <v>A</v>
      </c>
      <c r="AD181" s="62"/>
      <c r="AE181" s="62"/>
      <c r="AF181" s="62"/>
      <c r="AG181" s="62"/>
      <c r="AH181" s="62"/>
      <c r="AI181" s="72" t="str">
        <f t="shared" si="20"/>
        <v>A</v>
      </c>
      <c r="AJ181" s="62"/>
      <c r="AK181" s="62"/>
      <c r="AL181" s="62"/>
      <c r="AM181" s="62"/>
      <c r="AN181" s="62"/>
      <c r="AO181" s="72" t="str">
        <f t="shared" si="21"/>
        <v>A</v>
      </c>
      <c r="AP181" s="62"/>
      <c r="AQ181" s="62"/>
      <c r="AR181" s="62"/>
      <c r="AS181" s="62"/>
      <c r="AT181" s="62"/>
      <c r="AU181" s="72" t="str">
        <f t="shared" si="22"/>
        <v>A</v>
      </c>
      <c r="AV181" s="62"/>
      <c r="AW181" s="62"/>
      <c r="AX181" s="62">
        <v>0</v>
      </c>
      <c r="AY181" s="62">
        <v>0</v>
      </c>
      <c r="AZ181" s="62">
        <v>0</v>
      </c>
      <c r="BA181" s="72">
        <f t="shared" si="23"/>
        <v>0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7"/>
      <c r="I182" s="7"/>
      <c r="J182" s="7"/>
      <c r="K182" s="72" t="str">
        <f t="shared" si="16"/>
        <v>A</v>
      </c>
      <c r="L182" s="62">
        <v>4</v>
      </c>
      <c r="M182" s="62"/>
      <c r="N182" s="62">
        <v>4</v>
      </c>
      <c r="O182" s="62">
        <v>3</v>
      </c>
      <c r="P182" s="62"/>
      <c r="Q182" s="72">
        <f t="shared" si="17"/>
        <v>3.6666666666666665</v>
      </c>
      <c r="R182" s="7"/>
      <c r="S182" s="7"/>
      <c r="T182" s="7"/>
      <c r="U182" s="7"/>
      <c r="V182" s="7"/>
      <c r="W182" s="72" t="str">
        <f t="shared" si="18"/>
        <v>A</v>
      </c>
      <c r="X182" s="7"/>
      <c r="Y182" s="7"/>
      <c r="Z182" s="7"/>
      <c r="AA182" s="7"/>
      <c r="AB182" s="7"/>
      <c r="AC182" s="72" t="str">
        <f t="shared" si="19"/>
        <v>A</v>
      </c>
      <c r="AD182" s="7"/>
      <c r="AE182" s="7"/>
      <c r="AF182" s="7"/>
      <c r="AG182" s="7"/>
      <c r="AH182" s="7"/>
      <c r="AI182" s="72" t="str">
        <f t="shared" si="20"/>
        <v>A</v>
      </c>
      <c r="AJ182" s="7"/>
      <c r="AK182" s="7"/>
      <c r="AL182" s="7"/>
      <c r="AM182" s="7"/>
      <c r="AN182" s="7"/>
      <c r="AO182" s="72" t="str">
        <f t="shared" si="21"/>
        <v>A</v>
      </c>
      <c r="AP182" s="7"/>
      <c r="AQ182" s="7"/>
      <c r="AR182" s="7"/>
      <c r="AS182" s="7"/>
      <c r="AT182" s="7"/>
      <c r="AU182" s="72" t="str">
        <f t="shared" si="22"/>
        <v>A</v>
      </c>
      <c r="AV182" s="7"/>
      <c r="AW182" s="7"/>
      <c r="AX182" s="62">
        <v>5</v>
      </c>
      <c r="AY182" s="62">
        <v>0</v>
      </c>
      <c r="AZ182" s="62">
        <v>4</v>
      </c>
      <c r="BA182" s="72">
        <f t="shared" si="23"/>
        <v>3</v>
      </c>
    </row>
    <row r="183" spans="1:53" ht="23.1" customHeight="1" x14ac:dyDescent="0.3">
      <c r="A183" s="62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62"/>
      <c r="G183" s="62"/>
      <c r="H183" s="62"/>
      <c r="I183" s="62"/>
      <c r="J183" s="62"/>
      <c r="K183" s="72" t="str">
        <f t="shared" si="16"/>
        <v>A</v>
      </c>
      <c r="L183" s="62">
        <v>3</v>
      </c>
      <c r="M183" s="62"/>
      <c r="N183" s="62">
        <v>3</v>
      </c>
      <c r="O183" s="62">
        <v>3</v>
      </c>
      <c r="P183" s="62"/>
      <c r="Q183" s="72">
        <f t="shared" si="17"/>
        <v>3</v>
      </c>
      <c r="R183" s="62"/>
      <c r="S183" s="62"/>
      <c r="T183" s="62"/>
      <c r="U183" s="62"/>
      <c r="V183" s="62"/>
      <c r="W183" s="72" t="str">
        <f t="shared" si="18"/>
        <v>A</v>
      </c>
      <c r="X183" s="62"/>
      <c r="Y183" s="62"/>
      <c r="Z183" s="62"/>
      <c r="AA183" s="62"/>
      <c r="AB183" s="62"/>
      <c r="AC183" s="72" t="str">
        <f t="shared" si="19"/>
        <v>A</v>
      </c>
      <c r="AD183" s="62"/>
      <c r="AE183" s="62"/>
      <c r="AF183" s="62"/>
      <c r="AG183" s="62"/>
      <c r="AH183" s="62"/>
      <c r="AI183" s="72" t="str">
        <f t="shared" si="20"/>
        <v>A</v>
      </c>
      <c r="AJ183" s="62"/>
      <c r="AK183" s="62"/>
      <c r="AL183" s="62"/>
      <c r="AM183" s="62"/>
      <c r="AN183" s="62"/>
      <c r="AO183" s="72" t="str">
        <f t="shared" si="21"/>
        <v>A</v>
      </c>
      <c r="AP183" s="62"/>
      <c r="AQ183" s="62"/>
      <c r="AR183" s="62"/>
      <c r="AS183" s="62"/>
      <c r="AT183" s="62"/>
      <c r="AU183" s="72" t="str">
        <f t="shared" si="22"/>
        <v>A</v>
      </c>
      <c r="AV183" s="62"/>
      <c r="AW183" s="62"/>
      <c r="AX183" s="62">
        <v>5</v>
      </c>
      <c r="AY183" s="62">
        <v>2</v>
      </c>
      <c r="AZ183" s="62">
        <v>2</v>
      </c>
      <c r="BA183" s="72">
        <f t="shared" si="23"/>
        <v>3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7"/>
      <c r="I184" s="7"/>
      <c r="J184" s="7"/>
      <c r="K184" s="72" t="str">
        <f t="shared" si="16"/>
        <v>A</v>
      </c>
      <c r="L184" s="62">
        <v>4</v>
      </c>
      <c r="M184" s="62"/>
      <c r="N184" s="62">
        <v>4</v>
      </c>
      <c r="O184" s="62">
        <v>4</v>
      </c>
      <c r="P184" s="62"/>
      <c r="Q184" s="72">
        <f t="shared" si="17"/>
        <v>4</v>
      </c>
      <c r="R184" s="7"/>
      <c r="S184" s="7"/>
      <c r="T184" s="7"/>
      <c r="U184" s="7"/>
      <c r="V184" s="7"/>
      <c r="W184" s="72" t="str">
        <f t="shared" si="18"/>
        <v>A</v>
      </c>
      <c r="X184" s="7"/>
      <c r="Y184" s="7"/>
      <c r="Z184" s="7"/>
      <c r="AA184" s="7"/>
      <c r="AB184" s="7"/>
      <c r="AC184" s="72" t="str">
        <f t="shared" si="19"/>
        <v>A</v>
      </c>
      <c r="AD184" s="7"/>
      <c r="AE184" s="7"/>
      <c r="AF184" s="7"/>
      <c r="AG184" s="7"/>
      <c r="AH184" s="7"/>
      <c r="AI184" s="72" t="str">
        <f t="shared" si="20"/>
        <v>A</v>
      </c>
      <c r="AJ184" s="7"/>
      <c r="AK184" s="7"/>
      <c r="AL184" s="7"/>
      <c r="AM184" s="7"/>
      <c r="AN184" s="7"/>
      <c r="AO184" s="72" t="str">
        <f t="shared" si="21"/>
        <v>A</v>
      </c>
      <c r="AP184" s="7"/>
      <c r="AQ184" s="7"/>
      <c r="AR184" s="7"/>
      <c r="AS184" s="7"/>
      <c r="AT184" s="7"/>
      <c r="AU184" s="72" t="str">
        <f t="shared" si="22"/>
        <v>A</v>
      </c>
      <c r="AV184" s="7"/>
      <c r="AW184" s="7"/>
      <c r="AX184" s="62">
        <v>5</v>
      </c>
      <c r="AY184" s="62">
        <v>0</v>
      </c>
      <c r="AZ184" s="62">
        <v>4</v>
      </c>
      <c r="BA184" s="72">
        <f t="shared" si="23"/>
        <v>3</v>
      </c>
    </row>
    <row r="185" spans="1:53" ht="23.1" customHeight="1" x14ac:dyDescent="0.3">
      <c r="A185" s="62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62"/>
      <c r="G185" s="62"/>
      <c r="H185" s="62"/>
      <c r="I185" s="62"/>
      <c r="J185" s="62"/>
      <c r="K185" s="72" t="str">
        <f t="shared" si="16"/>
        <v>A</v>
      </c>
      <c r="L185" s="62">
        <v>4</v>
      </c>
      <c r="M185" s="62"/>
      <c r="N185" s="62">
        <v>4</v>
      </c>
      <c r="O185" s="62">
        <v>4</v>
      </c>
      <c r="P185" s="62"/>
      <c r="Q185" s="72">
        <f t="shared" si="17"/>
        <v>4</v>
      </c>
      <c r="R185" s="62"/>
      <c r="S185" s="62"/>
      <c r="T185" s="62"/>
      <c r="U185" s="62"/>
      <c r="V185" s="62"/>
      <c r="W185" s="72" t="str">
        <f t="shared" si="18"/>
        <v>A</v>
      </c>
      <c r="X185" s="62"/>
      <c r="Y185" s="62"/>
      <c r="Z185" s="62"/>
      <c r="AA185" s="62"/>
      <c r="AB185" s="62"/>
      <c r="AC185" s="72" t="str">
        <f t="shared" si="19"/>
        <v>A</v>
      </c>
      <c r="AD185" s="62"/>
      <c r="AE185" s="62"/>
      <c r="AF185" s="62"/>
      <c r="AG185" s="62"/>
      <c r="AH185" s="62"/>
      <c r="AI185" s="72" t="str">
        <f t="shared" si="20"/>
        <v>A</v>
      </c>
      <c r="AJ185" s="62"/>
      <c r="AK185" s="62"/>
      <c r="AL185" s="62"/>
      <c r="AM185" s="62"/>
      <c r="AN185" s="62"/>
      <c r="AO185" s="72" t="str">
        <f t="shared" si="21"/>
        <v>A</v>
      </c>
      <c r="AP185" s="62"/>
      <c r="AQ185" s="62"/>
      <c r="AR185" s="62"/>
      <c r="AS185" s="62"/>
      <c r="AT185" s="62"/>
      <c r="AU185" s="72" t="str">
        <f t="shared" si="22"/>
        <v>A</v>
      </c>
      <c r="AV185" s="62"/>
      <c r="AW185" s="62"/>
      <c r="AX185" s="62">
        <v>5</v>
      </c>
      <c r="AY185" s="62">
        <v>2</v>
      </c>
      <c r="AZ185" s="62">
        <v>4</v>
      </c>
      <c r="BA185" s="72">
        <f t="shared" si="23"/>
        <v>3.6666666666666665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7"/>
      <c r="I186" s="7"/>
      <c r="J186" s="7"/>
      <c r="K186" s="72" t="str">
        <f t="shared" si="16"/>
        <v>A</v>
      </c>
      <c r="L186" s="62">
        <v>0</v>
      </c>
      <c r="M186" s="62"/>
      <c r="N186" s="62">
        <v>0</v>
      </c>
      <c r="O186" s="62">
        <v>0</v>
      </c>
      <c r="P186" s="62"/>
      <c r="Q186" s="72">
        <f t="shared" si="17"/>
        <v>0</v>
      </c>
      <c r="R186" s="7"/>
      <c r="S186" s="7"/>
      <c r="T186" s="7"/>
      <c r="U186" s="7"/>
      <c r="V186" s="7"/>
      <c r="W186" s="72" t="str">
        <f t="shared" si="18"/>
        <v>A</v>
      </c>
      <c r="X186" s="7"/>
      <c r="Y186" s="7"/>
      <c r="Z186" s="7"/>
      <c r="AA186" s="7"/>
      <c r="AB186" s="7"/>
      <c r="AC186" s="72" t="str">
        <f t="shared" si="19"/>
        <v>A</v>
      </c>
      <c r="AD186" s="7"/>
      <c r="AE186" s="7"/>
      <c r="AF186" s="7"/>
      <c r="AG186" s="7"/>
      <c r="AH186" s="7"/>
      <c r="AI186" s="72" t="str">
        <f t="shared" si="20"/>
        <v>A</v>
      </c>
      <c r="AJ186" s="7"/>
      <c r="AK186" s="7"/>
      <c r="AL186" s="7"/>
      <c r="AM186" s="7"/>
      <c r="AN186" s="7"/>
      <c r="AO186" s="72" t="str">
        <f t="shared" si="21"/>
        <v>A</v>
      </c>
      <c r="AP186" s="7"/>
      <c r="AQ186" s="7"/>
      <c r="AR186" s="7"/>
      <c r="AS186" s="7"/>
      <c r="AT186" s="7"/>
      <c r="AU186" s="72" t="str">
        <f t="shared" si="22"/>
        <v>A</v>
      </c>
      <c r="AV186" s="7"/>
      <c r="AW186" s="7"/>
      <c r="AX186" s="62">
        <v>0</v>
      </c>
      <c r="AY186" s="62">
        <v>0</v>
      </c>
      <c r="AZ186" s="62">
        <v>0</v>
      </c>
      <c r="BA186" s="72">
        <f t="shared" si="23"/>
        <v>0</v>
      </c>
    </row>
    <row r="187" spans="1:53" ht="23.1" customHeight="1" x14ac:dyDescent="0.3">
      <c r="A187" s="62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62"/>
      <c r="G187" s="62"/>
      <c r="H187" s="62"/>
      <c r="I187" s="62"/>
      <c r="J187" s="62"/>
      <c r="K187" s="72" t="str">
        <f t="shared" si="16"/>
        <v>A</v>
      </c>
      <c r="L187" s="62">
        <v>2</v>
      </c>
      <c r="M187" s="62"/>
      <c r="N187" s="62">
        <v>2</v>
      </c>
      <c r="O187" s="62">
        <v>2</v>
      </c>
      <c r="P187" s="62"/>
      <c r="Q187" s="72">
        <f t="shared" si="17"/>
        <v>2</v>
      </c>
      <c r="R187" s="62"/>
      <c r="S187" s="62"/>
      <c r="T187" s="62"/>
      <c r="U187" s="62"/>
      <c r="V187" s="62"/>
      <c r="W187" s="72" t="str">
        <f t="shared" si="18"/>
        <v>A</v>
      </c>
      <c r="X187" s="62"/>
      <c r="Y187" s="62"/>
      <c r="Z187" s="62"/>
      <c r="AA187" s="62"/>
      <c r="AB187" s="62"/>
      <c r="AC187" s="72" t="str">
        <f t="shared" si="19"/>
        <v>A</v>
      </c>
      <c r="AD187" s="62"/>
      <c r="AE187" s="62"/>
      <c r="AF187" s="62"/>
      <c r="AG187" s="62"/>
      <c r="AH187" s="62"/>
      <c r="AI187" s="72" t="str">
        <f t="shared" si="20"/>
        <v>A</v>
      </c>
      <c r="AJ187" s="62"/>
      <c r="AK187" s="62"/>
      <c r="AL187" s="62"/>
      <c r="AM187" s="62"/>
      <c r="AN187" s="62"/>
      <c r="AO187" s="72" t="str">
        <f t="shared" si="21"/>
        <v>A</v>
      </c>
      <c r="AP187" s="62"/>
      <c r="AQ187" s="62"/>
      <c r="AR187" s="62"/>
      <c r="AS187" s="62"/>
      <c r="AT187" s="62"/>
      <c r="AU187" s="72" t="str">
        <f t="shared" si="22"/>
        <v>A</v>
      </c>
      <c r="AV187" s="62"/>
      <c r="AW187" s="62"/>
      <c r="AX187" s="62">
        <v>2</v>
      </c>
      <c r="AY187" s="62">
        <v>2</v>
      </c>
      <c r="AZ187" s="62">
        <v>2</v>
      </c>
      <c r="BA187" s="72">
        <f t="shared" si="23"/>
        <v>2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7"/>
      <c r="I188" s="7"/>
      <c r="J188" s="7"/>
      <c r="K188" s="72" t="str">
        <f t="shared" si="16"/>
        <v>A</v>
      </c>
      <c r="L188" s="62">
        <v>3</v>
      </c>
      <c r="M188" s="62"/>
      <c r="N188" s="62">
        <v>2</v>
      </c>
      <c r="O188" s="62">
        <v>5</v>
      </c>
      <c r="P188" s="62"/>
      <c r="Q188" s="72">
        <f t="shared" si="17"/>
        <v>3.3333333333333335</v>
      </c>
      <c r="R188" s="7"/>
      <c r="S188" s="7"/>
      <c r="T188" s="7"/>
      <c r="U188" s="7"/>
      <c r="V188" s="7"/>
      <c r="W188" s="72" t="str">
        <f t="shared" si="18"/>
        <v>A</v>
      </c>
      <c r="X188" s="7"/>
      <c r="Y188" s="7"/>
      <c r="Z188" s="7"/>
      <c r="AA188" s="7"/>
      <c r="AB188" s="7"/>
      <c r="AC188" s="72" t="str">
        <f t="shared" si="19"/>
        <v>A</v>
      </c>
      <c r="AD188" s="7"/>
      <c r="AE188" s="7"/>
      <c r="AF188" s="7"/>
      <c r="AG188" s="7"/>
      <c r="AH188" s="7"/>
      <c r="AI188" s="72" t="str">
        <f t="shared" si="20"/>
        <v>A</v>
      </c>
      <c r="AJ188" s="7"/>
      <c r="AK188" s="7"/>
      <c r="AL188" s="7"/>
      <c r="AM188" s="7"/>
      <c r="AN188" s="7"/>
      <c r="AO188" s="72" t="str">
        <f t="shared" si="21"/>
        <v>A</v>
      </c>
      <c r="AP188" s="7"/>
      <c r="AQ188" s="7"/>
      <c r="AR188" s="7"/>
      <c r="AS188" s="7"/>
      <c r="AT188" s="7"/>
      <c r="AU188" s="72" t="str">
        <f t="shared" si="22"/>
        <v>A</v>
      </c>
      <c r="AV188" s="7"/>
      <c r="AW188" s="7"/>
      <c r="AX188" s="62">
        <v>2</v>
      </c>
      <c r="AY188" s="62">
        <v>2</v>
      </c>
      <c r="AZ188" s="62">
        <v>2</v>
      </c>
      <c r="BA188" s="72">
        <f t="shared" si="23"/>
        <v>2</v>
      </c>
    </row>
    <row r="189" spans="1:53" ht="23.1" customHeight="1" x14ac:dyDescent="0.3">
      <c r="A189" s="62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62"/>
      <c r="G189" s="62"/>
      <c r="H189" s="62"/>
      <c r="I189" s="62"/>
      <c r="J189" s="62"/>
      <c r="K189" s="72" t="str">
        <f t="shared" si="16"/>
        <v>A</v>
      </c>
      <c r="L189" s="62">
        <v>2</v>
      </c>
      <c r="M189" s="62"/>
      <c r="N189" s="62">
        <v>2</v>
      </c>
      <c r="O189" s="62">
        <v>2</v>
      </c>
      <c r="P189" s="62"/>
      <c r="Q189" s="72">
        <f t="shared" si="17"/>
        <v>2</v>
      </c>
      <c r="R189" s="62"/>
      <c r="S189" s="62"/>
      <c r="T189" s="62"/>
      <c r="U189" s="62"/>
      <c r="V189" s="62"/>
      <c r="W189" s="72" t="str">
        <f t="shared" si="18"/>
        <v>A</v>
      </c>
      <c r="X189" s="62"/>
      <c r="Y189" s="62"/>
      <c r="Z189" s="62"/>
      <c r="AA189" s="62"/>
      <c r="AB189" s="62"/>
      <c r="AC189" s="72" t="str">
        <f t="shared" si="19"/>
        <v>A</v>
      </c>
      <c r="AD189" s="62"/>
      <c r="AE189" s="62"/>
      <c r="AF189" s="62"/>
      <c r="AG189" s="62"/>
      <c r="AH189" s="62"/>
      <c r="AI189" s="72" t="str">
        <f t="shared" si="20"/>
        <v>A</v>
      </c>
      <c r="AJ189" s="62"/>
      <c r="AK189" s="62"/>
      <c r="AL189" s="62"/>
      <c r="AM189" s="62"/>
      <c r="AN189" s="62"/>
      <c r="AO189" s="72" t="str">
        <f t="shared" si="21"/>
        <v>A</v>
      </c>
      <c r="AP189" s="62"/>
      <c r="AQ189" s="62"/>
      <c r="AR189" s="62"/>
      <c r="AS189" s="62"/>
      <c r="AT189" s="62"/>
      <c r="AU189" s="72" t="str">
        <f t="shared" si="22"/>
        <v>A</v>
      </c>
      <c r="AV189" s="62"/>
      <c r="AW189" s="62"/>
      <c r="AX189" s="62">
        <v>2</v>
      </c>
      <c r="AY189" s="62">
        <v>2</v>
      </c>
      <c r="AZ189" s="62">
        <v>2</v>
      </c>
      <c r="BA189" s="72">
        <f t="shared" si="23"/>
        <v>2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7"/>
      <c r="I190" s="7"/>
      <c r="J190" s="7"/>
      <c r="K190" s="72" t="str">
        <f t="shared" si="16"/>
        <v>A</v>
      </c>
      <c r="L190" s="62">
        <v>0</v>
      </c>
      <c r="M190" s="62"/>
      <c r="N190" s="62">
        <v>0</v>
      </c>
      <c r="O190" s="62">
        <v>0</v>
      </c>
      <c r="P190" s="62"/>
      <c r="Q190" s="72">
        <f t="shared" si="17"/>
        <v>0</v>
      </c>
      <c r="R190" s="7"/>
      <c r="S190" s="7"/>
      <c r="T190" s="7"/>
      <c r="U190" s="7"/>
      <c r="V190" s="7"/>
      <c r="W190" s="72" t="str">
        <f t="shared" si="18"/>
        <v>A</v>
      </c>
      <c r="X190" s="7"/>
      <c r="Y190" s="7"/>
      <c r="Z190" s="7"/>
      <c r="AA190" s="7"/>
      <c r="AB190" s="7"/>
      <c r="AC190" s="72" t="str">
        <f t="shared" si="19"/>
        <v>A</v>
      </c>
      <c r="AD190" s="7"/>
      <c r="AE190" s="7"/>
      <c r="AF190" s="7"/>
      <c r="AG190" s="7"/>
      <c r="AH190" s="7"/>
      <c r="AI190" s="72" t="str">
        <f t="shared" si="20"/>
        <v>A</v>
      </c>
      <c r="AJ190" s="7"/>
      <c r="AK190" s="7"/>
      <c r="AL190" s="7"/>
      <c r="AM190" s="7"/>
      <c r="AN190" s="7"/>
      <c r="AO190" s="72" t="str">
        <f t="shared" si="21"/>
        <v>A</v>
      </c>
      <c r="AP190" s="7"/>
      <c r="AQ190" s="7"/>
      <c r="AR190" s="7"/>
      <c r="AS190" s="7"/>
      <c r="AT190" s="7"/>
      <c r="AU190" s="72" t="str">
        <f t="shared" si="22"/>
        <v>A</v>
      </c>
      <c r="AV190" s="7"/>
      <c r="AW190" s="7"/>
      <c r="AX190" s="62">
        <v>0</v>
      </c>
      <c r="AY190" s="62">
        <v>0</v>
      </c>
      <c r="AZ190" s="62">
        <v>0</v>
      </c>
      <c r="BA190" s="72">
        <f t="shared" si="23"/>
        <v>0</v>
      </c>
    </row>
    <row r="191" spans="1:53" ht="23.1" customHeight="1" x14ac:dyDescent="0.3">
      <c r="A191" s="62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62"/>
      <c r="G191" s="62"/>
      <c r="H191" s="62"/>
      <c r="I191" s="62"/>
      <c r="J191" s="62"/>
      <c r="K191" s="72" t="str">
        <f t="shared" si="16"/>
        <v>A</v>
      </c>
      <c r="L191" s="62">
        <v>4</v>
      </c>
      <c r="M191" s="62"/>
      <c r="N191" s="62">
        <v>4</v>
      </c>
      <c r="O191" s="62">
        <v>3</v>
      </c>
      <c r="P191" s="62"/>
      <c r="Q191" s="72">
        <f t="shared" si="17"/>
        <v>3.6666666666666665</v>
      </c>
      <c r="R191" s="62"/>
      <c r="S191" s="62"/>
      <c r="T191" s="62"/>
      <c r="U191" s="62"/>
      <c r="V191" s="62"/>
      <c r="W191" s="72" t="str">
        <f t="shared" si="18"/>
        <v>A</v>
      </c>
      <c r="X191" s="62"/>
      <c r="Y191" s="62"/>
      <c r="Z191" s="62"/>
      <c r="AA191" s="62"/>
      <c r="AB191" s="62"/>
      <c r="AC191" s="72" t="str">
        <f t="shared" si="19"/>
        <v>A</v>
      </c>
      <c r="AD191" s="62"/>
      <c r="AE191" s="62"/>
      <c r="AF191" s="62"/>
      <c r="AG191" s="62"/>
      <c r="AH191" s="62"/>
      <c r="AI191" s="72" t="str">
        <f t="shared" si="20"/>
        <v>A</v>
      </c>
      <c r="AJ191" s="62"/>
      <c r="AK191" s="62"/>
      <c r="AL191" s="62"/>
      <c r="AM191" s="62"/>
      <c r="AN191" s="62"/>
      <c r="AO191" s="72" t="str">
        <f t="shared" si="21"/>
        <v>A</v>
      </c>
      <c r="AP191" s="62"/>
      <c r="AQ191" s="62"/>
      <c r="AR191" s="62"/>
      <c r="AS191" s="62"/>
      <c r="AT191" s="62"/>
      <c r="AU191" s="72" t="str">
        <f t="shared" si="22"/>
        <v>A</v>
      </c>
      <c r="AV191" s="62"/>
      <c r="AW191" s="62"/>
      <c r="AX191" s="62">
        <v>5</v>
      </c>
      <c r="AY191" s="62">
        <v>2</v>
      </c>
      <c r="AZ191" s="62">
        <v>4</v>
      </c>
      <c r="BA191" s="72">
        <f t="shared" si="23"/>
        <v>3.6666666666666665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7"/>
      <c r="I192" s="7"/>
      <c r="J192" s="7"/>
      <c r="K192" s="72" t="str">
        <f t="shared" si="16"/>
        <v>A</v>
      </c>
      <c r="L192" s="62">
        <v>2</v>
      </c>
      <c r="M192" s="62"/>
      <c r="N192" s="62">
        <v>2</v>
      </c>
      <c r="O192" s="62">
        <v>2</v>
      </c>
      <c r="P192" s="62"/>
      <c r="Q192" s="72">
        <f t="shared" si="17"/>
        <v>2</v>
      </c>
      <c r="R192" s="7"/>
      <c r="S192" s="7"/>
      <c r="T192" s="7"/>
      <c r="U192" s="7"/>
      <c r="V192" s="7"/>
      <c r="W192" s="72" t="str">
        <f t="shared" si="18"/>
        <v>A</v>
      </c>
      <c r="X192" s="7"/>
      <c r="Y192" s="7"/>
      <c r="Z192" s="7"/>
      <c r="AA192" s="7"/>
      <c r="AB192" s="7"/>
      <c r="AC192" s="72" t="str">
        <f t="shared" si="19"/>
        <v>A</v>
      </c>
      <c r="AD192" s="7"/>
      <c r="AE192" s="7"/>
      <c r="AF192" s="7"/>
      <c r="AG192" s="7"/>
      <c r="AH192" s="7"/>
      <c r="AI192" s="72" t="str">
        <f t="shared" si="20"/>
        <v>A</v>
      </c>
      <c r="AJ192" s="7"/>
      <c r="AK192" s="7"/>
      <c r="AL192" s="7"/>
      <c r="AM192" s="7"/>
      <c r="AN192" s="7"/>
      <c r="AO192" s="72" t="str">
        <f t="shared" si="21"/>
        <v>A</v>
      </c>
      <c r="AP192" s="7"/>
      <c r="AQ192" s="7"/>
      <c r="AR192" s="7"/>
      <c r="AS192" s="7"/>
      <c r="AT192" s="7"/>
      <c r="AU192" s="72" t="str">
        <f t="shared" si="22"/>
        <v>A</v>
      </c>
      <c r="AV192" s="7"/>
      <c r="AW192" s="7"/>
      <c r="AX192" s="62">
        <v>2</v>
      </c>
      <c r="AY192" s="62">
        <v>2</v>
      </c>
      <c r="AZ192" s="62">
        <v>2</v>
      </c>
      <c r="BA192" s="72">
        <f t="shared" si="23"/>
        <v>2</v>
      </c>
    </row>
    <row r="193" spans="1:53" ht="23.1" customHeight="1" x14ac:dyDescent="0.3">
      <c r="A193" s="62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62"/>
      <c r="G193" s="62"/>
      <c r="H193" s="62"/>
      <c r="I193" s="62"/>
      <c r="J193" s="62"/>
      <c r="K193" s="72" t="str">
        <f t="shared" si="16"/>
        <v>A</v>
      </c>
      <c r="L193" s="62">
        <v>2</v>
      </c>
      <c r="M193" s="62"/>
      <c r="N193" s="62">
        <v>2</v>
      </c>
      <c r="O193" s="62">
        <v>2</v>
      </c>
      <c r="P193" s="62"/>
      <c r="Q193" s="72">
        <f t="shared" si="17"/>
        <v>2</v>
      </c>
      <c r="R193" s="62"/>
      <c r="S193" s="62"/>
      <c r="T193" s="62"/>
      <c r="U193" s="62"/>
      <c r="V193" s="62"/>
      <c r="W193" s="72" t="str">
        <f t="shared" si="18"/>
        <v>A</v>
      </c>
      <c r="X193" s="62"/>
      <c r="Y193" s="62"/>
      <c r="Z193" s="62"/>
      <c r="AA193" s="62"/>
      <c r="AB193" s="62"/>
      <c r="AC193" s="72" t="str">
        <f t="shared" si="19"/>
        <v>A</v>
      </c>
      <c r="AD193" s="62"/>
      <c r="AE193" s="62"/>
      <c r="AF193" s="62"/>
      <c r="AG193" s="62"/>
      <c r="AH193" s="62"/>
      <c r="AI193" s="72" t="str">
        <f t="shared" si="20"/>
        <v>A</v>
      </c>
      <c r="AJ193" s="62"/>
      <c r="AK193" s="62"/>
      <c r="AL193" s="62"/>
      <c r="AM193" s="62"/>
      <c r="AN193" s="62"/>
      <c r="AO193" s="72" t="str">
        <f t="shared" si="21"/>
        <v>A</v>
      </c>
      <c r="AP193" s="62"/>
      <c r="AQ193" s="62"/>
      <c r="AR193" s="62"/>
      <c r="AS193" s="62"/>
      <c r="AT193" s="62"/>
      <c r="AU193" s="72" t="str">
        <f t="shared" si="22"/>
        <v>A</v>
      </c>
      <c r="AV193" s="62"/>
      <c r="AW193" s="62"/>
      <c r="AX193" s="62">
        <v>2</v>
      </c>
      <c r="AY193" s="62">
        <v>2</v>
      </c>
      <c r="AZ193" s="62">
        <v>2</v>
      </c>
      <c r="BA193" s="72">
        <f t="shared" si="23"/>
        <v>2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7"/>
      <c r="I194" s="7"/>
      <c r="J194" s="7"/>
      <c r="K194" s="72" t="str">
        <f t="shared" si="16"/>
        <v>A</v>
      </c>
      <c r="L194" s="62">
        <v>2</v>
      </c>
      <c r="M194" s="62"/>
      <c r="N194" s="62">
        <v>2</v>
      </c>
      <c r="O194" s="62">
        <v>2</v>
      </c>
      <c r="P194" s="62"/>
      <c r="Q194" s="72">
        <f t="shared" si="17"/>
        <v>2</v>
      </c>
      <c r="R194" s="7"/>
      <c r="S194" s="7"/>
      <c r="T194" s="7"/>
      <c r="U194" s="7"/>
      <c r="V194" s="7"/>
      <c r="W194" s="72" t="str">
        <f t="shared" si="18"/>
        <v>A</v>
      </c>
      <c r="X194" s="7"/>
      <c r="Y194" s="7"/>
      <c r="Z194" s="7"/>
      <c r="AA194" s="7"/>
      <c r="AB194" s="7"/>
      <c r="AC194" s="72" t="str">
        <f t="shared" si="19"/>
        <v>A</v>
      </c>
      <c r="AD194" s="7"/>
      <c r="AE194" s="7"/>
      <c r="AF194" s="7"/>
      <c r="AG194" s="7"/>
      <c r="AH194" s="7"/>
      <c r="AI194" s="72" t="str">
        <f t="shared" si="20"/>
        <v>A</v>
      </c>
      <c r="AJ194" s="7"/>
      <c r="AK194" s="7"/>
      <c r="AL194" s="7"/>
      <c r="AM194" s="7"/>
      <c r="AN194" s="7"/>
      <c r="AO194" s="72" t="str">
        <f t="shared" si="21"/>
        <v>A</v>
      </c>
      <c r="AP194" s="7"/>
      <c r="AQ194" s="7"/>
      <c r="AR194" s="7"/>
      <c r="AS194" s="7"/>
      <c r="AT194" s="7"/>
      <c r="AU194" s="72" t="str">
        <f t="shared" si="22"/>
        <v>A</v>
      </c>
      <c r="AV194" s="7"/>
      <c r="AW194" s="7"/>
      <c r="AX194" s="62">
        <v>2</v>
      </c>
      <c r="AY194" s="62">
        <v>2</v>
      </c>
      <c r="AZ194" s="62">
        <v>2</v>
      </c>
      <c r="BA194" s="72">
        <f t="shared" si="23"/>
        <v>2</v>
      </c>
    </row>
    <row r="195" spans="1:53" ht="23.1" customHeight="1" x14ac:dyDescent="0.3">
      <c r="A195" s="62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62"/>
      <c r="G195" s="62"/>
      <c r="H195" s="62"/>
      <c r="I195" s="62"/>
      <c r="J195" s="62"/>
      <c r="K195" s="72" t="str">
        <f t="shared" si="16"/>
        <v>A</v>
      </c>
      <c r="L195" s="62">
        <v>3</v>
      </c>
      <c r="M195" s="62"/>
      <c r="N195" s="62">
        <v>3</v>
      </c>
      <c r="O195" s="62">
        <v>3</v>
      </c>
      <c r="P195" s="62"/>
      <c r="Q195" s="72">
        <f t="shared" si="17"/>
        <v>3</v>
      </c>
      <c r="R195" s="62"/>
      <c r="S195" s="62"/>
      <c r="T195" s="62"/>
      <c r="U195" s="62"/>
      <c r="V195" s="62"/>
      <c r="W195" s="72" t="str">
        <f t="shared" si="18"/>
        <v>A</v>
      </c>
      <c r="X195" s="62"/>
      <c r="Y195" s="62"/>
      <c r="Z195" s="62"/>
      <c r="AA195" s="62"/>
      <c r="AB195" s="62"/>
      <c r="AC195" s="72" t="str">
        <f t="shared" si="19"/>
        <v>A</v>
      </c>
      <c r="AD195" s="62"/>
      <c r="AE195" s="62"/>
      <c r="AF195" s="62"/>
      <c r="AG195" s="62"/>
      <c r="AH195" s="62"/>
      <c r="AI195" s="72" t="str">
        <f t="shared" si="20"/>
        <v>A</v>
      </c>
      <c r="AJ195" s="62"/>
      <c r="AK195" s="62"/>
      <c r="AL195" s="62"/>
      <c r="AM195" s="62"/>
      <c r="AN195" s="62"/>
      <c r="AO195" s="72" t="str">
        <f t="shared" si="21"/>
        <v>A</v>
      </c>
      <c r="AP195" s="62"/>
      <c r="AQ195" s="62"/>
      <c r="AR195" s="62"/>
      <c r="AS195" s="62"/>
      <c r="AT195" s="62"/>
      <c r="AU195" s="72" t="str">
        <f t="shared" si="22"/>
        <v>A</v>
      </c>
      <c r="AV195" s="62"/>
      <c r="AW195" s="62"/>
      <c r="AX195" s="62">
        <v>5</v>
      </c>
      <c r="AY195" s="62">
        <v>2</v>
      </c>
      <c r="AZ195" s="62">
        <v>4</v>
      </c>
      <c r="BA195" s="72">
        <f t="shared" si="23"/>
        <v>3.6666666666666665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7"/>
      <c r="I196" s="7"/>
      <c r="J196" s="7"/>
      <c r="K196" s="72" t="str">
        <f t="shared" ref="K196:K230" si="24">IFERROR(AVERAGE(F196,G196,H196,I196),"A")</f>
        <v>A</v>
      </c>
      <c r="L196" s="62">
        <v>4</v>
      </c>
      <c r="M196" s="62"/>
      <c r="N196" s="62">
        <v>4</v>
      </c>
      <c r="O196" s="62">
        <v>4</v>
      </c>
      <c r="P196" s="62"/>
      <c r="Q196" s="72">
        <f t="shared" ref="Q196:Q230" si="25">IFERROR(AVERAGE(N196,L196,O196),"A")</f>
        <v>4</v>
      </c>
      <c r="R196" s="7"/>
      <c r="S196" s="7"/>
      <c r="T196" s="7"/>
      <c r="U196" s="7"/>
      <c r="V196" s="7"/>
      <c r="W196" s="72" t="str">
        <f t="shared" ref="W196:W230" si="26">IFERROR(AVERAGE(R196,S196,U196),"A")</f>
        <v>A</v>
      </c>
      <c r="X196" s="7"/>
      <c r="Y196" s="7"/>
      <c r="Z196" s="7"/>
      <c r="AA196" s="7"/>
      <c r="AB196" s="7"/>
      <c r="AC196" s="72" t="str">
        <f t="shared" ref="AC196:AC230" si="27">IFERROR(AVERAGE(Y196,X196),"A")</f>
        <v>A</v>
      </c>
      <c r="AD196" s="7"/>
      <c r="AE196" s="7"/>
      <c r="AF196" s="7"/>
      <c r="AG196" s="7"/>
      <c r="AH196" s="7"/>
      <c r="AI196" s="72" t="str">
        <f t="shared" ref="AI196:AI230" si="28">IFERROR(AVERAGE(AF196,AD196),"A")</f>
        <v>A</v>
      </c>
      <c r="AJ196" s="7"/>
      <c r="AK196" s="7"/>
      <c r="AL196" s="7"/>
      <c r="AM196" s="7"/>
      <c r="AN196" s="7"/>
      <c r="AO196" s="72" t="str">
        <f t="shared" ref="AO196:AO230" si="29">IFERROR(AVERAGE(AJ196,AK196,AL196,AM196),"A")</f>
        <v>A</v>
      </c>
      <c r="AP196" s="7"/>
      <c r="AQ196" s="7"/>
      <c r="AR196" s="7"/>
      <c r="AS196" s="7"/>
      <c r="AT196" s="7"/>
      <c r="AU196" s="72" t="str">
        <f t="shared" ref="AU196:AU230" si="30">IFERROR(AVERAGE(AR196,AQ196,AP196),"A")</f>
        <v>A</v>
      </c>
      <c r="AV196" s="7"/>
      <c r="AW196" s="7"/>
      <c r="AX196" s="62">
        <v>2</v>
      </c>
      <c r="AY196" s="62">
        <v>2</v>
      </c>
      <c r="AZ196" s="62">
        <v>2</v>
      </c>
      <c r="BA196" s="72">
        <f t="shared" ref="BA196:BA230" si="31">IFERROR(AVERAGE(AX196,AY196,AZ196),"A")</f>
        <v>2</v>
      </c>
    </row>
    <row r="197" spans="1:53" ht="23.1" customHeight="1" x14ac:dyDescent="0.3">
      <c r="A197" s="62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62"/>
      <c r="G197" s="62"/>
      <c r="H197" s="62"/>
      <c r="I197" s="62"/>
      <c r="J197" s="62"/>
      <c r="K197" s="72" t="str">
        <f t="shared" si="24"/>
        <v>A</v>
      </c>
      <c r="L197" s="62">
        <v>3</v>
      </c>
      <c r="M197" s="62"/>
      <c r="N197" s="62">
        <v>2</v>
      </c>
      <c r="O197" s="62">
        <v>2</v>
      </c>
      <c r="P197" s="62"/>
      <c r="Q197" s="72">
        <f t="shared" si="25"/>
        <v>2.3333333333333335</v>
      </c>
      <c r="R197" s="62"/>
      <c r="S197" s="62"/>
      <c r="T197" s="62"/>
      <c r="U197" s="62"/>
      <c r="V197" s="62"/>
      <c r="W197" s="72" t="str">
        <f t="shared" si="26"/>
        <v>A</v>
      </c>
      <c r="X197" s="62"/>
      <c r="Y197" s="62"/>
      <c r="Z197" s="62"/>
      <c r="AA197" s="62"/>
      <c r="AB197" s="62"/>
      <c r="AC197" s="72" t="str">
        <f t="shared" si="27"/>
        <v>A</v>
      </c>
      <c r="AD197" s="62"/>
      <c r="AE197" s="62"/>
      <c r="AF197" s="62"/>
      <c r="AG197" s="62"/>
      <c r="AH197" s="62"/>
      <c r="AI197" s="72" t="str">
        <f t="shared" si="28"/>
        <v>A</v>
      </c>
      <c r="AJ197" s="62"/>
      <c r="AK197" s="62"/>
      <c r="AL197" s="62"/>
      <c r="AM197" s="62"/>
      <c r="AN197" s="62"/>
      <c r="AO197" s="72" t="str">
        <f t="shared" si="29"/>
        <v>A</v>
      </c>
      <c r="AP197" s="62"/>
      <c r="AQ197" s="62"/>
      <c r="AR197" s="62"/>
      <c r="AS197" s="62"/>
      <c r="AT197" s="62"/>
      <c r="AU197" s="72" t="str">
        <f t="shared" si="30"/>
        <v>A</v>
      </c>
      <c r="AV197" s="62"/>
      <c r="AW197" s="62"/>
      <c r="AX197" s="62">
        <v>4</v>
      </c>
      <c r="AY197" s="62">
        <v>2</v>
      </c>
      <c r="AZ197" s="62">
        <v>2</v>
      </c>
      <c r="BA197" s="72">
        <f t="shared" si="31"/>
        <v>2.6666666666666665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7"/>
      <c r="I198" s="7"/>
      <c r="J198" s="7"/>
      <c r="K198" s="72" t="str">
        <f t="shared" si="24"/>
        <v>A</v>
      </c>
      <c r="L198" s="62">
        <v>2</v>
      </c>
      <c r="M198" s="62"/>
      <c r="N198" s="62">
        <v>2</v>
      </c>
      <c r="O198" s="62">
        <v>2</v>
      </c>
      <c r="P198" s="62"/>
      <c r="Q198" s="72">
        <f t="shared" si="25"/>
        <v>2</v>
      </c>
      <c r="R198" s="7"/>
      <c r="S198" s="7"/>
      <c r="T198" s="7"/>
      <c r="U198" s="7"/>
      <c r="V198" s="7"/>
      <c r="W198" s="72" t="str">
        <f t="shared" si="26"/>
        <v>A</v>
      </c>
      <c r="X198" s="7"/>
      <c r="Y198" s="7"/>
      <c r="Z198" s="7"/>
      <c r="AA198" s="7"/>
      <c r="AB198" s="7"/>
      <c r="AC198" s="72" t="str">
        <f t="shared" si="27"/>
        <v>A</v>
      </c>
      <c r="AD198" s="7"/>
      <c r="AE198" s="7"/>
      <c r="AF198" s="7"/>
      <c r="AG198" s="7"/>
      <c r="AH198" s="7"/>
      <c r="AI198" s="72" t="str">
        <f t="shared" si="28"/>
        <v>A</v>
      </c>
      <c r="AJ198" s="7"/>
      <c r="AK198" s="7"/>
      <c r="AL198" s="7"/>
      <c r="AM198" s="7"/>
      <c r="AN198" s="7"/>
      <c r="AO198" s="72" t="str">
        <f t="shared" si="29"/>
        <v>A</v>
      </c>
      <c r="AP198" s="7"/>
      <c r="AQ198" s="7"/>
      <c r="AR198" s="7"/>
      <c r="AS198" s="7"/>
      <c r="AT198" s="7"/>
      <c r="AU198" s="72" t="str">
        <f t="shared" si="30"/>
        <v>A</v>
      </c>
      <c r="AV198" s="7"/>
      <c r="AW198" s="7"/>
      <c r="AX198" s="62">
        <v>2</v>
      </c>
      <c r="AY198" s="62">
        <v>2</v>
      </c>
      <c r="AZ198" s="62">
        <v>2</v>
      </c>
      <c r="BA198" s="72">
        <f t="shared" si="31"/>
        <v>2</v>
      </c>
    </row>
    <row r="199" spans="1:53" ht="23.1" customHeight="1" x14ac:dyDescent="0.3">
      <c r="A199" s="62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62"/>
      <c r="G199" s="62"/>
      <c r="H199" s="62"/>
      <c r="I199" s="62"/>
      <c r="J199" s="62"/>
      <c r="K199" s="72" t="str">
        <f t="shared" si="24"/>
        <v>A</v>
      </c>
      <c r="L199" s="62">
        <v>3</v>
      </c>
      <c r="M199" s="62"/>
      <c r="N199" s="62">
        <v>2</v>
      </c>
      <c r="O199" s="62">
        <v>5</v>
      </c>
      <c r="P199" s="62"/>
      <c r="Q199" s="72">
        <f t="shared" si="25"/>
        <v>3.3333333333333335</v>
      </c>
      <c r="R199" s="62"/>
      <c r="S199" s="62"/>
      <c r="T199" s="62"/>
      <c r="U199" s="62"/>
      <c r="V199" s="62"/>
      <c r="W199" s="72" t="str">
        <f t="shared" si="26"/>
        <v>A</v>
      </c>
      <c r="X199" s="62"/>
      <c r="Y199" s="62"/>
      <c r="Z199" s="62"/>
      <c r="AA199" s="62"/>
      <c r="AB199" s="62"/>
      <c r="AC199" s="72" t="str">
        <f t="shared" si="27"/>
        <v>A</v>
      </c>
      <c r="AD199" s="62"/>
      <c r="AE199" s="62"/>
      <c r="AF199" s="62"/>
      <c r="AG199" s="62"/>
      <c r="AH199" s="62"/>
      <c r="AI199" s="72" t="str">
        <f t="shared" si="28"/>
        <v>A</v>
      </c>
      <c r="AJ199" s="62"/>
      <c r="AK199" s="62"/>
      <c r="AL199" s="62"/>
      <c r="AM199" s="62"/>
      <c r="AN199" s="62"/>
      <c r="AO199" s="72" t="str">
        <f t="shared" si="29"/>
        <v>A</v>
      </c>
      <c r="AP199" s="62"/>
      <c r="AQ199" s="62"/>
      <c r="AR199" s="62"/>
      <c r="AS199" s="62"/>
      <c r="AT199" s="62"/>
      <c r="AU199" s="72" t="str">
        <f t="shared" si="30"/>
        <v>A</v>
      </c>
      <c r="AV199" s="62"/>
      <c r="AW199" s="62"/>
      <c r="AX199" s="62">
        <v>2</v>
      </c>
      <c r="AY199" s="62">
        <v>2</v>
      </c>
      <c r="AZ199" s="62">
        <v>2</v>
      </c>
      <c r="BA199" s="72">
        <f t="shared" si="31"/>
        <v>2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7"/>
      <c r="I200" s="7"/>
      <c r="J200" s="7"/>
      <c r="K200" s="72" t="str">
        <f t="shared" si="24"/>
        <v>A</v>
      </c>
      <c r="L200" s="62">
        <v>0</v>
      </c>
      <c r="M200" s="62"/>
      <c r="N200" s="62">
        <v>0</v>
      </c>
      <c r="O200" s="62">
        <v>0</v>
      </c>
      <c r="P200" s="62"/>
      <c r="Q200" s="72">
        <f t="shared" si="25"/>
        <v>0</v>
      </c>
      <c r="R200" s="7"/>
      <c r="S200" s="7"/>
      <c r="T200" s="7"/>
      <c r="U200" s="7"/>
      <c r="V200" s="7"/>
      <c r="W200" s="72" t="str">
        <f t="shared" si="26"/>
        <v>A</v>
      </c>
      <c r="X200" s="7"/>
      <c r="Y200" s="7"/>
      <c r="Z200" s="7"/>
      <c r="AA200" s="7"/>
      <c r="AB200" s="7"/>
      <c r="AC200" s="72" t="str">
        <f t="shared" si="27"/>
        <v>A</v>
      </c>
      <c r="AD200" s="7"/>
      <c r="AE200" s="7"/>
      <c r="AF200" s="7"/>
      <c r="AG200" s="7"/>
      <c r="AH200" s="7"/>
      <c r="AI200" s="72" t="str">
        <f t="shared" si="28"/>
        <v>A</v>
      </c>
      <c r="AJ200" s="7"/>
      <c r="AK200" s="7"/>
      <c r="AL200" s="7"/>
      <c r="AM200" s="7"/>
      <c r="AN200" s="7"/>
      <c r="AO200" s="72" t="str">
        <f t="shared" si="29"/>
        <v>A</v>
      </c>
      <c r="AP200" s="7"/>
      <c r="AQ200" s="7"/>
      <c r="AR200" s="7"/>
      <c r="AS200" s="7"/>
      <c r="AT200" s="7"/>
      <c r="AU200" s="72" t="str">
        <f t="shared" si="30"/>
        <v>A</v>
      </c>
      <c r="AV200" s="7"/>
      <c r="AW200" s="7"/>
      <c r="AX200" s="62">
        <v>0</v>
      </c>
      <c r="AY200" s="62">
        <v>0</v>
      </c>
      <c r="AZ200" s="62">
        <v>0</v>
      </c>
      <c r="BA200" s="72">
        <f t="shared" si="31"/>
        <v>0</v>
      </c>
    </row>
    <row r="201" spans="1:53" ht="23.1" customHeight="1" x14ac:dyDescent="0.3">
      <c r="A201" s="62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62"/>
      <c r="G201" s="62"/>
      <c r="H201" s="62"/>
      <c r="I201" s="62"/>
      <c r="J201" s="62"/>
      <c r="K201" s="72" t="str">
        <f t="shared" si="24"/>
        <v>A</v>
      </c>
      <c r="L201" s="62">
        <v>2</v>
      </c>
      <c r="M201" s="62"/>
      <c r="N201" s="62">
        <v>2</v>
      </c>
      <c r="O201" s="62">
        <v>2</v>
      </c>
      <c r="P201" s="62"/>
      <c r="Q201" s="72">
        <f t="shared" si="25"/>
        <v>2</v>
      </c>
      <c r="R201" s="62"/>
      <c r="S201" s="62"/>
      <c r="T201" s="62"/>
      <c r="U201" s="62"/>
      <c r="V201" s="62"/>
      <c r="W201" s="72" t="str">
        <f t="shared" si="26"/>
        <v>A</v>
      </c>
      <c r="X201" s="62"/>
      <c r="Y201" s="62"/>
      <c r="Z201" s="62"/>
      <c r="AA201" s="62"/>
      <c r="AB201" s="62"/>
      <c r="AC201" s="72" t="str">
        <f t="shared" si="27"/>
        <v>A</v>
      </c>
      <c r="AD201" s="62"/>
      <c r="AE201" s="62"/>
      <c r="AF201" s="62"/>
      <c r="AG201" s="62"/>
      <c r="AH201" s="62"/>
      <c r="AI201" s="72" t="str">
        <f t="shared" si="28"/>
        <v>A</v>
      </c>
      <c r="AJ201" s="62"/>
      <c r="AK201" s="62"/>
      <c r="AL201" s="62"/>
      <c r="AM201" s="62"/>
      <c r="AN201" s="62"/>
      <c r="AO201" s="72" t="str">
        <f t="shared" si="29"/>
        <v>A</v>
      </c>
      <c r="AP201" s="62"/>
      <c r="AQ201" s="62"/>
      <c r="AR201" s="62"/>
      <c r="AS201" s="62"/>
      <c r="AT201" s="62"/>
      <c r="AU201" s="72" t="str">
        <f t="shared" si="30"/>
        <v>A</v>
      </c>
      <c r="AV201" s="62"/>
      <c r="AW201" s="62"/>
      <c r="AX201" s="62">
        <v>2</v>
      </c>
      <c r="AY201" s="62">
        <v>2</v>
      </c>
      <c r="AZ201" s="62">
        <v>2</v>
      </c>
      <c r="BA201" s="72">
        <f t="shared" si="31"/>
        <v>2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7"/>
      <c r="I202" s="7"/>
      <c r="J202" s="7"/>
      <c r="K202" s="72" t="str">
        <f t="shared" si="24"/>
        <v>A</v>
      </c>
      <c r="L202" s="62">
        <v>2</v>
      </c>
      <c r="M202" s="62"/>
      <c r="N202" s="62">
        <v>2</v>
      </c>
      <c r="O202" s="62">
        <v>2</v>
      </c>
      <c r="P202" s="62"/>
      <c r="Q202" s="72">
        <f t="shared" si="25"/>
        <v>2</v>
      </c>
      <c r="R202" s="7"/>
      <c r="S202" s="7"/>
      <c r="T202" s="7"/>
      <c r="U202" s="7"/>
      <c r="V202" s="7"/>
      <c r="W202" s="72" t="str">
        <f t="shared" si="26"/>
        <v>A</v>
      </c>
      <c r="X202" s="7"/>
      <c r="Y202" s="7"/>
      <c r="Z202" s="7"/>
      <c r="AA202" s="7"/>
      <c r="AB202" s="7"/>
      <c r="AC202" s="72" t="str">
        <f t="shared" si="27"/>
        <v>A</v>
      </c>
      <c r="AD202" s="7"/>
      <c r="AE202" s="7"/>
      <c r="AF202" s="7"/>
      <c r="AG202" s="7"/>
      <c r="AH202" s="7"/>
      <c r="AI202" s="72" t="str">
        <f t="shared" si="28"/>
        <v>A</v>
      </c>
      <c r="AJ202" s="7"/>
      <c r="AK202" s="7"/>
      <c r="AL202" s="7"/>
      <c r="AM202" s="7"/>
      <c r="AN202" s="7"/>
      <c r="AO202" s="72" t="str">
        <f t="shared" si="29"/>
        <v>A</v>
      </c>
      <c r="AP202" s="7"/>
      <c r="AQ202" s="7"/>
      <c r="AR202" s="7"/>
      <c r="AS202" s="7"/>
      <c r="AT202" s="7"/>
      <c r="AU202" s="72" t="str">
        <f t="shared" si="30"/>
        <v>A</v>
      </c>
      <c r="AV202" s="7"/>
      <c r="AW202" s="7"/>
      <c r="AX202" s="62">
        <v>5</v>
      </c>
      <c r="AY202" s="62">
        <v>2</v>
      </c>
      <c r="AZ202" s="62">
        <v>4</v>
      </c>
      <c r="BA202" s="72">
        <f t="shared" si="31"/>
        <v>3.6666666666666665</v>
      </c>
    </row>
    <row r="203" spans="1:53" ht="23.1" customHeight="1" x14ac:dyDescent="0.3">
      <c r="A203" s="62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62"/>
      <c r="G203" s="62"/>
      <c r="H203" s="62"/>
      <c r="I203" s="62"/>
      <c r="J203" s="62"/>
      <c r="K203" s="72" t="str">
        <f t="shared" si="24"/>
        <v>A</v>
      </c>
      <c r="L203" s="62">
        <v>4</v>
      </c>
      <c r="M203" s="62"/>
      <c r="N203" s="62">
        <v>4</v>
      </c>
      <c r="O203" s="62">
        <v>3</v>
      </c>
      <c r="P203" s="62"/>
      <c r="Q203" s="72">
        <f t="shared" si="25"/>
        <v>3.6666666666666665</v>
      </c>
      <c r="R203" s="62"/>
      <c r="S203" s="62"/>
      <c r="T203" s="62"/>
      <c r="U203" s="62"/>
      <c r="V203" s="62"/>
      <c r="W203" s="72" t="str">
        <f t="shared" si="26"/>
        <v>A</v>
      </c>
      <c r="X203" s="62"/>
      <c r="Y203" s="62"/>
      <c r="Z203" s="62"/>
      <c r="AA203" s="62"/>
      <c r="AB203" s="62"/>
      <c r="AC203" s="72" t="str">
        <f t="shared" si="27"/>
        <v>A</v>
      </c>
      <c r="AD203" s="62"/>
      <c r="AE203" s="62"/>
      <c r="AF203" s="62"/>
      <c r="AG203" s="62"/>
      <c r="AH203" s="62"/>
      <c r="AI203" s="72" t="str">
        <f t="shared" si="28"/>
        <v>A</v>
      </c>
      <c r="AJ203" s="62"/>
      <c r="AK203" s="62"/>
      <c r="AL203" s="62"/>
      <c r="AM203" s="62"/>
      <c r="AN203" s="62"/>
      <c r="AO203" s="72" t="str">
        <f t="shared" si="29"/>
        <v>A</v>
      </c>
      <c r="AP203" s="62"/>
      <c r="AQ203" s="62"/>
      <c r="AR203" s="62"/>
      <c r="AS203" s="62"/>
      <c r="AT203" s="62"/>
      <c r="AU203" s="72" t="str">
        <f t="shared" si="30"/>
        <v>A</v>
      </c>
      <c r="AV203" s="62"/>
      <c r="AW203" s="62"/>
      <c r="AX203" s="62">
        <v>2</v>
      </c>
      <c r="AY203" s="62">
        <v>2</v>
      </c>
      <c r="AZ203" s="62">
        <v>2</v>
      </c>
      <c r="BA203" s="72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7"/>
      <c r="I204" s="7"/>
      <c r="J204" s="7"/>
      <c r="K204" s="72" t="str">
        <f t="shared" si="24"/>
        <v>A</v>
      </c>
      <c r="L204" s="62">
        <v>2</v>
      </c>
      <c r="M204" s="62"/>
      <c r="N204" s="62">
        <v>2</v>
      </c>
      <c r="O204" s="62">
        <v>2</v>
      </c>
      <c r="P204" s="62"/>
      <c r="Q204" s="72">
        <f t="shared" si="25"/>
        <v>2</v>
      </c>
      <c r="R204" s="7"/>
      <c r="S204" s="7"/>
      <c r="T204" s="7"/>
      <c r="U204" s="7"/>
      <c r="V204" s="7"/>
      <c r="W204" s="72" t="str">
        <f t="shared" si="26"/>
        <v>A</v>
      </c>
      <c r="X204" s="7"/>
      <c r="Y204" s="7"/>
      <c r="Z204" s="7"/>
      <c r="AA204" s="7"/>
      <c r="AB204" s="7"/>
      <c r="AC204" s="72" t="str">
        <f t="shared" si="27"/>
        <v>A</v>
      </c>
      <c r="AD204" s="7"/>
      <c r="AE204" s="7"/>
      <c r="AF204" s="7"/>
      <c r="AG204" s="7"/>
      <c r="AH204" s="7"/>
      <c r="AI204" s="72" t="str">
        <f t="shared" si="28"/>
        <v>A</v>
      </c>
      <c r="AJ204" s="7"/>
      <c r="AK204" s="7"/>
      <c r="AL204" s="7"/>
      <c r="AM204" s="7"/>
      <c r="AN204" s="7"/>
      <c r="AO204" s="72" t="str">
        <f t="shared" si="29"/>
        <v>A</v>
      </c>
      <c r="AP204" s="7"/>
      <c r="AQ204" s="7"/>
      <c r="AR204" s="7"/>
      <c r="AS204" s="7"/>
      <c r="AT204" s="7"/>
      <c r="AU204" s="72" t="str">
        <f t="shared" si="30"/>
        <v>A</v>
      </c>
      <c r="AV204" s="7"/>
      <c r="AW204" s="7"/>
      <c r="AX204" s="62">
        <v>2</v>
      </c>
      <c r="AY204" s="62">
        <v>2</v>
      </c>
      <c r="AZ204" s="62">
        <v>2</v>
      </c>
      <c r="BA204" s="72">
        <f t="shared" si="31"/>
        <v>2</v>
      </c>
    </row>
    <row r="205" spans="1:53" ht="23.1" customHeight="1" x14ac:dyDescent="0.3">
      <c r="A205" s="62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62"/>
      <c r="G205" s="62"/>
      <c r="H205" s="62"/>
      <c r="I205" s="62"/>
      <c r="J205" s="62"/>
      <c r="K205" s="72" t="str">
        <f t="shared" si="24"/>
        <v>A</v>
      </c>
      <c r="L205" s="62">
        <v>2</v>
      </c>
      <c r="M205" s="62"/>
      <c r="N205" s="62">
        <v>2</v>
      </c>
      <c r="O205" s="62">
        <v>2</v>
      </c>
      <c r="P205" s="62"/>
      <c r="Q205" s="72">
        <f t="shared" si="25"/>
        <v>2</v>
      </c>
      <c r="R205" s="62"/>
      <c r="S205" s="62"/>
      <c r="T205" s="62"/>
      <c r="U205" s="62"/>
      <c r="V205" s="62"/>
      <c r="W205" s="72" t="str">
        <f t="shared" si="26"/>
        <v>A</v>
      </c>
      <c r="X205" s="62"/>
      <c r="Y205" s="62"/>
      <c r="Z205" s="62"/>
      <c r="AA205" s="62"/>
      <c r="AB205" s="62"/>
      <c r="AC205" s="72" t="str">
        <f t="shared" si="27"/>
        <v>A</v>
      </c>
      <c r="AD205" s="62"/>
      <c r="AE205" s="62"/>
      <c r="AF205" s="62"/>
      <c r="AG205" s="62"/>
      <c r="AH205" s="62"/>
      <c r="AI205" s="72" t="str">
        <f t="shared" si="28"/>
        <v>A</v>
      </c>
      <c r="AJ205" s="62"/>
      <c r="AK205" s="62"/>
      <c r="AL205" s="62"/>
      <c r="AM205" s="62"/>
      <c r="AN205" s="62"/>
      <c r="AO205" s="72" t="str">
        <f t="shared" si="29"/>
        <v>A</v>
      </c>
      <c r="AP205" s="62"/>
      <c r="AQ205" s="62"/>
      <c r="AR205" s="62"/>
      <c r="AS205" s="62"/>
      <c r="AT205" s="62"/>
      <c r="AU205" s="72" t="str">
        <f t="shared" si="30"/>
        <v>A</v>
      </c>
      <c r="AV205" s="62"/>
      <c r="AW205" s="62"/>
      <c r="AX205" s="62">
        <v>2</v>
      </c>
      <c r="AY205" s="62">
        <v>2</v>
      </c>
      <c r="AZ205" s="62">
        <v>2</v>
      </c>
      <c r="BA205" s="72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7"/>
      <c r="I206" s="7"/>
      <c r="J206" s="7"/>
      <c r="K206" s="72" t="str">
        <f t="shared" si="24"/>
        <v>A</v>
      </c>
      <c r="L206" s="62">
        <v>3</v>
      </c>
      <c r="M206" s="62"/>
      <c r="N206" s="62">
        <v>3</v>
      </c>
      <c r="O206" s="62">
        <v>3</v>
      </c>
      <c r="P206" s="62"/>
      <c r="Q206" s="72">
        <f t="shared" si="25"/>
        <v>3</v>
      </c>
      <c r="R206" s="7"/>
      <c r="S206" s="7"/>
      <c r="T206" s="7"/>
      <c r="U206" s="7"/>
      <c r="V206" s="7"/>
      <c r="W206" s="72" t="str">
        <f t="shared" si="26"/>
        <v>A</v>
      </c>
      <c r="X206" s="7"/>
      <c r="Y206" s="7"/>
      <c r="Z206" s="7"/>
      <c r="AA206" s="7"/>
      <c r="AB206" s="7"/>
      <c r="AC206" s="72" t="str">
        <f t="shared" si="27"/>
        <v>A</v>
      </c>
      <c r="AD206" s="7"/>
      <c r="AE206" s="7"/>
      <c r="AF206" s="7"/>
      <c r="AG206" s="7"/>
      <c r="AH206" s="7"/>
      <c r="AI206" s="72" t="str">
        <f t="shared" si="28"/>
        <v>A</v>
      </c>
      <c r="AJ206" s="7"/>
      <c r="AK206" s="7"/>
      <c r="AL206" s="7"/>
      <c r="AM206" s="7"/>
      <c r="AN206" s="7"/>
      <c r="AO206" s="72" t="str">
        <f t="shared" si="29"/>
        <v>A</v>
      </c>
      <c r="AP206" s="7"/>
      <c r="AQ206" s="7"/>
      <c r="AR206" s="7"/>
      <c r="AS206" s="7"/>
      <c r="AT206" s="7"/>
      <c r="AU206" s="72" t="str">
        <f t="shared" si="30"/>
        <v>A</v>
      </c>
      <c r="AV206" s="7"/>
      <c r="AW206" s="7"/>
      <c r="AX206" s="62">
        <v>4</v>
      </c>
      <c r="AY206" s="62">
        <v>2</v>
      </c>
      <c r="AZ206" s="62">
        <v>3</v>
      </c>
      <c r="BA206" s="72">
        <f t="shared" si="31"/>
        <v>3</v>
      </c>
    </row>
    <row r="207" spans="1:53" ht="23.1" customHeight="1" x14ac:dyDescent="0.3">
      <c r="A207" s="62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62"/>
      <c r="G207" s="62"/>
      <c r="H207" s="62"/>
      <c r="I207" s="62"/>
      <c r="J207" s="62"/>
      <c r="K207" s="72" t="str">
        <f t="shared" si="24"/>
        <v>A</v>
      </c>
      <c r="L207" s="62">
        <v>2</v>
      </c>
      <c r="M207" s="62"/>
      <c r="N207" s="62">
        <v>1</v>
      </c>
      <c r="O207" s="62">
        <v>1</v>
      </c>
      <c r="P207" s="62"/>
      <c r="Q207" s="72">
        <f t="shared" si="25"/>
        <v>1.3333333333333333</v>
      </c>
      <c r="R207" s="62"/>
      <c r="S207" s="62"/>
      <c r="T207" s="62"/>
      <c r="U207" s="62"/>
      <c r="V207" s="62"/>
      <c r="W207" s="72" t="str">
        <f t="shared" si="26"/>
        <v>A</v>
      </c>
      <c r="X207" s="62"/>
      <c r="Y207" s="62"/>
      <c r="Z207" s="62"/>
      <c r="AA207" s="62"/>
      <c r="AB207" s="62"/>
      <c r="AC207" s="72" t="str">
        <f t="shared" si="27"/>
        <v>A</v>
      </c>
      <c r="AD207" s="62"/>
      <c r="AE207" s="62"/>
      <c r="AF207" s="62"/>
      <c r="AG207" s="62"/>
      <c r="AH207" s="62"/>
      <c r="AI207" s="72" t="str">
        <f t="shared" si="28"/>
        <v>A</v>
      </c>
      <c r="AJ207" s="62"/>
      <c r="AK207" s="62"/>
      <c r="AL207" s="62"/>
      <c r="AM207" s="62"/>
      <c r="AN207" s="62"/>
      <c r="AO207" s="72" t="str">
        <f t="shared" si="29"/>
        <v>A</v>
      </c>
      <c r="AP207" s="62"/>
      <c r="AQ207" s="62"/>
      <c r="AR207" s="62"/>
      <c r="AS207" s="62"/>
      <c r="AT207" s="62"/>
      <c r="AU207" s="72" t="str">
        <f t="shared" si="30"/>
        <v>A</v>
      </c>
      <c r="AV207" s="62"/>
      <c r="AW207" s="62"/>
      <c r="AX207" s="62">
        <v>4</v>
      </c>
      <c r="AY207" s="62">
        <v>2</v>
      </c>
      <c r="AZ207" s="62">
        <v>1</v>
      </c>
      <c r="BA207" s="72">
        <f t="shared" si="31"/>
        <v>2.3333333333333335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7"/>
      <c r="I208" s="7"/>
      <c r="J208" s="7"/>
      <c r="K208" s="72" t="str">
        <f t="shared" si="24"/>
        <v>A</v>
      </c>
      <c r="L208" s="62">
        <v>2</v>
      </c>
      <c r="M208" s="62"/>
      <c r="N208" s="62">
        <v>2</v>
      </c>
      <c r="O208" s="62">
        <v>2</v>
      </c>
      <c r="P208" s="62"/>
      <c r="Q208" s="72">
        <f t="shared" si="25"/>
        <v>2</v>
      </c>
      <c r="R208" s="7"/>
      <c r="S208" s="7"/>
      <c r="T208" s="7"/>
      <c r="U208" s="7"/>
      <c r="V208" s="7"/>
      <c r="W208" s="72" t="str">
        <f t="shared" si="26"/>
        <v>A</v>
      </c>
      <c r="X208" s="7"/>
      <c r="Y208" s="7"/>
      <c r="Z208" s="7"/>
      <c r="AA208" s="7"/>
      <c r="AB208" s="7"/>
      <c r="AC208" s="72" t="str">
        <f t="shared" si="27"/>
        <v>A</v>
      </c>
      <c r="AD208" s="7"/>
      <c r="AE208" s="7"/>
      <c r="AF208" s="7"/>
      <c r="AG208" s="7"/>
      <c r="AH208" s="7"/>
      <c r="AI208" s="72" t="str">
        <f t="shared" si="28"/>
        <v>A</v>
      </c>
      <c r="AJ208" s="7"/>
      <c r="AK208" s="7"/>
      <c r="AL208" s="7"/>
      <c r="AM208" s="7"/>
      <c r="AN208" s="7"/>
      <c r="AO208" s="72" t="str">
        <f t="shared" si="29"/>
        <v>A</v>
      </c>
      <c r="AP208" s="7"/>
      <c r="AQ208" s="7"/>
      <c r="AR208" s="7"/>
      <c r="AS208" s="7"/>
      <c r="AT208" s="7"/>
      <c r="AU208" s="72" t="str">
        <f t="shared" si="30"/>
        <v>A</v>
      </c>
      <c r="AV208" s="7"/>
      <c r="AW208" s="7"/>
      <c r="AX208" s="62">
        <v>2</v>
      </c>
      <c r="AY208" s="62">
        <v>2</v>
      </c>
      <c r="AZ208" s="62">
        <v>2</v>
      </c>
      <c r="BA208" s="72">
        <f t="shared" si="31"/>
        <v>2</v>
      </c>
    </row>
    <row r="209" spans="1:53" ht="23.1" customHeight="1" x14ac:dyDescent="0.3">
      <c r="A209" s="62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62"/>
      <c r="G209" s="62"/>
      <c r="H209" s="62"/>
      <c r="I209" s="62"/>
      <c r="J209" s="62"/>
      <c r="K209" s="72" t="str">
        <f t="shared" si="24"/>
        <v>A</v>
      </c>
      <c r="L209" s="62">
        <v>3</v>
      </c>
      <c r="M209" s="62"/>
      <c r="N209" s="62">
        <v>3</v>
      </c>
      <c r="O209" s="62">
        <v>3</v>
      </c>
      <c r="P209" s="62"/>
      <c r="Q209" s="72">
        <f t="shared" si="25"/>
        <v>3</v>
      </c>
      <c r="R209" s="62"/>
      <c r="S209" s="62"/>
      <c r="T209" s="62"/>
      <c r="U209" s="62"/>
      <c r="V209" s="62"/>
      <c r="W209" s="72" t="str">
        <f t="shared" si="26"/>
        <v>A</v>
      </c>
      <c r="X209" s="62"/>
      <c r="Y209" s="62"/>
      <c r="Z209" s="62"/>
      <c r="AA209" s="62"/>
      <c r="AB209" s="62"/>
      <c r="AC209" s="72" t="str">
        <f t="shared" si="27"/>
        <v>A</v>
      </c>
      <c r="AD209" s="62"/>
      <c r="AE209" s="62"/>
      <c r="AF209" s="62"/>
      <c r="AG209" s="62"/>
      <c r="AH209" s="62"/>
      <c r="AI209" s="72" t="str">
        <f t="shared" si="28"/>
        <v>A</v>
      </c>
      <c r="AJ209" s="62"/>
      <c r="AK209" s="62"/>
      <c r="AL209" s="62"/>
      <c r="AM209" s="62"/>
      <c r="AN209" s="62"/>
      <c r="AO209" s="72" t="str">
        <f t="shared" si="29"/>
        <v>A</v>
      </c>
      <c r="AP209" s="62"/>
      <c r="AQ209" s="62"/>
      <c r="AR209" s="62"/>
      <c r="AS209" s="62"/>
      <c r="AT209" s="62"/>
      <c r="AU209" s="72" t="str">
        <f t="shared" si="30"/>
        <v>A</v>
      </c>
      <c r="AV209" s="62"/>
      <c r="AW209" s="62"/>
      <c r="AX209" s="62">
        <v>4</v>
      </c>
      <c r="AY209" s="62">
        <v>2</v>
      </c>
      <c r="AZ209" s="62">
        <v>3</v>
      </c>
      <c r="BA209" s="72">
        <f t="shared" si="31"/>
        <v>3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7"/>
      <c r="I210" s="7"/>
      <c r="J210" s="7"/>
      <c r="K210" s="72" t="str">
        <f t="shared" si="24"/>
        <v>A</v>
      </c>
      <c r="L210" s="62">
        <v>0</v>
      </c>
      <c r="M210" s="62"/>
      <c r="N210" s="62">
        <v>0</v>
      </c>
      <c r="O210" s="62">
        <v>0</v>
      </c>
      <c r="P210" s="62"/>
      <c r="Q210" s="72">
        <f t="shared" si="25"/>
        <v>0</v>
      </c>
      <c r="R210" s="7"/>
      <c r="S210" s="7"/>
      <c r="T210" s="7"/>
      <c r="U210" s="7"/>
      <c r="V210" s="7"/>
      <c r="W210" s="72" t="str">
        <f t="shared" si="26"/>
        <v>A</v>
      </c>
      <c r="X210" s="7"/>
      <c r="Y210" s="7"/>
      <c r="Z210" s="7"/>
      <c r="AA210" s="7"/>
      <c r="AB210" s="7"/>
      <c r="AC210" s="72" t="str">
        <f t="shared" si="27"/>
        <v>A</v>
      </c>
      <c r="AD210" s="7"/>
      <c r="AE210" s="7"/>
      <c r="AF210" s="7"/>
      <c r="AG210" s="7"/>
      <c r="AH210" s="7"/>
      <c r="AI210" s="72" t="str">
        <f t="shared" si="28"/>
        <v>A</v>
      </c>
      <c r="AJ210" s="7"/>
      <c r="AK210" s="7"/>
      <c r="AL210" s="7"/>
      <c r="AM210" s="7"/>
      <c r="AN210" s="7"/>
      <c r="AO210" s="72" t="str">
        <f t="shared" si="29"/>
        <v>A</v>
      </c>
      <c r="AP210" s="7"/>
      <c r="AQ210" s="7"/>
      <c r="AR210" s="7"/>
      <c r="AS210" s="7"/>
      <c r="AT210" s="7"/>
      <c r="AU210" s="72" t="str">
        <f t="shared" si="30"/>
        <v>A</v>
      </c>
      <c r="AV210" s="7"/>
      <c r="AW210" s="7"/>
      <c r="AX210" s="62">
        <v>0</v>
      </c>
      <c r="AY210" s="62">
        <v>0</v>
      </c>
      <c r="AZ210" s="62">
        <v>0</v>
      </c>
      <c r="BA210" s="72">
        <f t="shared" si="31"/>
        <v>0</v>
      </c>
    </row>
    <row r="211" spans="1:53" ht="23.1" customHeight="1" x14ac:dyDescent="0.3">
      <c r="A211" s="62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62"/>
      <c r="G211" s="62"/>
      <c r="H211" s="62"/>
      <c r="I211" s="62"/>
      <c r="J211" s="62"/>
      <c r="K211" s="72" t="str">
        <f t="shared" si="24"/>
        <v>A</v>
      </c>
      <c r="L211" s="62">
        <v>2</v>
      </c>
      <c r="M211" s="62"/>
      <c r="N211" s="62">
        <v>2</v>
      </c>
      <c r="O211" s="62">
        <v>2</v>
      </c>
      <c r="P211" s="62"/>
      <c r="Q211" s="72">
        <f t="shared" si="25"/>
        <v>2</v>
      </c>
      <c r="R211" s="62"/>
      <c r="S211" s="62"/>
      <c r="T211" s="62"/>
      <c r="U211" s="62"/>
      <c r="V211" s="62"/>
      <c r="W211" s="72" t="str">
        <f t="shared" si="26"/>
        <v>A</v>
      </c>
      <c r="X211" s="62"/>
      <c r="Y211" s="62"/>
      <c r="Z211" s="62"/>
      <c r="AA211" s="62"/>
      <c r="AB211" s="62"/>
      <c r="AC211" s="72" t="str">
        <f t="shared" si="27"/>
        <v>A</v>
      </c>
      <c r="AD211" s="62"/>
      <c r="AE211" s="62"/>
      <c r="AF211" s="62"/>
      <c r="AG211" s="62"/>
      <c r="AH211" s="62"/>
      <c r="AI211" s="72" t="str">
        <f t="shared" si="28"/>
        <v>A</v>
      </c>
      <c r="AJ211" s="62"/>
      <c r="AK211" s="62"/>
      <c r="AL211" s="62"/>
      <c r="AM211" s="62"/>
      <c r="AN211" s="62"/>
      <c r="AO211" s="72" t="str">
        <f t="shared" si="29"/>
        <v>A</v>
      </c>
      <c r="AP211" s="62"/>
      <c r="AQ211" s="62"/>
      <c r="AR211" s="62"/>
      <c r="AS211" s="62"/>
      <c r="AT211" s="62"/>
      <c r="AU211" s="72" t="str">
        <f t="shared" si="30"/>
        <v>A</v>
      </c>
      <c r="AV211" s="62"/>
      <c r="AW211" s="62"/>
      <c r="AX211" s="62">
        <v>2</v>
      </c>
      <c r="AY211" s="62">
        <v>2</v>
      </c>
      <c r="AZ211" s="62">
        <v>2</v>
      </c>
      <c r="BA211" s="72">
        <f t="shared" si="31"/>
        <v>2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7"/>
      <c r="I212" s="7"/>
      <c r="J212" s="7"/>
      <c r="K212" s="72" t="str">
        <f t="shared" si="24"/>
        <v>A</v>
      </c>
      <c r="L212" s="62">
        <v>3</v>
      </c>
      <c r="M212" s="62"/>
      <c r="N212" s="62">
        <v>3</v>
      </c>
      <c r="O212" s="62">
        <v>2</v>
      </c>
      <c r="P212" s="62"/>
      <c r="Q212" s="72">
        <f t="shared" si="25"/>
        <v>2.6666666666666665</v>
      </c>
      <c r="R212" s="7"/>
      <c r="S212" s="7"/>
      <c r="T212" s="7"/>
      <c r="U212" s="7"/>
      <c r="V212" s="7"/>
      <c r="W212" s="72" t="str">
        <f t="shared" si="26"/>
        <v>A</v>
      </c>
      <c r="X212" s="7"/>
      <c r="Y212" s="7"/>
      <c r="Z212" s="7"/>
      <c r="AA212" s="7"/>
      <c r="AB212" s="7"/>
      <c r="AC212" s="72" t="str">
        <f t="shared" si="27"/>
        <v>A</v>
      </c>
      <c r="AD212" s="7"/>
      <c r="AE212" s="7"/>
      <c r="AF212" s="7"/>
      <c r="AG212" s="7"/>
      <c r="AH212" s="7"/>
      <c r="AI212" s="72" t="str">
        <f t="shared" si="28"/>
        <v>A</v>
      </c>
      <c r="AJ212" s="7"/>
      <c r="AK212" s="7"/>
      <c r="AL212" s="7"/>
      <c r="AM212" s="7"/>
      <c r="AN212" s="7"/>
      <c r="AO212" s="72" t="str">
        <f t="shared" si="29"/>
        <v>A</v>
      </c>
      <c r="AP212" s="7"/>
      <c r="AQ212" s="7"/>
      <c r="AR212" s="7"/>
      <c r="AS212" s="7"/>
      <c r="AT212" s="7"/>
      <c r="AU212" s="72" t="str">
        <f t="shared" si="30"/>
        <v>A</v>
      </c>
      <c r="AV212" s="7"/>
      <c r="AW212" s="7"/>
      <c r="AX212" s="62">
        <v>4</v>
      </c>
      <c r="AY212" s="62">
        <v>2</v>
      </c>
      <c r="AZ212" s="62">
        <v>2</v>
      </c>
      <c r="BA212" s="72">
        <f t="shared" si="31"/>
        <v>2.6666666666666665</v>
      </c>
    </row>
    <row r="213" spans="1:53" ht="23.1" customHeight="1" x14ac:dyDescent="0.3">
      <c r="A213" s="62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62"/>
      <c r="G213" s="62"/>
      <c r="H213" s="62"/>
      <c r="I213" s="62"/>
      <c r="J213" s="62"/>
      <c r="K213" s="72" t="str">
        <f t="shared" si="24"/>
        <v>A</v>
      </c>
      <c r="L213" s="62" t="s">
        <v>582</v>
      </c>
      <c r="M213" s="62"/>
      <c r="N213" s="62" t="s">
        <v>582</v>
      </c>
      <c r="O213" s="62" t="s">
        <v>582</v>
      </c>
      <c r="P213" s="62"/>
      <c r="Q213" s="72" t="str">
        <f t="shared" si="25"/>
        <v>A</v>
      </c>
      <c r="R213" s="62"/>
      <c r="S213" s="62"/>
      <c r="T213" s="62"/>
      <c r="U213" s="62"/>
      <c r="V213" s="62"/>
      <c r="W213" s="72" t="str">
        <f t="shared" si="26"/>
        <v>A</v>
      </c>
      <c r="X213" s="62"/>
      <c r="Y213" s="62"/>
      <c r="Z213" s="62"/>
      <c r="AA213" s="62"/>
      <c r="AB213" s="62"/>
      <c r="AC213" s="72" t="str">
        <f t="shared" si="27"/>
        <v>A</v>
      </c>
      <c r="AD213" s="62"/>
      <c r="AE213" s="62"/>
      <c r="AF213" s="62"/>
      <c r="AG213" s="62"/>
      <c r="AH213" s="62"/>
      <c r="AI213" s="72" t="str">
        <f t="shared" si="28"/>
        <v>A</v>
      </c>
      <c r="AJ213" s="62"/>
      <c r="AK213" s="62"/>
      <c r="AL213" s="62"/>
      <c r="AM213" s="62"/>
      <c r="AN213" s="62"/>
      <c r="AO213" s="72" t="str">
        <f t="shared" si="29"/>
        <v>A</v>
      </c>
      <c r="AP213" s="62"/>
      <c r="AQ213" s="62"/>
      <c r="AR213" s="62"/>
      <c r="AS213" s="62"/>
      <c r="AT213" s="62"/>
      <c r="AU213" s="72" t="str">
        <f t="shared" si="30"/>
        <v>A</v>
      </c>
      <c r="AV213" s="62"/>
      <c r="AW213" s="62"/>
      <c r="AX213" s="62" t="s">
        <v>582</v>
      </c>
      <c r="AY213" s="62" t="s">
        <v>582</v>
      </c>
      <c r="AZ213" s="62" t="s">
        <v>582</v>
      </c>
      <c r="BA213" s="72" t="str">
        <f t="shared" si="31"/>
        <v>A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7"/>
      <c r="I214" s="7"/>
      <c r="J214" s="7"/>
      <c r="K214" s="72" t="str">
        <f t="shared" si="24"/>
        <v>A</v>
      </c>
      <c r="L214" s="62">
        <v>2</v>
      </c>
      <c r="M214" s="62"/>
      <c r="N214" s="62">
        <v>2</v>
      </c>
      <c r="O214" s="62">
        <v>2</v>
      </c>
      <c r="P214" s="62"/>
      <c r="Q214" s="72">
        <f t="shared" si="25"/>
        <v>2</v>
      </c>
      <c r="R214" s="7"/>
      <c r="S214" s="7"/>
      <c r="T214" s="7"/>
      <c r="U214" s="7"/>
      <c r="V214" s="7"/>
      <c r="W214" s="72" t="str">
        <f t="shared" si="26"/>
        <v>A</v>
      </c>
      <c r="X214" s="7"/>
      <c r="Y214" s="7"/>
      <c r="Z214" s="7"/>
      <c r="AA214" s="7"/>
      <c r="AB214" s="7"/>
      <c r="AC214" s="72" t="str">
        <f t="shared" si="27"/>
        <v>A</v>
      </c>
      <c r="AD214" s="7"/>
      <c r="AE214" s="7"/>
      <c r="AF214" s="7"/>
      <c r="AG214" s="7"/>
      <c r="AH214" s="7"/>
      <c r="AI214" s="72" t="str">
        <f t="shared" si="28"/>
        <v>A</v>
      </c>
      <c r="AJ214" s="7"/>
      <c r="AK214" s="7"/>
      <c r="AL214" s="7"/>
      <c r="AM214" s="7"/>
      <c r="AN214" s="7"/>
      <c r="AO214" s="72" t="str">
        <f t="shared" si="29"/>
        <v>A</v>
      </c>
      <c r="AP214" s="7"/>
      <c r="AQ214" s="7"/>
      <c r="AR214" s="7"/>
      <c r="AS214" s="7"/>
      <c r="AT214" s="7"/>
      <c r="AU214" s="72" t="str">
        <f t="shared" si="30"/>
        <v>A</v>
      </c>
      <c r="AV214" s="7"/>
      <c r="AW214" s="7"/>
      <c r="AX214" s="62">
        <v>2</v>
      </c>
      <c r="AY214" s="62">
        <v>2</v>
      </c>
      <c r="AZ214" s="62">
        <v>2</v>
      </c>
      <c r="BA214" s="72">
        <f t="shared" si="31"/>
        <v>2</v>
      </c>
    </row>
    <row r="215" spans="1:53" ht="23.1" customHeight="1" x14ac:dyDescent="0.3">
      <c r="A215" s="62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62"/>
      <c r="G215" s="62"/>
      <c r="H215" s="62"/>
      <c r="I215" s="62"/>
      <c r="J215" s="62"/>
      <c r="K215" s="72" t="str">
        <f t="shared" si="24"/>
        <v>A</v>
      </c>
      <c r="L215" s="62">
        <v>2</v>
      </c>
      <c r="M215" s="62"/>
      <c r="N215" s="62">
        <v>2</v>
      </c>
      <c r="O215" s="62">
        <v>2</v>
      </c>
      <c r="P215" s="62"/>
      <c r="Q215" s="72">
        <f t="shared" si="25"/>
        <v>2</v>
      </c>
      <c r="R215" s="62"/>
      <c r="S215" s="62"/>
      <c r="T215" s="62"/>
      <c r="U215" s="62"/>
      <c r="V215" s="62"/>
      <c r="W215" s="72" t="str">
        <f t="shared" si="26"/>
        <v>A</v>
      </c>
      <c r="X215" s="62"/>
      <c r="Y215" s="62"/>
      <c r="Z215" s="62"/>
      <c r="AA215" s="62"/>
      <c r="AB215" s="62"/>
      <c r="AC215" s="72" t="str">
        <f t="shared" si="27"/>
        <v>A</v>
      </c>
      <c r="AD215" s="62"/>
      <c r="AE215" s="62"/>
      <c r="AF215" s="62"/>
      <c r="AG215" s="62"/>
      <c r="AH215" s="62"/>
      <c r="AI215" s="72" t="str">
        <f t="shared" si="28"/>
        <v>A</v>
      </c>
      <c r="AJ215" s="62"/>
      <c r="AK215" s="62"/>
      <c r="AL215" s="62"/>
      <c r="AM215" s="62"/>
      <c r="AN215" s="62"/>
      <c r="AO215" s="72" t="str">
        <f t="shared" si="29"/>
        <v>A</v>
      </c>
      <c r="AP215" s="62"/>
      <c r="AQ215" s="62"/>
      <c r="AR215" s="62"/>
      <c r="AS215" s="62"/>
      <c r="AT215" s="62"/>
      <c r="AU215" s="72" t="str">
        <f t="shared" si="30"/>
        <v>A</v>
      </c>
      <c r="AV215" s="62"/>
      <c r="AW215" s="62"/>
      <c r="AX215" s="62">
        <v>2</v>
      </c>
      <c r="AY215" s="62">
        <v>2</v>
      </c>
      <c r="AZ215" s="62">
        <v>2</v>
      </c>
      <c r="BA215" s="72">
        <f t="shared" si="31"/>
        <v>2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7"/>
      <c r="I216" s="7"/>
      <c r="J216" s="7"/>
      <c r="K216" s="72" t="str">
        <f t="shared" si="24"/>
        <v>A</v>
      </c>
      <c r="L216" s="62">
        <v>1</v>
      </c>
      <c r="M216" s="62"/>
      <c r="N216" s="62">
        <v>1</v>
      </c>
      <c r="O216" s="62">
        <v>1</v>
      </c>
      <c r="P216" s="62"/>
      <c r="Q216" s="72">
        <f t="shared" si="25"/>
        <v>1</v>
      </c>
      <c r="R216" s="7"/>
      <c r="S216" s="7"/>
      <c r="T216" s="7"/>
      <c r="U216" s="7"/>
      <c r="V216" s="7"/>
      <c r="W216" s="72" t="str">
        <f t="shared" si="26"/>
        <v>A</v>
      </c>
      <c r="X216" s="7"/>
      <c r="Y216" s="7"/>
      <c r="Z216" s="7"/>
      <c r="AA216" s="7"/>
      <c r="AB216" s="7"/>
      <c r="AC216" s="72" t="str">
        <f t="shared" si="27"/>
        <v>A</v>
      </c>
      <c r="AD216" s="7"/>
      <c r="AE216" s="7"/>
      <c r="AF216" s="7"/>
      <c r="AG216" s="7"/>
      <c r="AH216" s="7"/>
      <c r="AI216" s="72" t="str">
        <f t="shared" si="28"/>
        <v>A</v>
      </c>
      <c r="AJ216" s="7"/>
      <c r="AK216" s="7"/>
      <c r="AL216" s="7"/>
      <c r="AM216" s="7"/>
      <c r="AN216" s="7"/>
      <c r="AO216" s="72" t="str">
        <f t="shared" si="29"/>
        <v>A</v>
      </c>
      <c r="AP216" s="7"/>
      <c r="AQ216" s="7"/>
      <c r="AR216" s="7"/>
      <c r="AS216" s="7"/>
      <c r="AT216" s="7"/>
      <c r="AU216" s="72" t="str">
        <f t="shared" si="30"/>
        <v>A</v>
      </c>
      <c r="AV216" s="7"/>
      <c r="AW216" s="7"/>
      <c r="AX216" s="62">
        <v>4</v>
      </c>
      <c r="AY216" s="62">
        <v>2</v>
      </c>
      <c r="AZ216" s="62">
        <v>1</v>
      </c>
      <c r="BA216" s="72">
        <f t="shared" si="31"/>
        <v>2.3333333333333335</v>
      </c>
    </row>
    <row r="217" spans="1:53" ht="23.1" customHeight="1" x14ac:dyDescent="0.3">
      <c r="A217" s="62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62"/>
      <c r="G217" s="62"/>
      <c r="H217" s="62"/>
      <c r="I217" s="62"/>
      <c r="J217" s="62"/>
      <c r="K217" s="72" t="str">
        <f t="shared" si="24"/>
        <v>A</v>
      </c>
      <c r="L217" s="62">
        <v>2</v>
      </c>
      <c r="M217" s="62"/>
      <c r="N217" s="62">
        <v>2</v>
      </c>
      <c r="O217" s="62">
        <v>2</v>
      </c>
      <c r="P217" s="62"/>
      <c r="Q217" s="72">
        <f t="shared" si="25"/>
        <v>2</v>
      </c>
      <c r="R217" s="62"/>
      <c r="S217" s="62"/>
      <c r="T217" s="62"/>
      <c r="U217" s="62"/>
      <c r="V217" s="62"/>
      <c r="W217" s="72" t="str">
        <f t="shared" si="26"/>
        <v>A</v>
      </c>
      <c r="X217" s="62"/>
      <c r="Y217" s="62"/>
      <c r="Z217" s="62"/>
      <c r="AA217" s="62"/>
      <c r="AB217" s="62"/>
      <c r="AC217" s="72" t="str">
        <f t="shared" si="27"/>
        <v>A</v>
      </c>
      <c r="AD217" s="62"/>
      <c r="AE217" s="62"/>
      <c r="AF217" s="62"/>
      <c r="AG217" s="62"/>
      <c r="AH217" s="62"/>
      <c r="AI217" s="72" t="str">
        <f t="shared" si="28"/>
        <v>A</v>
      </c>
      <c r="AJ217" s="62"/>
      <c r="AK217" s="62"/>
      <c r="AL217" s="62"/>
      <c r="AM217" s="62"/>
      <c r="AN217" s="62"/>
      <c r="AO217" s="72" t="str">
        <f t="shared" si="29"/>
        <v>A</v>
      </c>
      <c r="AP217" s="62"/>
      <c r="AQ217" s="62"/>
      <c r="AR217" s="62"/>
      <c r="AS217" s="62"/>
      <c r="AT217" s="62"/>
      <c r="AU217" s="72" t="str">
        <f t="shared" si="30"/>
        <v>A</v>
      </c>
      <c r="AV217" s="62"/>
      <c r="AW217" s="62"/>
      <c r="AX217" s="62">
        <v>2</v>
      </c>
      <c r="AY217" s="62">
        <v>2</v>
      </c>
      <c r="AZ217" s="62">
        <v>2</v>
      </c>
      <c r="BA217" s="72">
        <f t="shared" si="31"/>
        <v>2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7"/>
      <c r="I218" s="7"/>
      <c r="J218" s="7"/>
      <c r="K218" s="72" t="str">
        <f t="shared" si="24"/>
        <v>A</v>
      </c>
      <c r="L218" s="62">
        <v>3</v>
      </c>
      <c r="M218" s="62"/>
      <c r="N218" s="62">
        <v>3</v>
      </c>
      <c r="O218" s="62">
        <v>2</v>
      </c>
      <c r="P218" s="62"/>
      <c r="Q218" s="72">
        <f t="shared" si="25"/>
        <v>2.6666666666666665</v>
      </c>
      <c r="R218" s="7"/>
      <c r="S218" s="7"/>
      <c r="T218" s="7"/>
      <c r="U218" s="7"/>
      <c r="V218" s="7"/>
      <c r="W218" s="72" t="str">
        <f t="shared" si="26"/>
        <v>A</v>
      </c>
      <c r="X218" s="7"/>
      <c r="Y218" s="7"/>
      <c r="Z218" s="7"/>
      <c r="AA218" s="7"/>
      <c r="AB218" s="7"/>
      <c r="AC218" s="72" t="str">
        <f t="shared" si="27"/>
        <v>A</v>
      </c>
      <c r="AD218" s="7"/>
      <c r="AE218" s="7"/>
      <c r="AF218" s="7"/>
      <c r="AG218" s="7"/>
      <c r="AH218" s="7"/>
      <c r="AI218" s="72" t="str">
        <f t="shared" si="28"/>
        <v>A</v>
      </c>
      <c r="AJ218" s="7"/>
      <c r="AK218" s="7"/>
      <c r="AL218" s="7"/>
      <c r="AM218" s="7"/>
      <c r="AN218" s="7"/>
      <c r="AO218" s="72" t="str">
        <f t="shared" si="29"/>
        <v>A</v>
      </c>
      <c r="AP218" s="7"/>
      <c r="AQ218" s="7"/>
      <c r="AR218" s="7"/>
      <c r="AS218" s="7"/>
      <c r="AT218" s="7"/>
      <c r="AU218" s="72" t="str">
        <f t="shared" si="30"/>
        <v>A</v>
      </c>
      <c r="AV218" s="7"/>
      <c r="AW218" s="7"/>
      <c r="AX218" s="62">
        <v>4</v>
      </c>
      <c r="AY218" s="62">
        <v>2</v>
      </c>
      <c r="AZ218" s="62">
        <v>2</v>
      </c>
      <c r="BA218" s="72">
        <f t="shared" si="31"/>
        <v>2.6666666666666665</v>
      </c>
    </row>
    <row r="219" spans="1:53" ht="23.1" customHeight="1" x14ac:dyDescent="0.3">
      <c r="A219" s="62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62"/>
      <c r="G219" s="62"/>
      <c r="H219" s="62"/>
      <c r="I219" s="62"/>
      <c r="J219" s="62"/>
      <c r="K219" s="72" t="str">
        <f t="shared" si="24"/>
        <v>A</v>
      </c>
      <c r="L219" s="62">
        <v>2</v>
      </c>
      <c r="M219" s="62"/>
      <c r="N219" s="62">
        <v>2</v>
      </c>
      <c r="O219" s="62">
        <v>2</v>
      </c>
      <c r="P219" s="62"/>
      <c r="Q219" s="72">
        <f t="shared" si="25"/>
        <v>2</v>
      </c>
      <c r="R219" s="62"/>
      <c r="S219" s="62"/>
      <c r="T219" s="62"/>
      <c r="U219" s="62"/>
      <c r="V219" s="62"/>
      <c r="W219" s="72" t="str">
        <f t="shared" si="26"/>
        <v>A</v>
      </c>
      <c r="X219" s="62"/>
      <c r="Y219" s="62"/>
      <c r="Z219" s="62"/>
      <c r="AA219" s="62"/>
      <c r="AB219" s="62"/>
      <c r="AC219" s="72" t="str">
        <f t="shared" si="27"/>
        <v>A</v>
      </c>
      <c r="AD219" s="62"/>
      <c r="AE219" s="62"/>
      <c r="AF219" s="62"/>
      <c r="AG219" s="62"/>
      <c r="AH219" s="62"/>
      <c r="AI219" s="72" t="str">
        <f t="shared" si="28"/>
        <v>A</v>
      </c>
      <c r="AJ219" s="62"/>
      <c r="AK219" s="62"/>
      <c r="AL219" s="62"/>
      <c r="AM219" s="62"/>
      <c r="AN219" s="62"/>
      <c r="AO219" s="72" t="str">
        <f t="shared" si="29"/>
        <v>A</v>
      </c>
      <c r="AP219" s="62"/>
      <c r="AQ219" s="62"/>
      <c r="AR219" s="62"/>
      <c r="AS219" s="62"/>
      <c r="AT219" s="62"/>
      <c r="AU219" s="72" t="str">
        <f t="shared" si="30"/>
        <v>A</v>
      </c>
      <c r="AV219" s="62"/>
      <c r="AW219" s="62"/>
      <c r="AX219" s="62">
        <v>2</v>
      </c>
      <c r="AY219" s="62">
        <v>2</v>
      </c>
      <c r="AZ219" s="62">
        <v>2</v>
      </c>
      <c r="BA219" s="72">
        <f t="shared" si="31"/>
        <v>2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7"/>
      <c r="I220" s="7"/>
      <c r="J220" s="7"/>
      <c r="K220" s="72" t="str">
        <f t="shared" si="24"/>
        <v>A</v>
      </c>
      <c r="L220" s="62">
        <v>2</v>
      </c>
      <c r="M220" s="62"/>
      <c r="N220" s="62">
        <v>2</v>
      </c>
      <c r="O220" s="62">
        <v>2</v>
      </c>
      <c r="P220" s="62"/>
      <c r="Q220" s="72">
        <f t="shared" si="25"/>
        <v>2</v>
      </c>
      <c r="R220" s="7"/>
      <c r="S220" s="7"/>
      <c r="T220" s="7"/>
      <c r="U220" s="7"/>
      <c r="V220" s="7"/>
      <c r="W220" s="72" t="str">
        <f t="shared" si="26"/>
        <v>A</v>
      </c>
      <c r="X220" s="7"/>
      <c r="Y220" s="7"/>
      <c r="Z220" s="7"/>
      <c r="AA220" s="7"/>
      <c r="AB220" s="7"/>
      <c r="AC220" s="72" t="str">
        <f t="shared" si="27"/>
        <v>A</v>
      </c>
      <c r="AD220" s="7"/>
      <c r="AE220" s="7"/>
      <c r="AF220" s="7"/>
      <c r="AG220" s="7"/>
      <c r="AH220" s="7"/>
      <c r="AI220" s="72" t="str">
        <f t="shared" si="28"/>
        <v>A</v>
      </c>
      <c r="AJ220" s="7"/>
      <c r="AK220" s="7"/>
      <c r="AL220" s="7"/>
      <c r="AM220" s="7"/>
      <c r="AN220" s="7"/>
      <c r="AO220" s="72" t="str">
        <f t="shared" si="29"/>
        <v>A</v>
      </c>
      <c r="AP220" s="7"/>
      <c r="AQ220" s="7"/>
      <c r="AR220" s="7"/>
      <c r="AS220" s="7"/>
      <c r="AT220" s="7"/>
      <c r="AU220" s="72" t="str">
        <f t="shared" si="30"/>
        <v>A</v>
      </c>
      <c r="AV220" s="7"/>
      <c r="AW220" s="7"/>
      <c r="AX220" s="62">
        <v>2</v>
      </c>
      <c r="AY220" s="62">
        <v>2</v>
      </c>
      <c r="AZ220" s="62">
        <v>2</v>
      </c>
      <c r="BA220" s="72">
        <f t="shared" si="31"/>
        <v>2</v>
      </c>
    </row>
    <row r="221" spans="1:53" ht="23.1" customHeight="1" x14ac:dyDescent="0.3">
      <c r="A221" s="62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62"/>
      <c r="G221" s="62"/>
      <c r="H221" s="62"/>
      <c r="I221" s="62"/>
      <c r="J221" s="62"/>
      <c r="K221" s="72" t="str">
        <f t="shared" si="24"/>
        <v>A</v>
      </c>
      <c r="L221" s="62">
        <v>3</v>
      </c>
      <c r="M221" s="62"/>
      <c r="N221" s="62">
        <v>2</v>
      </c>
      <c r="O221" s="62">
        <v>3</v>
      </c>
      <c r="P221" s="62"/>
      <c r="Q221" s="72">
        <f t="shared" si="25"/>
        <v>2.6666666666666665</v>
      </c>
      <c r="R221" s="62"/>
      <c r="S221" s="62"/>
      <c r="T221" s="62"/>
      <c r="U221" s="62"/>
      <c r="V221" s="62"/>
      <c r="W221" s="72" t="str">
        <f t="shared" si="26"/>
        <v>A</v>
      </c>
      <c r="X221" s="62"/>
      <c r="Y221" s="62"/>
      <c r="Z221" s="62"/>
      <c r="AA221" s="62"/>
      <c r="AB221" s="62"/>
      <c r="AC221" s="72" t="str">
        <f t="shared" si="27"/>
        <v>A</v>
      </c>
      <c r="AD221" s="62"/>
      <c r="AE221" s="62"/>
      <c r="AF221" s="62"/>
      <c r="AG221" s="62"/>
      <c r="AH221" s="62"/>
      <c r="AI221" s="72" t="str">
        <f t="shared" si="28"/>
        <v>A</v>
      </c>
      <c r="AJ221" s="62"/>
      <c r="AK221" s="62"/>
      <c r="AL221" s="62"/>
      <c r="AM221" s="62"/>
      <c r="AN221" s="62"/>
      <c r="AO221" s="72" t="str">
        <f t="shared" si="29"/>
        <v>A</v>
      </c>
      <c r="AP221" s="62"/>
      <c r="AQ221" s="62"/>
      <c r="AR221" s="62"/>
      <c r="AS221" s="62"/>
      <c r="AT221" s="62"/>
      <c r="AU221" s="72" t="str">
        <f t="shared" si="30"/>
        <v>A</v>
      </c>
      <c r="AV221" s="62"/>
      <c r="AW221" s="62"/>
      <c r="AX221" s="62">
        <v>4</v>
      </c>
      <c r="AY221" s="62">
        <v>2</v>
      </c>
      <c r="AZ221" s="62">
        <v>3</v>
      </c>
      <c r="BA221" s="72">
        <f t="shared" si="31"/>
        <v>3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7"/>
      <c r="I222" s="7"/>
      <c r="J222" s="7"/>
      <c r="K222" s="72" t="str">
        <f t="shared" si="24"/>
        <v>A</v>
      </c>
      <c r="L222" s="62" t="s">
        <v>582</v>
      </c>
      <c r="M222" s="62"/>
      <c r="N222" s="62" t="s">
        <v>582</v>
      </c>
      <c r="O222" s="62" t="s">
        <v>582</v>
      </c>
      <c r="P222" s="62"/>
      <c r="Q222" s="72" t="str">
        <f t="shared" si="25"/>
        <v>A</v>
      </c>
      <c r="R222" s="7"/>
      <c r="S222" s="7"/>
      <c r="T222" s="7"/>
      <c r="U222" s="7"/>
      <c r="V222" s="7"/>
      <c r="W222" s="72" t="str">
        <f t="shared" si="26"/>
        <v>A</v>
      </c>
      <c r="X222" s="7"/>
      <c r="Y222" s="7"/>
      <c r="Z222" s="7"/>
      <c r="AA222" s="7"/>
      <c r="AB222" s="7"/>
      <c r="AC222" s="72" t="str">
        <f t="shared" si="27"/>
        <v>A</v>
      </c>
      <c r="AD222" s="7"/>
      <c r="AE222" s="7"/>
      <c r="AF222" s="7"/>
      <c r="AG222" s="7"/>
      <c r="AH222" s="7"/>
      <c r="AI222" s="72" t="str">
        <f t="shared" si="28"/>
        <v>A</v>
      </c>
      <c r="AJ222" s="7"/>
      <c r="AK222" s="7"/>
      <c r="AL222" s="7"/>
      <c r="AM222" s="7"/>
      <c r="AN222" s="7"/>
      <c r="AO222" s="72" t="str">
        <f t="shared" si="29"/>
        <v>A</v>
      </c>
      <c r="AP222" s="7"/>
      <c r="AQ222" s="7"/>
      <c r="AR222" s="7"/>
      <c r="AS222" s="7"/>
      <c r="AT222" s="7"/>
      <c r="AU222" s="72" t="str">
        <f t="shared" si="30"/>
        <v>A</v>
      </c>
      <c r="AV222" s="7"/>
      <c r="AW222" s="7"/>
      <c r="AX222" s="62" t="s">
        <v>582</v>
      </c>
      <c r="AY222" s="62" t="s">
        <v>582</v>
      </c>
      <c r="AZ222" s="62" t="s">
        <v>582</v>
      </c>
      <c r="BA222" s="72" t="str">
        <f t="shared" si="31"/>
        <v>A</v>
      </c>
    </row>
    <row r="223" spans="1:53" ht="23.1" customHeight="1" x14ac:dyDescent="0.3">
      <c r="A223" s="62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62"/>
      <c r="G223" s="62"/>
      <c r="H223" s="62"/>
      <c r="I223" s="62"/>
      <c r="J223" s="62"/>
      <c r="K223" s="72" t="str">
        <f t="shared" si="24"/>
        <v>A</v>
      </c>
      <c r="L223" s="62">
        <v>2</v>
      </c>
      <c r="M223" s="62"/>
      <c r="N223" s="62">
        <v>2</v>
      </c>
      <c r="O223" s="62">
        <v>2</v>
      </c>
      <c r="P223" s="62"/>
      <c r="Q223" s="72">
        <f t="shared" si="25"/>
        <v>2</v>
      </c>
      <c r="R223" s="62"/>
      <c r="S223" s="62"/>
      <c r="T223" s="62"/>
      <c r="U223" s="62"/>
      <c r="V223" s="62"/>
      <c r="W223" s="72" t="str">
        <f t="shared" si="26"/>
        <v>A</v>
      </c>
      <c r="X223" s="62"/>
      <c r="Y223" s="62"/>
      <c r="Z223" s="62"/>
      <c r="AA223" s="62"/>
      <c r="AB223" s="62"/>
      <c r="AC223" s="72" t="str">
        <f t="shared" si="27"/>
        <v>A</v>
      </c>
      <c r="AD223" s="62"/>
      <c r="AE223" s="62"/>
      <c r="AF223" s="62"/>
      <c r="AG223" s="62"/>
      <c r="AH223" s="62"/>
      <c r="AI223" s="72" t="str">
        <f t="shared" si="28"/>
        <v>A</v>
      </c>
      <c r="AJ223" s="62"/>
      <c r="AK223" s="62"/>
      <c r="AL223" s="62"/>
      <c r="AM223" s="62"/>
      <c r="AN223" s="62"/>
      <c r="AO223" s="72" t="str">
        <f t="shared" si="29"/>
        <v>A</v>
      </c>
      <c r="AP223" s="62"/>
      <c r="AQ223" s="62"/>
      <c r="AR223" s="62"/>
      <c r="AS223" s="62"/>
      <c r="AT223" s="62"/>
      <c r="AU223" s="72" t="str">
        <f t="shared" si="30"/>
        <v>A</v>
      </c>
      <c r="AV223" s="62"/>
      <c r="AW223" s="62"/>
      <c r="AX223" s="62">
        <v>4</v>
      </c>
      <c r="AY223" s="62">
        <v>2</v>
      </c>
      <c r="AZ223" s="62">
        <v>2</v>
      </c>
      <c r="BA223" s="72">
        <f t="shared" si="31"/>
        <v>2.6666666666666665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7"/>
      <c r="I224" s="7"/>
      <c r="J224" s="7"/>
      <c r="K224" s="72" t="str">
        <f t="shared" si="24"/>
        <v>A</v>
      </c>
      <c r="L224" s="62">
        <v>4</v>
      </c>
      <c r="M224" s="62"/>
      <c r="N224" s="62">
        <v>4</v>
      </c>
      <c r="O224" s="62">
        <v>4</v>
      </c>
      <c r="P224" s="62"/>
      <c r="Q224" s="72">
        <f t="shared" si="25"/>
        <v>4</v>
      </c>
      <c r="R224" s="7"/>
      <c r="S224" s="7"/>
      <c r="T224" s="7"/>
      <c r="U224" s="7"/>
      <c r="V224" s="7"/>
      <c r="W224" s="72" t="str">
        <f t="shared" si="26"/>
        <v>A</v>
      </c>
      <c r="X224" s="7"/>
      <c r="Y224" s="7"/>
      <c r="Z224" s="7"/>
      <c r="AA224" s="7"/>
      <c r="AB224" s="7"/>
      <c r="AC224" s="72" t="str">
        <f t="shared" si="27"/>
        <v>A</v>
      </c>
      <c r="AD224" s="7"/>
      <c r="AE224" s="7"/>
      <c r="AF224" s="7"/>
      <c r="AG224" s="7"/>
      <c r="AH224" s="7"/>
      <c r="AI224" s="72" t="str">
        <f t="shared" si="28"/>
        <v>A</v>
      </c>
      <c r="AJ224" s="7"/>
      <c r="AK224" s="7"/>
      <c r="AL224" s="7"/>
      <c r="AM224" s="7"/>
      <c r="AN224" s="7"/>
      <c r="AO224" s="72" t="str">
        <f t="shared" si="29"/>
        <v>A</v>
      </c>
      <c r="AP224" s="7"/>
      <c r="AQ224" s="7"/>
      <c r="AR224" s="7"/>
      <c r="AS224" s="7"/>
      <c r="AT224" s="7"/>
      <c r="AU224" s="72" t="str">
        <f t="shared" si="30"/>
        <v>A</v>
      </c>
      <c r="AV224" s="7"/>
      <c r="AW224" s="7"/>
      <c r="AX224" s="62">
        <v>4</v>
      </c>
      <c r="AY224" s="62">
        <v>2</v>
      </c>
      <c r="AZ224" s="62">
        <v>4</v>
      </c>
      <c r="BA224" s="72">
        <f t="shared" si="31"/>
        <v>3.3333333333333335</v>
      </c>
    </row>
    <row r="225" spans="1:53" ht="23.1" customHeight="1" x14ac:dyDescent="0.3">
      <c r="A225" s="62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62"/>
      <c r="G225" s="62"/>
      <c r="H225" s="62"/>
      <c r="I225" s="62"/>
      <c r="J225" s="62"/>
      <c r="K225" s="72" t="str">
        <f t="shared" si="24"/>
        <v>A</v>
      </c>
      <c r="L225" s="62">
        <v>4</v>
      </c>
      <c r="M225" s="62"/>
      <c r="N225" s="62">
        <v>3</v>
      </c>
      <c r="O225" s="62">
        <v>3</v>
      </c>
      <c r="P225" s="62"/>
      <c r="Q225" s="72">
        <f t="shared" si="25"/>
        <v>3.3333333333333335</v>
      </c>
      <c r="R225" s="62"/>
      <c r="S225" s="62"/>
      <c r="T225" s="62"/>
      <c r="U225" s="62"/>
      <c r="V225" s="62"/>
      <c r="W225" s="72" t="str">
        <f t="shared" si="26"/>
        <v>A</v>
      </c>
      <c r="X225" s="62"/>
      <c r="Y225" s="62"/>
      <c r="Z225" s="62"/>
      <c r="AA225" s="62"/>
      <c r="AB225" s="62"/>
      <c r="AC225" s="72" t="str">
        <f t="shared" si="27"/>
        <v>A</v>
      </c>
      <c r="AD225" s="62"/>
      <c r="AE225" s="62"/>
      <c r="AF225" s="62"/>
      <c r="AG225" s="62"/>
      <c r="AH225" s="62"/>
      <c r="AI225" s="72" t="str">
        <f t="shared" si="28"/>
        <v>A</v>
      </c>
      <c r="AJ225" s="62"/>
      <c r="AK225" s="62"/>
      <c r="AL225" s="62"/>
      <c r="AM225" s="62"/>
      <c r="AN225" s="62"/>
      <c r="AO225" s="72" t="str">
        <f t="shared" si="29"/>
        <v>A</v>
      </c>
      <c r="AP225" s="62"/>
      <c r="AQ225" s="62"/>
      <c r="AR225" s="62"/>
      <c r="AS225" s="62"/>
      <c r="AT225" s="62"/>
      <c r="AU225" s="72" t="str">
        <f t="shared" si="30"/>
        <v>A</v>
      </c>
      <c r="AV225" s="62"/>
      <c r="AW225" s="62"/>
      <c r="AX225" s="62">
        <v>4</v>
      </c>
      <c r="AY225" s="62">
        <v>2</v>
      </c>
      <c r="AZ225" s="62">
        <v>3</v>
      </c>
      <c r="BA225" s="72">
        <f t="shared" si="31"/>
        <v>3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7"/>
      <c r="I226" s="7"/>
      <c r="J226" s="7"/>
      <c r="K226" s="72" t="str">
        <f t="shared" si="24"/>
        <v>A</v>
      </c>
      <c r="L226" s="62">
        <v>1</v>
      </c>
      <c r="M226" s="62"/>
      <c r="N226" s="62">
        <v>1</v>
      </c>
      <c r="O226" s="62">
        <v>1</v>
      </c>
      <c r="P226" s="62"/>
      <c r="Q226" s="72">
        <f t="shared" si="25"/>
        <v>1</v>
      </c>
      <c r="R226" s="7"/>
      <c r="S226" s="7"/>
      <c r="T226" s="7"/>
      <c r="U226" s="7"/>
      <c r="V226" s="7"/>
      <c r="W226" s="72" t="str">
        <f t="shared" si="26"/>
        <v>A</v>
      </c>
      <c r="X226" s="7"/>
      <c r="Y226" s="7"/>
      <c r="Z226" s="7"/>
      <c r="AA226" s="7"/>
      <c r="AB226" s="7"/>
      <c r="AC226" s="72" t="str">
        <f t="shared" si="27"/>
        <v>A</v>
      </c>
      <c r="AD226" s="7"/>
      <c r="AE226" s="7"/>
      <c r="AF226" s="7"/>
      <c r="AG226" s="7"/>
      <c r="AH226" s="7"/>
      <c r="AI226" s="72" t="str">
        <f t="shared" si="28"/>
        <v>A</v>
      </c>
      <c r="AJ226" s="7"/>
      <c r="AK226" s="7"/>
      <c r="AL226" s="7"/>
      <c r="AM226" s="7"/>
      <c r="AN226" s="7"/>
      <c r="AO226" s="72" t="str">
        <f t="shared" si="29"/>
        <v>A</v>
      </c>
      <c r="AP226" s="7"/>
      <c r="AQ226" s="7"/>
      <c r="AR226" s="7"/>
      <c r="AS226" s="7"/>
      <c r="AT226" s="7"/>
      <c r="AU226" s="72" t="str">
        <f t="shared" si="30"/>
        <v>A</v>
      </c>
      <c r="AV226" s="7"/>
      <c r="AW226" s="7"/>
      <c r="AX226" s="62">
        <v>4</v>
      </c>
      <c r="AY226" s="62">
        <v>2</v>
      </c>
      <c r="AZ226" s="62">
        <v>1</v>
      </c>
      <c r="BA226" s="72">
        <f t="shared" si="31"/>
        <v>2.3333333333333335</v>
      </c>
    </row>
    <row r="227" spans="1:53" ht="23.1" customHeight="1" x14ac:dyDescent="0.3">
      <c r="A227" s="62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62"/>
      <c r="G227" s="62"/>
      <c r="H227" s="62"/>
      <c r="I227" s="62"/>
      <c r="J227" s="62"/>
      <c r="K227" s="72" t="str">
        <f t="shared" si="24"/>
        <v>A</v>
      </c>
      <c r="L227" s="62">
        <v>2</v>
      </c>
      <c r="M227" s="62"/>
      <c r="N227" s="62">
        <v>2</v>
      </c>
      <c r="O227" s="62">
        <v>2</v>
      </c>
      <c r="P227" s="62"/>
      <c r="Q227" s="72">
        <f t="shared" si="25"/>
        <v>2</v>
      </c>
      <c r="R227" s="62"/>
      <c r="S227" s="62"/>
      <c r="T227" s="62"/>
      <c r="U227" s="62"/>
      <c r="V227" s="62"/>
      <c r="W227" s="72" t="str">
        <f t="shared" si="26"/>
        <v>A</v>
      </c>
      <c r="X227" s="62"/>
      <c r="Y227" s="62"/>
      <c r="Z227" s="62"/>
      <c r="AA227" s="62"/>
      <c r="AB227" s="62"/>
      <c r="AC227" s="72" t="str">
        <f t="shared" si="27"/>
        <v>A</v>
      </c>
      <c r="AD227" s="62"/>
      <c r="AE227" s="62"/>
      <c r="AF227" s="62"/>
      <c r="AG227" s="62"/>
      <c r="AH227" s="62"/>
      <c r="AI227" s="72" t="str">
        <f t="shared" si="28"/>
        <v>A</v>
      </c>
      <c r="AJ227" s="62"/>
      <c r="AK227" s="62"/>
      <c r="AL227" s="62"/>
      <c r="AM227" s="62"/>
      <c r="AN227" s="62"/>
      <c r="AO227" s="72" t="str">
        <f t="shared" si="29"/>
        <v>A</v>
      </c>
      <c r="AP227" s="62"/>
      <c r="AQ227" s="62"/>
      <c r="AR227" s="62"/>
      <c r="AS227" s="62"/>
      <c r="AT227" s="62"/>
      <c r="AU227" s="72" t="str">
        <f t="shared" si="30"/>
        <v>A</v>
      </c>
      <c r="AV227" s="62"/>
      <c r="AW227" s="62"/>
      <c r="AX227" s="62">
        <v>2</v>
      </c>
      <c r="AY227" s="62">
        <v>2</v>
      </c>
      <c r="AZ227" s="62">
        <v>2</v>
      </c>
      <c r="BA227" s="72">
        <f t="shared" si="31"/>
        <v>2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7"/>
      <c r="I228" s="7"/>
      <c r="J228" s="7"/>
      <c r="K228" s="72" t="str">
        <f t="shared" si="24"/>
        <v>A</v>
      </c>
      <c r="L228" s="62">
        <v>2</v>
      </c>
      <c r="M228" s="62"/>
      <c r="N228" s="62">
        <v>2</v>
      </c>
      <c r="O228" s="62">
        <v>2</v>
      </c>
      <c r="P228" s="62"/>
      <c r="Q228" s="72">
        <f t="shared" si="25"/>
        <v>2</v>
      </c>
      <c r="R228" s="7"/>
      <c r="S228" s="7"/>
      <c r="T228" s="7"/>
      <c r="U228" s="7"/>
      <c r="V228" s="7"/>
      <c r="W228" s="72" t="str">
        <f t="shared" si="26"/>
        <v>A</v>
      </c>
      <c r="X228" s="7"/>
      <c r="Y228" s="7"/>
      <c r="Z228" s="7"/>
      <c r="AA228" s="7"/>
      <c r="AB228" s="7"/>
      <c r="AC228" s="72" t="str">
        <f t="shared" si="27"/>
        <v>A</v>
      </c>
      <c r="AD228" s="7"/>
      <c r="AE228" s="7"/>
      <c r="AF228" s="7"/>
      <c r="AG228" s="7"/>
      <c r="AH228" s="7"/>
      <c r="AI228" s="72" t="str">
        <f t="shared" si="28"/>
        <v>A</v>
      </c>
      <c r="AJ228" s="7"/>
      <c r="AK228" s="7"/>
      <c r="AL228" s="7"/>
      <c r="AM228" s="7"/>
      <c r="AN228" s="7"/>
      <c r="AO228" s="72" t="str">
        <f t="shared" si="29"/>
        <v>A</v>
      </c>
      <c r="AP228" s="7"/>
      <c r="AQ228" s="7"/>
      <c r="AR228" s="7"/>
      <c r="AS228" s="7"/>
      <c r="AT228" s="7"/>
      <c r="AU228" s="72" t="str">
        <f t="shared" si="30"/>
        <v>A</v>
      </c>
      <c r="AV228" s="7"/>
      <c r="AW228" s="7"/>
      <c r="AX228" s="62">
        <v>2</v>
      </c>
      <c r="AY228" s="62">
        <v>2</v>
      </c>
      <c r="AZ228" s="62">
        <v>2</v>
      </c>
      <c r="BA228" s="72">
        <f t="shared" si="31"/>
        <v>2</v>
      </c>
    </row>
    <row r="229" spans="1:53" ht="23.1" customHeight="1" x14ac:dyDescent="0.3">
      <c r="A229" s="62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62"/>
      <c r="G229" s="62"/>
      <c r="H229" s="62"/>
      <c r="I229" s="62"/>
      <c r="J229" s="62"/>
      <c r="K229" s="72" t="str">
        <f t="shared" si="24"/>
        <v>A</v>
      </c>
      <c r="L229" s="62">
        <v>4</v>
      </c>
      <c r="M229" s="62"/>
      <c r="N229" s="62">
        <v>4</v>
      </c>
      <c r="O229" s="62">
        <v>4</v>
      </c>
      <c r="P229" s="62"/>
      <c r="Q229" s="72">
        <f t="shared" si="25"/>
        <v>4</v>
      </c>
      <c r="R229" s="62"/>
      <c r="S229" s="62"/>
      <c r="T229" s="62"/>
      <c r="U229" s="62"/>
      <c r="V229" s="62"/>
      <c r="W229" s="72" t="str">
        <f t="shared" si="26"/>
        <v>A</v>
      </c>
      <c r="X229" s="62"/>
      <c r="Y229" s="62"/>
      <c r="Z229" s="62"/>
      <c r="AA229" s="62"/>
      <c r="AB229" s="62"/>
      <c r="AC229" s="72" t="str">
        <f t="shared" si="27"/>
        <v>A</v>
      </c>
      <c r="AD229" s="62"/>
      <c r="AE229" s="62"/>
      <c r="AF229" s="62"/>
      <c r="AG229" s="62"/>
      <c r="AH229" s="62"/>
      <c r="AI229" s="72" t="str">
        <f t="shared" si="28"/>
        <v>A</v>
      </c>
      <c r="AJ229" s="62"/>
      <c r="AK229" s="62"/>
      <c r="AL229" s="62"/>
      <c r="AM229" s="62"/>
      <c r="AN229" s="62"/>
      <c r="AO229" s="72" t="str">
        <f t="shared" si="29"/>
        <v>A</v>
      </c>
      <c r="AP229" s="62"/>
      <c r="AQ229" s="62"/>
      <c r="AR229" s="62"/>
      <c r="AS229" s="62"/>
      <c r="AT229" s="62"/>
      <c r="AU229" s="72" t="str">
        <f t="shared" si="30"/>
        <v>A</v>
      </c>
      <c r="AV229" s="62"/>
      <c r="AW229" s="62"/>
      <c r="AX229" s="62">
        <v>4</v>
      </c>
      <c r="AY229" s="62">
        <v>2</v>
      </c>
      <c r="AZ229" s="62">
        <v>4</v>
      </c>
      <c r="BA229" s="72">
        <f t="shared" si="31"/>
        <v>3.3333333333333335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7"/>
      <c r="I230" s="7"/>
      <c r="J230" s="7"/>
      <c r="K230" s="72" t="str">
        <f t="shared" si="24"/>
        <v>A</v>
      </c>
      <c r="L230" s="62">
        <v>2</v>
      </c>
      <c r="M230" s="62"/>
      <c r="N230" s="62">
        <v>2</v>
      </c>
      <c r="O230" s="62">
        <v>2</v>
      </c>
      <c r="P230" s="62"/>
      <c r="Q230" s="72">
        <f t="shared" si="25"/>
        <v>2</v>
      </c>
      <c r="R230" s="7"/>
      <c r="S230" s="7"/>
      <c r="T230" s="7"/>
      <c r="U230" s="7"/>
      <c r="V230" s="7"/>
      <c r="W230" s="72" t="str">
        <f t="shared" si="26"/>
        <v>A</v>
      </c>
      <c r="X230" s="7"/>
      <c r="Y230" s="7"/>
      <c r="Z230" s="7"/>
      <c r="AA230" s="7"/>
      <c r="AB230" s="7"/>
      <c r="AC230" s="72" t="str">
        <f t="shared" si="27"/>
        <v>A</v>
      </c>
      <c r="AD230" s="7"/>
      <c r="AE230" s="7"/>
      <c r="AF230" s="7"/>
      <c r="AG230" s="7"/>
      <c r="AH230" s="7"/>
      <c r="AI230" s="72" t="str">
        <f t="shared" si="28"/>
        <v>A</v>
      </c>
      <c r="AJ230" s="7"/>
      <c r="AK230" s="7"/>
      <c r="AL230" s="7"/>
      <c r="AM230" s="7"/>
      <c r="AN230" s="7"/>
      <c r="AO230" s="72" t="str">
        <f t="shared" si="29"/>
        <v>A</v>
      </c>
      <c r="AP230" s="7"/>
      <c r="AQ230" s="7"/>
      <c r="AR230" s="7"/>
      <c r="AS230" s="7"/>
      <c r="AT230" s="7"/>
      <c r="AU230" s="72" t="str">
        <f t="shared" si="30"/>
        <v>A</v>
      </c>
      <c r="AV230" s="7"/>
      <c r="AW230" s="7"/>
      <c r="AX230" s="62">
        <v>2</v>
      </c>
      <c r="AY230" s="62">
        <v>2</v>
      </c>
      <c r="AZ230" s="62">
        <v>2</v>
      </c>
      <c r="BA230" s="72">
        <f t="shared" si="31"/>
        <v>2</v>
      </c>
    </row>
    <row r="231" spans="1:53" x14ac:dyDescent="0.3">
      <c r="AJ231" s="135"/>
      <c r="AR231" s="136"/>
    </row>
    <row r="232" spans="1:53" x14ac:dyDescent="0.3">
      <c r="AR232" s="134"/>
    </row>
  </sheetData>
  <mergeCells count="21">
    <mergeCell ref="X1:AB1"/>
    <mergeCell ref="A1:A2"/>
    <mergeCell ref="B1:B2"/>
    <mergeCell ref="C1:C2"/>
    <mergeCell ref="D1:D2"/>
    <mergeCell ref="E1:E2"/>
    <mergeCell ref="F1:J1"/>
    <mergeCell ref="K1:K2"/>
    <mergeCell ref="L1:P1"/>
    <mergeCell ref="Q1:Q2"/>
    <mergeCell ref="R1:V1"/>
    <mergeCell ref="W1:W2"/>
    <mergeCell ref="AU1:AU2"/>
    <mergeCell ref="AV1:AZ1"/>
    <mergeCell ref="BA1:BA2"/>
    <mergeCell ref="AC1:AC2"/>
    <mergeCell ref="AD1:AH1"/>
    <mergeCell ref="AI1:AI2"/>
    <mergeCell ref="AJ1:AN1"/>
    <mergeCell ref="AO1:AO2"/>
    <mergeCell ref="AP1:AT1"/>
  </mergeCells>
  <conditionalFormatting sqref="K3:K230">
    <cfRule type="containsText" dxfId="12" priority="8" operator="containsText" text="A">
      <formula>NOT(ISERROR(SEARCH("A",K3)))</formula>
    </cfRule>
  </conditionalFormatting>
  <conditionalFormatting sqref="Q3:Q230">
    <cfRule type="containsText" dxfId="11" priority="7" operator="containsText" text="A">
      <formula>NOT(ISERROR(SEARCH("A",Q3)))</formula>
    </cfRule>
  </conditionalFormatting>
  <conditionalFormatting sqref="W3:W230">
    <cfRule type="containsText" dxfId="10" priority="1" operator="containsText" text="A">
      <formula>NOT(ISERROR(SEARCH("A",W3)))</formula>
    </cfRule>
  </conditionalFormatting>
  <conditionalFormatting sqref="AC3:AC230">
    <cfRule type="containsText" dxfId="9" priority="2" operator="containsText" text="A">
      <formula>NOT(ISERROR(SEARCH("A",AC3)))</formula>
    </cfRule>
  </conditionalFormatting>
  <conditionalFormatting sqref="AI3:AI230">
    <cfRule type="containsText" dxfId="8" priority="3" operator="containsText" text="A">
      <formula>NOT(ISERROR(SEARCH("A",AI3)))</formula>
    </cfRule>
  </conditionalFormatting>
  <conditionalFormatting sqref="AO3:AO230">
    <cfRule type="containsText" dxfId="7" priority="6" operator="containsText" text="A">
      <formula>NOT(ISERROR(SEARCH("A",AO3)))</formula>
    </cfRule>
  </conditionalFormatting>
  <conditionalFormatting sqref="AU3:AU230">
    <cfRule type="containsText" dxfId="6" priority="4" operator="containsText" text="A">
      <formula>NOT(ISERROR(SEARCH("A",AU3)))</formula>
    </cfRule>
  </conditionalFormatting>
  <conditionalFormatting sqref="BA3:BA230">
    <cfRule type="containsText" dxfId="5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2138-EFD3-4686-B37C-EF9990757725}">
  <dimension ref="A1:BA231"/>
  <sheetViews>
    <sheetView topLeftCell="AV1" workbookViewId="0">
      <selection activeCell="BB12" sqref="BB12"/>
    </sheetView>
  </sheetViews>
  <sheetFormatPr defaultRowHeight="14.4" x14ac:dyDescent="0.3"/>
  <cols>
    <col min="1" max="1" width="10.33203125" style="11" customWidth="1"/>
    <col min="2" max="2" width="21.6640625" style="11" customWidth="1"/>
    <col min="3" max="3" width="22.77734375" style="3" customWidth="1"/>
    <col min="4" max="5" width="12.44140625" style="11" customWidth="1"/>
    <col min="6" max="8" width="10.33203125" style="11" customWidth="1"/>
    <col min="9" max="9" width="10.33203125" customWidth="1"/>
    <col min="10" max="10" width="11.33203125" style="11" customWidth="1"/>
    <col min="11" max="11" width="12.77734375" style="11" customWidth="1"/>
    <col min="12" max="12" width="13" customWidth="1"/>
    <col min="16" max="17" width="8.88671875" style="11"/>
    <col min="22" max="23" width="8.88671875" style="11"/>
    <col min="28" max="29" width="8.88671875" style="11"/>
    <col min="34" max="35" width="8.88671875" style="11"/>
    <col min="40" max="41" width="8.88671875" style="11"/>
    <col min="46" max="47" width="8.88671875" style="11"/>
    <col min="52" max="53" width="8.88671875" style="11"/>
  </cols>
  <sheetData>
    <row r="1" spans="1:53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46" t="s">
        <v>495</v>
      </c>
      <c r="G1" s="146"/>
      <c r="H1" s="146"/>
      <c r="I1" s="146"/>
      <c r="J1" s="146"/>
      <c r="K1" s="147" t="s">
        <v>28</v>
      </c>
      <c r="L1" s="146" t="s">
        <v>496</v>
      </c>
      <c r="M1" s="146"/>
      <c r="N1" s="146"/>
      <c r="O1" s="146"/>
      <c r="P1" s="146"/>
      <c r="Q1" s="144" t="s">
        <v>28</v>
      </c>
      <c r="R1" s="146" t="s">
        <v>497</v>
      </c>
      <c r="S1" s="146"/>
      <c r="T1" s="146"/>
      <c r="U1" s="146"/>
      <c r="V1" s="146"/>
      <c r="W1" s="144" t="s">
        <v>28</v>
      </c>
      <c r="X1" s="146" t="s">
        <v>498</v>
      </c>
      <c r="Y1" s="146"/>
      <c r="Z1" s="146"/>
      <c r="AA1" s="146"/>
      <c r="AB1" s="146"/>
      <c r="AC1" s="144" t="s">
        <v>28</v>
      </c>
      <c r="AD1" s="146" t="s">
        <v>499</v>
      </c>
      <c r="AE1" s="146"/>
      <c r="AF1" s="146"/>
      <c r="AG1" s="146"/>
      <c r="AH1" s="146"/>
      <c r="AI1" s="144" t="s">
        <v>28</v>
      </c>
      <c r="AJ1" s="146" t="s">
        <v>500</v>
      </c>
      <c r="AK1" s="146"/>
      <c r="AL1" s="146"/>
      <c r="AM1" s="146"/>
      <c r="AN1" s="146"/>
      <c r="AO1" s="144" t="s">
        <v>28</v>
      </c>
      <c r="AP1" s="146" t="s">
        <v>501</v>
      </c>
      <c r="AQ1" s="146"/>
      <c r="AR1" s="146"/>
      <c r="AS1" s="146"/>
      <c r="AT1" s="146"/>
      <c r="AU1" s="144" t="s">
        <v>28</v>
      </c>
      <c r="AV1" s="146" t="s">
        <v>29</v>
      </c>
      <c r="AW1" s="146"/>
      <c r="AX1" s="146"/>
      <c r="AY1" s="146"/>
      <c r="AZ1" s="146"/>
      <c r="BA1" s="144" t="s">
        <v>28</v>
      </c>
    </row>
    <row r="2" spans="1:53" s="3" customFormat="1" ht="20.100000000000001" customHeight="1" x14ac:dyDescent="0.3">
      <c r="A2" s="157"/>
      <c r="B2" s="157"/>
      <c r="C2" s="158"/>
      <c r="D2" s="157"/>
      <c r="E2" s="157"/>
      <c r="F2" s="20" t="s">
        <v>502</v>
      </c>
      <c r="G2" s="20" t="s">
        <v>503</v>
      </c>
      <c r="H2" s="20" t="s">
        <v>504</v>
      </c>
      <c r="I2" s="20" t="s">
        <v>505</v>
      </c>
      <c r="J2" s="20" t="s">
        <v>506</v>
      </c>
      <c r="K2" s="147"/>
      <c r="L2" s="20" t="s">
        <v>507</v>
      </c>
      <c r="M2" s="20" t="s">
        <v>508</v>
      </c>
      <c r="N2" s="20" t="s">
        <v>509</v>
      </c>
      <c r="O2" s="20" t="s">
        <v>510</v>
      </c>
      <c r="P2" s="20" t="s">
        <v>511</v>
      </c>
      <c r="Q2" s="144"/>
      <c r="R2" s="20" t="s">
        <v>512</v>
      </c>
      <c r="S2" s="20" t="s">
        <v>513</v>
      </c>
      <c r="T2" s="20" t="s">
        <v>514</v>
      </c>
      <c r="U2" s="20" t="s">
        <v>515</v>
      </c>
      <c r="V2" s="20" t="s">
        <v>516</v>
      </c>
      <c r="W2" s="144"/>
      <c r="X2" s="20" t="s">
        <v>517</v>
      </c>
      <c r="Y2" s="20" t="s">
        <v>518</v>
      </c>
      <c r="Z2" s="20" t="s">
        <v>519</v>
      </c>
      <c r="AA2" s="20" t="s">
        <v>520</v>
      </c>
      <c r="AB2" s="20" t="s">
        <v>521</v>
      </c>
      <c r="AC2" s="144"/>
      <c r="AD2" s="20" t="s">
        <v>522</v>
      </c>
      <c r="AE2" s="20" t="s">
        <v>523</v>
      </c>
      <c r="AF2" s="20" t="s">
        <v>524</v>
      </c>
      <c r="AG2" s="20" t="s">
        <v>525</v>
      </c>
      <c r="AH2" s="20" t="s">
        <v>526</v>
      </c>
      <c r="AI2" s="144"/>
      <c r="AJ2" s="20" t="s">
        <v>527</v>
      </c>
      <c r="AK2" s="20" t="s">
        <v>528</v>
      </c>
      <c r="AL2" s="20" t="s">
        <v>529</v>
      </c>
      <c r="AM2" s="20" t="s">
        <v>530</v>
      </c>
      <c r="AN2" s="20" t="s">
        <v>531</v>
      </c>
      <c r="AO2" s="144"/>
      <c r="AP2" s="20" t="s">
        <v>532</v>
      </c>
      <c r="AQ2" s="20" t="s">
        <v>533</v>
      </c>
      <c r="AR2" s="20" t="s">
        <v>534</v>
      </c>
      <c r="AS2" s="20" t="s">
        <v>535</v>
      </c>
      <c r="AT2" s="20" t="s">
        <v>536</v>
      </c>
      <c r="AU2" s="144"/>
      <c r="AV2" s="20" t="s">
        <v>30</v>
      </c>
      <c r="AW2" s="20" t="s">
        <v>31</v>
      </c>
      <c r="AX2" s="20" t="s">
        <v>32</v>
      </c>
      <c r="AY2" s="20" t="s">
        <v>33</v>
      </c>
      <c r="AZ2" s="20" t="s">
        <v>34</v>
      </c>
      <c r="BA2" s="144"/>
    </row>
    <row r="3" spans="1:53" s="17" customFormat="1" ht="23.1" hidden="1" customHeight="1" x14ac:dyDescent="0.3">
      <c r="A3" s="126" t="s">
        <v>0</v>
      </c>
      <c r="B3" s="127" t="s">
        <v>26</v>
      </c>
      <c r="C3" s="128" t="s">
        <v>27</v>
      </c>
      <c r="D3" s="129" t="s">
        <v>489</v>
      </c>
      <c r="E3" s="129" t="s">
        <v>490</v>
      </c>
      <c r="F3" s="130" t="s">
        <v>546</v>
      </c>
      <c r="G3" s="130" t="s">
        <v>547</v>
      </c>
      <c r="H3" s="130" t="s">
        <v>548</v>
      </c>
      <c r="I3" s="130" t="s">
        <v>549</v>
      </c>
      <c r="J3" s="130" t="s">
        <v>550</v>
      </c>
      <c r="K3" s="75" t="s">
        <v>551</v>
      </c>
      <c r="L3" s="130" t="s">
        <v>552</v>
      </c>
      <c r="M3" s="130" t="s">
        <v>579</v>
      </c>
      <c r="N3" s="131" t="s">
        <v>580</v>
      </c>
      <c r="O3" s="26"/>
      <c r="P3" s="26"/>
      <c r="Q3" s="21" t="e">
        <f t="shared" ref="Q3" si="0">AVERAGE(L3:P3)</f>
        <v>#DIV/0!</v>
      </c>
      <c r="R3" s="26"/>
      <c r="S3" s="26"/>
      <c r="T3" s="26"/>
      <c r="U3" s="26"/>
      <c r="V3" s="26"/>
      <c r="W3" s="21" t="e">
        <f t="shared" ref="W3" si="1">AVERAGE(R3:V3)</f>
        <v>#DIV/0!</v>
      </c>
      <c r="X3" s="26"/>
      <c r="Y3" s="26"/>
      <c r="Z3" s="26"/>
      <c r="AA3" s="26"/>
      <c r="AB3" s="26"/>
      <c r="AC3" s="21" t="e">
        <f>AVERAGE(X3:AB3)</f>
        <v>#DIV/0!</v>
      </c>
      <c r="AD3" s="26"/>
      <c r="AE3" s="26"/>
      <c r="AF3" s="26"/>
      <c r="AG3" s="26"/>
      <c r="AH3" s="26"/>
      <c r="AI3" s="21" t="e">
        <f t="shared" ref="AI3" si="2">AVERAGE(AD3:AH3)</f>
        <v>#DIV/0!</v>
      </c>
      <c r="AJ3" s="26"/>
      <c r="AK3" s="26"/>
      <c r="AL3" s="26"/>
      <c r="AM3" s="26"/>
      <c r="AN3" s="26">
        <v>0</v>
      </c>
      <c r="AO3" s="21">
        <f t="shared" ref="AO3" si="3">AVERAGE(AJ3:AN3)</f>
        <v>0</v>
      </c>
      <c r="AP3" s="26"/>
      <c r="AQ3" s="27"/>
      <c r="AR3" s="26"/>
      <c r="AS3" s="25"/>
      <c r="AT3" s="4"/>
      <c r="AU3" s="21" t="e">
        <f t="shared" ref="AU3" si="4">AVERAGE(AP3:AT3)</f>
        <v>#DIV/0!</v>
      </c>
      <c r="AV3" s="28"/>
      <c r="AW3" s="27"/>
      <c r="AX3" s="26"/>
      <c r="AY3" s="26"/>
      <c r="AZ3" s="26"/>
      <c r="BA3" s="21" t="e">
        <f t="shared" ref="BA3" si="5">AVERAGE(AV3:AZ3)</f>
        <v>#DIV/0!</v>
      </c>
    </row>
    <row r="4" spans="1:53" ht="23.1" customHeight="1" x14ac:dyDescent="0.3">
      <c r="A4" s="76">
        <v>1</v>
      </c>
      <c r="B4" s="76" t="s">
        <v>36</v>
      </c>
      <c r="C4" s="77" t="s">
        <v>37</v>
      </c>
      <c r="D4" s="76" t="s">
        <v>542</v>
      </c>
      <c r="E4" s="76" t="s">
        <v>35</v>
      </c>
      <c r="F4" s="81"/>
      <c r="G4" s="81"/>
      <c r="H4" s="81"/>
      <c r="I4" s="81"/>
      <c r="J4" s="81"/>
      <c r="K4" s="75">
        <v>0</v>
      </c>
      <c r="L4" s="81"/>
      <c r="M4" s="34">
        <v>5</v>
      </c>
      <c r="N4" s="34">
        <v>5</v>
      </c>
      <c r="O4" s="55"/>
      <c r="P4" s="34">
        <v>5</v>
      </c>
      <c r="Q4" s="43">
        <f>IFERROR(AVERAGE(M4,N4,P4),"0")</f>
        <v>5</v>
      </c>
      <c r="R4" s="34">
        <v>5</v>
      </c>
      <c r="S4" s="55"/>
      <c r="T4" s="55"/>
      <c r="U4" s="55"/>
      <c r="V4" s="55"/>
      <c r="W4" s="42">
        <f>R4</f>
        <v>5</v>
      </c>
      <c r="X4" s="34">
        <v>5</v>
      </c>
      <c r="Y4" s="55"/>
      <c r="Z4" s="55"/>
      <c r="AA4" s="55"/>
      <c r="AB4" s="55"/>
      <c r="AC4" s="42">
        <f>X4</f>
        <v>5</v>
      </c>
      <c r="AD4" s="34">
        <v>5</v>
      </c>
      <c r="AE4" s="55"/>
      <c r="AF4" s="55"/>
      <c r="AG4" s="55"/>
      <c r="AH4" s="55"/>
      <c r="AI4" s="42">
        <f>AD4</f>
        <v>5</v>
      </c>
      <c r="AJ4" s="55"/>
      <c r="AK4" s="34">
        <v>4</v>
      </c>
      <c r="AL4" s="55"/>
      <c r="AM4" s="55"/>
      <c r="AN4" s="55"/>
      <c r="AO4" s="43">
        <f>AK4</f>
        <v>4</v>
      </c>
      <c r="AP4" s="34">
        <v>4</v>
      </c>
      <c r="AQ4" s="34"/>
      <c r="AR4" s="34"/>
      <c r="AS4" s="34"/>
      <c r="AT4" s="34"/>
      <c r="AU4" s="42">
        <f>AP4</f>
        <v>4</v>
      </c>
      <c r="AV4" s="34"/>
      <c r="AW4" s="34"/>
      <c r="AX4" s="55"/>
      <c r="AY4" s="34">
        <v>5</v>
      </c>
      <c r="AZ4" s="34"/>
      <c r="BA4" s="43">
        <f>IFERROR(AVERAGE(AY4,AZ4),"0")</f>
        <v>5</v>
      </c>
    </row>
    <row r="5" spans="1:53" ht="23.1" customHeight="1" x14ac:dyDescent="0.3">
      <c r="A5" s="83">
        <v>2</v>
      </c>
      <c r="B5" s="83" t="s">
        <v>75</v>
      </c>
      <c r="C5" s="84" t="s">
        <v>76</v>
      </c>
      <c r="D5" s="83" t="s">
        <v>450</v>
      </c>
      <c r="E5" s="83" t="s">
        <v>35</v>
      </c>
      <c r="F5" s="86"/>
      <c r="G5" s="86"/>
      <c r="H5" s="86"/>
      <c r="I5" s="86"/>
      <c r="J5" s="86"/>
      <c r="K5" s="75">
        <v>4</v>
      </c>
      <c r="L5" s="86"/>
      <c r="M5" s="16">
        <v>3</v>
      </c>
      <c r="N5" s="16">
        <v>3</v>
      </c>
      <c r="O5" s="57"/>
      <c r="P5" s="16">
        <v>2</v>
      </c>
      <c r="Q5" s="43">
        <f t="shared" ref="Q5:Q68" si="6">IFERROR(AVERAGE(M5,N5,P5),"0")</f>
        <v>2.6666666666666665</v>
      </c>
      <c r="R5" s="16">
        <v>3</v>
      </c>
      <c r="S5" s="57"/>
      <c r="T5" s="57"/>
      <c r="U5" s="57"/>
      <c r="V5" s="57"/>
      <c r="W5" s="42">
        <f t="shared" ref="W5:W68" si="7">R5</f>
        <v>3</v>
      </c>
      <c r="X5" s="16">
        <v>3</v>
      </c>
      <c r="Y5" s="57"/>
      <c r="Z5" s="57"/>
      <c r="AA5" s="57"/>
      <c r="AB5" s="57"/>
      <c r="AC5" s="42">
        <f t="shared" ref="AC5:AC68" si="8">X5</f>
        <v>3</v>
      </c>
      <c r="AD5" s="16">
        <v>3</v>
      </c>
      <c r="AE5" s="57"/>
      <c r="AF5" s="57"/>
      <c r="AG5" s="57"/>
      <c r="AH5" s="57"/>
      <c r="AI5" s="42">
        <f t="shared" ref="AI5:AI68" si="9">AD5</f>
        <v>3</v>
      </c>
      <c r="AJ5" s="57"/>
      <c r="AK5" s="16">
        <v>2</v>
      </c>
      <c r="AL5" s="57"/>
      <c r="AM5" s="57"/>
      <c r="AN5" s="57"/>
      <c r="AO5" s="43">
        <f t="shared" ref="AO5:AO68" si="10">AK5</f>
        <v>2</v>
      </c>
      <c r="AP5" s="16">
        <v>3</v>
      </c>
      <c r="AQ5" s="16"/>
      <c r="AR5" s="16"/>
      <c r="AS5" s="16"/>
      <c r="AT5" s="16"/>
      <c r="AU5" s="42">
        <f t="shared" ref="AU5:AU68" si="11">AP5</f>
        <v>3</v>
      </c>
      <c r="AV5" s="16"/>
      <c r="AW5" s="16"/>
      <c r="AX5" s="57"/>
      <c r="AY5" s="16">
        <v>3</v>
      </c>
      <c r="AZ5" s="16"/>
      <c r="BA5" s="43">
        <f t="shared" ref="BA5:BA68" si="12">IFERROR(AVERAGE(AY5,AZ5),"0")</f>
        <v>3</v>
      </c>
    </row>
    <row r="6" spans="1:53" ht="23.1" customHeight="1" x14ac:dyDescent="0.3">
      <c r="A6" s="76">
        <v>3</v>
      </c>
      <c r="B6" s="76" t="s">
        <v>64</v>
      </c>
      <c r="C6" s="77" t="s">
        <v>65</v>
      </c>
      <c r="D6" s="76" t="s">
        <v>542</v>
      </c>
      <c r="E6" s="76" t="s">
        <v>35</v>
      </c>
      <c r="F6" s="81"/>
      <c r="G6" s="81"/>
      <c r="H6" s="81"/>
      <c r="I6" s="81"/>
      <c r="J6" s="81"/>
      <c r="K6" s="75">
        <v>4</v>
      </c>
      <c r="L6" s="81"/>
      <c r="M6" s="34">
        <v>3</v>
      </c>
      <c r="N6" s="34">
        <v>3</v>
      </c>
      <c r="O6" s="58"/>
      <c r="P6" s="34">
        <v>3</v>
      </c>
      <c r="Q6" s="43">
        <f t="shared" si="6"/>
        <v>3</v>
      </c>
      <c r="R6" s="34">
        <v>4</v>
      </c>
      <c r="S6" s="58"/>
      <c r="T6" s="58"/>
      <c r="U6" s="58"/>
      <c r="V6" s="58"/>
      <c r="W6" s="42">
        <f t="shared" si="7"/>
        <v>4</v>
      </c>
      <c r="X6" s="34">
        <v>4</v>
      </c>
      <c r="Y6" s="58"/>
      <c r="Z6" s="58"/>
      <c r="AA6" s="58"/>
      <c r="AB6" s="58"/>
      <c r="AC6" s="42">
        <f t="shared" si="8"/>
        <v>4</v>
      </c>
      <c r="AD6" s="34">
        <v>3</v>
      </c>
      <c r="AE6" s="58"/>
      <c r="AF6" s="58"/>
      <c r="AG6" s="58"/>
      <c r="AH6" s="58"/>
      <c r="AI6" s="42">
        <f t="shared" si="9"/>
        <v>3</v>
      </c>
      <c r="AJ6" s="58"/>
      <c r="AK6" s="34">
        <v>3</v>
      </c>
      <c r="AL6" s="58"/>
      <c r="AM6" s="58"/>
      <c r="AN6" s="58"/>
      <c r="AO6" s="43">
        <f t="shared" si="10"/>
        <v>3</v>
      </c>
      <c r="AP6" s="34">
        <v>3</v>
      </c>
      <c r="AQ6" s="34"/>
      <c r="AR6" s="34"/>
      <c r="AS6" s="34"/>
      <c r="AT6" s="34"/>
      <c r="AU6" s="42">
        <f t="shared" si="11"/>
        <v>3</v>
      </c>
      <c r="AV6" s="34"/>
      <c r="AW6" s="34"/>
      <c r="AX6" s="58"/>
      <c r="AY6" s="34">
        <v>3</v>
      </c>
      <c r="AZ6" s="34"/>
      <c r="BA6" s="43">
        <f t="shared" si="12"/>
        <v>3</v>
      </c>
    </row>
    <row r="7" spans="1:53" ht="23.1" customHeight="1" x14ac:dyDescent="0.3">
      <c r="A7" s="83">
        <v>4</v>
      </c>
      <c r="B7" s="83" t="s">
        <v>99</v>
      </c>
      <c r="C7" s="84" t="s">
        <v>100</v>
      </c>
      <c r="D7" s="83" t="s">
        <v>450</v>
      </c>
      <c r="E7" s="83" t="s">
        <v>35</v>
      </c>
      <c r="F7" s="88"/>
      <c r="G7" s="88"/>
      <c r="H7" s="88"/>
      <c r="I7" s="88"/>
      <c r="J7" s="88"/>
      <c r="K7" s="75">
        <v>4</v>
      </c>
      <c r="L7" s="88"/>
      <c r="M7" s="16">
        <v>3</v>
      </c>
      <c r="N7" s="16">
        <v>3</v>
      </c>
      <c r="O7" s="59"/>
      <c r="P7" s="16">
        <v>2</v>
      </c>
      <c r="Q7" s="43">
        <f t="shared" si="6"/>
        <v>2.6666666666666665</v>
      </c>
      <c r="R7" s="16">
        <v>2</v>
      </c>
      <c r="S7" s="59"/>
      <c r="T7" s="59"/>
      <c r="U7" s="59"/>
      <c r="V7" s="59"/>
      <c r="W7" s="42">
        <f t="shared" si="7"/>
        <v>2</v>
      </c>
      <c r="X7" s="16">
        <v>2</v>
      </c>
      <c r="Y7" s="59"/>
      <c r="Z7" s="59"/>
      <c r="AA7" s="59"/>
      <c r="AB7" s="59"/>
      <c r="AC7" s="42">
        <f t="shared" si="8"/>
        <v>2</v>
      </c>
      <c r="AD7" s="16">
        <v>2</v>
      </c>
      <c r="AE7" s="59"/>
      <c r="AF7" s="59"/>
      <c r="AG7" s="59"/>
      <c r="AH7" s="59"/>
      <c r="AI7" s="42">
        <f t="shared" si="9"/>
        <v>2</v>
      </c>
      <c r="AJ7" s="59"/>
      <c r="AK7" s="16">
        <v>2</v>
      </c>
      <c r="AL7" s="59"/>
      <c r="AM7" s="59"/>
      <c r="AN7" s="59"/>
      <c r="AO7" s="43">
        <f t="shared" si="10"/>
        <v>2</v>
      </c>
      <c r="AP7" s="16">
        <v>2</v>
      </c>
      <c r="AQ7" s="16"/>
      <c r="AR7" s="16"/>
      <c r="AS7" s="16"/>
      <c r="AT7" s="16"/>
      <c r="AU7" s="42">
        <f t="shared" si="11"/>
        <v>2</v>
      </c>
      <c r="AV7" s="16"/>
      <c r="AW7" s="16"/>
      <c r="AX7" s="59"/>
      <c r="AY7" s="16">
        <v>2</v>
      </c>
      <c r="AZ7" s="16"/>
      <c r="BA7" s="43">
        <f t="shared" si="12"/>
        <v>2</v>
      </c>
    </row>
    <row r="8" spans="1:53" ht="23.1" customHeight="1" x14ac:dyDescent="0.3">
      <c r="A8" s="76">
        <v>5</v>
      </c>
      <c r="B8" s="76" t="s">
        <v>290</v>
      </c>
      <c r="C8" s="77" t="s">
        <v>538</v>
      </c>
      <c r="D8" s="76" t="s">
        <v>450</v>
      </c>
      <c r="E8" s="76" t="s">
        <v>289</v>
      </c>
      <c r="F8" s="81"/>
      <c r="G8" s="81"/>
      <c r="H8" s="81"/>
      <c r="I8" s="81"/>
      <c r="J8" s="81"/>
      <c r="K8" s="75">
        <v>0</v>
      </c>
      <c r="L8" s="81"/>
      <c r="M8" s="34">
        <v>3</v>
      </c>
      <c r="N8" s="34">
        <v>3</v>
      </c>
      <c r="O8" s="58"/>
      <c r="P8" s="34">
        <v>3</v>
      </c>
      <c r="Q8" s="43">
        <f t="shared" si="6"/>
        <v>3</v>
      </c>
      <c r="R8" s="34">
        <v>3</v>
      </c>
      <c r="S8" s="58"/>
      <c r="T8" s="58"/>
      <c r="U8" s="58"/>
      <c r="V8" s="58"/>
      <c r="W8" s="42">
        <f t="shared" si="7"/>
        <v>3</v>
      </c>
      <c r="X8" s="34">
        <v>3</v>
      </c>
      <c r="Y8" s="58"/>
      <c r="Z8" s="58"/>
      <c r="AA8" s="58"/>
      <c r="AB8" s="58"/>
      <c r="AC8" s="42">
        <f t="shared" si="8"/>
        <v>3</v>
      </c>
      <c r="AD8" s="34">
        <v>2</v>
      </c>
      <c r="AE8" s="58"/>
      <c r="AF8" s="58"/>
      <c r="AG8" s="58"/>
      <c r="AH8" s="58"/>
      <c r="AI8" s="42">
        <f t="shared" si="9"/>
        <v>2</v>
      </c>
      <c r="AJ8" s="58"/>
      <c r="AK8" s="34">
        <v>2</v>
      </c>
      <c r="AL8" s="58"/>
      <c r="AM8" s="58"/>
      <c r="AN8" s="58"/>
      <c r="AO8" s="43">
        <f t="shared" si="10"/>
        <v>2</v>
      </c>
      <c r="AP8" s="34">
        <v>2</v>
      </c>
      <c r="AQ8" s="34"/>
      <c r="AR8" s="34"/>
      <c r="AS8" s="34"/>
      <c r="AT8" s="34"/>
      <c r="AU8" s="42">
        <f t="shared" si="11"/>
        <v>2</v>
      </c>
      <c r="AV8" s="34"/>
      <c r="AW8" s="34"/>
      <c r="AX8" s="58"/>
      <c r="AY8" s="34">
        <v>2</v>
      </c>
      <c r="AZ8" s="34"/>
      <c r="BA8" s="43">
        <f t="shared" si="12"/>
        <v>2</v>
      </c>
    </row>
    <row r="9" spans="1:53" ht="23.1" customHeight="1" x14ac:dyDescent="0.3">
      <c r="A9" s="83">
        <v>6</v>
      </c>
      <c r="B9" s="83" t="s">
        <v>101</v>
      </c>
      <c r="C9" s="84" t="s">
        <v>102</v>
      </c>
      <c r="D9" s="83" t="s">
        <v>450</v>
      </c>
      <c r="E9" s="83" t="s">
        <v>35</v>
      </c>
      <c r="F9" s="86"/>
      <c r="G9" s="86"/>
      <c r="H9" s="86"/>
      <c r="I9" s="86"/>
      <c r="J9" s="86"/>
      <c r="K9" s="75">
        <v>4</v>
      </c>
      <c r="L9" s="86"/>
      <c r="M9" s="16">
        <v>5</v>
      </c>
      <c r="N9" s="16">
        <v>5</v>
      </c>
      <c r="O9" s="57"/>
      <c r="P9" s="16">
        <v>5</v>
      </c>
      <c r="Q9" s="43">
        <f t="shared" si="6"/>
        <v>5</v>
      </c>
      <c r="R9" s="16">
        <v>5</v>
      </c>
      <c r="S9" s="57"/>
      <c r="T9" s="57"/>
      <c r="U9" s="57"/>
      <c r="V9" s="57"/>
      <c r="W9" s="42">
        <f t="shared" si="7"/>
        <v>5</v>
      </c>
      <c r="X9" s="16">
        <v>5</v>
      </c>
      <c r="Y9" s="57"/>
      <c r="Z9" s="57"/>
      <c r="AA9" s="57"/>
      <c r="AB9" s="57"/>
      <c r="AC9" s="42">
        <f t="shared" si="8"/>
        <v>5</v>
      </c>
      <c r="AD9" s="16">
        <v>4</v>
      </c>
      <c r="AE9" s="57"/>
      <c r="AF9" s="57"/>
      <c r="AG9" s="57"/>
      <c r="AH9" s="57"/>
      <c r="AI9" s="42">
        <f t="shared" si="9"/>
        <v>4</v>
      </c>
      <c r="AJ9" s="57"/>
      <c r="AK9" s="16">
        <v>4</v>
      </c>
      <c r="AL9" s="57"/>
      <c r="AM9" s="57"/>
      <c r="AN9" s="57"/>
      <c r="AO9" s="43">
        <f t="shared" si="10"/>
        <v>4</v>
      </c>
      <c r="AP9" s="16">
        <v>4</v>
      </c>
      <c r="AQ9" s="16"/>
      <c r="AR9" s="16"/>
      <c r="AS9" s="16"/>
      <c r="AT9" s="16"/>
      <c r="AU9" s="42">
        <f t="shared" si="11"/>
        <v>4</v>
      </c>
      <c r="AV9" s="16"/>
      <c r="AW9" s="16"/>
      <c r="AX9" s="57"/>
      <c r="AY9" s="16">
        <v>5</v>
      </c>
      <c r="AZ9" s="16"/>
      <c r="BA9" s="43">
        <f t="shared" si="12"/>
        <v>5</v>
      </c>
    </row>
    <row r="10" spans="1:53" ht="23.1" customHeight="1" x14ac:dyDescent="0.3">
      <c r="A10" s="76">
        <v>7</v>
      </c>
      <c r="B10" s="76" t="s">
        <v>72</v>
      </c>
      <c r="C10" s="77" t="s">
        <v>73</v>
      </c>
      <c r="D10" s="76" t="s">
        <v>450</v>
      </c>
      <c r="E10" s="76" t="s">
        <v>35</v>
      </c>
      <c r="F10" s="81"/>
      <c r="G10" s="81"/>
      <c r="H10" s="81"/>
      <c r="I10" s="81"/>
      <c r="J10" s="81"/>
      <c r="K10" s="75">
        <v>5</v>
      </c>
      <c r="L10" s="81"/>
      <c r="M10" s="34">
        <v>3</v>
      </c>
      <c r="N10" s="34">
        <v>4</v>
      </c>
      <c r="O10" s="58"/>
      <c r="P10" s="34">
        <v>3</v>
      </c>
      <c r="Q10" s="43">
        <f t="shared" si="6"/>
        <v>3.3333333333333335</v>
      </c>
      <c r="R10" s="34">
        <v>4</v>
      </c>
      <c r="S10" s="58"/>
      <c r="T10" s="58"/>
      <c r="U10" s="58"/>
      <c r="V10" s="58"/>
      <c r="W10" s="42">
        <f t="shared" si="7"/>
        <v>4</v>
      </c>
      <c r="X10" s="34">
        <v>4</v>
      </c>
      <c r="Y10" s="58"/>
      <c r="Z10" s="58"/>
      <c r="AA10" s="58"/>
      <c r="AB10" s="58"/>
      <c r="AC10" s="42">
        <f t="shared" si="8"/>
        <v>4</v>
      </c>
      <c r="AD10" s="34">
        <v>4</v>
      </c>
      <c r="AE10" s="58"/>
      <c r="AF10" s="58"/>
      <c r="AG10" s="58"/>
      <c r="AH10" s="58"/>
      <c r="AI10" s="42">
        <f t="shared" si="9"/>
        <v>4</v>
      </c>
      <c r="AJ10" s="58"/>
      <c r="AK10" s="34">
        <v>4</v>
      </c>
      <c r="AL10" s="58"/>
      <c r="AM10" s="58"/>
      <c r="AN10" s="58"/>
      <c r="AO10" s="43">
        <f t="shared" si="10"/>
        <v>4</v>
      </c>
      <c r="AP10" s="34">
        <v>4</v>
      </c>
      <c r="AQ10" s="34"/>
      <c r="AR10" s="34"/>
      <c r="AS10" s="34"/>
      <c r="AT10" s="34"/>
      <c r="AU10" s="42">
        <f t="shared" si="11"/>
        <v>4</v>
      </c>
      <c r="AV10" s="34"/>
      <c r="AW10" s="34"/>
      <c r="AX10" s="58"/>
      <c r="AY10" s="34">
        <v>4</v>
      </c>
      <c r="AZ10" s="34"/>
      <c r="BA10" s="43">
        <f t="shared" si="12"/>
        <v>4</v>
      </c>
    </row>
    <row r="11" spans="1:53" ht="23.1" customHeight="1" x14ac:dyDescent="0.3">
      <c r="A11" s="83">
        <v>8</v>
      </c>
      <c r="B11" s="83" t="s">
        <v>291</v>
      </c>
      <c r="C11" s="84" t="s">
        <v>292</v>
      </c>
      <c r="D11" s="83" t="s">
        <v>450</v>
      </c>
      <c r="E11" s="83" t="s">
        <v>493</v>
      </c>
      <c r="F11" s="86"/>
      <c r="G11" s="86"/>
      <c r="H11" s="86"/>
      <c r="I11" s="86"/>
      <c r="J11" s="86"/>
      <c r="K11" s="75">
        <v>4</v>
      </c>
      <c r="L11" s="86"/>
      <c r="M11" s="16">
        <v>3.5</v>
      </c>
      <c r="N11" s="16">
        <v>3</v>
      </c>
      <c r="O11" s="57"/>
      <c r="P11" s="16">
        <v>3</v>
      </c>
      <c r="Q11" s="43">
        <f t="shared" si="6"/>
        <v>3.1666666666666665</v>
      </c>
      <c r="R11" s="16">
        <v>3</v>
      </c>
      <c r="S11" s="57"/>
      <c r="T11" s="57"/>
      <c r="U11" s="57"/>
      <c r="V11" s="57"/>
      <c r="W11" s="42">
        <f t="shared" si="7"/>
        <v>3</v>
      </c>
      <c r="X11" s="16">
        <v>3</v>
      </c>
      <c r="Y11" s="57"/>
      <c r="Z11" s="57"/>
      <c r="AA11" s="57"/>
      <c r="AB11" s="57"/>
      <c r="AC11" s="42">
        <f t="shared" si="8"/>
        <v>3</v>
      </c>
      <c r="AD11" s="16">
        <v>2.5</v>
      </c>
      <c r="AE11" s="57"/>
      <c r="AF11" s="57"/>
      <c r="AG11" s="57"/>
      <c r="AH11" s="57"/>
      <c r="AI11" s="42">
        <f t="shared" si="9"/>
        <v>2.5</v>
      </c>
      <c r="AJ11" s="57"/>
      <c r="AK11" s="16">
        <v>2.5</v>
      </c>
      <c r="AL11" s="57"/>
      <c r="AM11" s="57"/>
      <c r="AN11" s="57"/>
      <c r="AO11" s="43">
        <f t="shared" si="10"/>
        <v>2.5</v>
      </c>
      <c r="AP11" s="16">
        <v>2.5</v>
      </c>
      <c r="AQ11" s="16"/>
      <c r="AR11" s="16"/>
      <c r="AS11" s="16"/>
      <c r="AT11" s="16"/>
      <c r="AU11" s="42">
        <f t="shared" si="11"/>
        <v>2.5</v>
      </c>
      <c r="AV11" s="16"/>
      <c r="AW11" s="16"/>
      <c r="AX11" s="57"/>
      <c r="AY11" s="16">
        <v>3</v>
      </c>
      <c r="AZ11" s="16"/>
      <c r="BA11" s="43">
        <f t="shared" si="12"/>
        <v>3</v>
      </c>
    </row>
    <row r="12" spans="1:53" ht="23.1" customHeight="1" x14ac:dyDescent="0.3">
      <c r="A12" s="76">
        <v>9</v>
      </c>
      <c r="B12" s="76" t="s">
        <v>103</v>
      </c>
      <c r="C12" s="77" t="s">
        <v>104</v>
      </c>
      <c r="D12" s="76" t="s">
        <v>542</v>
      </c>
      <c r="E12" s="76" t="s">
        <v>35</v>
      </c>
      <c r="F12" s="81"/>
      <c r="G12" s="81"/>
      <c r="H12" s="81"/>
      <c r="I12" s="81"/>
      <c r="J12" s="81"/>
      <c r="K12" s="75">
        <v>4</v>
      </c>
      <c r="L12" s="81"/>
      <c r="M12" s="34">
        <v>3</v>
      </c>
      <c r="N12" s="34">
        <v>4</v>
      </c>
      <c r="O12" s="58"/>
      <c r="P12" s="34">
        <v>3</v>
      </c>
      <c r="Q12" s="43">
        <f t="shared" si="6"/>
        <v>3.3333333333333335</v>
      </c>
      <c r="R12" s="34">
        <v>4</v>
      </c>
      <c r="S12" s="58"/>
      <c r="T12" s="58"/>
      <c r="U12" s="58"/>
      <c r="V12" s="58"/>
      <c r="W12" s="42">
        <f t="shared" si="7"/>
        <v>4</v>
      </c>
      <c r="X12" s="34">
        <v>4</v>
      </c>
      <c r="Y12" s="58"/>
      <c r="Z12" s="58"/>
      <c r="AA12" s="58"/>
      <c r="AB12" s="58"/>
      <c r="AC12" s="42">
        <f t="shared" si="8"/>
        <v>4</v>
      </c>
      <c r="AD12" s="34">
        <v>3</v>
      </c>
      <c r="AE12" s="58"/>
      <c r="AF12" s="58"/>
      <c r="AG12" s="58"/>
      <c r="AH12" s="58"/>
      <c r="AI12" s="42">
        <f t="shared" si="9"/>
        <v>3</v>
      </c>
      <c r="AJ12" s="58"/>
      <c r="AK12" s="34">
        <v>3</v>
      </c>
      <c r="AL12" s="58"/>
      <c r="AM12" s="58"/>
      <c r="AN12" s="58"/>
      <c r="AO12" s="43">
        <f t="shared" si="10"/>
        <v>3</v>
      </c>
      <c r="AP12" s="34">
        <v>4</v>
      </c>
      <c r="AQ12" s="34"/>
      <c r="AR12" s="34"/>
      <c r="AS12" s="34"/>
      <c r="AT12" s="34"/>
      <c r="AU12" s="42">
        <f t="shared" si="11"/>
        <v>4</v>
      </c>
      <c r="AV12" s="34"/>
      <c r="AW12" s="34"/>
      <c r="AX12" s="58"/>
      <c r="AY12" s="34">
        <v>4</v>
      </c>
      <c r="AZ12" s="34"/>
      <c r="BA12" s="43">
        <f t="shared" si="12"/>
        <v>4</v>
      </c>
    </row>
    <row r="13" spans="1:53" ht="23.1" customHeight="1" x14ac:dyDescent="0.3">
      <c r="A13" s="83">
        <v>10</v>
      </c>
      <c r="B13" s="83" t="s">
        <v>68</v>
      </c>
      <c r="C13" s="84" t="s">
        <v>69</v>
      </c>
      <c r="D13" s="83" t="s">
        <v>450</v>
      </c>
      <c r="E13" s="83" t="s">
        <v>35</v>
      </c>
      <c r="F13" s="86"/>
      <c r="G13" s="86"/>
      <c r="H13" s="86"/>
      <c r="I13" s="86"/>
      <c r="J13" s="86"/>
      <c r="K13" s="75">
        <v>4</v>
      </c>
      <c r="L13" s="86"/>
      <c r="M13" s="16">
        <v>5</v>
      </c>
      <c r="N13" s="16">
        <v>5</v>
      </c>
      <c r="O13" s="57"/>
      <c r="P13" s="16">
        <v>3</v>
      </c>
      <c r="Q13" s="43">
        <f t="shared" si="6"/>
        <v>4.333333333333333</v>
      </c>
      <c r="R13" s="16">
        <v>3</v>
      </c>
      <c r="S13" s="57"/>
      <c r="T13" s="57"/>
      <c r="U13" s="57"/>
      <c r="V13" s="57"/>
      <c r="W13" s="42">
        <f t="shared" si="7"/>
        <v>3</v>
      </c>
      <c r="X13" s="16">
        <v>3</v>
      </c>
      <c r="Y13" s="57"/>
      <c r="Z13" s="57"/>
      <c r="AA13" s="57"/>
      <c r="AB13" s="57"/>
      <c r="AC13" s="42">
        <f t="shared" si="8"/>
        <v>3</v>
      </c>
      <c r="AD13" s="16">
        <v>4</v>
      </c>
      <c r="AE13" s="57"/>
      <c r="AF13" s="57"/>
      <c r="AG13" s="57"/>
      <c r="AH13" s="57"/>
      <c r="AI13" s="42">
        <f t="shared" si="9"/>
        <v>4</v>
      </c>
      <c r="AJ13" s="57"/>
      <c r="AK13" s="16">
        <v>4</v>
      </c>
      <c r="AL13" s="57"/>
      <c r="AM13" s="57"/>
      <c r="AN13" s="57"/>
      <c r="AO13" s="43">
        <f t="shared" si="10"/>
        <v>4</v>
      </c>
      <c r="AP13" s="16">
        <v>4</v>
      </c>
      <c r="AQ13" s="16"/>
      <c r="AR13" s="16"/>
      <c r="AS13" s="16"/>
      <c r="AT13" s="16"/>
      <c r="AU13" s="42">
        <f t="shared" si="11"/>
        <v>4</v>
      </c>
      <c r="AV13" s="16"/>
      <c r="AW13" s="16"/>
      <c r="AX13" s="57"/>
      <c r="AY13" s="16">
        <v>4</v>
      </c>
      <c r="AZ13" s="16"/>
      <c r="BA13" s="43">
        <f t="shared" si="12"/>
        <v>4</v>
      </c>
    </row>
    <row r="14" spans="1:53" ht="23.1" customHeight="1" x14ac:dyDescent="0.3">
      <c r="A14" s="76">
        <v>11</v>
      </c>
      <c r="B14" s="76" t="s">
        <v>162</v>
      </c>
      <c r="C14" s="77" t="s">
        <v>163</v>
      </c>
      <c r="D14" s="76" t="s">
        <v>450</v>
      </c>
      <c r="E14" s="76" t="s">
        <v>161</v>
      </c>
      <c r="F14" s="81"/>
      <c r="G14" s="81"/>
      <c r="H14" s="81"/>
      <c r="I14" s="81"/>
      <c r="J14" s="81"/>
      <c r="K14" s="75">
        <v>4</v>
      </c>
      <c r="L14" s="81"/>
      <c r="M14" s="34">
        <v>3</v>
      </c>
      <c r="N14" s="34">
        <v>3</v>
      </c>
      <c r="O14" s="58"/>
      <c r="P14" s="34">
        <v>3</v>
      </c>
      <c r="Q14" s="43">
        <f t="shared" si="6"/>
        <v>3</v>
      </c>
      <c r="R14" s="34">
        <v>4</v>
      </c>
      <c r="S14" s="58"/>
      <c r="T14" s="58"/>
      <c r="U14" s="58"/>
      <c r="V14" s="58"/>
      <c r="W14" s="42">
        <f t="shared" si="7"/>
        <v>4</v>
      </c>
      <c r="X14" s="34">
        <v>4</v>
      </c>
      <c r="Y14" s="58"/>
      <c r="Z14" s="58"/>
      <c r="AA14" s="58"/>
      <c r="AB14" s="58"/>
      <c r="AC14" s="42">
        <f t="shared" si="8"/>
        <v>4</v>
      </c>
      <c r="AD14" s="34">
        <v>0</v>
      </c>
      <c r="AE14" s="58"/>
      <c r="AF14" s="58"/>
      <c r="AG14" s="58"/>
      <c r="AH14" s="58"/>
      <c r="AI14" s="42">
        <f t="shared" si="9"/>
        <v>0</v>
      </c>
      <c r="AJ14" s="58"/>
      <c r="AK14" s="34">
        <v>3.5</v>
      </c>
      <c r="AL14" s="58"/>
      <c r="AM14" s="58"/>
      <c r="AN14" s="58"/>
      <c r="AO14" s="43">
        <f t="shared" si="10"/>
        <v>3.5</v>
      </c>
      <c r="AP14" s="34">
        <v>4</v>
      </c>
      <c r="AQ14" s="34"/>
      <c r="AR14" s="34"/>
      <c r="AS14" s="34"/>
      <c r="AT14" s="34"/>
      <c r="AU14" s="42">
        <f t="shared" si="11"/>
        <v>4</v>
      </c>
      <c r="AV14" s="34"/>
      <c r="AW14" s="34"/>
      <c r="AX14" s="58"/>
      <c r="AY14" s="34">
        <v>4</v>
      </c>
      <c r="AZ14" s="34"/>
      <c r="BA14" s="43">
        <f t="shared" si="12"/>
        <v>4</v>
      </c>
    </row>
    <row r="15" spans="1:53" ht="23.1" customHeight="1" x14ac:dyDescent="0.3">
      <c r="A15" s="83">
        <v>12</v>
      </c>
      <c r="B15" s="83" t="s">
        <v>178</v>
      </c>
      <c r="C15" s="84" t="s">
        <v>179</v>
      </c>
      <c r="D15" s="83" t="s">
        <v>450</v>
      </c>
      <c r="E15" s="83" t="s">
        <v>161</v>
      </c>
      <c r="F15" s="86"/>
      <c r="G15" s="86"/>
      <c r="H15" s="86"/>
      <c r="I15" s="86"/>
      <c r="J15" s="86"/>
      <c r="K15" s="75">
        <v>5</v>
      </c>
      <c r="L15" s="86"/>
      <c r="M15" s="16">
        <v>3.5</v>
      </c>
      <c r="N15" s="16">
        <v>4</v>
      </c>
      <c r="O15" s="57"/>
      <c r="P15" s="16">
        <v>4</v>
      </c>
      <c r="Q15" s="43">
        <f t="shared" si="6"/>
        <v>3.8333333333333335</v>
      </c>
      <c r="R15" s="16">
        <v>4</v>
      </c>
      <c r="S15" s="57"/>
      <c r="T15" s="57"/>
      <c r="U15" s="57"/>
      <c r="V15" s="57"/>
      <c r="W15" s="42">
        <f t="shared" si="7"/>
        <v>4</v>
      </c>
      <c r="X15" s="16">
        <v>4</v>
      </c>
      <c r="Y15" s="57"/>
      <c r="Z15" s="57"/>
      <c r="AA15" s="57"/>
      <c r="AB15" s="57"/>
      <c r="AC15" s="42">
        <f t="shared" si="8"/>
        <v>4</v>
      </c>
      <c r="AD15" s="16">
        <v>0</v>
      </c>
      <c r="AE15" s="57"/>
      <c r="AF15" s="57"/>
      <c r="AG15" s="57"/>
      <c r="AH15" s="57"/>
      <c r="AI15" s="42">
        <f t="shared" si="9"/>
        <v>0</v>
      </c>
      <c r="AJ15" s="57"/>
      <c r="AK15" s="16">
        <v>4</v>
      </c>
      <c r="AL15" s="57"/>
      <c r="AM15" s="57"/>
      <c r="AN15" s="57"/>
      <c r="AO15" s="43">
        <f t="shared" si="10"/>
        <v>4</v>
      </c>
      <c r="AP15" s="16">
        <v>4</v>
      </c>
      <c r="AQ15" s="16"/>
      <c r="AR15" s="16"/>
      <c r="AS15" s="16"/>
      <c r="AT15" s="16"/>
      <c r="AU15" s="42">
        <f t="shared" si="11"/>
        <v>4</v>
      </c>
      <c r="AV15" s="16"/>
      <c r="AW15" s="16"/>
      <c r="AX15" s="57"/>
      <c r="AY15" s="16">
        <v>4</v>
      </c>
      <c r="AZ15" s="16"/>
      <c r="BA15" s="43">
        <f t="shared" si="12"/>
        <v>4</v>
      </c>
    </row>
    <row r="16" spans="1:53" ht="23.1" customHeight="1" x14ac:dyDescent="0.3">
      <c r="A16" s="76">
        <v>13</v>
      </c>
      <c r="B16" s="76" t="s">
        <v>87</v>
      </c>
      <c r="C16" s="77" t="s">
        <v>88</v>
      </c>
      <c r="D16" s="76" t="s">
        <v>450</v>
      </c>
      <c r="E16" s="76" t="s">
        <v>35</v>
      </c>
      <c r="F16" s="81"/>
      <c r="G16" s="81"/>
      <c r="H16" s="81"/>
      <c r="I16" s="81"/>
      <c r="J16" s="81"/>
      <c r="K16" s="75">
        <v>4</v>
      </c>
      <c r="L16" s="81"/>
      <c r="M16" s="34">
        <v>3</v>
      </c>
      <c r="N16" s="34">
        <v>3</v>
      </c>
      <c r="O16" s="58"/>
      <c r="P16" s="34">
        <v>4</v>
      </c>
      <c r="Q16" s="43">
        <f t="shared" si="6"/>
        <v>3.3333333333333335</v>
      </c>
      <c r="R16" s="34">
        <v>3</v>
      </c>
      <c r="S16" s="58"/>
      <c r="T16" s="58"/>
      <c r="U16" s="58"/>
      <c r="V16" s="58"/>
      <c r="W16" s="42">
        <f t="shared" si="7"/>
        <v>3</v>
      </c>
      <c r="X16" s="34">
        <v>3</v>
      </c>
      <c r="Y16" s="58"/>
      <c r="Z16" s="58"/>
      <c r="AA16" s="58"/>
      <c r="AB16" s="58"/>
      <c r="AC16" s="42">
        <f t="shared" si="8"/>
        <v>3</v>
      </c>
      <c r="AD16" s="34">
        <v>3</v>
      </c>
      <c r="AE16" s="58"/>
      <c r="AF16" s="58"/>
      <c r="AG16" s="58"/>
      <c r="AH16" s="58"/>
      <c r="AI16" s="42">
        <f t="shared" si="9"/>
        <v>3</v>
      </c>
      <c r="AJ16" s="58"/>
      <c r="AK16" s="34">
        <v>3</v>
      </c>
      <c r="AL16" s="58"/>
      <c r="AM16" s="58"/>
      <c r="AN16" s="58"/>
      <c r="AO16" s="43">
        <f t="shared" si="10"/>
        <v>3</v>
      </c>
      <c r="AP16" s="34">
        <v>3</v>
      </c>
      <c r="AQ16" s="34"/>
      <c r="AR16" s="34"/>
      <c r="AS16" s="34"/>
      <c r="AT16" s="34"/>
      <c r="AU16" s="42">
        <f t="shared" si="11"/>
        <v>3</v>
      </c>
      <c r="AV16" s="34"/>
      <c r="AW16" s="34"/>
      <c r="AX16" s="58"/>
      <c r="AY16" s="34">
        <v>4</v>
      </c>
      <c r="AZ16" s="34"/>
      <c r="BA16" s="43">
        <f t="shared" si="12"/>
        <v>4</v>
      </c>
    </row>
    <row r="17" spans="1:53" ht="23.1" customHeight="1" x14ac:dyDescent="0.3">
      <c r="A17" s="83">
        <v>14</v>
      </c>
      <c r="B17" s="83" t="s">
        <v>194</v>
      </c>
      <c r="C17" s="84" t="s">
        <v>195</v>
      </c>
      <c r="D17" s="83" t="s">
        <v>542</v>
      </c>
      <c r="E17" s="83" t="s">
        <v>161</v>
      </c>
      <c r="F17" s="86"/>
      <c r="G17" s="86"/>
      <c r="H17" s="86"/>
      <c r="I17" s="86"/>
      <c r="J17" s="86"/>
      <c r="K17" s="75">
        <v>4</v>
      </c>
      <c r="L17" s="86"/>
      <c r="M17" s="16">
        <v>4</v>
      </c>
      <c r="N17" s="16">
        <v>3.5</v>
      </c>
      <c r="O17" s="57"/>
      <c r="P17" s="16">
        <v>4</v>
      </c>
      <c r="Q17" s="43">
        <f t="shared" si="6"/>
        <v>3.8333333333333335</v>
      </c>
      <c r="R17" s="16">
        <v>3.5</v>
      </c>
      <c r="S17" s="57"/>
      <c r="T17" s="57"/>
      <c r="U17" s="57"/>
      <c r="V17" s="57"/>
      <c r="W17" s="42">
        <f t="shared" si="7"/>
        <v>3.5</v>
      </c>
      <c r="X17" s="16">
        <v>3.5</v>
      </c>
      <c r="Y17" s="57"/>
      <c r="Z17" s="57"/>
      <c r="AA17" s="57"/>
      <c r="AB17" s="57"/>
      <c r="AC17" s="42">
        <f t="shared" si="8"/>
        <v>3.5</v>
      </c>
      <c r="AD17" s="16">
        <v>0</v>
      </c>
      <c r="AE17" s="57"/>
      <c r="AF17" s="57"/>
      <c r="AG17" s="57"/>
      <c r="AH17" s="57"/>
      <c r="AI17" s="42">
        <f t="shared" si="9"/>
        <v>0</v>
      </c>
      <c r="AJ17" s="57"/>
      <c r="AK17" s="16">
        <v>3</v>
      </c>
      <c r="AL17" s="57"/>
      <c r="AM17" s="57"/>
      <c r="AN17" s="57"/>
      <c r="AO17" s="43">
        <f t="shared" si="10"/>
        <v>3</v>
      </c>
      <c r="AP17" s="16">
        <v>3.5</v>
      </c>
      <c r="AQ17" s="16"/>
      <c r="AR17" s="16"/>
      <c r="AS17" s="16"/>
      <c r="AT17" s="16"/>
      <c r="AU17" s="42">
        <f t="shared" si="11"/>
        <v>3.5</v>
      </c>
      <c r="AV17" s="16"/>
      <c r="AW17" s="16"/>
      <c r="AX17" s="57"/>
      <c r="AY17" s="16">
        <v>4</v>
      </c>
      <c r="AZ17" s="16"/>
      <c r="BA17" s="43">
        <f t="shared" si="12"/>
        <v>4</v>
      </c>
    </row>
    <row r="18" spans="1:53" ht="23.1" customHeight="1" x14ac:dyDescent="0.3">
      <c r="A18" s="76">
        <v>15</v>
      </c>
      <c r="B18" s="76" t="s">
        <v>293</v>
      </c>
      <c r="C18" s="77" t="s">
        <v>294</v>
      </c>
      <c r="D18" s="76" t="s">
        <v>542</v>
      </c>
      <c r="E18" s="76" t="s">
        <v>493</v>
      </c>
      <c r="F18" s="81"/>
      <c r="G18" s="81"/>
      <c r="H18" s="81"/>
      <c r="I18" s="81"/>
      <c r="J18" s="81"/>
      <c r="K18" s="75">
        <v>4</v>
      </c>
      <c r="L18" s="81"/>
      <c r="M18" s="34">
        <v>4</v>
      </c>
      <c r="N18" s="34">
        <v>4</v>
      </c>
      <c r="O18" s="58"/>
      <c r="P18" s="34">
        <v>4</v>
      </c>
      <c r="Q18" s="43">
        <f t="shared" si="6"/>
        <v>4</v>
      </c>
      <c r="R18" s="34">
        <v>4</v>
      </c>
      <c r="S18" s="58"/>
      <c r="T18" s="58"/>
      <c r="U18" s="58"/>
      <c r="V18" s="58"/>
      <c r="W18" s="42">
        <f t="shared" si="7"/>
        <v>4</v>
      </c>
      <c r="X18" s="34">
        <v>4</v>
      </c>
      <c r="Y18" s="58"/>
      <c r="Z18" s="58"/>
      <c r="AA18" s="58"/>
      <c r="AB18" s="58"/>
      <c r="AC18" s="42">
        <f t="shared" si="8"/>
        <v>4</v>
      </c>
      <c r="AD18" s="34">
        <v>3</v>
      </c>
      <c r="AE18" s="58"/>
      <c r="AF18" s="58"/>
      <c r="AG18" s="58"/>
      <c r="AH18" s="58"/>
      <c r="AI18" s="42">
        <f t="shared" si="9"/>
        <v>3</v>
      </c>
      <c r="AJ18" s="58"/>
      <c r="AK18" s="34">
        <v>3</v>
      </c>
      <c r="AL18" s="58"/>
      <c r="AM18" s="58"/>
      <c r="AN18" s="58"/>
      <c r="AO18" s="43">
        <f t="shared" si="10"/>
        <v>3</v>
      </c>
      <c r="AP18" s="34">
        <v>4</v>
      </c>
      <c r="AQ18" s="34"/>
      <c r="AR18" s="34"/>
      <c r="AS18" s="34"/>
      <c r="AT18" s="34"/>
      <c r="AU18" s="42">
        <f t="shared" si="11"/>
        <v>4</v>
      </c>
      <c r="AV18" s="34"/>
      <c r="AW18" s="34"/>
      <c r="AX18" s="58"/>
      <c r="AY18" s="34">
        <v>4</v>
      </c>
      <c r="AZ18" s="34"/>
      <c r="BA18" s="43">
        <f t="shared" si="12"/>
        <v>4</v>
      </c>
    </row>
    <row r="19" spans="1:53" ht="23.1" customHeight="1" x14ac:dyDescent="0.3">
      <c r="A19" s="83">
        <v>16</v>
      </c>
      <c r="B19" s="83" t="s">
        <v>105</v>
      </c>
      <c r="C19" s="84" t="s">
        <v>106</v>
      </c>
      <c r="D19" s="83" t="s">
        <v>450</v>
      </c>
      <c r="E19" s="83" t="s">
        <v>35</v>
      </c>
      <c r="F19" s="86"/>
      <c r="G19" s="86"/>
      <c r="H19" s="86"/>
      <c r="I19" s="86"/>
      <c r="J19" s="86"/>
      <c r="K19" s="75">
        <v>4</v>
      </c>
      <c r="L19" s="86"/>
      <c r="M19" s="16">
        <v>3</v>
      </c>
      <c r="N19" s="16">
        <v>2</v>
      </c>
      <c r="O19" s="57"/>
      <c r="P19" s="16">
        <v>3</v>
      </c>
      <c r="Q19" s="43">
        <f t="shared" si="6"/>
        <v>2.6666666666666665</v>
      </c>
      <c r="R19" s="16">
        <v>3</v>
      </c>
      <c r="S19" s="57"/>
      <c r="T19" s="57"/>
      <c r="U19" s="57"/>
      <c r="V19" s="57"/>
      <c r="W19" s="42">
        <f t="shared" si="7"/>
        <v>3</v>
      </c>
      <c r="X19" s="16">
        <v>3</v>
      </c>
      <c r="Y19" s="57"/>
      <c r="Z19" s="57"/>
      <c r="AA19" s="57"/>
      <c r="AB19" s="57"/>
      <c r="AC19" s="42">
        <f t="shared" si="8"/>
        <v>3</v>
      </c>
      <c r="AD19" s="16">
        <v>2</v>
      </c>
      <c r="AE19" s="57"/>
      <c r="AF19" s="57"/>
      <c r="AG19" s="57"/>
      <c r="AH19" s="57"/>
      <c r="AI19" s="42">
        <f t="shared" si="9"/>
        <v>2</v>
      </c>
      <c r="AJ19" s="57"/>
      <c r="AK19" s="16">
        <v>3</v>
      </c>
      <c r="AL19" s="57"/>
      <c r="AM19" s="57"/>
      <c r="AN19" s="57"/>
      <c r="AO19" s="43">
        <f t="shared" si="10"/>
        <v>3</v>
      </c>
      <c r="AP19" s="16">
        <v>2</v>
      </c>
      <c r="AQ19" s="16"/>
      <c r="AR19" s="16"/>
      <c r="AS19" s="16"/>
      <c r="AT19" s="16"/>
      <c r="AU19" s="42">
        <f t="shared" si="11"/>
        <v>2</v>
      </c>
      <c r="AV19" s="16"/>
      <c r="AW19" s="16"/>
      <c r="AX19" s="57"/>
      <c r="AY19" s="16">
        <v>4</v>
      </c>
      <c r="AZ19" s="16"/>
      <c r="BA19" s="43">
        <f t="shared" si="12"/>
        <v>4</v>
      </c>
    </row>
    <row r="20" spans="1:53" ht="23.1" customHeight="1" x14ac:dyDescent="0.3">
      <c r="A20" s="76">
        <v>17</v>
      </c>
      <c r="B20" s="76" t="s">
        <v>295</v>
      </c>
      <c r="C20" s="77" t="s">
        <v>296</v>
      </c>
      <c r="D20" s="76" t="s">
        <v>542</v>
      </c>
      <c r="E20" s="76" t="s">
        <v>493</v>
      </c>
      <c r="F20" s="81"/>
      <c r="G20" s="81"/>
      <c r="H20" s="81"/>
      <c r="I20" s="81"/>
      <c r="J20" s="81"/>
      <c r="K20" s="75">
        <v>4</v>
      </c>
      <c r="L20" s="81"/>
      <c r="M20" s="34">
        <v>5</v>
      </c>
      <c r="N20" s="34">
        <v>5</v>
      </c>
      <c r="O20" s="58"/>
      <c r="P20" s="34">
        <v>5</v>
      </c>
      <c r="Q20" s="43">
        <f t="shared" si="6"/>
        <v>5</v>
      </c>
      <c r="R20" s="34">
        <v>4</v>
      </c>
      <c r="S20" s="58"/>
      <c r="T20" s="58"/>
      <c r="U20" s="58"/>
      <c r="V20" s="58"/>
      <c r="W20" s="42">
        <f t="shared" si="7"/>
        <v>4</v>
      </c>
      <c r="X20" s="34">
        <v>4</v>
      </c>
      <c r="Y20" s="58"/>
      <c r="Z20" s="58"/>
      <c r="AA20" s="58"/>
      <c r="AB20" s="58"/>
      <c r="AC20" s="42">
        <f t="shared" si="8"/>
        <v>4</v>
      </c>
      <c r="AD20" s="34">
        <v>5</v>
      </c>
      <c r="AE20" s="58"/>
      <c r="AF20" s="58"/>
      <c r="AG20" s="58"/>
      <c r="AH20" s="58"/>
      <c r="AI20" s="42">
        <f t="shared" si="9"/>
        <v>5</v>
      </c>
      <c r="AJ20" s="58"/>
      <c r="AK20" s="34">
        <v>4</v>
      </c>
      <c r="AL20" s="58"/>
      <c r="AM20" s="58"/>
      <c r="AN20" s="58"/>
      <c r="AO20" s="43">
        <f t="shared" si="10"/>
        <v>4</v>
      </c>
      <c r="AP20" s="34">
        <v>5</v>
      </c>
      <c r="AQ20" s="34"/>
      <c r="AR20" s="34"/>
      <c r="AS20" s="34"/>
      <c r="AT20" s="34"/>
      <c r="AU20" s="42">
        <f t="shared" si="11"/>
        <v>5</v>
      </c>
      <c r="AV20" s="34"/>
      <c r="AW20" s="34"/>
      <c r="AX20" s="58"/>
      <c r="AY20" s="34">
        <v>5</v>
      </c>
      <c r="AZ20" s="34"/>
      <c r="BA20" s="43">
        <f t="shared" si="12"/>
        <v>5</v>
      </c>
    </row>
    <row r="21" spans="1:53" ht="23.1" customHeight="1" x14ac:dyDescent="0.3">
      <c r="A21" s="83">
        <v>18</v>
      </c>
      <c r="B21" s="83" t="s">
        <v>107</v>
      </c>
      <c r="C21" s="84" t="s">
        <v>108</v>
      </c>
      <c r="D21" s="83" t="s">
        <v>543</v>
      </c>
      <c r="E21" s="83" t="s">
        <v>35</v>
      </c>
      <c r="F21" s="86"/>
      <c r="G21" s="86"/>
      <c r="H21" s="86"/>
      <c r="I21" s="86"/>
      <c r="J21" s="86"/>
      <c r="K21" s="75">
        <v>4</v>
      </c>
      <c r="L21" s="86"/>
      <c r="M21" s="16">
        <v>5</v>
      </c>
      <c r="N21" s="16">
        <v>5</v>
      </c>
      <c r="O21" s="57"/>
      <c r="P21" s="16">
        <v>5</v>
      </c>
      <c r="Q21" s="43">
        <f t="shared" si="6"/>
        <v>5</v>
      </c>
      <c r="R21" s="16">
        <v>5</v>
      </c>
      <c r="S21" s="57"/>
      <c r="T21" s="57"/>
      <c r="U21" s="57"/>
      <c r="V21" s="57"/>
      <c r="W21" s="42">
        <f t="shared" si="7"/>
        <v>5</v>
      </c>
      <c r="X21" s="16">
        <v>5</v>
      </c>
      <c r="Y21" s="57"/>
      <c r="Z21" s="57"/>
      <c r="AA21" s="57"/>
      <c r="AB21" s="57"/>
      <c r="AC21" s="42">
        <f t="shared" si="8"/>
        <v>5</v>
      </c>
      <c r="AD21" s="16">
        <v>5</v>
      </c>
      <c r="AE21" s="57"/>
      <c r="AF21" s="57"/>
      <c r="AG21" s="57"/>
      <c r="AH21" s="57"/>
      <c r="AI21" s="42">
        <f t="shared" si="9"/>
        <v>5</v>
      </c>
      <c r="AJ21" s="57"/>
      <c r="AK21" s="16">
        <v>5</v>
      </c>
      <c r="AL21" s="57"/>
      <c r="AM21" s="57"/>
      <c r="AN21" s="57"/>
      <c r="AO21" s="43">
        <f t="shared" si="10"/>
        <v>5</v>
      </c>
      <c r="AP21" s="16">
        <v>5</v>
      </c>
      <c r="AQ21" s="16"/>
      <c r="AR21" s="16"/>
      <c r="AS21" s="16"/>
      <c r="AT21" s="16"/>
      <c r="AU21" s="42">
        <f t="shared" si="11"/>
        <v>5</v>
      </c>
      <c r="AV21" s="16"/>
      <c r="AW21" s="16"/>
      <c r="AX21" s="57"/>
      <c r="AY21" s="16">
        <v>5</v>
      </c>
      <c r="AZ21" s="16"/>
      <c r="BA21" s="43">
        <f t="shared" si="12"/>
        <v>5</v>
      </c>
    </row>
    <row r="22" spans="1:53" ht="23.1" customHeight="1" x14ac:dyDescent="0.3">
      <c r="A22" s="76">
        <v>19</v>
      </c>
      <c r="B22" s="76" t="s">
        <v>50</v>
      </c>
      <c r="C22" s="77" t="s">
        <v>51</v>
      </c>
      <c r="D22" s="76" t="s">
        <v>542</v>
      </c>
      <c r="E22" s="76" t="s">
        <v>35</v>
      </c>
      <c r="F22" s="81"/>
      <c r="G22" s="81"/>
      <c r="H22" s="81"/>
      <c r="I22" s="81"/>
      <c r="J22" s="81"/>
      <c r="K22" s="75">
        <v>5</v>
      </c>
      <c r="L22" s="81"/>
      <c r="M22" s="34">
        <v>5</v>
      </c>
      <c r="N22" s="34">
        <v>5</v>
      </c>
      <c r="O22" s="58"/>
      <c r="P22" s="34">
        <v>4</v>
      </c>
      <c r="Q22" s="43">
        <f t="shared" si="6"/>
        <v>4.666666666666667</v>
      </c>
      <c r="R22" s="34">
        <v>5</v>
      </c>
      <c r="S22" s="58"/>
      <c r="T22" s="58"/>
      <c r="U22" s="58"/>
      <c r="V22" s="58"/>
      <c r="W22" s="42">
        <f t="shared" si="7"/>
        <v>5</v>
      </c>
      <c r="X22" s="34">
        <v>5</v>
      </c>
      <c r="Y22" s="58"/>
      <c r="Z22" s="58"/>
      <c r="AA22" s="58"/>
      <c r="AB22" s="58"/>
      <c r="AC22" s="42">
        <f t="shared" si="8"/>
        <v>5</v>
      </c>
      <c r="AD22" s="34">
        <v>4</v>
      </c>
      <c r="AE22" s="58"/>
      <c r="AF22" s="58"/>
      <c r="AG22" s="58"/>
      <c r="AH22" s="58"/>
      <c r="AI22" s="42">
        <f t="shared" si="9"/>
        <v>4</v>
      </c>
      <c r="AJ22" s="58"/>
      <c r="AK22" s="34">
        <v>5</v>
      </c>
      <c r="AL22" s="58"/>
      <c r="AM22" s="58"/>
      <c r="AN22" s="58"/>
      <c r="AO22" s="43">
        <f t="shared" si="10"/>
        <v>5</v>
      </c>
      <c r="AP22" s="34">
        <v>4</v>
      </c>
      <c r="AQ22" s="34"/>
      <c r="AR22" s="34"/>
      <c r="AS22" s="34"/>
      <c r="AT22" s="34"/>
      <c r="AU22" s="42">
        <f t="shared" si="11"/>
        <v>4</v>
      </c>
      <c r="AV22" s="34"/>
      <c r="AW22" s="34"/>
      <c r="AX22" s="58"/>
      <c r="AY22" s="34">
        <v>4</v>
      </c>
      <c r="AZ22" s="34"/>
      <c r="BA22" s="43">
        <f t="shared" si="12"/>
        <v>4</v>
      </c>
    </row>
    <row r="23" spans="1:53" ht="23.1" customHeight="1" x14ac:dyDescent="0.3">
      <c r="A23" s="83">
        <v>20</v>
      </c>
      <c r="B23" s="83" t="s">
        <v>196</v>
      </c>
      <c r="C23" s="84" t="s">
        <v>537</v>
      </c>
      <c r="D23" s="83" t="s">
        <v>450</v>
      </c>
      <c r="E23" s="83" t="s">
        <v>161</v>
      </c>
      <c r="F23" s="86"/>
      <c r="G23" s="86"/>
      <c r="H23" s="86"/>
      <c r="I23" s="86"/>
      <c r="J23" s="86"/>
      <c r="K23" s="75">
        <v>4</v>
      </c>
      <c r="L23" s="86"/>
      <c r="M23" s="16">
        <v>5</v>
      </c>
      <c r="N23" s="16">
        <v>5</v>
      </c>
      <c r="O23" s="57"/>
      <c r="P23" s="16">
        <v>4</v>
      </c>
      <c r="Q23" s="43">
        <f t="shared" si="6"/>
        <v>4.666666666666667</v>
      </c>
      <c r="R23" s="16">
        <v>5</v>
      </c>
      <c r="S23" s="57"/>
      <c r="T23" s="57"/>
      <c r="U23" s="57"/>
      <c r="V23" s="57"/>
      <c r="W23" s="42">
        <f t="shared" si="7"/>
        <v>5</v>
      </c>
      <c r="X23" s="16">
        <v>5</v>
      </c>
      <c r="Y23" s="57"/>
      <c r="Z23" s="57"/>
      <c r="AA23" s="57"/>
      <c r="AB23" s="57"/>
      <c r="AC23" s="42">
        <f t="shared" si="8"/>
        <v>5</v>
      </c>
      <c r="AD23" s="16">
        <v>3</v>
      </c>
      <c r="AE23" s="57"/>
      <c r="AF23" s="57"/>
      <c r="AG23" s="57"/>
      <c r="AH23" s="57"/>
      <c r="AI23" s="42">
        <f t="shared" si="9"/>
        <v>3</v>
      </c>
      <c r="AJ23" s="57"/>
      <c r="AK23" s="16">
        <v>5</v>
      </c>
      <c r="AL23" s="57"/>
      <c r="AM23" s="57"/>
      <c r="AN23" s="57"/>
      <c r="AO23" s="43">
        <f t="shared" si="10"/>
        <v>5</v>
      </c>
      <c r="AP23" s="16">
        <v>5</v>
      </c>
      <c r="AQ23" s="16"/>
      <c r="AR23" s="16"/>
      <c r="AS23" s="16"/>
      <c r="AT23" s="16"/>
      <c r="AU23" s="42">
        <f t="shared" si="11"/>
        <v>5</v>
      </c>
      <c r="AV23" s="16"/>
      <c r="AW23" s="16"/>
      <c r="AX23" s="57"/>
      <c r="AY23" s="16">
        <v>5</v>
      </c>
      <c r="AZ23" s="16"/>
      <c r="BA23" s="43">
        <f t="shared" si="12"/>
        <v>5</v>
      </c>
    </row>
    <row r="24" spans="1:53" ht="23.1" customHeight="1" x14ac:dyDescent="0.3">
      <c r="A24" s="76">
        <v>21</v>
      </c>
      <c r="B24" s="76" t="s">
        <v>209</v>
      </c>
      <c r="C24" s="77" t="s">
        <v>210</v>
      </c>
      <c r="D24" s="76" t="s">
        <v>450</v>
      </c>
      <c r="E24" s="76" t="s">
        <v>161</v>
      </c>
      <c r="F24" s="81"/>
      <c r="G24" s="81"/>
      <c r="H24" s="81"/>
      <c r="I24" s="81"/>
      <c r="J24" s="81"/>
      <c r="K24" s="75">
        <v>4</v>
      </c>
      <c r="L24" s="81"/>
      <c r="M24" s="34">
        <v>2</v>
      </c>
      <c r="N24" s="34">
        <v>2</v>
      </c>
      <c r="O24" s="58"/>
      <c r="P24" s="34">
        <v>2</v>
      </c>
      <c r="Q24" s="43">
        <f t="shared" si="6"/>
        <v>2</v>
      </c>
      <c r="R24" s="34">
        <v>3</v>
      </c>
      <c r="S24" s="58"/>
      <c r="T24" s="58"/>
      <c r="U24" s="58"/>
      <c r="V24" s="58"/>
      <c r="W24" s="42">
        <f t="shared" si="7"/>
        <v>3</v>
      </c>
      <c r="X24" s="34">
        <v>3</v>
      </c>
      <c r="Y24" s="58"/>
      <c r="Z24" s="58"/>
      <c r="AA24" s="58"/>
      <c r="AB24" s="58"/>
      <c r="AC24" s="42">
        <f t="shared" si="8"/>
        <v>3</v>
      </c>
      <c r="AD24" s="34">
        <v>0</v>
      </c>
      <c r="AE24" s="58"/>
      <c r="AF24" s="58"/>
      <c r="AG24" s="58"/>
      <c r="AH24" s="58"/>
      <c r="AI24" s="42">
        <f t="shared" si="9"/>
        <v>0</v>
      </c>
      <c r="AJ24" s="58"/>
      <c r="AK24" s="34">
        <v>3</v>
      </c>
      <c r="AL24" s="58"/>
      <c r="AM24" s="58"/>
      <c r="AN24" s="58"/>
      <c r="AO24" s="43">
        <f t="shared" si="10"/>
        <v>3</v>
      </c>
      <c r="AP24" s="34">
        <v>3</v>
      </c>
      <c r="AQ24" s="34"/>
      <c r="AR24" s="34"/>
      <c r="AS24" s="34"/>
      <c r="AT24" s="34"/>
      <c r="AU24" s="42">
        <f t="shared" si="11"/>
        <v>3</v>
      </c>
      <c r="AV24" s="34"/>
      <c r="AW24" s="34"/>
      <c r="AX24" s="58"/>
      <c r="AY24" s="34">
        <v>3</v>
      </c>
      <c r="AZ24" s="34"/>
      <c r="BA24" s="43">
        <f t="shared" si="12"/>
        <v>3</v>
      </c>
    </row>
    <row r="25" spans="1:53" ht="23.1" customHeight="1" x14ac:dyDescent="0.3">
      <c r="A25" s="83">
        <v>22</v>
      </c>
      <c r="B25" s="83" t="s">
        <v>58</v>
      </c>
      <c r="C25" s="84" t="s">
        <v>59</v>
      </c>
      <c r="D25" s="83" t="s">
        <v>450</v>
      </c>
      <c r="E25" s="83" t="s">
        <v>35</v>
      </c>
      <c r="F25" s="86"/>
      <c r="G25" s="86"/>
      <c r="H25" s="86"/>
      <c r="I25" s="86"/>
      <c r="J25" s="86"/>
      <c r="K25" s="75">
        <v>5</v>
      </c>
      <c r="L25" s="86"/>
      <c r="M25" s="16">
        <v>5</v>
      </c>
      <c r="N25" s="16">
        <v>5</v>
      </c>
      <c r="O25" s="57"/>
      <c r="P25" s="16">
        <v>4</v>
      </c>
      <c r="Q25" s="43">
        <f t="shared" si="6"/>
        <v>4.666666666666667</v>
      </c>
      <c r="R25" s="16">
        <v>3</v>
      </c>
      <c r="S25" s="57"/>
      <c r="T25" s="57"/>
      <c r="U25" s="57"/>
      <c r="V25" s="57"/>
      <c r="W25" s="42">
        <f t="shared" si="7"/>
        <v>3</v>
      </c>
      <c r="X25" s="16">
        <v>3</v>
      </c>
      <c r="Y25" s="57"/>
      <c r="Z25" s="57"/>
      <c r="AA25" s="57"/>
      <c r="AB25" s="57"/>
      <c r="AC25" s="42">
        <f t="shared" si="8"/>
        <v>3</v>
      </c>
      <c r="AD25" s="16">
        <v>4</v>
      </c>
      <c r="AE25" s="57"/>
      <c r="AF25" s="57"/>
      <c r="AG25" s="57"/>
      <c r="AH25" s="57"/>
      <c r="AI25" s="42">
        <f t="shared" si="9"/>
        <v>4</v>
      </c>
      <c r="AJ25" s="57"/>
      <c r="AK25" s="16">
        <v>3</v>
      </c>
      <c r="AL25" s="57"/>
      <c r="AM25" s="57"/>
      <c r="AN25" s="57"/>
      <c r="AO25" s="43">
        <f t="shared" si="10"/>
        <v>3</v>
      </c>
      <c r="AP25" s="16">
        <v>4</v>
      </c>
      <c r="AQ25" s="16"/>
      <c r="AR25" s="16"/>
      <c r="AS25" s="16"/>
      <c r="AT25" s="16"/>
      <c r="AU25" s="42">
        <f t="shared" si="11"/>
        <v>4</v>
      </c>
      <c r="AV25" s="16"/>
      <c r="AW25" s="16"/>
      <c r="AX25" s="57"/>
      <c r="AY25" s="16">
        <v>4</v>
      </c>
      <c r="AZ25" s="16"/>
      <c r="BA25" s="43">
        <f t="shared" si="12"/>
        <v>4</v>
      </c>
    </row>
    <row r="26" spans="1:53" ht="23.1" customHeight="1" x14ac:dyDescent="0.3">
      <c r="A26" s="76">
        <v>23</v>
      </c>
      <c r="B26" s="76" t="s">
        <v>225</v>
      </c>
      <c r="C26" s="77" t="s">
        <v>226</v>
      </c>
      <c r="D26" s="76" t="s">
        <v>450</v>
      </c>
      <c r="E26" s="76" t="s">
        <v>161</v>
      </c>
      <c r="F26" s="81"/>
      <c r="G26" s="81"/>
      <c r="H26" s="81"/>
      <c r="I26" s="81"/>
      <c r="J26" s="81"/>
      <c r="K26" s="75">
        <v>3</v>
      </c>
      <c r="L26" s="81"/>
      <c r="M26" s="34">
        <v>5</v>
      </c>
      <c r="N26" s="34">
        <v>5</v>
      </c>
      <c r="O26" s="58"/>
      <c r="P26" s="34">
        <v>5</v>
      </c>
      <c r="Q26" s="43">
        <f t="shared" si="6"/>
        <v>5</v>
      </c>
      <c r="R26" s="34">
        <v>4</v>
      </c>
      <c r="S26" s="58"/>
      <c r="T26" s="58"/>
      <c r="U26" s="58"/>
      <c r="V26" s="58"/>
      <c r="W26" s="42">
        <f t="shared" si="7"/>
        <v>4</v>
      </c>
      <c r="X26" s="34">
        <v>4</v>
      </c>
      <c r="Y26" s="58"/>
      <c r="Z26" s="58"/>
      <c r="AA26" s="58"/>
      <c r="AB26" s="58"/>
      <c r="AC26" s="42">
        <f t="shared" si="8"/>
        <v>4</v>
      </c>
      <c r="AD26" s="34">
        <v>0</v>
      </c>
      <c r="AE26" s="58"/>
      <c r="AF26" s="58"/>
      <c r="AG26" s="58"/>
      <c r="AH26" s="58"/>
      <c r="AI26" s="42">
        <f t="shared" si="9"/>
        <v>0</v>
      </c>
      <c r="AJ26" s="58"/>
      <c r="AK26" s="34">
        <v>4</v>
      </c>
      <c r="AL26" s="58"/>
      <c r="AM26" s="58"/>
      <c r="AN26" s="58"/>
      <c r="AO26" s="43">
        <f t="shared" si="10"/>
        <v>4</v>
      </c>
      <c r="AP26" s="34">
        <v>5</v>
      </c>
      <c r="AQ26" s="34"/>
      <c r="AR26" s="34"/>
      <c r="AS26" s="34"/>
      <c r="AT26" s="34"/>
      <c r="AU26" s="42">
        <f t="shared" si="11"/>
        <v>5</v>
      </c>
      <c r="AV26" s="34"/>
      <c r="AW26" s="34"/>
      <c r="AX26" s="58"/>
      <c r="AY26" s="34">
        <v>4</v>
      </c>
      <c r="AZ26" s="34"/>
      <c r="BA26" s="43">
        <f t="shared" si="12"/>
        <v>4</v>
      </c>
    </row>
    <row r="27" spans="1:53" ht="23.1" customHeight="1" x14ac:dyDescent="0.3">
      <c r="A27" s="83">
        <v>24</v>
      </c>
      <c r="B27" s="83" t="s">
        <v>297</v>
      </c>
      <c r="C27" s="84" t="s">
        <v>109</v>
      </c>
      <c r="D27" s="83" t="s">
        <v>450</v>
      </c>
      <c r="E27" s="83" t="s">
        <v>35</v>
      </c>
      <c r="F27" s="86"/>
      <c r="G27" s="86"/>
      <c r="H27" s="86"/>
      <c r="I27" s="86"/>
      <c r="J27" s="86"/>
      <c r="K27" s="75">
        <v>4</v>
      </c>
      <c r="L27" s="86"/>
      <c r="M27" s="16">
        <v>4</v>
      </c>
      <c r="N27" s="16">
        <v>4</v>
      </c>
      <c r="O27" s="57"/>
      <c r="P27" s="16">
        <v>4</v>
      </c>
      <c r="Q27" s="43">
        <f t="shared" si="6"/>
        <v>4</v>
      </c>
      <c r="R27" s="16">
        <v>4</v>
      </c>
      <c r="S27" s="57"/>
      <c r="T27" s="57"/>
      <c r="U27" s="57"/>
      <c r="V27" s="57"/>
      <c r="W27" s="42">
        <f t="shared" si="7"/>
        <v>4</v>
      </c>
      <c r="X27" s="16">
        <v>4</v>
      </c>
      <c r="Y27" s="57"/>
      <c r="Z27" s="57"/>
      <c r="AA27" s="57"/>
      <c r="AB27" s="57"/>
      <c r="AC27" s="42">
        <f t="shared" si="8"/>
        <v>4</v>
      </c>
      <c r="AD27" s="16">
        <v>4</v>
      </c>
      <c r="AE27" s="57"/>
      <c r="AF27" s="57"/>
      <c r="AG27" s="57"/>
      <c r="AH27" s="57"/>
      <c r="AI27" s="42">
        <f t="shared" si="9"/>
        <v>4</v>
      </c>
      <c r="AJ27" s="57"/>
      <c r="AK27" s="16">
        <v>4</v>
      </c>
      <c r="AL27" s="57"/>
      <c r="AM27" s="57"/>
      <c r="AN27" s="57"/>
      <c r="AO27" s="43">
        <f t="shared" si="10"/>
        <v>4</v>
      </c>
      <c r="AP27" s="16">
        <v>4</v>
      </c>
      <c r="AQ27" s="16"/>
      <c r="AR27" s="16"/>
      <c r="AS27" s="16"/>
      <c r="AT27" s="16"/>
      <c r="AU27" s="42">
        <f t="shared" si="11"/>
        <v>4</v>
      </c>
      <c r="AV27" s="16"/>
      <c r="AW27" s="16"/>
      <c r="AX27" s="57"/>
      <c r="AY27" s="16">
        <v>4</v>
      </c>
      <c r="AZ27" s="16"/>
      <c r="BA27" s="43">
        <f t="shared" si="12"/>
        <v>4</v>
      </c>
    </row>
    <row r="28" spans="1:53" ht="23.1" customHeight="1" x14ac:dyDescent="0.3">
      <c r="A28" s="76">
        <v>25</v>
      </c>
      <c r="B28" s="76" t="s">
        <v>241</v>
      </c>
      <c r="C28" s="77" t="s">
        <v>242</v>
      </c>
      <c r="D28" s="76" t="s">
        <v>450</v>
      </c>
      <c r="E28" s="76" t="s">
        <v>161</v>
      </c>
      <c r="F28" s="81"/>
      <c r="G28" s="81"/>
      <c r="H28" s="81"/>
      <c r="I28" s="81"/>
      <c r="J28" s="81"/>
      <c r="K28" s="75">
        <v>4</v>
      </c>
      <c r="L28" s="81"/>
      <c r="M28" s="34">
        <v>4</v>
      </c>
      <c r="N28" s="34">
        <v>4</v>
      </c>
      <c r="O28" s="58"/>
      <c r="P28" s="34">
        <v>4</v>
      </c>
      <c r="Q28" s="43">
        <f t="shared" si="6"/>
        <v>4</v>
      </c>
      <c r="R28" s="34">
        <v>3</v>
      </c>
      <c r="S28" s="58"/>
      <c r="T28" s="58"/>
      <c r="U28" s="58"/>
      <c r="V28" s="58"/>
      <c r="W28" s="42">
        <f t="shared" si="7"/>
        <v>3</v>
      </c>
      <c r="X28" s="34">
        <v>3</v>
      </c>
      <c r="Y28" s="58"/>
      <c r="Z28" s="58"/>
      <c r="AA28" s="58"/>
      <c r="AB28" s="58"/>
      <c r="AC28" s="42">
        <f t="shared" si="8"/>
        <v>3</v>
      </c>
      <c r="AD28" s="34">
        <v>0</v>
      </c>
      <c r="AE28" s="58"/>
      <c r="AF28" s="58"/>
      <c r="AG28" s="58"/>
      <c r="AH28" s="58"/>
      <c r="AI28" s="42">
        <f t="shared" si="9"/>
        <v>0</v>
      </c>
      <c r="AJ28" s="58"/>
      <c r="AK28" s="34">
        <v>3.5</v>
      </c>
      <c r="AL28" s="58"/>
      <c r="AM28" s="58"/>
      <c r="AN28" s="58"/>
      <c r="AO28" s="43">
        <f t="shared" si="10"/>
        <v>3.5</v>
      </c>
      <c r="AP28" s="34">
        <v>3.5</v>
      </c>
      <c r="AQ28" s="34"/>
      <c r="AR28" s="34"/>
      <c r="AS28" s="34"/>
      <c r="AT28" s="34"/>
      <c r="AU28" s="42">
        <f t="shared" si="11"/>
        <v>3.5</v>
      </c>
      <c r="AV28" s="34"/>
      <c r="AW28" s="34"/>
      <c r="AX28" s="58"/>
      <c r="AY28" s="34">
        <v>3</v>
      </c>
      <c r="AZ28" s="34"/>
      <c r="BA28" s="43">
        <f t="shared" si="12"/>
        <v>3</v>
      </c>
    </row>
    <row r="29" spans="1:53" ht="23.1" customHeight="1" x14ac:dyDescent="0.3">
      <c r="A29" s="83">
        <v>26</v>
      </c>
      <c r="B29" s="83" t="s">
        <v>298</v>
      </c>
      <c r="C29" s="84" t="s">
        <v>299</v>
      </c>
      <c r="D29" s="83" t="s">
        <v>542</v>
      </c>
      <c r="E29" s="83" t="s">
        <v>493</v>
      </c>
      <c r="F29" s="86"/>
      <c r="G29" s="86"/>
      <c r="H29" s="86"/>
      <c r="I29" s="86"/>
      <c r="J29" s="86"/>
      <c r="K29" s="75">
        <v>4</v>
      </c>
      <c r="L29" s="86"/>
      <c r="M29" s="16">
        <v>4</v>
      </c>
      <c r="N29" s="16">
        <v>3</v>
      </c>
      <c r="O29" s="57"/>
      <c r="P29" s="16">
        <v>4</v>
      </c>
      <c r="Q29" s="43">
        <f t="shared" si="6"/>
        <v>3.6666666666666665</v>
      </c>
      <c r="R29" s="16">
        <v>4</v>
      </c>
      <c r="S29" s="57"/>
      <c r="T29" s="57"/>
      <c r="U29" s="57"/>
      <c r="V29" s="57"/>
      <c r="W29" s="42">
        <f t="shared" si="7"/>
        <v>4</v>
      </c>
      <c r="X29" s="16">
        <v>4</v>
      </c>
      <c r="Y29" s="57"/>
      <c r="Z29" s="57"/>
      <c r="AA29" s="57"/>
      <c r="AB29" s="57"/>
      <c r="AC29" s="42">
        <f t="shared" si="8"/>
        <v>4</v>
      </c>
      <c r="AD29" s="16">
        <v>4</v>
      </c>
      <c r="AE29" s="57"/>
      <c r="AF29" s="57"/>
      <c r="AG29" s="57"/>
      <c r="AH29" s="57"/>
      <c r="AI29" s="42">
        <f t="shared" si="9"/>
        <v>4</v>
      </c>
      <c r="AJ29" s="57"/>
      <c r="AK29" s="16">
        <v>3</v>
      </c>
      <c r="AL29" s="57"/>
      <c r="AM29" s="57"/>
      <c r="AN29" s="57"/>
      <c r="AO29" s="43">
        <f t="shared" si="10"/>
        <v>3</v>
      </c>
      <c r="AP29" s="16">
        <v>4</v>
      </c>
      <c r="AQ29" s="16"/>
      <c r="AR29" s="16"/>
      <c r="AS29" s="16"/>
      <c r="AT29" s="16"/>
      <c r="AU29" s="42">
        <f t="shared" si="11"/>
        <v>4</v>
      </c>
      <c r="AV29" s="16"/>
      <c r="AW29" s="16"/>
      <c r="AX29" s="57"/>
      <c r="AY29" s="16">
        <v>5</v>
      </c>
      <c r="AZ29" s="16"/>
      <c r="BA29" s="43">
        <f t="shared" si="12"/>
        <v>5</v>
      </c>
    </row>
    <row r="30" spans="1:53" ht="23.1" customHeight="1" x14ac:dyDescent="0.3">
      <c r="A30" s="76">
        <v>27</v>
      </c>
      <c r="B30" s="76" t="s">
        <v>257</v>
      </c>
      <c r="C30" s="77" t="s">
        <v>258</v>
      </c>
      <c r="D30" s="76" t="s">
        <v>450</v>
      </c>
      <c r="E30" s="76" t="s">
        <v>161</v>
      </c>
      <c r="F30" s="81"/>
      <c r="G30" s="81"/>
      <c r="H30" s="81"/>
      <c r="I30" s="81"/>
      <c r="J30" s="81"/>
      <c r="K30" s="75">
        <v>4</v>
      </c>
      <c r="L30" s="81"/>
      <c r="M30" s="34">
        <v>4</v>
      </c>
      <c r="N30" s="34">
        <v>4</v>
      </c>
      <c r="O30" s="58"/>
      <c r="P30" s="34">
        <v>4</v>
      </c>
      <c r="Q30" s="43">
        <f t="shared" si="6"/>
        <v>4</v>
      </c>
      <c r="R30" s="34">
        <v>4.5</v>
      </c>
      <c r="S30" s="58"/>
      <c r="T30" s="58"/>
      <c r="U30" s="58"/>
      <c r="V30" s="58"/>
      <c r="W30" s="42">
        <f t="shared" si="7"/>
        <v>4.5</v>
      </c>
      <c r="X30" s="34">
        <v>4.5</v>
      </c>
      <c r="Y30" s="58"/>
      <c r="Z30" s="58"/>
      <c r="AA30" s="58"/>
      <c r="AB30" s="58"/>
      <c r="AC30" s="42">
        <f t="shared" si="8"/>
        <v>4.5</v>
      </c>
      <c r="AD30" s="34">
        <v>5</v>
      </c>
      <c r="AE30" s="58"/>
      <c r="AF30" s="58"/>
      <c r="AG30" s="58"/>
      <c r="AH30" s="58"/>
      <c r="AI30" s="42">
        <f t="shared" si="9"/>
        <v>5</v>
      </c>
      <c r="AJ30" s="58"/>
      <c r="AK30" s="34">
        <v>4</v>
      </c>
      <c r="AL30" s="58"/>
      <c r="AM30" s="58"/>
      <c r="AN30" s="58"/>
      <c r="AO30" s="43">
        <f t="shared" si="10"/>
        <v>4</v>
      </c>
      <c r="AP30" s="34">
        <v>4</v>
      </c>
      <c r="AQ30" s="34"/>
      <c r="AR30" s="34"/>
      <c r="AS30" s="34"/>
      <c r="AT30" s="34"/>
      <c r="AU30" s="42">
        <f t="shared" si="11"/>
        <v>4</v>
      </c>
      <c r="AV30" s="34"/>
      <c r="AW30" s="34"/>
      <c r="AX30" s="58"/>
      <c r="AY30" s="34">
        <v>4</v>
      </c>
      <c r="AZ30" s="34"/>
      <c r="BA30" s="43">
        <f t="shared" si="12"/>
        <v>4</v>
      </c>
    </row>
    <row r="31" spans="1:53" ht="23.1" customHeight="1" x14ac:dyDescent="0.3">
      <c r="A31" s="83">
        <v>28</v>
      </c>
      <c r="B31" s="83" t="s">
        <v>66</v>
      </c>
      <c r="C31" s="84" t="s">
        <v>67</v>
      </c>
      <c r="D31" s="83" t="s">
        <v>450</v>
      </c>
      <c r="E31" s="83" t="s">
        <v>35</v>
      </c>
      <c r="F31" s="86"/>
      <c r="G31" s="86"/>
      <c r="H31" s="86"/>
      <c r="I31" s="86"/>
      <c r="J31" s="86"/>
      <c r="K31" s="75">
        <v>5</v>
      </c>
      <c r="L31" s="86"/>
      <c r="M31" s="16">
        <v>3</v>
      </c>
      <c r="N31" s="16">
        <v>3</v>
      </c>
      <c r="O31" s="57"/>
      <c r="P31" s="16">
        <v>3</v>
      </c>
      <c r="Q31" s="43">
        <f t="shared" si="6"/>
        <v>3</v>
      </c>
      <c r="R31" s="16">
        <v>4</v>
      </c>
      <c r="S31" s="57"/>
      <c r="T31" s="57"/>
      <c r="U31" s="57"/>
      <c r="V31" s="57"/>
      <c r="W31" s="42">
        <f t="shared" si="7"/>
        <v>4</v>
      </c>
      <c r="X31" s="16">
        <v>4</v>
      </c>
      <c r="Y31" s="57"/>
      <c r="Z31" s="57"/>
      <c r="AA31" s="57"/>
      <c r="AB31" s="57"/>
      <c r="AC31" s="42">
        <f t="shared" si="8"/>
        <v>4</v>
      </c>
      <c r="AD31" s="16">
        <v>4</v>
      </c>
      <c r="AE31" s="57"/>
      <c r="AF31" s="57"/>
      <c r="AG31" s="57"/>
      <c r="AH31" s="57"/>
      <c r="AI31" s="42">
        <f t="shared" si="9"/>
        <v>4</v>
      </c>
      <c r="AJ31" s="57"/>
      <c r="AK31" s="16">
        <v>4</v>
      </c>
      <c r="AL31" s="57"/>
      <c r="AM31" s="57"/>
      <c r="AN31" s="57"/>
      <c r="AO31" s="43">
        <f t="shared" si="10"/>
        <v>4</v>
      </c>
      <c r="AP31" s="16">
        <v>4</v>
      </c>
      <c r="AQ31" s="16"/>
      <c r="AR31" s="16"/>
      <c r="AS31" s="16"/>
      <c r="AT31" s="16"/>
      <c r="AU31" s="42">
        <f t="shared" si="11"/>
        <v>4</v>
      </c>
      <c r="AV31" s="16"/>
      <c r="AW31" s="16"/>
      <c r="AX31" s="57"/>
      <c r="AY31" s="16">
        <v>4</v>
      </c>
      <c r="AZ31" s="16"/>
      <c r="BA31" s="43">
        <f t="shared" si="12"/>
        <v>4</v>
      </c>
    </row>
    <row r="32" spans="1:53" ht="23.1" customHeight="1" x14ac:dyDescent="0.3">
      <c r="A32" s="76">
        <v>29</v>
      </c>
      <c r="B32" s="76" t="s">
        <v>300</v>
      </c>
      <c r="C32" s="77" t="s">
        <v>301</v>
      </c>
      <c r="D32" s="76" t="s">
        <v>450</v>
      </c>
      <c r="E32" s="76" t="s">
        <v>493</v>
      </c>
      <c r="F32" s="81"/>
      <c r="G32" s="81"/>
      <c r="H32" s="81"/>
      <c r="I32" s="81"/>
      <c r="J32" s="81"/>
      <c r="K32" s="75">
        <v>2</v>
      </c>
      <c r="L32" s="81"/>
      <c r="M32" s="34">
        <v>2</v>
      </c>
      <c r="N32" s="34">
        <v>3</v>
      </c>
      <c r="O32" s="58"/>
      <c r="P32" s="34">
        <v>2</v>
      </c>
      <c r="Q32" s="43">
        <f t="shared" si="6"/>
        <v>2.3333333333333335</v>
      </c>
      <c r="R32" s="34">
        <v>4</v>
      </c>
      <c r="S32" s="58"/>
      <c r="T32" s="58"/>
      <c r="U32" s="58"/>
      <c r="V32" s="58"/>
      <c r="W32" s="42">
        <f t="shared" si="7"/>
        <v>4</v>
      </c>
      <c r="X32" s="34">
        <v>4</v>
      </c>
      <c r="Y32" s="58"/>
      <c r="Z32" s="58"/>
      <c r="AA32" s="58"/>
      <c r="AB32" s="58"/>
      <c r="AC32" s="42">
        <f t="shared" si="8"/>
        <v>4</v>
      </c>
      <c r="AD32" s="34">
        <v>3</v>
      </c>
      <c r="AE32" s="58"/>
      <c r="AF32" s="58"/>
      <c r="AG32" s="58"/>
      <c r="AH32" s="58"/>
      <c r="AI32" s="42">
        <f t="shared" si="9"/>
        <v>3</v>
      </c>
      <c r="AJ32" s="58"/>
      <c r="AK32" s="34">
        <v>3</v>
      </c>
      <c r="AL32" s="58"/>
      <c r="AM32" s="58"/>
      <c r="AN32" s="58"/>
      <c r="AO32" s="43">
        <f t="shared" si="10"/>
        <v>3</v>
      </c>
      <c r="AP32" s="34">
        <v>3</v>
      </c>
      <c r="AQ32" s="34"/>
      <c r="AR32" s="34"/>
      <c r="AS32" s="34"/>
      <c r="AT32" s="34"/>
      <c r="AU32" s="42">
        <f t="shared" si="11"/>
        <v>3</v>
      </c>
      <c r="AV32" s="34"/>
      <c r="AW32" s="34"/>
      <c r="AX32" s="58"/>
      <c r="AY32" s="34">
        <v>4</v>
      </c>
      <c r="AZ32" s="34"/>
      <c r="BA32" s="43">
        <f t="shared" si="12"/>
        <v>4</v>
      </c>
    </row>
    <row r="33" spans="1:53" ht="23.1" customHeight="1" x14ac:dyDescent="0.3">
      <c r="A33" s="83">
        <v>30</v>
      </c>
      <c r="B33" s="83" t="s">
        <v>40</v>
      </c>
      <c r="C33" s="84" t="s">
        <v>41</v>
      </c>
      <c r="D33" s="83" t="s">
        <v>450</v>
      </c>
      <c r="E33" s="83" t="s">
        <v>35</v>
      </c>
      <c r="F33" s="86"/>
      <c r="G33" s="86"/>
      <c r="H33" s="86"/>
      <c r="I33" s="86"/>
      <c r="J33" s="86"/>
      <c r="K33" s="75">
        <v>4</v>
      </c>
      <c r="L33" s="86"/>
      <c r="M33" s="16">
        <v>3</v>
      </c>
      <c r="N33" s="16">
        <v>3</v>
      </c>
      <c r="O33" s="57"/>
      <c r="P33" s="16">
        <v>3</v>
      </c>
      <c r="Q33" s="43">
        <f t="shared" si="6"/>
        <v>3</v>
      </c>
      <c r="R33" s="16">
        <v>3</v>
      </c>
      <c r="S33" s="57"/>
      <c r="T33" s="57"/>
      <c r="U33" s="57"/>
      <c r="V33" s="57"/>
      <c r="W33" s="42">
        <f t="shared" si="7"/>
        <v>3</v>
      </c>
      <c r="X33" s="16">
        <v>3</v>
      </c>
      <c r="Y33" s="57"/>
      <c r="Z33" s="57"/>
      <c r="AA33" s="57"/>
      <c r="AB33" s="57"/>
      <c r="AC33" s="42">
        <f t="shared" si="8"/>
        <v>3</v>
      </c>
      <c r="AD33" s="16">
        <v>3</v>
      </c>
      <c r="AE33" s="57"/>
      <c r="AF33" s="57"/>
      <c r="AG33" s="57"/>
      <c r="AH33" s="57"/>
      <c r="AI33" s="42">
        <f t="shared" si="9"/>
        <v>3</v>
      </c>
      <c r="AJ33" s="57"/>
      <c r="AK33" s="16">
        <v>3</v>
      </c>
      <c r="AL33" s="57"/>
      <c r="AM33" s="57"/>
      <c r="AN33" s="57"/>
      <c r="AO33" s="43">
        <f t="shared" si="10"/>
        <v>3</v>
      </c>
      <c r="AP33" s="16">
        <v>3</v>
      </c>
      <c r="AQ33" s="16"/>
      <c r="AR33" s="16"/>
      <c r="AS33" s="16"/>
      <c r="AT33" s="16"/>
      <c r="AU33" s="42">
        <f t="shared" si="11"/>
        <v>3</v>
      </c>
      <c r="AV33" s="16"/>
      <c r="AW33" s="16"/>
      <c r="AX33" s="57"/>
      <c r="AY33" s="16">
        <v>3</v>
      </c>
      <c r="AZ33" s="16"/>
      <c r="BA33" s="43">
        <f t="shared" si="12"/>
        <v>3</v>
      </c>
    </row>
    <row r="34" spans="1:53" ht="23.1" customHeight="1" x14ac:dyDescent="0.3">
      <c r="A34" s="76">
        <v>31</v>
      </c>
      <c r="B34" s="76" t="s">
        <v>110</v>
      </c>
      <c r="C34" s="77" t="s">
        <v>111</v>
      </c>
      <c r="D34" s="76" t="s">
        <v>450</v>
      </c>
      <c r="E34" s="76" t="s">
        <v>35</v>
      </c>
      <c r="F34" s="81"/>
      <c r="G34" s="81"/>
      <c r="H34" s="81"/>
      <c r="I34" s="81"/>
      <c r="J34" s="81"/>
      <c r="K34" s="75">
        <v>4</v>
      </c>
      <c r="L34" s="81"/>
      <c r="M34" s="34">
        <v>2</v>
      </c>
      <c r="N34" s="34">
        <v>2</v>
      </c>
      <c r="O34" s="58"/>
      <c r="P34" s="34">
        <v>2</v>
      </c>
      <c r="Q34" s="43">
        <f t="shared" si="6"/>
        <v>2</v>
      </c>
      <c r="R34" s="34">
        <v>3</v>
      </c>
      <c r="S34" s="58"/>
      <c r="T34" s="58"/>
      <c r="U34" s="58"/>
      <c r="V34" s="58"/>
      <c r="W34" s="42">
        <f t="shared" si="7"/>
        <v>3</v>
      </c>
      <c r="X34" s="34">
        <v>3</v>
      </c>
      <c r="Y34" s="58"/>
      <c r="Z34" s="58"/>
      <c r="AA34" s="58"/>
      <c r="AB34" s="58"/>
      <c r="AC34" s="42">
        <f t="shared" si="8"/>
        <v>3</v>
      </c>
      <c r="AD34" s="34">
        <v>3</v>
      </c>
      <c r="AE34" s="58"/>
      <c r="AF34" s="58"/>
      <c r="AG34" s="58"/>
      <c r="AH34" s="58"/>
      <c r="AI34" s="42">
        <f t="shared" si="9"/>
        <v>3</v>
      </c>
      <c r="AJ34" s="58"/>
      <c r="AK34" s="34">
        <v>2</v>
      </c>
      <c r="AL34" s="58"/>
      <c r="AM34" s="58"/>
      <c r="AN34" s="58"/>
      <c r="AO34" s="43">
        <f t="shared" si="10"/>
        <v>2</v>
      </c>
      <c r="AP34" s="34">
        <v>4</v>
      </c>
      <c r="AQ34" s="34"/>
      <c r="AR34" s="34"/>
      <c r="AS34" s="34"/>
      <c r="AT34" s="34"/>
      <c r="AU34" s="42">
        <f t="shared" si="11"/>
        <v>4</v>
      </c>
      <c r="AV34" s="34"/>
      <c r="AW34" s="34"/>
      <c r="AX34" s="58"/>
      <c r="AY34" s="34">
        <v>4</v>
      </c>
      <c r="AZ34" s="34"/>
      <c r="BA34" s="43">
        <f t="shared" si="12"/>
        <v>4</v>
      </c>
    </row>
    <row r="35" spans="1:53" ht="23.1" customHeight="1" x14ac:dyDescent="0.3">
      <c r="A35" s="83">
        <v>32</v>
      </c>
      <c r="B35" s="83" t="s">
        <v>243</v>
      </c>
      <c r="C35" s="84" t="s">
        <v>244</v>
      </c>
      <c r="D35" s="83" t="s">
        <v>542</v>
      </c>
      <c r="E35" s="83" t="s">
        <v>161</v>
      </c>
      <c r="F35" s="86"/>
      <c r="G35" s="86"/>
      <c r="H35" s="86"/>
      <c r="I35" s="86"/>
      <c r="J35" s="86"/>
      <c r="K35" s="75">
        <v>4</v>
      </c>
      <c r="L35" s="86"/>
      <c r="M35" s="16">
        <v>5</v>
      </c>
      <c r="N35" s="16">
        <v>5</v>
      </c>
      <c r="O35" s="57"/>
      <c r="P35" s="16">
        <v>5</v>
      </c>
      <c r="Q35" s="43">
        <f t="shared" si="6"/>
        <v>5</v>
      </c>
      <c r="R35" s="16">
        <v>4</v>
      </c>
      <c r="S35" s="57"/>
      <c r="T35" s="57"/>
      <c r="U35" s="57"/>
      <c r="V35" s="57"/>
      <c r="W35" s="42">
        <f t="shared" si="7"/>
        <v>4</v>
      </c>
      <c r="X35" s="16">
        <v>4</v>
      </c>
      <c r="Y35" s="57"/>
      <c r="Z35" s="57"/>
      <c r="AA35" s="57"/>
      <c r="AB35" s="57"/>
      <c r="AC35" s="42">
        <f t="shared" si="8"/>
        <v>4</v>
      </c>
      <c r="AD35" s="16">
        <v>3</v>
      </c>
      <c r="AE35" s="57"/>
      <c r="AF35" s="57"/>
      <c r="AG35" s="57"/>
      <c r="AH35" s="57"/>
      <c r="AI35" s="42">
        <f t="shared" si="9"/>
        <v>3</v>
      </c>
      <c r="AJ35" s="57"/>
      <c r="AK35" s="16">
        <v>5</v>
      </c>
      <c r="AL35" s="57"/>
      <c r="AM35" s="57"/>
      <c r="AN35" s="57"/>
      <c r="AO35" s="43">
        <f t="shared" si="10"/>
        <v>5</v>
      </c>
      <c r="AP35" s="16">
        <v>5</v>
      </c>
      <c r="AQ35" s="16"/>
      <c r="AR35" s="16"/>
      <c r="AS35" s="16"/>
      <c r="AT35" s="16"/>
      <c r="AU35" s="42">
        <f t="shared" si="11"/>
        <v>5</v>
      </c>
      <c r="AV35" s="16"/>
      <c r="AW35" s="16"/>
      <c r="AX35" s="57"/>
      <c r="AY35" s="16">
        <v>4</v>
      </c>
      <c r="AZ35" s="16"/>
      <c r="BA35" s="43">
        <f t="shared" si="12"/>
        <v>4</v>
      </c>
    </row>
    <row r="36" spans="1:53" ht="23.1" customHeight="1" x14ac:dyDescent="0.3">
      <c r="A36" s="76">
        <v>33</v>
      </c>
      <c r="B36" s="76" t="s">
        <v>211</v>
      </c>
      <c r="C36" s="77" t="s">
        <v>212</v>
      </c>
      <c r="D36" s="76" t="s">
        <v>542</v>
      </c>
      <c r="E36" s="76" t="s">
        <v>161</v>
      </c>
      <c r="F36" s="81"/>
      <c r="G36" s="81"/>
      <c r="H36" s="81"/>
      <c r="I36" s="81"/>
      <c r="J36" s="81"/>
      <c r="K36" s="75">
        <v>4</v>
      </c>
      <c r="L36" s="81"/>
      <c r="M36" s="34">
        <v>4</v>
      </c>
      <c r="N36" s="34">
        <v>3.5</v>
      </c>
      <c r="O36" s="58"/>
      <c r="P36" s="34">
        <v>3.5</v>
      </c>
      <c r="Q36" s="43">
        <f t="shared" si="6"/>
        <v>3.6666666666666665</v>
      </c>
      <c r="R36" s="34">
        <v>3.5</v>
      </c>
      <c r="S36" s="58"/>
      <c r="T36" s="58"/>
      <c r="U36" s="58"/>
      <c r="V36" s="58"/>
      <c r="W36" s="42">
        <f t="shared" si="7"/>
        <v>3.5</v>
      </c>
      <c r="X36" s="34">
        <v>3.5</v>
      </c>
      <c r="Y36" s="58"/>
      <c r="Z36" s="58"/>
      <c r="AA36" s="58"/>
      <c r="AB36" s="58"/>
      <c r="AC36" s="42">
        <f t="shared" si="8"/>
        <v>3.5</v>
      </c>
      <c r="AD36" s="34">
        <v>5</v>
      </c>
      <c r="AE36" s="58"/>
      <c r="AF36" s="58"/>
      <c r="AG36" s="58"/>
      <c r="AH36" s="58"/>
      <c r="AI36" s="42">
        <f t="shared" si="9"/>
        <v>5</v>
      </c>
      <c r="AJ36" s="58"/>
      <c r="AK36" s="34">
        <v>3</v>
      </c>
      <c r="AL36" s="58"/>
      <c r="AM36" s="58"/>
      <c r="AN36" s="58"/>
      <c r="AO36" s="43">
        <f t="shared" si="10"/>
        <v>3</v>
      </c>
      <c r="AP36" s="34">
        <v>3</v>
      </c>
      <c r="AQ36" s="34"/>
      <c r="AR36" s="34"/>
      <c r="AS36" s="34"/>
      <c r="AT36" s="34"/>
      <c r="AU36" s="42">
        <f t="shared" si="11"/>
        <v>3</v>
      </c>
      <c r="AV36" s="34"/>
      <c r="AW36" s="34"/>
      <c r="AX36" s="58"/>
      <c r="AY36" s="34">
        <v>3.5</v>
      </c>
      <c r="AZ36" s="34"/>
      <c r="BA36" s="43">
        <f t="shared" si="12"/>
        <v>3.5</v>
      </c>
    </row>
    <row r="37" spans="1:53" ht="23.1" customHeight="1" x14ac:dyDescent="0.3">
      <c r="A37" s="83">
        <v>34</v>
      </c>
      <c r="B37" s="83" t="s">
        <v>95</v>
      </c>
      <c r="C37" s="84" t="s">
        <v>96</v>
      </c>
      <c r="D37" s="83" t="s">
        <v>542</v>
      </c>
      <c r="E37" s="83" t="s">
        <v>35</v>
      </c>
      <c r="F37" s="86"/>
      <c r="G37" s="86"/>
      <c r="H37" s="86"/>
      <c r="I37" s="86"/>
      <c r="J37" s="86"/>
      <c r="K37" s="75">
        <v>4</v>
      </c>
      <c r="L37" s="86"/>
      <c r="M37" s="16">
        <v>5</v>
      </c>
      <c r="N37" s="16">
        <v>5</v>
      </c>
      <c r="O37" s="57"/>
      <c r="P37" s="16">
        <v>5</v>
      </c>
      <c r="Q37" s="43">
        <f t="shared" si="6"/>
        <v>5</v>
      </c>
      <c r="R37" s="16">
        <v>5</v>
      </c>
      <c r="S37" s="57"/>
      <c r="T37" s="57"/>
      <c r="U37" s="57"/>
      <c r="V37" s="57"/>
      <c r="W37" s="42">
        <f t="shared" si="7"/>
        <v>5</v>
      </c>
      <c r="X37" s="16">
        <v>5</v>
      </c>
      <c r="Y37" s="57"/>
      <c r="Z37" s="57"/>
      <c r="AA37" s="57"/>
      <c r="AB37" s="57"/>
      <c r="AC37" s="42">
        <f t="shared" si="8"/>
        <v>5</v>
      </c>
      <c r="AD37" s="16">
        <v>5</v>
      </c>
      <c r="AE37" s="57"/>
      <c r="AF37" s="57"/>
      <c r="AG37" s="57"/>
      <c r="AH37" s="57"/>
      <c r="AI37" s="42">
        <f t="shared" si="9"/>
        <v>5</v>
      </c>
      <c r="AJ37" s="57"/>
      <c r="AK37" s="16">
        <v>5</v>
      </c>
      <c r="AL37" s="57"/>
      <c r="AM37" s="57"/>
      <c r="AN37" s="57"/>
      <c r="AO37" s="43">
        <f t="shared" si="10"/>
        <v>5</v>
      </c>
      <c r="AP37" s="16">
        <v>5</v>
      </c>
      <c r="AQ37" s="16"/>
      <c r="AR37" s="16"/>
      <c r="AS37" s="16"/>
      <c r="AT37" s="16"/>
      <c r="AU37" s="42">
        <f t="shared" si="11"/>
        <v>5</v>
      </c>
      <c r="AV37" s="16"/>
      <c r="AW37" s="16"/>
      <c r="AX37" s="57"/>
      <c r="AY37" s="16">
        <v>5</v>
      </c>
      <c r="AZ37" s="16"/>
      <c r="BA37" s="43">
        <f t="shared" si="12"/>
        <v>5</v>
      </c>
    </row>
    <row r="38" spans="1:53" ht="23.1" customHeight="1" x14ac:dyDescent="0.3">
      <c r="A38" s="76">
        <v>35</v>
      </c>
      <c r="B38" s="76" t="s">
        <v>273</v>
      </c>
      <c r="C38" s="77" t="s">
        <v>274</v>
      </c>
      <c r="D38" s="76" t="s">
        <v>450</v>
      </c>
      <c r="E38" s="76" t="s">
        <v>161</v>
      </c>
      <c r="F38" s="81"/>
      <c r="G38" s="81"/>
      <c r="H38" s="81"/>
      <c r="I38" s="81"/>
      <c r="J38" s="81"/>
      <c r="K38" s="75">
        <v>4</v>
      </c>
      <c r="L38" s="81"/>
      <c r="M38" s="34">
        <v>4</v>
      </c>
      <c r="N38" s="34">
        <v>4</v>
      </c>
      <c r="O38" s="58"/>
      <c r="P38" s="34">
        <v>1</v>
      </c>
      <c r="Q38" s="43">
        <f t="shared" si="6"/>
        <v>3</v>
      </c>
      <c r="R38" s="34">
        <v>2</v>
      </c>
      <c r="S38" s="58"/>
      <c r="T38" s="58"/>
      <c r="U38" s="58"/>
      <c r="V38" s="58"/>
      <c r="W38" s="42">
        <f t="shared" si="7"/>
        <v>2</v>
      </c>
      <c r="X38" s="34">
        <v>2</v>
      </c>
      <c r="Y38" s="58"/>
      <c r="Z38" s="58"/>
      <c r="AA38" s="58"/>
      <c r="AB38" s="58"/>
      <c r="AC38" s="42">
        <f t="shared" si="8"/>
        <v>2</v>
      </c>
      <c r="AD38" s="34">
        <v>4</v>
      </c>
      <c r="AE38" s="58"/>
      <c r="AF38" s="58"/>
      <c r="AG38" s="58"/>
      <c r="AH38" s="58"/>
      <c r="AI38" s="42">
        <f t="shared" si="9"/>
        <v>4</v>
      </c>
      <c r="AJ38" s="58"/>
      <c r="AK38" s="34">
        <v>1</v>
      </c>
      <c r="AL38" s="58"/>
      <c r="AM38" s="58"/>
      <c r="AN38" s="58"/>
      <c r="AO38" s="43">
        <f t="shared" si="10"/>
        <v>1</v>
      </c>
      <c r="AP38" s="34">
        <v>1</v>
      </c>
      <c r="AQ38" s="34"/>
      <c r="AR38" s="34"/>
      <c r="AS38" s="34"/>
      <c r="AT38" s="34"/>
      <c r="AU38" s="42">
        <f t="shared" si="11"/>
        <v>1</v>
      </c>
      <c r="AV38" s="34"/>
      <c r="AW38" s="34"/>
      <c r="AX38" s="58"/>
      <c r="AY38" s="34">
        <v>3</v>
      </c>
      <c r="AZ38" s="34"/>
      <c r="BA38" s="43">
        <f t="shared" si="12"/>
        <v>3</v>
      </c>
    </row>
    <row r="39" spans="1:53" ht="23.1" customHeight="1" x14ac:dyDescent="0.3">
      <c r="A39" s="83">
        <v>36</v>
      </c>
      <c r="B39" s="83" t="s">
        <v>112</v>
      </c>
      <c r="C39" s="84" t="s">
        <v>113</v>
      </c>
      <c r="D39" s="83" t="s">
        <v>450</v>
      </c>
      <c r="E39" s="83" t="s">
        <v>35</v>
      </c>
      <c r="F39" s="86"/>
      <c r="G39" s="86"/>
      <c r="H39" s="86"/>
      <c r="I39" s="86"/>
      <c r="J39" s="86"/>
      <c r="K39" s="75">
        <v>2</v>
      </c>
      <c r="L39" s="86"/>
      <c r="M39" s="16">
        <v>3</v>
      </c>
      <c r="N39" s="16">
        <v>3</v>
      </c>
      <c r="O39" s="57"/>
      <c r="P39" s="16">
        <v>3</v>
      </c>
      <c r="Q39" s="43">
        <f t="shared" si="6"/>
        <v>3</v>
      </c>
      <c r="R39" s="16">
        <v>3</v>
      </c>
      <c r="S39" s="57"/>
      <c r="T39" s="57"/>
      <c r="U39" s="57"/>
      <c r="V39" s="57"/>
      <c r="W39" s="42">
        <f t="shared" si="7"/>
        <v>3</v>
      </c>
      <c r="X39" s="16">
        <v>3</v>
      </c>
      <c r="Y39" s="57"/>
      <c r="Z39" s="57"/>
      <c r="AA39" s="57"/>
      <c r="AB39" s="57"/>
      <c r="AC39" s="42">
        <f t="shared" si="8"/>
        <v>3</v>
      </c>
      <c r="AD39" s="16">
        <v>3</v>
      </c>
      <c r="AE39" s="57"/>
      <c r="AF39" s="57"/>
      <c r="AG39" s="57"/>
      <c r="AH39" s="57"/>
      <c r="AI39" s="42">
        <f t="shared" si="9"/>
        <v>3</v>
      </c>
      <c r="AJ39" s="57"/>
      <c r="AK39" s="16">
        <v>3</v>
      </c>
      <c r="AL39" s="57"/>
      <c r="AM39" s="57"/>
      <c r="AN39" s="57"/>
      <c r="AO39" s="43">
        <f t="shared" si="10"/>
        <v>3</v>
      </c>
      <c r="AP39" s="16">
        <v>3</v>
      </c>
      <c r="AQ39" s="16"/>
      <c r="AR39" s="16"/>
      <c r="AS39" s="16"/>
      <c r="AT39" s="16"/>
      <c r="AU39" s="42">
        <f t="shared" si="11"/>
        <v>3</v>
      </c>
      <c r="AV39" s="16"/>
      <c r="AW39" s="16"/>
      <c r="AX39" s="57"/>
      <c r="AY39" s="16">
        <v>3</v>
      </c>
      <c r="AZ39" s="16"/>
      <c r="BA39" s="43">
        <f t="shared" si="12"/>
        <v>3</v>
      </c>
    </row>
    <row r="40" spans="1:53" ht="23.1" customHeight="1" x14ac:dyDescent="0.3">
      <c r="A40" s="76">
        <v>37</v>
      </c>
      <c r="B40" s="76" t="s">
        <v>302</v>
      </c>
      <c r="C40" s="77" t="s">
        <v>303</v>
      </c>
      <c r="D40" s="76" t="s">
        <v>450</v>
      </c>
      <c r="E40" s="76" t="s">
        <v>493</v>
      </c>
      <c r="F40" s="81"/>
      <c r="G40" s="81"/>
      <c r="H40" s="81"/>
      <c r="I40" s="81"/>
      <c r="J40" s="81"/>
      <c r="K40" s="75">
        <v>4</v>
      </c>
      <c r="L40" s="81"/>
      <c r="M40" s="34">
        <v>4</v>
      </c>
      <c r="N40" s="34">
        <v>4</v>
      </c>
      <c r="O40" s="58"/>
      <c r="P40" s="34">
        <v>4</v>
      </c>
      <c r="Q40" s="43">
        <f t="shared" si="6"/>
        <v>4</v>
      </c>
      <c r="R40" s="34">
        <v>4</v>
      </c>
      <c r="S40" s="58"/>
      <c r="T40" s="58"/>
      <c r="U40" s="58"/>
      <c r="V40" s="58"/>
      <c r="W40" s="42">
        <f t="shared" si="7"/>
        <v>4</v>
      </c>
      <c r="X40" s="34">
        <v>4</v>
      </c>
      <c r="Y40" s="58"/>
      <c r="Z40" s="58"/>
      <c r="AA40" s="58"/>
      <c r="AB40" s="58"/>
      <c r="AC40" s="42">
        <f t="shared" si="8"/>
        <v>4</v>
      </c>
      <c r="AD40" s="34">
        <v>4</v>
      </c>
      <c r="AE40" s="58"/>
      <c r="AF40" s="58"/>
      <c r="AG40" s="58"/>
      <c r="AH40" s="58"/>
      <c r="AI40" s="42">
        <f t="shared" si="9"/>
        <v>4</v>
      </c>
      <c r="AJ40" s="58"/>
      <c r="AK40" s="34">
        <v>4</v>
      </c>
      <c r="AL40" s="58"/>
      <c r="AM40" s="58"/>
      <c r="AN40" s="58"/>
      <c r="AO40" s="43">
        <f t="shared" si="10"/>
        <v>4</v>
      </c>
      <c r="AP40" s="34">
        <v>4</v>
      </c>
      <c r="AQ40" s="34"/>
      <c r="AR40" s="34"/>
      <c r="AS40" s="34"/>
      <c r="AT40" s="34"/>
      <c r="AU40" s="42">
        <f t="shared" si="11"/>
        <v>4</v>
      </c>
      <c r="AV40" s="34"/>
      <c r="AW40" s="34"/>
      <c r="AX40" s="58"/>
      <c r="AY40" s="34">
        <v>4</v>
      </c>
      <c r="AZ40" s="34"/>
      <c r="BA40" s="43">
        <f t="shared" si="12"/>
        <v>4</v>
      </c>
    </row>
    <row r="41" spans="1:53" ht="23.1" customHeight="1" x14ac:dyDescent="0.3">
      <c r="A41" s="83">
        <v>38</v>
      </c>
      <c r="B41" s="83" t="s">
        <v>227</v>
      </c>
      <c r="C41" s="84" t="s">
        <v>228</v>
      </c>
      <c r="D41" s="83" t="s">
        <v>542</v>
      </c>
      <c r="E41" s="83" t="s">
        <v>161</v>
      </c>
      <c r="F41" s="86"/>
      <c r="G41" s="86"/>
      <c r="H41" s="86"/>
      <c r="I41" s="86"/>
      <c r="J41" s="86"/>
      <c r="K41" s="75">
        <v>4</v>
      </c>
      <c r="L41" s="86"/>
      <c r="M41" s="16">
        <v>5</v>
      </c>
      <c r="N41" s="16">
        <v>5</v>
      </c>
      <c r="O41" s="57"/>
      <c r="P41" s="16">
        <v>5</v>
      </c>
      <c r="Q41" s="43">
        <f t="shared" si="6"/>
        <v>5</v>
      </c>
      <c r="R41" s="16">
        <v>5</v>
      </c>
      <c r="S41" s="57"/>
      <c r="T41" s="57"/>
      <c r="U41" s="57"/>
      <c r="V41" s="57"/>
      <c r="W41" s="42">
        <f t="shared" si="7"/>
        <v>5</v>
      </c>
      <c r="X41" s="16">
        <v>5</v>
      </c>
      <c r="Y41" s="57"/>
      <c r="Z41" s="57"/>
      <c r="AA41" s="57"/>
      <c r="AB41" s="57"/>
      <c r="AC41" s="42">
        <f t="shared" si="8"/>
        <v>5</v>
      </c>
      <c r="AD41" s="16">
        <v>0</v>
      </c>
      <c r="AE41" s="57"/>
      <c r="AF41" s="57"/>
      <c r="AG41" s="57"/>
      <c r="AH41" s="57"/>
      <c r="AI41" s="42">
        <f t="shared" si="9"/>
        <v>0</v>
      </c>
      <c r="AJ41" s="57"/>
      <c r="AK41" s="16">
        <v>4</v>
      </c>
      <c r="AL41" s="57"/>
      <c r="AM41" s="57"/>
      <c r="AN41" s="57"/>
      <c r="AO41" s="43">
        <f t="shared" si="10"/>
        <v>4</v>
      </c>
      <c r="AP41" s="16">
        <v>5</v>
      </c>
      <c r="AQ41" s="16"/>
      <c r="AR41" s="16"/>
      <c r="AS41" s="16"/>
      <c r="AT41" s="16"/>
      <c r="AU41" s="42">
        <f t="shared" si="11"/>
        <v>5</v>
      </c>
      <c r="AV41" s="16"/>
      <c r="AW41" s="16"/>
      <c r="AX41" s="57"/>
      <c r="AY41" s="16">
        <v>4</v>
      </c>
      <c r="AZ41" s="16"/>
      <c r="BA41" s="43">
        <f t="shared" si="12"/>
        <v>4</v>
      </c>
    </row>
    <row r="42" spans="1:53" ht="23.1" customHeight="1" x14ac:dyDescent="0.3">
      <c r="A42" s="76">
        <v>39</v>
      </c>
      <c r="B42" s="76" t="s">
        <v>304</v>
      </c>
      <c r="C42" s="77" t="s">
        <v>305</v>
      </c>
      <c r="D42" s="76" t="s">
        <v>542</v>
      </c>
      <c r="E42" s="76" t="s">
        <v>493</v>
      </c>
      <c r="F42" s="81"/>
      <c r="G42" s="81"/>
      <c r="H42" s="81"/>
      <c r="I42" s="81"/>
      <c r="J42" s="81"/>
      <c r="K42" s="75">
        <v>4</v>
      </c>
      <c r="L42" s="81"/>
      <c r="M42" s="34">
        <v>5</v>
      </c>
      <c r="N42" s="34">
        <v>4</v>
      </c>
      <c r="O42" s="58"/>
      <c r="P42" s="34">
        <v>4.5</v>
      </c>
      <c r="Q42" s="43">
        <f t="shared" si="6"/>
        <v>4.5</v>
      </c>
      <c r="R42" s="34">
        <v>4</v>
      </c>
      <c r="S42" s="58"/>
      <c r="T42" s="58"/>
      <c r="U42" s="58"/>
      <c r="V42" s="58"/>
      <c r="W42" s="42">
        <f t="shared" si="7"/>
        <v>4</v>
      </c>
      <c r="X42" s="34">
        <v>4</v>
      </c>
      <c r="Y42" s="58"/>
      <c r="Z42" s="58"/>
      <c r="AA42" s="58"/>
      <c r="AB42" s="58"/>
      <c r="AC42" s="42">
        <f t="shared" si="8"/>
        <v>4</v>
      </c>
      <c r="AD42" s="34">
        <v>4.5</v>
      </c>
      <c r="AE42" s="58"/>
      <c r="AF42" s="58"/>
      <c r="AG42" s="58"/>
      <c r="AH42" s="58"/>
      <c r="AI42" s="42">
        <f t="shared" si="9"/>
        <v>4.5</v>
      </c>
      <c r="AJ42" s="58"/>
      <c r="AK42" s="34">
        <v>4</v>
      </c>
      <c r="AL42" s="58"/>
      <c r="AM42" s="58"/>
      <c r="AN42" s="58"/>
      <c r="AO42" s="43">
        <f t="shared" si="10"/>
        <v>4</v>
      </c>
      <c r="AP42" s="34">
        <v>5</v>
      </c>
      <c r="AQ42" s="34"/>
      <c r="AR42" s="34"/>
      <c r="AS42" s="34"/>
      <c r="AT42" s="34"/>
      <c r="AU42" s="42">
        <f t="shared" si="11"/>
        <v>5</v>
      </c>
      <c r="AV42" s="34"/>
      <c r="AW42" s="34"/>
      <c r="AX42" s="58"/>
      <c r="AY42" s="34">
        <v>4</v>
      </c>
      <c r="AZ42" s="34"/>
      <c r="BA42" s="43">
        <f t="shared" si="12"/>
        <v>4</v>
      </c>
    </row>
    <row r="43" spans="1:53" ht="23.1" customHeight="1" x14ac:dyDescent="0.3">
      <c r="A43" s="83">
        <v>40</v>
      </c>
      <c r="B43" s="83" t="s">
        <v>89</v>
      </c>
      <c r="C43" s="84" t="s">
        <v>90</v>
      </c>
      <c r="D43" s="83" t="s">
        <v>450</v>
      </c>
      <c r="E43" s="83" t="s">
        <v>35</v>
      </c>
      <c r="F43" s="86"/>
      <c r="G43" s="86"/>
      <c r="H43" s="86"/>
      <c r="I43" s="86"/>
      <c r="J43" s="86"/>
      <c r="K43" s="75">
        <v>4</v>
      </c>
      <c r="L43" s="86"/>
      <c r="M43" s="16">
        <v>3</v>
      </c>
      <c r="N43" s="16">
        <v>3</v>
      </c>
      <c r="O43" s="57"/>
      <c r="P43" s="16">
        <v>2</v>
      </c>
      <c r="Q43" s="43">
        <f t="shared" si="6"/>
        <v>2.6666666666666665</v>
      </c>
      <c r="R43" s="16">
        <v>3</v>
      </c>
      <c r="S43" s="57"/>
      <c r="T43" s="57"/>
      <c r="U43" s="57"/>
      <c r="V43" s="57"/>
      <c r="W43" s="42">
        <f t="shared" si="7"/>
        <v>3</v>
      </c>
      <c r="X43" s="16">
        <v>3</v>
      </c>
      <c r="Y43" s="57"/>
      <c r="Z43" s="57"/>
      <c r="AA43" s="57"/>
      <c r="AB43" s="57"/>
      <c r="AC43" s="42">
        <f t="shared" si="8"/>
        <v>3</v>
      </c>
      <c r="AD43" s="16">
        <v>3</v>
      </c>
      <c r="AE43" s="57"/>
      <c r="AF43" s="57"/>
      <c r="AG43" s="57"/>
      <c r="AH43" s="57"/>
      <c r="AI43" s="42">
        <f t="shared" si="9"/>
        <v>3</v>
      </c>
      <c r="AJ43" s="57"/>
      <c r="AK43" s="16">
        <v>2</v>
      </c>
      <c r="AL43" s="57"/>
      <c r="AM43" s="57"/>
      <c r="AN43" s="57"/>
      <c r="AO43" s="43">
        <f t="shared" si="10"/>
        <v>2</v>
      </c>
      <c r="AP43" s="16">
        <v>3</v>
      </c>
      <c r="AQ43" s="16"/>
      <c r="AR43" s="16"/>
      <c r="AS43" s="16"/>
      <c r="AT43" s="16"/>
      <c r="AU43" s="42">
        <f t="shared" si="11"/>
        <v>3</v>
      </c>
      <c r="AV43" s="16"/>
      <c r="AW43" s="16"/>
      <c r="AX43" s="57"/>
      <c r="AY43" s="16">
        <v>4</v>
      </c>
      <c r="AZ43" s="16"/>
      <c r="BA43" s="43">
        <f t="shared" si="12"/>
        <v>4</v>
      </c>
    </row>
    <row r="44" spans="1:53" ht="23.1" customHeight="1" x14ac:dyDescent="0.3">
      <c r="A44" s="76">
        <v>41</v>
      </c>
      <c r="B44" s="76" t="s">
        <v>306</v>
      </c>
      <c r="C44" s="77" t="s">
        <v>307</v>
      </c>
      <c r="D44" s="76" t="s">
        <v>542</v>
      </c>
      <c r="E44" s="76" t="s">
        <v>493</v>
      </c>
      <c r="F44" s="81"/>
      <c r="G44" s="81"/>
      <c r="H44" s="81"/>
      <c r="I44" s="81"/>
      <c r="J44" s="81"/>
      <c r="K44" s="75">
        <v>4</v>
      </c>
      <c r="L44" s="81"/>
      <c r="M44" s="34">
        <v>4</v>
      </c>
      <c r="N44" s="34">
        <v>4</v>
      </c>
      <c r="O44" s="58"/>
      <c r="P44" s="34">
        <v>4</v>
      </c>
      <c r="Q44" s="43">
        <f t="shared" si="6"/>
        <v>4</v>
      </c>
      <c r="R44" s="34">
        <v>4</v>
      </c>
      <c r="S44" s="58"/>
      <c r="T44" s="58"/>
      <c r="U44" s="58"/>
      <c r="V44" s="58"/>
      <c r="W44" s="42">
        <f t="shared" si="7"/>
        <v>4</v>
      </c>
      <c r="X44" s="34">
        <v>4</v>
      </c>
      <c r="Y44" s="58"/>
      <c r="Z44" s="58"/>
      <c r="AA44" s="58"/>
      <c r="AB44" s="58"/>
      <c r="AC44" s="42">
        <f t="shared" si="8"/>
        <v>4</v>
      </c>
      <c r="AD44" s="34">
        <v>3</v>
      </c>
      <c r="AE44" s="58"/>
      <c r="AF44" s="58"/>
      <c r="AG44" s="58"/>
      <c r="AH44" s="58"/>
      <c r="AI44" s="42">
        <f t="shared" si="9"/>
        <v>3</v>
      </c>
      <c r="AJ44" s="58"/>
      <c r="AK44" s="34">
        <v>4</v>
      </c>
      <c r="AL44" s="58"/>
      <c r="AM44" s="58"/>
      <c r="AN44" s="58"/>
      <c r="AO44" s="43">
        <f t="shared" si="10"/>
        <v>4</v>
      </c>
      <c r="AP44" s="34">
        <v>4</v>
      </c>
      <c r="AQ44" s="34"/>
      <c r="AR44" s="34"/>
      <c r="AS44" s="34"/>
      <c r="AT44" s="34"/>
      <c r="AU44" s="42">
        <f t="shared" si="11"/>
        <v>4</v>
      </c>
      <c r="AV44" s="34"/>
      <c r="AW44" s="34"/>
      <c r="AX44" s="58"/>
      <c r="AY44" s="34">
        <v>5</v>
      </c>
      <c r="AZ44" s="34"/>
      <c r="BA44" s="43">
        <f t="shared" si="12"/>
        <v>5</v>
      </c>
    </row>
    <row r="45" spans="1:53" ht="23.1" customHeight="1" x14ac:dyDescent="0.3">
      <c r="A45" s="83">
        <v>42</v>
      </c>
      <c r="B45" s="83" t="s">
        <v>245</v>
      </c>
      <c r="C45" s="84" t="s">
        <v>246</v>
      </c>
      <c r="D45" s="83" t="s">
        <v>542</v>
      </c>
      <c r="E45" s="83" t="s">
        <v>161</v>
      </c>
      <c r="F45" s="86"/>
      <c r="G45" s="86"/>
      <c r="H45" s="86"/>
      <c r="I45" s="86"/>
      <c r="J45" s="86"/>
      <c r="K45" s="75">
        <v>4</v>
      </c>
      <c r="L45" s="86"/>
      <c r="M45" s="16">
        <v>5</v>
      </c>
      <c r="N45" s="16">
        <v>5</v>
      </c>
      <c r="O45" s="57"/>
      <c r="P45" s="16">
        <v>5</v>
      </c>
      <c r="Q45" s="43">
        <f t="shared" si="6"/>
        <v>5</v>
      </c>
      <c r="R45" s="16">
        <v>5</v>
      </c>
      <c r="S45" s="57"/>
      <c r="T45" s="57"/>
      <c r="U45" s="57"/>
      <c r="V45" s="57"/>
      <c r="W45" s="42">
        <f t="shared" si="7"/>
        <v>5</v>
      </c>
      <c r="X45" s="16">
        <v>5</v>
      </c>
      <c r="Y45" s="57"/>
      <c r="Z45" s="57"/>
      <c r="AA45" s="57"/>
      <c r="AB45" s="57"/>
      <c r="AC45" s="42">
        <f t="shared" si="8"/>
        <v>5</v>
      </c>
      <c r="AD45" s="16">
        <v>0</v>
      </c>
      <c r="AE45" s="57"/>
      <c r="AF45" s="57"/>
      <c r="AG45" s="57"/>
      <c r="AH45" s="57"/>
      <c r="AI45" s="42">
        <f t="shared" si="9"/>
        <v>0</v>
      </c>
      <c r="AJ45" s="57"/>
      <c r="AK45" s="16">
        <v>5</v>
      </c>
      <c r="AL45" s="57"/>
      <c r="AM45" s="57"/>
      <c r="AN45" s="57"/>
      <c r="AO45" s="43">
        <f t="shared" si="10"/>
        <v>5</v>
      </c>
      <c r="AP45" s="16">
        <v>5</v>
      </c>
      <c r="AQ45" s="16"/>
      <c r="AR45" s="16"/>
      <c r="AS45" s="16"/>
      <c r="AT45" s="16"/>
      <c r="AU45" s="42">
        <f t="shared" si="11"/>
        <v>5</v>
      </c>
      <c r="AV45" s="16"/>
      <c r="AW45" s="16"/>
      <c r="AX45" s="57"/>
      <c r="AY45" s="16">
        <v>4</v>
      </c>
      <c r="AZ45" s="16"/>
      <c r="BA45" s="43">
        <f t="shared" si="12"/>
        <v>4</v>
      </c>
    </row>
    <row r="46" spans="1:53" ht="23.1" customHeight="1" x14ac:dyDescent="0.3">
      <c r="A46" s="76">
        <v>43</v>
      </c>
      <c r="B46" s="76" t="s">
        <v>114</v>
      </c>
      <c r="C46" s="77" t="s">
        <v>115</v>
      </c>
      <c r="D46" s="76" t="s">
        <v>450</v>
      </c>
      <c r="E46" s="76" t="s">
        <v>35</v>
      </c>
      <c r="F46" s="81"/>
      <c r="G46" s="81"/>
      <c r="H46" s="81"/>
      <c r="I46" s="81"/>
      <c r="J46" s="81"/>
      <c r="K46" s="75">
        <v>4</v>
      </c>
      <c r="L46" s="81"/>
      <c r="M46" s="34">
        <v>4</v>
      </c>
      <c r="N46" s="34">
        <v>5</v>
      </c>
      <c r="O46" s="58"/>
      <c r="P46" s="34">
        <v>5</v>
      </c>
      <c r="Q46" s="43">
        <f t="shared" si="6"/>
        <v>4.666666666666667</v>
      </c>
      <c r="R46" s="34">
        <v>3</v>
      </c>
      <c r="S46" s="58"/>
      <c r="T46" s="58"/>
      <c r="U46" s="58"/>
      <c r="V46" s="58"/>
      <c r="W46" s="42">
        <f t="shared" si="7"/>
        <v>3</v>
      </c>
      <c r="X46" s="34">
        <v>3</v>
      </c>
      <c r="Y46" s="58"/>
      <c r="Z46" s="58"/>
      <c r="AA46" s="58"/>
      <c r="AB46" s="58"/>
      <c r="AC46" s="42">
        <f t="shared" si="8"/>
        <v>3</v>
      </c>
      <c r="AD46" s="34">
        <v>4</v>
      </c>
      <c r="AE46" s="58"/>
      <c r="AF46" s="58"/>
      <c r="AG46" s="58"/>
      <c r="AH46" s="58"/>
      <c r="AI46" s="42">
        <f t="shared" si="9"/>
        <v>4</v>
      </c>
      <c r="AJ46" s="58"/>
      <c r="AK46" s="34">
        <v>4</v>
      </c>
      <c r="AL46" s="58"/>
      <c r="AM46" s="58"/>
      <c r="AN46" s="58"/>
      <c r="AO46" s="43">
        <f t="shared" si="10"/>
        <v>4</v>
      </c>
      <c r="AP46" s="34">
        <v>3</v>
      </c>
      <c r="AQ46" s="34"/>
      <c r="AR46" s="34"/>
      <c r="AS46" s="34"/>
      <c r="AT46" s="34"/>
      <c r="AU46" s="42">
        <f t="shared" si="11"/>
        <v>3</v>
      </c>
      <c r="AV46" s="34"/>
      <c r="AW46" s="34"/>
      <c r="AX46" s="58"/>
      <c r="AY46" s="34">
        <v>3</v>
      </c>
      <c r="AZ46" s="34"/>
      <c r="BA46" s="43">
        <f t="shared" si="12"/>
        <v>3</v>
      </c>
    </row>
    <row r="47" spans="1:53" ht="23.1" customHeight="1" x14ac:dyDescent="0.3">
      <c r="A47" s="83">
        <v>44</v>
      </c>
      <c r="B47" s="83" t="s">
        <v>116</v>
      </c>
      <c r="C47" s="84" t="s">
        <v>117</v>
      </c>
      <c r="D47" s="83" t="s">
        <v>542</v>
      </c>
      <c r="E47" s="83" t="s">
        <v>35</v>
      </c>
      <c r="F47" s="86"/>
      <c r="G47" s="86"/>
      <c r="H47" s="86"/>
      <c r="I47" s="86"/>
      <c r="J47" s="86"/>
      <c r="K47" s="75">
        <v>3</v>
      </c>
      <c r="L47" s="86"/>
      <c r="M47" s="16">
        <v>5</v>
      </c>
      <c r="N47" s="16">
        <v>5</v>
      </c>
      <c r="O47" s="57"/>
      <c r="P47" s="16">
        <v>4</v>
      </c>
      <c r="Q47" s="43">
        <f t="shared" si="6"/>
        <v>4.666666666666667</v>
      </c>
      <c r="R47" s="16">
        <v>3</v>
      </c>
      <c r="S47" s="57"/>
      <c r="T47" s="57"/>
      <c r="U47" s="57"/>
      <c r="V47" s="57"/>
      <c r="W47" s="42">
        <f t="shared" si="7"/>
        <v>3</v>
      </c>
      <c r="X47" s="16">
        <v>3</v>
      </c>
      <c r="Y47" s="57"/>
      <c r="Z47" s="57"/>
      <c r="AA47" s="57"/>
      <c r="AB47" s="57"/>
      <c r="AC47" s="42">
        <f t="shared" si="8"/>
        <v>3</v>
      </c>
      <c r="AD47" s="16">
        <v>4</v>
      </c>
      <c r="AE47" s="57"/>
      <c r="AF47" s="57"/>
      <c r="AG47" s="57"/>
      <c r="AH47" s="57"/>
      <c r="AI47" s="42">
        <f t="shared" si="9"/>
        <v>4</v>
      </c>
      <c r="AJ47" s="57"/>
      <c r="AK47" s="16">
        <v>4</v>
      </c>
      <c r="AL47" s="57"/>
      <c r="AM47" s="57"/>
      <c r="AN47" s="57"/>
      <c r="AO47" s="43">
        <f t="shared" si="10"/>
        <v>4</v>
      </c>
      <c r="AP47" s="16">
        <v>4</v>
      </c>
      <c r="AQ47" s="16"/>
      <c r="AR47" s="16"/>
      <c r="AS47" s="16"/>
      <c r="AT47" s="16"/>
      <c r="AU47" s="42">
        <f t="shared" si="11"/>
        <v>4</v>
      </c>
      <c r="AV47" s="16"/>
      <c r="AW47" s="16"/>
      <c r="AX47" s="57"/>
      <c r="AY47" s="16">
        <v>4</v>
      </c>
      <c r="AZ47" s="16"/>
      <c r="BA47" s="43">
        <f t="shared" si="12"/>
        <v>4</v>
      </c>
    </row>
    <row r="48" spans="1:53" ht="23.1" customHeight="1" x14ac:dyDescent="0.3">
      <c r="A48" s="76">
        <v>45</v>
      </c>
      <c r="B48" s="76" t="s">
        <v>180</v>
      </c>
      <c r="C48" s="77" t="s">
        <v>181</v>
      </c>
      <c r="D48" s="76" t="s">
        <v>450</v>
      </c>
      <c r="E48" s="76" t="s">
        <v>161</v>
      </c>
      <c r="F48" s="81"/>
      <c r="G48" s="81"/>
      <c r="H48" s="81"/>
      <c r="I48" s="81"/>
      <c r="J48" s="81"/>
      <c r="K48" s="75">
        <v>3</v>
      </c>
      <c r="L48" s="81"/>
      <c r="M48" s="34">
        <v>2</v>
      </c>
      <c r="N48" s="34">
        <v>2</v>
      </c>
      <c r="O48" s="58"/>
      <c r="P48" s="34">
        <v>2</v>
      </c>
      <c r="Q48" s="43">
        <f t="shared" si="6"/>
        <v>2</v>
      </c>
      <c r="R48" s="34">
        <v>3</v>
      </c>
      <c r="S48" s="58"/>
      <c r="T48" s="58"/>
      <c r="U48" s="58"/>
      <c r="V48" s="58"/>
      <c r="W48" s="42">
        <f t="shared" si="7"/>
        <v>3</v>
      </c>
      <c r="X48" s="34">
        <v>3</v>
      </c>
      <c r="Y48" s="58"/>
      <c r="Z48" s="58"/>
      <c r="AA48" s="58"/>
      <c r="AB48" s="58"/>
      <c r="AC48" s="42">
        <f t="shared" si="8"/>
        <v>3</v>
      </c>
      <c r="AD48" s="34">
        <v>0</v>
      </c>
      <c r="AE48" s="58"/>
      <c r="AF48" s="58"/>
      <c r="AG48" s="58"/>
      <c r="AH48" s="58"/>
      <c r="AI48" s="42">
        <f t="shared" si="9"/>
        <v>0</v>
      </c>
      <c r="AJ48" s="58"/>
      <c r="AK48" s="34">
        <v>3</v>
      </c>
      <c r="AL48" s="58"/>
      <c r="AM48" s="58"/>
      <c r="AN48" s="58"/>
      <c r="AO48" s="43">
        <f t="shared" si="10"/>
        <v>3</v>
      </c>
      <c r="AP48" s="34">
        <v>3</v>
      </c>
      <c r="AQ48" s="34"/>
      <c r="AR48" s="34"/>
      <c r="AS48" s="34"/>
      <c r="AT48" s="34"/>
      <c r="AU48" s="42">
        <f t="shared" si="11"/>
        <v>3</v>
      </c>
      <c r="AV48" s="34"/>
      <c r="AW48" s="34"/>
      <c r="AX48" s="58"/>
      <c r="AY48" s="34">
        <v>3</v>
      </c>
      <c r="AZ48" s="34"/>
      <c r="BA48" s="43">
        <f t="shared" si="12"/>
        <v>3</v>
      </c>
    </row>
    <row r="49" spans="1:53" ht="23.1" customHeight="1" x14ac:dyDescent="0.3">
      <c r="A49" s="83">
        <v>46</v>
      </c>
      <c r="B49" s="83" t="s">
        <v>308</v>
      </c>
      <c r="C49" s="84" t="s">
        <v>309</v>
      </c>
      <c r="D49" s="83" t="s">
        <v>542</v>
      </c>
      <c r="E49" s="83" t="s">
        <v>493</v>
      </c>
      <c r="F49" s="86"/>
      <c r="G49" s="86"/>
      <c r="H49" s="86"/>
      <c r="I49" s="86"/>
      <c r="J49" s="86"/>
      <c r="K49" s="75">
        <v>4</v>
      </c>
      <c r="L49" s="86"/>
      <c r="M49" s="16">
        <v>5</v>
      </c>
      <c r="N49" s="16">
        <v>5</v>
      </c>
      <c r="O49" s="57"/>
      <c r="P49" s="16">
        <v>5</v>
      </c>
      <c r="Q49" s="43">
        <f t="shared" si="6"/>
        <v>5</v>
      </c>
      <c r="R49" s="16">
        <v>5</v>
      </c>
      <c r="S49" s="57"/>
      <c r="T49" s="57"/>
      <c r="U49" s="57"/>
      <c r="V49" s="57"/>
      <c r="W49" s="42">
        <f t="shared" si="7"/>
        <v>5</v>
      </c>
      <c r="X49" s="16">
        <v>5</v>
      </c>
      <c r="Y49" s="57"/>
      <c r="Z49" s="57"/>
      <c r="AA49" s="57"/>
      <c r="AB49" s="57"/>
      <c r="AC49" s="42">
        <f t="shared" si="8"/>
        <v>5</v>
      </c>
      <c r="AD49" s="16">
        <v>5</v>
      </c>
      <c r="AE49" s="57"/>
      <c r="AF49" s="57"/>
      <c r="AG49" s="57"/>
      <c r="AH49" s="57"/>
      <c r="AI49" s="42">
        <f t="shared" si="9"/>
        <v>5</v>
      </c>
      <c r="AJ49" s="57"/>
      <c r="AK49" s="16">
        <v>4</v>
      </c>
      <c r="AL49" s="57"/>
      <c r="AM49" s="57"/>
      <c r="AN49" s="57"/>
      <c r="AO49" s="43">
        <f t="shared" si="10"/>
        <v>4</v>
      </c>
      <c r="AP49" s="16">
        <v>3</v>
      </c>
      <c r="AQ49" s="16"/>
      <c r="AR49" s="16"/>
      <c r="AS49" s="16"/>
      <c r="AT49" s="16"/>
      <c r="AU49" s="42">
        <f t="shared" si="11"/>
        <v>3</v>
      </c>
      <c r="AV49" s="16"/>
      <c r="AW49" s="16"/>
      <c r="AX49" s="57"/>
      <c r="AY49" s="16">
        <v>4</v>
      </c>
      <c r="AZ49" s="16"/>
      <c r="BA49" s="43">
        <f t="shared" si="12"/>
        <v>4</v>
      </c>
    </row>
    <row r="50" spans="1:53" ht="23.1" customHeight="1" x14ac:dyDescent="0.3">
      <c r="A50" s="76">
        <v>47</v>
      </c>
      <c r="B50" s="76" t="s">
        <v>118</v>
      </c>
      <c r="C50" s="77" t="s">
        <v>119</v>
      </c>
      <c r="D50" s="76" t="s">
        <v>450</v>
      </c>
      <c r="E50" s="76" t="s">
        <v>35</v>
      </c>
      <c r="F50" s="81"/>
      <c r="G50" s="81"/>
      <c r="H50" s="81"/>
      <c r="I50" s="81"/>
      <c r="J50" s="81"/>
      <c r="K50" s="75">
        <v>4</v>
      </c>
      <c r="L50" s="81"/>
      <c r="M50" s="34">
        <v>3</v>
      </c>
      <c r="N50" s="34">
        <v>3</v>
      </c>
      <c r="O50" s="58"/>
      <c r="P50" s="34">
        <v>3</v>
      </c>
      <c r="Q50" s="43">
        <f t="shared" si="6"/>
        <v>3</v>
      </c>
      <c r="R50" s="34">
        <v>3</v>
      </c>
      <c r="S50" s="58"/>
      <c r="T50" s="58"/>
      <c r="U50" s="58"/>
      <c r="V50" s="58"/>
      <c r="W50" s="42">
        <f t="shared" si="7"/>
        <v>3</v>
      </c>
      <c r="X50" s="34">
        <v>3</v>
      </c>
      <c r="Y50" s="58"/>
      <c r="Z50" s="58"/>
      <c r="AA50" s="58"/>
      <c r="AB50" s="58"/>
      <c r="AC50" s="42">
        <f t="shared" si="8"/>
        <v>3</v>
      </c>
      <c r="AD50" s="34">
        <v>2</v>
      </c>
      <c r="AE50" s="58"/>
      <c r="AF50" s="58"/>
      <c r="AG50" s="58"/>
      <c r="AH50" s="58"/>
      <c r="AI50" s="42">
        <f t="shared" si="9"/>
        <v>2</v>
      </c>
      <c r="AJ50" s="58"/>
      <c r="AK50" s="34">
        <v>3</v>
      </c>
      <c r="AL50" s="58"/>
      <c r="AM50" s="58"/>
      <c r="AN50" s="58"/>
      <c r="AO50" s="43">
        <f t="shared" si="10"/>
        <v>3</v>
      </c>
      <c r="AP50" s="34">
        <v>3</v>
      </c>
      <c r="AQ50" s="34"/>
      <c r="AR50" s="34"/>
      <c r="AS50" s="34"/>
      <c r="AT50" s="34"/>
      <c r="AU50" s="42">
        <f t="shared" si="11"/>
        <v>3</v>
      </c>
      <c r="AV50" s="34"/>
      <c r="AW50" s="34"/>
      <c r="AX50" s="58"/>
      <c r="AY50" s="34">
        <v>3</v>
      </c>
      <c r="AZ50" s="34"/>
      <c r="BA50" s="43">
        <f t="shared" si="12"/>
        <v>3</v>
      </c>
    </row>
    <row r="51" spans="1:53" ht="23.1" customHeight="1" x14ac:dyDescent="0.3">
      <c r="A51" s="83">
        <v>48</v>
      </c>
      <c r="B51" s="83" t="s">
        <v>197</v>
      </c>
      <c r="C51" s="84" t="s">
        <v>198</v>
      </c>
      <c r="D51" s="83" t="s">
        <v>450</v>
      </c>
      <c r="E51" s="83" t="s">
        <v>161</v>
      </c>
      <c r="F51" s="86"/>
      <c r="G51" s="86"/>
      <c r="H51" s="86"/>
      <c r="I51" s="86"/>
      <c r="J51" s="86"/>
      <c r="K51" s="75">
        <v>4</v>
      </c>
      <c r="L51" s="86"/>
      <c r="M51" s="16">
        <v>4</v>
      </c>
      <c r="N51" s="16">
        <v>4</v>
      </c>
      <c r="O51" s="57"/>
      <c r="P51" s="16">
        <v>4</v>
      </c>
      <c r="Q51" s="43">
        <f t="shared" si="6"/>
        <v>4</v>
      </c>
      <c r="R51" s="16">
        <v>4</v>
      </c>
      <c r="S51" s="57"/>
      <c r="T51" s="57"/>
      <c r="U51" s="57"/>
      <c r="V51" s="57"/>
      <c r="W51" s="42">
        <f t="shared" si="7"/>
        <v>4</v>
      </c>
      <c r="X51" s="16">
        <v>4</v>
      </c>
      <c r="Y51" s="57"/>
      <c r="Z51" s="57"/>
      <c r="AA51" s="57"/>
      <c r="AB51" s="57"/>
      <c r="AC51" s="42">
        <f t="shared" si="8"/>
        <v>4</v>
      </c>
      <c r="AD51" s="16">
        <v>4</v>
      </c>
      <c r="AE51" s="57"/>
      <c r="AF51" s="57"/>
      <c r="AG51" s="57"/>
      <c r="AH51" s="57"/>
      <c r="AI51" s="42">
        <f t="shared" si="9"/>
        <v>4</v>
      </c>
      <c r="AJ51" s="57"/>
      <c r="AK51" s="16">
        <v>4</v>
      </c>
      <c r="AL51" s="57"/>
      <c r="AM51" s="57"/>
      <c r="AN51" s="57"/>
      <c r="AO51" s="43">
        <f t="shared" si="10"/>
        <v>4</v>
      </c>
      <c r="AP51" s="16">
        <v>5</v>
      </c>
      <c r="AQ51" s="16"/>
      <c r="AR51" s="16"/>
      <c r="AS51" s="16"/>
      <c r="AT51" s="16"/>
      <c r="AU51" s="42">
        <f t="shared" si="11"/>
        <v>5</v>
      </c>
      <c r="AV51" s="16"/>
      <c r="AW51" s="16"/>
      <c r="AX51" s="57"/>
      <c r="AY51" s="16">
        <v>5</v>
      </c>
      <c r="AZ51" s="16"/>
      <c r="BA51" s="43">
        <f t="shared" si="12"/>
        <v>5</v>
      </c>
    </row>
    <row r="52" spans="1:53" ht="23.1" customHeight="1" x14ac:dyDescent="0.3">
      <c r="A52" s="76">
        <v>49</v>
      </c>
      <c r="B52" s="76" t="s">
        <v>310</v>
      </c>
      <c r="C52" s="77" t="s">
        <v>311</v>
      </c>
      <c r="D52" s="76" t="s">
        <v>450</v>
      </c>
      <c r="E52" s="76" t="s">
        <v>493</v>
      </c>
      <c r="F52" s="81"/>
      <c r="G52" s="81"/>
      <c r="H52" s="81"/>
      <c r="I52" s="81"/>
      <c r="J52" s="81"/>
      <c r="K52" s="75">
        <v>4</v>
      </c>
      <c r="L52" s="81"/>
      <c r="M52" s="34">
        <v>5</v>
      </c>
      <c r="N52" s="34">
        <v>5</v>
      </c>
      <c r="O52" s="58"/>
      <c r="P52" s="34">
        <v>5</v>
      </c>
      <c r="Q52" s="43">
        <f t="shared" si="6"/>
        <v>5</v>
      </c>
      <c r="R52" s="34">
        <v>4</v>
      </c>
      <c r="S52" s="58"/>
      <c r="T52" s="58"/>
      <c r="U52" s="58"/>
      <c r="V52" s="58"/>
      <c r="W52" s="42">
        <f t="shared" si="7"/>
        <v>4</v>
      </c>
      <c r="X52" s="34">
        <v>5</v>
      </c>
      <c r="Y52" s="58"/>
      <c r="Z52" s="58"/>
      <c r="AA52" s="58"/>
      <c r="AB52" s="58"/>
      <c r="AC52" s="42">
        <f t="shared" si="8"/>
        <v>5</v>
      </c>
      <c r="AD52" s="34">
        <v>4</v>
      </c>
      <c r="AE52" s="58"/>
      <c r="AF52" s="58"/>
      <c r="AG52" s="58"/>
      <c r="AH52" s="58"/>
      <c r="AI52" s="42">
        <f t="shared" si="9"/>
        <v>4</v>
      </c>
      <c r="AJ52" s="58"/>
      <c r="AK52" s="34">
        <v>4</v>
      </c>
      <c r="AL52" s="58"/>
      <c r="AM52" s="58"/>
      <c r="AN52" s="58"/>
      <c r="AO52" s="43">
        <f t="shared" si="10"/>
        <v>4</v>
      </c>
      <c r="AP52" s="34">
        <v>4</v>
      </c>
      <c r="AQ52" s="34"/>
      <c r="AR52" s="34"/>
      <c r="AS52" s="34"/>
      <c r="AT52" s="34"/>
      <c r="AU52" s="42">
        <f t="shared" si="11"/>
        <v>4</v>
      </c>
      <c r="AV52" s="34"/>
      <c r="AW52" s="34"/>
      <c r="AX52" s="58"/>
      <c r="AY52" s="34">
        <v>4</v>
      </c>
      <c r="AZ52" s="34"/>
      <c r="BA52" s="43">
        <f t="shared" si="12"/>
        <v>4</v>
      </c>
    </row>
    <row r="53" spans="1:53" ht="23.1" customHeight="1" x14ac:dyDescent="0.3">
      <c r="A53" s="83">
        <v>50</v>
      </c>
      <c r="B53" s="83" t="s">
        <v>122</v>
      </c>
      <c r="C53" s="84" t="s">
        <v>123</v>
      </c>
      <c r="D53" s="83" t="s">
        <v>450</v>
      </c>
      <c r="E53" s="83" t="s">
        <v>35</v>
      </c>
      <c r="F53" s="86"/>
      <c r="G53" s="86"/>
      <c r="H53" s="86"/>
      <c r="I53" s="86"/>
      <c r="J53" s="86"/>
      <c r="K53" s="75">
        <v>3</v>
      </c>
      <c r="L53" s="86"/>
      <c r="M53" s="16">
        <v>2</v>
      </c>
      <c r="N53" s="16">
        <v>2</v>
      </c>
      <c r="O53" s="57"/>
      <c r="P53" s="16">
        <v>2</v>
      </c>
      <c r="Q53" s="43">
        <f t="shared" si="6"/>
        <v>2</v>
      </c>
      <c r="R53" s="16">
        <v>3</v>
      </c>
      <c r="S53" s="57"/>
      <c r="T53" s="57"/>
      <c r="U53" s="57"/>
      <c r="V53" s="57"/>
      <c r="W53" s="42">
        <f t="shared" si="7"/>
        <v>3</v>
      </c>
      <c r="X53" s="16">
        <v>3</v>
      </c>
      <c r="Y53" s="57"/>
      <c r="Z53" s="57"/>
      <c r="AA53" s="57"/>
      <c r="AB53" s="57"/>
      <c r="AC53" s="42">
        <f t="shared" si="8"/>
        <v>3</v>
      </c>
      <c r="AD53" s="16">
        <v>3</v>
      </c>
      <c r="AE53" s="57"/>
      <c r="AF53" s="57"/>
      <c r="AG53" s="57"/>
      <c r="AH53" s="57"/>
      <c r="AI53" s="42">
        <f t="shared" si="9"/>
        <v>3</v>
      </c>
      <c r="AJ53" s="57"/>
      <c r="AK53" s="16">
        <v>3</v>
      </c>
      <c r="AL53" s="57"/>
      <c r="AM53" s="57"/>
      <c r="AN53" s="57"/>
      <c r="AO53" s="43">
        <f t="shared" si="10"/>
        <v>3</v>
      </c>
      <c r="AP53" s="16">
        <v>3</v>
      </c>
      <c r="AQ53" s="16"/>
      <c r="AR53" s="16"/>
      <c r="AS53" s="16"/>
      <c r="AT53" s="16"/>
      <c r="AU53" s="42">
        <f t="shared" si="11"/>
        <v>3</v>
      </c>
      <c r="AV53" s="16"/>
      <c r="AW53" s="16"/>
      <c r="AX53" s="57"/>
      <c r="AY53" s="16">
        <v>3</v>
      </c>
      <c r="AZ53" s="16"/>
      <c r="BA53" s="43">
        <f t="shared" si="12"/>
        <v>3</v>
      </c>
    </row>
    <row r="54" spans="1:53" ht="23.1" customHeight="1" x14ac:dyDescent="0.3">
      <c r="A54" s="76">
        <v>51</v>
      </c>
      <c r="B54" s="76" t="s">
        <v>259</v>
      </c>
      <c r="C54" s="77" t="s">
        <v>260</v>
      </c>
      <c r="D54" s="76" t="s">
        <v>542</v>
      </c>
      <c r="E54" s="76" t="s">
        <v>161</v>
      </c>
      <c r="F54" s="81"/>
      <c r="G54" s="81"/>
      <c r="H54" s="81"/>
      <c r="I54" s="81"/>
      <c r="J54" s="81"/>
      <c r="K54" s="75">
        <v>2</v>
      </c>
      <c r="L54" s="81"/>
      <c r="M54" s="34">
        <v>5</v>
      </c>
      <c r="N54" s="34">
        <v>5</v>
      </c>
      <c r="O54" s="58"/>
      <c r="P54" s="34">
        <v>5</v>
      </c>
      <c r="Q54" s="43">
        <f t="shared" si="6"/>
        <v>5</v>
      </c>
      <c r="R54" s="34">
        <v>4</v>
      </c>
      <c r="S54" s="58"/>
      <c r="T54" s="58"/>
      <c r="U54" s="58"/>
      <c r="V54" s="58"/>
      <c r="W54" s="42">
        <f t="shared" si="7"/>
        <v>4</v>
      </c>
      <c r="X54" s="34">
        <v>4</v>
      </c>
      <c r="Y54" s="58"/>
      <c r="Z54" s="58"/>
      <c r="AA54" s="58"/>
      <c r="AB54" s="58"/>
      <c r="AC54" s="42">
        <f t="shared" si="8"/>
        <v>4</v>
      </c>
      <c r="AD54" s="34">
        <v>0</v>
      </c>
      <c r="AE54" s="58"/>
      <c r="AF54" s="58"/>
      <c r="AG54" s="58"/>
      <c r="AH54" s="58"/>
      <c r="AI54" s="42">
        <f t="shared" si="9"/>
        <v>0</v>
      </c>
      <c r="AJ54" s="58"/>
      <c r="AK54" s="34">
        <v>5</v>
      </c>
      <c r="AL54" s="58"/>
      <c r="AM54" s="58"/>
      <c r="AN54" s="58"/>
      <c r="AO54" s="43">
        <f t="shared" si="10"/>
        <v>5</v>
      </c>
      <c r="AP54" s="34">
        <v>4</v>
      </c>
      <c r="AQ54" s="34"/>
      <c r="AR54" s="34"/>
      <c r="AS54" s="34"/>
      <c r="AT54" s="34"/>
      <c r="AU54" s="42">
        <f t="shared" si="11"/>
        <v>4</v>
      </c>
      <c r="AV54" s="34"/>
      <c r="AW54" s="34"/>
      <c r="AX54" s="58"/>
      <c r="AY54" s="34">
        <v>5</v>
      </c>
      <c r="AZ54" s="34"/>
      <c r="BA54" s="43">
        <f t="shared" si="12"/>
        <v>5</v>
      </c>
    </row>
    <row r="55" spans="1:53" ht="23.1" customHeight="1" x14ac:dyDescent="0.3">
      <c r="A55" s="83">
        <v>52</v>
      </c>
      <c r="B55" s="83" t="s">
        <v>213</v>
      </c>
      <c r="C55" s="84" t="s">
        <v>214</v>
      </c>
      <c r="D55" s="83" t="s">
        <v>450</v>
      </c>
      <c r="E55" s="83" t="s">
        <v>161</v>
      </c>
      <c r="F55" s="86"/>
      <c r="G55" s="86"/>
      <c r="H55" s="86"/>
      <c r="I55" s="86"/>
      <c r="J55" s="86"/>
      <c r="K55" s="75">
        <v>2</v>
      </c>
      <c r="L55" s="86"/>
      <c r="M55" s="16">
        <v>3</v>
      </c>
      <c r="N55" s="16">
        <v>3</v>
      </c>
      <c r="O55" s="57"/>
      <c r="P55" s="16">
        <v>3</v>
      </c>
      <c r="Q55" s="43">
        <f t="shared" si="6"/>
        <v>3</v>
      </c>
      <c r="R55" s="16">
        <v>4</v>
      </c>
      <c r="S55" s="57"/>
      <c r="T55" s="57"/>
      <c r="U55" s="57"/>
      <c r="V55" s="57"/>
      <c r="W55" s="42">
        <f t="shared" si="7"/>
        <v>4</v>
      </c>
      <c r="X55" s="16">
        <v>4</v>
      </c>
      <c r="Y55" s="57"/>
      <c r="Z55" s="57"/>
      <c r="AA55" s="57"/>
      <c r="AB55" s="57"/>
      <c r="AC55" s="42">
        <f t="shared" si="8"/>
        <v>4</v>
      </c>
      <c r="AD55" s="16">
        <v>0</v>
      </c>
      <c r="AE55" s="57"/>
      <c r="AF55" s="57"/>
      <c r="AG55" s="57"/>
      <c r="AH55" s="57"/>
      <c r="AI55" s="42">
        <f t="shared" si="9"/>
        <v>0</v>
      </c>
      <c r="AJ55" s="57"/>
      <c r="AK55" s="16">
        <v>3.5</v>
      </c>
      <c r="AL55" s="57"/>
      <c r="AM55" s="57"/>
      <c r="AN55" s="57"/>
      <c r="AO55" s="43">
        <f t="shared" si="10"/>
        <v>3.5</v>
      </c>
      <c r="AP55" s="16">
        <v>3.5</v>
      </c>
      <c r="AQ55" s="16"/>
      <c r="AR55" s="16"/>
      <c r="AS55" s="16"/>
      <c r="AT55" s="16"/>
      <c r="AU55" s="42">
        <f t="shared" si="11"/>
        <v>3.5</v>
      </c>
      <c r="AV55" s="16"/>
      <c r="AW55" s="16"/>
      <c r="AX55" s="57"/>
      <c r="AY55" s="16">
        <v>4</v>
      </c>
      <c r="AZ55" s="16"/>
      <c r="BA55" s="43">
        <f t="shared" si="12"/>
        <v>4</v>
      </c>
    </row>
    <row r="56" spans="1:53" ht="23.1" customHeight="1" x14ac:dyDescent="0.3">
      <c r="A56" s="76">
        <v>53</v>
      </c>
      <c r="B56" s="76" t="s">
        <v>229</v>
      </c>
      <c r="C56" s="77" t="s">
        <v>230</v>
      </c>
      <c r="D56" s="76" t="s">
        <v>450</v>
      </c>
      <c r="E56" s="76" t="s">
        <v>161</v>
      </c>
      <c r="F56" s="81"/>
      <c r="G56" s="81"/>
      <c r="H56" s="81"/>
      <c r="I56" s="81"/>
      <c r="J56" s="81"/>
      <c r="K56" s="75">
        <v>2</v>
      </c>
      <c r="L56" s="81"/>
      <c r="M56" s="34">
        <v>3.5</v>
      </c>
      <c r="N56" s="34">
        <v>3</v>
      </c>
      <c r="O56" s="58"/>
      <c r="P56" s="34">
        <v>3</v>
      </c>
      <c r="Q56" s="43">
        <f t="shared" si="6"/>
        <v>3.1666666666666665</v>
      </c>
      <c r="R56" s="34">
        <v>4</v>
      </c>
      <c r="S56" s="58"/>
      <c r="T56" s="58"/>
      <c r="U56" s="58"/>
      <c r="V56" s="58"/>
      <c r="W56" s="42">
        <f t="shared" si="7"/>
        <v>4</v>
      </c>
      <c r="X56" s="34">
        <v>4</v>
      </c>
      <c r="Y56" s="58"/>
      <c r="Z56" s="58"/>
      <c r="AA56" s="58"/>
      <c r="AB56" s="58"/>
      <c r="AC56" s="42">
        <f t="shared" si="8"/>
        <v>4</v>
      </c>
      <c r="AD56" s="34">
        <v>0</v>
      </c>
      <c r="AE56" s="58"/>
      <c r="AF56" s="58"/>
      <c r="AG56" s="58"/>
      <c r="AH56" s="58"/>
      <c r="AI56" s="42">
        <f t="shared" si="9"/>
        <v>0</v>
      </c>
      <c r="AJ56" s="58"/>
      <c r="AK56" s="34">
        <v>3.5</v>
      </c>
      <c r="AL56" s="58"/>
      <c r="AM56" s="58"/>
      <c r="AN56" s="58"/>
      <c r="AO56" s="43">
        <f t="shared" si="10"/>
        <v>3.5</v>
      </c>
      <c r="AP56" s="34">
        <v>4</v>
      </c>
      <c r="AQ56" s="34"/>
      <c r="AR56" s="34"/>
      <c r="AS56" s="34"/>
      <c r="AT56" s="34"/>
      <c r="AU56" s="42">
        <f t="shared" si="11"/>
        <v>4</v>
      </c>
      <c r="AV56" s="34"/>
      <c r="AW56" s="34"/>
      <c r="AX56" s="58"/>
      <c r="AY56" s="34">
        <v>4</v>
      </c>
      <c r="AZ56" s="34"/>
      <c r="BA56" s="43">
        <f t="shared" si="12"/>
        <v>4</v>
      </c>
    </row>
    <row r="57" spans="1:53" ht="23.1" customHeight="1" x14ac:dyDescent="0.3">
      <c r="A57" s="83">
        <v>54</v>
      </c>
      <c r="B57" s="83" t="s">
        <v>312</v>
      </c>
      <c r="C57" s="84" t="s">
        <v>313</v>
      </c>
      <c r="D57" s="83" t="s">
        <v>450</v>
      </c>
      <c r="E57" s="83" t="s">
        <v>493</v>
      </c>
      <c r="F57" s="88"/>
      <c r="G57" s="88"/>
      <c r="H57" s="88"/>
      <c r="I57" s="88"/>
      <c r="J57" s="88"/>
      <c r="K57" s="75">
        <v>4</v>
      </c>
      <c r="L57" s="88"/>
      <c r="M57" s="16">
        <v>4</v>
      </c>
      <c r="N57" s="16">
        <v>4</v>
      </c>
      <c r="O57" s="59"/>
      <c r="P57" s="16">
        <v>4</v>
      </c>
      <c r="Q57" s="43">
        <f t="shared" si="6"/>
        <v>4</v>
      </c>
      <c r="R57" s="16">
        <v>5</v>
      </c>
      <c r="S57" s="59"/>
      <c r="T57" s="59"/>
      <c r="U57" s="59"/>
      <c r="V57" s="59"/>
      <c r="W57" s="42">
        <f t="shared" si="7"/>
        <v>5</v>
      </c>
      <c r="X57" s="16">
        <v>5</v>
      </c>
      <c r="Y57" s="59"/>
      <c r="Z57" s="59"/>
      <c r="AA57" s="59"/>
      <c r="AB57" s="59"/>
      <c r="AC57" s="42">
        <f t="shared" si="8"/>
        <v>5</v>
      </c>
      <c r="AD57" s="16">
        <v>5</v>
      </c>
      <c r="AE57" s="59"/>
      <c r="AF57" s="59"/>
      <c r="AG57" s="59"/>
      <c r="AH57" s="59"/>
      <c r="AI57" s="42">
        <f t="shared" si="9"/>
        <v>5</v>
      </c>
      <c r="AJ57" s="59"/>
      <c r="AK57" s="16">
        <v>4</v>
      </c>
      <c r="AL57" s="59"/>
      <c r="AM57" s="59"/>
      <c r="AN57" s="59"/>
      <c r="AO57" s="43">
        <f t="shared" si="10"/>
        <v>4</v>
      </c>
      <c r="AP57" s="16">
        <v>4</v>
      </c>
      <c r="AQ57" s="16"/>
      <c r="AR57" s="16"/>
      <c r="AS57" s="16"/>
      <c r="AT57" s="16"/>
      <c r="AU57" s="42">
        <f t="shared" si="11"/>
        <v>4</v>
      </c>
      <c r="AV57" s="16"/>
      <c r="AW57" s="16"/>
      <c r="AX57" s="59"/>
      <c r="AY57" s="16">
        <v>5</v>
      </c>
      <c r="AZ57" s="16"/>
      <c r="BA57" s="43">
        <f t="shared" si="12"/>
        <v>5</v>
      </c>
    </row>
    <row r="58" spans="1:53" ht="23.1" customHeight="1" x14ac:dyDescent="0.3">
      <c r="A58" s="76">
        <v>55</v>
      </c>
      <c r="B58" s="76" t="s">
        <v>247</v>
      </c>
      <c r="C58" s="77" t="s">
        <v>248</v>
      </c>
      <c r="D58" s="76" t="s">
        <v>450</v>
      </c>
      <c r="E58" s="76" t="s">
        <v>161</v>
      </c>
      <c r="F58" s="81"/>
      <c r="G58" s="81"/>
      <c r="H58" s="81"/>
      <c r="I58" s="81"/>
      <c r="J58" s="81"/>
      <c r="K58" s="75">
        <v>3</v>
      </c>
      <c r="L58" s="81"/>
      <c r="M58" s="34">
        <v>5</v>
      </c>
      <c r="N58" s="34">
        <v>5</v>
      </c>
      <c r="O58" s="58"/>
      <c r="P58" s="34">
        <v>5</v>
      </c>
      <c r="Q58" s="43">
        <f t="shared" si="6"/>
        <v>5</v>
      </c>
      <c r="R58" s="34">
        <v>5</v>
      </c>
      <c r="S58" s="58"/>
      <c r="T58" s="58"/>
      <c r="U58" s="58"/>
      <c r="V58" s="58"/>
      <c r="W58" s="42">
        <f t="shared" si="7"/>
        <v>5</v>
      </c>
      <c r="X58" s="34">
        <v>5</v>
      </c>
      <c r="Y58" s="58"/>
      <c r="Z58" s="58"/>
      <c r="AA58" s="58"/>
      <c r="AB58" s="58"/>
      <c r="AC58" s="42">
        <f t="shared" si="8"/>
        <v>5</v>
      </c>
      <c r="AD58" s="34">
        <v>4</v>
      </c>
      <c r="AE58" s="58"/>
      <c r="AF58" s="58"/>
      <c r="AG58" s="58"/>
      <c r="AH58" s="58"/>
      <c r="AI58" s="42">
        <f t="shared" si="9"/>
        <v>4</v>
      </c>
      <c r="AJ58" s="58"/>
      <c r="AK58" s="34">
        <v>5</v>
      </c>
      <c r="AL58" s="58"/>
      <c r="AM58" s="58"/>
      <c r="AN58" s="58"/>
      <c r="AO58" s="43">
        <f t="shared" si="10"/>
        <v>5</v>
      </c>
      <c r="AP58" s="34">
        <v>5</v>
      </c>
      <c r="AQ58" s="34"/>
      <c r="AR58" s="34"/>
      <c r="AS58" s="34"/>
      <c r="AT58" s="34"/>
      <c r="AU58" s="42">
        <f t="shared" si="11"/>
        <v>5</v>
      </c>
      <c r="AV58" s="34"/>
      <c r="AW58" s="34"/>
      <c r="AX58" s="58"/>
      <c r="AY58" s="34">
        <v>5</v>
      </c>
      <c r="AZ58" s="34"/>
      <c r="BA58" s="43">
        <f t="shared" si="12"/>
        <v>5</v>
      </c>
    </row>
    <row r="59" spans="1:53" ht="23.1" customHeight="1" x14ac:dyDescent="0.3">
      <c r="A59" s="83">
        <v>56</v>
      </c>
      <c r="B59" s="83" t="s">
        <v>124</v>
      </c>
      <c r="C59" s="84" t="s">
        <v>125</v>
      </c>
      <c r="D59" s="83" t="s">
        <v>542</v>
      </c>
      <c r="E59" s="83" t="s">
        <v>35</v>
      </c>
      <c r="F59" s="86"/>
      <c r="G59" s="86"/>
      <c r="H59" s="86"/>
      <c r="I59" s="86"/>
      <c r="J59" s="86"/>
      <c r="K59" s="75">
        <v>3</v>
      </c>
      <c r="L59" s="86"/>
      <c r="M59" s="16">
        <v>4</v>
      </c>
      <c r="N59" s="16">
        <v>4</v>
      </c>
      <c r="O59" s="57"/>
      <c r="P59" s="16">
        <v>4</v>
      </c>
      <c r="Q59" s="43">
        <f t="shared" si="6"/>
        <v>4</v>
      </c>
      <c r="R59" s="16">
        <v>2</v>
      </c>
      <c r="S59" s="57"/>
      <c r="T59" s="57"/>
      <c r="U59" s="57"/>
      <c r="V59" s="57"/>
      <c r="W59" s="42">
        <f t="shared" si="7"/>
        <v>2</v>
      </c>
      <c r="X59" s="16">
        <v>2</v>
      </c>
      <c r="Y59" s="57"/>
      <c r="Z59" s="57"/>
      <c r="AA59" s="57"/>
      <c r="AB59" s="57"/>
      <c r="AC59" s="42">
        <f t="shared" si="8"/>
        <v>2</v>
      </c>
      <c r="AD59" s="16">
        <v>3</v>
      </c>
      <c r="AE59" s="57"/>
      <c r="AF59" s="57"/>
      <c r="AG59" s="57"/>
      <c r="AH59" s="57"/>
      <c r="AI59" s="42">
        <f t="shared" si="9"/>
        <v>3</v>
      </c>
      <c r="AJ59" s="57"/>
      <c r="AK59" s="16">
        <v>4</v>
      </c>
      <c r="AL59" s="57"/>
      <c r="AM59" s="57"/>
      <c r="AN59" s="57"/>
      <c r="AO59" s="43">
        <f t="shared" si="10"/>
        <v>4</v>
      </c>
      <c r="AP59" s="16">
        <v>2</v>
      </c>
      <c r="AQ59" s="16"/>
      <c r="AR59" s="16"/>
      <c r="AS59" s="16"/>
      <c r="AT59" s="16"/>
      <c r="AU59" s="42">
        <f t="shared" si="11"/>
        <v>2</v>
      </c>
      <c r="AV59" s="16"/>
      <c r="AW59" s="16"/>
      <c r="AX59" s="57"/>
      <c r="AY59" s="16">
        <v>4</v>
      </c>
      <c r="AZ59" s="16"/>
      <c r="BA59" s="43">
        <f t="shared" si="12"/>
        <v>4</v>
      </c>
    </row>
    <row r="60" spans="1:53" ht="23.1" customHeight="1" x14ac:dyDescent="0.3">
      <c r="A60" s="76">
        <v>57</v>
      </c>
      <c r="B60" s="76" t="s">
        <v>314</v>
      </c>
      <c r="C60" s="77" t="s">
        <v>315</v>
      </c>
      <c r="D60" s="76" t="s">
        <v>542</v>
      </c>
      <c r="E60" s="76" t="s">
        <v>493</v>
      </c>
      <c r="F60" s="81"/>
      <c r="G60" s="81"/>
      <c r="H60" s="81"/>
      <c r="I60" s="81"/>
      <c r="J60" s="81"/>
      <c r="K60" s="75">
        <v>2</v>
      </c>
      <c r="L60" s="81"/>
      <c r="M60" s="34">
        <v>3</v>
      </c>
      <c r="N60" s="34">
        <v>3</v>
      </c>
      <c r="O60" s="58"/>
      <c r="P60" s="34">
        <v>4</v>
      </c>
      <c r="Q60" s="43">
        <f t="shared" si="6"/>
        <v>3.3333333333333335</v>
      </c>
      <c r="R60" s="34">
        <v>3</v>
      </c>
      <c r="S60" s="58"/>
      <c r="T60" s="58"/>
      <c r="U60" s="58"/>
      <c r="V60" s="58"/>
      <c r="W60" s="42">
        <f t="shared" si="7"/>
        <v>3</v>
      </c>
      <c r="X60" s="34">
        <v>3</v>
      </c>
      <c r="Y60" s="58"/>
      <c r="Z60" s="58"/>
      <c r="AA60" s="58"/>
      <c r="AB60" s="58"/>
      <c r="AC60" s="42">
        <f t="shared" si="8"/>
        <v>3</v>
      </c>
      <c r="AD60" s="34">
        <v>3</v>
      </c>
      <c r="AE60" s="58"/>
      <c r="AF60" s="58"/>
      <c r="AG60" s="58"/>
      <c r="AH60" s="58"/>
      <c r="AI60" s="42">
        <f t="shared" si="9"/>
        <v>3</v>
      </c>
      <c r="AJ60" s="58"/>
      <c r="AK60" s="34">
        <v>5</v>
      </c>
      <c r="AL60" s="58"/>
      <c r="AM60" s="58"/>
      <c r="AN60" s="58"/>
      <c r="AO60" s="43">
        <f t="shared" si="10"/>
        <v>5</v>
      </c>
      <c r="AP60" s="34">
        <v>5</v>
      </c>
      <c r="AQ60" s="34"/>
      <c r="AR60" s="34"/>
      <c r="AS60" s="34"/>
      <c r="AT60" s="34"/>
      <c r="AU60" s="42">
        <f t="shared" si="11"/>
        <v>5</v>
      </c>
      <c r="AV60" s="34"/>
      <c r="AW60" s="34"/>
      <c r="AX60" s="58"/>
      <c r="AY60" s="34">
        <v>5</v>
      </c>
      <c r="AZ60" s="34"/>
      <c r="BA60" s="43">
        <f t="shared" si="12"/>
        <v>5</v>
      </c>
    </row>
    <row r="61" spans="1:53" ht="23.1" customHeight="1" x14ac:dyDescent="0.3">
      <c r="A61" s="83">
        <v>58</v>
      </c>
      <c r="B61" s="83" t="s">
        <v>316</v>
      </c>
      <c r="C61" s="84" t="s">
        <v>317</v>
      </c>
      <c r="D61" s="83" t="s">
        <v>450</v>
      </c>
      <c r="E61" s="83" t="s">
        <v>493</v>
      </c>
      <c r="F61" s="86"/>
      <c r="G61" s="86"/>
      <c r="H61" s="86"/>
      <c r="I61" s="86"/>
      <c r="J61" s="86"/>
      <c r="K61" s="75">
        <v>1</v>
      </c>
      <c r="L61" s="86"/>
      <c r="M61" s="16">
        <v>3</v>
      </c>
      <c r="N61" s="16">
        <v>3</v>
      </c>
      <c r="O61" s="57"/>
      <c r="P61" s="16">
        <v>4</v>
      </c>
      <c r="Q61" s="43">
        <f t="shared" si="6"/>
        <v>3.3333333333333335</v>
      </c>
      <c r="R61" s="16">
        <v>4</v>
      </c>
      <c r="S61" s="57"/>
      <c r="T61" s="57"/>
      <c r="U61" s="57"/>
      <c r="V61" s="57"/>
      <c r="W61" s="42">
        <f t="shared" si="7"/>
        <v>4</v>
      </c>
      <c r="X61" s="16">
        <v>4</v>
      </c>
      <c r="Y61" s="57"/>
      <c r="Z61" s="57"/>
      <c r="AA61" s="57"/>
      <c r="AB61" s="57"/>
      <c r="AC61" s="42">
        <f t="shared" si="8"/>
        <v>4</v>
      </c>
      <c r="AD61" s="16">
        <v>5</v>
      </c>
      <c r="AE61" s="57"/>
      <c r="AF61" s="57"/>
      <c r="AG61" s="57"/>
      <c r="AH61" s="57"/>
      <c r="AI61" s="42">
        <f t="shared" si="9"/>
        <v>5</v>
      </c>
      <c r="AJ61" s="57"/>
      <c r="AK61" s="16">
        <v>4</v>
      </c>
      <c r="AL61" s="57"/>
      <c r="AM61" s="57"/>
      <c r="AN61" s="57"/>
      <c r="AO61" s="43">
        <f t="shared" si="10"/>
        <v>4</v>
      </c>
      <c r="AP61" s="16">
        <v>5</v>
      </c>
      <c r="AQ61" s="16"/>
      <c r="AR61" s="16"/>
      <c r="AS61" s="16"/>
      <c r="AT61" s="16"/>
      <c r="AU61" s="42">
        <f t="shared" si="11"/>
        <v>5</v>
      </c>
      <c r="AV61" s="16"/>
      <c r="AW61" s="16"/>
      <c r="AX61" s="57"/>
      <c r="AY61" s="16">
        <v>4</v>
      </c>
      <c r="AZ61" s="16"/>
      <c r="BA61" s="43">
        <f t="shared" si="12"/>
        <v>4</v>
      </c>
    </row>
    <row r="62" spans="1:53" ht="23.1" customHeight="1" x14ac:dyDescent="0.3">
      <c r="A62" s="76">
        <v>59</v>
      </c>
      <c r="B62" s="76" t="s">
        <v>126</v>
      </c>
      <c r="C62" s="77" t="s">
        <v>127</v>
      </c>
      <c r="D62" s="76" t="s">
        <v>450</v>
      </c>
      <c r="E62" s="76" t="s">
        <v>35</v>
      </c>
      <c r="F62" s="81"/>
      <c r="G62" s="81"/>
      <c r="H62" s="81"/>
      <c r="I62" s="81"/>
      <c r="J62" s="81"/>
      <c r="K62" s="75">
        <v>3</v>
      </c>
      <c r="L62" s="81"/>
      <c r="M62" s="34">
        <v>5</v>
      </c>
      <c r="N62" s="34">
        <v>5</v>
      </c>
      <c r="O62" s="58"/>
      <c r="P62" s="34">
        <v>5</v>
      </c>
      <c r="Q62" s="43">
        <f t="shared" si="6"/>
        <v>5</v>
      </c>
      <c r="R62" s="34">
        <v>5</v>
      </c>
      <c r="S62" s="58"/>
      <c r="T62" s="58"/>
      <c r="U62" s="58"/>
      <c r="V62" s="58"/>
      <c r="W62" s="42">
        <f t="shared" si="7"/>
        <v>5</v>
      </c>
      <c r="X62" s="34">
        <v>5</v>
      </c>
      <c r="Y62" s="58"/>
      <c r="Z62" s="58"/>
      <c r="AA62" s="58"/>
      <c r="AB62" s="58"/>
      <c r="AC62" s="42">
        <f t="shared" si="8"/>
        <v>5</v>
      </c>
      <c r="AD62" s="34">
        <v>5</v>
      </c>
      <c r="AE62" s="58"/>
      <c r="AF62" s="58"/>
      <c r="AG62" s="58"/>
      <c r="AH62" s="58"/>
      <c r="AI62" s="42">
        <f t="shared" si="9"/>
        <v>5</v>
      </c>
      <c r="AJ62" s="58"/>
      <c r="AK62" s="34">
        <v>5</v>
      </c>
      <c r="AL62" s="58"/>
      <c r="AM62" s="58"/>
      <c r="AN62" s="58"/>
      <c r="AO62" s="43">
        <f t="shared" si="10"/>
        <v>5</v>
      </c>
      <c r="AP62" s="34">
        <v>5</v>
      </c>
      <c r="AQ62" s="34"/>
      <c r="AR62" s="34"/>
      <c r="AS62" s="34"/>
      <c r="AT62" s="34"/>
      <c r="AU62" s="42">
        <f t="shared" si="11"/>
        <v>5</v>
      </c>
      <c r="AV62" s="34"/>
      <c r="AW62" s="34"/>
      <c r="AX62" s="58"/>
      <c r="AY62" s="34">
        <v>4</v>
      </c>
      <c r="AZ62" s="34"/>
      <c r="BA62" s="43">
        <f t="shared" si="12"/>
        <v>4</v>
      </c>
    </row>
    <row r="63" spans="1:53" ht="23.1" customHeight="1" x14ac:dyDescent="0.3">
      <c r="A63" s="83">
        <v>60</v>
      </c>
      <c r="B63" s="83" t="s">
        <v>42</v>
      </c>
      <c r="C63" s="84" t="s">
        <v>43</v>
      </c>
      <c r="D63" s="83" t="s">
        <v>450</v>
      </c>
      <c r="E63" s="83" t="s">
        <v>35</v>
      </c>
      <c r="F63" s="86"/>
      <c r="G63" s="86"/>
      <c r="H63" s="86"/>
      <c r="I63" s="86"/>
      <c r="J63" s="86"/>
      <c r="K63" s="75">
        <v>4</v>
      </c>
      <c r="L63" s="86"/>
      <c r="M63" s="16">
        <v>3</v>
      </c>
      <c r="N63" s="16">
        <v>3</v>
      </c>
      <c r="O63" s="57"/>
      <c r="P63" s="16">
        <v>2</v>
      </c>
      <c r="Q63" s="43">
        <f t="shared" si="6"/>
        <v>2.6666666666666665</v>
      </c>
      <c r="R63" s="16">
        <v>4</v>
      </c>
      <c r="S63" s="57"/>
      <c r="T63" s="57"/>
      <c r="U63" s="57"/>
      <c r="V63" s="57"/>
      <c r="W63" s="42">
        <f t="shared" si="7"/>
        <v>4</v>
      </c>
      <c r="X63" s="16">
        <v>4</v>
      </c>
      <c r="Y63" s="57"/>
      <c r="Z63" s="57"/>
      <c r="AA63" s="57"/>
      <c r="AB63" s="57"/>
      <c r="AC63" s="42">
        <f t="shared" si="8"/>
        <v>4</v>
      </c>
      <c r="AD63" s="16">
        <v>3</v>
      </c>
      <c r="AE63" s="57"/>
      <c r="AF63" s="57"/>
      <c r="AG63" s="57"/>
      <c r="AH63" s="57"/>
      <c r="AI63" s="42">
        <f t="shared" si="9"/>
        <v>3</v>
      </c>
      <c r="AJ63" s="57"/>
      <c r="AK63" s="16">
        <v>3</v>
      </c>
      <c r="AL63" s="57"/>
      <c r="AM63" s="57"/>
      <c r="AN63" s="57"/>
      <c r="AO63" s="43">
        <f t="shared" si="10"/>
        <v>3</v>
      </c>
      <c r="AP63" s="16">
        <v>3</v>
      </c>
      <c r="AQ63" s="16"/>
      <c r="AR63" s="16"/>
      <c r="AS63" s="16"/>
      <c r="AT63" s="16"/>
      <c r="AU63" s="42">
        <f t="shared" si="11"/>
        <v>3</v>
      </c>
      <c r="AV63" s="16"/>
      <c r="AW63" s="16"/>
      <c r="AX63" s="57"/>
      <c r="AY63" s="16">
        <v>3</v>
      </c>
      <c r="AZ63" s="16"/>
      <c r="BA63" s="43">
        <f t="shared" si="12"/>
        <v>3</v>
      </c>
    </row>
    <row r="64" spans="1:53" ht="23.1" customHeight="1" x14ac:dyDescent="0.3">
      <c r="A64" s="76">
        <v>61</v>
      </c>
      <c r="B64" s="76" t="s">
        <v>128</v>
      </c>
      <c r="C64" s="77" t="s">
        <v>129</v>
      </c>
      <c r="D64" s="76" t="s">
        <v>450</v>
      </c>
      <c r="E64" s="76" t="s">
        <v>35</v>
      </c>
      <c r="F64" s="81"/>
      <c r="G64" s="81"/>
      <c r="H64" s="81"/>
      <c r="I64" s="81"/>
      <c r="J64" s="81"/>
      <c r="K64" s="75">
        <v>4</v>
      </c>
      <c r="L64" s="81"/>
      <c r="M64" s="34">
        <v>3</v>
      </c>
      <c r="N64" s="34">
        <v>3</v>
      </c>
      <c r="O64" s="58"/>
      <c r="P64" s="34">
        <v>3</v>
      </c>
      <c r="Q64" s="43">
        <f t="shared" si="6"/>
        <v>3</v>
      </c>
      <c r="R64" s="34">
        <v>2</v>
      </c>
      <c r="S64" s="58"/>
      <c r="T64" s="58"/>
      <c r="U64" s="58"/>
      <c r="V64" s="58"/>
      <c r="W64" s="42">
        <f t="shared" si="7"/>
        <v>2</v>
      </c>
      <c r="X64" s="34">
        <v>2</v>
      </c>
      <c r="Y64" s="58"/>
      <c r="Z64" s="58"/>
      <c r="AA64" s="58"/>
      <c r="AB64" s="58"/>
      <c r="AC64" s="42">
        <f t="shared" si="8"/>
        <v>2</v>
      </c>
      <c r="AD64" s="34">
        <v>2</v>
      </c>
      <c r="AE64" s="58"/>
      <c r="AF64" s="58"/>
      <c r="AG64" s="58"/>
      <c r="AH64" s="58"/>
      <c r="AI64" s="42">
        <f t="shared" si="9"/>
        <v>2</v>
      </c>
      <c r="AJ64" s="58"/>
      <c r="AK64" s="34">
        <v>2</v>
      </c>
      <c r="AL64" s="58"/>
      <c r="AM64" s="58"/>
      <c r="AN64" s="58"/>
      <c r="AO64" s="43">
        <f t="shared" si="10"/>
        <v>2</v>
      </c>
      <c r="AP64" s="34">
        <v>3</v>
      </c>
      <c r="AQ64" s="34"/>
      <c r="AR64" s="34"/>
      <c r="AS64" s="34"/>
      <c r="AT64" s="34"/>
      <c r="AU64" s="42">
        <f t="shared" si="11"/>
        <v>3</v>
      </c>
      <c r="AV64" s="34"/>
      <c r="AW64" s="34"/>
      <c r="AX64" s="58"/>
      <c r="AY64" s="34">
        <v>3</v>
      </c>
      <c r="AZ64" s="34"/>
      <c r="BA64" s="43">
        <f t="shared" si="12"/>
        <v>3</v>
      </c>
    </row>
    <row r="65" spans="1:53" ht="23.1" customHeight="1" x14ac:dyDescent="0.3">
      <c r="A65" s="83">
        <v>62</v>
      </c>
      <c r="B65" s="83" t="s">
        <v>275</v>
      </c>
      <c r="C65" s="84" t="s">
        <v>276</v>
      </c>
      <c r="D65" s="83" t="s">
        <v>542</v>
      </c>
      <c r="E65" s="83" t="s">
        <v>161</v>
      </c>
      <c r="F65" s="86"/>
      <c r="G65" s="86"/>
      <c r="H65" s="86"/>
      <c r="I65" s="86"/>
      <c r="J65" s="86"/>
      <c r="K65" s="75">
        <v>3</v>
      </c>
      <c r="L65" s="86"/>
      <c r="M65" s="16">
        <v>4</v>
      </c>
      <c r="N65" s="16">
        <v>4</v>
      </c>
      <c r="O65" s="57"/>
      <c r="P65" s="16">
        <v>4</v>
      </c>
      <c r="Q65" s="43">
        <f t="shared" si="6"/>
        <v>4</v>
      </c>
      <c r="R65" s="16">
        <v>4</v>
      </c>
      <c r="S65" s="57"/>
      <c r="T65" s="57"/>
      <c r="U65" s="57"/>
      <c r="V65" s="57"/>
      <c r="W65" s="42">
        <f t="shared" si="7"/>
        <v>4</v>
      </c>
      <c r="X65" s="16">
        <v>4</v>
      </c>
      <c r="Y65" s="57"/>
      <c r="Z65" s="57"/>
      <c r="AA65" s="57"/>
      <c r="AB65" s="57"/>
      <c r="AC65" s="42">
        <f t="shared" si="8"/>
        <v>4</v>
      </c>
      <c r="AD65" s="16">
        <v>5</v>
      </c>
      <c r="AE65" s="57"/>
      <c r="AF65" s="57"/>
      <c r="AG65" s="57"/>
      <c r="AH65" s="57"/>
      <c r="AI65" s="42">
        <f t="shared" si="9"/>
        <v>5</v>
      </c>
      <c r="AJ65" s="57"/>
      <c r="AK65" s="16">
        <v>4</v>
      </c>
      <c r="AL65" s="57"/>
      <c r="AM65" s="57"/>
      <c r="AN65" s="57"/>
      <c r="AO65" s="43">
        <f t="shared" si="10"/>
        <v>4</v>
      </c>
      <c r="AP65" s="16">
        <v>5</v>
      </c>
      <c r="AQ65" s="16"/>
      <c r="AR65" s="16"/>
      <c r="AS65" s="16"/>
      <c r="AT65" s="16"/>
      <c r="AU65" s="42">
        <f t="shared" si="11"/>
        <v>5</v>
      </c>
      <c r="AV65" s="16"/>
      <c r="AW65" s="16"/>
      <c r="AX65" s="57"/>
      <c r="AY65" s="16">
        <v>4</v>
      </c>
      <c r="AZ65" s="16"/>
      <c r="BA65" s="43">
        <f t="shared" si="12"/>
        <v>4</v>
      </c>
    </row>
    <row r="66" spans="1:53" ht="23.1" customHeight="1" x14ac:dyDescent="0.3">
      <c r="A66" s="76">
        <v>63</v>
      </c>
      <c r="B66" s="76" t="s">
        <v>60</v>
      </c>
      <c r="C66" s="77" t="s">
        <v>61</v>
      </c>
      <c r="D66" s="76" t="s">
        <v>450</v>
      </c>
      <c r="E66" s="76" t="s">
        <v>35</v>
      </c>
      <c r="F66" s="81"/>
      <c r="G66" s="81"/>
      <c r="H66" s="81"/>
      <c r="I66" s="81"/>
      <c r="J66" s="81"/>
      <c r="K66" s="75">
        <v>3</v>
      </c>
      <c r="L66" s="81"/>
      <c r="M66" s="34">
        <v>3</v>
      </c>
      <c r="N66" s="34">
        <v>3</v>
      </c>
      <c r="O66" s="58"/>
      <c r="P66" s="34">
        <v>3</v>
      </c>
      <c r="Q66" s="43">
        <f t="shared" si="6"/>
        <v>3</v>
      </c>
      <c r="R66" s="34">
        <v>3</v>
      </c>
      <c r="S66" s="58"/>
      <c r="T66" s="58"/>
      <c r="U66" s="58"/>
      <c r="V66" s="58"/>
      <c r="W66" s="42">
        <f t="shared" si="7"/>
        <v>3</v>
      </c>
      <c r="X66" s="34">
        <v>3</v>
      </c>
      <c r="Y66" s="58"/>
      <c r="Z66" s="58"/>
      <c r="AA66" s="58"/>
      <c r="AB66" s="58"/>
      <c r="AC66" s="42">
        <f t="shared" si="8"/>
        <v>3</v>
      </c>
      <c r="AD66" s="34">
        <v>3</v>
      </c>
      <c r="AE66" s="58"/>
      <c r="AF66" s="58"/>
      <c r="AG66" s="58"/>
      <c r="AH66" s="58"/>
      <c r="AI66" s="42">
        <f t="shared" si="9"/>
        <v>3</v>
      </c>
      <c r="AJ66" s="58"/>
      <c r="AK66" s="34">
        <v>3</v>
      </c>
      <c r="AL66" s="58"/>
      <c r="AM66" s="58"/>
      <c r="AN66" s="58"/>
      <c r="AO66" s="43">
        <f t="shared" si="10"/>
        <v>3</v>
      </c>
      <c r="AP66" s="34">
        <v>4</v>
      </c>
      <c r="AQ66" s="34"/>
      <c r="AR66" s="34"/>
      <c r="AS66" s="34"/>
      <c r="AT66" s="34"/>
      <c r="AU66" s="42">
        <f t="shared" si="11"/>
        <v>4</v>
      </c>
      <c r="AV66" s="34"/>
      <c r="AW66" s="34"/>
      <c r="AX66" s="58"/>
      <c r="AY66" s="34">
        <v>3</v>
      </c>
      <c r="AZ66" s="34"/>
      <c r="BA66" s="43">
        <f t="shared" si="12"/>
        <v>3</v>
      </c>
    </row>
    <row r="67" spans="1:53" ht="23.1" customHeight="1" x14ac:dyDescent="0.3">
      <c r="A67" s="83">
        <v>64</v>
      </c>
      <c r="B67" s="83" t="s">
        <v>318</v>
      </c>
      <c r="C67" s="84" t="s">
        <v>319</v>
      </c>
      <c r="D67" s="83" t="s">
        <v>450</v>
      </c>
      <c r="E67" s="83" t="s">
        <v>493</v>
      </c>
      <c r="F67" s="90"/>
      <c r="G67" s="90"/>
      <c r="H67" s="90"/>
      <c r="I67" s="90"/>
      <c r="J67" s="90"/>
      <c r="K67" s="75">
        <v>0</v>
      </c>
      <c r="L67" s="90"/>
      <c r="M67" s="16">
        <v>3.5</v>
      </c>
      <c r="N67" s="16">
        <v>3</v>
      </c>
      <c r="O67" s="60"/>
      <c r="P67" s="16">
        <v>3</v>
      </c>
      <c r="Q67" s="43">
        <f t="shared" si="6"/>
        <v>3.1666666666666665</v>
      </c>
      <c r="R67" s="16">
        <v>3</v>
      </c>
      <c r="S67" s="60"/>
      <c r="T67" s="60"/>
      <c r="U67" s="60"/>
      <c r="V67" s="60"/>
      <c r="W67" s="42">
        <f t="shared" si="7"/>
        <v>3</v>
      </c>
      <c r="X67" s="16">
        <v>3</v>
      </c>
      <c r="Y67" s="60"/>
      <c r="Z67" s="60"/>
      <c r="AA67" s="60"/>
      <c r="AB67" s="60"/>
      <c r="AC67" s="42">
        <f t="shared" si="8"/>
        <v>3</v>
      </c>
      <c r="AD67" s="16">
        <v>2.5</v>
      </c>
      <c r="AE67" s="60"/>
      <c r="AF67" s="60"/>
      <c r="AG67" s="60"/>
      <c r="AH67" s="60"/>
      <c r="AI67" s="42">
        <f t="shared" si="9"/>
        <v>2.5</v>
      </c>
      <c r="AJ67" s="60"/>
      <c r="AK67" s="16">
        <v>3</v>
      </c>
      <c r="AL67" s="60"/>
      <c r="AM67" s="60"/>
      <c r="AN67" s="60"/>
      <c r="AO67" s="43">
        <f t="shared" si="10"/>
        <v>3</v>
      </c>
      <c r="AP67" s="16">
        <v>2.5</v>
      </c>
      <c r="AQ67" s="16"/>
      <c r="AR67" s="16"/>
      <c r="AS67" s="16"/>
      <c r="AT67" s="16"/>
      <c r="AU67" s="42">
        <f t="shared" si="11"/>
        <v>2.5</v>
      </c>
      <c r="AV67" s="16"/>
      <c r="AW67" s="16"/>
      <c r="AX67" s="60"/>
      <c r="AY67" s="16">
        <v>2.5</v>
      </c>
      <c r="AZ67" s="16"/>
      <c r="BA67" s="43">
        <f t="shared" si="12"/>
        <v>2.5</v>
      </c>
    </row>
    <row r="68" spans="1:53" ht="23.1" customHeight="1" x14ac:dyDescent="0.3">
      <c r="A68" s="76">
        <v>65</v>
      </c>
      <c r="B68" s="76" t="s">
        <v>91</v>
      </c>
      <c r="C68" s="77" t="s">
        <v>92</v>
      </c>
      <c r="D68" s="76" t="s">
        <v>450</v>
      </c>
      <c r="E68" s="76" t="s">
        <v>35</v>
      </c>
      <c r="F68" s="81"/>
      <c r="G68" s="81"/>
      <c r="H68" s="81"/>
      <c r="I68" s="81"/>
      <c r="J68" s="81"/>
      <c r="K68" s="75">
        <v>3</v>
      </c>
      <c r="L68" s="81"/>
      <c r="M68" s="34">
        <v>3</v>
      </c>
      <c r="N68" s="34">
        <v>4</v>
      </c>
      <c r="O68" s="58"/>
      <c r="P68" s="34">
        <v>4</v>
      </c>
      <c r="Q68" s="43">
        <f t="shared" si="6"/>
        <v>3.6666666666666665</v>
      </c>
      <c r="R68" s="34">
        <v>3</v>
      </c>
      <c r="S68" s="58"/>
      <c r="T68" s="58"/>
      <c r="U68" s="58"/>
      <c r="V68" s="58"/>
      <c r="W68" s="42">
        <f t="shared" si="7"/>
        <v>3</v>
      </c>
      <c r="X68" s="34">
        <v>3</v>
      </c>
      <c r="Y68" s="58"/>
      <c r="Z68" s="58"/>
      <c r="AA68" s="58"/>
      <c r="AB68" s="58"/>
      <c r="AC68" s="42">
        <f t="shared" si="8"/>
        <v>3</v>
      </c>
      <c r="AD68" s="34">
        <v>3</v>
      </c>
      <c r="AE68" s="58"/>
      <c r="AF68" s="58"/>
      <c r="AG68" s="58"/>
      <c r="AH68" s="58"/>
      <c r="AI68" s="42">
        <f t="shared" si="9"/>
        <v>3</v>
      </c>
      <c r="AJ68" s="58"/>
      <c r="AK68" s="34">
        <v>4</v>
      </c>
      <c r="AL68" s="58"/>
      <c r="AM68" s="58"/>
      <c r="AN68" s="58"/>
      <c r="AO68" s="43">
        <f t="shared" si="10"/>
        <v>4</v>
      </c>
      <c r="AP68" s="34">
        <v>4</v>
      </c>
      <c r="AQ68" s="34"/>
      <c r="AR68" s="34"/>
      <c r="AS68" s="34"/>
      <c r="AT68" s="34"/>
      <c r="AU68" s="42">
        <f t="shared" si="11"/>
        <v>4</v>
      </c>
      <c r="AV68" s="34"/>
      <c r="AW68" s="34"/>
      <c r="AX68" s="58"/>
      <c r="AY68" s="34">
        <v>3</v>
      </c>
      <c r="AZ68" s="34"/>
      <c r="BA68" s="43">
        <f t="shared" si="12"/>
        <v>3</v>
      </c>
    </row>
    <row r="69" spans="1:53" ht="23.1" customHeight="1" x14ac:dyDescent="0.3">
      <c r="A69" s="83">
        <v>66</v>
      </c>
      <c r="B69" s="83" t="s">
        <v>261</v>
      </c>
      <c r="C69" s="84" t="s">
        <v>262</v>
      </c>
      <c r="D69" s="83" t="s">
        <v>450</v>
      </c>
      <c r="E69" s="83" t="s">
        <v>161</v>
      </c>
      <c r="F69" s="86"/>
      <c r="G69" s="86"/>
      <c r="H69" s="86"/>
      <c r="I69" s="86"/>
      <c r="J69" s="86"/>
      <c r="K69" s="75">
        <v>0</v>
      </c>
      <c r="L69" s="86"/>
      <c r="M69" s="16" t="s">
        <v>582</v>
      </c>
      <c r="N69" s="16" t="s">
        <v>582</v>
      </c>
      <c r="O69" s="57"/>
      <c r="P69" s="16" t="s">
        <v>582</v>
      </c>
      <c r="Q69" s="43" t="str">
        <f t="shared" ref="Q69:Q132" si="13">IFERROR(AVERAGE(M69,N69,P69),"0")</f>
        <v>0</v>
      </c>
      <c r="R69" s="16" t="s">
        <v>582</v>
      </c>
      <c r="S69" s="57"/>
      <c r="T69" s="57"/>
      <c r="U69" s="57"/>
      <c r="V69" s="57"/>
      <c r="W69" s="42" t="str">
        <f t="shared" ref="W69:W132" si="14">R69</f>
        <v>0</v>
      </c>
      <c r="X69" s="16" t="s">
        <v>582</v>
      </c>
      <c r="Y69" s="57"/>
      <c r="Z69" s="57"/>
      <c r="AA69" s="57"/>
      <c r="AB69" s="57"/>
      <c r="AC69" s="42" t="str">
        <f t="shared" ref="AC69:AC132" si="15">X69</f>
        <v>0</v>
      </c>
      <c r="AD69" s="16" t="s">
        <v>582</v>
      </c>
      <c r="AE69" s="57"/>
      <c r="AF69" s="57"/>
      <c r="AG69" s="57"/>
      <c r="AH69" s="57"/>
      <c r="AI69" s="42" t="str">
        <f t="shared" ref="AI69:AI132" si="16">AD69</f>
        <v>0</v>
      </c>
      <c r="AJ69" s="57"/>
      <c r="AK69" s="16" t="s">
        <v>582</v>
      </c>
      <c r="AL69" s="57"/>
      <c r="AM69" s="57"/>
      <c r="AN69" s="57"/>
      <c r="AO69" s="43" t="str">
        <f t="shared" ref="AO69:AO132" si="17">AK69</f>
        <v>0</v>
      </c>
      <c r="AP69" s="16" t="s">
        <v>582</v>
      </c>
      <c r="AQ69" s="16"/>
      <c r="AR69" s="16"/>
      <c r="AS69" s="16"/>
      <c r="AT69" s="16"/>
      <c r="AU69" s="42" t="str">
        <f t="shared" ref="AU69:AU132" si="18">AP69</f>
        <v>0</v>
      </c>
      <c r="AV69" s="16"/>
      <c r="AW69" s="16"/>
      <c r="AX69" s="57"/>
      <c r="AY69" s="16" t="s">
        <v>582</v>
      </c>
      <c r="AZ69" s="16"/>
      <c r="BA69" s="43" t="str">
        <f t="shared" ref="BA69:BA132" si="19">IFERROR(AVERAGE(AY69,AZ69),"0")</f>
        <v>0</v>
      </c>
    </row>
    <row r="70" spans="1:53" ht="23.1" customHeight="1" x14ac:dyDescent="0.3">
      <c r="A70" s="76">
        <v>67</v>
      </c>
      <c r="B70" s="76" t="s">
        <v>277</v>
      </c>
      <c r="C70" s="77" t="s">
        <v>278</v>
      </c>
      <c r="D70" s="76" t="s">
        <v>450</v>
      </c>
      <c r="E70" s="76" t="s">
        <v>161</v>
      </c>
      <c r="F70" s="81"/>
      <c r="G70" s="81"/>
      <c r="H70" s="81"/>
      <c r="I70" s="81"/>
      <c r="J70" s="81"/>
      <c r="K70" s="75">
        <v>3</v>
      </c>
      <c r="L70" s="81"/>
      <c r="M70" s="34">
        <v>4</v>
      </c>
      <c r="N70" s="34">
        <v>4</v>
      </c>
      <c r="O70" s="58"/>
      <c r="P70" s="34">
        <v>4</v>
      </c>
      <c r="Q70" s="43">
        <f t="shared" si="13"/>
        <v>4</v>
      </c>
      <c r="R70" s="34">
        <v>3</v>
      </c>
      <c r="S70" s="58"/>
      <c r="T70" s="58"/>
      <c r="U70" s="58"/>
      <c r="V70" s="58"/>
      <c r="W70" s="42">
        <f t="shared" si="14"/>
        <v>3</v>
      </c>
      <c r="X70" s="34">
        <v>3</v>
      </c>
      <c r="Y70" s="58"/>
      <c r="Z70" s="58"/>
      <c r="AA70" s="58"/>
      <c r="AB70" s="58"/>
      <c r="AC70" s="42">
        <f t="shared" si="15"/>
        <v>3</v>
      </c>
      <c r="AD70" s="34">
        <v>3</v>
      </c>
      <c r="AE70" s="58"/>
      <c r="AF70" s="58"/>
      <c r="AG70" s="58"/>
      <c r="AH70" s="58"/>
      <c r="AI70" s="42">
        <f t="shared" si="16"/>
        <v>3</v>
      </c>
      <c r="AJ70" s="58"/>
      <c r="AK70" s="34">
        <v>4</v>
      </c>
      <c r="AL70" s="58"/>
      <c r="AM70" s="58"/>
      <c r="AN70" s="58"/>
      <c r="AO70" s="43">
        <f t="shared" si="17"/>
        <v>4</v>
      </c>
      <c r="AP70" s="34">
        <v>5</v>
      </c>
      <c r="AQ70" s="34"/>
      <c r="AR70" s="34"/>
      <c r="AS70" s="34"/>
      <c r="AT70" s="34"/>
      <c r="AU70" s="42">
        <f t="shared" si="18"/>
        <v>5</v>
      </c>
      <c r="AV70" s="34"/>
      <c r="AW70" s="34"/>
      <c r="AX70" s="58"/>
      <c r="AY70" s="34">
        <v>3</v>
      </c>
      <c r="AZ70" s="34"/>
      <c r="BA70" s="43">
        <f t="shared" si="19"/>
        <v>3</v>
      </c>
    </row>
    <row r="71" spans="1:53" ht="23.1" customHeight="1" x14ac:dyDescent="0.3">
      <c r="A71" s="83">
        <v>68</v>
      </c>
      <c r="B71" s="83" t="s">
        <v>164</v>
      </c>
      <c r="C71" s="84" t="s">
        <v>165</v>
      </c>
      <c r="D71" s="83" t="s">
        <v>450</v>
      </c>
      <c r="E71" s="83" t="s">
        <v>161</v>
      </c>
      <c r="F71" s="88"/>
      <c r="G71" s="88"/>
      <c r="H71" s="88"/>
      <c r="I71" s="88"/>
      <c r="J71" s="88"/>
      <c r="K71" s="75">
        <v>4</v>
      </c>
      <c r="L71" s="88"/>
      <c r="M71" s="16">
        <v>3</v>
      </c>
      <c r="N71" s="16">
        <v>2</v>
      </c>
      <c r="O71" s="59"/>
      <c r="P71" s="16">
        <v>3</v>
      </c>
      <c r="Q71" s="43">
        <f t="shared" si="13"/>
        <v>2.6666666666666665</v>
      </c>
      <c r="R71" s="16">
        <v>3</v>
      </c>
      <c r="S71" s="59"/>
      <c r="T71" s="59"/>
      <c r="U71" s="59"/>
      <c r="V71" s="59"/>
      <c r="W71" s="42">
        <f t="shared" si="14"/>
        <v>3</v>
      </c>
      <c r="X71" s="16">
        <v>3</v>
      </c>
      <c r="Y71" s="59"/>
      <c r="Z71" s="59"/>
      <c r="AA71" s="59"/>
      <c r="AB71" s="59"/>
      <c r="AC71" s="42">
        <f t="shared" si="15"/>
        <v>3</v>
      </c>
      <c r="AD71" s="16">
        <v>3</v>
      </c>
      <c r="AE71" s="59"/>
      <c r="AF71" s="59"/>
      <c r="AG71" s="59"/>
      <c r="AH71" s="59"/>
      <c r="AI71" s="42">
        <f t="shared" si="16"/>
        <v>3</v>
      </c>
      <c r="AJ71" s="59"/>
      <c r="AK71" s="16">
        <v>2</v>
      </c>
      <c r="AL71" s="59"/>
      <c r="AM71" s="59"/>
      <c r="AN71" s="59"/>
      <c r="AO71" s="43">
        <f t="shared" si="17"/>
        <v>2</v>
      </c>
      <c r="AP71" s="16">
        <v>2</v>
      </c>
      <c r="AQ71" s="16"/>
      <c r="AR71" s="16"/>
      <c r="AS71" s="16"/>
      <c r="AT71" s="16"/>
      <c r="AU71" s="42">
        <f t="shared" si="18"/>
        <v>2</v>
      </c>
      <c r="AV71" s="16"/>
      <c r="AW71" s="16"/>
      <c r="AX71" s="59"/>
      <c r="AY71" s="16">
        <v>3</v>
      </c>
      <c r="AZ71" s="16"/>
      <c r="BA71" s="43">
        <f t="shared" si="19"/>
        <v>3</v>
      </c>
    </row>
    <row r="72" spans="1:53" ht="23.1" customHeight="1" x14ac:dyDescent="0.3">
      <c r="A72" s="76">
        <v>69</v>
      </c>
      <c r="B72" s="76" t="s">
        <v>130</v>
      </c>
      <c r="C72" s="77" t="s">
        <v>131</v>
      </c>
      <c r="D72" s="76" t="s">
        <v>542</v>
      </c>
      <c r="E72" s="76" t="s">
        <v>35</v>
      </c>
      <c r="F72" s="81"/>
      <c r="G72" s="81"/>
      <c r="H72" s="81"/>
      <c r="I72" s="81"/>
      <c r="J72" s="81"/>
      <c r="K72" s="75">
        <v>2</v>
      </c>
      <c r="L72" s="81"/>
      <c r="M72" s="34">
        <v>5</v>
      </c>
      <c r="N72" s="34">
        <v>5</v>
      </c>
      <c r="O72" s="58"/>
      <c r="P72" s="34">
        <v>5</v>
      </c>
      <c r="Q72" s="43">
        <f t="shared" si="13"/>
        <v>5</v>
      </c>
      <c r="R72" s="34">
        <v>3</v>
      </c>
      <c r="S72" s="58"/>
      <c r="T72" s="58"/>
      <c r="U72" s="58"/>
      <c r="V72" s="58"/>
      <c r="W72" s="42">
        <f t="shared" si="14"/>
        <v>3</v>
      </c>
      <c r="X72" s="34">
        <v>3</v>
      </c>
      <c r="Y72" s="58"/>
      <c r="Z72" s="58"/>
      <c r="AA72" s="58"/>
      <c r="AB72" s="58"/>
      <c r="AC72" s="42">
        <f t="shared" si="15"/>
        <v>3</v>
      </c>
      <c r="AD72" s="34">
        <v>3</v>
      </c>
      <c r="AE72" s="58"/>
      <c r="AF72" s="58"/>
      <c r="AG72" s="58"/>
      <c r="AH72" s="58"/>
      <c r="AI72" s="42">
        <f t="shared" si="16"/>
        <v>3</v>
      </c>
      <c r="AJ72" s="58"/>
      <c r="AK72" s="34">
        <v>3</v>
      </c>
      <c r="AL72" s="58"/>
      <c r="AM72" s="58"/>
      <c r="AN72" s="58"/>
      <c r="AO72" s="43">
        <f t="shared" si="17"/>
        <v>3</v>
      </c>
      <c r="AP72" s="34">
        <v>3</v>
      </c>
      <c r="AQ72" s="34"/>
      <c r="AR72" s="34"/>
      <c r="AS72" s="34"/>
      <c r="AT72" s="34"/>
      <c r="AU72" s="42">
        <f t="shared" si="18"/>
        <v>3</v>
      </c>
      <c r="AV72" s="34"/>
      <c r="AW72" s="34"/>
      <c r="AX72" s="58"/>
      <c r="AY72" s="34">
        <v>4</v>
      </c>
      <c r="AZ72" s="34"/>
      <c r="BA72" s="43">
        <f t="shared" si="19"/>
        <v>4</v>
      </c>
    </row>
    <row r="73" spans="1:53" ht="23.1" customHeight="1" x14ac:dyDescent="0.3">
      <c r="A73" s="83">
        <v>70</v>
      </c>
      <c r="B73" s="83" t="s">
        <v>320</v>
      </c>
      <c r="C73" s="84" t="s">
        <v>321</v>
      </c>
      <c r="D73" s="83" t="s">
        <v>542</v>
      </c>
      <c r="E73" s="83" t="s">
        <v>493</v>
      </c>
      <c r="F73" s="86"/>
      <c r="G73" s="86"/>
      <c r="H73" s="86"/>
      <c r="I73" s="86"/>
      <c r="J73" s="86"/>
      <c r="K73" s="75">
        <v>2</v>
      </c>
      <c r="L73" s="86"/>
      <c r="M73" s="16">
        <v>4</v>
      </c>
      <c r="N73" s="16">
        <v>4</v>
      </c>
      <c r="O73" s="57"/>
      <c r="P73" s="16">
        <v>5</v>
      </c>
      <c r="Q73" s="43">
        <f t="shared" si="13"/>
        <v>4.333333333333333</v>
      </c>
      <c r="R73" s="16">
        <v>5</v>
      </c>
      <c r="S73" s="57"/>
      <c r="T73" s="57"/>
      <c r="U73" s="57"/>
      <c r="V73" s="57"/>
      <c r="W73" s="42">
        <f t="shared" si="14"/>
        <v>5</v>
      </c>
      <c r="X73" s="16">
        <v>5</v>
      </c>
      <c r="Y73" s="57"/>
      <c r="Z73" s="57"/>
      <c r="AA73" s="57"/>
      <c r="AB73" s="57"/>
      <c r="AC73" s="42">
        <f t="shared" si="15"/>
        <v>5</v>
      </c>
      <c r="AD73" s="16">
        <v>3</v>
      </c>
      <c r="AE73" s="57"/>
      <c r="AF73" s="57"/>
      <c r="AG73" s="57"/>
      <c r="AH73" s="57"/>
      <c r="AI73" s="42">
        <f t="shared" si="16"/>
        <v>3</v>
      </c>
      <c r="AJ73" s="57"/>
      <c r="AK73" s="16">
        <v>5</v>
      </c>
      <c r="AL73" s="57"/>
      <c r="AM73" s="57"/>
      <c r="AN73" s="57"/>
      <c r="AO73" s="43">
        <f t="shared" si="17"/>
        <v>5</v>
      </c>
      <c r="AP73" s="16">
        <v>5</v>
      </c>
      <c r="AQ73" s="16"/>
      <c r="AR73" s="16"/>
      <c r="AS73" s="16"/>
      <c r="AT73" s="16"/>
      <c r="AU73" s="42">
        <f t="shared" si="18"/>
        <v>5</v>
      </c>
      <c r="AV73" s="16"/>
      <c r="AW73" s="16"/>
      <c r="AX73" s="57"/>
      <c r="AY73" s="16">
        <v>4</v>
      </c>
      <c r="AZ73" s="16"/>
      <c r="BA73" s="43">
        <f t="shared" si="19"/>
        <v>4</v>
      </c>
    </row>
    <row r="74" spans="1:53" ht="23.1" customHeight="1" x14ac:dyDescent="0.3">
      <c r="A74" s="76">
        <v>71</v>
      </c>
      <c r="B74" s="76" t="s">
        <v>132</v>
      </c>
      <c r="C74" s="77" t="s">
        <v>133</v>
      </c>
      <c r="D74" s="76" t="s">
        <v>542</v>
      </c>
      <c r="E74" s="76" t="s">
        <v>35</v>
      </c>
      <c r="F74" s="81"/>
      <c r="G74" s="81"/>
      <c r="H74" s="81"/>
      <c r="I74" s="81"/>
      <c r="J74" s="81"/>
      <c r="K74" s="75">
        <v>3</v>
      </c>
      <c r="L74" s="81"/>
      <c r="M74" s="34">
        <v>3</v>
      </c>
      <c r="N74" s="34">
        <v>3</v>
      </c>
      <c r="O74" s="58"/>
      <c r="P74" s="34">
        <v>3</v>
      </c>
      <c r="Q74" s="43">
        <f t="shared" si="13"/>
        <v>3</v>
      </c>
      <c r="R74" s="34">
        <v>4</v>
      </c>
      <c r="S74" s="58"/>
      <c r="T74" s="58"/>
      <c r="U74" s="58"/>
      <c r="V74" s="58"/>
      <c r="W74" s="42">
        <f t="shared" si="14"/>
        <v>4</v>
      </c>
      <c r="X74" s="34">
        <v>4</v>
      </c>
      <c r="Y74" s="58"/>
      <c r="Z74" s="58"/>
      <c r="AA74" s="58"/>
      <c r="AB74" s="58"/>
      <c r="AC74" s="42">
        <f t="shared" si="15"/>
        <v>4</v>
      </c>
      <c r="AD74" s="34">
        <v>3</v>
      </c>
      <c r="AE74" s="58"/>
      <c r="AF74" s="58"/>
      <c r="AG74" s="58"/>
      <c r="AH74" s="58"/>
      <c r="AI74" s="42">
        <f t="shared" si="16"/>
        <v>3</v>
      </c>
      <c r="AJ74" s="58"/>
      <c r="AK74" s="34">
        <v>3</v>
      </c>
      <c r="AL74" s="58"/>
      <c r="AM74" s="58"/>
      <c r="AN74" s="58"/>
      <c r="AO74" s="43">
        <f t="shared" si="17"/>
        <v>3</v>
      </c>
      <c r="AP74" s="34">
        <v>4</v>
      </c>
      <c r="AQ74" s="34"/>
      <c r="AR74" s="34"/>
      <c r="AS74" s="34"/>
      <c r="AT74" s="34"/>
      <c r="AU74" s="42">
        <f t="shared" si="18"/>
        <v>4</v>
      </c>
      <c r="AV74" s="34"/>
      <c r="AW74" s="34"/>
      <c r="AX74" s="58"/>
      <c r="AY74" s="34">
        <v>4</v>
      </c>
      <c r="AZ74" s="34"/>
      <c r="BA74" s="43">
        <f t="shared" si="19"/>
        <v>4</v>
      </c>
    </row>
    <row r="75" spans="1:53" ht="23.1" customHeight="1" x14ac:dyDescent="0.3">
      <c r="A75" s="83">
        <v>72</v>
      </c>
      <c r="B75" s="83" t="s">
        <v>166</v>
      </c>
      <c r="C75" s="84" t="s">
        <v>167</v>
      </c>
      <c r="D75" s="83" t="s">
        <v>542</v>
      </c>
      <c r="E75" s="83" t="s">
        <v>161</v>
      </c>
      <c r="F75" s="86"/>
      <c r="G75" s="86"/>
      <c r="H75" s="86"/>
      <c r="I75" s="86"/>
      <c r="J75" s="86"/>
      <c r="K75" s="75">
        <v>2</v>
      </c>
      <c r="L75" s="86"/>
      <c r="M75" s="16">
        <v>3</v>
      </c>
      <c r="N75" s="16">
        <v>3</v>
      </c>
      <c r="O75" s="57"/>
      <c r="P75" s="16">
        <v>3</v>
      </c>
      <c r="Q75" s="43">
        <f t="shared" si="13"/>
        <v>3</v>
      </c>
      <c r="R75" s="16">
        <v>4</v>
      </c>
      <c r="S75" s="57"/>
      <c r="T75" s="57"/>
      <c r="U75" s="57"/>
      <c r="V75" s="57"/>
      <c r="W75" s="42">
        <f t="shared" si="14"/>
        <v>4</v>
      </c>
      <c r="X75" s="16">
        <v>4</v>
      </c>
      <c r="Y75" s="57"/>
      <c r="Z75" s="57"/>
      <c r="AA75" s="57"/>
      <c r="AB75" s="57"/>
      <c r="AC75" s="42">
        <f t="shared" si="15"/>
        <v>4</v>
      </c>
      <c r="AD75" s="16">
        <v>0</v>
      </c>
      <c r="AE75" s="57"/>
      <c r="AF75" s="57"/>
      <c r="AG75" s="57"/>
      <c r="AH75" s="57"/>
      <c r="AI75" s="42">
        <f t="shared" si="16"/>
        <v>0</v>
      </c>
      <c r="AJ75" s="57"/>
      <c r="AK75" s="16">
        <v>3</v>
      </c>
      <c r="AL75" s="57"/>
      <c r="AM75" s="57"/>
      <c r="AN75" s="57"/>
      <c r="AO75" s="43">
        <f t="shared" si="17"/>
        <v>3</v>
      </c>
      <c r="AP75" s="16">
        <v>4</v>
      </c>
      <c r="AQ75" s="16"/>
      <c r="AR75" s="16"/>
      <c r="AS75" s="16"/>
      <c r="AT75" s="16"/>
      <c r="AU75" s="42">
        <f t="shared" si="18"/>
        <v>4</v>
      </c>
      <c r="AV75" s="16"/>
      <c r="AW75" s="16"/>
      <c r="AX75" s="57"/>
      <c r="AY75" s="16">
        <v>4</v>
      </c>
      <c r="AZ75" s="16"/>
      <c r="BA75" s="43">
        <f t="shared" si="19"/>
        <v>4</v>
      </c>
    </row>
    <row r="76" spans="1:53" ht="23.1" customHeight="1" x14ac:dyDescent="0.3">
      <c r="A76" s="76">
        <v>73</v>
      </c>
      <c r="B76" s="76" t="s">
        <v>182</v>
      </c>
      <c r="C76" s="77" t="s">
        <v>183</v>
      </c>
      <c r="D76" s="76" t="s">
        <v>450</v>
      </c>
      <c r="E76" s="76" t="s">
        <v>161</v>
      </c>
      <c r="F76" s="81"/>
      <c r="G76" s="81"/>
      <c r="H76" s="81"/>
      <c r="I76" s="81"/>
      <c r="J76" s="81"/>
      <c r="K76" s="75">
        <v>3</v>
      </c>
      <c r="L76" s="81"/>
      <c r="M76" s="34">
        <v>3.5</v>
      </c>
      <c r="N76" s="34">
        <v>3</v>
      </c>
      <c r="O76" s="58"/>
      <c r="P76" s="34">
        <v>3.5</v>
      </c>
      <c r="Q76" s="43">
        <f t="shared" si="13"/>
        <v>3.3333333333333335</v>
      </c>
      <c r="R76" s="34">
        <v>4</v>
      </c>
      <c r="S76" s="58"/>
      <c r="T76" s="58"/>
      <c r="U76" s="58"/>
      <c r="V76" s="58"/>
      <c r="W76" s="42">
        <f t="shared" si="14"/>
        <v>4</v>
      </c>
      <c r="X76" s="34">
        <v>4</v>
      </c>
      <c r="Y76" s="58"/>
      <c r="Z76" s="58"/>
      <c r="AA76" s="58"/>
      <c r="AB76" s="58"/>
      <c r="AC76" s="42">
        <f t="shared" si="15"/>
        <v>4</v>
      </c>
      <c r="AD76" s="34">
        <v>0</v>
      </c>
      <c r="AE76" s="58"/>
      <c r="AF76" s="58"/>
      <c r="AG76" s="58"/>
      <c r="AH76" s="58"/>
      <c r="AI76" s="42">
        <f t="shared" si="16"/>
        <v>0</v>
      </c>
      <c r="AJ76" s="58"/>
      <c r="AK76" s="34">
        <v>3.5</v>
      </c>
      <c r="AL76" s="58"/>
      <c r="AM76" s="58"/>
      <c r="AN76" s="58"/>
      <c r="AO76" s="43">
        <f t="shared" si="17"/>
        <v>3.5</v>
      </c>
      <c r="AP76" s="34">
        <v>3</v>
      </c>
      <c r="AQ76" s="34"/>
      <c r="AR76" s="34"/>
      <c r="AS76" s="34"/>
      <c r="AT76" s="34"/>
      <c r="AU76" s="42">
        <f t="shared" si="18"/>
        <v>3</v>
      </c>
      <c r="AV76" s="34"/>
      <c r="AW76" s="34"/>
      <c r="AX76" s="58"/>
      <c r="AY76" s="34">
        <v>4</v>
      </c>
      <c r="AZ76" s="34"/>
      <c r="BA76" s="43">
        <f t="shared" si="19"/>
        <v>4</v>
      </c>
    </row>
    <row r="77" spans="1:53" ht="23.1" customHeight="1" x14ac:dyDescent="0.3">
      <c r="A77" s="83">
        <v>74</v>
      </c>
      <c r="B77" s="83" t="s">
        <v>322</v>
      </c>
      <c r="C77" s="84" t="s">
        <v>323</v>
      </c>
      <c r="D77" s="83" t="s">
        <v>450</v>
      </c>
      <c r="E77" s="83" t="s">
        <v>493</v>
      </c>
      <c r="F77" s="86"/>
      <c r="G77" s="86"/>
      <c r="H77" s="86"/>
      <c r="I77" s="86"/>
      <c r="J77" s="86"/>
      <c r="K77" s="75">
        <v>2</v>
      </c>
      <c r="L77" s="86"/>
      <c r="M77" s="16">
        <v>4</v>
      </c>
      <c r="N77" s="16">
        <v>4</v>
      </c>
      <c r="O77" s="57"/>
      <c r="P77" s="16">
        <v>4</v>
      </c>
      <c r="Q77" s="43">
        <f t="shared" si="13"/>
        <v>4</v>
      </c>
      <c r="R77" s="16">
        <v>4</v>
      </c>
      <c r="S77" s="57"/>
      <c r="T77" s="57"/>
      <c r="U77" s="57"/>
      <c r="V77" s="57"/>
      <c r="W77" s="42">
        <f t="shared" si="14"/>
        <v>4</v>
      </c>
      <c r="X77" s="16">
        <v>4</v>
      </c>
      <c r="Y77" s="57"/>
      <c r="Z77" s="57"/>
      <c r="AA77" s="57"/>
      <c r="AB77" s="57"/>
      <c r="AC77" s="42">
        <f t="shared" si="15"/>
        <v>4</v>
      </c>
      <c r="AD77" s="16">
        <v>4</v>
      </c>
      <c r="AE77" s="57"/>
      <c r="AF77" s="57"/>
      <c r="AG77" s="57"/>
      <c r="AH77" s="57"/>
      <c r="AI77" s="42">
        <f t="shared" si="16"/>
        <v>4</v>
      </c>
      <c r="AJ77" s="57"/>
      <c r="AK77" s="16">
        <v>4</v>
      </c>
      <c r="AL77" s="57"/>
      <c r="AM77" s="57"/>
      <c r="AN77" s="57"/>
      <c r="AO77" s="43">
        <f t="shared" si="17"/>
        <v>4</v>
      </c>
      <c r="AP77" s="16">
        <v>4</v>
      </c>
      <c r="AQ77" s="16"/>
      <c r="AR77" s="16"/>
      <c r="AS77" s="16"/>
      <c r="AT77" s="16"/>
      <c r="AU77" s="42">
        <f t="shared" si="18"/>
        <v>4</v>
      </c>
      <c r="AV77" s="16"/>
      <c r="AW77" s="16"/>
      <c r="AX77" s="57"/>
      <c r="AY77" s="16">
        <v>4</v>
      </c>
      <c r="AZ77" s="16"/>
      <c r="BA77" s="43">
        <f t="shared" si="19"/>
        <v>4</v>
      </c>
    </row>
    <row r="78" spans="1:53" ht="23.1" customHeight="1" x14ac:dyDescent="0.3">
      <c r="A78" s="76">
        <v>75</v>
      </c>
      <c r="B78" s="76" t="s">
        <v>324</v>
      </c>
      <c r="C78" s="77" t="s">
        <v>325</v>
      </c>
      <c r="D78" s="76" t="s">
        <v>450</v>
      </c>
      <c r="E78" s="76" t="s">
        <v>493</v>
      </c>
      <c r="F78" s="81"/>
      <c r="G78" s="81"/>
      <c r="H78" s="81"/>
      <c r="I78" s="81"/>
      <c r="J78" s="81"/>
      <c r="K78" s="75">
        <v>2</v>
      </c>
      <c r="L78" s="81"/>
      <c r="M78" s="34">
        <v>2.5</v>
      </c>
      <c r="N78" s="34">
        <v>3</v>
      </c>
      <c r="O78" s="58"/>
      <c r="P78" s="34">
        <v>2.5</v>
      </c>
      <c r="Q78" s="43">
        <f t="shared" si="13"/>
        <v>2.6666666666666665</v>
      </c>
      <c r="R78" s="34">
        <v>3.5</v>
      </c>
      <c r="S78" s="58"/>
      <c r="T78" s="58"/>
      <c r="U78" s="58"/>
      <c r="V78" s="58"/>
      <c r="W78" s="42">
        <f t="shared" si="14"/>
        <v>3.5</v>
      </c>
      <c r="X78" s="34">
        <v>3.5</v>
      </c>
      <c r="Y78" s="58"/>
      <c r="Z78" s="58"/>
      <c r="AA78" s="58"/>
      <c r="AB78" s="58"/>
      <c r="AC78" s="42">
        <f t="shared" si="15"/>
        <v>3.5</v>
      </c>
      <c r="AD78" s="34">
        <v>3</v>
      </c>
      <c r="AE78" s="58"/>
      <c r="AF78" s="58"/>
      <c r="AG78" s="58"/>
      <c r="AH78" s="58"/>
      <c r="AI78" s="42">
        <f t="shared" si="16"/>
        <v>3</v>
      </c>
      <c r="AJ78" s="58"/>
      <c r="AK78" s="34">
        <v>4</v>
      </c>
      <c r="AL78" s="58"/>
      <c r="AM78" s="58"/>
      <c r="AN78" s="58"/>
      <c r="AO78" s="43">
        <f t="shared" si="17"/>
        <v>4</v>
      </c>
      <c r="AP78" s="34">
        <v>3</v>
      </c>
      <c r="AQ78" s="34"/>
      <c r="AR78" s="34"/>
      <c r="AS78" s="34"/>
      <c r="AT78" s="34"/>
      <c r="AU78" s="42">
        <f t="shared" si="18"/>
        <v>3</v>
      </c>
      <c r="AV78" s="34"/>
      <c r="AW78" s="34"/>
      <c r="AX78" s="58"/>
      <c r="AY78" s="34">
        <v>3.5</v>
      </c>
      <c r="AZ78" s="34"/>
      <c r="BA78" s="43">
        <f t="shared" si="19"/>
        <v>3.5</v>
      </c>
    </row>
    <row r="79" spans="1:53" ht="23.1" customHeight="1" x14ac:dyDescent="0.3">
      <c r="A79" s="83">
        <v>76</v>
      </c>
      <c r="B79" s="83" t="s">
        <v>326</v>
      </c>
      <c r="C79" s="84" t="s">
        <v>327</v>
      </c>
      <c r="D79" s="83" t="s">
        <v>450</v>
      </c>
      <c r="E79" s="83" t="s">
        <v>493</v>
      </c>
      <c r="F79" s="86"/>
      <c r="G79" s="86"/>
      <c r="H79" s="86"/>
      <c r="I79" s="86"/>
      <c r="J79" s="86"/>
      <c r="K79" s="75">
        <v>5</v>
      </c>
      <c r="L79" s="86"/>
      <c r="M79" s="16">
        <v>4</v>
      </c>
      <c r="N79" s="16">
        <v>4</v>
      </c>
      <c r="O79" s="57"/>
      <c r="P79" s="16">
        <v>4</v>
      </c>
      <c r="Q79" s="43">
        <f t="shared" si="13"/>
        <v>4</v>
      </c>
      <c r="R79" s="16">
        <v>4</v>
      </c>
      <c r="S79" s="57"/>
      <c r="T79" s="57"/>
      <c r="U79" s="57"/>
      <c r="V79" s="57"/>
      <c r="W79" s="42">
        <f t="shared" si="14"/>
        <v>4</v>
      </c>
      <c r="X79" s="16">
        <v>4</v>
      </c>
      <c r="Y79" s="57"/>
      <c r="Z79" s="57"/>
      <c r="AA79" s="57"/>
      <c r="AB79" s="57"/>
      <c r="AC79" s="42">
        <f t="shared" si="15"/>
        <v>4</v>
      </c>
      <c r="AD79" s="16">
        <v>3.5</v>
      </c>
      <c r="AE79" s="57"/>
      <c r="AF79" s="57"/>
      <c r="AG79" s="57"/>
      <c r="AH79" s="57"/>
      <c r="AI79" s="42">
        <f t="shared" si="16"/>
        <v>3.5</v>
      </c>
      <c r="AJ79" s="57"/>
      <c r="AK79" s="16">
        <v>3.5</v>
      </c>
      <c r="AL79" s="57"/>
      <c r="AM79" s="57"/>
      <c r="AN79" s="57"/>
      <c r="AO79" s="43">
        <f t="shared" si="17"/>
        <v>3.5</v>
      </c>
      <c r="AP79" s="16">
        <v>4</v>
      </c>
      <c r="AQ79" s="16"/>
      <c r="AR79" s="16"/>
      <c r="AS79" s="16"/>
      <c r="AT79" s="16"/>
      <c r="AU79" s="42">
        <f t="shared" si="18"/>
        <v>4</v>
      </c>
      <c r="AV79" s="16"/>
      <c r="AW79" s="16"/>
      <c r="AX79" s="57"/>
      <c r="AY79" s="16">
        <v>3.5</v>
      </c>
      <c r="AZ79" s="16"/>
      <c r="BA79" s="43">
        <f t="shared" si="19"/>
        <v>3.5</v>
      </c>
    </row>
    <row r="80" spans="1:53" ht="23.1" customHeight="1" x14ac:dyDescent="0.3">
      <c r="A80" s="76">
        <v>77</v>
      </c>
      <c r="B80" s="76" t="s">
        <v>328</v>
      </c>
      <c r="C80" s="77" t="s">
        <v>329</v>
      </c>
      <c r="D80" s="76" t="s">
        <v>450</v>
      </c>
      <c r="E80" s="76" t="s">
        <v>493</v>
      </c>
      <c r="F80" s="81"/>
      <c r="G80" s="81"/>
      <c r="H80" s="81"/>
      <c r="I80" s="81"/>
      <c r="J80" s="81"/>
      <c r="K80" s="75">
        <v>3</v>
      </c>
      <c r="L80" s="81"/>
      <c r="M80" s="34">
        <v>3</v>
      </c>
      <c r="N80" s="34">
        <v>3</v>
      </c>
      <c r="O80" s="58"/>
      <c r="P80" s="34">
        <v>2.5</v>
      </c>
      <c r="Q80" s="43">
        <f t="shared" si="13"/>
        <v>2.8333333333333335</v>
      </c>
      <c r="R80" s="34">
        <v>2.5</v>
      </c>
      <c r="S80" s="58"/>
      <c r="T80" s="58"/>
      <c r="U80" s="58"/>
      <c r="V80" s="58"/>
      <c r="W80" s="42">
        <f t="shared" si="14"/>
        <v>2.5</v>
      </c>
      <c r="X80" s="34">
        <v>2.5</v>
      </c>
      <c r="Y80" s="58"/>
      <c r="Z80" s="58"/>
      <c r="AA80" s="58"/>
      <c r="AB80" s="58"/>
      <c r="AC80" s="42">
        <f t="shared" si="15"/>
        <v>2.5</v>
      </c>
      <c r="AD80" s="34">
        <v>2.5</v>
      </c>
      <c r="AE80" s="58"/>
      <c r="AF80" s="58"/>
      <c r="AG80" s="58"/>
      <c r="AH80" s="58"/>
      <c r="AI80" s="42">
        <f t="shared" si="16"/>
        <v>2.5</v>
      </c>
      <c r="AJ80" s="58"/>
      <c r="AK80" s="34">
        <v>2.5</v>
      </c>
      <c r="AL80" s="58"/>
      <c r="AM80" s="58"/>
      <c r="AN80" s="58"/>
      <c r="AO80" s="43">
        <f t="shared" si="17"/>
        <v>2.5</v>
      </c>
      <c r="AP80" s="34">
        <v>2.5</v>
      </c>
      <c r="AQ80" s="34"/>
      <c r="AR80" s="34"/>
      <c r="AS80" s="34"/>
      <c r="AT80" s="34"/>
      <c r="AU80" s="42">
        <f t="shared" si="18"/>
        <v>2.5</v>
      </c>
      <c r="AV80" s="34"/>
      <c r="AW80" s="34"/>
      <c r="AX80" s="58"/>
      <c r="AY80" s="34">
        <v>3</v>
      </c>
      <c r="AZ80" s="34"/>
      <c r="BA80" s="43">
        <f t="shared" si="19"/>
        <v>3</v>
      </c>
    </row>
    <row r="81" spans="1:53" ht="23.1" customHeight="1" x14ac:dyDescent="0.3">
      <c r="A81" s="83">
        <v>78</v>
      </c>
      <c r="B81" s="83" t="s">
        <v>330</v>
      </c>
      <c r="C81" s="84" t="s">
        <v>331</v>
      </c>
      <c r="D81" s="83" t="s">
        <v>450</v>
      </c>
      <c r="E81" s="83" t="s">
        <v>493</v>
      </c>
      <c r="F81" s="92"/>
      <c r="G81" s="92"/>
      <c r="H81" s="92"/>
      <c r="I81" s="92"/>
      <c r="J81" s="92"/>
      <c r="K81" s="75">
        <v>2</v>
      </c>
      <c r="L81" s="92"/>
      <c r="M81" s="16">
        <v>4</v>
      </c>
      <c r="N81" s="16">
        <v>3</v>
      </c>
      <c r="O81" s="61"/>
      <c r="P81" s="16">
        <v>3</v>
      </c>
      <c r="Q81" s="43">
        <f t="shared" si="13"/>
        <v>3.3333333333333335</v>
      </c>
      <c r="R81" s="16">
        <v>3</v>
      </c>
      <c r="S81" s="61"/>
      <c r="T81" s="61"/>
      <c r="U81" s="61"/>
      <c r="V81" s="61"/>
      <c r="W81" s="42">
        <f t="shared" si="14"/>
        <v>3</v>
      </c>
      <c r="X81" s="16">
        <v>3</v>
      </c>
      <c r="Y81" s="61"/>
      <c r="Z81" s="61"/>
      <c r="AA81" s="61"/>
      <c r="AB81" s="61"/>
      <c r="AC81" s="42">
        <f t="shared" si="15"/>
        <v>3</v>
      </c>
      <c r="AD81" s="16">
        <v>4</v>
      </c>
      <c r="AE81" s="61"/>
      <c r="AF81" s="61"/>
      <c r="AG81" s="61"/>
      <c r="AH81" s="61"/>
      <c r="AI81" s="42">
        <f t="shared" si="16"/>
        <v>4</v>
      </c>
      <c r="AJ81" s="61"/>
      <c r="AK81" s="16">
        <v>3</v>
      </c>
      <c r="AL81" s="61"/>
      <c r="AM81" s="61"/>
      <c r="AN81" s="61"/>
      <c r="AO81" s="43">
        <f t="shared" si="17"/>
        <v>3</v>
      </c>
      <c r="AP81" s="16">
        <v>4</v>
      </c>
      <c r="AQ81" s="16"/>
      <c r="AR81" s="16"/>
      <c r="AS81" s="16"/>
      <c r="AT81" s="16"/>
      <c r="AU81" s="42">
        <f t="shared" si="18"/>
        <v>4</v>
      </c>
      <c r="AV81" s="16"/>
      <c r="AW81" s="16"/>
      <c r="AX81" s="61"/>
      <c r="AY81" s="16">
        <v>5</v>
      </c>
      <c r="AZ81" s="16"/>
      <c r="BA81" s="43">
        <f t="shared" si="19"/>
        <v>5</v>
      </c>
    </row>
    <row r="82" spans="1:53" ht="23.1" customHeight="1" x14ac:dyDescent="0.3">
      <c r="A82" s="76">
        <v>79</v>
      </c>
      <c r="B82" s="76" t="s">
        <v>199</v>
      </c>
      <c r="C82" s="77" t="s">
        <v>200</v>
      </c>
      <c r="D82" s="76" t="s">
        <v>450</v>
      </c>
      <c r="E82" s="76" t="s">
        <v>161</v>
      </c>
      <c r="F82" s="81"/>
      <c r="G82" s="81"/>
      <c r="H82" s="81"/>
      <c r="I82" s="81"/>
      <c r="J82" s="81"/>
      <c r="K82" s="75">
        <v>3</v>
      </c>
      <c r="L82" s="81"/>
      <c r="M82" s="34">
        <v>3</v>
      </c>
      <c r="N82" s="34">
        <v>3</v>
      </c>
      <c r="O82" s="58"/>
      <c r="P82" s="34">
        <v>3</v>
      </c>
      <c r="Q82" s="43">
        <f t="shared" si="13"/>
        <v>3</v>
      </c>
      <c r="R82" s="34">
        <v>5</v>
      </c>
      <c r="S82" s="58"/>
      <c r="T82" s="58"/>
      <c r="U82" s="58"/>
      <c r="V82" s="58"/>
      <c r="W82" s="42">
        <f t="shared" si="14"/>
        <v>5</v>
      </c>
      <c r="X82" s="34">
        <v>5</v>
      </c>
      <c r="Y82" s="58"/>
      <c r="Z82" s="58"/>
      <c r="AA82" s="58"/>
      <c r="AB82" s="58"/>
      <c r="AC82" s="42">
        <f t="shared" si="15"/>
        <v>5</v>
      </c>
      <c r="AD82" s="34">
        <v>4</v>
      </c>
      <c r="AE82" s="58"/>
      <c r="AF82" s="58"/>
      <c r="AG82" s="58"/>
      <c r="AH82" s="58"/>
      <c r="AI82" s="42">
        <f t="shared" si="16"/>
        <v>4</v>
      </c>
      <c r="AJ82" s="58"/>
      <c r="AK82" s="34">
        <v>5</v>
      </c>
      <c r="AL82" s="58"/>
      <c r="AM82" s="58"/>
      <c r="AN82" s="58"/>
      <c r="AO82" s="43">
        <f t="shared" si="17"/>
        <v>5</v>
      </c>
      <c r="AP82" s="34">
        <v>5</v>
      </c>
      <c r="AQ82" s="34"/>
      <c r="AR82" s="34"/>
      <c r="AS82" s="34"/>
      <c r="AT82" s="34"/>
      <c r="AU82" s="42">
        <f t="shared" si="18"/>
        <v>5</v>
      </c>
      <c r="AV82" s="34"/>
      <c r="AW82" s="34"/>
      <c r="AX82" s="58"/>
      <c r="AY82" s="34">
        <v>4</v>
      </c>
      <c r="AZ82" s="34"/>
      <c r="BA82" s="43">
        <f t="shared" si="19"/>
        <v>4</v>
      </c>
    </row>
    <row r="83" spans="1:53" ht="23.1" customHeight="1" x14ac:dyDescent="0.3">
      <c r="A83" s="83">
        <v>80</v>
      </c>
      <c r="B83" s="83" t="s">
        <v>332</v>
      </c>
      <c r="C83" s="84" t="s">
        <v>333</v>
      </c>
      <c r="D83" s="83" t="s">
        <v>450</v>
      </c>
      <c r="E83" s="83" t="s">
        <v>493</v>
      </c>
      <c r="F83" s="86"/>
      <c r="G83" s="86"/>
      <c r="H83" s="86"/>
      <c r="I83" s="86"/>
      <c r="J83" s="86"/>
      <c r="K83" s="75">
        <v>2</v>
      </c>
      <c r="L83" s="86"/>
      <c r="M83" s="16">
        <v>3.5</v>
      </c>
      <c r="N83" s="16">
        <v>3</v>
      </c>
      <c r="O83" s="57"/>
      <c r="P83" s="16">
        <v>3</v>
      </c>
      <c r="Q83" s="43">
        <f t="shared" si="13"/>
        <v>3.1666666666666665</v>
      </c>
      <c r="R83" s="16">
        <v>3</v>
      </c>
      <c r="S83" s="57"/>
      <c r="T83" s="57"/>
      <c r="U83" s="57"/>
      <c r="V83" s="57"/>
      <c r="W83" s="42">
        <f t="shared" si="14"/>
        <v>3</v>
      </c>
      <c r="X83" s="16">
        <v>3</v>
      </c>
      <c r="Y83" s="57"/>
      <c r="Z83" s="57"/>
      <c r="AA83" s="57"/>
      <c r="AB83" s="57"/>
      <c r="AC83" s="42">
        <f t="shared" si="15"/>
        <v>3</v>
      </c>
      <c r="AD83" s="16">
        <v>3</v>
      </c>
      <c r="AE83" s="57"/>
      <c r="AF83" s="57"/>
      <c r="AG83" s="57"/>
      <c r="AH83" s="57"/>
      <c r="AI83" s="42">
        <f t="shared" si="16"/>
        <v>3</v>
      </c>
      <c r="AJ83" s="57"/>
      <c r="AK83" s="16">
        <v>2</v>
      </c>
      <c r="AL83" s="57"/>
      <c r="AM83" s="57"/>
      <c r="AN83" s="57"/>
      <c r="AO83" s="43">
        <f t="shared" si="17"/>
        <v>2</v>
      </c>
      <c r="AP83" s="16">
        <v>2.5</v>
      </c>
      <c r="AQ83" s="16"/>
      <c r="AR83" s="16"/>
      <c r="AS83" s="16"/>
      <c r="AT83" s="16"/>
      <c r="AU83" s="42">
        <f t="shared" si="18"/>
        <v>2.5</v>
      </c>
      <c r="AV83" s="16"/>
      <c r="AW83" s="16"/>
      <c r="AX83" s="57"/>
      <c r="AY83" s="16">
        <v>3</v>
      </c>
      <c r="AZ83" s="16"/>
      <c r="BA83" s="43">
        <f t="shared" si="19"/>
        <v>3</v>
      </c>
    </row>
    <row r="84" spans="1:53" ht="23.1" customHeight="1" x14ac:dyDescent="0.3">
      <c r="A84" s="76">
        <v>81</v>
      </c>
      <c r="B84" s="76" t="s">
        <v>334</v>
      </c>
      <c r="C84" s="77" t="s">
        <v>335</v>
      </c>
      <c r="D84" s="76" t="s">
        <v>542</v>
      </c>
      <c r="E84" s="76" t="s">
        <v>493</v>
      </c>
      <c r="F84" s="81"/>
      <c r="G84" s="81"/>
      <c r="H84" s="81"/>
      <c r="I84" s="81"/>
      <c r="J84" s="81"/>
      <c r="K84" s="75">
        <v>3</v>
      </c>
      <c r="L84" s="81"/>
      <c r="M84" s="34">
        <v>4.5</v>
      </c>
      <c r="N84" s="34">
        <v>4.5</v>
      </c>
      <c r="O84" s="58"/>
      <c r="P84" s="34">
        <v>4</v>
      </c>
      <c r="Q84" s="43">
        <f t="shared" si="13"/>
        <v>4.333333333333333</v>
      </c>
      <c r="R84" s="34">
        <v>3.5</v>
      </c>
      <c r="S84" s="58"/>
      <c r="T84" s="58"/>
      <c r="U84" s="58"/>
      <c r="V84" s="58"/>
      <c r="W84" s="42">
        <f t="shared" si="14"/>
        <v>3.5</v>
      </c>
      <c r="X84" s="34">
        <v>3.5</v>
      </c>
      <c r="Y84" s="58"/>
      <c r="Z84" s="58"/>
      <c r="AA84" s="58"/>
      <c r="AB84" s="58"/>
      <c r="AC84" s="42">
        <f t="shared" si="15"/>
        <v>3.5</v>
      </c>
      <c r="AD84" s="34">
        <v>4</v>
      </c>
      <c r="AE84" s="58"/>
      <c r="AF84" s="58"/>
      <c r="AG84" s="58"/>
      <c r="AH84" s="58"/>
      <c r="AI84" s="42">
        <f t="shared" si="16"/>
        <v>4</v>
      </c>
      <c r="AJ84" s="58"/>
      <c r="AK84" s="34">
        <v>4</v>
      </c>
      <c r="AL84" s="58"/>
      <c r="AM84" s="58"/>
      <c r="AN84" s="58"/>
      <c r="AO84" s="43">
        <f t="shared" si="17"/>
        <v>4</v>
      </c>
      <c r="AP84" s="34">
        <v>3.5</v>
      </c>
      <c r="AQ84" s="34"/>
      <c r="AR84" s="34"/>
      <c r="AS84" s="34"/>
      <c r="AT84" s="34"/>
      <c r="AU84" s="42">
        <f t="shared" si="18"/>
        <v>3.5</v>
      </c>
      <c r="AV84" s="34"/>
      <c r="AW84" s="34"/>
      <c r="AX84" s="58"/>
      <c r="AY84" s="34">
        <v>4</v>
      </c>
      <c r="AZ84" s="34"/>
      <c r="BA84" s="43">
        <f t="shared" si="19"/>
        <v>4</v>
      </c>
    </row>
    <row r="85" spans="1:53" ht="23.1" customHeight="1" x14ac:dyDescent="0.3">
      <c r="A85" s="83">
        <v>82</v>
      </c>
      <c r="B85" s="83" t="s">
        <v>81</v>
      </c>
      <c r="C85" s="84" t="s">
        <v>82</v>
      </c>
      <c r="D85" s="83" t="s">
        <v>542</v>
      </c>
      <c r="E85" s="83" t="s">
        <v>35</v>
      </c>
      <c r="F85" s="88"/>
      <c r="G85" s="88"/>
      <c r="H85" s="88"/>
      <c r="I85" s="88"/>
      <c r="J85" s="88"/>
      <c r="K85" s="75">
        <v>4</v>
      </c>
      <c r="L85" s="88"/>
      <c r="M85" s="16">
        <v>5</v>
      </c>
      <c r="N85" s="16">
        <v>5</v>
      </c>
      <c r="O85" s="59"/>
      <c r="P85" s="16">
        <v>5</v>
      </c>
      <c r="Q85" s="43">
        <f t="shared" si="13"/>
        <v>5</v>
      </c>
      <c r="R85" s="16">
        <v>5</v>
      </c>
      <c r="S85" s="59"/>
      <c r="T85" s="59"/>
      <c r="U85" s="59"/>
      <c r="V85" s="59"/>
      <c r="W85" s="42">
        <f t="shared" si="14"/>
        <v>5</v>
      </c>
      <c r="X85" s="16">
        <v>5</v>
      </c>
      <c r="Y85" s="59"/>
      <c r="Z85" s="59"/>
      <c r="AA85" s="59"/>
      <c r="AB85" s="59"/>
      <c r="AC85" s="42">
        <f t="shared" si="15"/>
        <v>5</v>
      </c>
      <c r="AD85" s="16">
        <v>5</v>
      </c>
      <c r="AE85" s="59"/>
      <c r="AF85" s="59"/>
      <c r="AG85" s="59"/>
      <c r="AH85" s="59"/>
      <c r="AI85" s="42">
        <f t="shared" si="16"/>
        <v>5</v>
      </c>
      <c r="AJ85" s="59"/>
      <c r="AK85" s="16">
        <v>5</v>
      </c>
      <c r="AL85" s="59"/>
      <c r="AM85" s="59"/>
      <c r="AN85" s="59"/>
      <c r="AO85" s="43">
        <f t="shared" si="17"/>
        <v>5</v>
      </c>
      <c r="AP85" s="16">
        <v>5</v>
      </c>
      <c r="AQ85" s="16"/>
      <c r="AR85" s="16"/>
      <c r="AS85" s="16"/>
      <c r="AT85" s="16"/>
      <c r="AU85" s="42">
        <f t="shared" si="18"/>
        <v>5</v>
      </c>
      <c r="AV85" s="16"/>
      <c r="AW85" s="16"/>
      <c r="AX85" s="59"/>
      <c r="AY85" s="16">
        <v>5</v>
      </c>
      <c r="AZ85" s="16"/>
      <c r="BA85" s="43">
        <f t="shared" si="19"/>
        <v>5</v>
      </c>
    </row>
    <row r="86" spans="1:53" ht="23.1" customHeight="1" x14ac:dyDescent="0.3">
      <c r="A86" s="76">
        <v>83</v>
      </c>
      <c r="B86" s="76" t="s">
        <v>70</v>
      </c>
      <c r="C86" s="77" t="s">
        <v>71</v>
      </c>
      <c r="D86" s="76" t="s">
        <v>450</v>
      </c>
      <c r="E86" s="76" t="s">
        <v>35</v>
      </c>
      <c r="F86" s="81"/>
      <c r="G86" s="81"/>
      <c r="H86" s="81"/>
      <c r="I86" s="81"/>
      <c r="J86" s="81"/>
      <c r="K86" s="75">
        <v>3</v>
      </c>
      <c r="L86" s="81"/>
      <c r="M86" s="34">
        <v>4</v>
      </c>
      <c r="N86" s="34">
        <v>4</v>
      </c>
      <c r="O86" s="58"/>
      <c r="P86" s="34">
        <v>4</v>
      </c>
      <c r="Q86" s="43">
        <f t="shared" si="13"/>
        <v>4</v>
      </c>
      <c r="R86" s="34">
        <v>4</v>
      </c>
      <c r="S86" s="58"/>
      <c r="T86" s="58"/>
      <c r="U86" s="58"/>
      <c r="V86" s="58"/>
      <c r="W86" s="42">
        <f t="shared" si="14"/>
        <v>4</v>
      </c>
      <c r="X86" s="34">
        <v>4</v>
      </c>
      <c r="Y86" s="58"/>
      <c r="Z86" s="58"/>
      <c r="AA86" s="58"/>
      <c r="AB86" s="58"/>
      <c r="AC86" s="42">
        <f t="shared" si="15"/>
        <v>4</v>
      </c>
      <c r="AD86" s="34">
        <v>3</v>
      </c>
      <c r="AE86" s="58"/>
      <c r="AF86" s="58"/>
      <c r="AG86" s="58"/>
      <c r="AH86" s="58"/>
      <c r="AI86" s="42">
        <f t="shared" si="16"/>
        <v>3</v>
      </c>
      <c r="AJ86" s="58"/>
      <c r="AK86" s="34">
        <v>3</v>
      </c>
      <c r="AL86" s="58"/>
      <c r="AM86" s="58"/>
      <c r="AN86" s="58"/>
      <c r="AO86" s="43">
        <f t="shared" si="17"/>
        <v>3</v>
      </c>
      <c r="AP86" s="34">
        <v>3</v>
      </c>
      <c r="AQ86" s="34"/>
      <c r="AR86" s="34"/>
      <c r="AS86" s="34"/>
      <c r="AT86" s="34"/>
      <c r="AU86" s="42">
        <f t="shared" si="18"/>
        <v>3</v>
      </c>
      <c r="AV86" s="34"/>
      <c r="AW86" s="34"/>
      <c r="AX86" s="58"/>
      <c r="AY86" s="34">
        <v>3</v>
      </c>
      <c r="AZ86" s="34"/>
      <c r="BA86" s="43">
        <f t="shared" si="19"/>
        <v>3</v>
      </c>
    </row>
    <row r="87" spans="1:53" ht="23.1" customHeight="1" x14ac:dyDescent="0.3">
      <c r="A87" s="83">
        <v>84</v>
      </c>
      <c r="B87" s="83" t="s">
        <v>336</v>
      </c>
      <c r="C87" s="84" t="s">
        <v>337</v>
      </c>
      <c r="D87" s="83" t="s">
        <v>450</v>
      </c>
      <c r="E87" s="83" t="s">
        <v>493</v>
      </c>
      <c r="F87" s="86"/>
      <c r="G87" s="86"/>
      <c r="H87" s="86"/>
      <c r="I87" s="86"/>
      <c r="J87" s="86"/>
      <c r="K87" s="75">
        <v>4</v>
      </c>
      <c r="L87" s="86"/>
      <c r="M87" s="16">
        <v>3.5</v>
      </c>
      <c r="N87" s="16">
        <v>4</v>
      </c>
      <c r="O87" s="57"/>
      <c r="P87" s="16">
        <v>4</v>
      </c>
      <c r="Q87" s="43">
        <f t="shared" si="13"/>
        <v>3.8333333333333335</v>
      </c>
      <c r="R87" s="16">
        <v>4</v>
      </c>
      <c r="S87" s="57"/>
      <c r="T87" s="57"/>
      <c r="U87" s="57"/>
      <c r="V87" s="57"/>
      <c r="W87" s="42">
        <f t="shared" si="14"/>
        <v>4</v>
      </c>
      <c r="X87" s="16">
        <v>4</v>
      </c>
      <c r="Y87" s="57"/>
      <c r="Z87" s="57"/>
      <c r="AA87" s="57"/>
      <c r="AB87" s="57"/>
      <c r="AC87" s="42">
        <f t="shared" si="15"/>
        <v>4</v>
      </c>
      <c r="AD87" s="16">
        <v>4</v>
      </c>
      <c r="AE87" s="57"/>
      <c r="AF87" s="57"/>
      <c r="AG87" s="57"/>
      <c r="AH87" s="57"/>
      <c r="AI87" s="42">
        <f t="shared" si="16"/>
        <v>4</v>
      </c>
      <c r="AJ87" s="57"/>
      <c r="AK87" s="16">
        <v>3.5</v>
      </c>
      <c r="AL87" s="57"/>
      <c r="AM87" s="57"/>
      <c r="AN87" s="57"/>
      <c r="AO87" s="43">
        <f t="shared" si="17"/>
        <v>3.5</v>
      </c>
      <c r="AP87" s="16">
        <v>4</v>
      </c>
      <c r="AQ87" s="16"/>
      <c r="AR87" s="16"/>
      <c r="AS87" s="16"/>
      <c r="AT87" s="16"/>
      <c r="AU87" s="42">
        <f t="shared" si="18"/>
        <v>4</v>
      </c>
      <c r="AV87" s="16"/>
      <c r="AW87" s="16"/>
      <c r="AX87" s="57"/>
      <c r="AY87" s="16">
        <v>4</v>
      </c>
      <c r="AZ87" s="16"/>
      <c r="BA87" s="43">
        <f t="shared" si="19"/>
        <v>4</v>
      </c>
    </row>
    <row r="88" spans="1:53" ht="23.1" customHeight="1" x14ac:dyDescent="0.3">
      <c r="A88" s="76">
        <v>85</v>
      </c>
      <c r="B88" s="76" t="s">
        <v>134</v>
      </c>
      <c r="C88" s="77" t="s">
        <v>135</v>
      </c>
      <c r="D88" s="76" t="s">
        <v>450</v>
      </c>
      <c r="E88" s="76" t="s">
        <v>35</v>
      </c>
      <c r="F88" s="81"/>
      <c r="G88" s="81"/>
      <c r="H88" s="81"/>
      <c r="I88" s="81"/>
      <c r="J88" s="81"/>
      <c r="K88" s="75">
        <v>3</v>
      </c>
      <c r="L88" s="81"/>
      <c r="M88" s="34">
        <v>5</v>
      </c>
      <c r="N88" s="34">
        <v>5</v>
      </c>
      <c r="O88" s="58"/>
      <c r="P88" s="34">
        <v>4</v>
      </c>
      <c r="Q88" s="43">
        <f t="shared" si="13"/>
        <v>4.666666666666667</v>
      </c>
      <c r="R88" s="34">
        <v>4</v>
      </c>
      <c r="S88" s="58"/>
      <c r="T88" s="58"/>
      <c r="U88" s="58"/>
      <c r="V88" s="58"/>
      <c r="W88" s="42">
        <f t="shared" si="14"/>
        <v>4</v>
      </c>
      <c r="X88" s="34">
        <v>4</v>
      </c>
      <c r="Y88" s="58"/>
      <c r="Z88" s="58"/>
      <c r="AA88" s="58"/>
      <c r="AB88" s="58"/>
      <c r="AC88" s="42">
        <f t="shared" si="15"/>
        <v>4</v>
      </c>
      <c r="AD88" s="34">
        <v>4</v>
      </c>
      <c r="AE88" s="58"/>
      <c r="AF88" s="58"/>
      <c r="AG88" s="58"/>
      <c r="AH88" s="58"/>
      <c r="AI88" s="42">
        <f t="shared" si="16"/>
        <v>4</v>
      </c>
      <c r="AJ88" s="58"/>
      <c r="AK88" s="34">
        <v>5</v>
      </c>
      <c r="AL88" s="58"/>
      <c r="AM88" s="58"/>
      <c r="AN88" s="58"/>
      <c r="AO88" s="43">
        <f t="shared" si="17"/>
        <v>5</v>
      </c>
      <c r="AP88" s="34">
        <v>3</v>
      </c>
      <c r="AQ88" s="34"/>
      <c r="AR88" s="34"/>
      <c r="AS88" s="34"/>
      <c r="AT88" s="34"/>
      <c r="AU88" s="42">
        <f t="shared" si="18"/>
        <v>3</v>
      </c>
      <c r="AV88" s="34"/>
      <c r="AW88" s="34"/>
      <c r="AX88" s="58"/>
      <c r="AY88" s="34">
        <v>4</v>
      </c>
      <c r="AZ88" s="34"/>
      <c r="BA88" s="43">
        <f t="shared" si="19"/>
        <v>4</v>
      </c>
    </row>
    <row r="89" spans="1:53" ht="23.1" customHeight="1" x14ac:dyDescent="0.3">
      <c r="A89" s="83">
        <v>86</v>
      </c>
      <c r="B89" s="83" t="s">
        <v>215</v>
      </c>
      <c r="C89" s="84" t="s">
        <v>216</v>
      </c>
      <c r="D89" s="83" t="s">
        <v>450</v>
      </c>
      <c r="E89" s="83" t="s">
        <v>161</v>
      </c>
      <c r="F89" s="86"/>
      <c r="G89" s="86"/>
      <c r="H89" s="86"/>
      <c r="I89" s="86"/>
      <c r="J89" s="86"/>
      <c r="K89" s="75">
        <v>2</v>
      </c>
      <c r="L89" s="86"/>
      <c r="M89" s="16">
        <v>4</v>
      </c>
      <c r="N89" s="16">
        <v>3</v>
      </c>
      <c r="O89" s="57"/>
      <c r="P89" s="16">
        <v>4</v>
      </c>
      <c r="Q89" s="43">
        <f t="shared" si="13"/>
        <v>3.6666666666666665</v>
      </c>
      <c r="R89" s="16">
        <v>4</v>
      </c>
      <c r="S89" s="57"/>
      <c r="T89" s="57"/>
      <c r="U89" s="57"/>
      <c r="V89" s="57"/>
      <c r="W89" s="42">
        <f t="shared" si="14"/>
        <v>4</v>
      </c>
      <c r="X89" s="16">
        <v>4</v>
      </c>
      <c r="Y89" s="57"/>
      <c r="Z89" s="57"/>
      <c r="AA89" s="57"/>
      <c r="AB89" s="57"/>
      <c r="AC89" s="42">
        <f t="shared" si="15"/>
        <v>4</v>
      </c>
      <c r="AD89" s="16">
        <v>0</v>
      </c>
      <c r="AE89" s="57"/>
      <c r="AF89" s="57"/>
      <c r="AG89" s="57"/>
      <c r="AH89" s="57"/>
      <c r="AI89" s="42">
        <f t="shared" si="16"/>
        <v>0</v>
      </c>
      <c r="AJ89" s="57"/>
      <c r="AK89" s="16">
        <v>3</v>
      </c>
      <c r="AL89" s="57"/>
      <c r="AM89" s="57"/>
      <c r="AN89" s="57"/>
      <c r="AO89" s="43">
        <f t="shared" si="17"/>
        <v>3</v>
      </c>
      <c r="AP89" s="16">
        <v>3</v>
      </c>
      <c r="AQ89" s="16"/>
      <c r="AR89" s="16"/>
      <c r="AS89" s="16"/>
      <c r="AT89" s="16"/>
      <c r="AU89" s="42">
        <f t="shared" si="18"/>
        <v>3</v>
      </c>
      <c r="AV89" s="16"/>
      <c r="AW89" s="16"/>
      <c r="AX89" s="57"/>
      <c r="AY89" s="16">
        <v>4</v>
      </c>
      <c r="AZ89" s="16"/>
      <c r="BA89" s="43">
        <f t="shared" si="19"/>
        <v>4</v>
      </c>
    </row>
    <row r="90" spans="1:53" ht="23.1" customHeight="1" x14ac:dyDescent="0.3">
      <c r="A90" s="76">
        <v>87</v>
      </c>
      <c r="B90" s="76" t="s">
        <v>338</v>
      </c>
      <c r="C90" s="77" t="s">
        <v>339</v>
      </c>
      <c r="D90" s="76" t="s">
        <v>542</v>
      </c>
      <c r="E90" s="76" t="s">
        <v>493</v>
      </c>
      <c r="F90" s="81"/>
      <c r="G90" s="81"/>
      <c r="H90" s="81"/>
      <c r="I90" s="81"/>
      <c r="J90" s="81"/>
      <c r="K90" s="75">
        <v>3</v>
      </c>
      <c r="L90" s="81"/>
      <c r="M90" s="34">
        <v>3</v>
      </c>
      <c r="N90" s="34">
        <v>3</v>
      </c>
      <c r="O90" s="58"/>
      <c r="P90" s="34">
        <v>4</v>
      </c>
      <c r="Q90" s="43">
        <f t="shared" si="13"/>
        <v>3.3333333333333335</v>
      </c>
      <c r="R90" s="34">
        <v>4</v>
      </c>
      <c r="S90" s="58"/>
      <c r="T90" s="58"/>
      <c r="U90" s="58"/>
      <c r="V90" s="58"/>
      <c r="W90" s="42">
        <f t="shared" si="14"/>
        <v>4</v>
      </c>
      <c r="X90" s="34">
        <v>4</v>
      </c>
      <c r="Y90" s="58"/>
      <c r="Z90" s="58"/>
      <c r="AA90" s="58"/>
      <c r="AB90" s="58"/>
      <c r="AC90" s="42">
        <f t="shared" si="15"/>
        <v>4</v>
      </c>
      <c r="AD90" s="34">
        <v>3</v>
      </c>
      <c r="AE90" s="58"/>
      <c r="AF90" s="58"/>
      <c r="AG90" s="58"/>
      <c r="AH90" s="58"/>
      <c r="AI90" s="42">
        <f t="shared" si="16"/>
        <v>3</v>
      </c>
      <c r="AJ90" s="58"/>
      <c r="AK90" s="34">
        <v>4</v>
      </c>
      <c r="AL90" s="58"/>
      <c r="AM90" s="58"/>
      <c r="AN90" s="58"/>
      <c r="AO90" s="43">
        <f t="shared" si="17"/>
        <v>4</v>
      </c>
      <c r="AP90" s="34">
        <v>3</v>
      </c>
      <c r="AQ90" s="34"/>
      <c r="AR90" s="34"/>
      <c r="AS90" s="34"/>
      <c r="AT90" s="34"/>
      <c r="AU90" s="42">
        <f t="shared" si="18"/>
        <v>3</v>
      </c>
      <c r="AV90" s="34"/>
      <c r="AW90" s="34"/>
      <c r="AX90" s="58"/>
      <c r="AY90" s="34">
        <v>4</v>
      </c>
      <c r="AZ90" s="34"/>
      <c r="BA90" s="43">
        <f t="shared" si="19"/>
        <v>4</v>
      </c>
    </row>
    <row r="91" spans="1:53" ht="23.1" customHeight="1" x14ac:dyDescent="0.3">
      <c r="A91" s="83">
        <v>88</v>
      </c>
      <c r="B91" s="83" t="s">
        <v>136</v>
      </c>
      <c r="C91" s="84" t="s">
        <v>137</v>
      </c>
      <c r="D91" s="83" t="s">
        <v>542</v>
      </c>
      <c r="E91" s="83" t="s">
        <v>35</v>
      </c>
      <c r="F91" s="86"/>
      <c r="G91" s="86"/>
      <c r="H91" s="86"/>
      <c r="I91" s="86"/>
      <c r="J91" s="86"/>
      <c r="K91" s="75">
        <v>3</v>
      </c>
      <c r="L91" s="86"/>
      <c r="M91" s="16">
        <v>4</v>
      </c>
      <c r="N91" s="16">
        <v>4</v>
      </c>
      <c r="O91" s="57"/>
      <c r="P91" s="16">
        <v>4</v>
      </c>
      <c r="Q91" s="43">
        <f t="shared" si="13"/>
        <v>4</v>
      </c>
      <c r="R91" s="16">
        <v>5</v>
      </c>
      <c r="S91" s="57"/>
      <c r="T91" s="57"/>
      <c r="U91" s="57"/>
      <c r="V91" s="57"/>
      <c r="W91" s="42">
        <f t="shared" si="14"/>
        <v>5</v>
      </c>
      <c r="X91" s="16">
        <v>5</v>
      </c>
      <c r="Y91" s="57"/>
      <c r="Z91" s="57"/>
      <c r="AA91" s="57"/>
      <c r="AB91" s="57"/>
      <c r="AC91" s="42">
        <f t="shared" si="15"/>
        <v>5</v>
      </c>
      <c r="AD91" s="16">
        <v>4</v>
      </c>
      <c r="AE91" s="57"/>
      <c r="AF91" s="57"/>
      <c r="AG91" s="57"/>
      <c r="AH91" s="57"/>
      <c r="AI91" s="42">
        <f t="shared" si="16"/>
        <v>4</v>
      </c>
      <c r="AJ91" s="57"/>
      <c r="AK91" s="16">
        <v>5</v>
      </c>
      <c r="AL91" s="57"/>
      <c r="AM91" s="57"/>
      <c r="AN91" s="57"/>
      <c r="AO91" s="43">
        <f t="shared" si="17"/>
        <v>5</v>
      </c>
      <c r="AP91" s="16">
        <v>5</v>
      </c>
      <c r="AQ91" s="16"/>
      <c r="AR91" s="16"/>
      <c r="AS91" s="16"/>
      <c r="AT91" s="16"/>
      <c r="AU91" s="42">
        <f t="shared" si="18"/>
        <v>5</v>
      </c>
      <c r="AV91" s="16"/>
      <c r="AW91" s="16"/>
      <c r="AX91" s="57"/>
      <c r="AY91" s="16">
        <v>4</v>
      </c>
      <c r="AZ91" s="16"/>
      <c r="BA91" s="43">
        <f t="shared" si="19"/>
        <v>4</v>
      </c>
    </row>
    <row r="92" spans="1:53" ht="23.1" customHeight="1" x14ac:dyDescent="0.3">
      <c r="A92" s="76">
        <v>89</v>
      </c>
      <c r="B92" s="76" t="s">
        <v>62</v>
      </c>
      <c r="C92" s="77" t="s">
        <v>63</v>
      </c>
      <c r="D92" s="76" t="s">
        <v>542</v>
      </c>
      <c r="E92" s="76" t="s">
        <v>35</v>
      </c>
      <c r="F92" s="81"/>
      <c r="G92" s="81"/>
      <c r="H92" s="81"/>
      <c r="I92" s="81"/>
      <c r="J92" s="81"/>
      <c r="K92" s="75">
        <v>3</v>
      </c>
      <c r="L92" s="81"/>
      <c r="M92" s="34">
        <v>3</v>
      </c>
      <c r="N92" s="34">
        <v>3</v>
      </c>
      <c r="O92" s="58"/>
      <c r="P92" s="34">
        <v>3</v>
      </c>
      <c r="Q92" s="43">
        <f t="shared" si="13"/>
        <v>3</v>
      </c>
      <c r="R92" s="34">
        <v>4</v>
      </c>
      <c r="S92" s="58"/>
      <c r="T92" s="58"/>
      <c r="U92" s="58"/>
      <c r="V92" s="58"/>
      <c r="W92" s="42">
        <f t="shared" si="14"/>
        <v>4</v>
      </c>
      <c r="X92" s="34">
        <v>4</v>
      </c>
      <c r="Y92" s="58"/>
      <c r="Z92" s="58"/>
      <c r="AA92" s="58"/>
      <c r="AB92" s="58"/>
      <c r="AC92" s="42">
        <f t="shared" si="15"/>
        <v>4</v>
      </c>
      <c r="AD92" s="34">
        <v>4</v>
      </c>
      <c r="AE92" s="58"/>
      <c r="AF92" s="58"/>
      <c r="AG92" s="58"/>
      <c r="AH92" s="58"/>
      <c r="AI92" s="42">
        <f t="shared" si="16"/>
        <v>4</v>
      </c>
      <c r="AJ92" s="58"/>
      <c r="AK92" s="34">
        <v>4</v>
      </c>
      <c r="AL92" s="58"/>
      <c r="AM92" s="58"/>
      <c r="AN92" s="58"/>
      <c r="AO92" s="43">
        <f t="shared" si="17"/>
        <v>4</v>
      </c>
      <c r="AP92" s="34">
        <v>4</v>
      </c>
      <c r="AQ92" s="34"/>
      <c r="AR92" s="34"/>
      <c r="AS92" s="34"/>
      <c r="AT92" s="34"/>
      <c r="AU92" s="42">
        <f t="shared" si="18"/>
        <v>4</v>
      </c>
      <c r="AV92" s="34"/>
      <c r="AW92" s="34"/>
      <c r="AX92" s="58"/>
      <c r="AY92" s="34">
        <v>3</v>
      </c>
      <c r="AZ92" s="34"/>
      <c r="BA92" s="43">
        <f t="shared" si="19"/>
        <v>3</v>
      </c>
    </row>
    <row r="93" spans="1:53" ht="23.1" customHeight="1" x14ac:dyDescent="0.3">
      <c r="A93" s="83">
        <v>90</v>
      </c>
      <c r="B93" s="83" t="s">
        <v>38</v>
      </c>
      <c r="C93" s="84" t="s">
        <v>39</v>
      </c>
      <c r="D93" s="83" t="s">
        <v>544</v>
      </c>
      <c r="E93" s="83" t="s">
        <v>35</v>
      </c>
      <c r="F93" s="86"/>
      <c r="G93" s="86"/>
      <c r="H93" s="86"/>
      <c r="I93" s="86"/>
      <c r="J93" s="86"/>
      <c r="K93" s="75">
        <v>3</v>
      </c>
      <c r="L93" s="86"/>
      <c r="M93" s="16">
        <v>4</v>
      </c>
      <c r="N93" s="16">
        <v>4</v>
      </c>
      <c r="O93" s="57"/>
      <c r="P93" s="16">
        <v>3</v>
      </c>
      <c r="Q93" s="43">
        <f t="shared" si="13"/>
        <v>3.6666666666666665</v>
      </c>
      <c r="R93" s="16">
        <v>4</v>
      </c>
      <c r="S93" s="57"/>
      <c r="T93" s="57"/>
      <c r="U93" s="57"/>
      <c r="V93" s="57"/>
      <c r="W93" s="42">
        <f t="shared" si="14"/>
        <v>4</v>
      </c>
      <c r="X93" s="16">
        <v>4</v>
      </c>
      <c r="Y93" s="57"/>
      <c r="Z93" s="57"/>
      <c r="AA93" s="57"/>
      <c r="AB93" s="57"/>
      <c r="AC93" s="42">
        <f t="shared" si="15"/>
        <v>4</v>
      </c>
      <c r="AD93" s="16">
        <v>3</v>
      </c>
      <c r="AE93" s="57"/>
      <c r="AF93" s="57"/>
      <c r="AG93" s="57"/>
      <c r="AH93" s="57"/>
      <c r="AI93" s="42">
        <f t="shared" si="16"/>
        <v>3</v>
      </c>
      <c r="AJ93" s="57"/>
      <c r="AK93" s="16">
        <v>3</v>
      </c>
      <c r="AL93" s="57"/>
      <c r="AM93" s="57"/>
      <c r="AN93" s="57"/>
      <c r="AO93" s="43">
        <f t="shared" si="17"/>
        <v>3</v>
      </c>
      <c r="AP93" s="16">
        <v>3</v>
      </c>
      <c r="AQ93" s="16"/>
      <c r="AR93" s="16"/>
      <c r="AS93" s="16"/>
      <c r="AT93" s="16"/>
      <c r="AU93" s="42">
        <f t="shared" si="18"/>
        <v>3</v>
      </c>
      <c r="AV93" s="16"/>
      <c r="AW93" s="16"/>
      <c r="AX93" s="57"/>
      <c r="AY93" s="16">
        <v>4</v>
      </c>
      <c r="AZ93" s="16"/>
      <c r="BA93" s="43">
        <f t="shared" si="19"/>
        <v>4</v>
      </c>
    </row>
    <row r="94" spans="1:53" ht="23.1" customHeight="1" x14ac:dyDescent="0.3">
      <c r="A94" s="76">
        <v>91</v>
      </c>
      <c r="B94" s="76" t="s">
        <v>138</v>
      </c>
      <c r="C94" s="77" t="s">
        <v>139</v>
      </c>
      <c r="D94" s="76" t="s">
        <v>450</v>
      </c>
      <c r="E94" s="76" t="s">
        <v>35</v>
      </c>
      <c r="F94" s="81"/>
      <c r="G94" s="81"/>
      <c r="H94" s="81"/>
      <c r="I94" s="81"/>
      <c r="J94" s="81"/>
      <c r="K94" s="75">
        <v>2</v>
      </c>
      <c r="L94" s="81"/>
      <c r="M94" s="34">
        <v>5</v>
      </c>
      <c r="N94" s="34">
        <v>5</v>
      </c>
      <c r="O94" s="58"/>
      <c r="P94" s="34">
        <v>5</v>
      </c>
      <c r="Q94" s="43">
        <f t="shared" si="13"/>
        <v>5</v>
      </c>
      <c r="R94" s="34">
        <v>5</v>
      </c>
      <c r="S94" s="58"/>
      <c r="T94" s="58"/>
      <c r="U94" s="58"/>
      <c r="V94" s="58"/>
      <c r="W94" s="42">
        <f t="shared" si="14"/>
        <v>5</v>
      </c>
      <c r="X94" s="34">
        <v>5</v>
      </c>
      <c r="Y94" s="58"/>
      <c r="Z94" s="58"/>
      <c r="AA94" s="58"/>
      <c r="AB94" s="58"/>
      <c r="AC94" s="42">
        <f t="shared" si="15"/>
        <v>5</v>
      </c>
      <c r="AD94" s="34">
        <v>5</v>
      </c>
      <c r="AE94" s="58"/>
      <c r="AF94" s="58"/>
      <c r="AG94" s="58"/>
      <c r="AH94" s="58"/>
      <c r="AI94" s="42">
        <f t="shared" si="16"/>
        <v>5</v>
      </c>
      <c r="AJ94" s="58"/>
      <c r="AK94" s="34">
        <v>5</v>
      </c>
      <c r="AL94" s="58"/>
      <c r="AM94" s="58"/>
      <c r="AN94" s="58"/>
      <c r="AO94" s="43">
        <f t="shared" si="17"/>
        <v>5</v>
      </c>
      <c r="AP94" s="34">
        <v>5</v>
      </c>
      <c r="AQ94" s="34"/>
      <c r="AR94" s="34"/>
      <c r="AS94" s="34"/>
      <c r="AT94" s="34"/>
      <c r="AU94" s="42">
        <f t="shared" si="18"/>
        <v>5</v>
      </c>
      <c r="AV94" s="34"/>
      <c r="AW94" s="34"/>
      <c r="AX94" s="58"/>
      <c r="AY94" s="34">
        <v>5</v>
      </c>
      <c r="AZ94" s="34"/>
      <c r="BA94" s="43">
        <f t="shared" si="19"/>
        <v>5</v>
      </c>
    </row>
    <row r="95" spans="1:53" ht="23.1" customHeight="1" x14ac:dyDescent="0.3">
      <c r="A95" s="83">
        <v>92</v>
      </c>
      <c r="B95" s="83" t="s">
        <v>231</v>
      </c>
      <c r="C95" s="84" t="s">
        <v>232</v>
      </c>
      <c r="D95" s="83" t="s">
        <v>450</v>
      </c>
      <c r="E95" s="83" t="s">
        <v>161</v>
      </c>
      <c r="F95" s="92"/>
      <c r="G95" s="92"/>
      <c r="H95" s="92"/>
      <c r="I95" s="92"/>
      <c r="J95" s="92"/>
      <c r="K95" s="75">
        <v>4</v>
      </c>
      <c r="L95" s="92"/>
      <c r="M95" s="16">
        <v>2</v>
      </c>
      <c r="N95" s="16">
        <v>2</v>
      </c>
      <c r="O95" s="61"/>
      <c r="P95" s="16">
        <v>2</v>
      </c>
      <c r="Q95" s="43">
        <f t="shared" si="13"/>
        <v>2</v>
      </c>
      <c r="R95" s="16">
        <v>3</v>
      </c>
      <c r="S95" s="61"/>
      <c r="T95" s="61"/>
      <c r="U95" s="61"/>
      <c r="V95" s="61"/>
      <c r="W95" s="42">
        <f t="shared" si="14"/>
        <v>3</v>
      </c>
      <c r="X95" s="16">
        <v>3</v>
      </c>
      <c r="Y95" s="61"/>
      <c r="Z95" s="61"/>
      <c r="AA95" s="61"/>
      <c r="AB95" s="61"/>
      <c r="AC95" s="42">
        <f t="shared" si="15"/>
        <v>3</v>
      </c>
      <c r="AD95" s="16">
        <v>0</v>
      </c>
      <c r="AE95" s="61"/>
      <c r="AF95" s="61"/>
      <c r="AG95" s="61"/>
      <c r="AH95" s="61"/>
      <c r="AI95" s="42">
        <f t="shared" si="16"/>
        <v>0</v>
      </c>
      <c r="AJ95" s="61"/>
      <c r="AK95" s="16">
        <v>3</v>
      </c>
      <c r="AL95" s="61"/>
      <c r="AM95" s="61"/>
      <c r="AN95" s="61"/>
      <c r="AO95" s="43">
        <f t="shared" si="17"/>
        <v>3</v>
      </c>
      <c r="AP95" s="16">
        <v>3</v>
      </c>
      <c r="AQ95" s="16"/>
      <c r="AR95" s="16"/>
      <c r="AS95" s="16"/>
      <c r="AT95" s="16"/>
      <c r="AU95" s="42">
        <f t="shared" si="18"/>
        <v>3</v>
      </c>
      <c r="AV95" s="16"/>
      <c r="AW95" s="16"/>
      <c r="AX95" s="61"/>
      <c r="AY95" s="16">
        <v>3</v>
      </c>
      <c r="AZ95" s="16"/>
      <c r="BA95" s="43">
        <f t="shared" si="19"/>
        <v>3</v>
      </c>
    </row>
    <row r="96" spans="1:53" ht="23.1" customHeight="1" x14ac:dyDescent="0.3">
      <c r="A96" s="76">
        <v>93</v>
      </c>
      <c r="B96" s="76" t="s">
        <v>340</v>
      </c>
      <c r="C96" s="77" t="s">
        <v>341</v>
      </c>
      <c r="D96" s="76" t="s">
        <v>542</v>
      </c>
      <c r="E96" s="76" t="s">
        <v>493</v>
      </c>
      <c r="F96" s="81"/>
      <c r="G96" s="81"/>
      <c r="H96" s="81"/>
      <c r="I96" s="81"/>
      <c r="J96" s="81"/>
      <c r="K96" s="75">
        <v>2</v>
      </c>
      <c r="L96" s="81"/>
      <c r="M96" s="34">
        <v>4</v>
      </c>
      <c r="N96" s="34">
        <v>4</v>
      </c>
      <c r="O96" s="58"/>
      <c r="P96" s="34">
        <v>4</v>
      </c>
      <c r="Q96" s="43">
        <f t="shared" si="13"/>
        <v>4</v>
      </c>
      <c r="R96" s="34">
        <v>3</v>
      </c>
      <c r="S96" s="58"/>
      <c r="T96" s="58"/>
      <c r="U96" s="58"/>
      <c r="V96" s="58"/>
      <c r="W96" s="42">
        <f t="shared" si="14"/>
        <v>3</v>
      </c>
      <c r="X96" s="34">
        <v>3</v>
      </c>
      <c r="Y96" s="58"/>
      <c r="Z96" s="58"/>
      <c r="AA96" s="58"/>
      <c r="AB96" s="58"/>
      <c r="AC96" s="42">
        <f t="shared" si="15"/>
        <v>3</v>
      </c>
      <c r="AD96" s="34">
        <v>3</v>
      </c>
      <c r="AE96" s="58"/>
      <c r="AF96" s="58"/>
      <c r="AG96" s="58"/>
      <c r="AH96" s="58"/>
      <c r="AI96" s="42">
        <f t="shared" si="16"/>
        <v>3</v>
      </c>
      <c r="AJ96" s="58"/>
      <c r="AK96" s="34">
        <v>3</v>
      </c>
      <c r="AL96" s="58"/>
      <c r="AM96" s="58"/>
      <c r="AN96" s="58"/>
      <c r="AO96" s="43">
        <f t="shared" si="17"/>
        <v>3</v>
      </c>
      <c r="AP96" s="34">
        <v>4</v>
      </c>
      <c r="AQ96" s="34"/>
      <c r="AR96" s="34"/>
      <c r="AS96" s="34"/>
      <c r="AT96" s="34"/>
      <c r="AU96" s="42">
        <f t="shared" si="18"/>
        <v>4</v>
      </c>
      <c r="AV96" s="34"/>
      <c r="AW96" s="34"/>
      <c r="AX96" s="58"/>
      <c r="AY96" s="34">
        <v>4</v>
      </c>
      <c r="AZ96" s="34"/>
      <c r="BA96" s="43">
        <f t="shared" si="19"/>
        <v>4</v>
      </c>
    </row>
    <row r="97" spans="1:53" ht="23.1" customHeight="1" x14ac:dyDescent="0.3">
      <c r="A97" s="83">
        <v>94</v>
      </c>
      <c r="B97" s="83" t="s">
        <v>97</v>
      </c>
      <c r="C97" s="84" t="s">
        <v>98</v>
      </c>
      <c r="D97" s="83" t="s">
        <v>450</v>
      </c>
      <c r="E97" s="83" t="s">
        <v>35</v>
      </c>
      <c r="F97" s="86"/>
      <c r="G97" s="86"/>
      <c r="H97" s="86"/>
      <c r="I97" s="86"/>
      <c r="J97" s="86"/>
      <c r="K97" s="75">
        <v>2</v>
      </c>
      <c r="L97" s="86"/>
      <c r="M97" s="16">
        <v>3</v>
      </c>
      <c r="N97" s="16">
        <v>4</v>
      </c>
      <c r="O97" s="57"/>
      <c r="P97" s="16">
        <v>3</v>
      </c>
      <c r="Q97" s="43">
        <f t="shared" si="13"/>
        <v>3.3333333333333335</v>
      </c>
      <c r="R97" s="16">
        <v>4</v>
      </c>
      <c r="S97" s="57"/>
      <c r="T97" s="57"/>
      <c r="U97" s="57"/>
      <c r="V97" s="57"/>
      <c r="W97" s="42">
        <f t="shared" si="14"/>
        <v>4</v>
      </c>
      <c r="X97" s="16">
        <v>4</v>
      </c>
      <c r="Y97" s="57"/>
      <c r="Z97" s="57"/>
      <c r="AA97" s="57"/>
      <c r="AB97" s="57"/>
      <c r="AC97" s="42">
        <f t="shared" si="15"/>
        <v>4</v>
      </c>
      <c r="AD97" s="16">
        <v>4</v>
      </c>
      <c r="AE97" s="57"/>
      <c r="AF97" s="57"/>
      <c r="AG97" s="57"/>
      <c r="AH97" s="57"/>
      <c r="AI97" s="42">
        <f t="shared" si="16"/>
        <v>4</v>
      </c>
      <c r="AJ97" s="57"/>
      <c r="AK97" s="16">
        <v>4</v>
      </c>
      <c r="AL97" s="57"/>
      <c r="AM97" s="57"/>
      <c r="AN97" s="57"/>
      <c r="AO97" s="43">
        <f t="shared" si="17"/>
        <v>4</v>
      </c>
      <c r="AP97" s="16">
        <v>4</v>
      </c>
      <c r="AQ97" s="16"/>
      <c r="AR97" s="16"/>
      <c r="AS97" s="16"/>
      <c r="AT97" s="16"/>
      <c r="AU97" s="42">
        <f t="shared" si="18"/>
        <v>4</v>
      </c>
      <c r="AV97" s="16"/>
      <c r="AW97" s="16"/>
      <c r="AX97" s="57"/>
      <c r="AY97" s="16">
        <v>4</v>
      </c>
      <c r="AZ97" s="16"/>
      <c r="BA97" s="43">
        <f t="shared" si="19"/>
        <v>4</v>
      </c>
    </row>
    <row r="98" spans="1:53" ht="23.1" customHeight="1" x14ac:dyDescent="0.3">
      <c r="A98" s="76">
        <v>95</v>
      </c>
      <c r="B98" s="76" t="s">
        <v>249</v>
      </c>
      <c r="C98" s="77" t="s">
        <v>250</v>
      </c>
      <c r="D98" s="76" t="s">
        <v>450</v>
      </c>
      <c r="E98" s="76" t="s">
        <v>161</v>
      </c>
      <c r="F98" s="81"/>
      <c r="G98" s="81"/>
      <c r="H98" s="81"/>
      <c r="I98" s="81"/>
      <c r="J98" s="81"/>
      <c r="K98" s="75">
        <v>3</v>
      </c>
      <c r="L98" s="81"/>
      <c r="M98" s="34">
        <v>4</v>
      </c>
      <c r="N98" s="34">
        <v>4</v>
      </c>
      <c r="O98" s="58"/>
      <c r="P98" s="34">
        <v>4</v>
      </c>
      <c r="Q98" s="43">
        <f t="shared" si="13"/>
        <v>4</v>
      </c>
      <c r="R98" s="34">
        <v>3.5</v>
      </c>
      <c r="S98" s="58"/>
      <c r="T98" s="58"/>
      <c r="U98" s="58"/>
      <c r="V98" s="58"/>
      <c r="W98" s="42">
        <f t="shared" si="14"/>
        <v>3.5</v>
      </c>
      <c r="X98" s="34">
        <v>3.5</v>
      </c>
      <c r="Y98" s="58"/>
      <c r="Z98" s="58"/>
      <c r="AA98" s="58"/>
      <c r="AB98" s="58"/>
      <c r="AC98" s="42">
        <f t="shared" si="15"/>
        <v>3.5</v>
      </c>
      <c r="AD98" s="34">
        <v>4</v>
      </c>
      <c r="AE98" s="58"/>
      <c r="AF98" s="58"/>
      <c r="AG98" s="58"/>
      <c r="AH98" s="58"/>
      <c r="AI98" s="42">
        <f t="shared" si="16"/>
        <v>4</v>
      </c>
      <c r="AJ98" s="58"/>
      <c r="AK98" s="34">
        <v>4</v>
      </c>
      <c r="AL98" s="58"/>
      <c r="AM98" s="58"/>
      <c r="AN98" s="58"/>
      <c r="AO98" s="43">
        <f t="shared" si="17"/>
        <v>4</v>
      </c>
      <c r="AP98" s="34">
        <v>3</v>
      </c>
      <c r="AQ98" s="34"/>
      <c r="AR98" s="34"/>
      <c r="AS98" s="34"/>
      <c r="AT98" s="34"/>
      <c r="AU98" s="42">
        <f t="shared" si="18"/>
        <v>3</v>
      </c>
      <c r="AV98" s="34"/>
      <c r="AW98" s="34"/>
      <c r="AX98" s="58"/>
      <c r="AY98" s="34">
        <v>3.5</v>
      </c>
      <c r="AZ98" s="34"/>
      <c r="BA98" s="43">
        <f t="shared" si="19"/>
        <v>3.5</v>
      </c>
    </row>
    <row r="99" spans="1:53" ht="23.1" customHeight="1" x14ac:dyDescent="0.3">
      <c r="A99" s="83">
        <v>96</v>
      </c>
      <c r="B99" s="83" t="s">
        <v>342</v>
      </c>
      <c r="C99" s="84" t="s">
        <v>343</v>
      </c>
      <c r="D99" s="83" t="s">
        <v>450</v>
      </c>
      <c r="E99" s="83" t="s">
        <v>493</v>
      </c>
      <c r="F99" s="88"/>
      <c r="G99" s="88"/>
      <c r="H99" s="88"/>
      <c r="I99" s="88"/>
      <c r="J99" s="88"/>
      <c r="K99" s="75">
        <v>2</v>
      </c>
      <c r="L99" s="88"/>
      <c r="M99" s="16">
        <v>3</v>
      </c>
      <c r="N99" s="16">
        <v>3</v>
      </c>
      <c r="O99" s="59"/>
      <c r="P99" s="16">
        <v>3</v>
      </c>
      <c r="Q99" s="43">
        <f t="shared" si="13"/>
        <v>3</v>
      </c>
      <c r="R99" s="16">
        <v>4</v>
      </c>
      <c r="S99" s="59"/>
      <c r="T99" s="59"/>
      <c r="U99" s="59"/>
      <c r="V99" s="59"/>
      <c r="W99" s="42">
        <f t="shared" si="14"/>
        <v>4</v>
      </c>
      <c r="X99" s="16">
        <v>4</v>
      </c>
      <c r="Y99" s="59"/>
      <c r="Z99" s="59"/>
      <c r="AA99" s="59"/>
      <c r="AB99" s="59"/>
      <c r="AC99" s="42">
        <f t="shared" si="15"/>
        <v>4</v>
      </c>
      <c r="AD99" s="16">
        <v>3</v>
      </c>
      <c r="AE99" s="59"/>
      <c r="AF99" s="59"/>
      <c r="AG99" s="59"/>
      <c r="AH99" s="59"/>
      <c r="AI99" s="42">
        <f t="shared" si="16"/>
        <v>3</v>
      </c>
      <c r="AJ99" s="59"/>
      <c r="AK99" s="16">
        <v>2</v>
      </c>
      <c r="AL99" s="59"/>
      <c r="AM99" s="59"/>
      <c r="AN99" s="59"/>
      <c r="AO99" s="43">
        <f t="shared" si="17"/>
        <v>2</v>
      </c>
      <c r="AP99" s="16">
        <v>3</v>
      </c>
      <c r="AQ99" s="16"/>
      <c r="AR99" s="16"/>
      <c r="AS99" s="16"/>
      <c r="AT99" s="16"/>
      <c r="AU99" s="42">
        <f t="shared" si="18"/>
        <v>3</v>
      </c>
      <c r="AV99" s="16"/>
      <c r="AW99" s="16"/>
      <c r="AX99" s="59"/>
      <c r="AY99" s="16">
        <v>4</v>
      </c>
      <c r="AZ99" s="16"/>
      <c r="BA99" s="43">
        <f t="shared" si="19"/>
        <v>4</v>
      </c>
    </row>
    <row r="100" spans="1:53" ht="23.1" customHeight="1" x14ac:dyDescent="0.3">
      <c r="A100" s="76">
        <v>97</v>
      </c>
      <c r="B100" s="76" t="s">
        <v>184</v>
      </c>
      <c r="C100" s="77" t="s">
        <v>185</v>
      </c>
      <c r="D100" s="76" t="s">
        <v>542</v>
      </c>
      <c r="E100" s="76" t="s">
        <v>161</v>
      </c>
      <c r="F100" s="81"/>
      <c r="G100" s="81"/>
      <c r="H100" s="81"/>
      <c r="I100" s="81"/>
      <c r="J100" s="81"/>
      <c r="K100" s="75">
        <v>2</v>
      </c>
      <c r="L100" s="81"/>
      <c r="M100" s="34">
        <v>4</v>
      </c>
      <c r="N100" s="34">
        <v>3.5</v>
      </c>
      <c r="O100" s="58"/>
      <c r="P100" s="34">
        <v>4</v>
      </c>
      <c r="Q100" s="43">
        <f t="shared" si="13"/>
        <v>3.8333333333333335</v>
      </c>
      <c r="R100" s="34">
        <v>4</v>
      </c>
      <c r="S100" s="58"/>
      <c r="T100" s="58"/>
      <c r="U100" s="58"/>
      <c r="V100" s="58"/>
      <c r="W100" s="42">
        <f t="shared" si="14"/>
        <v>4</v>
      </c>
      <c r="X100" s="34">
        <v>4</v>
      </c>
      <c r="Y100" s="58"/>
      <c r="Z100" s="58"/>
      <c r="AA100" s="58"/>
      <c r="AB100" s="58"/>
      <c r="AC100" s="42">
        <f t="shared" si="15"/>
        <v>4</v>
      </c>
      <c r="AD100" s="34">
        <v>0</v>
      </c>
      <c r="AE100" s="58"/>
      <c r="AF100" s="58"/>
      <c r="AG100" s="58"/>
      <c r="AH100" s="58"/>
      <c r="AI100" s="42">
        <f t="shared" si="16"/>
        <v>0</v>
      </c>
      <c r="AJ100" s="58"/>
      <c r="AK100" s="34">
        <v>4</v>
      </c>
      <c r="AL100" s="58"/>
      <c r="AM100" s="58"/>
      <c r="AN100" s="58"/>
      <c r="AO100" s="43">
        <f t="shared" si="17"/>
        <v>4</v>
      </c>
      <c r="AP100" s="34">
        <v>4</v>
      </c>
      <c r="AQ100" s="34"/>
      <c r="AR100" s="34"/>
      <c r="AS100" s="34"/>
      <c r="AT100" s="34"/>
      <c r="AU100" s="42">
        <f t="shared" si="18"/>
        <v>4</v>
      </c>
      <c r="AV100" s="34"/>
      <c r="AW100" s="34"/>
      <c r="AX100" s="58"/>
      <c r="AY100" s="34">
        <v>4</v>
      </c>
      <c r="AZ100" s="34"/>
      <c r="BA100" s="43">
        <f t="shared" si="19"/>
        <v>4</v>
      </c>
    </row>
    <row r="101" spans="1:53" ht="23.1" customHeight="1" x14ac:dyDescent="0.3">
      <c r="A101" s="83">
        <v>98</v>
      </c>
      <c r="B101" s="83" t="s">
        <v>344</v>
      </c>
      <c r="C101" s="84" t="s">
        <v>345</v>
      </c>
      <c r="D101" s="83" t="s">
        <v>542</v>
      </c>
      <c r="E101" s="83" t="s">
        <v>493</v>
      </c>
      <c r="F101" s="86"/>
      <c r="G101" s="86"/>
      <c r="H101" s="86"/>
      <c r="I101" s="86"/>
      <c r="J101" s="86"/>
      <c r="K101" s="75">
        <v>3</v>
      </c>
      <c r="L101" s="86"/>
      <c r="M101" s="16">
        <v>4</v>
      </c>
      <c r="N101" s="16">
        <v>4</v>
      </c>
      <c r="O101" s="57"/>
      <c r="P101" s="16">
        <v>5</v>
      </c>
      <c r="Q101" s="43">
        <f t="shared" si="13"/>
        <v>4.333333333333333</v>
      </c>
      <c r="R101" s="16">
        <v>4</v>
      </c>
      <c r="S101" s="57"/>
      <c r="T101" s="57"/>
      <c r="U101" s="57"/>
      <c r="V101" s="57"/>
      <c r="W101" s="42">
        <f t="shared" si="14"/>
        <v>4</v>
      </c>
      <c r="X101" s="16">
        <v>4</v>
      </c>
      <c r="Y101" s="57"/>
      <c r="Z101" s="57"/>
      <c r="AA101" s="57"/>
      <c r="AB101" s="57"/>
      <c r="AC101" s="42">
        <f t="shared" si="15"/>
        <v>4</v>
      </c>
      <c r="AD101" s="16">
        <v>4</v>
      </c>
      <c r="AE101" s="57"/>
      <c r="AF101" s="57"/>
      <c r="AG101" s="57"/>
      <c r="AH101" s="57"/>
      <c r="AI101" s="42">
        <f t="shared" si="16"/>
        <v>4</v>
      </c>
      <c r="AJ101" s="57"/>
      <c r="AK101" s="16">
        <v>4</v>
      </c>
      <c r="AL101" s="57"/>
      <c r="AM101" s="57"/>
      <c r="AN101" s="57"/>
      <c r="AO101" s="43">
        <f t="shared" si="17"/>
        <v>4</v>
      </c>
      <c r="AP101" s="16">
        <v>4</v>
      </c>
      <c r="AQ101" s="16"/>
      <c r="AR101" s="16"/>
      <c r="AS101" s="16"/>
      <c r="AT101" s="16"/>
      <c r="AU101" s="42">
        <f t="shared" si="18"/>
        <v>4</v>
      </c>
      <c r="AV101" s="16"/>
      <c r="AW101" s="16"/>
      <c r="AX101" s="57"/>
      <c r="AY101" s="16">
        <v>3</v>
      </c>
      <c r="AZ101" s="16"/>
      <c r="BA101" s="43">
        <f t="shared" si="19"/>
        <v>3</v>
      </c>
    </row>
    <row r="102" spans="1:53" ht="23.1" customHeight="1" x14ac:dyDescent="0.3">
      <c r="A102" s="76">
        <v>99</v>
      </c>
      <c r="B102" s="76" t="s">
        <v>263</v>
      </c>
      <c r="C102" s="77" t="s">
        <v>264</v>
      </c>
      <c r="D102" s="76" t="s">
        <v>450</v>
      </c>
      <c r="E102" s="76" t="s">
        <v>161</v>
      </c>
      <c r="F102" s="81"/>
      <c r="G102" s="81"/>
      <c r="H102" s="81"/>
      <c r="I102" s="81"/>
      <c r="J102" s="81"/>
      <c r="K102" s="75">
        <v>2</v>
      </c>
      <c r="L102" s="81"/>
      <c r="M102" s="34">
        <v>2</v>
      </c>
      <c r="N102" s="34">
        <v>2</v>
      </c>
      <c r="O102" s="58"/>
      <c r="P102" s="34">
        <v>2</v>
      </c>
      <c r="Q102" s="43">
        <f t="shared" si="13"/>
        <v>2</v>
      </c>
      <c r="R102" s="34">
        <v>3</v>
      </c>
      <c r="S102" s="58"/>
      <c r="T102" s="58"/>
      <c r="U102" s="58"/>
      <c r="V102" s="58"/>
      <c r="W102" s="42">
        <f t="shared" si="14"/>
        <v>3</v>
      </c>
      <c r="X102" s="34">
        <v>3</v>
      </c>
      <c r="Y102" s="58"/>
      <c r="Z102" s="58"/>
      <c r="AA102" s="58"/>
      <c r="AB102" s="58"/>
      <c r="AC102" s="42">
        <f t="shared" si="15"/>
        <v>3</v>
      </c>
      <c r="AD102" s="34">
        <v>0</v>
      </c>
      <c r="AE102" s="58"/>
      <c r="AF102" s="58"/>
      <c r="AG102" s="58"/>
      <c r="AH102" s="58"/>
      <c r="AI102" s="42">
        <f t="shared" si="16"/>
        <v>0</v>
      </c>
      <c r="AJ102" s="58"/>
      <c r="AK102" s="34">
        <v>3</v>
      </c>
      <c r="AL102" s="58"/>
      <c r="AM102" s="58"/>
      <c r="AN102" s="58"/>
      <c r="AO102" s="43">
        <f t="shared" si="17"/>
        <v>3</v>
      </c>
      <c r="AP102" s="34">
        <v>2</v>
      </c>
      <c r="AQ102" s="34"/>
      <c r="AR102" s="34"/>
      <c r="AS102" s="34"/>
      <c r="AT102" s="34"/>
      <c r="AU102" s="42">
        <f t="shared" si="18"/>
        <v>2</v>
      </c>
      <c r="AV102" s="34"/>
      <c r="AW102" s="34"/>
      <c r="AX102" s="58"/>
      <c r="AY102" s="34">
        <v>3</v>
      </c>
      <c r="AZ102" s="34"/>
      <c r="BA102" s="43">
        <f t="shared" si="19"/>
        <v>3</v>
      </c>
    </row>
    <row r="103" spans="1:53" ht="23.1" customHeight="1" x14ac:dyDescent="0.3">
      <c r="A103" s="83">
        <v>100</v>
      </c>
      <c r="B103" s="83" t="s">
        <v>140</v>
      </c>
      <c r="C103" s="84" t="s">
        <v>141</v>
      </c>
      <c r="D103" s="83" t="s">
        <v>450</v>
      </c>
      <c r="E103" s="83" t="s">
        <v>35</v>
      </c>
      <c r="F103" s="86"/>
      <c r="G103" s="86"/>
      <c r="H103" s="86"/>
      <c r="I103" s="86"/>
      <c r="J103" s="86"/>
      <c r="K103" s="75">
        <v>2</v>
      </c>
      <c r="L103" s="86"/>
      <c r="M103" s="16">
        <v>5</v>
      </c>
      <c r="N103" s="16">
        <v>4</v>
      </c>
      <c r="O103" s="57"/>
      <c r="P103" s="16">
        <v>4</v>
      </c>
      <c r="Q103" s="43">
        <f t="shared" si="13"/>
        <v>4.333333333333333</v>
      </c>
      <c r="R103" s="16">
        <v>4</v>
      </c>
      <c r="S103" s="57"/>
      <c r="T103" s="57"/>
      <c r="U103" s="57"/>
      <c r="V103" s="57"/>
      <c r="W103" s="42">
        <f t="shared" si="14"/>
        <v>4</v>
      </c>
      <c r="X103" s="16">
        <v>4</v>
      </c>
      <c r="Y103" s="57"/>
      <c r="Z103" s="57"/>
      <c r="AA103" s="57"/>
      <c r="AB103" s="57"/>
      <c r="AC103" s="42">
        <f t="shared" si="15"/>
        <v>4</v>
      </c>
      <c r="AD103" s="16">
        <v>3</v>
      </c>
      <c r="AE103" s="57"/>
      <c r="AF103" s="57"/>
      <c r="AG103" s="57"/>
      <c r="AH103" s="57"/>
      <c r="AI103" s="42">
        <f t="shared" si="16"/>
        <v>3</v>
      </c>
      <c r="AJ103" s="57"/>
      <c r="AK103" s="16">
        <v>3</v>
      </c>
      <c r="AL103" s="57"/>
      <c r="AM103" s="57"/>
      <c r="AN103" s="57"/>
      <c r="AO103" s="43">
        <f t="shared" si="17"/>
        <v>3</v>
      </c>
      <c r="AP103" s="16">
        <v>3</v>
      </c>
      <c r="AQ103" s="16"/>
      <c r="AR103" s="16"/>
      <c r="AS103" s="16"/>
      <c r="AT103" s="16"/>
      <c r="AU103" s="42">
        <f t="shared" si="18"/>
        <v>3</v>
      </c>
      <c r="AV103" s="16"/>
      <c r="AW103" s="16"/>
      <c r="AX103" s="57"/>
      <c r="AY103" s="16">
        <v>4</v>
      </c>
      <c r="AZ103" s="16"/>
      <c r="BA103" s="43">
        <f t="shared" si="19"/>
        <v>4</v>
      </c>
    </row>
    <row r="104" spans="1:53" ht="23.1" customHeight="1" x14ac:dyDescent="0.3">
      <c r="A104" s="76">
        <v>101</v>
      </c>
      <c r="B104" s="76" t="s">
        <v>346</v>
      </c>
      <c r="C104" s="77" t="s">
        <v>347</v>
      </c>
      <c r="D104" s="76" t="s">
        <v>450</v>
      </c>
      <c r="E104" s="76" t="s">
        <v>493</v>
      </c>
      <c r="F104" s="81"/>
      <c r="G104" s="81"/>
      <c r="H104" s="81"/>
      <c r="I104" s="81"/>
      <c r="J104" s="81"/>
      <c r="K104" s="75">
        <v>3</v>
      </c>
      <c r="L104" s="81"/>
      <c r="M104" s="34">
        <v>3</v>
      </c>
      <c r="N104" s="34">
        <v>3</v>
      </c>
      <c r="O104" s="58"/>
      <c r="P104" s="34">
        <v>3</v>
      </c>
      <c r="Q104" s="43">
        <f t="shared" si="13"/>
        <v>3</v>
      </c>
      <c r="R104" s="34">
        <v>4</v>
      </c>
      <c r="S104" s="58"/>
      <c r="T104" s="58"/>
      <c r="U104" s="58"/>
      <c r="V104" s="58"/>
      <c r="W104" s="42">
        <f t="shared" si="14"/>
        <v>4</v>
      </c>
      <c r="X104" s="34">
        <v>4</v>
      </c>
      <c r="Y104" s="58"/>
      <c r="Z104" s="58"/>
      <c r="AA104" s="58"/>
      <c r="AB104" s="58"/>
      <c r="AC104" s="42">
        <f t="shared" si="15"/>
        <v>4</v>
      </c>
      <c r="AD104" s="34">
        <v>3</v>
      </c>
      <c r="AE104" s="58"/>
      <c r="AF104" s="58"/>
      <c r="AG104" s="58"/>
      <c r="AH104" s="58"/>
      <c r="AI104" s="42">
        <f t="shared" si="16"/>
        <v>3</v>
      </c>
      <c r="AJ104" s="58"/>
      <c r="AK104" s="34">
        <v>4</v>
      </c>
      <c r="AL104" s="58"/>
      <c r="AM104" s="58"/>
      <c r="AN104" s="58"/>
      <c r="AO104" s="43">
        <f t="shared" si="17"/>
        <v>4</v>
      </c>
      <c r="AP104" s="34">
        <v>4</v>
      </c>
      <c r="AQ104" s="34"/>
      <c r="AR104" s="34"/>
      <c r="AS104" s="34"/>
      <c r="AT104" s="34"/>
      <c r="AU104" s="42">
        <f t="shared" si="18"/>
        <v>4</v>
      </c>
      <c r="AV104" s="34"/>
      <c r="AW104" s="34"/>
      <c r="AX104" s="58"/>
      <c r="AY104" s="34">
        <v>4</v>
      </c>
      <c r="AZ104" s="34"/>
      <c r="BA104" s="43">
        <f t="shared" si="19"/>
        <v>4</v>
      </c>
    </row>
    <row r="105" spans="1:53" ht="23.1" customHeight="1" x14ac:dyDescent="0.3">
      <c r="A105" s="83">
        <v>102</v>
      </c>
      <c r="B105" s="83" t="s">
        <v>348</v>
      </c>
      <c r="C105" s="84" t="s">
        <v>349</v>
      </c>
      <c r="D105" s="83" t="s">
        <v>542</v>
      </c>
      <c r="E105" s="83" t="s">
        <v>493</v>
      </c>
      <c r="F105" s="86"/>
      <c r="G105" s="86"/>
      <c r="H105" s="86"/>
      <c r="I105" s="86"/>
      <c r="J105" s="86"/>
      <c r="K105" s="75">
        <v>2</v>
      </c>
      <c r="L105" s="86"/>
      <c r="M105" s="16" t="s">
        <v>582</v>
      </c>
      <c r="N105" s="16" t="s">
        <v>582</v>
      </c>
      <c r="O105" s="57"/>
      <c r="P105" s="16" t="s">
        <v>582</v>
      </c>
      <c r="Q105" s="43" t="str">
        <f t="shared" si="13"/>
        <v>0</v>
      </c>
      <c r="R105" s="16" t="s">
        <v>582</v>
      </c>
      <c r="S105" s="57"/>
      <c r="T105" s="57"/>
      <c r="U105" s="57"/>
      <c r="V105" s="57"/>
      <c r="W105" s="42" t="str">
        <f t="shared" si="14"/>
        <v>0</v>
      </c>
      <c r="X105" s="16" t="s">
        <v>582</v>
      </c>
      <c r="Y105" s="57"/>
      <c r="Z105" s="57"/>
      <c r="AA105" s="57"/>
      <c r="AB105" s="57"/>
      <c r="AC105" s="42" t="str">
        <f t="shared" si="15"/>
        <v>0</v>
      </c>
      <c r="AD105" s="16" t="s">
        <v>582</v>
      </c>
      <c r="AE105" s="57"/>
      <c r="AF105" s="57"/>
      <c r="AG105" s="57"/>
      <c r="AH105" s="57"/>
      <c r="AI105" s="42" t="str">
        <f t="shared" si="16"/>
        <v>0</v>
      </c>
      <c r="AJ105" s="57"/>
      <c r="AK105" s="16" t="s">
        <v>582</v>
      </c>
      <c r="AL105" s="57"/>
      <c r="AM105" s="57"/>
      <c r="AN105" s="57"/>
      <c r="AO105" s="43" t="str">
        <f t="shared" si="17"/>
        <v>0</v>
      </c>
      <c r="AP105" s="16" t="s">
        <v>582</v>
      </c>
      <c r="AQ105" s="16"/>
      <c r="AR105" s="16"/>
      <c r="AS105" s="16"/>
      <c r="AT105" s="16"/>
      <c r="AU105" s="42" t="str">
        <f t="shared" si="18"/>
        <v>0</v>
      </c>
      <c r="AV105" s="16"/>
      <c r="AW105" s="16"/>
      <c r="AX105" s="57"/>
      <c r="AY105" s="16" t="s">
        <v>582</v>
      </c>
      <c r="AZ105" s="16"/>
      <c r="BA105" s="43" t="str">
        <f t="shared" si="19"/>
        <v>0</v>
      </c>
    </row>
    <row r="106" spans="1:53" ht="23.1" customHeight="1" x14ac:dyDescent="0.3">
      <c r="A106" s="76">
        <v>103</v>
      </c>
      <c r="B106" s="76" t="s">
        <v>142</v>
      </c>
      <c r="C106" s="77" t="s">
        <v>143</v>
      </c>
      <c r="D106" s="76" t="s">
        <v>542</v>
      </c>
      <c r="E106" s="76" t="s">
        <v>35</v>
      </c>
      <c r="F106" s="81"/>
      <c r="G106" s="81"/>
      <c r="H106" s="81"/>
      <c r="I106" s="81"/>
      <c r="J106" s="81"/>
      <c r="K106" s="75">
        <v>2</v>
      </c>
      <c r="L106" s="81"/>
      <c r="M106" s="34">
        <v>5</v>
      </c>
      <c r="N106" s="34">
        <v>5</v>
      </c>
      <c r="O106" s="58"/>
      <c r="P106" s="34">
        <v>5</v>
      </c>
      <c r="Q106" s="43">
        <f t="shared" si="13"/>
        <v>5</v>
      </c>
      <c r="R106" s="34">
        <v>5</v>
      </c>
      <c r="S106" s="58"/>
      <c r="T106" s="58"/>
      <c r="U106" s="58"/>
      <c r="V106" s="58"/>
      <c r="W106" s="42">
        <f t="shared" si="14"/>
        <v>5</v>
      </c>
      <c r="X106" s="34">
        <v>5</v>
      </c>
      <c r="Y106" s="58"/>
      <c r="Z106" s="58"/>
      <c r="AA106" s="58"/>
      <c r="AB106" s="58"/>
      <c r="AC106" s="42">
        <f t="shared" si="15"/>
        <v>5</v>
      </c>
      <c r="AD106" s="34">
        <v>4</v>
      </c>
      <c r="AE106" s="58"/>
      <c r="AF106" s="58"/>
      <c r="AG106" s="58"/>
      <c r="AH106" s="58"/>
      <c r="AI106" s="42">
        <f t="shared" si="16"/>
        <v>4</v>
      </c>
      <c r="AJ106" s="58"/>
      <c r="AK106" s="34">
        <v>4</v>
      </c>
      <c r="AL106" s="58"/>
      <c r="AM106" s="58"/>
      <c r="AN106" s="58"/>
      <c r="AO106" s="43">
        <f t="shared" si="17"/>
        <v>4</v>
      </c>
      <c r="AP106" s="34">
        <v>5</v>
      </c>
      <c r="AQ106" s="34"/>
      <c r="AR106" s="34"/>
      <c r="AS106" s="34"/>
      <c r="AT106" s="34"/>
      <c r="AU106" s="42">
        <f t="shared" si="18"/>
        <v>5</v>
      </c>
      <c r="AV106" s="34"/>
      <c r="AW106" s="34"/>
      <c r="AX106" s="58"/>
      <c r="AY106" s="34">
        <v>5</v>
      </c>
      <c r="AZ106" s="34"/>
      <c r="BA106" s="43">
        <f t="shared" si="19"/>
        <v>5</v>
      </c>
    </row>
    <row r="107" spans="1:53" ht="23.1" customHeight="1" x14ac:dyDescent="0.3">
      <c r="A107" s="83">
        <v>104</v>
      </c>
      <c r="B107" s="83" t="s">
        <v>77</v>
      </c>
      <c r="C107" s="84" t="s">
        <v>78</v>
      </c>
      <c r="D107" s="83" t="s">
        <v>450</v>
      </c>
      <c r="E107" s="83" t="s">
        <v>35</v>
      </c>
      <c r="F107" s="86"/>
      <c r="G107" s="86"/>
      <c r="H107" s="86"/>
      <c r="I107" s="86"/>
      <c r="J107" s="86"/>
      <c r="K107" s="75">
        <v>4</v>
      </c>
      <c r="L107" s="86"/>
      <c r="M107" s="16">
        <v>4</v>
      </c>
      <c r="N107" s="16">
        <v>4</v>
      </c>
      <c r="O107" s="57"/>
      <c r="P107" s="16">
        <v>3</v>
      </c>
      <c r="Q107" s="43">
        <f t="shared" si="13"/>
        <v>3.6666666666666665</v>
      </c>
      <c r="R107" s="16">
        <v>3</v>
      </c>
      <c r="S107" s="57"/>
      <c r="T107" s="57"/>
      <c r="U107" s="57"/>
      <c r="V107" s="57"/>
      <c r="W107" s="42">
        <f t="shared" si="14"/>
        <v>3</v>
      </c>
      <c r="X107" s="16">
        <v>3</v>
      </c>
      <c r="Y107" s="57"/>
      <c r="Z107" s="57"/>
      <c r="AA107" s="57"/>
      <c r="AB107" s="57"/>
      <c r="AC107" s="42">
        <f t="shared" si="15"/>
        <v>3</v>
      </c>
      <c r="AD107" s="16">
        <v>3</v>
      </c>
      <c r="AE107" s="57"/>
      <c r="AF107" s="57"/>
      <c r="AG107" s="57"/>
      <c r="AH107" s="57"/>
      <c r="AI107" s="42">
        <f t="shared" si="16"/>
        <v>3</v>
      </c>
      <c r="AJ107" s="57"/>
      <c r="AK107" s="16">
        <v>3</v>
      </c>
      <c r="AL107" s="57"/>
      <c r="AM107" s="57"/>
      <c r="AN107" s="57"/>
      <c r="AO107" s="43">
        <f t="shared" si="17"/>
        <v>3</v>
      </c>
      <c r="AP107" s="16">
        <v>4</v>
      </c>
      <c r="AQ107" s="16"/>
      <c r="AR107" s="16"/>
      <c r="AS107" s="16"/>
      <c r="AT107" s="16"/>
      <c r="AU107" s="42">
        <f t="shared" si="18"/>
        <v>4</v>
      </c>
      <c r="AV107" s="16"/>
      <c r="AW107" s="16"/>
      <c r="AX107" s="57"/>
      <c r="AY107" s="16">
        <v>3</v>
      </c>
      <c r="AZ107" s="16"/>
      <c r="BA107" s="43">
        <f t="shared" si="19"/>
        <v>3</v>
      </c>
    </row>
    <row r="108" spans="1:53" ht="23.1" customHeight="1" x14ac:dyDescent="0.3">
      <c r="A108" s="76">
        <v>105</v>
      </c>
      <c r="B108" s="76" t="s">
        <v>144</v>
      </c>
      <c r="C108" s="77" t="s">
        <v>145</v>
      </c>
      <c r="D108" s="76" t="s">
        <v>542</v>
      </c>
      <c r="E108" s="76" t="s">
        <v>35</v>
      </c>
      <c r="F108" s="81"/>
      <c r="G108" s="81"/>
      <c r="H108" s="81"/>
      <c r="I108" s="81"/>
      <c r="J108" s="81"/>
      <c r="K108" s="75">
        <v>3</v>
      </c>
      <c r="L108" s="81"/>
      <c r="M108" s="34">
        <v>4</v>
      </c>
      <c r="N108" s="34">
        <v>4</v>
      </c>
      <c r="O108" s="58"/>
      <c r="P108" s="34">
        <v>4</v>
      </c>
      <c r="Q108" s="43">
        <f t="shared" si="13"/>
        <v>4</v>
      </c>
      <c r="R108" s="34">
        <v>4</v>
      </c>
      <c r="S108" s="58"/>
      <c r="T108" s="58"/>
      <c r="U108" s="58"/>
      <c r="V108" s="58"/>
      <c r="W108" s="42">
        <f t="shared" si="14"/>
        <v>4</v>
      </c>
      <c r="X108" s="34">
        <v>4</v>
      </c>
      <c r="Y108" s="58"/>
      <c r="Z108" s="58"/>
      <c r="AA108" s="58"/>
      <c r="AB108" s="58"/>
      <c r="AC108" s="42">
        <f t="shared" si="15"/>
        <v>4</v>
      </c>
      <c r="AD108" s="34">
        <v>5</v>
      </c>
      <c r="AE108" s="58"/>
      <c r="AF108" s="58"/>
      <c r="AG108" s="58"/>
      <c r="AH108" s="58"/>
      <c r="AI108" s="42">
        <f t="shared" si="16"/>
        <v>5</v>
      </c>
      <c r="AJ108" s="58"/>
      <c r="AK108" s="34">
        <v>4</v>
      </c>
      <c r="AL108" s="58"/>
      <c r="AM108" s="58"/>
      <c r="AN108" s="58"/>
      <c r="AO108" s="43">
        <f t="shared" si="17"/>
        <v>4</v>
      </c>
      <c r="AP108" s="34">
        <v>4</v>
      </c>
      <c r="AQ108" s="34"/>
      <c r="AR108" s="34"/>
      <c r="AS108" s="34"/>
      <c r="AT108" s="34"/>
      <c r="AU108" s="42">
        <f t="shared" si="18"/>
        <v>4</v>
      </c>
      <c r="AV108" s="34"/>
      <c r="AW108" s="34"/>
      <c r="AX108" s="58"/>
      <c r="AY108" s="34">
        <v>3</v>
      </c>
      <c r="AZ108" s="34"/>
      <c r="BA108" s="43">
        <f t="shared" si="19"/>
        <v>3</v>
      </c>
    </row>
    <row r="109" spans="1:53" ht="23.1" customHeight="1" x14ac:dyDescent="0.3">
      <c r="A109" s="83">
        <v>106</v>
      </c>
      <c r="B109" s="83" t="s">
        <v>350</v>
      </c>
      <c r="C109" s="84" t="s">
        <v>351</v>
      </c>
      <c r="D109" s="83" t="s">
        <v>450</v>
      </c>
      <c r="E109" s="83" t="s">
        <v>493</v>
      </c>
      <c r="F109" s="92"/>
      <c r="G109" s="92"/>
      <c r="H109" s="92"/>
      <c r="I109" s="92"/>
      <c r="J109" s="92"/>
      <c r="K109" s="75">
        <v>5</v>
      </c>
      <c r="L109" s="92"/>
      <c r="M109" s="16">
        <v>3.5</v>
      </c>
      <c r="N109" s="16">
        <v>3.5</v>
      </c>
      <c r="O109" s="61"/>
      <c r="P109" s="16">
        <v>3</v>
      </c>
      <c r="Q109" s="43">
        <f t="shared" si="13"/>
        <v>3.3333333333333335</v>
      </c>
      <c r="R109" s="16">
        <v>2.5</v>
      </c>
      <c r="S109" s="61"/>
      <c r="T109" s="61"/>
      <c r="U109" s="61"/>
      <c r="V109" s="61"/>
      <c r="W109" s="42">
        <f t="shared" si="14"/>
        <v>2.5</v>
      </c>
      <c r="X109" s="16">
        <v>2.5</v>
      </c>
      <c r="Y109" s="61"/>
      <c r="Z109" s="61"/>
      <c r="AA109" s="61"/>
      <c r="AB109" s="61"/>
      <c r="AC109" s="42">
        <f t="shared" si="15"/>
        <v>2.5</v>
      </c>
      <c r="AD109" s="16">
        <v>3</v>
      </c>
      <c r="AE109" s="61"/>
      <c r="AF109" s="61"/>
      <c r="AG109" s="61"/>
      <c r="AH109" s="61"/>
      <c r="AI109" s="42">
        <f t="shared" si="16"/>
        <v>3</v>
      </c>
      <c r="AJ109" s="61"/>
      <c r="AK109" s="16">
        <v>2.5</v>
      </c>
      <c r="AL109" s="61"/>
      <c r="AM109" s="61"/>
      <c r="AN109" s="61"/>
      <c r="AO109" s="43">
        <f t="shared" si="17"/>
        <v>2.5</v>
      </c>
      <c r="AP109" s="16">
        <v>2.5</v>
      </c>
      <c r="AQ109" s="16"/>
      <c r="AR109" s="16"/>
      <c r="AS109" s="16"/>
      <c r="AT109" s="16"/>
      <c r="AU109" s="42">
        <f t="shared" si="18"/>
        <v>2.5</v>
      </c>
      <c r="AV109" s="16"/>
      <c r="AW109" s="16"/>
      <c r="AX109" s="61"/>
      <c r="AY109" s="16">
        <v>2.5</v>
      </c>
      <c r="AZ109" s="16"/>
      <c r="BA109" s="43">
        <f t="shared" si="19"/>
        <v>2.5</v>
      </c>
    </row>
    <row r="110" spans="1:53" ht="23.1" customHeight="1" x14ac:dyDescent="0.3">
      <c r="A110" s="76">
        <v>107</v>
      </c>
      <c r="B110" s="76" t="s">
        <v>352</v>
      </c>
      <c r="C110" s="77" t="s">
        <v>353</v>
      </c>
      <c r="D110" s="76" t="s">
        <v>542</v>
      </c>
      <c r="E110" s="76" t="s">
        <v>493</v>
      </c>
      <c r="F110" s="81"/>
      <c r="G110" s="81"/>
      <c r="H110" s="81"/>
      <c r="I110" s="81"/>
      <c r="J110" s="81"/>
      <c r="K110" s="75">
        <v>3</v>
      </c>
      <c r="L110" s="81"/>
      <c r="M110" s="34">
        <v>5</v>
      </c>
      <c r="N110" s="34">
        <v>5</v>
      </c>
      <c r="O110" s="58"/>
      <c r="P110" s="34">
        <v>5</v>
      </c>
      <c r="Q110" s="43">
        <f t="shared" si="13"/>
        <v>5</v>
      </c>
      <c r="R110" s="34">
        <v>5</v>
      </c>
      <c r="S110" s="58"/>
      <c r="T110" s="58"/>
      <c r="U110" s="58"/>
      <c r="V110" s="58"/>
      <c r="W110" s="42">
        <f t="shared" si="14"/>
        <v>5</v>
      </c>
      <c r="X110" s="34">
        <v>5</v>
      </c>
      <c r="Y110" s="58"/>
      <c r="Z110" s="58"/>
      <c r="AA110" s="58"/>
      <c r="AB110" s="58"/>
      <c r="AC110" s="42">
        <f t="shared" si="15"/>
        <v>5</v>
      </c>
      <c r="AD110" s="34">
        <v>4</v>
      </c>
      <c r="AE110" s="58"/>
      <c r="AF110" s="58"/>
      <c r="AG110" s="58"/>
      <c r="AH110" s="58"/>
      <c r="AI110" s="42">
        <f t="shared" si="16"/>
        <v>4</v>
      </c>
      <c r="AJ110" s="58"/>
      <c r="AK110" s="34">
        <v>5</v>
      </c>
      <c r="AL110" s="58"/>
      <c r="AM110" s="58"/>
      <c r="AN110" s="58"/>
      <c r="AO110" s="43">
        <f t="shared" si="17"/>
        <v>5</v>
      </c>
      <c r="AP110" s="34">
        <v>4</v>
      </c>
      <c r="AQ110" s="34"/>
      <c r="AR110" s="34"/>
      <c r="AS110" s="34"/>
      <c r="AT110" s="34"/>
      <c r="AU110" s="42">
        <f t="shared" si="18"/>
        <v>4</v>
      </c>
      <c r="AV110" s="34"/>
      <c r="AW110" s="34"/>
      <c r="AX110" s="58"/>
      <c r="AY110" s="34">
        <v>5</v>
      </c>
      <c r="AZ110" s="34"/>
      <c r="BA110" s="43">
        <f t="shared" si="19"/>
        <v>5</v>
      </c>
    </row>
    <row r="111" spans="1:53" ht="23.1" customHeight="1" x14ac:dyDescent="0.3">
      <c r="A111" s="83">
        <v>108</v>
      </c>
      <c r="B111" s="83" t="s">
        <v>279</v>
      </c>
      <c r="C111" s="84" t="s">
        <v>280</v>
      </c>
      <c r="D111" s="83" t="s">
        <v>450</v>
      </c>
      <c r="E111" s="83" t="s">
        <v>161</v>
      </c>
      <c r="F111" s="86"/>
      <c r="G111" s="86"/>
      <c r="H111" s="86"/>
      <c r="I111" s="86"/>
      <c r="J111" s="86"/>
      <c r="K111" s="75">
        <v>2</v>
      </c>
      <c r="L111" s="86"/>
      <c r="M111" s="16">
        <v>3</v>
      </c>
      <c r="N111" s="16">
        <v>3</v>
      </c>
      <c r="O111" s="57"/>
      <c r="P111" s="16">
        <v>4</v>
      </c>
      <c r="Q111" s="43">
        <f t="shared" si="13"/>
        <v>3.3333333333333335</v>
      </c>
      <c r="R111" s="16">
        <v>3.5</v>
      </c>
      <c r="S111" s="57"/>
      <c r="T111" s="57"/>
      <c r="U111" s="57"/>
      <c r="V111" s="57"/>
      <c r="W111" s="42">
        <f t="shared" si="14"/>
        <v>3.5</v>
      </c>
      <c r="X111" s="16">
        <v>3.5</v>
      </c>
      <c r="Y111" s="57"/>
      <c r="Z111" s="57"/>
      <c r="AA111" s="57"/>
      <c r="AB111" s="57"/>
      <c r="AC111" s="42">
        <f t="shared" si="15"/>
        <v>3.5</v>
      </c>
      <c r="AD111" s="16">
        <v>0</v>
      </c>
      <c r="AE111" s="57"/>
      <c r="AF111" s="57"/>
      <c r="AG111" s="57"/>
      <c r="AH111" s="57"/>
      <c r="AI111" s="42">
        <f t="shared" si="16"/>
        <v>0</v>
      </c>
      <c r="AJ111" s="57"/>
      <c r="AK111" s="16">
        <v>3.5</v>
      </c>
      <c r="AL111" s="57"/>
      <c r="AM111" s="57"/>
      <c r="AN111" s="57"/>
      <c r="AO111" s="43">
        <f t="shared" si="17"/>
        <v>3.5</v>
      </c>
      <c r="AP111" s="16">
        <v>4</v>
      </c>
      <c r="AQ111" s="16"/>
      <c r="AR111" s="16"/>
      <c r="AS111" s="16"/>
      <c r="AT111" s="16"/>
      <c r="AU111" s="42">
        <f t="shared" si="18"/>
        <v>4</v>
      </c>
      <c r="AV111" s="16"/>
      <c r="AW111" s="16"/>
      <c r="AX111" s="57"/>
      <c r="AY111" s="16">
        <v>4</v>
      </c>
      <c r="AZ111" s="16"/>
      <c r="BA111" s="43">
        <f t="shared" si="19"/>
        <v>4</v>
      </c>
    </row>
    <row r="112" spans="1:53" ht="23.1" customHeight="1" x14ac:dyDescent="0.3">
      <c r="A112" s="76">
        <v>109</v>
      </c>
      <c r="B112" s="76" t="s">
        <v>168</v>
      </c>
      <c r="C112" s="77" t="s">
        <v>169</v>
      </c>
      <c r="D112" s="76" t="s">
        <v>450</v>
      </c>
      <c r="E112" s="76" t="s">
        <v>161</v>
      </c>
      <c r="F112" s="81"/>
      <c r="G112" s="81"/>
      <c r="H112" s="81"/>
      <c r="I112" s="81"/>
      <c r="J112" s="81"/>
      <c r="K112" s="75">
        <v>3</v>
      </c>
      <c r="L112" s="81"/>
      <c r="M112" s="34">
        <v>5</v>
      </c>
      <c r="N112" s="34">
        <v>5</v>
      </c>
      <c r="O112" s="58"/>
      <c r="P112" s="34">
        <v>5</v>
      </c>
      <c r="Q112" s="43">
        <f t="shared" si="13"/>
        <v>5</v>
      </c>
      <c r="R112" s="34">
        <v>3</v>
      </c>
      <c r="S112" s="58"/>
      <c r="T112" s="58"/>
      <c r="U112" s="58"/>
      <c r="V112" s="58"/>
      <c r="W112" s="42">
        <f t="shared" si="14"/>
        <v>3</v>
      </c>
      <c r="X112" s="34">
        <v>3</v>
      </c>
      <c r="Y112" s="58"/>
      <c r="Z112" s="58"/>
      <c r="AA112" s="58"/>
      <c r="AB112" s="58"/>
      <c r="AC112" s="42">
        <f t="shared" si="15"/>
        <v>3</v>
      </c>
      <c r="AD112" s="34">
        <v>4</v>
      </c>
      <c r="AE112" s="58"/>
      <c r="AF112" s="58"/>
      <c r="AG112" s="58"/>
      <c r="AH112" s="58"/>
      <c r="AI112" s="42">
        <f t="shared" si="16"/>
        <v>4</v>
      </c>
      <c r="AJ112" s="58"/>
      <c r="AK112" s="34">
        <v>5</v>
      </c>
      <c r="AL112" s="58"/>
      <c r="AM112" s="58"/>
      <c r="AN112" s="58"/>
      <c r="AO112" s="43">
        <f t="shared" si="17"/>
        <v>5</v>
      </c>
      <c r="AP112" s="34">
        <v>5</v>
      </c>
      <c r="AQ112" s="34"/>
      <c r="AR112" s="34"/>
      <c r="AS112" s="34"/>
      <c r="AT112" s="34"/>
      <c r="AU112" s="42">
        <f t="shared" si="18"/>
        <v>5</v>
      </c>
      <c r="AV112" s="34"/>
      <c r="AW112" s="34"/>
      <c r="AX112" s="58"/>
      <c r="AY112" s="34">
        <v>3</v>
      </c>
      <c r="AZ112" s="34"/>
      <c r="BA112" s="43">
        <f t="shared" si="19"/>
        <v>3</v>
      </c>
    </row>
    <row r="113" spans="1:53" ht="23.1" customHeight="1" x14ac:dyDescent="0.3">
      <c r="A113" s="83">
        <v>110</v>
      </c>
      <c r="B113" s="83" t="s">
        <v>186</v>
      </c>
      <c r="C113" s="84" t="s">
        <v>187</v>
      </c>
      <c r="D113" s="83" t="s">
        <v>450</v>
      </c>
      <c r="E113" s="83" t="s">
        <v>161</v>
      </c>
      <c r="F113" s="88"/>
      <c r="G113" s="88"/>
      <c r="H113" s="88"/>
      <c r="I113" s="88"/>
      <c r="J113" s="88"/>
      <c r="K113" s="75">
        <v>4</v>
      </c>
      <c r="L113" s="88"/>
      <c r="M113" s="16">
        <v>5</v>
      </c>
      <c r="N113" s="16">
        <v>5</v>
      </c>
      <c r="O113" s="59"/>
      <c r="P113" s="16">
        <v>5</v>
      </c>
      <c r="Q113" s="43">
        <f t="shared" si="13"/>
        <v>5</v>
      </c>
      <c r="R113" s="16">
        <v>5</v>
      </c>
      <c r="S113" s="59"/>
      <c r="T113" s="59"/>
      <c r="U113" s="59"/>
      <c r="V113" s="59"/>
      <c r="W113" s="42">
        <f t="shared" si="14"/>
        <v>5</v>
      </c>
      <c r="X113" s="16">
        <v>5</v>
      </c>
      <c r="Y113" s="59"/>
      <c r="Z113" s="59"/>
      <c r="AA113" s="59"/>
      <c r="AB113" s="59"/>
      <c r="AC113" s="42">
        <f t="shared" si="15"/>
        <v>5</v>
      </c>
      <c r="AD113" s="16">
        <v>3</v>
      </c>
      <c r="AE113" s="59"/>
      <c r="AF113" s="59"/>
      <c r="AG113" s="59"/>
      <c r="AH113" s="59"/>
      <c r="AI113" s="42">
        <f t="shared" si="16"/>
        <v>3</v>
      </c>
      <c r="AJ113" s="59"/>
      <c r="AK113" s="16">
        <v>5</v>
      </c>
      <c r="AL113" s="59"/>
      <c r="AM113" s="59"/>
      <c r="AN113" s="59"/>
      <c r="AO113" s="43">
        <f t="shared" si="17"/>
        <v>5</v>
      </c>
      <c r="AP113" s="16">
        <v>5</v>
      </c>
      <c r="AQ113" s="16"/>
      <c r="AR113" s="16"/>
      <c r="AS113" s="16"/>
      <c r="AT113" s="16"/>
      <c r="AU113" s="42">
        <f t="shared" si="18"/>
        <v>5</v>
      </c>
      <c r="AV113" s="16"/>
      <c r="AW113" s="16"/>
      <c r="AX113" s="59"/>
      <c r="AY113" s="16">
        <v>5</v>
      </c>
      <c r="AZ113" s="16"/>
      <c r="BA113" s="43">
        <f t="shared" si="19"/>
        <v>5</v>
      </c>
    </row>
    <row r="114" spans="1:53" ht="23.1" customHeight="1" x14ac:dyDescent="0.3">
      <c r="A114" s="76">
        <v>111</v>
      </c>
      <c r="B114" s="76" t="s">
        <v>233</v>
      </c>
      <c r="C114" s="77" t="s">
        <v>234</v>
      </c>
      <c r="D114" s="76" t="s">
        <v>450</v>
      </c>
      <c r="E114" s="76" t="s">
        <v>161</v>
      </c>
      <c r="F114" s="81"/>
      <c r="G114" s="81"/>
      <c r="H114" s="81"/>
      <c r="I114" s="81"/>
      <c r="J114" s="81"/>
      <c r="K114" s="75">
        <v>0</v>
      </c>
      <c r="L114" s="81"/>
      <c r="M114" s="34">
        <v>0</v>
      </c>
      <c r="N114" s="34">
        <v>0</v>
      </c>
      <c r="O114" s="58"/>
      <c r="P114" s="34">
        <v>0</v>
      </c>
      <c r="Q114" s="43">
        <f t="shared" si="13"/>
        <v>0</v>
      </c>
      <c r="R114" s="34">
        <v>0</v>
      </c>
      <c r="S114" s="58"/>
      <c r="T114" s="58"/>
      <c r="U114" s="58"/>
      <c r="V114" s="58"/>
      <c r="W114" s="42">
        <f t="shared" si="14"/>
        <v>0</v>
      </c>
      <c r="X114" s="34">
        <v>0</v>
      </c>
      <c r="Y114" s="58"/>
      <c r="Z114" s="58"/>
      <c r="AA114" s="58"/>
      <c r="AB114" s="58"/>
      <c r="AC114" s="42">
        <f t="shared" si="15"/>
        <v>0</v>
      </c>
      <c r="AD114" s="34">
        <v>5</v>
      </c>
      <c r="AE114" s="58"/>
      <c r="AF114" s="58"/>
      <c r="AG114" s="58"/>
      <c r="AH114" s="58"/>
      <c r="AI114" s="42">
        <f t="shared" si="16"/>
        <v>5</v>
      </c>
      <c r="AJ114" s="58"/>
      <c r="AK114" s="34">
        <v>0</v>
      </c>
      <c r="AL114" s="58"/>
      <c r="AM114" s="58"/>
      <c r="AN114" s="58"/>
      <c r="AO114" s="43">
        <f t="shared" si="17"/>
        <v>0</v>
      </c>
      <c r="AP114" s="34">
        <v>0</v>
      </c>
      <c r="AQ114" s="34"/>
      <c r="AR114" s="34"/>
      <c r="AS114" s="34"/>
      <c r="AT114" s="34"/>
      <c r="AU114" s="42">
        <f t="shared" si="18"/>
        <v>0</v>
      </c>
      <c r="AV114" s="34"/>
      <c r="AW114" s="34"/>
      <c r="AX114" s="58"/>
      <c r="AY114" s="34">
        <v>0</v>
      </c>
      <c r="AZ114" s="34"/>
      <c r="BA114" s="43">
        <f t="shared" si="19"/>
        <v>0</v>
      </c>
    </row>
    <row r="115" spans="1:53" ht="23.1" customHeight="1" x14ac:dyDescent="0.3">
      <c r="A115" s="83">
        <v>112</v>
      </c>
      <c r="B115" s="83" t="s">
        <v>146</v>
      </c>
      <c r="C115" s="84" t="s">
        <v>147</v>
      </c>
      <c r="D115" s="83" t="s">
        <v>450</v>
      </c>
      <c r="E115" s="83" t="s">
        <v>35</v>
      </c>
      <c r="F115" s="86"/>
      <c r="G115" s="86"/>
      <c r="H115" s="86"/>
      <c r="I115" s="86"/>
      <c r="J115" s="86"/>
      <c r="K115" s="75">
        <v>3</v>
      </c>
      <c r="L115" s="86"/>
      <c r="M115" s="16">
        <v>2</v>
      </c>
      <c r="N115" s="16">
        <v>3</v>
      </c>
      <c r="O115" s="57"/>
      <c r="P115" s="16">
        <v>2</v>
      </c>
      <c r="Q115" s="43">
        <f t="shared" si="13"/>
        <v>2.3333333333333335</v>
      </c>
      <c r="R115" s="16">
        <v>4</v>
      </c>
      <c r="S115" s="57"/>
      <c r="T115" s="57"/>
      <c r="U115" s="57"/>
      <c r="V115" s="57"/>
      <c r="W115" s="42">
        <f t="shared" si="14"/>
        <v>4</v>
      </c>
      <c r="X115" s="16">
        <v>4</v>
      </c>
      <c r="Y115" s="57"/>
      <c r="Z115" s="57"/>
      <c r="AA115" s="57"/>
      <c r="AB115" s="57"/>
      <c r="AC115" s="42">
        <f t="shared" si="15"/>
        <v>4</v>
      </c>
      <c r="AD115" s="16">
        <v>3</v>
      </c>
      <c r="AE115" s="57"/>
      <c r="AF115" s="57"/>
      <c r="AG115" s="57"/>
      <c r="AH115" s="57"/>
      <c r="AI115" s="42">
        <f t="shared" si="16"/>
        <v>3</v>
      </c>
      <c r="AJ115" s="57"/>
      <c r="AK115" s="16">
        <v>3</v>
      </c>
      <c r="AL115" s="57"/>
      <c r="AM115" s="57"/>
      <c r="AN115" s="57"/>
      <c r="AO115" s="43">
        <f t="shared" si="17"/>
        <v>3</v>
      </c>
      <c r="AP115" s="16">
        <v>3</v>
      </c>
      <c r="AQ115" s="16"/>
      <c r="AR115" s="16"/>
      <c r="AS115" s="16"/>
      <c r="AT115" s="16"/>
      <c r="AU115" s="42">
        <f t="shared" si="18"/>
        <v>3</v>
      </c>
      <c r="AV115" s="16"/>
      <c r="AW115" s="16"/>
      <c r="AX115" s="57"/>
      <c r="AY115" s="16">
        <v>4</v>
      </c>
      <c r="AZ115" s="16"/>
      <c r="BA115" s="43">
        <f t="shared" si="19"/>
        <v>4</v>
      </c>
    </row>
    <row r="116" spans="1:53" ht="23.1" customHeight="1" x14ac:dyDescent="0.3">
      <c r="A116" s="76">
        <v>113</v>
      </c>
      <c r="B116" s="76" t="s">
        <v>201</v>
      </c>
      <c r="C116" s="77" t="s">
        <v>202</v>
      </c>
      <c r="D116" s="76" t="s">
        <v>450</v>
      </c>
      <c r="E116" s="76" t="s">
        <v>161</v>
      </c>
      <c r="F116" s="81"/>
      <c r="G116" s="81"/>
      <c r="H116" s="81"/>
      <c r="I116" s="81"/>
      <c r="J116" s="81"/>
      <c r="K116" s="75">
        <v>4</v>
      </c>
      <c r="L116" s="81"/>
      <c r="M116" s="34">
        <v>5</v>
      </c>
      <c r="N116" s="34">
        <v>5</v>
      </c>
      <c r="O116" s="58"/>
      <c r="P116" s="34">
        <v>3</v>
      </c>
      <c r="Q116" s="43">
        <f t="shared" si="13"/>
        <v>4.333333333333333</v>
      </c>
      <c r="R116" s="34">
        <v>5</v>
      </c>
      <c r="S116" s="58"/>
      <c r="T116" s="58"/>
      <c r="U116" s="58"/>
      <c r="V116" s="58"/>
      <c r="W116" s="42">
        <f t="shared" si="14"/>
        <v>5</v>
      </c>
      <c r="X116" s="34">
        <v>5</v>
      </c>
      <c r="Y116" s="58"/>
      <c r="Z116" s="58"/>
      <c r="AA116" s="58"/>
      <c r="AB116" s="58"/>
      <c r="AC116" s="42">
        <f t="shared" si="15"/>
        <v>5</v>
      </c>
      <c r="AD116" s="34">
        <v>0</v>
      </c>
      <c r="AE116" s="58"/>
      <c r="AF116" s="58"/>
      <c r="AG116" s="58"/>
      <c r="AH116" s="58"/>
      <c r="AI116" s="42">
        <f t="shared" si="16"/>
        <v>0</v>
      </c>
      <c r="AJ116" s="58"/>
      <c r="AK116" s="34">
        <v>4</v>
      </c>
      <c r="AL116" s="58"/>
      <c r="AM116" s="58"/>
      <c r="AN116" s="58"/>
      <c r="AO116" s="43">
        <f t="shared" si="17"/>
        <v>4</v>
      </c>
      <c r="AP116" s="34">
        <v>5</v>
      </c>
      <c r="AQ116" s="34"/>
      <c r="AR116" s="34"/>
      <c r="AS116" s="34"/>
      <c r="AT116" s="34"/>
      <c r="AU116" s="42">
        <f t="shared" si="18"/>
        <v>5</v>
      </c>
      <c r="AV116" s="34"/>
      <c r="AW116" s="34"/>
      <c r="AX116" s="58"/>
      <c r="AY116" s="34">
        <v>4</v>
      </c>
      <c r="AZ116" s="34"/>
      <c r="BA116" s="43">
        <f t="shared" si="19"/>
        <v>4</v>
      </c>
    </row>
    <row r="117" spans="1:53" ht="23.1" customHeight="1" x14ac:dyDescent="0.3">
      <c r="A117" s="83">
        <v>114</v>
      </c>
      <c r="B117" s="83" t="s">
        <v>217</v>
      </c>
      <c r="C117" s="84" t="s">
        <v>218</v>
      </c>
      <c r="D117" s="83" t="s">
        <v>450</v>
      </c>
      <c r="E117" s="83" t="s">
        <v>161</v>
      </c>
      <c r="F117" s="86"/>
      <c r="G117" s="86"/>
      <c r="H117" s="86"/>
      <c r="I117" s="86"/>
      <c r="J117" s="86"/>
      <c r="K117" s="75">
        <v>3</v>
      </c>
      <c r="L117" s="86"/>
      <c r="M117" s="16">
        <v>3.5</v>
      </c>
      <c r="N117" s="16">
        <v>3.5</v>
      </c>
      <c r="O117" s="57"/>
      <c r="P117" s="16">
        <v>3</v>
      </c>
      <c r="Q117" s="43">
        <f t="shared" si="13"/>
        <v>3.3333333333333335</v>
      </c>
      <c r="R117" s="16">
        <v>4</v>
      </c>
      <c r="S117" s="57"/>
      <c r="T117" s="57"/>
      <c r="U117" s="57"/>
      <c r="V117" s="57"/>
      <c r="W117" s="42">
        <f t="shared" si="14"/>
        <v>4</v>
      </c>
      <c r="X117" s="16">
        <v>4</v>
      </c>
      <c r="Y117" s="57"/>
      <c r="Z117" s="57"/>
      <c r="AA117" s="57"/>
      <c r="AB117" s="57"/>
      <c r="AC117" s="42">
        <f t="shared" si="15"/>
        <v>4</v>
      </c>
      <c r="AD117" s="16">
        <v>4</v>
      </c>
      <c r="AE117" s="57"/>
      <c r="AF117" s="57"/>
      <c r="AG117" s="57"/>
      <c r="AH117" s="57"/>
      <c r="AI117" s="42">
        <f t="shared" si="16"/>
        <v>4</v>
      </c>
      <c r="AJ117" s="57"/>
      <c r="AK117" s="16">
        <v>3</v>
      </c>
      <c r="AL117" s="57"/>
      <c r="AM117" s="57"/>
      <c r="AN117" s="57"/>
      <c r="AO117" s="43">
        <f t="shared" si="17"/>
        <v>3</v>
      </c>
      <c r="AP117" s="16">
        <v>3</v>
      </c>
      <c r="AQ117" s="16"/>
      <c r="AR117" s="16"/>
      <c r="AS117" s="16"/>
      <c r="AT117" s="16"/>
      <c r="AU117" s="42">
        <f t="shared" si="18"/>
        <v>3</v>
      </c>
      <c r="AV117" s="16"/>
      <c r="AW117" s="16"/>
      <c r="AX117" s="57"/>
      <c r="AY117" s="16">
        <v>4</v>
      </c>
      <c r="AZ117" s="16"/>
      <c r="BA117" s="43">
        <f t="shared" si="19"/>
        <v>4</v>
      </c>
    </row>
    <row r="118" spans="1:53" ht="23.1" customHeight="1" x14ac:dyDescent="0.3">
      <c r="A118" s="76">
        <v>115</v>
      </c>
      <c r="B118" s="76" t="s">
        <v>235</v>
      </c>
      <c r="C118" s="77" t="s">
        <v>236</v>
      </c>
      <c r="D118" s="76" t="s">
        <v>450</v>
      </c>
      <c r="E118" s="76" t="s">
        <v>161</v>
      </c>
      <c r="F118" s="81"/>
      <c r="G118" s="81"/>
      <c r="H118" s="81"/>
      <c r="I118" s="81"/>
      <c r="J118" s="81"/>
      <c r="K118" s="75">
        <v>3</v>
      </c>
      <c r="L118" s="81"/>
      <c r="M118" s="34">
        <v>3</v>
      </c>
      <c r="N118" s="34">
        <v>3</v>
      </c>
      <c r="O118" s="58"/>
      <c r="P118" s="34">
        <v>3</v>
      </c>
      <c r="Q118" s="43">
        <f t="shared" si="13"/>
        <v>3</v>
      </c>
      <c r="R118" s="34">
        <v>3</v>
      </c>
      <c r="S118" s="58"/>
      <c r="T118" s="58"/>
      <c r="U118" s="58"/>
      <c r="V118" s="58"/>
      <c r="W118" s="42">
        <f t="shared" si="14"/>
        <v>3</v>
      </c>
      <c r="X118" s="34">
        <v>3</v>
      </c>
      <c r="Y118" s="58"/>
      <c r="Z118" s="58"/>
      <c r="AA118" s="58"/>
      <c r="AB118" s="58"/>
      <c r="AC118" s="42">
        <f t="shared" si="15"/>
        <v>3</v>
      </c>
      <c r="AD118" s="34">
        <v>4</v>
      </c>
      <c r="AE118" s="58"/>
      <c r="AF118" s="58"/>
      <c r="AG118" s="58"/>
      <c r="AH118" s="58"/>
      <c r="AI118" s="42">
        <f t="shared" si="16"/>
        <v>4</v>
      </c>
      <c r="AJ118" s="58"/>
      <c r="AK118" s="34">
        <v>3</v>
      </c>
      <c r="AL118" s="58"/>
      <c r="AM118" s="58"/>
      <c r="AN118" s="58"/>
      <c r="AO118" s="43">
        <f t="shared" si="17"/>
        <v>3</v>
      </c>
      <c r="AP118" s="34">
        <v>3</v>
      </c>
      <c r="AQ118" s="34"/>
      <c r="AR118" s="34"/>
      <c r="AS118" s="34"/>
      <c r="AT118" s="34"/>
      <c r="AU118" s="42">
        <f t="shared" si="18"/>
        <v>3</v>
      </c>
      <c r="AV118" s="34"/>
      <c r="AW118" s="34"/>
      <c r="AX118" s="58"/>
      <c r="AY118" s="34">
        <v>3</v>
      </c>
      <c r="AZ118" s="34"/>
      <c r="BA118" s="43">
        <f t="shared" si="19"/>
        <v>3</v>
      </c>
    </row>
    <row r="119" spans="1:53" ht="23.1" customHeight="1" x14ac:dyDescent="0.3">
      <c r="A119" s="83">
        <v>116</v>
      </c>
      <c r="B119" s="83" t="s">
        <v>354</v>
      </c>
      <c r="C119" s="84" t="s">
        <v>355</v>
      </c>
      <c r="D119" s="83" t="s">
        <v>544</v>
      </c>
      <c r="E119" s="83" t="s">
        <v>493</v>
      </c>
      <c r="F119" s="86"/>
      <c r="G119" s="86"/>
      <c r="H119" s="86"/>
      <c r="I119" s="86"/>
      <c r="J119" s="86"/>
      <c r="K119" s="75">
        <v>4</v>
      </c>
      <c r="L119" s="86"/>
      <c r="M119" s="16">
        <v>5</v>
      </c>
      <c r="N119" s="16">
        <v>5</v>
      </c>
      <c r="O119" s="57"/>
      <c r="P119" s="16">
        <v>5</v>
      </c>
      <c r="Q119" s="43">
        <f t="shared" si="13"/>
        <v>5</v>
      </c>
      <c r="R119" s="16">
        <v>5</v>
      </c>
      <c r="S119" s="57"/>
      <c r="T119" s="57"/>
      <c r="U119" s="57"/>
      <c r="V119" s="57"/>
      <c r="W119" s="42">
        <f t="shared" si="14"/>
        <v>5</v>
      </c>
      <c r="X119" s="16">
        <v>5</v>
      </c>
      <c r="Y119" s="57"/>
      <c r="Z119" s="57"/>
      <c r="AA119" s="57"/>
      <c r="AB119" s="57"/>
      <c r="AC119" s="42">
        <f t="shared" si="15"/>
        <v>5</v>
      </c>
      <c r="AD119" s="16">
        <v>5</v>
      </c>
      <c r="AE119" s="57"/>
      <c r="AF119" s="57"/>
      <c r="AG119" s="57"/>
      <c r="AH119" s="57"/>
      <c r="AI119" s="42">
        <f t="shared" si="16"/>
        <v>5</v>
      </c>
      <c r="AJ119" s="57"/>
      <c r="AK119" s="16">
        <v>4</v>
      </c>
      <c r="AL119" s="57"/>
      <c r="AM119" s="57"/>
      <c r="AN119" s="57"/>
      <c r="AO119" s="43">
        <f t="shared" si="17"/>
        <v>4</v>
      </c>
      <c r="AP119" s="16">
        <v>4</v>
      </c>
      <c r="AQ119" s="16"/>
      <c r="AR119" s="16"/>
      <c r="AS119" s="16"/>
      <c r="AT119" s="16"/>
      <c r="AU119" s="42">
        <f t="shared" si="18"/>
        <v>4</v>
      </c>
      <c r="AV119" s="16"/>
      <c r="AW119" s="16"/>
      <c r="AX119" s="57"/>
      <c r="AY119" s="16">
        <v>5</v>
      </c>
      <c r="AZ119" s="16"/>
      <c r="BA119" s="43">
        <f t="shared" si="19"/>
        <v>5</v>
      </c>
    </row>
    <row r="120" spans="1:53" ht="23.1" customHeight="1" x14ac:dyDescent="0.3">
      <c r="A120" s="76">
        <v>117</v>
      </c>
      <c r="B120" s="76" t="s">
        <v>203</v>
      </c>
      <c r="C120" s="77" t="s">
        <v>204</v>
      </c>
      <c r="D120" s="76" t="s">
        <v>542</v>
      </c>
      <c r="E120" s="76" t="s">
        <v>161</v>
      </c>
      <c r="F120" s="81"/>
      <c r="G120" s="81"/>
      <c r="H120" s="81"/>
      <c r="I120" s="81"/>
      <c r="J120" s="81"/>
      <c r="K120" s="75">
        <v>4</v>
      </c>
      <c r="L120" s="81"/>
      <c r="M120" s="34">
        <v>5</v>
      </c>
      <c r="N120" s="34">
        <v>5</v>
      </c>
      <c r="O120" s="58"/>
      <c r="P120" s="34">
        <v>4</v>
      </c>
      <c r="Q120" s="43">
        <f t="shared" si="13"/>
        <v>4.666666666666667</v>
      </c>
      <c r="R120" s="34">
        <v>4</v>
      </c>
      <c r="S120" s="58"/>
      <c r="T120" s="58"/>
      <c r="U120" s="58"/>
      <c r="V120" s="58"/>
      <c r="W120" s="42">
        <f t="shared" si="14"/>
        <v>4</v>
      </c>
      <c r="X120" s="34">
        <v>4</v>
      </c>
      <c r="Y120" s="58"/>
      <c r="Z120" s="58"/>
      <c r="AA120" s="58"/>
      <c r="AB120" s="58"/>
      <c r="AC120" s="42">
        <f t="shared" si="15"/>
        <v>4</v>
      </c>
      <c r="AD120" s="34">
        <v>0</v>
      </c>
      <c r="AE120" s="58"/>
      <c r="AF120" s="58"/>
      <c r="AG120" s="58"/>
      <c r="AH120" s="58"/>
      <c r="AI120" s="42">
        <f t="shared" si="16"/>
        <v>0</v>
      </c>
      <c r="AJ120" s="58"/>
      <c r="AK120" s="34">
        <v>4</v>
      </c>
      <c r="AL120" s="58"/>
      <c r="AM120" s="58"/>
      <c r="AN120" s="58"/>
      <c r="AO120" s="43">
        <f t="shared" si="17"/>
        <v>4</v>
      </c>
      <c r="AP120" s="34">
        <v>5</v>
      </c>
      <c r="AQ120" s="34"/>
      <c r="AR120" s="34"/>
      <c r="AS120" s="34"/>
      <c r="AT120" s="34"/>
      <c r="AU120" s="42">
        <f t="shared" si="18"/>
        <v>5</v>
      </c>
      <c r="AV120" s="34"/>
      <c r="AW120" s="34"/>
      <c r="AX120" s="58"/>
      <c r="AY120" s="34">
        <v>4</v>
      </c>
      <c r="AZ120" s="34"/>
      <c r="BA120" s="43">
        <f t="shared" si="19"/>
        <v>4</v>
      </c>
    </row>
    <row r="121" spans="1:53" ht="23.1" customHeight="1" x14ac:dyDescent="0.3">
      <c r="A121" s="83">
        <v>118</v>
      </c>
      <c r="B121" s="83" t="s">
        <v>356</v>
      </c>
      <c r="C121" s="84" t="s">
        <v>357</v>
      </c>
      <c r="D121" s="83" t="s">
        <v>542</v>
      </c>
      <c r="E121" s="83" t="s">
        <v>493</v>
      </c>
      <c r="F121" s="86"/>
      <c r="G121" s="86"/>
      <c r="H121" s="86"/>
      <c r="I121" s="86"/>
      <c r="J121" s="86"/>
      <c r="K121" s="75">
        <v>2</v>
      </c>
      <c r="L121" s="86"/>
      <c r="M121" s="16">
        <v>2.5</v>
      </c>
      <c r="N121" s="16">
        <v>2.5</v>
      </c>
      <c r="O121" s="57"/>
      <c r="P121" s="16">
        <v>2.5</v>
      </c>
      <c r="Q121" s="43">
        <f t="shared" si="13"/>
        <v>2.5</v>
      </c>
      <c r="R121" s="16">
        <v>2</v>
      </c>
      <c r="S121" s="57"/>
      <c r="T121" s="57"/>
      <c r="U121" s="57"/>
      <c r="V121" s="57"/>
      <c r="W121" s="42">
        <f t="shared" si="14"/>
        <v>2</v>
      </c>
      <c r="X121" s="16">
        <v>2</v>
      </c>
      <c r="Y121" s="57"/>
      <c r="Z121" s="57"/>
      <c r="AA121" s="57"/>
      <c r="AB121" s="57"/>
      <c r="AC121" s="42">
        <f t="shared" si="15"/>
        <v>2</v>
      </c>
      <c r="AD121" s="16">
        <v>2</v>
      </c>
      <c r="AE121" s="57"/>
      <c r="AF121" s="57"/>
      <c r="AG121" s="57"/>
      <c r="AH121" s="57"/>
      <c r="AI121" s="42">
        <f t="shared" si="16"/>
        <v>2</v>
      </c>
      <c r="AJ121" s="57"/>
      <c r="AK121" s="16">
        <v>2.5</v>
      </c>
      <c r="AL121" s="57"/>
      <c r="AM121" s="57"/>
      <c r="AN121" s="57"/>
      <c r="AO121" s="43">
        <f t="shared" si="17"/>
        <v>2.5</v>
      </c>
      <c r="AP121" s="16">
        <v>2</v>
      </c>
      <c r="AQ121" s="16"/>
      <c r="AR121" s="16"/>
      <c r="AS121" s="16"/>
      <c r="AT121" s="16"/>
      <c r="AU121" s="42">
        <f t="shared" si="18"/>
        <v>2</v>
      </c>
      <c r="AV121" s="16"/>
      <c r="AW121" s="16"/>
      <c r="AX121" s="57"/>
      <c r="AY121" s="16">
        <v>2</v>
      </c>
      <c r="AZ121" s="16"/>
      <c r="BA121" s="43">
        <f t="shared" si="19"/>
        <v>2</v>
      </c>
    </row>
    <row r="122" spans="1:53" ht="23.1" customHeight="1" x14ac:dyDescent="0.3">
      <c r="A122" s="76">
        <v>119</v>
      </c>
      <c r="B122" s="76" t="s">
        <v>358</v>
      </c>
      <c r="C122" s="77" t="s">
        <v>359</v>
      </c>
      <c r="D122" s="76" t="s">
        <v>542</v>
      </c>
      <c r="E122" s="76" t="s">
        <v>493</v>
      </c>
      <c r="F122" s="81"/>
      <c r="G122" s="81"/>
      <c r="H122" s="81"/>
      <c r="I122" s="81"/>
      <c r="J122" s="81"/>
      <c r="K122" s="75">
        <v>4</v>
      </c>
      <c r="L122" s="81"/>
      <c r="M122" s="34">
        <v>3.5</v>
      </c>
      <c r="N122" s="34">
        <v>4</v>
      </c>
      <c r="O122" s="58"/>
      <c r="P122" s="34">
        <v>3.5</v>
      </c>
      <c r="Q122" s="43">
        <f t="shared" si="13"/>
        <v>3.6666666666666665</v>
      </c>
      <c r="R122" s="34">
        <v>2.5</v>
      </c>
      <c r="S122" s="58"/>
      <c r="T122" s="58"/>
      <c r="U122" s="58"/>
      <c r="V122" s="58"/>
      <c r="W122" s="42">
        <f t="shared" si="14"/>
        <v>2.5</v>
      </c>
      <c r="X122" s="34">
        <v>2.5</v>
      </c>
      <c r="Y122" s="58"/>
      <c r="Z122" s="58"/>
      <c r="AA122" s="58"/>
      <c r="AB122" s="58"/>
      <c r="AC122" s="42">
        <f t="shared" si="15"/>
        <v>2.5</v>
      </c>
      <c r="AD122" s="34">
        <v>3</v>
      </c>
      <c r="AE122" s="58"/>
      <c r="AF122" s="58"/>
      <c r="AG122" s="58"/>
      <c r="AH122" s="58"/>
      <c r="AI122" s="42">
        <f t="shared" si="16"/>
        <v>3</v>
      </c>
      <c r="AJ122" s="58"/>
      <c r="AK122" s="34">
        <v>3</v>
      </c>
      <c r="AL122" s="58"/>
      <c r="AM122" s="58"/>
      <c r="AN122" s="58"/>
      <c r="AO122" s="43">
        <f t="shared" si="17"/>
        <v>3</v>
      </c>
      <c r="AP122" s="34">
        <v>3</v>
      </c>
      <c r="AQ122" s="34"/>
      <c r="AR122" s="34"/>
      <c r="AS122" s="34"/>
      <c r="AT122" s="34"/>
      <c r="AU122" s="42">
        <f t="shared" si="18"/>
        <v>3</v>
      </c>
      <c r="AV122" s="34"/>
      <c r="AW122" s="34"/>
      <c r="AX122" s="58"/>
      <c r="AY122" s="34">
        <v>2.5</v>
      </c>
      <c r="AZ122" s="34"/>
      <c r="BA122" s="43">
        <f t="shared" si="19"/>
        <v>2.5</v>
      </c>
    </row>
    <row r="123" spans="1:53" ht="23.1" customHeight="1" x14ac:dyDescent="0.3">
      <c r="A123" s="83">
        <v>120</v>
      </c>
      <c r="B123" s="83" t="s">
        <v>150</v>
      </c>
      <c r="C123" s="84" t="s">
        <v>151</v>
      </c>
      <c r="D123" s="83" t="s">
        <v>450</v>
      </c>
      <c r="E123" s="83" t="s">
        <v>35</v>
      </c>
      <c r="F123" s="92"/>
      <c r="G123" s="92"/>
      <c r="H123" s="92"/>
      <c r="I123" s="92"/>
      <c r="J123" s="92"/>
      <c r="K123" s="75">
        <v>4</v>
      </c>
      <c r="L123" s="92"/>
      <c r="M123" s="16">
        <v>5</v>
      </c>
      <c r="N123" s="16">
        <v>5</v>
      </c>
      <c r="O123" s="61"/>
      <c r="P123" s="16">
        <v>5</v>
      </c>
      <c r="Q123" s="43">
        <f t="shared" si="13"/>
        <v>5</v>
      </c>
      <c r="R123" s="16">
        <v>4</v>
      </c>
      <c r="S123" s="61"/>
      <c r="T123" s="61"/>
      <c r="U123" s="61"/>
      <c r="V123" s="61"/>
      <c r="W123" s="42">
        <f t="shared" si="14"/>
        <v>4</v>
      </c>
      <c r="X123" s="16">
        <v>4</v>
      </c>
      <c r="Y123" s="61"/>
      <c r="Z123" s="61"/>
      <c r="AA123" s="61"/>
      <c r="AB123" s="61"/>
      <c r="AC123" s="42">
        <f t="shared" si="15"/>
        <v>4</v>
      </c>
      <c r="AD123" s="16">
        <v>3</v>
      </c>
      <c r="AE123" s="61"/>
      <c r="AF123" s="61"/>
      <c r="AG123" s="61"/>
      <c r="AH123" s="61"/>
      <c r="AI123" s="42">
        <f t="shared" si="16"/>
        <v>3</v>
      </c>
      <c r="AJ123" s="61"/>
      <c r="AK123" s="16">
        <v>3</v>
      </c>
      <c r="AL123" s="61"/>
      <c r="AM123" s="61"/>
      <c r="AN123" s="61"/>
      <c r="AO123" s="43">
        <f t="shared" si="17"/>
        <v>3</v>
      </c>
      <c r="AP123" s="16">
        <v>3</v>
      </c>
      <c r="AQ123" s="16"/>
      <c r="AR123" s="16"/>
      <c r="AS123" s="16"/>
      <c r="AT123" s="16"/>
      <c r="AU123" s="42">
        <f t="shared" si="18"/>
        <v>3</v>
      </c>
      <c r="AV123" s="16"/>
      <c r="AW123" s="16"/>
      <c r="AX123" s="61"/>
      <c r="AY123" s="16">
        <v>3</v>
      </c>
      <c r="AZ123" s="16"/>
      <c r="BA123" s="43">
        <f t="shared" si="19"/>
        <v>3</v>
      </c>
    </row>
    <row r="124" spans="1:53" ht="23.1" customHeight="1" x14ac:dyDescent="0.3">
      <c r="A124" s="76">
        <v>121</v>
      </c>
      <c r="B124" s="76" t="s">
        <v>360</v>
      </c>
      <c r="C124" s="77" t="s">
        <v>361</v>
      </c>
      <c r="D124" s="76" t="s">
        <v>450</v>
      </c>
      <c r="E124" s="76" t="s">
        <v>493</v>
      </c>
      <c r="F124" s="81"/>
      <c r="G124" s="81"/>
      <c r="H124" s="81"/>
      <c r="I124" s="81"/>
      <c r="J124" s="81"/>
      <c r="K124" s="75">
        <v>1</v>
      </c>
      <c r="L124" s="81"/>
      <c r="M124" s="34">
        <v>4</v>
      </c>
      <c r="N124" s="34">
        <v>3</v>
      </c>
      <c r="O124" s="58"/>
      <c r="P124" s="34">
        <v>3</v>
      </c>
      <c r="Q124" s="43">
        <f t="shared" si="13"/>
        <v>3.3333333333333335</v>
      </c>
      <c r="R124" s="34">
        <v>4</v>
      </c>
      <c r="S124" s="58"/>
      <c r="T124" s="58"/>
      <c r="U124" s="58"/>
      <c r="V124" s="58"/>
      <c r="W124" s="42">
        <f t="shared" si="14"/>
        <v>4</v>
      </c>
      <c r="X124" s="34">
        <v>4</v>
      </c>
      <c r="Y124" s="58"/>
      <c r="Z124" s="58"/>
      <c r="AA124" s="58"/>
      <c r="AB124" s="58"/>
      <c r="AC124" s="42">
        <f t="shared" si="15"/>
        <v>4</v>
      </c>
      <c r="AD124" s="34">
        <v>4</v>
      </c>
      <c r="AE124" s="58"/>
      <c r="AF124" s="58"/>
      <c r="AG124" s="58"/>
      <c r="AH124" s="58"/>
      <c r="AI124" s="42">
        <f t="shared" si="16"/>
        <v>4</v>
      </c>
      <c r="AJ124" s="58"/>
      <c r="AK124" s="34">
        <v>3</v>
      </c>
      <c r="AL124" s="58"/>
      <c r="AM124" s="58"/>
      <c r="AN124" s="58"/>
      <c r="AO124" s="43">
        <f t="shared" si="17"/>
        <v>3</v>
      </c>
      <c r="AP124" s="34">
        <v>3</v>
      </c>
      <c r="AQ124" s="34"/>
      <c r="AR124" s="34"/>
      <c r="AS124" s="34"/>
      <c r="AT124" s="34"/>
      <c r="AU124" s="42">
        <f t="shared" si="18"/>
        <v>3</v>
      </c>
      <c r="AV124" s="34"/>
      <c r="AW124" s="34"/>
      <c r="AX124" s="58"/>
      <c r="AY124" s="34">
        <v>5</v>
      </c>
      <c r="AZ124" s="34"/>
      <c r="BA124" s="43">
        <f t="shared" si="19"/>
        <v>5</v>
      </c>
    </row>
    <row r="125" spans="1:53" ht="23.1" customHeight="1" x14ac:dyDescent="0.3">
      <c r="A125" s="83">
        <v>122</v>
      </c>
      <c r="B125" s="83" t="s">
        <v>362</v>
      </c>
      <c r="C125" s="84" t="s">
        <v>363</v>
      </c>
      <c r="D125" s="83" t="s">
        <v>450</v>
      </c>
      <c r="E125" s="83" t="s">
        <v>493</v>
      </c>
      <c r="F125" s="86"/>
      <c r="G125" s="86"/>
      <c r="H125" s="86"/>
      <c r="I125" s="86"/>
      <c r="J125" s="86"/>
      <c r="K125" s="75">
        <v>2</v>
      </c>
      <c r="L125" s="86"/>
      <c r="M125" s="16">
        <v>4</v>
      </c>
      <c r="N125" s="16">
        <v>3.5</v>
      </c>
      <c r="O125" s="57"/>
      <c r="P125" s="16">
        <v>3</v>
      </c>
      <c r="Q125" s="43">
        <f t="shared" si="13"/>
        <v>3.5</v>
      </c>
      <c r="R125" s="16">
        <v>2.5</v>
      </c>
      <c r="S125" s="57"/>
      <c r="T125" s="57"/>
      <c r="U125" s="57"/>
      <c r="V125" s="57"/>
      <c r="W125" s="42">
        <f t="shared" si="14"/>
        <v>2.5</v>
      </c>
      <c r="X125" s="16">
        <v>2.5</v>
      </c>
      <c r="Y125" s="57"/>
      <c r="Z125" s="57"/>
      <c r="AA125" s="57"/>
      <c r="AB125" s="57"/>
      <c r="AC125" s="42">
        <f t="shared" si="15"/>
        <v>2.5</v>
      </c>
      <c r="AD125" s="16">
        <v>3</v>
      </c>
      <c r="AE125" s="57"/>
      <c r="AF125" s="57"/>
      <c r="AG125" s="57"/>
      <c r="AH125" s="57"/>
      <c r="AI125" s="42">
        <f t="shared" si="16"/>
        <v>3</v>
      </c>
      <c r="AJ125" s="57"/>
      <c r="AK125" s="16">
        <v>3.5</v>
      </c>
      <c r="AL125" s="57"/>
      <c r="AM125" s="57"/>
      <c r="AN125" s="57"/>
      <c r="AO125" s="43">
        <f t="shared" si="17"/>
        <v>3.5</v>
      </c>
      <c r="AP125" s="16">
        <v>3</v>
      </c>
      <c r="AQ125" s="16"/>
      <c r="AR125" s="16"/>
      <c r="AS125" s="16"/>
      <c r="AT125" s="16"/>
      <c r="AU125" s="42">
        <f t="shared" si="18"/>
        <v>3</v>
      </c>
      <c r="AV125" s="16"/>
      <c r="AW125" s="16"/>
      <c r="AX125" s="57"/>
      <c r="AY125" s="16">
        <v>2.5</v>
      </c>
      <c r="AZ125" s="16"/>
      <c r="BA125" s="43">
        <f t="shared" si="19"/>
        <v>2.5</v>
      </c>
    </row>
    <row r="126" spans="1:53" ht="23.1" customHeight="1" x14ac:dyDescent="0.3">
      <c r="A126" s="76">
        <v>123</v>
      </c>
      <c r="B126" s="76" t="s">
        <v>364</v>
      </c>
      <c r="C126" s="77" t="s">
        <v>365</v>
      </c>
      <c r="D126" s="76" t="s">
        <v>450</v>
      </c>
      <c r="E126" s="76" t="s">
        <v>493</v>
      </c>
      <c r="F126" s="81"/>
      <c r="G126" s="81"/>
      <c r="H126" s="81"/>
      <c r="I126" s="81"/>
      <c r="J126" s="81"/>
      <c r="K126" s="75">
        <v>4</v>
      </c>
      <c r="L126" s="81"/>
      <c r="M126" s="34">
        <v>5</v>
      </c>
      <c r="N126" s="34">
        <v>5</v>
      </c>
      <c r="O126" s="58"/>
      <c r="P126" s="34">
        <v>4.5</v>
      </c>
      <c r="Q126" s="43">
        <f t="shared" si="13"/>
        <v>4.833333333333333</v>
      </c>
      <c r="R126" s="34">
        <v>4.5</v>
      </c>
      <c r="S126" s="58"/>
      <c r="T126" s="58"/>
      <c r="U126" s="58"/>
      <c r="V126" s="58"/>
      <c r="W126" s="42">
        <f t="shared" si="14"/>
        <v>4.5</v>
      </c>
      <c r="X126" s="34">
        <v>4.5</v>
      </c>
      <c r="Y126" s="58"/>
      <c r="Z126" s="58"/>
      <c r="AA126" s="58"/>
      <c r="AB126" s="58"/>
      <c r="AC126" s="42">
        <f t="shared" si="15"/>
        <v>4.5</v>
      </c>
      <c r="AD126" s="34">
        <v>4</v>
      </c>
      <c r="AE126" s="58"/>
      <c r="AF126" s="58"/>
      <c r="AG126" s="58"/>
      <c r="AH126" s="58"/>
      <c r="AI126" s="42">
        <f t="shared" si="16"/>
        <v>4</v>
      </c>
      <c r="AJ126" s="58"/>
      <c r="AK126" s="34">
        <v>4.5</v>
      </c>
      <c r="AL126" s="58"/>
      <c r="AM126" s="58"/>
      <c r="AN126" s="58"/>
      <c r="AO126" s="43">
        <f t="shared" si="17"/>
        <v>4.5</v>
      </c>
      <c r="AP126" s="34">
        <v>4</v>
      </c>
      <c r="AQ126" s="34"/>
      <c r="AR126" s="34"/>
      <c r="AS126" s="34"/>
      <c r="AT126" s="34"/>
      <c r="AU126" s="42">
        <f t="shared" si="18"/>
        <v>4</v>
      </c>
      <c r="AV126" s="34"/>
      <c r="AW126" s="34"/>
      <c r="AX126" s="58"/>
      <c r="AY126" s="34">
        <v>4</v>
      </c>
      <c r="AZ126" s="34"/>
      <c r="BA126" s="43">
        <f t="shared" si="19"/>
        <v>4</v>
      </c>
    </row>
    <row r="127" spans="1:53" ht="23.1" customHeight="1" x14ac:dyDescent="0.3">
      <c r="A127" s="83">
        <v>124</v>
      </c>
      <c r="B127" s="83" t="s">
        <v>54</v>
      </c>
      <c r="C127" s="84" t="s">
        <v>55</v>
      </c>
      <c r="D127" s="83" t="s">
        <v>450</v>
      </c>
      <c r="E127" s="83" t="s">
        <v>35</v>
      </c>
      <c r="F127" s="88"/>
      <c r="G127" s="88"/>
      <c r="H127" s="88"/>
      <c r="I127" s="88"/>
      <c r="J127" s="88"/>
      <c r="K127" s="75">
        <v>5</v>
      </c>
      <c r="L127" s="88"/>
      <c r="M127" s="16">
        <v>3</v>
      </c>
      <c r="N127" s="16">
        <v>3</v>
      </c>
      <c r="O127" s="59"/>
      <c r="P127" s="16">
        <v>3</v>
      </c>
      <c r="Q127" s="43">
        <f t="shared" si="13"/>
        <v>3</v>
      </c>
      <c r="R127" s="16">
        <v>4</v>
      </c>
      <c r="S127" s="59"/>
      <c r="T127" s="59"/>
      <c r="U127" s="59"/>
      <c r="V127" s="59"/>
      <c r="W127" s="42">
        <f t="shared" si="14"/>
        <v>4</v>
      </c>
      <c r="X127" s="16">
        <v>4</v>
      </c>
      <c r="Y127" s="59"/>
      <c r="Z127" s="59"/>
      <c r="AA127" s="59"/>
      <c r="AB127" s="59"/>
      <c r="AC127" s="42">
        <f t="shared" si="15"/>
        <v>4</v>
      </c>
      <c r="AD127" s="16">
        <v>4</v>
      </c>
      <c r="AE127" s="59"/>
      <c r="AF127" s="59"/>
      <c r="AG127" s="59"/>
      <c r="AH127" s="59"/>
      <c r="AI127" s="42">
        <f t="shared" si="16"/>
        <v>4</v>
      </c>
      <c r="AJ127" s="59"/>
      <c r="AK127" s="16">
        <v>3</v>
      </c>
      <c r="AL127" s="59"/>
      <c r="AM127" s="59"/>
      <c r="AN127" s="59"/>
      <c r="AO127" s="43">
        <f t="shared" si="17"/>
        <v>3</v>
      </c>
      <c r="AP127" s="16">
        <v>4</v>
      </c>
      <c r="AQ127" s="16"/>
      <c r="AR127" s="16"/>
      <c r="AS127" s="16"/>
      <c r="AT127" s="16"/>
      <c r="AU127" s="42">
        <f t="shared" si="18"/>
        <v>4</v>
      </c>
      <c r="AV127" s="16"/>
      <c r="AW127" s="16"/>
      <c r="AX127" s="59"/>
      <c r="AY127" s="16">
        <v>4</v>
      </c>
      <c r="AZ127" s="16"/>
      <c r="BA127" s="43">
        <f t="shared" si="19"/>
        <v>4</v>
      </c>
    </row>
    <row r="128" spans="1:53" ht="23.1" customHeight="1" x14ac:dyDescent="0.3">
      <c r="A128" s="76">
        <v>125</v>
      </c>
      <c r="B128" s="76" t="s">
        <v>219</v>
      </c>
      <c r="C128" s="77" t="s">
        <v>220</v>
      </c>
      <c r="D128" s="76" t="s">
        <v>542</v>
      </c>
      <c r="E128" s="76" t="s">
        <v>161</v>
      </c>
      <c r="F128" s="81"/>
      <c r="G128" s="81"/>
      <c r="H128" s="81"/>
      <c r="I128" s="81"/>
      <c r="J128" s="81"/>
      <c r="K128" s="75">
        <v>5</v>
      </c>
      <c r="L128" s="81"/>
      <c r="M128" s="34">
        <v>4</v>
      </c>
      <c r="N128" s="34">
        <v>4.5</v>
      </c>
      <c r="O128" s="58"/>
      <c r="P128" s="34">
        <v>4</v>
      </c>
      <c r="Q128" s="43">
        <f t="shared" si="13"/>
        <v>4.166666666666667</v>
      </c>
      <c r="R128" s="34">
        <v>4</v>
      </c>
      <c r="S128" s="58"/>
      <c r="T128" s="58"/>
      <c r="U128" s="58"/>
      <c r="V128" s="58"/>
      <c r="W128" s="42">
        <f t="shared" si="14"/>
        <v>4</v>
      </c>
      <c r="X128" s="34">
        <v>4</v>
      </c>
      <c r="Y128" s="58"/>
      <c r="Z128" s="58"/>
      <c r="AA128" s="58"/>
      <c r="AB128" s="58"/>
      <c r="AC128" s="42">
        <f t="shared" si="15"/>
        <v>4</v>
      </c>
      <c r="AD128" s="34">
        <v>0</v>
      </c>
      <c r="AE128" s="58"/>
      <c r="AF128" s="58"/>
      <c r="AG128" s="58"/>
      <c r="AH128" s="58"/>
      <c r="AI128" s="42">
        <f t="shared" si="16"/>
        <v>0</v>
      </c>
      <c r="AJ128" s="58"/>
      <c r="AK128" s="34">
        <v>4</v>
      </c>
      <c r="AL128" s="58"/>
      <c r="AM128" s="58"/>
      <c r="AN128" s="58"/>
      <c r="AO128" s="43">
        <f t="shared" si="17"/>
        <v>4</v>
      </c>
      <c r="AP128" s="34">
        <v>4</v>
      </c>
      <c r="AQ128" s="34"/>
      <c r="AR128" s="34"/>
      <c r="AS128" s="34"/>
      <c r="AT128" s="34"/>
      <c r="AU128" s="42">
        <f t="shared" si="18"/>
        <v>4</v>
      </c>
      <c r="AV128" s="34"/>
      <c r="AW128" s="34"/>
      <c r="AX128" s="58"/>
      <c r="AY128" s="34">
        <v>5</v>
      </c>
      <c r="AZ128" s="34"/>
      <c r="BA128" s="43">
        <f t="shared" si="19"/>
        <v>5</v>
      </c>
    </row>
    <row r="129" spans="1:53" ht="23.1" customHeight="1" x14ac:dyDescent="0.3">
      <c r="A129" s="83">
        <v>126</v>
      </c>
      <c r="B129" s="83" t="s">
        <v>237</v>
      </c>
      <c r="C129" s="84" t="s">
        <v>238</v>
      </c>
      <c r="D129" s="83" t="s">
        <v>542</v>
      </c>
      <c r="E129" s="83" t="s">
        <v>161</v>
      </c>
      <c r="F129" s="86"/>
      <c r="G129" s="86"/>
      <c r="H129" s="86"/>
      <c r="I129" s="86"/>
      <c r="J129" s="86"/>
      <c r="K129" s="75">
        <v>3</v>
      </c>
      <c r="L129" s="86"/>
      <c r="M129" s="16">
        <v>4</v>
      </c>
      <c r="N129" s="16">
        <v>4</v>
      </c>
      <c r="O129" s="57"/>
      <c r="P129" s="16">
        <v>3</v>
      </c>
      <c r="Q129" s="43">
        <f t="shared" si="13"/>
        <v>3.6666666666666665</v>
      </c>
      <c r="R129" s="16">
        <v>4</v>
      </c>
      <c r="S129" s="57"/>
      <c r="T129" s="57"/>
      <c r="U129" s="57"/>
      <c r="V129" s="57"/>
      <c r="W129" s="42">
        <f t="shared" si="14"/>
        <v>4</v>
      </c>
      <c r="X129" s="16">
        <v>4</v>
      </c>
      <c r="Y129" s="57"/>
      <c r="Z129" s="57"/>
      <c r="AA129" s="57"/>
      <c r="AB129" s="57"/>
      <c r="AC129" s="42">
        <f t="shared" si="15"/>
        <v>4</v>
      </c>
      <c r="AD129" s="16">
        <v>0</v>
      </c>
      <c r="AE129" s="57"/>
      <c r="AF129" s="57"/>
      <c r="AG129" s="57"/>
      <c r="AH129" s="57"/>
      <c r="AI129" s="42">
        <f t="shared" si="16"/>
        <v>0</v>
      </c>
      <c r="AJ129" s="57"/>
      <c r="AK129" s="16">
        <v>3</v>
      </c>
      <c r="AL129" s="57"/>
      <c r="AM129" s="57"/>
      <c r="AN129" s="57"/>
      <c r="AO129" s="43">
        <f t="shared" si="17"/>
        <v>3</v>
      </c>
      <c r="AP129" s="16">
        <v>3</v>
      </c>
      <c r="AQ129" s="16"/>
      <c r="AR129" s="16"/>
      <c r="AS129" s="16"/>
      <c r="AT129" s="16"/>
      <c r="AU129" s="42">
        <f t="shared" si="18"/>
        <v>3</v>
      </c>
      <c r="AV129" s="16"/>
      <c r="AW129" s="16"/>
      <c r="AX129" s="57"/>
      <c r="AY129" s="16">
        <v>3</v>
      </c>
      <c r="AZ129" s="16"/>
      <c r="BA129" s="43">
        <f t="shared" si="19"/>
        <v>3</v>
      </c>
    </row>
    <row r="130" spans="1:53" ht="23.1" customHeight="1" x14ac:dyDescent="0.3">
      <c r="A130" s="76">
        <v>127</v>
      </c>
      <c r="B130" s="76" t="s">
        <v>366</v>
      </c>
      <c r="C130" s="77" t="s">
        <v>367</v>
      </c>
      <c r="D130" s="76" t="s">
        <v>542</v>
      </c>
      <c r="E130" s="76" t="s">
        <v>493</v>
      </c>
      <c r="F130" s="81"/>
      <c r="G130" s="81"/>
      <c r="H130" s="81"/>
      <c r="I130" s="81"/>
      <c r="J130" s="81"/>
      <c r="K130" s="75">
        <v>5</v>
      </c>
      <c r="L130" s="81"/>
      <c r="M130" s="34">
        <v>5</v>
      </c>
      <c r="N130" s="34">
        <v>4</v>
      </c>
      <c r="O130" s="58"/>
      <c r="P130" s="34">
        <v>4</v>
      </c>
      <c r="Q130" s="43">
        <f t="shared" si="13"/>
        <v>4.333333333333333</v>
      </c>
      <c r="R130" s="34">
        <v>4</v>
      </c>
      <c r="S130" s="58"/>
      <c r="T130" s="58"/>
      <c r="U130" s="58"/>
      <c r="V130" s="58"/>
      <c r="W130" s="42">
        <f t="shared" si="14"/>
        <v>4</v>
      </c>
      <c r="X130" s="34">
        <v>4</v>
      </c>
      <c r="Y130" s="58"/>
      <c r="Z130" s="58"/>
      <c r="AA130" s="58"/>
      <c r="AB130" s="58"/>
      <c r="AC130" s="42">
        <f t="shared" si="15"/>
        <v>4</v>
      </c>
      <c r="AD130" s="34">
        <v>5</v>
      </c>
      <c r="AE130" s="58"/>
      <c r="AF130" s="58"/>
      <c r="AG130" s="58"/>
      <c r="AH130" s="58"/>
      <c r="AI130" s="42">
        <f t="shared" si="16"/>
        <v>5</v>
      </c>
      <c r="AJ130" s="58"/>
      <c r="AK130" s="34">
        <v>4</v>
      </c>
      <c r="AL130" s="58"/>
      <c r="AM130" s="58"/>
      <c r="AN130" s="58"/>
      <c r="AO130" s="43">
        <f t="shared" si="17"/>
        <v>4</v>
      </c>
      <c r="AP130" s="34">
        <v>5</v>
      </c>
      <c r="AQ130" s="34"/>
      <c r="AR130" s="34"/>
      <c r="AS130" s="34"/>
      <c r="AT130" s="34"/>
      <c r="AU130" s="42">
        <f t="shared" si="18"/>
        <v>5</v>
      </c>
      <c r="AV130" s="34"/>
      <c r="AW130" s="34"/>
      <c r="AX130" s="58"/>
      <c r="AY130" s="34">
        <v>5</v>
      </c>
      <c r="AZ130" s="34"/>
      <c r="BA130" s="43">
        <f t="shared" si="19"/>
        <v>5</v>
      </c>
    </row>
    <row r="131" spans="1:53" ht="23.1" customHeight="1" x14ac:dyDescent="0.3">
      <c r="A131" s="83">
        <v>128</v>
      </c>
      <c r="B131" s="83" t="s">
        <v>368</v>
      </c>
      <c r="C131" s="84" t="s">
        <v>369</v>
      </c>
      <c r="D131" s="83" t="s">
        <v>450</v>
      </c>
      <c r="E131" s="83" t="s">
        <v>493</v>
      </c>
      <c r="F131" s="86"/>
      <c r="G131" s="86"/>
      <c r="H131" s="86"/>
      <c r="I131" s="86"/>
      <c r="J131" s="86"/>
      <c r="K131" s="75">
        <v>0</v>
      </c>
      <c r="L131" s="86"/>
      <c r="M131" s="16">
        <v>3</v>
      </c>
      <c r="N131" s="16">
        <v>3</v>
      </c>
      <c r="O131" s="57"/>
      <c r="P131" s="16">
        <v>3</v>
      </c>
      <c r="Q131" s="43">
        <f t="shared" si="13"/>
        <v>3</v>
      </c>
      <c r="R131" s="16">
        <v>3</v>
      </c>
      <c r="S131" s="57"/>
      <c r="T131" s="57"/>
      <c r="U131" s="57"/>
      <c r="V131" s="57"/>
      <c r="W131" s="42">
        <f t="shared" si="14"/>
        <v>3</v>
      </c>
      <c r="X131" s="16">
        <v>3</v>
      </c>
      <c r="Y131" s="57"/>
      <c r="Z131" s="57"/>
      <c r="AA131" s="57"/>
      <c r="AB131" s="57"/>
      <c r="AC131" s="42">
        <f t="shared" si="15"/>
        <v>3</v>
      </c>
      <c r="AD131" s="16">
        <v>3</v>
      </c>
      <c r="AE131" s="57"/>
      <c r="AF131" s="57"/>
      <c r="AG131" s="57"/>
      <c r="AH131" s="57"/>
      <c r="AI131" s="42">
        <f t="shared" si="16"/>
        <v>3</v>
      </c>
      <c r="AJ131" s="57"/>
      <c r="AK131" s="16">
        <v>3</v>
      </c>
      <c r="AL131" s="57"/>
      <c r="AM131" s="57"/>
      <c r="AN131" s="57"/>
      <c r="AO131" s="43">
        <f t="shared" si="17"/>
        <v>3</v>
      </c>
      <c r="AP131" s="16">
        <v>3</v>
      </c>
      <c r="AQ131" s="16"/>
      <c r="AR131" s="16"/>
      <c r="AS131" s="16"/>
      <c r="AT131" s="16"/>
      <c r="AU131" s="42">
        <f t="shared" si="18"/>
        <v>3</v>
      </c>
      <c r="AV131" s="16"/>
      <c r="AW131" s="16"/>
      <c r="AX131" s="57"/>
      <c r="AY131" s="16">
        <v>4</v>
      </c>
      <c r="AZ131" s="16"/>
      <c r="BA131" s="43">
        <f t="shared" si="19"/>
        <v>4</v>
      </c>
    </row>
    <row r="132" spans="1:53" ht="23.1" customHeight="1" x14ac:dyDescent="0.3">
      <c r="A132" s="76">
        <v>129</v>
      </c>
      <c r="B132" s="76" t="s">
        <v>251</v>
      </c>
      <c r="C132" s="77" t="s">
        <v>252</v>
      </c>
      <c r="D132" s="76" t="s">
        <v>542</v>
      </c>
      <c r="E132" s="76" t="s">
        <v>161</v>
      </c>
      <c r="F132" s="81"/>
      <c r="G132" s="81"/>
      <c r="H132" s="81"/>
      <c r="I132" s="81"/>
      <c r="J132" s="81"/>
      <c r="K132" s="75">
        <v>5</v>
      </c>
      <c r="L132" s="81"/>
      <c r="M132" s="34">
        <v>3</v>
      </c>
      <c r="N132" s="34">
        <v>3</v>
      </c>
      <c r="O132" s="58"/>
      <c r="P132" s="34">
        <v>2</v>
      </c>
      <c r="Q132" s="43">
        <f t="shared" si="13"/>
        <v>2.6666666666666665</v>
      </c>
      <c r="R132" s="34">
        <v>3</v>
      </c>
      <c r="S132" s="58"/>
      <c r="T132" s="58"/>
      <c r="U132" s="58"/>
      <c r="V132" s="58"/>
      <c r="W132" s="42">
        <f t="shared" si="14"/>
        <v>3</v>
      </c>
      <c r="X132" s="34">
        <v>3</v>
      </c>
      <c r="Y132" s="58"/>
      <c r="Z132" s="58"/>
      <c r="AA132" s="58"/>
      <c r="AB132" s="58"/>
      <c r="AC132" s="42">
        <f t="shared" si="15"/>
        <v>3</v>
      </c>
      <c r="AD132" s="34">
        <v>0</v>
      </c>
      <c r="AE132" s="58"/>
      <c r="AF132" s="58"/>
      <c r="AG132" s="58"/>
      <c r="AH132" s="58"/>
      <c r="AI132" s="42">
        <f t="shared" si="16"/>
        <v>0</v>
      </c>
      <c r="AJ132" s="58"/>
      <c r="AK132" s="34">
        <v>5</v>
      </c>
      <c r="AL132" s="58"/>
      <c r="AM132" s="58"/>
      <c r="AN132" s="58"/>
      <c r="AO132" s="43">
        <f t="shared" si="17"/>
        <v>5</v>
      </c>
      <c r="AP132" s="34">
        <v>3</v>
      </c>
      <c r="AQ132" s="34"/>
      <c r="AR132" s="34"/>
      <c r="AS132" s="34"/>
      <c r="AT132" s="34"/>
      <c r="AU132" s="42">
        <f t="shared" si="18"/>
        <v>3</v>
      </c>
      <c r="AV132" s="34"/>
      <c r="AW132" s="34"/>
      <c r="AX132" s="58"/>
      <c r="AY132" s="34">
        <v>3</v>
      </c>
      <c r="AZ132" s="34"/>
      <c r="BA132" s="43">
        <f t="shared" si="19"/>
        <v>3</v>
      </c>
    </row>
    <row r="133" spans="1:53" ht="23.1" customHeight="1" x14ac:dyDescent="0.3">
      <c r="A133" s="83">
        <v>130</v>
      </c>
      <c r="B133" s="83" t="s">
        <v>56</v>
      </c>
      <c r="C133" s="84" t="s">
        <v>57</v>
      </c>
      <c r="D133" s="83" t="s">
        <v>450</v>
      </c>
      <c r="E133" s="83" t="s">
        <v>35</v>
      </c>
      <c r="F133" s="86"/>
      <c r="G133" s="86"/>
      <c r="H133" s="86"/>
      <c r="I133" s="86"/>
      <c r="J133" s="86"/>
      <c r="K133" s="75">
        <v>4</v>
      </c>
      <c r="L133" s="86"/>
      <c r="M133" s="16">
        <v>3</v>
      </c>
      <c r="N133" s="16">
        <v>4</v>
      </c>
      <c r="O133" s="57"/>
      <c r="P133" s="16">
        <v>4</v>
      </c>
      <c r="Q133" s="43">
        <f t="shared" ref="Q133:Q196" si="20">IFERROR(AVERAGE(M133,N133,P133),"0")</f>
        <v>3.6666666666666665</v>
      </c>
      <c r="R133" s="16">
        <v>4</v>
      </c>
      <c r="S133" s="57"/>
      <c r="T133" s="57"/>
      <c r="U133" s="57"/>
      <c r="V133" s="57"/>
      <c r="W133" s="42">
        <f t="shared" ref="W133:W196" si="21">R133</f>
        <v>4</v>
      </c>
      <c r="X133" s="16">
        <v>4</v>
      </c>
      <c r="Y133" s="57"/>
      <c r="Z133" s="57"/>
      <c r="AA133" s="57"/>
      <c r="AB133" s="57"/>
      <c r="AC133" s="42">
        <f t="shared" ref="AC133:AC196" si="22">X133</f>
        <v>4</v>
      </c>
      <c r="AD133" s="16">
        <v>3</v>
      </c>
      <c r="AE133" s="57"/>
      <c r="AF133" s="57"/>
      <c r="AG133" s="57"/>
      <c r="AH133" s="57"/>
      <c r="AI133" s="42">
        <f t="shared" ref="AI133:AI196" si="23">AD133</f>
        <v>3</v>
      </c>
      <c r="AJ133" s="57"/>
      <c r="AK133" s="16">
        <v>5</v>
      </c>
      <c r="AL133" s="57"/>
      <c r="AM133" s="57"/>
      <c r="AN133" s="57"/>
      <c r="AO133" s="43">
        <f t="shared" ref="AO133:AO196" si="24">AK133</f>
        <v>5</v>
      </c>
      <c r="AP133" s="16">
        <v>4</v>
      </c>
      <c r="AQ133" s="16"/>
      <c r="AR133" s="16"/>
      <c r="AS133" s="16"/>
      <c r="AT133" s="16"/>
      <c r="AU133" s="42">
        <f t="shared" ref="AU133:AU196" si="25">AP133</f>
        <v>4</v>
      </c>
      <c r="AV133" s="16"/>
      <c r="AW133" s="16"/>
      <c r="AX133" s="57"/>
      <c r="AY133" s="16">
        <v>3</v>
      </c>
      <c r="AZ133" s="16"/>
      <c r="BA133" s="43">
        <f t="shared" ref="BA133:BA196" si="26">IFERROR(AVERAGE(AY133,AZ133),"0")</f>
        <v>3</v>
      </c>
    </row>
    <row r="134" spans="1:53" ht="23.1" customHeight="1" x14ac:dyDescent="0.3">
      <c r="A134" s="76">
        <v>131</v>
      </c>
      <c r="B134" s="76" t="s">
        <v>265</v>
      </c>
      <c r="C134" s="77" t="s">
        <v>266</v>
      </c>
      <c r="D134" s="76" t="s">
        <v>542</v>
      </c>
      <c r="E134" s="76" t="s">
        <v>161</v>
      </c>
      <c r="F134" s="81"/>
      <c r="G134" s="81"/>
      <c r="H134" s="81"/>
      <c r="I134" s="81"/>
      <c r="J134" s="81"/>
      <c r="K134" s="75">
        <v>5</v>
      </c>
      <c r="L134" s="81"/>
      <c r="M134" s="34">
        <v>4</v>
      </c>
      <c r="N134" s="34">
        <v>4</v>
      </c>
      <c r="O134" s="58"/>
      <c r="P134" s="34">
        <v>4</v>
      </c>
      <c r="Q134" s="43">
        <f t="shared" si="20"/>
        <v>4</v>
      </c>
      <c r="R134" s="34">
        <v>4</v>
      </c>
      <c r="S134" s="58"/>
      <c r="T134" s="58"/>
      <c r="U134" s="58"/>
      <c r="V134" s="58"/>
      <c r="W134" s="42">
        <f t="shared" si="21"/>
        <v>4</v>
      </c>
      <c r="X134" s="34">
        <v>4</v>
      </c>
      <c r="Y134" s="58"/>
      <c r="Z134" s="58"/>
      <c r="AA134" s="58"/>
      <c r="AB134" s="58"/>
      <c r="AC134" s="42">
        <f t="shared" si="22"/>
        <v>4</v>
      </c>
      <c r="AD134" s="34">
        <v>0</v>
      </c>
      <c r="AE134" s="58"/>
      <c r="AF134" s="58"/>
      <c r="AG134" s="58"/>
      <c r="AH134" s="58"/>
      <c r="AI134" s="42">
        <f t="shared" si="23"/>
        <v>0</v>
      </c>
      <c r="AJ134" s="58"/>
      <c r="AK134" s="34">
        <v>3.5</v>
      </c>
      <c r="AL134" s="58"/>
      <c r="AM134" s="58"/>
      <c r="AN134" s="58"/>
      <c r="AO134" s="43">
        <f t="shared" si="24"/>
        <v>3.5</v>
      </c>
      <c r="AP134" s="34">
        <v>4</v>
      </c>
      <c r="AQ134" s="34"/>
      <c r="AR134" s="34"/>
      <c r="AS134" s="34"/>
      <c r="AT134" s="34"/>
      <c r="AU134" s="42">
        <f t="shared" si="25"/>
        <v>4</v>
      </c>
      <c r="AV134" s="34"/>
      <c r="AW134" s="34"/>
      <c r="AX134" s="58"/>
      <c r="AY134" s="34">
        <v>4</v>
      </c>
      <c r="AZ134" s="34"/>
      <c r="BA134" s="43">
        <f t="shared" si="26"/>
        <v>4</v>
      </c>
    </row>
    <row r="135" spans="1:53" ht="23.1" customHeight="1" x14ac:dyDescent="0.3">
      <c r="A135" s="83">
        <v>132</v>
      </c>
      <c r="B135" s="83" t="s">
        <v>79</v>
      </c>
      <c r="C135" s="84" t="s">
        <v>80</v>
      </c>
      <c r="D135" s="83" t="s">
        <v>542</v>
      </c>
      <c r="E135" s="83" t="s">
        <v>35</v>
      </c>
      <c r="F135" s="86"/>
      <c r="G135" s="86"/>
      <c r="H135" s="86"/>
      <c r="I135" s="86"/>
      <c r="J135" s="86"/>
      <c r="K135" s="75">
        <v>3</v>
      </c>
      <c r="L135" s="86"/>
      <c r="M135" s="16">
        <v>3</v>
      </c>
      <c r="N135" s="16">
        <v>3</v>
      </c>
      <c r="O135" s="57"/>
      <c r="P135" s="16">
        <v>3</v>
      </c>
      <c r="Q135" s="43">
        <f t="shared" si="20"/>
        <v>3</v>
      </c>
      <c r="R135" s="16">
        <v>3</v>
      </c>
      <c r="S135" s="57"/>
      <c r="T135" s="57"/>
      <c r="U135" s="57"/>
      <c r="V135" s="57"/>
      <c r="W135" s="42">
        <f t="shared" si="21"/>
        <v>3</v>
      </c>
      <c r="X135" s="16">
        <v>3</v>
      </c>
      <c r="Y135" s="57"/>
      <c r="Z135" s="57"/>
      <c r="AA135" s="57"/>
      <c r="AB135" s="57"/>
      <c r="AC135" s="42">
        <f t="shared" si="22"/>
        <v>3</v>
      </c>
      <c r="AD135" s="16">
        <v>3</v>
      </c>
      <c r="AE135" s="57"/>
      <c r="AF135" s="57"/>
      <c r="AG135" s="57"/>
      <c r="AH135" s="57"/>
      <c r="AI135" s="42">
        <f t="shared" si="23"/>
        <v>3</v>
      </c>
      <c r="AJ135" s="57"/>
      <c r="AK135" s="16">
        <v>3</v>
      </c>
      <c r="AL135" s="57"/>
      <c r="AM135" s="57"/>
      <c r="AN135" s="57"/>
      <c r="AO135" s="43">
        <f t="shared" si="24"/>
        <v>3</v>
      </c>
      <c r="AP135" s="16">
        <v>3</v>
      </c>
      <c r="AQ135" s="16"/>
      <c r="AR135" s="16"/>
      <c r="AS135" s="16"/>
      <c r="AT135" s="16"/>
      <c r="AU135" s="42">
        <f t="shared" si="25"/>
        <v>3</v>
      </c>
      <c r="AV135" s="16"/>
      <c r="AW135" s="16"/>
      <c r="AX135" s="57"/>
      <c r="AY135" s="16">
        <v>3</v>
      </c>
      <c r="AZ135" s="16"/>
      <c r="BA135" s="43">
        <f t="shared" si="26"/>
        <v>3</v>
      </c>
    </row>
    <row r="136" spans="1:53" ht="23.1" customHeight="1" x14ac:dyDescent="0.3">
      <c r="A136" s="76">
        <v>133</v>
      </c>
      <c r="B136" s="76" t="s">
        <v>85</v>
      </c>
      <c r="C136" s="77" t="s">
        <v>86</v>
      </c>
      <c r="D136" s="76" t="s">
        <v>450</v>
      </c>
      <c r="E136" s="76" t="s">
        <v>35</v>
      </c>
      <c r="F136" s="81"/>
      <c r="G136" s="81"/>
      <c r="H136" s="81"/>
      <c r="I136" s="81"/>
      <c r="J136" s="81"/>
      <c r="K136" s="75">
        <v>3</v>
      </c>
      <c r="L136" s="81"/>
      <c r="M136" s="34">
        <v>2</v>
      </c>
      <c r="N136" s="34">
        <v>2</v>
      </c>
      <c r="O136" s="58"/>
      <c r="P136" s="34">
        <v>2</v>
      </c>
      <c r="Q136" s="43">
        <f t="shared" si="20"/>
        <v>2</v>
      </c>
      <c r="R136" s="34">
        <v>3</v>
      </c>
      <c r="S136" s="58"/>
      <c r="T136" s="58"/>
      <c r="U136" s="58"/>
      <c r="V136" s="58"/>
      <c r="W136" s="42">
        <f t="shared" si="21"/>
        <v>3</v>
      </c>
      <c r="X136" s="34">
        <v>3</v>
      </c>
      <c r="Y136" s="58"/>
      <c r="Z136" s="58"/>
      <c r="AA136" s="58"/>
      <c r="AB136" s="58"/>
      <c r="AC136" s="42">
        <f t="shared" si="22"/>
        <v>3</v>
      </c>
      <c r="AD136" s="34">
        <v>3</v>
      </c>
      <c r="AE136" s="58"/>
      <c r="AF136" s="58"/>
      <c r="AG136" s="58"/>
      <c r="AH136" s="58"/>
      <c r="AI136" s="42">
        <f t="shared" si="23"/>
        <v>3</v>
      </c>
      <c r="AJ136" s="58"/>
      <c r="AK136" s="34">
        <v>3</v>
      </c>
      <c r="AL136" s="58"/>
      <c r="AM136" s="58"/>
      <c r="AN136" s="58"/>
      <c r="AO136" s="43">
        <f t="shared" si="24"/>
        <v>3</v>
      </c>
      <c r="AP136" s="34">
        <v>4</v>
      </c>
      <c r="AQ136" s="34"/>
      <c r="AR136" s="34"/>
      <c r="AS136" s="34"/>
      <c r="AT136" s="34"/>
      <c r="AU136" s="42">
        <f t="shared" si="25"/>
        <v>4</v>
      </c>
      <c r="AV136" s="34"/>
      <c r="AW136" s="34"/>
      <c r="AX136" s="58"/>
      <c r="AY136" s="34">
        <v>3</v>
      </c>
      <c r="AZ136" s="34"/>
      <c r="BA136" s="43">
        <f t="shared" si="26"/>
        <v>3</v>
      </c>
    </row>
    <row r="137" spans="1:53" ht="23.1" customHeight="1" x14ac:dyDescent="0.3">
      <c r="A137" s="83">
        <v>134</v>
      </c>
      <c r="B137" s="83" t="s">
        <v>253</v>
      </c>
      <c r="C137" s="84" t="s">
        <v>254</v>
      </c>
      <c r="D137" s="83" t="s">
        <v>450</v>
      </c>
      <c r="E137" s="83" t="s">
        <v>161</v>
      </c>
      <c r="F137" s="83"/>
      <c r="G137" s="83"/>
      <c r="H137" s="83"/>
      <c r="I137" s="83"/>
      <c r="J137" s="83"/>
      <c r="K137" s="75">
        <v>2</v>
      </c>
      <c r="L137" s="83"/>
      <c r="M137" s="16">
        <v>3</v>
      </c>
      <c r="N137" s="16">
        <v>3</v>
      </c>
      <c r="O137" s="7"/>
      <c r="P137" s="16">
        <v>2</v>
      </c>
      <c r="Q137" s="43">
        <f t="shared" si="20"/>
        <v>2.6666666666666665</v>
      </c>
      <c r="R137" s="16">
        <v>3</v>
      </c>
      <c r="S137" s="7"/>
      <c r="T137" s="7"/>
      <c r="U137" s="7"/>
      <c r="V137" s="7"/>
      <c r="W137" s="42">
        <f t="shared" si="21"/>
        <v>3</v>
      </c>
      <c r="X137" s="16">
        <v>3</v>
      </c>
      <c r="Y137" s="7"/>
      <c r="Z137" s="7"/>
      <c r="AA137" s="7"/>
      <c r="AB137" s="7"/>
      <c r="AC137" s="42">
        <f t="shared" si="22"/>
        <v>3</v>
      </c>
      <c r="AD137" s="16">
        <v>0</v>
      </c>
      <c r="AE137" s="7"/>
      <c r="AF137" s="7"/>
      <c r="AG137" s="7"/>
      <c r="AH137" s="7"/>
      <c r="AI137" s="42">
        <f t="shared" si="23"/>
        <v>0</v>
      </c>
      <c r="AJ137" s="7"/>
      <c r="AK137" s="16">
        <v>3</v>
      </c>
      <c r="AL137" s="7"/>
      <c r="AM137" s="7"/>
      <c r="AN137" s="7"/>
      <c r="AO137" s="43">
        <f t="shared" si="24"/>
        <v>3</v>
      </c>
      <c r="AP137" s="16">
        <v>3</v>
      </c>
      <c r="AQ137" s="16"/>
      <c r="AR137" s="16"/>
      <c r="AS137" s="16"/>
      <c r="AT137" s="16"/>
      <c r="AU137" s="42">
        <f t="shared" si="25"/>
        <v>3</v>
      </c>
      <c r="AV137" s="16"/>
      <c r="AW137" s="16"/>
      <c r="AX137" s="7"/>
      <c r="AY137" s="16">
        <v>3</v>
      </c>
      <c r="AZ137" s="16"/>
      <c r="BA137" s="43">
        <f t="shared" si="26"/>
        <v>3</v>
      </c>
    </row>
    <row r="138" spans="1:53" ht="23.1" customHeight="1" x14ac:dyDescent="0.3">
      <c r="A138" s="76">
        <v>135</v>
      </c>
      <c r="B138" s="76" t="s">
        <v>370</v>
      </c>
      <c r="C138" s="77" t="s">
        <v>371</v>
      </c>
      <c r="D138" s="76" t="s">
        <v>450</v>
      </c>
      <c r="E138" s="76" t="s">
        <v>493</v>
      </c>
      <c r="F138" s="76"/>
      <c r="G138" s="76"/>
      <c r="H138" s="76"/>
      <c r="I138" s="76"/>
      <c r="J138" s="76"/>
      <c r="K138" s="75">
        <v>3</v>
      </c>
      <c r="L138" s="76"/>
      <c r="M138" s="34">
        <v>3</v>
      </c>
      <c r="N138" s="34">
        <v>3</v>
      </c>
      <c r="O138" s="62"/>
      <c r="P138" s="34">
        <v>3</v>
      </c>
      <c r="Q138" s="43">
        <f t="shared" si="20"/>
        <v>3</v>
      </c>
      <c r="R138" s="34">
        <v>4</v>
      </c>
      <c r="S138" s="62"/>
      <c r="T138" s="62"/>
      <c r="U138" s="62"/>
      <c r="V138" s="62"/>
      <c r="W138" s="42">
        <f t="shared" si="21"/>
        <v>4</v>
      </c>
      <c r="X138" s="34">
        <v>4</v>
      </c>
      <c r="Y138" s="62"/>
      <c r="Z138" s="62"/>
      <c r="AA138" s="62"/>
      <c r="AB138" s="62"/>
      <c r="AC138" s="42">
        <f t="shared" si="22"/>
        <v>4</v>
      </c>
      <c r="AD138" s="34">
        <v>3</v>
      </c>
      <c r="AE138" s="62"/>
      <c r="AF138" s="62"/>
      <c r="AG138" s="62"/>
      <c r="AH138" s="62"/>
      <c r="AI138" s="42">
        <f t="shared" si="23"/>
        <v>3</v>
      </c>
      <c r="AJ138" s="62"/>
      <c r="AK138" s="34">
        <v>3</v>
      </c>
      <c r="AL138" s="62"/>
      <c r="AM138" s="62"/>
      <c r="AN138" s="62"/>
      <c r="AO138" s="43">
        <f t="shared" si="24"/>
        <v>3</v>
      </c>
      <c r="AP138" s="34">
        <v>2</v>
      </c>
      <c r="AQ138" s="34"/>
      <c r="AR138" s="34"/>
      <c r="AS138" s="34"/>
      <c r="AT138" s="34"/>
      <c r="AU138" s="42">
        <f t="shared" si="25"/>
        <v>2</v>
      </c>
      <c r="AV138" s="34"/>
      <c r="AW138" s="34"/>
      <c r="AX138" s="62"/>
      <c r="AY138" s="34">
        <v>4</v>
      </c>
      <c r="AZ138" s="34"/>
      <c r="BA138" s="43">
        <f t="shared" si="26"/>
        <v>4</v>
      </c>
    </row>
    <row r="139" spans="1:53" ht="23.1" customHeight="1" x14ac:dyDescent="0.3">
      <c r="A139" s="83">
        <v>136</v>
      </c>
      <c r="B139" s="83" t="s">
        <v>372</v>
      </c>
      <c r="C139" s="84" t="s">
        <v>373</v>
      </c>
      <c r="D139" s="83" t="s">
        <v>542</v>
      </c>
      <c r="E139" s="83" t="s">
        <v>493</v>
      </c>
      <c r="F139" s="83"/>
      <c r="G139" s="83"/>
      <c r="H139" s="83"/>
      <c r="I139" s="83"/>
      <c r="J139" s="83"/>
      <c r="K139" s="75">
        <v>3</v>
      </c>
      <c r="L139" s="83"/>
      <c r="M139" s="16">
        <v>4</v>
      </c>
      <c r="N139" s="16">
        <v>5</v>
      </c>
      <c r="O139" s="7"/>
      <c r="P139" s="16">
        <v>5</v>
      </c>
      <c r="Q139" s="43">
        <f t="shared" si="20"/>
        <v>4.666666666666667</v>
      </c>
      <c r="R139" s="16">
        <v>4</v>
      </c>
      <c r="S139" s="7"/>
      <c r="T139" s="7"/>
      <c r="U139" s="7"/>
      <c r="V139" s="7"/>
      <c r="W139" s="42">
        <f t="shared" si="21"/>
        <v>4</v>
      </c>
      <c r="X139" s="16">
        <v>4</v>
      </c>
      <c r="Y139" s="7"/>
      <c r="Z139" s="7"/>
      <c r="AA139" s="7"/>
      <c r="AB139" s="7"/>
      <c r="AC139" s="42">
        <f t="shared" si="22"/>
        <v>4</v>
      </c>
      <c r="AD139" s="16">
        <v>4</v>
      </c>
      <c r="AE139" s="7"/>
      <c r="AF139" s="7"/>
      <c r="AG139" s="7"/>
      <c r="AH139" s="7"/>
      <c r="AI139" s="42">
        <f t="shared" si="23"/>
        <v>4</v>
      </c>
      <c r="AJ139" s="7"/>
      <c r="AK139" s="16">
        <v>4</v>
      </c>
      <c r="AL139" s="7"/>
      <c r="AM139" s="7"/>
      <c r="AN139" s="7"/>
      <c r="AO139" s="43">
        <f t="shared" si="24"/>
        <v>4</v>
      </c>
      <c r="AP139" s="16">
        <v>3</v>
      </c>
      <c r="AQ139" s="16"/>
      <c r="AR139" s="16"/>
      <c r="AS139" s="16"/>
      <c r="AT139" s="16"/>
      <c r="AU139" s="42">
        <f t="shared" si="25"/>
        <v>3</v>
      </c>
      <c r="AV139" s="16"/>
      <c r="AW139" s="16"/>
      <c r="AX139" s="7"/>
      <c r="AY139" s="16">
        <v>4</v>
      </c>
      <c r="AZ139" s="16"/>
      <c r="BA139" s="43">
        <f t="shared" si="26"/>
        <v>4</v>
      </c>
    </row>
    <row r="140" spans="1:53" ht="23.1" customHeight="1" x14ac:dyDescent="0.3">
      <c r="A140" s="76">
        <v>137</v>
      </c>
      <c r="B140" s="76" t="s">
        <v>267</v>
      </c>
      <c r="C140" s="77" t="s">
        <v>268</v>
      </c>
      <c r="D140" s="76" t="s">
        <v>542</v>
      </c>
      <c r="E140" s="76" t="s">
        <v>161</v>
      </c>
      <c r="F140" s="76"/>
      <c r="G140" s="76"/>
      <c r="H140" s="76"/>
      <c r="I140" s="76"/>
      <c r="J140" s="76"/>
      <c r="K140" s="75">
        <v>2</v>
      </c>
      <c r="L140" s="76"/>
      <c r="M140" s="34">
        <v>3.5</v>
      </c>
      <c r="N140" s="34">
        <v>3.5</v>
      </c>
      <c r="O140" s="62"/>
      <c r="P140" s="34">
        <v>3.5</v>
      </c>
      <c r="Q140" s="43">
        <f t="shared" si="20"/>
        <v>3.5</v>
      </c>
      <c r="R140" s="34">
        <v>4</v>
      </c>
      <c r="S140" s="62"/>
      <c r="T140" s="62"/>
      <c r="U140" s="62"/>
      <c r="V140" s="62"/>
      <c r="W140" s="42">
        <f t="shared" si="21"/>
        <v>4</v>
      </c>
      <c r="X140" s="34">
        <v>4</v>
      </c>
      <c r="Y140" s="62"/>
      <c r="Z140" s="62"/>
      <c r="AA140" s="62"/>
      <c r="AB140" s="62"/>
      <c r="AC140" s="42">
        <f t="shared" si="22"/>
        <v>4</v>
      </c>
      <c r="AD140" s="34">
        <v>2</v>
      </c>
      <c r="AE140" s="62"/>
      <c r="AF140" s="62"/>
      <c r="AG140" s="62"/>
      <c r="AH140" s="62"/>
      <c r="AI140" s="42">
        <f t="shared" si="23"/>
        <v>2</v>
      </c>
      <c r="AJ140" s="62"/>
      <c r="AK140" s="34">
        <v>3.5</v>
      </c>
      <c r="AL140" s="62"/>
      <c r="AM140" s="62"/>
      <c r="AN140" s="62"/>
      <c r="AO140" s="43">
        <f t="shared" si="24"/>
        <v>3.5</v>
      </c>
      <c r="AP140" s="34">
        <v>3</v>
      </c>
      <c r="AQ140" s="34"/>
      <c r="AR140" s="34"/>
      <c r="AS140" s="34"/>
      <c r="AT140" s="34"/>
      <c r="AU140" s="42">
        <f t="shared" si="25"/>
        <v>3</v>
      </c>
      <c r="AV140" s="34"/>
      <c r="AW140" s="34"/>
      <c r="AX140" s="62"/>
      <c r="AY140" s="34">
        <v>4</v>
      </c>
      <c r="AZ140" s="34"/>
      <c r="BA140" s="43">
        <f t="shared" si="26"/>
        <v>4</v>
      </c>
    </row>
    <row r="141" spans="1:53" ht="23.1" customHeight="1" x14ac:dyDescent="0.3">
      <c r="A141" s="83">
        <v>138</v>
      </c>
      <c r="B141" s="83" t="s">
        <v>281</v>
      </c>
      <c r="C141" s="84" t="s">
        <v>282</v>
      </c>
      <c r="D141" s="83" t="s">
        <v>542</v>
      </c>
      <c r="E141" s="83" t="s">
        <v>161</v>
      </c>
      <c r="F141" s="83"/>
      <c r="G141" s="83"/>
      <c r="H141" s="83"/>
      <c r="I141" s="83"/>
      <c r="J141" s="83"/>
      <c r="K141" s="75">
        <v>1</v>
      </c>
      <c r="L141" s="83"/>
      <c r="M141" s="16">
        <v>4</v>
      </c>
      <c r="N141" s="16">
        <v>4</v>
      </c>
      <c r="O141" s="7"/>
      <c r="P141" s="16">
        <v>4</v>
      </c>
      <c r="Q141" s="43">
        <f t="shared" si="20"/>
        <v>4</v>
      </c>
      <c r="R141" s="16">
        <v>4</v>
      </c>
      <c r="S141" s="7"/>
      <c r="T141" s="7"/>
      <c r="U141" s="7"/>
      <c r="V141" s="7"/>
      <c r="W141" s="42">
        <f t="shared" si="21"/>
        <v>4</v>
      </c>
      <c r="X141" s="16">
        <v>4</v>
      </c>
      <c r="Y141" s="7"/>
      <c r="Z141" s="7"/>
      <c r="AA141" s="7"/>
      <c r="AB141" s="7"/>
      <c r="AC141" s="42">
        <f t="shared" si="22"/>
        <v>4</v>
      </c>
      <c r="AD141" s="16">
        <v>0</v>
      </c>
      <c r="AE141" s="7"/>
      <c r="AF141" s="7"/>
      <c r="AG141" s="7"/>
      <c r="AH141" s="7"/>
      <c r="AI141" s="42">
        <f t="shared" si="23"/>
        <v>0</v>
      </c>
      <c r="AJ141" s="7"/>
      <c r="AK141" s="16">
        <v>3</v>
      </c>
      <c r="AL141" s="7"/>
      <c r="AM141" s="7"/>
      <c r="AN141" s="7"/>
      <c r="AO141" s="43">
        <f t="shared" si="24"/>
        <v>3</v>
      </c>
      <c r="AP141" s="16">
        <v>3</v>
      </c>
      <c r="AQ141" s="16"/>
      <c r="AR141" s="16"/>
      <c r="AS141" s="16"/>
      <c r="AT141" s="16"/>
      <c r="AU141" s="42">
        <f t="shared" si="25"/>
        <v>3</v>
      </c>
      <c r="AV141" s="16"/>
      <c r="AW141" s="16"/>
      <c r="AX141" s="7"/>
      <c r="AY141" s="16">
        <v>3</v>
      </c>
      <c r="AZ141" s="16"/>
      <c r="BA141" s="43">
        <f t="shared" si="26"/>
        <v>3</v>
      </c>
    </row>
    <row r="142" spans="1:53" ht="23.1" customHeight="1" x14ac:dyDescent="0.3">
      <c r="A142" s="76">
        <v>139</v>
      </c>
      <c r="B142" s="76" t="s">
        <v>152</v>
      </c>
      <c r="C142" s="77" t="s">
        <v>153</v>
      </c>
      <c r="D142" s="76" t="s">
        <v>450</v>
      </c>
      <c r="E142" s="76" t="s">
        <v>35</v>
      </c>
      <c r="F142" s="76"/>
      <c r="G142" s="76"/>
      <c r="H142" s="76"/>
      <c r="I142" s="76"/>
      <c r="J142" s="76"/>
      <c r="K142" s="75">
        <v>3</v>
      </c>
      <c r="L142" s="76"/>
      <c r="M142" s="34">
        <v>4</v>
      </c>
      <c r="N142" s="34">
        <v>4</v>
      </c>
      <c r="O142" s="62"/>
      <c r="P142" s="34">
        <v>4</v>
      </c>
      <c r="Q142" s="43">
        <f t="shared" si="20"/>
        <v>4</v>
      </c>
      <c r="R142" s="34">
        <v>4</v>
      </c>
      <c r="S142" s="62"/>
      <c r="T142" s="62"/>
      <c r="U142" s="62"/>
      <c r="V142" s="62"/>
      <c r="W142" s="42">
        <f t="shared" si="21"/>
        <v>4</v>
      </c>
      <c r="X142" s="34">
        <v>4</v>
      </c>
      <c r="Y142" s="62"/>
      <c r="Z142" s="62"/>
      <c r="AA142" s="62"/>
      <c r="AB142" s="62"/>
      <c r="AC142" s="42">
        <f t="shared" si="22"/>
        <v>4</v>
      </c>
      <c r="AD142" s="34">
        <v>4</v>
      </c>
      <c r="AE142" s="62"/>
      <c r="AF142" s="62"/>
      <c r="AG142" s="62"/>
      <c r="AH142" s="62"/>
      <c r="AI142" s="42">
        <f t="shared" si="23"/>
        <v>4</v>
      </c>
      <c r="AJ142" s="62"/>
      <c r="AK142" s="34">
        <v>3</v>
      </c>
      <c r="AL142" s="62"/>
      <c r="AM142" s="62"/>
      <c r="AN142" s="62"/>
      <c r="AO142" s="43">
        <f t="shared" si="24"/>
        <v>3</v>
      </c>
      <c r="AP142" s="34">
        <v>5</v>
      </c>
      <c r="AQ142" s="34"/>
      <c r="AR142" s="34"/>
      <c r="AS142" s="34"/>
      <c r="AT142" s="34"/>
      <c r="AU142" s="42">
        <f t="shared" si="25"/>
        <v>5</v>
      </c>
      <c r="AV142" s="34"/>
      <c r="AW142" s="34"/>
      <c r="AX142" s="62"/>
      <c r="AY142" s="34">
        <v>4</v>
      </c>
      <c r="AZ142" s="34"/>
      <c r="BA142" s="43">
        <f t="shared" si="26"/>
        <v>4</v>
      </c>
    </row>
    <row r="143" spans="1:53" ht="23.1" customHeight="1" x14ac:dyDescent="0.3">
      <c r="A143" s="83">
        <v>140</v>
      </c>
      <c r="B143" s="83" t="s">
        <v>374</v>
      </c>
      <c r="C143" s="84" t="s">
        <v>375</v>
      </c>
      <c r="D143" s="83" t="s">
        <v>450</v>
      </c>
      <c r="E143" s="83" t="s">
        <v>493</v>
      </c>
      <c r="F143" s="83"/>
      <c r="G143" s="83"/>
      <c r="H143" s="83"/>
      <c r="I143" s="83"/>
      <c r="J143" s="83"/>
      <c r="K143" s="75">
        <v>3</v>
      </c>
      <c r="L143" s="83"/>
      <c r="M143" s="16">
        <v>3</v>
      </c>
      <c r="N143" s="16">
        <v>3</v>
      </c>
      <c r="O143" s="7"/>
      <c r="P143" s="16">
        <v>3</v>
      </c>
      <c r="Q143" s="43">
        <f t="shared" si="20"/>
        <v>3</v>
      </c>
      <c r="R143" s="16">
        <v>3</v>
      </c>
      <c r="S143" s="7"/>
      <c r="T143" s="7"/>
      <c r="U143" s="7"/>
      <c r="V143" s="7"/>
      <c r="W143" s="42">
        <f t="shared" si="21"/>
        <v>3</v>
      </c>
      <c r="X143" s="16">
        <v>3</v>
      </c>
      <c r="Y143" s="7"/>
      <c r="Z143" s="7"/>
      <c r="AA143" s="7"/>
      <c r="AB143" s="7"/>
      <c r="AC143" s="42">
        <f t="shared" si="22"/>
        <v>3</v>
      </c>
      <c r="AD143" s="16">
        <v>3</v>
      </c>
      <c r="AE143" s="7"/>
      <c r="AF143" s="7"/>
      <c r="AG143" s="7"/>
      <c r="AH143" s="7"/>
      <c r="AI143" s="42">
        <f t="shared" si="23"/>
        <v>3</v>
      </c>
      <c r="AJ143" s="7"/>
      <c r="AK143" s="16">
        <v>3</v>
      </c>
      <c r="AL143" s="7"/>
      <c r="AM143" s="7"/>
      <c r="AN143" s="7"/>
      <c r="AO143" s="43">
        <f t="shared" si="24"/>
        <v>3</v>
      </c>
      <c r="AP143" s="16">
        <v>3</v>
      </c>
      <c r="AQ143" s="16"/>
      <c r="AR143" s="16"/>
      <c r="AS143" s="16"/>
      <c r="AT143" s="16"/>
      <c r="AU143" s="42">
        <f t="shared" si="25"/>
        <v>3</v>
      </c>
      <c r="AV143" s="16"/>
      <c r="AW143" s="16"/>
      <c r="AX143" s="7"/>
      <c r="AY143" s="16">
        <v>4</v>
      </c>
      <c r="AZ143" s="16"/>
      <c r="BA143" s="43">
        <f t="shared" si="26"/>
        <v>4</v>
      </c>
    </row>
    <row r="144" spans="1:53" ht="23.1" customHeight="1" x14ac:dyDescent="0.3">
      <c r="A144" s="76">
        <v>141</v>
      </c>
      <c r="B144" s="76" t="s">
        <v>269</v>
      </c>
      <c r="C144" s="77" t="s">
        <v>270</v>
      </c>
      <c r="D144" s="76" t="s">
        <v>450</v>
      </c>
      <c r="E144" s="76" t="s">
        <v>161</v>
      </c>
      <c r="F144" s="76"/>
      <c r="G144" s="76"/>
      <c r="H144" s="76"/>
      <c r="I144" s="76"/>
      <c r="J144" s="76"/>
      <c r="K144" s="75">
        <v>5</v>
      </c>
      <c r="L144" s="76"/>
      <c r="M144" s="34">
        <v>4</v>
      </c>
      <c r="N144" s="34">
        <v>4</v>
      </c>
      <c r="O144" s="62"/>
      <c r="P144" s="34">
        <v>4</v>
      </c>
      <c r="Q144" s="43">
        <f t="shared" si="20"/>
        <v>4</v>
      </c>
      <c r="R144" s="34">
        <v>4</v>
      </c>
      <c r="S144" s="62"/>
      <c r="T144" s="62"/>
      <c r="U144" s="62"/>
      <c r="V144" s="62"/>
      <c r="W144" s="42">
        <f t="shared" si="21"/>
        <v>4</v>
      </c>
      <c r="X144" s="34">
        <v>4</v>
      </c>
      <c r="Y144" s="62"/>
      <c r="Z144" s="62"/>
      <c r="AA144" s="62"/>
      <c r="AB144" s="62"/>
      <c r="AC144" s="42">
        <f t="shared" si="22"/>
        <v>4</v>
      </c>
      <c r="AD144" s="34">
        <v>0</v>
      </c>
      <c r="AE144" s="62"/>
      <c r="AF144" s="62"/>
      <c r="AG144" s="62"/>
      <c r="AH144" s="62"/>
      <c r="AI144" s="42">
        <f t="shared" si="23"/>
        <v>0</v>
      </c>
      <c r="AJ144" s="62"/>
      <c r="AK144" s="34">
        <v>3.5</v>
      </c>
      <c r="AL144" s="62"/>
      <c r="AM144" s="62"/>
      <c r="AN144" s="62"/>
      <c r="AO144" s="43">
        <f t="shared" si="24"/>
        <v>3.5</v>
      </c>
      <c r="AP144" s="34">
        <v>4</v>
      </c>
      <c r="AQ144" s="34"/>
      <c r="AR144" s="34"/>
      <c r="AS144" s="34"/>
      <c r="AT144" s="34"/>
      <c r="AU144" s="42">
        <f t="shared" si="25"/>
        <v>4</v>
      </c>
      <c r="AV144" s="34"/>
      <c r="AW144" s="34"/>
      <c r="AX144" s="62"/>
      <c r="AY144" s="34">
        <v>4</v>
      </c>
      <c r="AZ144" s="34"/>
      <c r="BA144" s="43">
        <f t="shared" si="26"/>
        <v>4</v>
      </c>
    </row>
    <row r="145" spans="1:53" ht="23.1" customHeight="1" x14ac:dyDescent="0.3">
      <c r="A145" s="83">
        <v>142</v>
      </c>
      <c r="B145" s="83" t="s">
        <v>170</v>
      </c>
      <c r="C145" s="84" t="s">
        <v>171</v>
      </c>
      <c r="D145" s="83" t="s">
        <v>542</v>
      </c>
      <c r="E145" s="83" t="s">
        <v>161</v>
      </c>
      <c r="F145" s="83"/>
      <c r="G145" s="83"/>
      <c r="H145" s="83"/>
      <c r="I145" s="83"/>
      <c r="J145" s="83"/>
      <c r="K145" s="75">
        <v>2</v>
      </c>
      <c r="L145" s="83"/>
      <c r="M145" s="16">
        <v>4</v>
      </c>
      <c r="N145" s="16">
        <v>4</v>
      </c>
      <c r="O145" s="7"/>
      <c r="P145" s="16">
        <v>4</v>
      </c>
      <c r="Q145" s="43">
        <f t="shared" si="20"/>
        <v>4</v>
      </c>
      <c r="R145" s="16">
        <v>4</v>
      </c>
      <c r="S145" s="7"/>
      <c r="T145" s="7"/>
      <c r="U145" s="7"/>
      <c r="V145" s="7"/>
      <c r="W145" s="42">
        <f t="shared" si="21"/>
        <v>4</v>
      </c>
      <c r="X145" s="16">
        <v>4</v>
      </c>
      <c r="Y145" s="7"/>
      <c r="Z145" s="7"/>
      <c r="AA145" s="7"/>
      <c r="AB145" s="7"/>
      <c r="AC145" s="42">
        <f t="shared" si="22"/>
        <v>4</v>
      </c>
      <c r="AD145" s="16">
        <v>4</v>
      </c>
      <c r="AE145" s="7"/>
      <c r="AF145" s="7"/>
      <c r="AG145" s="7"/>
      <c r="AH145" s="7"/>
      <c r="AI145" s="42">
        <f t="shared" si="23"/>
        <v>4</v>
      </c>
      <c r="AJ145" s="7"/>
      <c r="AK145" s="16">
        <v>3</v>
      </c>
      <c r="AL145" s="7"/>
      <c r="AM145" s="7"/>
      <c r="AN145" s="7"/>
      <c r="AO145" s="43">
        <f t="shared" si="24"/>
        <v>3</v>
      </c>
      <c r="AP145" s="16">
        <v>3</v>
      </c>
      <c r="AQ145" s="16"/>
      <c r="AR145" s="16"/>
      <c r="AS145" s="16"/>
      <c r="AT145" s="16"/>
      <c r="AU145" s="42">
        <f t="shared" si="25"/>
        <v>3</v>
      </c>
      <c r="AV145" s="16"/>
      <c r="AW145" s="16"/>
      <c r="AX145" s="7"/>
      <c r="AY145" s="16">
        <v>3</v>
      </c>
      <c r="AZ145" s="16"/>
      <c r="BA145" s="43">
        <f t="shared" si="26"/>
        <v>3</v>
      </c>
    </row>
    <row r="146" spans="1:53" ht="23.1" customHeight="1" x14ac:dyDescent="0.3">
      <c r="A146" s="76">
        <v>143</v>
      </c>
      <c r="B146" s="76" t="s">
        <v>283</v>
      </c>
      <c r="C146" s="77" t="s">
        <v>284</v>
      </c>
      <c r="D146" s="76" t="s">
        <v>450</v>
      </c>
      <c r="E146" s="76" t="s">
        <v>161</v>
      </c>
      <c r="F146" s="76"/>
      <c r="G146" s="76"/>
      <c r="H146" s="76"/>
      <c r="I146" s="76"/>
      <c r="J146" s="76"/>
      <c r="K146" s="75">
        <v>2</v>
      </c>
      <c r="L146" s="76"/>
      <c r="M146" s="34">
        <v>3</v>
      </c>
      <c r="N146" s="34">
        <v>3</v>
      </c>
      <c r="O146" s="62"/>
      <c r="P146" s="34">
        <v>3</v>
      </c>
      <c r="Q146" s="43">
        <f t="shared" si="20"/>
        <v>3</v>
      </c>
      <c r="R146" s="34">
        <v>5</v>
      </c>
      <c r="S146" s="62"/>
      <c r="T146" s="62"/>
      <c r="U146" s="62"/>
      <c r="V146" s="62"/>
      <c r="W146" s="42">
        <f t="shared" si="21"/>
        <v>5</v>
      </c>
      <c r="X146" s="34">
        <v>5</v>
      </c>
      <c r="Y146" s="62"/>
      <c r="Z146" s="62"/>
      <c r="AA146" s="62"/>
      <c r="AB146" s="62"/>
      <c r="AC146" s="42">
        <f t="shared" si="22"/>
        <v>5</v>
      </c>
      <c r="AD146" s="34">
        <v>4</v>
      </c>
      <c r="AE146" s="62"/>
      <c r="AF146" s="62"/>
      <c r="AG146" s="62"/>
      <c r="AH146" s="62"/>
      <c r="AI146" s="42">
        <f t="shared" si="23"/>
        <v>4</v>
      </c>
      <c r="AJ146" s="62"/>
      <c r="AK146" s="34">
        <v>5</v>
      </c>
      <c r="AL146" s="62"/>
      <c r="AM146" s="62"/>
      <c r="AN146" s="62"/>
      <c r="AO146" s="43">
        <f t="shared" si="24"/>
        <v>5</v>
      </c>
      <c r="AP146" s="34">
        <v>5</v>
      </c>
      <c r="AQ146" s="34"/>
      <c r="AR146" s="34"/>
      <c r="AS146" s="34"/>
      <c r="AT146" s="34"/>
      <c r="AU146" s="42">
        <f t="shared" si="25"/>
        <v>5</v>
      </c>
      <c r="AV146" s="34"/>
      <c r="AW146" s="34"/>
      <c r="AX146" s="62"/>
      <c r="AY146" s="34">
        <v>4</v>
      </c>
      <c r="AZ146" s="34"/>
      <c r="BA146" s="43">
        <f t="shared" si="26"/>
        <v>4</v>
      </c>
    </row>
    <row r="147" spans="1:53" ht="23.1" customHeight="1" x14ac:dyDescent="0.3">
      <c r="A147" s="83">
        <v>144</v>
      </c>
      <c r="B147" s="83" t="s">
        <v>172</v>
      </c>
      <c r="C147" s="84" t="s">
        <v>173</v>
      </c>
      <c r="D147" s="83" t="s">
        <v>450</v>
      </c>
      <c r="E147" s="83" t="s">
        <v>161</v>
      </c>
      <c r="F147" s="83"/>
      <c r="G147" s="83"/>
      <c r="H147" s="83"/>
      <c r="I147" s="83"/>
      <c r="J147" s="83"/>
      <c r="K147" s="75">
        <v>3</v>
      </c>
      <c r="L147" s="83"/>
      <c r="M147" s="16">
        <v>4</v>
      </c>
      <c r="N147" s="16">
        <v>3.5</v>
      </c>
      <c r="O147" s="7"/>
      <c r="P147" s="16">
        <v>3.5</v>
      </c>
      <c r="Q147" s="43">
        <f t="shared" si="20"/>
        <v>3.6666666666666665</v>
      </c>
      <c r="R147" s="16">
        <v>4</v>
      </c>
      <c r="S147" s="7"/>
      <c r="T147" s="7"/>
      <c r="U147" s="7"/>
      <c r="V147" s="7"/>
      <c r="W147" s="42">
        <f t="shared" si="21"/>
        <v>4</v>
      </c>
      <c r="X147" s="16">
        <v>4</v>
      </c>
      <c r="Y147" s="7"/>
      <c r="Z147" s="7"/>
      <c r="AA147" s="7"/>
      <c r="AB147" s="7"/>
      <c r="AC147" s="42">
        <f t="shared" si="22"/>
        <v>4</v>
      </c>
      <c r="AD147" s="16">
        <v>4</v>
      </c>
      <c r="AE147" s="7"/>
      <c r="AF147" s="7"/>
      <c r="AG147" s="7"/>
      <c r="AH147" s="7"/>
      <c r="AI147" s="42">
        <f t="shared" si="23"/>
        <v>4</v>
      </c>
      <c r="AJ147" s="7"/>
      <c r="AK147" s="16">
        <v>3</v>
      </c>
      <c r="AL147" s="7"/>
      <c r="AM147" s="7"/>
      <c r="AN147" s="7"/>
      <c r="AO147" s="43">
        <f t="shared" si="24"/>
        <v>3</v>
      </c>
      <c r="AP147" s="16">
        <v>3.5</v>
      </c>
      <c r="AQ147" s="16"/>
      <c r="AR147" s="16"/>
      <c r="AS147" s="16"/>
      <c r="AT147" s="16"/>
      <c r="AU147" s="42">
        <f t="shared" si="25"/>
        <v>3.5</v>
      </c>
      <c r="AV147" s="16"/>
      <c r="AW147" s="16"/>
      <c r="AX147" s="7"/>
      <c r="AY147" s="16">
        <v>3.5</v>
      </c>
      <c r="AZ147" s="16"/>
      <c r="BA147" s="43">
        <f t="shared" si="26"/>
        <v>3.5</v>
      </c>
    </row>
    <row r="148" spans="1:53" ht="23.1" customHeight="1" x14ac:dyDescent="0.3">
      <c r="A148" s="76">
        <v>145</v>
      </c>
      <c r="B148" s="76" t="s">
        <v>376</v>
      </c>
      <c r="C148" s="77" t="s">
        <v>377</v>
      </c>
      <c r="D148" s="76" t="s">
        <v>542</v>
      </c>
      <c r="E148" s="76" t="s">
        <v>493</v>
      </c>
      <c r="F148" s="76"/>
      <c r="G148" s="76"/>
      <c r="H148" s="76"/>
      <c r="I148" s="76"/>
      <c r="J148" s="76"/>
      <c r="K148" s="75">
        <v>2</v>
      </c>
      <c r="L148" s="76"/>
      <c r="M148" s="34">
        <v>4</v>
      </c>
      <c r="N148" s="34">
        <v>4</v>
      </c>
      <c r="O148" s="62"/>
      <c r="P148" s="34">
        <v>4</v>
      </c>
      <c r="Q148" s="43">
        <f t="shared" si="20"/>
        <v>4</v>
      </c>
      <c r="R148" s="34">
        <v>4</v>
      </c>
      <c r="S148" s="62"/>
      <c r="T148" s="62"/>
      <c r="U148" s="62"/>
      <c r="V148" s="62"/>
      <c r="W148" s="42">
        <f t="shared" si="21"/>
        <v>4</v>
      </c>
      <c r="X148" s="34">
        <v>4</v>
      </c>
      <c r="Y148" s="62"/>
      <c r="Z148" s="62"/>
      <c r="AA148" s="62"/>
      <c r="AB148" s="62"/>
      <c r="AC148" s="42">
        <f t="shared" si="22"/>
        <v>4</v>
      </c>
      <c r="AD148" s="34">
        <v>4</v>
      </c>
      <c r="AE148" s="62"/>
      <c r="AF148" s="62"/>
      <c r="AG148" s="62"/>
      <c r="AH148" s="62"/>
      <c r="AI148" s="42">
        <f t="shared" si="23"/>
        <v>4</v>
      </c>
      <c r="AJ148" s="62"/>
      <c r="AK148" s="34">
        <v>3</v>
      </c>
      <c r="AL148" s="62"/>
      <c r="AM148" s="62"/>
      <c r="AN148" s="62"/>
      <c r="AO148" s="43">
        <f t="shared" si="24"/>
        <v>3</v>
      </c>
      <c r="AP148" s="34">
        <v>4</v>
      </c>
      <c r="AQ148" s="34"/>
      <c r="AR148" s="34"/>
      <c r="AS148" s="34"/>
      <c r="AT148" s="34"/>
      <c r="AU148" s="42">
        <f t="shared" si="25"/>
        <v>4</v>
      </c>
      <c r="AV148" s="34"/>
      <c r="AW148" s="34"/>
      <c r="AX148" s="62"/>
      <c r="AY148" s="34">
        <v>3</v>
      </c>
      <c r="AZ148" s="34"/>
      <c r="BA148" s="43">
        <f t="shared" si="26"/>
        <v>3</v>
      </c>
    </row>
    <row r="149" spans="1:53" ht="23.1" customHeight="1" x14ac:dyDescent="0.3">
      <c r="A149" s="83">
        <v>146</v>
      </c>
      <c r="B149" s="83" t="s">
        <v>378</v>
      </c>
      <c r="C149" s="84" t="s">
        <v>379</v>
      </c>
      <c r="D149" s="83" t="s">
        <v>542</v>
      </c>
      <c r="E149" s="83" t="s">
        <v>493</v>
      </c>
      <c r="F149" s="83"/>
      <c r="G149" s="83"/>
      <c r="H149" s="83"/>
      <c r="I149" s="83"/>
      <c r="J149" s="83"/>
      <c r="K149" s="75">
        <v>5</v>
      </c>
      <c r="L149" s="83"/>
      <c r="M149" s="16">
        <v>5</v>
      </c>
      <c r="N149" s="16">
        <v>4</v>
      </c>
      <c r="O149" s="7"/>
      <c r="P149" s="16">
        <v>4.5</v>
      </c>
      <c r="Q149" s="43">
        <f t="shared" si="20"/>
        <v>4.5</v>
      </c>
      <c r="R149" s="16">
        <v>4.5</v>
      </c>
      <c r="S149" s="7"/>
      <c r="T149" s="7"/>
      <c r="U149" s="7"/>
      <c r="V149" s="7"/>
      <c r="W149" s="42">
        <f t="shared" si="21"/>
        <v>4.5</v>
      </c>
      <c r="X149" s="16">
        <v>4.5</v>
      </c>
      <c r="Y149" s="7"/>
      <c r="Z149" s="7"/>
      <c r="AA149" s="7"/>
      <c r="AB149" s="7"/>
      <c r="AC149" s="42">
        <f t="shared" si="22"/>
        <v>4.5</v>
      </c>
      <c r="AD149" s="16">
        <v>3.5</v>
      </c>
      <c r="AE149" s="7"/>
      <c r="AF149" s="7"/>
      <c r="AG149" s="7"/>
      <c r="AH149" s="7"/>
      <c r="AI149" s="42">
        <f t="shared" si="23"/>
        <v>3.5</v>
      </c>
      <c r="AJ149" s="7"/>
      <c r="AK149" s="16">
        <v>4</v>
      </c>
      <c r="AL149" s="7"/>
      <c r="AM149" s="7"/>
      <c r="AN149" s="7"/>
      <c r="AO149" s="43">
        <f t="shared" si="24"/>
        <v>4</v>
      </c>
      <c r="AP149" s="16">
        <v>4</v>
      </c>
      <c r="AQ149" s="16"/>
      <c r="AR149" s="16"/>
      <c r="AS149" s="16"/>
      <c r="AT149" s="16"/>
      <c r="AU149" s="42">
        <f t="shared" si="25"/>
        <v>4</v>
      </c>
      <c r="AV149" s="16"/>
      <c r="AW149" s="16"/>
      <c r="AX149" s="7"/>
      <c r="AY149" s="16">
        <v>4</v>
      </c>
      <c r="AZ149" s="16"/>
      <c r="BA149" s="43">
        <f t="shared" si="26"/>
        <v>4</v>
      </c>
    </row>
    <row r="150" spans="1:53" ht="23.1" customHeight="1" x14ac:dyDescent="0.3">
      <c r="A150" s="76">
        <v>147</v>
      </c>
      <c r="B150" s="76" t="s">
        <v>154</v>
      </c>
      <c r="C150" s="77" t="s">
        <v>155</v>
      </c>
      <c r="D150" s="76" t="s">
        <v>450</v>
      </c>
      <c r="E150" s="76" t="s">
        <v>35</v>
      </c>
      <c r="F150" s="76"/>
      <c r="G150" s="76"/>
      <c r="H150" s="76"/>
      <c r="I150" s="76"/>
      <c r="J150" s="76"/>
      <c r="K150" s="75">
        <v>3</v>
      </c>
      <c r="L150" s="76"/>
      <c r="M150" s="34">
        <v>3</v>
      </c>
      <c r="N150" s="34">
        <v>3</v>
      </c>
      <c r="O150" s="62"/>
      <c r="P150" s="34">
        <v>3</v>
      </c>
      <c r="Q150" s="43">
        <f t="shared" si="20"/>
        <v>3</v>
      </c>
      <c r="R150" s="34">
        <v>3</v>
      </c>
      <c r="S150" s="62"/>
      <c r="T150" s="62"/>
      <c r="U150" s="62"/>
      <c r="V150" s="62"/>
      <c r="W150" s="42">
        <f t="shared" si="21"/>
        <v>3</v>
      </c>
      <c r="X150" s="34">
        <v>3</v>
      </c>
      <c r="Y150" s="62"/>
      <c r="Z150" s="62"/>
      <c r="AA150" s="62"/>
      <c r="AB150" s="62"/>
      <c r="AC150" s="42">
        <f t="shared" si="22"/>
        <v>3</v>
      </c>
      <c r="AD150" s="34">
        <v>4</v>
      </c>
      <c r="AE150" s="62"/>
      <c r="AF150" s="62"/>
      <c r="AG150" s="62"/>
      <c r="AH150" s="62"/>
      <c r="AI150" s="42">
        <f t="shared" si="23"/>
        <v>4</v>
      </c>
      <c r="AJ150" s="62"/>
      <c r="AK150" s="34">
        <v>3</v>
      </c>
      <c r="AL150" s="62"/>
      <c r="AM150" s="62"/>
      <c r="AN150" s="62"/>
      <c r="AO150" s="43">
        <f t="shared" si="24"/>
        <v>3</v>
      </c>
      <c r="AP150" s="34">
        <v>3</v>
      </c>
      <c r="AQ150" s="34"/>
      <c r="AR150" s="34"/>
      <c r="AS150" s="34"/>
      <c r="AT150" s="34"/>
      <c r="AU150" s="42">
        <f t="shared" si="25"/>
        <v>3</v>
      </c>
      <c r="AV150" s="34"/>
      <c r="AW150" s="34"/>
      <c r="AX150" s="62"/>
      <c r="AY150" s="34">
        <v>4</v>
      </c>
      <c r="AZ150" s="34"/>
      <c r="BA150" s="43">
        <f t="shared" si="26"/>
        <v>4</v>
      </c>
    </row>
    <row r="151" spans="1:53" ht="23.1" customHeight="1" x14ac:dyDescent="0.3">
      <c r="A151" s="83">
        <v>148</v>
      </c>
      <c r="B151" s="83" t="s">
        <v>380</v>
      </c>
      <c r="C151" s="84" t="s">
        <v>381</v>
      </c>
      <c r="D151" s="83" t="s">
        <v>450</v>
      </c>
      <c r="E151" s="83" t="s">
        <v>493</v>
      </c>
      <c r="F151" s="83"/>
      <c r="G151" s="83"/>
      <c r="H151" s="83"/>
      <c r="I151" s="83"/>
      <c r="J151" s="83"/>
      <c r="K151" s="75">
        <v>3</v>
      </c>
      <c r="L151" s="83"/>
      <c r="M151" s="16">
        <v>3</v>
      </c>
      <c r="N151" s="16">
        <v>3</v>
      </c>
      <c r="O151" s="7"/>
      <c r="P151" s="16">
        <v>3</v>
      </c>
      <c r="Q151" s="43">
        <f t="shared" si="20"/>
        <v>3</v>
      </c>
      <c r="R151" s="16">
        <v>3</v>
      </c>
      <c r="S151" s="7"/>
      <c r="T151" s="7"/>
      <c r="U151" s="7"/>
      <c r="V151" s="7"/>
      <c r="W151" s="42">
        <f t="shared" si="21"/>
        <v>3</v>
      </c>
      <c r="X151" s="16">
        <v>3</v>
      </c>
      <c r="Y151" s="7"/>
      <c r="Z151" s="7"/>
      <c r="AA151" s="7"/>
      <c r="AB151" s="7"/>
      <c r="AC151" s="42">
        <f t="shared" si="22"/>
        <v>3</v>
      </c>
      <c r="AD151" s="16">
        <v>3</v>
      </c>
      <c r="AE151" s="7"/>
      <c r="AF151" s="7"/>
      <c r="AG151" s="7"/>
      <c r="AH151" s="7"/>
      <c r="AI151" s="42">
        <f t="shared" si="23"/>
        <v>3</v>
      </c>
      <c r="AJ151" s="7"/>
      <c r="AK151" s="16">
        <v>3</v>
      </c>
      <c r="AL151" s="7"/>
      <c r="AM151" s="7"/>
      <c r="AN151" s="7"/>
      <c r="AO151" s="43">
        <f t="shared" si="24"/>
        <v>3</v>
      </c>
      <c r="AP151" s="16">
        <v>3</v>
      </c>
      <c r="AQ151" s="16"/>
      <c r="AR151" s="16"/>
      <c r="AS151" s="16"/>
      <c r="AT151" s="16"/>
      <c r="AU151" s="42">
        <f t="shared" si="25"/>
        <v>3</v>
      </c>
      <c r="AV151" s="16"/>
      <c r="AW151" s="16"/>
      <c r="AX151" s="7"/>
      <c r="AY151" s="16">
        <v>3</v>
      </c>
      <c r="AZ151" s="16"/>
      <c r="BA151" s="43">
        <f t="shared" si="26"/>
        <v>3</v>
      </c>
    </row>
    <row r="152" spans="1:53" ht="23.1" customHeight="1" x14ac:dyDescent="0.3">
      <c r="A152" s="76">
        <v>149</v>
      </c>
      <c r="B152" s="76" t="s">
        <v>156</v>
      </c>
      <c r="C152" s="77" t="s">
        <v>382</v>
      </c>
      <c r="D152" s="76" t="s">
        <v>450</v>
      </c>
      <c r="E152" s="76" t="s">
        <v>35</v>
      </c>
      <c r="F152" s="76"/>
      <c r="G152" s="76"/>
      <c r="H152" s="76"/>
      <c r="I152" s="76"/>
      <c r="J152" s="76"/>
      <c r="K152" s="75">
        <v>3</v>
      </c>
      <c r="L152" s="76"/>
      <c r="M152" s="34">
        <v>2</v>
      </c>
      <c r="N152" s="34">
        <v>2</v>
      </c>
      <c r="O152" s="62"/>
      <c r="P152" s="34">
        <v>2</v>
      </c>
      <c r="Q152" s="43">
        <f t="shared" si="20"/>
        <v>2</v>
      </c>
      <c r="R152" s="34">
        <v>3</v>
      </c>
      <c r="S152" s="62"/>
      <c r="T152" s="62"/>
      <c r="U152" s="62"/>
      <c r="V152" s="62"/>
      <c r="W152" s="42">
        <f t="shared" si="21"/>
        <v>3</v>
      </c>
      <c r="X152" s="34">
        <v>3</v>
      </c>
      <c r="Y152" s="62"/>
      <c r="Z152" s="62"/>
      <c r="AA152" s="62"/>
      <c r="AB152" s="62"/>
      <c r="AC152" s="42">
        <f t="shared" si="22"/>
        <v>3</v>
      </c>
      <c r="AD152" s="34">
        <v>3</v>
      </c>
      <c r="AE152" s="62"/>
      <c r="AF152" s="62"/>
      <c r="AG152" s="62"/>
      <c r="AH152" s="62"/>
      <c r="AI152" s="42">
        <f t="shared" si="23"/>
        <v>3</v>
      </c>
      <c r="AJ152" s="62"/>
      <c r="AK152" s="34">
        <v>3</v>
      </c>
      <c r="AL152" s="62"/>
      <c r="AM152" s="62"/>
      <c r="AN152" s="62"/>
      <c r="AO152" s="43">
        <f t="shared" si="24"/>
        <v>3</v>
      </c>
      <c r="AP152" s="34">
        <v>3</v>
      </c>
      <c r="AQ152" s="34"/>
      <c r="AR152" s="34"/>
      <c r="AS152" s="34"/>
      <c r="AT152" s="34"/>
      <c r="AU152" s="42">
        <f t="shared" si="25"/>
        <v>3</v>
      </c>
      <c r="AV152" s="34"/>
      <c r="AW152" s="34"/>
      <c r="AX152" s="62"/>
      <c r="AY152" s="34">
        <v>3</v>
      </c>
      <c r="AZ152" s="34"/>
      <c r="BA152" s="43">
        <f t="shared" si="26"/>
        <v>3</v>
      </c>
    </row>
    <row r="153" spans="1:53" ht="23.1" customHeight="1" x14ac:dyDescent="0.3">
      <c r="A153" s="83">
        <v>150</v>
      </c>
      <c r="B153" s="83" t="s">
        <v>383</v>
      </c>
      <c r="C153" s="84" t="s">
        <v>384</v>
      </c>
      <c r="D153" s="83" t="s">
        <v>542</v>
      </c>
      <c r="E153" s="83" t="s">
        <v>493</v>
      </c>
      <c r="F153" s="83"/>
      <c r="G153" s="83"/>
      <c r="H153" s="83"/>
      <c r="I153" s="83"/>
      <c r="J153" s="83"/>
      <c r="K153" s="75">
        <v>4</v>
      </c>
      <c r="L153" s="83"/>
      <c r="M153" s="16">
        <v>4</v>
      </c>
      <c r="N153" s="16">
        <v>4</v>
      </c>
      <c r="O153" s="7"/>
      <c r="P153" s="16">
        <v>4</v>
      </c>
      <c r="Q153" s="43">
        <f t="shared" si="20"/>
        <v>4</v>
      </c>
      <c r="R153" s="16">
        <v>4</v>
      </c>
      <c r="S153" s="7"/>
      <c r="T153" s="7"/>
      <c r="U153" s="7"/>
      <c r="V153" s="7"/>
      <c r="W153" s="42">
        <f t="shared" si="21"/>
        <v>4</v>
      </c>
      <c r="X153" s="16">
        <v>4</v>
      </c>
      <c r="Y153" s="7"/>
      <c r="Z153" s="7"/>
      <c r="AA153" s="7"/>
      <c r="AB153" s="7"/>
      <c r="AC153" s="42">
        <f t="shared" si="22"/>
        <v>4</v>
      </c>
      <c r="AD153" s="16">
        <v>4</v>
      </c>
      <c r="AE153" s="7"/>
      <c r="AF153" s="7"/>
      <c r="AG153" s="7"/>
      <c r="AH153" s="7"/>
      <c r="AI153" s="42">
        <f t="shared" si="23"/>
        <v>4</v>
      </c>
      <c r="AJ153" s="7"/>
      <c r="AK153" s="16">
        <v>4</v>
      </c>
      <c r="AL153" s="7"/>
      <c r="AM153" s="7"/>
      <c r="AN153" s="7"/>
      <c r="AO153" s="43">
        <f t="shared" si="24"/>
        <v>4</v>
      </c>
      <c r="AP153" s="16">
        <v>4</v>
      </c>
      <c r="AQ153" s="16"/>
      <c r="AR153" s="16"/>
      <c r="AS153" s="16"/>
      <c r="AT153" s="16"/>
      <c r="AU153" s="42">
        <f t="shared" si="25"/>
        <v>4</v>
      </c>
      <c r="AV153" s="16"/>
      <c r="AW153" s="16"/>
      <c r="AX153" s="7"/>
      <c r="AY153" s="16">
        <v>5</v>
      </c>
      <c r="AZ153" s="16"/>
      <c r="BA153" s="43">
        <f t="shared" si="26"/>
        <v>5</v>
      </c>
    </row>
    <row r="154" spans="1:53" ht="23.1" customHeight="1" x14ac:dyDescent="0.3">
      <c r="A154" s="76">
        <v>151</v>
      </c>
      <c r="B154" s="76" t="s">
        <v>46</v>
      </c>
      <c r="C154" s="77" t="s">
        <v>47</v>
      </c>
      <c r="D154" s="76" t="s">
        <v>450</v>
      </c>
      <c r="E154" s="76" t="s">
        <v>35</v>
      </c>
      <c r="F154" s="76"/>
      <c r="G154" s="76"/>
      <c r="H154" s="76"/>
      <c r="I154" s="76"/>
      <c r="J154" s="76"/>
      <c r="K154" s="75">
        <v>5</v>
      </c>
      <c r="L154" s="76"/>
      <c r="M154" s="34">
        <v>5</v>
      </c>
      <c r="N154" s="34">
        <v>5</v>
      </c>
      <c r="O154" s="62"/>
      <c r="P154" s="34">
        <v>5</v>
      </c>
      <c r="Q154" s="43">
        <f t="shared" si="20"/>
        <v>5</v>
      </c>
      <c r="R154" s="34">
        <v>5</v>
      </c>
      <c r="S154" s="62"/>
      <c r="T154" s="62"/>
      <c r="U154" s="62"/>
      <c r="V154" s="62"/>
      <c r="W154" s="42">
        <f t="shared" si="21"/>
        <v>5</v>
      </c>
      <c r="X154" s="34">
        <v>5</v>
      </c>
      <c r="Y154" s="62"/>
      <c r="Z154" s="62"/>
      <c r="AA154" s="62"/>
      <c r="AB154" s="62"/>
      <c r="AC154" s="42">
        <f t="shared" si="22"/>
        <v>5</v>
      </c>
      <c r="AD154" s="34">
        <v>4</v>
      </c>
      <c r="AE154" s="62"/>
      <c r="AF154" s="62"/>
      <c r="AG154" s="62"/>
      <c r="AH154" s="62"/>
      <c r="AI154" s="42">
        <f t="shared" si="23"/>
        <v>4</v>
      </c>
      <c r="AJ154" s="62"/>
      <c r="AK154" s="34">
        <v>5</v>
      </c>
      <c r="AL154" s="62"/>
      <c r="AM154" s="62"/>
      <c r="AN154" s="62"/>
      <c r="AO154" s="43">
        <f t="shared" si="24"/>
        <v>5</v>
      </c>
      <c r="AP154" s="34">
        <v>5</v>
      </c>
      <c r="AQ154" s="34"/>
      <c r="AR154" s="34"/>
      <c r="AS154" s="34"/>
      <c r="AT154" s="34"/>
      <c r="AU154" s="42">
        <f t="shared" si="25"/>
        <v>5</v>
      </c>
      <c r="AV154" s="34"/>
      <c r="AW154" s="34"/>
      <c r="AX154" s="62"/>
      <c r="AY154" s="34">
        <v>3</v>
      </c>
      <c r="AZ154" s="34"/>
      <c r="BA154" s="43">
        <f t="shared" si="26"/>
        <v>3</v>
      </c>
    </row>
    <row r="155" spans="1:53" ht="23.1" customHeight="1" x14ac:dyDescent="0.3">
      <c r="A155" s="83">
        <v>152</v>
      </c>
      <c r="B155" s="83" t="s">
        <v>83</v>
      </c>
      <c r="C155" s="84" t="s">
        <v>84</v>
      </c>
      <c r="D155" s="83" t="s">
        <v>450</v>
      </c>
      <c r="E155" s="83" t="s">
        <v>35</v>
      </c>
      <c r="F155" s="83"/>
      <c r="G155" s="83"/>
      <c r="H155" s="83"/>
      <c r="I155" s="83"/>
      <c r="J155" s="83"/>
      <c r="K155" s="75">
        <v>5</v>
      </c>
      <c r="L155" s="83"/>
      <c r="M155" s="16">
        <v>4</v>
      </c>
      <c r="N155" s="16">
        <v>4</v>
      </c>
      <c r="O155" s="7"/>
      <c r="P155" s="16">
        <v>3</v>
      </c>
      <c r="Q155" s="43">
        <f t="shared" si="20"/>
        <v>3.6666666666666665</v>
      </c>
      <c r="R155" s="16">
        <v>5</v>
      </c>
      <c r="S155" s="7"/>
      <c r="T155" s="7"/>
      <c r="U155" s="7"/>
      <c r="V155" s="7"/>
      <c r="W155" s="42">
        <f t="shared" si="21"/>
        <v>5</v>
      </c>
      <c r="X155" s="16">
        <v>5</v>
      </c>
      <c r="Y155" s="7"/>
      <c r="Z155" s="7"/>
      <c r="AA155" s="7"/>
      <c r="AB155" s="7"/>
      <c r="AC155" s="42">
        <f t="shared" si="22"/>
        <v>5</v>
      </c>
      <c r="AD155" s="16">
        <v>4</v>
      </c>
      <c r="AE155" s="7"/>
      <c r="AF155" s="7"/>
      <c r="AG155" s="7"/>
      <c r="AH155" s="7"/>
      <c r="AI155" s="42">
        <f t="shared" si="23"/>
        <v>4</v>
      </c>
      <c r="AJ155" s="7"/>
      <c r="AK155" s="16">
        <v>4</v>
      </c>
      <c r="AL155" s="7"/>
      <c r="AM155" s="7"/>
      <c r="AN155" s="7"/>
      <c r="AO155" s="43">
        <f t="shared" si="24"/>
        <v>4</v>
      </c>
      <c r="AP155" s="16">
        <v>4</v>
      </c>
      <c r="AQ155" s="16"/>
      <c r="AR155" s="16"/>
      <c r="AS155" s="16"/>
      <c r="AT155" s="16"/>
      <c r="AU155" s="42">
        <f t="shared" si="25"/>
        <v>4</v>
      </c>
      <c r="AV155" s="16"/>
      <c r="AW155" s="16"/>
      <c r="AX155" s="7"/>
      <c r="AY155" s="16">
        <v>4</v>
      </c>
      <c r="AZ155" s="16"/>
      <c r="BA155" s="43">
        <f t="shared" si="26"/>
        <v>4</v>
      </c>
    </row>
    <row r="156" spans="1:53" ht="23.1" customHeight="1" x14ac:dyDescent="0.3">
      <c r="A156" s="76">
        <v>153</v>
      </c>
      <c r="B156" s="76" t="s">
        <v>385</v>
      </c>
      <c r="C156" s="77" t="s">
        <v>386</v>
      </c>
      <c r="D156" s="76" t="s">
        <v>450</v>
      </c>
      <c r="E156" s="76" t="s">
        <v>493</v>
      </c>
      <c r="F156" s="76"/>
      <c r="G156" s="76"/>
      <c r="H156" s="76"/>
      <c r="I156" s="76"/>
      <c r="J156" s="76"/>
      <c r="K156" s="75">
        <v>4</v>
      </c>
      <c r="L156" s="76"/>
      <c r="M156" s="34">
        <v>3</v>
      </c>
      <c r="N156" s="34">
        <v>3</v>
      </c>
      <c r="O156" s="62"/>
      <c r="P156" s="34">
        <v>3</v>
      </c>
      <c r="Q156" s="43">
        <f t="shared" si="20"/>
        <v>3</v>
      </c>
      <c r="R156" s="34">
        <v>4</v>
      </c>
      <c r="S156" s="62"/>
      <c r="T156" s="62"/>
      <c r="U156" s="62"/>
      <c r="V156" s="62"/>
      <c r="W156" s="42">
        <f t="shared" si="21"/>
        <v>4</v>
      </c>
      <c r="X156" s="34">
        <v>4</v>
      </c>
      <c r="Y156" s="62"/>
      <c r="Z156" s="62"/>
      <c r="AA156" s="62"/>
      <c r="AB156" s="62"/>
      <c r="AC156" s="42">
        <f t="shared" si="22"/>
        <v>4</v>
      </c>
      <c r="AD156" s="34">
        <v>5</v>
      </c>
      <c r="AE156" s="62"/>
      <c r="AF156" s="62"/>
      <c r="AG156" s="62"/>
      <c r="AH156" s="62"/>
      <c r="AI156" s="42">
        <f t="shared" si="23"/>
        <v>5</v>
      </c>
      <c r="AJ156" s="62"/>
      <c r="AK156" s="34">
        <v>5</v>
      </c>
      <c r="AL156" s="62"/>
      <c r="AM156" s="62"/>
      <c r="AN156" s="62"/>
      <c r="AO156" s="43">
        <f t="shared" si="24"/>
        <v>5</v>
      </c>
      <c r="AP156" s="34">
        <v>5</v>
      </c>
      <c r="AQ156" s="34"/>
      <c r="AR156" s="34"/>
      <c r="AS156" s="34"/>
      <c r="AT156" s="34"/>
      <c r="AU156" s="42">
        <f t="shared" si="25"/>
        <v>5</v>
      </c>
      <c r="AV156" s="34"/>
      <c r="AW156" s="34"/>
      <c r="AX156" s="62"/>
      <c r="AY156" s="34">
        <v>5</v>
      </c>
      <c r="AZ156" s="34"/>
      <c r="BA156" s="43">
        <f t="shared" si="26"/>
        <v>5</v>
      </c>
    </row>
    <row r="157" spans="1:53" ht="23.1" customHeight="1" x14ac:dyDescent="0.3">
      <c r="A157" s="83">
        <v>154</v>
      </c>
      <c r="B157" s="83" t="s">
        <v>93</v>
      </c>
      <c r="C157" s="84" t="s">
        <v>94</v>
      </c>
      <c r="D157" s="83" t="s">
        <v>542</v>
      </c>
      <c r="E157" s="83" t="s">
        <v>35</v>
      </c>
      <c r="F157" s="83"/>
      <c r="G157" s="83"/>
      <c r="H157" s="83"/>
      <c r="I157" s="83"/>
      <c r="J157" s="83"/>
      <c r="K157" s="75">
        <v>2</v>
      </c>
      <c r="L157" s="83"/>
      <c r="M157" s="16">
        <v>4</v>
      </c>
      <c r="N157" s="16">
        <v>4</v>
      </c>
      <c r="O157" s="7"/>
      <c r="P157" s="16">
        <v>4</v>
      </c>
      <c r="Q157" s="43">
        <f t="shared" si="20"/>
        <v>4</v>
      </c>
      <c r="R157" s="16">
        <v>4</v>
      </c>
      <c r="S157" s="7"/>
      <c r="T157" s="7"/>
      <c r="U157" s="7"/>
      <c r="V157" s="7"/>
      <c r="W157" s="42">
        <f t="shared" si="21"/>
        <v>4</v>
      </c>
      <c r="X157" s="16">
        <v>4</v>
      </c>
      <c r="Y157" s="7"/>
      <c r="Z157" s="7"/>
      <c r="AA157" s="7"/>
      <c r="AB157" s="7"/>
      <c r="AC157" s="42">
        <f t="shared" si="22"/>
        <v>4</v>
      </c>
      <c r="AD157" s="16">
        <v>4</v>
      </c>
      <c r="AE157" s="7"/>
      <c r="AF157" s="7"/>
      <c r="AG157" s="7"/>
      <c r="AH157" s="7"/>
      <c r="AI157" s="42">
        <f t="shared" si="23"/>
        <v>4</v>
      </c>
      <c r="AJ157" s="7"/>
      <c r="AK157" s="16">
        <v>3</v>
      </c>
      <c r="AL157" s="7"/>
      <c r="AM157" s="7"/>
      <c r="AN157" s="7"/>
      <c r="AO157" s="43">
        <f t="shared" si="24"/>
        <v>3</v>
      </c>
      <c r="AP157" s="16">
        <v>4</v>
      </c>
      <c r="AQ157" s="16"/>
      <c r="AR157" s="16"/>
      <c r="AS157" s="16"/>
      <c r="AT157" s="16"/>
      <c r="AU157" s="42">
        <f t="shared" si="25"/>
        <v>4</v>
      </c>
      <c r="AV157" s="16"/>
      <c r="AW157" s="16"/>
      <c r="AX157" s="7"/>
      <c r="AY157" s="16">
        <v>5</v>
      </c>
      <c r="AZ157" s="16"/>
      <c r="BA157" s="43">
        <f t="shared" si="26"/>
        <v>5</v>
      </c>
    </row>
    <row r="158" spans="1:53" ht="23.1" customHeight="1" x14ac:dyDescent="0.3">
      <c r="A158" s="76">
        <v>155</v>
      </c>
      <c r="B158" s="76" t="s">
        <v>188</v>
      </c>
      <c r="C158" s="77" t="s">
        <v>189</v>
      </c>
      <c r="D158" s="76" t="s">
        <v>542</v>
      </c>
      <c r="E158" s="76" t="s">
        <v>161</v>
      </c>
      <c r="F158" s="76"/>
      <c r="G158" s="76"/>
      <c r="H158" s="76"/>
      <c r="I158" s="76"/>
      <c r="J158" s="76"/>
      <c r="K158" s="75">
        <v>4</v>
      </c>
      <c r="L158" s="76"/>
      <c r="M158" s="34">
        <v>4</v>
      </c>
      <c r="N158" s="34">
        <v>3.5</v>
      </c>
      <c r="O158" s="62"/>
      <c r="P158" s="34">
        <v>4</v>
      </c>
      <c r="Q158" s="43">
        <f t="shared" si="20"/>
        <v>3.8333333333333335</v>
      </c>
      <c r="R158" s="34">
        <v>3.5</v>
      </c>
      <c r="S158" s="62"/>
      <c r="T158" s="62"/>
      <c r="U158" s="62"/>
      <c r="V158" s="62"/>
      <c r="W158" s="42">
        <f t="shared" si="21"/>
        <v>3.5</v>
      </c>
      <c r="X158" s="34">
        <v>3.5</v>
      </c>
      <c r="Y158" s="62"/>
      <c r="Z158" s="62"/>
      <c r="AA158" s="62"/>
      <c r="AB158" s="62"/>
      <c r="AC158" s="42">
        <f t="shared" si="22"/>
        <v>3.5</v>
      </c>
      <c r="AD158" s="34">
        <v>0</v>
      </c>
      <c r="AE158" s="62"/>
      <c r="AF158" s="62"/>
      <c r="AG158" s="62"/>
      <c r="AH158" s="62"/>
      <c r="AI158" s="42">
        <f t="shared" si="23"/>
        <v>0</v>
      </c>
      <c r="AJ158" s="62"/>
      <c r="AK158" s="34">
        <v>3.5</v>
      </c>
      <c r="AL158" s="62"/>
      <c r="AM158" s="62"/>
      <c r="AN158" s="62"/>
      <c r="AO158" s="43">
        <f t="shared" si="24"/>
        <v>3.5</v>
      </c>
      <c r="AP158" s="34">
        <v>4</v>
      </c>
      <c r="AQ158" s="34"/>
      <c r="AR158" s="34"/>
      <c r="AS158" s="34"/>
      <c r="AT158" s="34"/>
      <c r="AU158" s="42">
        <f t="shared" si="25"/>
        <v>4</v>
      </c>
      <c r="AV158" s="34"/>
      <c r="AW158" s="34"/>
      <c r="AX158" s="62"/>
      <c r="AY158" s="34">
        <v>4</v>
      </c>
      <c r="AZ158" s="34"/>
      <c r="BA158" s="43">
        <f t="shared" si="26"/>
        <v>4</v>
      </c>
    </row>
    <row r="159" spans="1:53" ht="23.1" customHeight="1" x14ac:dyDescent="0.3">
      <c r="A159" s="83">
        <v>156</v>
      </c>
      <c r="B159" s="83" t="s">
        <v>174</v>
      </c>
      <c r="C159" s="84" t="s">
        <v>175</v>
      </c>
      <c r="D159" s="83" t="s">
        <v>450</v>
      </c>
      <c r="E159" s="83" t="s">
        <v>161</v>
      </c>
      <c r="F159" s="83"/>
      <c r="G159" s="83"/>
      <c r="H159" s="83"/>
      <c r="I159" s="83"/>
      <c r="J159" s="83"/>
      <c r="K159" s="75">
        <v>3</v>
      </c>
      <c r="L159" s="83"/>
      <c r="M159" s="16">
        <v>1</v>
      </c>
      <c r="N159" s="16">
        <v>1</v>
      </c>
      <c r="O159" s="7"/>
      <c r="P159" s="16">
        <v>2</v>
      </c>
      <c r="Q159" s="43">
        <f t="shared" si="20"/>
        <v>1.3333333333333333</v>
      </c>
      <c r="R159" s="16">
        <v>2</v>
      </c>
      <c r="S159" s="7"/>
      <c r="T159" s="7"/>
      <c r="U159" s="7"/>
      <c r="V159" s="7"/>
      <c r="W159" s="42">
        <f t="shared" si="21"/>
        <v>2</v>
      </c>
      <c r="X159" s="16">
        <v>2</v>
      </c>
      <c r="Y159" s="7"/>
      <c r="Z159" s="7"/>
      <c r="AA159" s="7"/>
      <c r="AB159" s="7"/>
      <c r="AC159" s="42">
        <f t="shared" si="22"/>
        <v>2</v>
      </c>
      <c r="AD159" s="16">
        <v>3</v>
      </c>
      <c r="AE159" s="7"/>
      <c r="AF159" s="7"/>
      <c r="AG159" s="7"/>
      <c r="AH159" s="7"/>
      <c r="AI159" s="42">
        <f t="shared" si="23"/>
        <v>3</v>
      </c>
      <c r="AJ159" s="7"/>
      <c r="AK159" s="16">
        <v>1</v>
      </c>
      <c r="AL159" s="7"/>
      <c r="AM159" s="7"/>
      <c r="AN159" s="7"/>
      <c r="AO159" s="43">
        <f t="shared" si="24"/>
        <v>1</v>
      </c>
      <c r="AP159" s="16">
        <v>1</v>
      </c>
      <c r="AQ159" s="16"/>
      <c r="AR159" s="16"/>
      <c r="AS159" s="16"/>
      <c r="AT159" s="16"/>
      <c r="AU159" s="42">
        <f t="shared" si="25"/>
        <v>1</v>
      </c>
      <c r="AV159" s="16"/>
      <c r="AW159" s="16"/>
      <c r="AX159" s="7"/>
      <c r="AY159" s="16">
        <v>3</v>
      </c>
      <c r="AZ159" s="16"/>
      <c r="BA159" s="43">
        <f t="shared" si="26"/>
        <v>3</v>
      </c>
    </row>
    <row r="160" spans="1:53" ht="23.1" customHeight="1" x14ac:dyDescent="0.3">
      <c r="A160" s="76">
        <v>157</v>
      </c>
      <c r="B160" s="76" t="s">
        <v>205</v>
      </c>
      <c r="C160" s="77" t="s">
        <v>206</v>
      </c>
      <c r="D160" s="76" t="s">
        <v>450</v>
      </c>
      <c r="E160" s="76" t="s">
        <v>161</v>
      </c>
      <c r="F160" s="76"/>
      <c r="G160" s="76"/>
      <c r="H160" s="76"/>
      <c r="I160" s="76"/>
      <c r="J160" s="76"/>
      <c r="K160" s="75">
        <v>5</v>
      </c>
      <c r="L160" s="76"/>
      <c r="M160" s="34">
        <v>3</v>
      </c>
      <c r="N160" s="34">
        <v>3</v>
      </c>
      <c r="O160" s="62"/>
      <c r="P160" s="34">
        <v>3.5</v>
      </c>
      <c r="Q160" s="43">
        <f t="shared" si="20"/>
        <v>3.1666666666666665</v>
      </c>
      <c r="R160" s="34">
        <v>4</v>
      </c>
      <c r="S160" s="62"/>
      <c r="T160" s="62"/>
      <c r="U160" s="62"/>
      <c r="V160" s="62"/>
      <c r="W160" s="42">
        <f t="shared" si="21"/>
        <v>4</v>
      </c>
      <c r="X160" s="34">
        <v>4</v>
      </c>
      <c r="Y160" s="62"/>
      <c r="Z160" s="62"/>
      <c r="AA160" s="62"/>
      <c r="AB160" s="62"/>
      <c r="AC160" s="42">
        <f t="shared" si="22"/>
        <v>4</v>
      </c>
      <c r="AD160" s="34">
        <v>0</v>
      </c>
      <c r="AE160" s="62"/>
      <c r="AF160" s="62"/>
      <c r="AG160" s="62"/>
      <c r="AH160" s="62"/>
      <c r="AI160" s="42">
        <f t="shared" si="23"/>
        <v>0</v>
      </c>
      <c r="AJ160" s="62"/>
      <c r="AK160" s="34">
        <v>3.5</v>
      </c>
      <c r="AL160" s="62"/>
      <c r="AM160" s="62"/>
      <c r="AN160" s="62"/>
      <c r="AO160" s="43">
        <f t="shared" si="24"/>
        <v>3.5</v>
      </c>
      <c r="AP160" s="34">
        <v>4</v>
      </c>
      <c r="AQ160" s="34"/>
      <c r="AR160" s="34"/>
      <c r="AS160" s="34"/>
      <c r="AT160" s="34"/>
      <c r="AU160" s="42">
        <f t="shared" si="25"/>
        <v>4</v>
      </c>
      <c r="AV160" s="34"/>
      <c r="AW160" s="34"/>
      <c r="AX160" s="62"/>
      <c r="AY160" s="34">
        <v>4</v>
      </c>
      <c r="AZ160" s="34"/>
      <c r="BA160" s="43">
        <f t="shared" si="26"/>
        <v>4</v>
      </c>
    </row>
    <row r="161" spans="1:53" ht="23.1" customHeight="1" x14ac:dyDescent="0.3">
      <c r="A161" s="83">
        <v>158</v>
      </c>
      <c r="B161" s="83" t="s">
        <v>387</v>
      </c>
      <c r="C161" s="84" t="s">
        <v>388</v>
      </c>
      <c r="D161" s="83" t="s">
        <v>450</v>
      </c>
      <c r="E161" s="83" t="s">
        <v>493</v>
      </c>
      <c r="F161" s="83"/>
      <c r="G161" s="83"/>
      <c r="H161" s="83"/>
      <c r="I161" s="83"/>
      <c r="J161" s="83"/>
      <c r="K161" s="75">
        <v>3</v>
      </c>
      <c r="L161" s="83"/>
      <c r="M161" s="16">
        <v>3</v>
      </c>
      <c r="N161" s="16">
        <v>3</v>
      </c>
      <c r="O161" s="7"/>
      <c r="P161" s="16">
        <v>4</v>
      </c>
      <c r="Q161" s="43">
        <f t="shared" si="20"/>
        <v>3.3333333333333335</v>
      </c>
      <c r="R161" s="16">
        <v>4</v>
      </c>
      <c r="S161" s="7"/>
      <c r="T161" s="7"/>
      <c r="U161" s="7"/>
      <c r="V161" s="7"/>
      <c r="W161" s="42">
        <f t="shared" si="21"/>
        <v>4</v>
      </c>
      <c r="X161" s="16">
        <v>4</v>
      </c>
      <c r="Y161" s="7"/>
      <c r="Z161" s="7"/>
      <c r="AA161" s="7"/>
      <c r="AB161" s="7"/>
      <c r="AC161" s="42">
        <f t="shared" si="22"/>
        <v>4</v>
      </c>
      <c r="AD161" s="16">
        <v>4</v>
      </c>
      <c r="AE161" s="7"/>
      <c r="AF161" s="7"/>
      <c r="AG161" s="7"/>
      <c r="AH161" s="7"/>
      <c r="AI161" s="42">
        <f t="shared" si="23"/>
        <v>4</v>
      </c>
      <c r="AJ161" s="7"/>
      <c r="AK161" s="16">
        <v>5</v>
      </c>
      <c r="AL161" s="7"/>
      <c r="AM161" s="7"/>
      <c r="AN161" s="7"/>
      <c r="AO161" s="43">
        <f t="shared" si="24"/>
        <v>5</v>
      </c>
      <c r="AP161" s="16">
        <v>5</v>
      </c>
      <c r="AQ161" s="16"/>
      <c r="AR161" s="16"/>
      <c r="AS161" s="16"/>
      <c r="AT161" s="16"/>
      <c r="AU161" s="42">
        <f t="shared" si="25"/>
        <v>5</v>
      </c>
      <c r="AV161" s="16"/>
      <c r="AW161" s="16"/>
      <c r="AX161" s="7"/>
      <c r="AY161" s="16">
        <v>4</v>
      </c>
      <c r="AZ161" s="16"/>
      <c r="BA161" s="43">
        <f t="shared" si="26"/>
        <v>4</v>
      </c>
    </row>
    <row r="162" spans="1:53" ht="23.1" customHeight="1" x14ac:dyDescent="0.3">
      <c r="A162" s="76">
        <v>159</v>
      </c>
      <c r="B162" s="76" t="s">
        <v>190</v>
      </c>
      <c r="C162" s="77" t="s">
        <v>191</v>
      </c>
      <c r="D162" s="76" t="s">
        <v>450</v>
      </c>
      <c r="E162" s="76" t="s">
        <v>161</v>
      </c>
      <c r="F162" s="76"/>
      <c r="G162" s="76"/>
      <c r="H162" s="76"/>
      <c r="I162" s="76"/>
      <c r="J162" s="76"/>
      <c r="K162" s="75">
        <v>1</v>
      </c>
      <c r="L162" s="76"/>
      <c r="M162" s="34">
        <v>4</v>
      </c>
      <c r="N162" s="34">
        <v>4</v>
      </c>
      <c r="O162" s="62"/>
      <c r="P162" s="34">
        <v>3</v>
      </c>
      <c r="Q162" s="43">
        <f t="shared" si="20"/>
        <v>3.6666666666666665</v>
      </c>
      <c r="R162" s="34">
        <v>3</v>
      </c>
      <c r="S162" s="62"/>
      <c r="T162" s="62"/>
      <c r="U162" s="62"/>
      <c r="V162" s="62"/>
      <c r="W162" s="42">
        <f t="shared" si="21"/>
        <v>3</v>
      </c>
      <c r="X162" s="34">
        <v>3</v>
      </c>
      <c r="Y162" s="62"/>
      <c r="Z162" s="62"/>
      <c r="AA162" s="62"/>
      <c r="AB162" s="62"/>
      <c r="AC162" s="42">
        <f t="shared" si="22"/>
        <v>3</v>
      </c>
      <c r="AD162" s="34">
        <v>0</v>
      </c>
      <c r="AE162" s="62"/>
      <c r="AF162" s="62"/>
      <c r="AG162" s="62"/>
      <c r="AH162" s="62"/>
      <c r="AI162" s="42">
        <f t="shared" si="23"/>
        <v>0</v>
      </c>
      <c r="AJ162" s="62"/>
      <c r="AK162" s="34">
        <v>3</v>
      </c>
      <c r="AL162" s="62"/>
      <c r="AM162" s="62"/>
      <c r="AN162" s="62"/>
      <c r="AO162" s="43">
        <f t="shared" si="24"/>
        <v>3</v>
      </c>
      <c r="AP162" s="34">
        <v>3</v>
      </c>
      <c r="AQ162" s="34"/>
      <c r="AR162" s="34"/>
      <c r="AS162" s="34"/>
      <c r="AT162" s="34"/>
      <c r="AU162" s="42">
        <f t="shared" si="25"/>
        <v>3</v>
      </c>
      <c r="AV162" s="34"/>
      <c r="AW162" s="34"/>
      <c r="AX162" s="62"/>
      <c r="AY162" s="34">
        <v>4</v>
      </c>
      <c r="AZ162" s="34"/>
      <c r="BA162" s="43">
        <f t="shared" si="26"/>
        <v>4</v>
      </c>
    </row>
    <row r="163" spans="1:53" ht="23.1" customHeight="1" x14ac:dyDescent="0.3">
      <c r="A163" s="83">
        <v>160</v>
      </c>
      <c r="B163" s="83" t="s">
        <v>157</v>
      </c>
      <c r="C163" s="84" t="s">
        <v>158</v>
      </c>
      <c r="D163" s="83" t="s">
        <v>542</v>
      </c>
      <c r="E163" s="83" t="s">
        <v>35</v>
      </c>
      <c r="F163" s="83"/>
      <c r="G163" s="83"/>
      <c r="H163" s="83"/>
      <c r="I163" s="83"/>
      <c r="J163" s="83"/>
      <c r="K163" s="75">
        <v>3</v>
      </c>
      <c r="L163" s="83"/>
      <c r="M163" s="16">
        <v>3</v>
      </c>
      <c r="N163" s="16">
        <v>3</v>
      </c>
      <c r="O163" s="7"/>
      <c r="P163" s="16">
        <v>3</v>
      </c>
      <c r="Q163" s="43">
        <f t="shared" si="20"/>
        <v>3</v>
      </c>
      <c r="R163" s="16">
        <v>4</v>
      </c>
      <c r="S163" s="7"/>
      <c r="T163" s="7"/>
      <c r="U163" s="7"/>
      <c r="V163" s="7"/>
      <c r="W163" s="42">
        <f t="shared" si="21"/>
        <v>4</v>
      </c>
      <c r="X163" s="16">
        <v>4</v>
      </c>
      <c r="Y163" s="7"/>
      <c r="Z163" s="7"/>
      <c r="AA163" s="7"/>
      <c r="AB163" s="7"/>
      <c r="AC163" s="42">
        <f t="shared" si="22"/>
        <v>4</v>
      </c>
      <c r="AD163" s="16">
        <v>3</v>
      </c>
      <c r="AE163" s="7"/>
      <c r="AF163" s="7"/>
      <c r="AG163" s="7"/>
      <c r="AH163" s="7"/>
      <c r="AI163" s="42">
        <f t="shared" si="23"/>
        <v>3</v>
      </c>
      <c r="AJ163" s="7"/>
      <c r="AK163" s="16">
        <v>4</v>
      </c>
      <c r="AL163" s="7"/>
      <c r="AM163" s="7"/>
      <c r="AN163" s="7"/>
      <c r="AO163" s="43">
        <f t="shared" si="24"/>
        <v>4</v>
      </c>
      <c r="AP163" s="16">
        <v>3</v>
      </c>
      <c r="AQ163" s="16"/>
      <c r="AR163" s="16"/>
      <c r="AS163" s="16"/>
      <c r="AT163" s="16"/>
      <c r="AU163" s="42">
        <f t="shared" si="25"/>
        <v>3</v>
      </c>
      <c r="AV163" s="16"/>
      <c r="AW163" s="16"/>
      <c r="AX163" s="7"/>
      <c r="AY163" s="16">
        <v>4</v>
      </c>
      <c r="AZ163" s="16"/>
      <c r="BA163" s="43">
        <f t="shared" si="26"/>
        <v>4</v>
      </c>
    </row>
    <row r="164" spans="1:53" ht="23.1" customHeight="1" x14ac:dyDescent="0.3">
      <c r="A164" s="76">
        <v>161</v>
      </c>
      <c r="B164" s="76" t="s">
        <v>389</v>
      </c>
      <c r="C164" s="77" t="s">
        <v>390</v>
      </c>
      <c r="D164" s="76" t="s">
        <v>450</v>
      </c>
      <c r="E164" s="76" t="s">
        <v>493</v>
      </c>
      <c r="F164" s="76"/>
      <c r="G164" s="76"/>
      <c r="H164" s="76"/>
      <c r="I164" s="76"/>
      <c r="J164" s="76"/>
      <c r="K164" s="75">
        <v>4</v>
      </c>
      <c r="L164" s="76"/>
      <c r="M164" s="34">
        <v>3</v>
      </c>
      <c r="N164" s="34">
        <v>2.5</v>
      </c>
      <c r="O164" s="62"/>
      <c r="P164" s="34">
        <v>2.5</v>
      </c>
      <c r="Q164" s="43">
        <f t="shared" si="20"/>
        <v>2.6666666666666665</v>
      </c>
      <c r="R164" s="34">
        <v>3</v>
      </c>
      <c r="S164" s="62"/>
      <c r="T164" s="62"/>
      <c r="U164" s="62"/>
      <c r="V164" s="62"/>
      <c r="W164" s="42">
        <f t="shared" si="21"/>
        <v>3</v>
      </c>
      <c r="X164" s="34">
        <v>3</v>
      </c>
      <c r="Y164" s="62"/>
      <c r="Z164" s="62"/>
      <c r="AA164" s="62"/>
      <c r="AB164" s="62"/>
      <c r="AC164" s="42">
        <f t="shared" si="22"/>
        <v>3</v>
      </c>
      <c r="AD164" s="34">
        <v>3</v>
      </c>
      <c r="AE164" s="62"/>
      <c r="AF164" s="62"/>
      <c r="AG164" s="62"/>
      <c r="AH164" s="62"/>
      <c r="AI164" s="42">
        <f t="shared" si="23"/>
        <v>3</v>
      </c>
      <c r="AJ164" s="62"/>
      <c r="AK164" s="34">
        <v>2.5</v>
      </c>
      <c r="AL164" s="62"/>
      <c r="AM164" s="62"/>
      <c r="AN164" s="62"/>
      <c r="AO164" s="43">
        <f t="shared" si="24"/>
        <v>2.5</v>
      </c>
      <c r="AP164" s="34">
        <v>2.5</v>
      </c>
      <c r="AQ164" s="34"/>
      <c r="AR164" s="34"/>
      <c r="AS164" s="34"/>
      <c r="AT164" s="34"/>
      <c r="AU164" s="42">
        <f t="shared" si="25"/>
        <v>2.5</v>
      </c>
      <c r="AV164" s="34"/>
      <c r="AW164" s="34"/>
      <c r="AX164" s="62"/>
      <c r="AY164" s="34">
        <v>2.5</v>
      </c>
      <c r="AZ164" s="34"/>
      <c r="BA164" s="43">
        <f t="shared" si="26"/>
        <v>2.5</v>
      </c>
    </row>
    <row r="165" spans="1:53" ht="23.1" customHeight="1" x14ac:dyDescent="0.3">
      <c r="A165" s="83">
        <v>162</v>
      </c>
      <c r="B165" s="83" t="s">
        <v>391</v>
      </c>
      <c r="C165" s="84" t="s">
        <v>392</v>
      </c>
      <c r="D165" s="83" t="s">
        <v>450</v>
      </c>
      <c r="E165" s="83" t="s">
        <v>493</v>
      </c>
      <c r="F165" s="83"/>
      <c r="G165" s="83"/>
      <c r="H165" s="83"/>
      <c r="I165" s="83"/>
      <c r="J165" s="83"/>
      <c r="K165" s="75">
        <v>2</v>
      </c>
      <c r="L165" s="83"/>
      <c r="M165" s="16">
        <v>5</v>
      </c>
      <c r="N165" s="16">
        <v>4</v>
      </c>
      <c r="O165" s="7"/>
      <c r="P165" s="16">
        <v>5</v>
      </c>
      <c r="Q165" s="43">
        <f t="shared" si="20"/>
        <v>4.666666666666667</v>
      </c>
      <c r="R165" s="16">
        <v>5</v>
      </c>
      <c r="S165" s="7"/>
      <c r="T165" s="7"/>
      <c r="U165" s="7"/>
      <c r="V165" s="7"/>
      <c r="W165" s="42">
        <f t="shared" si="21"/>
        <v>5</v>
      </c>
      <c r="X165" s="16">
        <v>5</v>
      </c>
      <c r="Y165" s="7"/>
      <c r="Z165" s="7"/>
      <c r="AA165" s="7"/>
      <c r="AB165" s="7"/>
      <c r="AC165" s="42">
        <f t="shared" si="22"/>
        <v>5</v>
      </c>
      <c r="AD165" s="16">
        <v>4</v>
      </c>
      <c r="AE165" s="7"/>
      <c r="AF165" s="7"/>
      <c r="AG165" s="7"/>
      <c r="AH165" s="7"/>
      <c r="AI165" s="42">
        <f t="shared" si="23"/>
        <v>4</v>
      </c>
      <c r="AJ165" s="7"/>
      <c r="AK165" s="16">
        <v>4</v>
      </c>
      <c r="AL165" s="7"/>
      <c r="AM165" s="7"/>
      <c r="AN165" s="7"/>
      <c r="AO165" s="43">
        <f t="shared" si="24"/>
        <v>4</v>
      </c>
      <c r="AP165" s="16">
        <v>5</v>
      </c>
      <c r="AQ165" s="16"/>
      <c r="AR165" s="16"/>
      <c r="AS165" s="16"/>
      <c r="AT165" s="16"/>
      <c r="AU165" s="42">
        <f t="shared" si="25"/>
        <v>5</v>
      </c>
      <c r="AV165" s="16"/>
      <c r="AW165" s="16"/>
      <c r="AX165" s="7"/>
      <c r="AY165" s="16">
        <v>4</v>
      </c>
      <c r="AZ165" s="16"/>
      <c r="BA165" s="43">
        <f t="shared" si="26"/>
        <v>4</v>
      </c>
    </row>
    <row r="166" spans="1:53" ht="23.1" customHeight="1" x14ac:dyDescent="0.3">
      <c r="A166" s="76">
        <v>163</v>
      </c>
      <c r="B166" s="76" t="s">
        <v>221</v>
      </c>
      <c r="C166" s="77" t="s">
        <v>222</v>
      </c>
      <c r="D166" s="76" t="s">
        <v>450</v>
      </c>
      <c r="E166" s="76" t="s">
        <v>161</v>
      </c>
      <c r="F166" s="76"/>
      <c r="G166" s="76"/>
      <c r="H166" s="76"/>
      <c r="I166" s="76"/>
      <c r="J166" s="76"/>
      <c r="K166" s="75">
        <v>3</v>
      </c>
      <c r="L166" s="76"/>
      <c r="M166" s="34">
        <v>3</v>
      </c>
      <c r="N166" s="34">
        <v>2</v>
      </c>
      <c r="O166" s="62"/>
      <c r="P166" s="34">
        <v>3</v>
      </c>
      <c r="Q166" s="43">
        <f t="shared" si="20"/>
        <v>2.6666666666666665</v>
      </c>
      <c r="R166" s="34">
        <v>5</v>
      </c>
      <c r="S166" s="62"/>
      <c r="T166" s="62"/>
      <c r="U166" s="62"/>
      <c r="V166" s="62"/>
      <c r="W166" s="42">
        <f t="shared" si="21"/>
        <v>5</v>
      </c>
      <c r="X166" s="34">
        <v>5</v>
      </c>
      <c r="Y166" s="62"/>
      <c r="Z166" s="62"/>
      <c r="AA166" s="62"/>
      <c r="AB166" s="62"/>
      <c r="AC166" s="42">
        <f t="shared" si="22"/>
        <v>5</v>
      </c>
      <c r="AD166" s="34">
        <v>0</v>
      </c>
      <c r="AE166" s="62"/>
      <c r="AF166" s="62"/>
      <c r="AG166" s="62"/>
      <c r="AH166" s="62"/>
      <c r="AI166" s="42">
        <f t="shared" si="23"/>
        <v>0</v>
      </c>
      <c r="AJ166" s="62"/>
      <c r="AK166" s="34">
        <v>2</v>
      </c>
      <c r="AL166" s="62"/>
      <c r="AM166" s="62"/>
      <c r="AN166" s="62"/>
      <c r="AO166" s="43">
        <f t="shared" si="24"/>
        <v>2</v>
      </c>
      <c r="AP166" s="34">
        <v>4</v>
      </c>
      <c r="AQ166" s="34"/>
      <c r="AR166" s="34"/>
      <c r="AS166" s="34"/>
      <c r="AT166" s="34"/>
      <c r="AU166" s="42">
        <f t="shared" si="25"/>
        <v>4</v>
      </c>
      <c r="AV166" s="34"/>
      <c r="AW166" s="34"/>
      <c r="AX166" s="62"/>
      <c r="AY166" s="34">
        <v>5</v>
      </c>
      <c r="AZ166" s="34"/>
      <c r="BA166" s="43">
        <f t="shared" si="26"/>
        <v>5</v>
      </c>
    </row>
    <row r="167" spans="1:53" ht="23.1" customHeight="1" x14ac:dyDescent="0.3">
      <c r="A167" s="83">
        <v>164</v>
      </c>
      <c r="B167" s="83" t="s">
        <v>207</v>
      </c>
      <c r="C167" s="84" t="s">
        <v>208</v>
      </c>
      <c r="D167" s="83" t="s">
        <v>542</v>
      </c>
      <c r="E167" s="83" t="s">
        <v>161</v>
      </c>
      <c r="F167" s="83"/>
      <c r="G167" s="83"/>
      <c r="H167" s="83"/>
      <c r="I167" s="83"/>
      <c r="J167" s="83"/>
      <c r="K167" s="75">
        <v>4</v>
      </c>
      <c r="L167" s="83"/>
      <c r="M167" s="16">
        <v>5</v>
      </c>
      <c r="N167" s="16">
        <v>5</v>
      </c>
      <c r="O167" s="7"/>
      <c r="P167" s="16">
        <v>5</v>
      </c>
      <c r="Q167" s="43">
        <f t="shared" si="20"/>
        <v>5</v>
      </c>
      <c r="R167" s="16">
        <v>5</v>
      </c>
      <c r="S167" s="7"/>
      <c r="T167" s="7"/>
      <c r="U167" s="7"/>
      <c r="V167" s="7"/>
      <c r="W167" s="42">
        <f t="shared" si="21"/>
        <v>5</v>
      </c>
      <c r="X167" s="16">
        <v>5</v>
      </c>
      <c r="Y167" s="7"/>
      <c r="Z167" s="7"/>
      <c r="AA167" s="7"/>
      <c r="AB167" s="7"/>
      <c r="AC167" s="42">
        <f t="shared" si="22"/>
        <v>5</v>
      </c>
      <c r="AD167" s="16">
        <v>0</v>
      </c>
      <c r="AE167" s="7"/>
      <c r="AF167" s="7"/>
      <c r="AG167" s="7"/>
      <c r="AH167" s="7"/>
      <c r="AI167" s="42">
        <f t="shared" si="23"/>
        <v>0</v>
      </c>
      <c r="AJ167" s="7"/>
      <c r="AK167" s="16">
        <v>4</v>
      </c>
      <c r="AL167" s="7"/>
      <c r="AM167" s="7"/>
      <c r="AN167" s="7"/>
      <c r="AO167" s="43">
        <f t="shared" si="24"/>
        <v>4</v>
      </c>
      <c r="AP167" s="16">
        <v>4</v>
      </c>
      <c r="AQ167" s="16"/>
      <c r="AR167" s="16"/>
      <c r="AS167" s="16"/>
      <c r="AT167" s="16"/>
      <c r="AU167" s="42">
        <f t="shared" si="25"/>
        <v>4</v>
      </c>
      <c r="AV167" s="16"/>
      <c r="AW167" s="16"/>
      <c r="AX167" s="7"/>
      <c r="AY167" s="16">
        <v>4</v>
      </c>
      <c r="AZ167" s="16"/>
      <c r="BA167" s="43">
        <f t="shared" si="26"/>
        <v>4</v>
      </c>
    </row>
    <row r="168" spans="1:53" ht="23.1" customHeight="1" x14ac:dyDescent="0.3">
      <c r="A168" s="76">
        <v>165</v>
      </c>
      <c r="B168" s="76" t="s">
        <v>48</v>
      </c>
      <c r="C168" s="77" t="s">
        <v>49</v>
      </c>
      <c r="D168" s="76" t="s">
        <v>450</v>
      </c>
      <c r="E168" s="76" t="s">
        <v>35</v>
      </c>
      <c r="F168" s="76"/>
      <c r="G168" s="76"/>
      <c r="H168" s="76"/>
      <c r="I168" s="76"/>
      <c r="J168" s="76"/>
      <c r="K168" s="75">
        <v>4</v>
      </c>
      <c r="L168" s="76"/>
      <c r="M168" s="34">
        <v>4</v>
      </c>
      <c r="N168" s="34">
        <v>3</v>
      </c>
      <c r="O168" s="62"/>
      <c r="P168" s="34">
        <v>3</v>
      </c>
      <c r="Q168" s="43">
        <f t="shared" si="20"/>
        <v>3.3333333333333335</v>
      </c>
      <c r="R168" s="34">
        <v>3</v>
      </c>
      <c r="S168" s="62"/>
      <c r="T168" s="62"/>
      <c r="U168" s="62"/>
      <c r="V168" s="62"/>
      <c r="W168" s="42">
        <f t="shared" si="21"/>
        <v>3</v>
      </c>
      <c r="X168" s="34">
        <v>3</v>
      </c>
      <c r="Y168" s="62"/>
      <c r="Z168" s="62"/>
      <c r="AA168" s="62"/>
      <c r="AB168" s="62"/>
      <c r="AC168" s="42">
        <f t="shared" si="22"/>
        <v>3</v>
      </c>
      <c r="AD168" s="34">
        <v>4</v>
      </c>
      <c r="AE168" s="62"/>
      <c r="AF168" s="62"/>
      <c r="AG168" s="62"/>
      <c r="AH168" s="62"/>
      <c r="AI168" s="42">
        <f t="shared" si="23"/>
        <v>4</v>
      </c>
      <c r="AJ168" s="62"/>
      <c r="AK168" s="34">
        <v>3</v>
      </c>
      <c r="AL168" s="62"/>
      <c r="AM168" s="62"/>
      <c r="AN168" s="62"/>
      <c r="AO168" s="43">
        <f t="shared" si="24"/>
        <v>3</v>
      </c>
      <c r="AP168" s="34">
        <v>3</v>
      </c>
      <c r="AQ168" s="34"/>
      <c r="AR168" s="34"/>
      <c r="AS168" s="34"/>
      <c r="AT168" s="34"/>
      <c r="AU168" s="42">
        <f t="shared" si="25"/>
        <v>3</v>
      </c>
      <c r="AV168" s="34"/>
      <c r="AW168" s="34"/>
      <c r="AX168" s="62"/>
      <c r="AY168" s="34">
        <v>4</v>
      </c>
      <c r="AZ168" s="34"/>
      <c r="BA168" s="43">
        <f t="shared" si="26"/>
        <v>4</v>
      </c>
    </row>
    <row r="169" spans="1:53" ht="23.1" customHeight="1" x14ac:dyDescent="0.3">
      <c r="A169" s="83">
        <v>166</v>
      </c>
      <c r="B169" s="83" t="s">
        <v>159</v>
      </c>
      <c r="C169" s="84" t="s">
        <v>160</v>
      </c>
      <c r="D169" s="83" t="s">
        <v>450</v>
      </c>
      <c r="E169" s="83" t="s">
        <v>35</v>
      </c>
      <c r="F169" s="83"/>
      <c r="G169" s="83"/>
      <c r="H169" s="83"/>
      <c r="I169" s="83"/>
      <c r="J169" s="83"/>
      <c r="K169" s="75">
        <v>3</v>
      </c>
      <c r="L169" s="83"/>
      <c r="M169" s="16">
        <v>0</v>
      </c>
      <c r="N169" s="16">
        <v>0</v>
      </c>
      <c r="O169" s="7"/>
      <c r="P169" s="16">
        <v>0</v>
      </c>
      <c r="Q169" s="43">
        <f t="shared" si="20"/>
        <v>0</v>
      </c>
      <c r="R169" s="16">
        <v>0</v>
      </c>
      <c r="S169" s="7"/>
      <c r="T169" s="7"/>
      <c r="U169" s="7"/>
      <c r="V169" s="7"/>
      <c r="W169" s="42">
        <f t="shared" si="21"/>
        <v>0</v>
      </c>
      <c r="X169" s="16">
        <v>0</v>
      </c>
      <c r="Y169" s="7"/>
      <c r="Z169" s="7"/>
      <c r="AA169" s="7"/>
      <c r="AB169" s="7"/>
      <c r="AC169" s="42">
        <f t="shared" si="22"/>
        <v>0</v>
      </c>
      <c r="AD169" s="16">
        <v>0</v>
      </c>
      <c r="AE169" s="7"/>
      <c r="AF169" s="7"/>
      <c r="AG169" s="7"/>
      <c r="AH169" s="7"/>
      <c r="AI169" s="42">
        <f t="shared" si="23"/>
        <v>0</v>
      </c>
      <c r="AJ169" s="7"/>
      <c r="AK169" s="16">
        <v>0</v>
      </c>
      <c r="AL169" s="7"/>
      <c r="AM169" s="7"/>
      <c r="AN169" s="7"/>
      <c r="AO169" s="43">
        <f t="shared" si="24"/>
        <v>0</v>
      </c>
      <c r="AP169" s="16">
        <v>0</v>
      </c>
      <c r="AQ169" s="16"/>
      <c r="AR169" s="16"/>
      <c r="AS169" s="16"/>
      <c r="AT169" s="16"/>
      <c r="AU169" s="42">
        <f t="shared" si="25"/>
        <v>0</v>
      </c>
      <c r="AV169" s="16"/>
      <c r="AW169" s="16"/>
      <c r="AX169" s="7"/>
      <c r="AY169" s="16">
        <v>0</v>
      </c>
      <c r="AZ169" s="16"/>
      <c r="BA169" s="43">
        <f t="shared" si="26"/>
        <v>0</v>
      </c>
    </row>
    <row r="170" spans="1:53" ht="23.1" customHeight="1" x14ac:dyDescent="0.3">
      <c r="A170" s="76">
        <v>167</v>
      </c>
      <c r="B170" s="76" t="s">
        <v>192</v>
      </c>
      <c r="C170" s="77" t="s">
        <v>193</v>
      </c>
      <c r="D170" s="76" t="s">
        <v>450</v>
      </c>
      <c r="E170" s="76" t="s">
        <v>161</v>
      </c>
      <c r="F170" s="76"/>
      <c r="G170" s="76"/>
      <c r="H170" s="76"/>
      <c r="I170" s="76"/>
      <c r="J170" s="76"/>
      <c r="K170" s="75">
        <v>5</v>
      </c>
      <c r="L170" s="76"/>
      <c r="M170" s="34">
        <v>3.5</v>
      </c>
      <c r="N170" s="34">
        <v>3.5</v>
      </c>
      <c r="O170" s="62"/>
      <c r="P170" s="34">
        <v>3.5</v>
      </c>
      <c r="Q170" s="43">
        <f t="shared" si="20"/>
        <v>3.5</v>
      </c>
      <c r="R170" s="34">
        <v>4</v>
      </c>
      <c r="S170" s="62"/>
      <c r="T170" s="62"/>
      <c r="U170" s="62"/>
      <c r="V170" s="62"/>
      <c r="W170" s="42">
        <f t="shared" si="21"/>
        <v>4</v>
      </c>
      <c r="X170" s="34">
        <v>4</v>
      </c>
      <c r="Y170" s="62"/>
      <c r="Z170" s="62"/>
      <c r="AA170" s="62"/>
      <c r="AB170" s="62"/>
      <c r="AC170" s="42">
        <f t="shared" si="22"/>
        <v>4</v>
      </c>
      <c r="AD170" s="34">
        <v>3</v>
      </c>
      <c r="AE170" s="62"/>
      <c r="AF170" s="62"/>
      <c r="AG170" s="62"/>
      <c r="AH170" s="62"/>
      <c r="AI170" s="42">
        <f t="shared" si="23"/>
        <v>3</v>
      </c>
      <c r="AJ170" s="62"/>
      <c r="AK170" s="34">
        <v>3</v>
      </c>
      <c r="AL170" s="62"/>
      <c r="AM170" s="62"/>
      <c r="AN170" s="62"/>
      <c r="AO170" s="43">
        <f t="shared" si="24"/>
        <v>3</v>
      </c>
      <c r="AP170" s="34">
        <v>3</v>
      </c>
      <c r="AQ170" s="34"/>
      <c r="AR170" s="34"/>
      <c r="AS170" s="34"/>
      <c r="AT170" s="34"/>
      <c r="AU170" s="42">
        <f t="shared" si="25"/>
        <v>3</v>
      </c>
      <c r="AV170" s="34"/>
      <c r="AW170" s="34"/>
      <c r="AX170" s="62"/>
      <c r="AY170" s="34">
        <v>4</v>
      </c>
      <c r="AZ170" s="34"/>
      <c r="BA170" s="43">
        <f t="shared" si="26"/>
        <v>4</v>
      </c>
    </row>
    <row r="171" spans="1:53" ht="23.1" customHeight="1" x14ac:dyDescent="0.3">
      <c r="A171" s="83">
        <v>168</v>
      </c>
      <c r="B171" s="83" t="s">
        <v>223</v>
      </c>
      <c r="C171" s="84" t="s">
        <v>224</v>
      </c>
      <c r="D171" s="83" t="s">
        <v>542</v>
      </c>
      <c r="E171" s="83" t="s">
        <v>161</v>
      </c>
      <c r="F171" s="83"/>
      <c r="G171" s="83"/>
      <c r="H171" s="83"/>
      <c r="I171" s="83"/>
      <c r="J171" s="83"/>
      <c r="K171" s="75">
        <v>5</v>
      </c>
      <c r="L171" s="83"/>
      <c r="M171" s="16">
        <v>5</v>
      </c>
      <c r="N171" s="16">
        <v>5</v>
      </c>
      <c r="O171" s="7"/>
      <c r="P171" s="16">
        <v>4</v>
      </c>
      <c r="Q171" s="43">
        <f t="shared" si="20"/>
        <v>4.666666666666667</v>
      </c>
      <c r="R171" s="16">
        <v>3</v>
      </c>
      <c r="S171" s="7"/>
      <c r="T171" s="7"/>
      <c r="U171" s="7"/>
      <c r="V171" s="7"/>
      <c r="W171" s="42">
        <f t="shared" si="21"/>
        <v>3</v>
      </c>
      <c r="X171" s="16">
        <v>3</v>
      </c>
      <c r="Y171" s="7"/>
      <c r="Z171" s="7"/>
      <c r="AA171" s="7"/>
      <c r="AB171" s="7"/>
      <c r="AC171" s="42">
        <f t="shared" si="22"/>
        <v>3</v>
      </c>
      <c r="AD171" s="16">
        <v>0</v>
      </c>
      <c r="AE171" s="7"/>
      <c r="AF171" s="7"/>
      <c r="AG171" s="7"/>
      <c r="AH171" s="7"/>
      <c r="AI171" s="42">
        <f t="shared" si="23"/>
        <v>0</v>
      </c>
      <c r="AJ171" s="7"/>
      <c r="AK171" s="16">
        <v>3</v>
      </c>
      <c r="AL171" s="7"/>
      <c r="AM171" s="7"/>
      <c r="AN171" s="7"/>
      <c r="AO171" s="43">
        <f t="shared" si="24"/>
        <v>3</v>
      </c>
      <c r="AP171" s="16">
        <v>4</v>
      </c>
      <c r="AQ171" s="16"/>
      <c r="AR171" s="16"/>
      <c r="AS171" s="16"/>
      <c r="AT171" s="16"/>
      <c r="AU171" s="42">
        <f t="shared" si="25"/>
        <v>4</v>
      </c>
      <c r="AV171" s="16"/>
      <c r="AW171" s="16"/>
      <c r="AX171" s="7"/>
      <c r="AY171" s="16">
        <v>3</v>
      </c>
      <c r="AZ171" s="16"/>
      <c r="BA171" s="43">
        <f t="shared" si="26"/>
        <v>3</v>
      </c>
    </row>
    <row r="172" spans="1:53" ht="23.1" customHeight="1" x14ac:dyDescent="0.3">
      <c r="A172" s="76">
        <v>169</v>
      </c>
      <c r="B172" s="76" t="s">
        <v>393</v>
      </c>
      <c r="C172" s="77" t="s">
        <v>394</v>
      </c>
      <c r="D172" s="76" t="s">
        <v>450</v>
      </c>
      <c r="E172" s="76" t="s">
        <v>493</v>
      </c>
      <c r="F172" s="76"/>
      <c r="G172" s="76"/>
      <c r="H172" s="76"/>
      <c r="I172" s="76"/>
      <c r="J172" s="76"/>
      <c r="K172" s="75">
        <v>4</v>
      </c>
      <c r="L172" s="76"/>
      <c r="M172" s="34">
        <v>2</v>
      </c>
      <c r="N172" s="34">
        <v>2</v>
      </c>
      <c r="O172" s="62"/>
      <c r="P172" s="34">
        <v>2</v>
      </c>
      <c r="Q172" s="43">
        <f t="shared" si="20"/>
        <v>2</v>
      </c>
      <c r="R172" s="34">
        <v>2</v>
      </c>
      <c r="S172" s="62"/>
      <c r="T172" s="62"/>
      <c r="U172" s="62"/>
      <c r="V172" s="62"/>
      <c r="W172" s="42">
        <f t="shared" si="21"/>
        <v>2</v>
      </c>
      <c r="X172" s="34">
        <v>2</v>
      </c>
      <c r="Y172" s="62"/>
      <c r="Z172" s="62"/>
      <c r="AA172" s="62"/>
      <c r="AB172" s="62"/>
      <c r="AC172" s="42">
        <f t="shared" si="22"/>
        <v>2</v>
      </c>
      <c r="AD172" s="34">
        <v>2</v>
      </c>
      <c r="AE172" s="62"/>
      <c r="AF172" s="62"/>
      <c r="AG172" s="62"/>
      <c r="AH172" s="62"/>
      <c r="AI172" s="42">
        <f t="shared" si="23"/>
        <v>2</v>
      </c>
      <c r="AJ172" s="62"/>
      <c r="AK172" s="34">
        <v>2.5</v>
      </c>
      <c r="AL172" s="62"/>
      <c r="AM172" s="62"/>
      <c r="AN172" s="62"/>
      <c r="AO172" s="43">
        <f t="shared" si="24"/>
        <v>2.5</v>
      </c>
      <c r="AP172" s="34">
        <v>2</v>
      </c>
      <c r="AQ172" s="34"/>
      <c r="AR172" s="34"/>
      <c r="AS172" s="34"/>
      <c r="AT172" s="34"/>
      <c r="AU172" s="42">
        <f t="shared" si="25"/>
        <v>2</v>
      </c>
      <c r="AV172" s="34"/>
      <c r="AW172" s="34"/>
      <c r="AX172" s="62"/>
      <c r="AY172" s="34">
        <v>2</v>
      </c>
      <c r="AZ172" s="34"/>
      <c r="BA172" s="43">
        <f t="shared" si="26"/>
        <v>2</v>
      </c>
    </row>
    <row r="173" spans="1:53" ht="23.1" customHeight="1" x14ac:dyDescent="0.3">
      <c r="A173" s="83">
        <v>170</v>
      </c>
      <c r="B173" s="83" t="s">
        <v>395</v>
      </c>
      <c r="C173" s="84" t="s">
        <v>396</v>
      </c>
      <c r="D173" s="83" t="s">
        <v>542</v>
      </c>
      <c r="E173" s="83" t="s">
        <v>493</v>
      </c>
      <c r="F173" s="83"/>
      <c r="G173" s="83"/>
      <c r="H173" s="83"/>
      <c r="I173" s="83"/>
      <c r="J173" s="83"/>
      <c r="K173" s="75">
        <v>4</v>
      </c>
      <c r="L173" s="83"/>
      <c r="M173" s="16">
        <v>5</v>
      </c>
      <c r="N173" s="16">
        <v>5</v>
      </c>
      <c r="O173" s="7"/>
      <c r="P173" s="16">
        <v>4</v>
      </c>
      <c r="Q173" s="43">
        <f t="shared" si="20"/>
        <v>4.666666666666667</v>
      </c>
      <c r="R173" s="16">
        <v>4</v>
      </c>
      <c r="S173" s="7"/>
      <c r="T173" s="7"/>
      <c r="U173" s="7"/>
      <c r="V173" s="7"/>
      <c r="W173" s="42">
        <f t="shared" si="21"/>
        <v>4</v>
      </c>
      <c r="X173" s="16">
        <v>4</v>
      </c>
      <c r="Y173" s="7"/>
      <c r="Z173" s="7"/>
      <c r="AA173" s="7"/>
      <c r="AB173" s="7"/>
      <c r="AC173" s="42">
        <f t="shared" si="22"/>
        <v>4</v>
      </c>
      <c r="AD173" s="16">
        <v>5</v>
      </c>
      <c r="AE173" s="7"/>
      <c r="AF173" s="7"/>
      <c r="AG173" s="7"/>
      <c r="AH173" s="7"/>
      <c r="AI173" s="42">
        <f t="shared" si="23"/>
        <v>5</v>
      </c>
      <c r="AJ173" s="7"/>
      <c r="AK173" s="16">
        <v>4</v>
      </c>
      <c r="AL173" s="7"/>
      <c r="AM173" s="7"/>
      <c r="AN173" s="7"/>
      <c r="AO173" s="43">
        <f t="shared" si="24"/>
        <v>4</v>
      </c>
      <c r="AP173" s="16">
        <v>4</v>
      </c>
      <c r="AQ173" s="16"/>
      <c r="AR173" s="16"/>
      <c r="AS173" s="16"/>
      <c r="AT173" s="16"/>
      <c r="AU173" s="42">
        <f t="shared" si="25"/>
        <v>4</v>
      </c>
      <c r="AV173" s="16"/>
      <c r="AW173" s="16"/>
      <c r="AX173" s="7"/>
      <c r="AY173" s="16">
        <v>4</v>
      </c>
      <c r="AZ173" s="16"/>
      <c r="BA173" s="43">
        <f t="shared" si="26"/>
        <v>4</v>
      </c>
    </row>
    <row r="174" spans="1:53" ht="23.1" customHeight="1" x14ac:dyDescent="0.3">
      <c r="A174" s="76">
        <v>171</v>
      </c>
      <c r="B174" s="76" t="s">
        <v>285</v>
      </c>
      <c r="C174" s="77" t="s">
        <v>286</v>
      </c>
      <c r="D174" s="76" t="s">
        <v>542</v>
      </c>
      <c r="E174" s="76" t="s">
        <v>161</v>
      </c>
      <c r="F174" s="76"/>
      <c r="G174" s="76"/>
      <c r="H174" s="76"/>
      <c r="I174" s="76"/>
      <c r="J174" s="76"/>
      <c r="K174" s="75">
        <v>3</v>
      </c>
      <c r="L174" s="76"/>
      <c r="M174" s="34">
        <v>4</v>
      </c>
      <c r="N174" s="34">
        <v>4</v>
      </c>
      <c r="O174" s="62"/>
      <c r="P174" s="34">
        <v>4.5</v>
      </c>
      <c r="Q174" s="43">
        <f t="shared" si="20"/>
        <v>4.166666666666667</v>
      </c>
      <c r="R174" s="34">
        <v>4.5</v>
      </c>
      <c r="S174" s="62"/>
      <c r="T174" s="62"/>
      <c r="U174" s="62"/>
      <c r="V174" s="62"/>
      <c r="W174" s="42">
        <f t="shared" si="21"/>
        <v>4.5</v>
      </c>
      <c r="X174" s="34">
        <v>4.5</v>
      </c>
      <c r="Y174" s="62"/>
      <c r="Z174" s="62"/>
      <c r="AA174" s="62"/>
      <c r="AB174" s="62"/>
      <c r="AC174" s="42">
        <f t="shared" si="22"/>
        <v>4.5</v>
      </c>
      <c r="AD174" s="34">
        <v>0</v>
      </c>
      <c r="AE174" s="62"/>
      <c r="AF174" s="62"/>
      <c r="AG174" s="62"/>
      <c r="AH174" s="62"/>
      <c r="AI174" s="42">
        <f t="shared" si="23"/>
        <v>0</v>
      </c>
      <c r="AJ174" s="62"/>
      <c r="AK174" s="34">
        <v>4</v>
      </c>
      <c r="AL174" s="62"/>
      <c r="AM174" s="62"/>
      <c r="AN174" s="62"/>
      <c r="AO174" s="43">
        <f t="shared" si="24"/>
        <v>4</v>
      </c>
      <c r="AP174" s="34">
        <v>4.5</v>
      </c>
      <c r="AQ174" s="34"/>
      <c r="AR174" s="34"/>
      <c r="AS174" s="34"/>
      <c r="AT174" s="34"/>
      <c r="AU174" s="42">
        <f t="shared" si="25"/>
        <v>4.5</v>
      </c>
      <c r="AV174" s="34"/>
      <c r="AW174" s="34"/>
      <c r="AX174" s="62"/>
      <c r="AY174" s="34">
        <v>4</v>
      </c>
      <c r="AZ174" s="34"/>
      <c r="BA174" s="43">
        <f t="shared" si="26"/>
        <v>4</v>
      </c>
    </row>
    <row r="175" spans="1:53" ht="23.1" customHeight="1" x14ac:dyDescent="0.3">
      <c r="A175" s="83">
        <v>172</v>
      </c>
      <c r="B175" s="83" t="s">
        <v>397</v>
      </c>
      <c r="C175" s="84" t="s">
        <v>539</v>
      </c>
      <c r="D175" s="83" t="s">
        <v>542</v>
      </c>
      <c r="E175" s="83" t="s">
        <v>289</v>
      </c>
      <c r="F175" s="83"/>
      <c r="G175" s="83"/>
      <c r="H175" s="83"/>
      <c r="I175" s="83"/>
      <c r="J175" s="83"/>
      <c r="K175" s="75">
        <v>0</v>
      </c>
      <c r="L175" s="83"/>
      <c r="M175" s="16">
        <v>2.5</v>
      </c>
      <c r="N175" s="16">
        <v>2.5</v>
      </c>
      <c r="O175" s="7"/>
      <c r="P175" s="16">
        <v>2.5</v>
      </c>
      <c r="Q175" s="43">
        <f t="shared" si="20"/>
        <v>2.5</v>
      </c>
      <c r="R175" s="16">
        <v>2</v>
      </c>
      <c r="S175" s="7"/>
      <c r="T175" s="7"/>
      <c r="U175" s="7"/>
      <c r="V175" s="7"/>
      <c r="W175" s="42">
        <f t="shared" si="21"/>
        <v>2</v>
      </c>
      <c r="X175" s="16">
        <v>2</v>
      </c>
      <c r="Y175" s="7"/>
      <c r="Z175" s="7"/>
      <c r="AA175" s="7"/>
      <c r="AB175" s="7"/>
      <c r="AC175" s="42">
        <f t="shared" si="22"/>
        <v>2</v>
      </c>
      <c r="AD175" s="16">
        <v>2</v>
      </c>
      <c r="AE175" s="7"/>
      <c r="AF175" s="7"/>
      <c r="AG175" s="7"/>
      <c r="AH175" s="7"/>
      <c r="AI175" s="42">
        <f t="shared" si="23"/>
        <v>2</v>
      </c>
      <c r="AJ175" s="7"/>
      <c r="AK175" s="16">
        <v>2</v>
      </c>
      <c r="AL175" s="7"/>
      <c r="AM175" s="7"/>
      <c r="AN175" s="7"/>
      <c r="AO175" s="43">
        <f t="shared" si="24"/>
        <v>2</v>
      </c>
      <c r="AP175" s="16">
        <v>2</v>
      </c>
      <c r="AQ175" s="16"/>
      <c r="AR175" s="16"/>
      <c r="AS175" s="16"/>
      <c r="AT175" s="16"/>
      <c r="AU175" s="42">
        <f t="shared" si="25"/>
        <v>2</v>
      </c>
      <c r="AV175" s="16"/>
      <c r="AW175" s="16"/>
      <c r="AX175" s="7"/>
      <c r="AY175" s="16">
        <v>2</v>
      </c>
      <c r="AZ175" s="16"/>
      <c r="BA175" s="43">
        <f t="shared" si="26"/>
        <v>2</v>
      </c>
    </row>
    <row r="176" spans="1:53" ht="23.1" customHeight="1" x14ac:dyDescent="0.3">
      <c r="A176" s="76">
        <v>173</v>
      </c>
      <c r="B176" s="76" t="s">
        <v>398</v>
      </c>
      <c r="C176" s="77" t="s">
        <v>399</v>
      </c>
      <c r="D176" s="76" t="s">
        <v>542</v>
      </c>
      <c r="E176" s="76" t="s">
        <v>493</v>
      </c>
      <c r="F176" s="76"/>
      <c r="G176" s="76"/>
      <c r="H176" s="76"/>
      <c r="I176" s="76"/>
      <c r="J176" s="76"/>
      <c r="K176" s="75">
        <v>3</v>
      </c>
      <c r="L176" s="76"/>
      <c r="M176" s="34">
        <v>4</v>
      </c>
      <c r="N176" s="34">
        <v>2</v>
      </c>
      <c r="O176" s="62"/>
      <c r="P176" s="34">
        <v>3</v>
      </c>
      <c r="Q176" s="43">
        <f t="shared" si="20"/>
        <v>3</v>
      </c>
      <c r="R176" s="34">
        <v>4</v>
      </c>
      <c r="S176" s="62"/>
      <c r="T176" s="62"/>
      <c r="U176" s="62"/>
      <c r="V176" s="62"/>
      <c r="W176" s="42">
        <f t="shared" si="21"/>
        <v>4</v>
      </c>
      <c r="X176" s="34">
        <v>4</v>
      </c>
      <c r="Y176" s="62"/>
      <c r="Z176" s="62"/>
      <c r="AA176" s="62"/>
      <c r="AB176" s="62"/>
      <c r="AC176" s="42">
        <f t="shared" si="22"/>
        <v>4</v>
      </c>
      <c r="AD176" s="34">
        <v>3</v>
      </c>
      <c r="AE176" s="62"/>
      <c r="AF176" s="62"/>
      <c r="AG176" s="62"/>
      <c r="AH176" s="62"/>
      <c r="AI176" s="42">
        <f t="shared" si="23"/>
        <v>3</v>
      </c>
      <c r="AJ176" s="62"/>
      <c r="AK176" s="34">
        <v>3</v>
      </c>
      <c r="AL176" s="62"/>
      <c r="AM176" s="62"/>
      <c r="AN176" s="62"/>
      <c r="AO176" s="43">
        <f t="shared" si="24"/>
        <v>3</v>
      </c>
      <c r="AP176" s="34">
        <v>3</v>
      </c>
      <c r="AQ176" s="34"/>
      <c r="AR176" s="34"/>
      <c r="AS176" s="34"/>
      <c r="AT176" s="34"/>
      <c r="AU176" s="42">
        <f t="shared" si="25"/>
        <v>3</v>
      </c>
      <c r="AV176" s="34"/>
      <c r="AW176" s="34"/>
      <c r="AX176" s="62"/>
      <c r="AY176" s="34">
        <v>4</v>
      </c>
      <c r="AZ176" s="34"/>
      <c r="BA176" s="43">
        <f t="shared" si="26"/>
        <v>4</v>
      </c>
    </row>
    <row r="177" spans="1:53" ht="23.1" customHeight="1" x14ac:dyDescent="0.3">
      <c r="A177" s="83">
        <v>174</v>
      </c>
      <c r="B177" s="83" t="s">
        <v>400</v>
      </c>
      <c r="C177" s="84" t="s">
        <v>401</v>
      </c>
      <c r="D177" s="83" t="s">
        <v>542</v>
      </c>
      <c r="E177" s="83" t="s">
        <v>493</v>
      </c>
      <c r="F177" s="83"/>
      <c r="G177" s="83"/>
      <c r="H177" s="83"/>
      <c r="I177" s="83"/>
      <c r="J177" s="83"/>
      <c r="K177" s="75">
        <v>4</v>
      </c>
      <c r="L177" s="83"/>
      <c r="M177" s="16">
        <v>3.5</v>
      </c>
      <c r="N177" s="16">
        <v>4</v>
      </c>
      <c r="O177" s="7"/>
      <c r="P177" s="16">
        <v>3</v>
      </c>
      <c r="Q177" s="43">
        <f t="shared" si="20"/>
        <v>3.5</v>
      </c>
      <c r="R177" s="16">
        <v>3</v>
      </c>
      <c r="S177" s="7"/>
      <c r="T177" s="7"/>
      <c r="U177" s="7"/>
      <c r="V177" s="7"/>
      <c r="W177" s="42">
        <f t="shared" si="21"/>
        <v>3</v>
      </c>
      <c r="X177" s="16">
        <v>3</v>
      </c>
      <c r="Y177" s="7"/>
      <c r="Z177" s="7"/>
      <c r="AA177" s="7"/>
      <c r="AB177" s="7"/>
      <c r="AC177" s="42">
        <f t="shared" si="22"/>
        <v>3</v>
      </c>
      <c r="AD177" s="16">
        <v>2</v>
      </c>
      <c r="AE177" s="7"/>
      <c r="AF177" s="7"/>
      <c r="AG177" s="7"/>
      <c r="AH177" s="7"/>
      <c r="AI177" s="42">
        <f t="shared" si="23"/>
        <v>2</v>
      </c>
      <c r="AJ177" s="7"/>
      <c r="AK177" s="16">
        <v>2.5</v>
      </c>
      <c r="AL177" s="7"/>
      <c r="AM177" s="7"/>
      <c r="AN177" s="7"/>
      <c r="AO177" s="43">
        <f t="shared" si="24"/>
        <v>2.5</v>
      </c>
      <c r="AP177" s="16">
        <v>3</v>
      </c>
      <c r="AQ177" s="16"/>
      <c r="AR177" s="16"/>
      <c r="AS177" s="16"/>
      <c r="AT177" s="16"/>
      <c r="AU177" s="42">
        <f t="shared" si="25"/>
        <v>3</v>
      </c>
      <c r="AV177" s="16"/>
      <c r="AW177" s="16"/>
      <c r="AX177" s="7"/>
      <c r="AY177" s="16">
        <v>3.5</v>
      </c>
      <c r="AZ177" s="16"/>
      <c r="BA177" s="43">
        <f t="shared" si="26"/>
        <v>3.5</v>
      </c>
    </row>
    <row r="178" spans="1:53" ht="23.1" customHeight="1" x14ac:dyDescent="0.3">
      <c r="A178" s="76">
        <v>175</v>
      </c>
      <c r="B178" s="76" t="s">
        <v>120</v>
      </c>
      <c r="C178" s="77" t="s">
        <v>121</v>
      </c>
      <c r="D178" s="76" t="s">
        <v>450</v>
      </c>
      <c r="E178" s="76" t="s">
        <v>35</v>
      </c>
      <c r="F178" s="76"/>
      <c r="G178" s="76"/>
      <c r="H178" s="76"/>
      <c r="I178" s="76"/>
      <c r="J178" s="76"/>
      <c r="K178" s="75">
        <v>3</v>
      </c>
      <c r="L178" s="76"/>
      <c r="M178" s="34">
        <v>2</v>
      </c>
      <c r="N178" s="34">
        <v>2</v>
      </c>
      <c r="O178" s="62"/>
      <c r="P178" s="34">
        <v>2</v>
      </c>
      <c r="Q178" s="43">
        <f t="shared" si="20"/>
        <v>2</v>
      </c>
      <c r="R178" s="34">
        <v>4</v>
      </c>
      <c r="S178" s="62"/>
      <c r="T178" s="62"/>
      <c r="U178" s="62"/>
      <c r="V178" s="62"/>
      <c r="W178" s="42">
        <f t="shared" si="21"/>
        <v>4</v>
      </c>
      <c r="X178" s="34">
        <v>4</v>
      </c>
      <c r="Y178" s="62"/>
      <c r="Z178" s="62"/>
      <c r="AA178" s="62"/>
      <c r="AB178" s="62"/>
      <c r="AC178" s="42">
        <f t="shared" si="22"/>
        <v>4</v>
      </c>
      <c r="AD178" s="34">
        <v>4</v>
      </c>
      <c r="AE178" s="62"/>
      <c r="AF178" s="62"/>
      <c r="AG178" s="62"/>
      <c r="AH178" s="62"/>
      <c r="AI178" s="42">
        <f t="shared" si="23"/>
        <v>4</v>
      </c>
      <c r="AJ178" s="62"/>
      <c r="AK178" s="34">
        <v>3</v>
      </c>
      <c r="AL178" s="62"/>
      <c r="AM178" s="62"/>
      <c r="AN178" s="62"/>
      <c r="AO178" s="43">
        <f t="shared" si="24"/>
        <v>3</v>
      </c>
      <c r="AP178" s="34">
        <v>4</v>
      </c>
      <c r="AQ178" s="34"/>
      <c r="AR178" s="34"/>
      <c r="AS178" s="34"/>
      <c r="AT178" s="34"/>
      <c r="AU178" s="42">
        <f t="shared" si="25"/>
        <v>4</v>
      </c>
      <c r="AV178" s="34"/>
      <c r="AW178" s="34"/>
      <c r="AX178" s="62"/>
      <c r="AY178" s="34">
        <v>4</v>
      </c>
      <c r="AZ178" s="34"/>
      <c r="BA178" s="43">
        <f t="shared" si="26"/>
        <v>4</v>
      </c>
    </row>
    <row r="179" spans="1:53" ht="23.1" customHeight="1" x14ac:dyDescent="0.3">
      <c r="A179" s="83">
        <v>176</v>
      </c>
      <c r="B179" s="83" t="s">
        <v>402</v>
      </c>
      <c r="C179" s="84" t="s">
        <v>403</v>
      </c>
      <c r="D179" s="83" t="s">
        <v>450</v>
      </c>
      <c r="E179" s="83" t="s">
        <v>493</v>
      </c>
      <c r="F179" s="83"/>
      <c r="G179" s="83"/>
      <c r="H179" s="83"/>
      <c r="I179" s="83"/>
      <c r="J179" s="83"/>
      <c r="K179" s="75">
        <v>0</v>
      </c>
      <c r="L179" s="83"/>
      <c r="M179" s="16" t="s">
        <v>582</v>
      </c>
      <c r="N179" s="16" t="s">
        <v>582</v>
      </c>
      <c r="O179" s="7"/>
      <c r="P179" s="16" t="s">
        <v>582</v>
      </c>
      <c r="Q179" s="43" t="str">
        <f t="shared" si="20"/>
        <v>0</v>
      </c>
      <c r="R179" s="16" t="s">
        <v>582</v>
      </c>
      <c r="S179" s="7"/>
      <c r="T179" s="7"/>
      <c r="U179" s="7"/>
      <c r="V179" s="7"/>
      <c r="W179" s="42" t="str">
        <f t="shared" si="21"/>
        <v>0</v>
      </c>
      <c r="X179" s="16" t="s">
        <v>582</v>
      </c>
      <c r="Y179" s="7"/>
      <c r="Z179" s="7"/>
      <c r="AA179" s="7"/>
      <c r="AB179" s="7"/>
      <c r="AC179" s="42" t="str">
        <f t="shared" si="22"/>
        <v>0</v>
      </c>
      <c r="AD179" s="16" t="s">
        <v>582</v>
      </c>
      <c r="AE179" s="7"/>
      <c r="AF179" s="7"/>
      <c r="AG179" s="7"/>
      <c r="AH179" s="7"/>
      <c r="AI179" s="42" t="str">
        <f t="shared" si="23"/>
        <v>0</v>
      </c>
      <c r="AJ179" s="7"/>
      <c r="AK179" s="16" t="s">
        <v>582</v>
      </c>
      <c r="AL179" s="7"/>
      <c r="AM179" s="7"/>
      <c r="AN179" s="7"/>
      <c r="AO179" s="43" t="str">
        <f t="shared" si="24"/>
        <v>0</v>
      </c>
      <c r="AP179" s="16" t="s">
        <v>582</v>
      </c>
      <c r="AQ179" s="16"/>
      <c r="AR179" s="16"/>
      <c r="AS179" s="16"/>
      <c r="AT179" s="16"/>
      <c r="AU179" s="42" t="str">
        <f t="shared" si="25"/>
        <v>0</v>
      </c>
      <c r="AV179" s="16"/>
      <c r="AW179" s="16"/>
      <c r="AX179" s="7"/>
      <c r="AY179" s="16" t="s">
        <v>582</v>
      </c>
      <c r="AZ179" s="16"/>
      <c r="BA179" s="43" t="str">
        <f t="shared" si="26"/>
        <v>0</v>
      </c>
    </row>
    <row r="180" spans="1:53" ht="23.1" customHeight="1" x14ac:dyDescent="0.3">
      <c r="A180" s="76">
        <v>177</v>
      </c>
      <c r="B180" s="76" t="s">
        <v>271</v>
      </c>
      <c r="C180" s="77" t="s">
        <v>272</v>
      </c>
      <c r="D180" s="76" t="s">
        <v>450</v>
      </c>
      <c r="E180" s="76" t="s">
        <v>161</v>
      </c>
      <c r="F180" s="76"/>
      <c r="G180" s="76"/>
      <c r="H180" s="76"/>
      <c r="I180" s="76"/>
      <c r="J180" s="76"/>
      <c r="K180" s="75">
        <v>3</v>
      </c>
      <c r="L180" s="76"/>
      <c r="M180" s="34">
        <v>4</v>
      </c>
      <c r="N180" s="34">
        <v>3.5</v>
      </c>
      <c r="O180" s="62"/>
      <c r="P180" s="34">
        <v>3.5</v>
      </c>
      <c r="Q180" s="43">
        <f t="shared" si="20"/>
        <v>3.6666666666666665</v>
      </c>
      <c r="R180" s="34">
        <v>4</v>
      </c>
      <c r="S180" s="62"/>
      <c r="T180" s="62"/>
      <c r="U180" s="62"/>
      <c r="V180" s="62"/>
      <c r="W180" s="42">
        <f t="shared" si="21"/>
        <v>4</v>
      </c>
      <c r="X180" s="34">
        <v>4</v>
      </c>
      <c r="Y180" s="62"/>
      <c r="Z180" s="62"/>
      <c r="AA180" s="62"/>
      <c r="AB180" s="62"/>
      <c r="AC180" s="42">
        <f t="shared" si="22"/>
        <v>4</v>
      </c>
      <c r="AD180" s="34">
        <v>0</v>
      </c>
      <c r="AE180" s="62"/>
      <c r="AF180" s="62"/>
      <c r="AG180" s="62"/>
      <c r="AH180" s="62"/>
      <c r="AI180" s="42">
        <f t="shared" si="23"/>
        <v>0</v>
      </c>
      <c r="AJ180" s="62"/>
      <c r="AK180" s="34">
        <v>3.5</v>
      </c>
      <c r="AL180" s="62"/>
      <c r="AM180" s="62"/>
      <c r="AN180" s="62"/>
      <c r="AO180" s="43">
        <f t="shared" si="24"/>
        <v>3.5</v>
      </c>
      <c r="AP180" s="34">
        <v>4</v>
      </c>
      <c r="AQ180" s="34"/>
      <c r="AR180" s="34"/>
      <c r="AS180" s="34"/>
      <c r="AT180" s="34"/>
      <c r="AU180" s="42">
        <f t="shared" si="25"/>
        <v>4</v>
      </c>
      <c r="AV180" s="34"/>
      <c r="AW180" s="34"/>
      <c r="AX180" s="62"/>
      <c r="AY180" s="34">
        <v>5</v>
      </c>
      <c r="AZ180" s="34"/>
      <c r="BA180" s="43">
        <f t="shared" si="26"/>
        <v>5</v>
      </c>
    </row>
    <row r="181" spans="1:53" ht="23.1" customHeight="1" x14ac:dyDescent="0.3">
      <c r="A181" s="83">
        <v>178</v>
      </c>
      <c r="B181" s="83" t="s">
        <v>52</v>
      </c>
      <c r="C181" s="84" t="s">
        <v>53</v>
      </c>
      <c r="D181" s="83" t="s">
        <v>542</v>
      </c>
      <c r="E181" s="83" t="s">
        <v>35</v>
      </c>
      <c r="F181" s="83"/>
      <c r="G181" s="83"/>
      <c r="H181" s="83"/>
      <c r="I181" s="83"/>
      <c r="J181" s="83"/>
      <c r="K181" s="75">
        <v>5</v>
      </c>
      <c r="L181" s="83"/>
      <c r="M181" s="16">
        <v>5</v>
      </c>
      <c r="N181" s="16">
        <v>5</v>
      </c>
      <c r="O181" s="7"/>
      <c r="P181" s="16">
        <v>5</v>
      </c>
      <c r="Q181" s="43">
        <f t="shared" si="20"/>
        <v>5</v>
      </c>
      <c r="R181" s="16">
        <v>5</v>
      </c>
      <c r="S181" s="7"/>
      <c r="T181" s="7"/>
      <c r="U181" s="7"/>
      <c r="V181" s="7"/>
      <c r="W181" s="42">
        <f t="shared" si="21"/>
        <v>5</v>
      </c>
      <c r="X181" s="16">
        <v>5</v>
      </c>
      <c r="Y181" s="7"/>
      <c r="Z181" s="7"/>
      <c r="AA181" s="7"/>
      <c r="AB181" s="7"/>
      <c r="AC181" s="42">
        <f t="shared" si="22"/>
        <v>5</v>
      </c>
      <c r="AD181" s="16">
        <v>5</v>
      </c>
      <c r="AE181" s="7"/>
      <c r="AF181" s="7"/>
      <c r="AG181" s="7"/>
      <c r="AH181" s="7"/>
      <c r="AI181" s="42">
        <f t="shared" si="23"/>
        <v>5</v>
      </c>
      <c r="AJ181" s="7"/>
      <c r="AK181" s="16">
        <v>4</v>
      </c>
      <c r="AL181" s="7"/>
      <c r="AM181" s="7"/>
      <c r="AN181" s="7"/>
      <c r="AO181" s="43">
        <f t="shared" si="24"/>
        <v>4</v>
      </c>
      <c r="AP181" s="16">
        <v>5</v>
      </c>
      <c r="AQ181" s="16"/>
      <c r="AR181" s="16"/>
      <c r="AS181" s="16"/>
      <c r="AT181" s="16"/>
      <c r="AU181" s="42">
        <f t="shared" si="25"/>
        <v>5</v>
      </c>
      <c r="AV181" s="16"/>
      <c r="AW181" s="16"/>
      <c r="AX181" s="7"/>
      <c r="AY181" s="16">
        <v>5</v>
      </c>
      <c r="AZ181" s="16"/>
      <c r="BA181" s="43">
        <f t="shared" si="26"/>
        <v>5</v>
      </c>
    </row>
    <row r="182" spans="1:53" ht="23.1" customHeight="1" x14ac:dyDescent="0.3">
      <c r="A182" s="76">
        <v>179</v>
      </c>
      <c r="B182" s="76" t="s">
        <v>239</v>
      </c>
      <c r="C182" s="77" t="s">
        <v>240</v>
      </c>
      <c r="D182" s="76" t="s">
        <v>542</v>
      </c>
      <c r="E182" s="76" t="s">
        <v>161</v>
      </c>
      <c r="F182" s="76"/>
      <c r="G182" s="76"/>
      <c r="H182" s="76"/>
      <c r="I182" s="76"/>
      <c r="J182" s="76"/>
      <c r="K182" s="75">
        <v>4</v>
      </c>
      <c r="L182" s="76"/>
      <c r="M182" s="34">
        <v>4</v>
      </c>
      <c r="N182" s="34">
        <v>4</v>
      </c>
      <c r="O182" s="62"/>
      <c r="P182" s="34">
        <v>4</v>
      </c>
      <c r="Q182" s="43">
        <f t="shared" si="20"/>
        <v>4</v>
      </c>
      <c r="R182" s="34">
        <v>4</v>
      </c>
      <c r="S182" s="62"/>
      <c r="T182" s="62"/>
      <c r="U182" s="62"/>
      <c r="V182" s="62"/>
      <c r="W182" s="42">
        <f t="shared" si="21"/>
        <v>4</v>
      </c>
      <c r="X182" s="34">
        <v>4</v>
      </c>
      <c r="Y182" s="62"/>
      <c r="Z182" s="62"/>
      <c r="AA182" s="62"/>
      <c r="AB182" s="62"/>
      <c r="AC182" s="42">
        <f t="shared" si="22"/>
        <v>4</v>
      </c>
      <c r="AD182" s="34">
        <v>0</v>
      </c>
      <c r="AE182" s="62"/>
      <c r="AF182" s="62"/>
      <c r="AG182" s="62"/>
      <c r="AH182" s="62"/>
      <c r="AI182" s="42">
        <f t="shared" si="23"/>
        <v>0</v>
      </c>
      <c r="AJ182" s="62"/>
      <c r="AK182" s="34">
        <v>4</v>
      </c>
      <c r="AL182" s="62"/>
      <c r="AM182" s="62"/>
      <c r="AN182" s="62"/>
      <c r="AO182" s="43">
        <f t="shared" si="24"/>
        <v>4</v>
      </c>
      <c r="AP182" s="34">
        <v>4</v>
      </c>
      <c r="AQ182" s="34"/>
      <c r="AR182" s="34"/>
      <c r="AS182" s="34"/>
      <c r="AT182" s="34"/>
      <c r="AU182" s="42">
        <f t="shared" si="25"/>
        <v>4</v>
      </c>
      <c r="AV182" s="34"/>
      <c r="AW182" s="34"/>
      <c r="AX182" s="62"/>
      <c r="AY182" s="34">
        <v>4</v>
      </c>
      <c r="AZ182" s="34"/>
      <c r="BA182" s="43">
        <f t="shared" si="26"/>
        <v>4</v>
      </c>
    </row>
    <row r="183" spans="1:53" ht="23.1" customHeight="1" x14ac:dyDescent="0.3">
      <c r="A183" s="83">
        <v>180</v>
      </c>
      <c r="B183" s="83" t="s">
        <v>255</v>
      </c>
      <c r="C183" s="84" t="s">
        <v>256</v>
      </c>
      <c r="D183" s="83" t="s">
        <v>450</v>
      </c>
      <c r="E183" s="83" t="s">
        <v>161</v>
      </c>
      <c r="F183" s="83"/>
      <c r="G183" s="83"/>
      <c r="H183" s="83"/>
      <c r="I183" s="83"/>
      <c r="J183" s="83"/>
      <c r="K183" s="75">
        <v>5</v>
      </c>
      <c r="L183" s="83"/>
      <c r="M183" s="16">
        <v>4</v>
      </c>
      <c r="N183" s="16">
        <v>4</v>
      </c>
      <c r="O183" s="7"/>
      <c r="P183" s="16">
        <v>4</v>
      </c>
      <c r="Q183" s="43">
        <f t="shared" si="20"/>
        <v>4</v>
      </c>
      <c r="R183" s="16">
        <v>5</v>
      </c>
      <c r="S183" s="7"/>
      <c r="T183" s="7"/>
      <c r="U183" s="7"/>
      <c r="V183" s="7"/>
      <c r="W183" s="42">
        <f t="shared" si="21"/>
        <v>5</v>
      </c>
      <c r="X183" s="16">
        <v>5</v>
      </c>
      <c r="Y183" s="7"/>
      <c r="Z183" s="7"/>
      <c r="AA183" s="7"/>
      <c r="AB183" s="7"/>
      <c r="AC183" s="42">
        <f t="shared" si="22"/>
        <v>5</v>
      </c>
      <c r="AD183" s="16">
        <v>3</v>
      </c>
      <c r="AE183" s="7"/>
      <c r="AF183" s="7"/>
      <c r="AG183" s="7"/>
      <c r="AH183" s="7"/>
      <c r="AI183" s="42">
        <f t="shared" si="23"/>
        <v>3</v>
      </c>
      <c r="AJ183" s="7"/>
      <c r="AK183" s="16">
        <v>5</v>
      </c>
      <c r="AL183" s="7"/>
      <c r="AM183" s="7"/>
      <c r="AN183" s="7"/>
      <c r="AO183" s="43">
        <f t="shared" si="24"/>
        <v>5</v>
      </c>
      <c r="AP183" s="16">
        <v>5</v>
      </c>
      <c r="AQ183" s="16"/>
      <c r="AR183" s="16"/>
      <c r="AS183" s="16"/>
      <c r="AT183" s="16"/>
      <c r="AU183" s="42">
        <f t="shared" si="25"/>
        <v>5</v>
      </c>
      <c r="AV183" s="16"/>
      <c r="AW183" s="16"/>
      <c r="AX183" s="7"/>
      <c r="AY183" s="16">
        <v>4</v>
      </c>
      <c r="AZ183" s="16"/>
      <c r="BA183" s="43">
        <f t="shared" si="26"/>
        <v>4</v>
      </c>
    </row>
    <row r="184" spans="1:53" ht="23.1" customHeight="1" x14ac:dyDescent="0.3">
      <c r="A184" s="76">
        <v>181</v>
      </c>
      <c r="B184" s="76" t="s">
        <v>404</v>
      </c>
      <c r="C184" s="77" t="s">
        <v>405</v>
      </c>
      <c r="D184" s="76" t="s">
        <v>450</v>
      </c>
      <c r="E184" s="76" t="s">
        <v>493</v>
      </c>
      <c r="F184" s="76"/>
      <c r="G184" s="76"/>
      <c r="H184" s="76"/>
      <c r="I184" s="76"/>
      <c r="J184" s="76"/>
      <c r="K184" s="75">
        <v>4</v>
      </c>
      <c r="L184" s="76"/>
      <c r="M184" s="34">
        <v>3.5</v>
      </c>
      <c r="N184" s="34">
        <v>3</v>
      </c>
      <c r="O184" s="62"/>
      <c r="P184" s="34">
        <v>3</v>
      </c>
      <c r="Q184" s="43">
        <f t="shared" si="20"/>
        <v>3.1666666666666665</v>
      </c>
      <c r="R184" s="34">
        <v>4</v>
      </c>
      <c r="S184" s="62"/>
      <c r="T184" s="62"/>
      <c r="U184" s="62"/>
      <c r="V184" s="62"/>
      <c r="W184" s="42">
        <f t="shared" si="21"/>
        <v>4</v>
      </c>
      <c r="X184" s="34">
        <v>4</v>
      </c>
      <c r="Y184" s="62"/>
      <c r="Z184" s="62"/>
      <c r="AA184" s="62"/>
      <c r="AB184" s="62"/>
      <c r="AC184" s="42">
        <f t="shared" si="22"/>
        <v>4</v>
      </c>
      <c r="AD184" s="34">
        <v>2.5</v>
      </c>
      <c r="AE184" s="62"/>
      <c r="AF184" s="62"/>
      <c r="AG184" s="62"/>
      <c r="AH184" s="62"/>
      <c r="AI184" s="42">
        <f t="shared" si="23"/>
        <v>2.5</v>
      </c>
      <c r="AJ184" s="62"/>
      <c r="AK184" s="34">
        <v>3.5</v>
      </c>
      <c r="AL184" s="62"/>
      <c r="AM184" s="62"/>
      <c r="AN184" s="62"/>
      <c r="AO184" s="43">
        <f t="shared" si="24"/>
        <v>3.5</v>
      </c>
      <c r="AP184" s="34">
        <v>3</v>
      </c>
      <c r="AQ184" s="34"/>
      <c r="AR184" s="34"/>
      <c r="AS184" s="34"/>
      <c r="AT184" s="34"/>
      <c r="AU184" s="42">
        <f t="shared" si="25"/>
        <v>3</v>
      </c>
      <c r="AV184" s="34"/>
      <c r="AW184" s="34"/>
      <c r="AX184" s="62"/>
      <c r="AY184" s="34">
        <v>4</v>
      </c>
      <c r="AZ184" s="34"/>
      <c r="BA184" s="43">
        <f t="shared" si="26"/>
        <v>4</v>
      </c>
    </row>
    <row r="185" spans="1:53" ht="23.1" customHeight="1" x14ac:dyDescent="0.3">
      <c r="A185" s="83">
        <v>182</v>
      </c>
      <c r="B185" s="83" t="s">
        <v>44</v>
      </c>
      <c r="C185" s="84" t="s">
        <v>45</v>
      </c>
      <c r="D185" s="83" t="s">
        <v>450</v>
      </c>
      <c r="E185" s="83" t="s">
        <v>35</v>
      </c>
      <c r="F185" s="83"/>
      <c r="G185" s="83"/>
      <c r="H185" s="83"/>
      <c r="I185" s="83"/>
      <c r="J185" s="83"/>
      <c r="K185" s="75">
        <v>5</v>
      </c>
      <c r="L185" s="83"/>
      <c r="M185" s="16">
        <v>4</v>
      </c>
      <c r="N185" s="16">
        <v>4</v>
      </c>
      <c r="O185" s="7"/>
      <c r="P185" s="16">
        <v>4</v>
      </c>
      <c r="Q185" s="43">
        <f t="shared" si="20"/>
        <v>4</v>
      </c>
      <c r="R185" s="16">
        <v>4</v>
      </c>
      <c r="S185" s="7"/>
      <c r="T185" s="7"/>
      <c r="U185" s="7"/>
      <c r="V185" s="7"/>
      <c r="W185" s="42">
        <f t="shared" si="21"/>
        <v>4</v>
      </c>
      <c r="X185" s="16">
        <v>4</v>
      </c>
      <c r="Y185" s="7"/>
      <c r="Z185" s="7"/>
      <c r="AA185" s="7"/>
      <c r="AB185" s="7"/>
      <c r="AC185" s="42">
        <f t="shared" si="22"/>
        <v>4</v>
      </c>
      <c r="AD185" s="16">
        <v>3</v>
      </c>
      <c r="AE185" s="7"/>
      <c r="AF185" s="7"/>
      <c r="AG185" s="7"/>
      <c r="AH185" s="7"/>
      <c r="AI185" s="42">
        <f t="shared" si="23"/>
        <v>3</v>
      </c>
      <c r="AJ185" s="7"/>
      <c r="AK185" s="16">
        <v>3</v>
      </c>
      <c r="AL185" s="7"/>
      <c r="AM185" s="7"/>
      <c r="AN185" s="7"/>
      <c r="AO185" s="43">
        <f t="shared" si="24"/>
        <v>3</v>
      </c>
      <c r="AP185" s="16">
        <v>3</v>
      </c>
      <c r="AQ185" s="16"/>
      <c r="AR185" s="16"/>
      <c r="AS185" s="16"/>
      <c r="AT185" s="16"/>
      <c r="AU185" s="42">
        <f t="shared" si="25"/>
        <v>3</v>
      </c>
      <c r="AV185" s="16"/>
      <c r="AW185" s="16"/>
      <c r="AX185" s="7"/>
      <c r="AY185" s="16">
        <v>4</v>
      </c>
      <c r="AZ185" s="16"/>
      <c r="BA185" s="43">
        <f t="shared" si="26"/>
        <v>4</v>
      </c>
    </row>
    <row r="186" spans="1:53" ht="23.1" customHeight="1" x14ac:dyDescent="0.3">
      <c r="A186" s="76">
        <v>183</v>
      </c>
      <c r="B186" s="76" t="s">
        <v>406</v>
      </c>
      <c r="C186" s="77" t="s">
        <v>407</v>
      </c>
      <c r="D186" s="76" t="s">
        <v>450</v>
      </c>
      <c r="E186" s="76" t="s">
        <v>493</v>
      </c>
      <c r="F186" s="76"/>
      <c r="G186" s="76"/>
      <c r="H186" s="76"/>
      <c r="I186" s="76"/>
      <c r="J186" s="76"/>
      <c r="K186" s="75">
        <v>4</v>
      </c>
      <c r="L186" s="76"/>
      <c r="M186" s="34">
        <v>5</v>
      </c>
      <c r="N186" s="34">
        <v>5</v>
      </c>
      <c r="O186" s="62"/>
      <c r="P186" s="34">
        <v>5</v>
      </c>
      <c r="Q186" s="43">
        <f t="shared" si="20"/>
        <v>5</v>
      </c>
      <c r="R186" s="34">
        <v>4</v>
      </c>
      <c r="S186" s="62"/>
      <c r="T186" s="62"/>
      <c r="U186" s="62"/>
      <c r="V186" s="62"/>
      <c r="W186" s="42">
        <f t="shared" si="21"/>
        <v>4</v>
      </c>
      <c r="X186" s="34">
        <v>4</v>
      </c>
      <c r="Y186" s="62"/>
      <c r="Z186" s="62"/>
      <c r="AA186" s="62"/>
      <c r="AB186" s="62"/>
      <c r="AC186" s="42">
        <f t="shared" si="22"/>
        <v>4</v>
      </c>
      <c r="AD186" s="34">
        <v>5</v>
      </c>
      <c r="AE186" s="62"/>
      <c r="AF186" s="62"/>
      <c r="AG186" s="62"/>
      <c r="AH186" s="62"/>
      <c r="AI186" s="42">
        <f t="shared" si="23"/>
        <v>5</v>
      </c>
      <c r="AJ186" s="62"/>
      <c r="AK186" s="34">
        <v>4</v>
      </c>
      <c r="AL186" s="62"/>
      <c r="AM186" s="62"/>
      <c r="AN186" s="62"/>
      <c r="AO186" s="43">
        <f t="shared" si="24"/>
        <v>4</v>
      </c>
      <c r="AP186" s="34">
        <v>4</v>
      </c>
      <c r="AQ186" s="34"/>
      <c r="AR186" s="34"/>
      <c r="AS186" s="34"/>
      <c r="AT186" s="34"/>
      <c r="AU186" s="42">
        <f t="shared" si="25"/>
        <v>4</v>
      </c>
      <c r="AV186" s="34"/>
      <c r="AW186" s="34"/>
      <c r="AX186" s="62"/>
      <c r="AY186" s="34">
        <v>4</v>
      </c>
      <c r="AZ186" s="34"/>
      <c r="BA186" s="43">
        <f t="shared" si="26"/>
        <v>4</v>
      </c>
    </row>
    <row r="187" spans="1:53" ht="23.1" customHeight="1" x14ac:dyDescent="0.3">
      <c r="A187" s="83">
        <v>184</v>
      </c>
      <c r="B187" s="83" t="s">
        <v>287</v>
      </c>
      <c r="C187" s="84" t="s">
        <v>288</v>
      </c>
      <c r="D187" s="83" t="s">
        <v>450</v>
      </c>
      <c r="E187" s="83" t="s">
        <v>161</v>
      </c>
      <c r="F187" s="83"/>
      <c r="G187" s="83"/>
      <c r="H187" s="83"/>
      <c r="I187" s="83"/>
      <c r="J187" s="83"/>
      <c r="K187" s="75">
        <v>3</v>
      </c>
      <c r="L187" s="83"/>
      <c r="M187" s="16">
        <v>4</v>
      </c>
      <c r="N187" s="16">
        <v>3</v>
      </c>
      <c r="O187" s="7"/>
      <c r="P187" s="16">
        <v>3</v>
      </c>
      <c r="Q187" s="43">
        <f t="shared" si="20"/>
        <v>3.3333333333333335</v>
      </c>
      <c r="R187" s="16">
        <v>4</v>
      </c>
      <c r="S187" s="7"/>
      <c r="T187" s="7"/>
      <c r="U187" s="7"/>
      <c r="V187" s="7"/>
      <c r="W187" s="42">
        <f t="shared" si="21"/>
        <v>4</v>
      </c>
      <c r="X187" s="16">
        <v>4</v>
      </c>
      <c r="Y187" s="7"/>
      <c r="Z187" s="7"/>
      <c r="AA187" s="7"/>
      <c r="AB187" s="7"/>
      <c r="AC187" s="42">
        <f t="shared" si="22"/>
        <v>4</v>
      </c>
      <c r="AD187" s="16">
        <v>0</v>
      </c>
      <c r="AE187" s="7"/>
      <c r="AF187" s="7"/>
      <c r="AG187" s="7"/>
      <c r="AH187" s="7"/>
      <c r="AI187" s="42">
        <f t="shared" si="23"/>
        <v>0</v>
      </c>
      <c r="AJ187" s="7"/>
      <c r="AK187" s="16">
        <v>3</v>
      </c>
      <c r="AL187" s="7"/>
      <c r="AM187" s="7"/>
      <c r="AN187" s="7"/>
      <c r="AO187" s="43">
        <f t="shared" si="24"/>
        <v>3</v>
      </c>
      <c r="AP187" s="16">
        <v>3</v>
      </c>
      <c r="AQ187" s="16"/>
      <c r="AR187" s="16"/>
      <c r="AS187" s="16"/>
      <c r="AT187" s="16"/>
      <c r="AU187" s="42">
        <f t="shared" si="25"/>
        <v>3</v>
      </c>
      <c r="AV187" s="16"/>
      <c r="AW187" s="16"/>
      <c r="AX187" s="7"/>
      <c r="AY187" s="16">
        <v>4</v>
      </c>
      <c r="AZ187" s="16"/>
      <c r="BA187" s="43">
        <f t="shared" si="26"/>
        <v>4</v>
      </c>
    </row>
    <row r="188" spans="1:53" ht="23.1" customHeight="1" x14ac:dyDescent="0.3">
      <c r="A188" s="76">
        <v>185</v>
      </c>
      <c r="B188" s="76" t="s">
        <v>408</v>
      </c>
      <c r="C188" s="77" t="s">
        <v>409</v>
      </c>
      <c r="D188" s="76" t="s">
        <v>450</v>
      </c>
      <c r="E188" s="76" t="s">
        <v>493</v>
      </c>
      <c r="F188" s="76"/>
      <c r="G188" s="76"/>
      <c r="H188" s="76"/>
      <c r="I188" s="76"/>
      <c r="J188" s="76"/>
      <c r="K188" s="75">
        <v>1</v>
      </c>
      <c r="L188" s="76"/>
      <c r="M188" s="34">
        <v>3</v>
      </c>
      <c r="N188" s="34">
        <v>3</v>
      </c>
      <c r="O188" s="62"/>
      <c r="P188" s="34">
        <v>3</v>
      </c>
      <c r="Q188" s="43">
        <f t="shared" si="20"/>
        <v>3</v>
      </c>
      <c r="R188" s="34">
        <v>5</v>
      </c>
      <c r="S188" s="62"/>
      <c r="T188" s="62"/>
      <c r="U188" s="62"/>
      <c r="V188" s="62"/>
      <c r="W188" s="42">
        <f t="shared" si="21"/>
        <v>5</v>
      </c>
      <c r="X188" s="34">
        <v>5</v>
      </c>
      <c r="Y188" s="62"/>
      <c r="Z188" s="62"/>
      <c r="AA188" s="62"/>
      <c r="AB188" s="62"/>
      <c r="AC188" s="42">
        <f t="shared" si="22"/>
        <v>5</v>
      </c>
      <c r="AD188" s="34">
        <v>5</v>
      </c>
      <c r="AE188" s="62"/>
      <c r="AF188" s="62"/>
      <c r="AG188" s="62"/>
      <c r="AH188" s="62"/>
      <c r="AI188" s="42">
        <f t="shared" si="23"/>
        <v>5</v>
      </c>
      <c r="AJ188" s="62"/>
      <c r="AK188" s="34">
        <v>5</v>
      </c>
      <c r="AL188" s="62"/>
      <c r="AM188" s="62"/>
      <c r="AN188" s="62"/>
      <c r="AO188" s="43">
        <f t="shared" si="24"/>
        <v>5</v>
      </c>
      <c r="AP188" s="34">
        <v>5</v>
      </c>
      <c r="AQ188" s="34"/>
      <c r="AR188" s="34"/>
      <c r="AS188" s="34"/>
      <c r="AT188" s="34"/>
      <c r="AU188" s="42">
        <f t="shared" si="25"/>
        <v>5</v>
      </c>
      <c r="AV188" s="34"/>
      <c r="AW188" s="34"/>
      <c r="AX188" s="62"/>
      <c r="AY188" s="34">
        <v>5</v>
      </c>
      <c r="AZ188" s="34"/>
      <c r="BA188" s="43">
        <f t="shared" si="26"/>
        <v>5</v>
      </c>
    </row>
    <row r="189" spans="1:53" ht="23.1" customHeight="1" x14ac:dyDescent="0.3">
      <c r="A189" s="83">
        <v>186</v>
      </c>
      <c r="B189" s="83" t="s">
        <v>410</v>
      </c>
      <c r="C189" s="84" t="s">
        <v>411</v>
      </c>
      <c r="D189" s="83" t="s">
        <v>450</v>
      </c>
      <c r="E189" s="83" t="s">
        <v>493</v>
      </c>
      <c r="F189" s="83"/>
      <c r="G189" s="83"/>
      <c r="H189" s="83"/>
      <c r="I189" s="83"/>
      <c r="J189" s="83"/>
      <c r="K189" s="75">
        <v>2</v>
      </c>
      <c r="L189" s="83"/>
      <c r="M189" s="16">
        <v>3</v>
      </c>
      <c r="N189" s="16">
        <v>3</v>
      </c>
      <c r="O189" s="7"/>
      <c r="P189" s="16">
        <v>3</v>
      </c>
      <c r="Q189" s="43">
        <f t="shared" si="20"/>
        <v>3</v>
      </c>
      <c r="R189" s="16">
        <v>3</v>
      </c>
      <c r="S189" s="7"/>
      <c r="T189" s="7"/>
      <c r="U189" s="7"/>
      <c r="V189" s="7"/>
      <c r="W189" s="42">
        <f t="shared" si="21"/>
        <v>3</v>
      </c>
      <c r="X189" s="16">
        <v>3</v>
      </c>
      <c r="Y189" s="7"/>
      <c r="Z189" s="7"/>
      <c r="AA189" s="7"/>
      <c r="AB189" s="7"/>
      <c r="AC189" s="42">
        <f t="shared" si="22"/>
        <v>3</v>
      </c>
      <c r="AD189" s="16">
        <v>3.5</v>
      </c>
      <c r="AE189" s="7"/>
      <c r="AF189" s="7"/>
      <c r="AG189" s="7"/>
      <c r="AH189" s="7"/>
      <c r="AI189" s="42">
        <f t="shared" si="23"/>
        <v>3.5</v>
      </c>
      <c r="AJ189" s="7"/>
      <c r="AK189" s="16">
        <v>4</v>
      </c>
      <c r="AL189" s="7"/>
      <c r="AM189" s="7"/>
      <c r="AN189" s="7"/>
      <c r="AO189" s="43">
        <f t="shared" si="24"/>
        <v>4</v>
      </c>
      <c r="AP189" s="16">
        <v>3</v>
      </c>
      <c r="AQ189" s="16"/>
      <c r="AR189" s="16"/>
      <c r="AS189" s="16"/>
      <c r="AT189" s="16"/>
      <c r="AU189" s="42">
        <f t="shared" si="25"/>
        <v>3</v>
      </c>
      <c r="AV189" s="16"/>
      <c r="AW189" s="16"/>
      <c r="AX189" s="7"/>
      <c r="AY189" s="16">
        <v>4</v>
      </c>
      <c r="AZ189" s="16"/>
      <c r="BA189" s="43">
        <f t="shared" si="26"/>
        <v>4</v>
      </c>
    </row>
    <row r="190" spans="1:53" ht="23.1" customHeight="1" x14ac:dyDescent="0.3">
      <c r="A190" s="76">
        <v>187</v>
      </c>
      <c r="B190" s="76" t="s">
        <v>412</v>
      </c>
      <c r="C190" s="77" t="s">
        <v>413</v>
      </c>
      <c r="D190" s="76" t="s">
        <v>542</v>
      </c>
      <c r="E190" s="76" t="s">
        <v>493</v>
      </c>
      <c r="F190" s="76"/>
      <c r="G190" s="76"/>
      <c r="H190" s="76"/>
      <c r="I190" s="76"/>
      <c r="J190" s="76"/>
      <c r="K190" s="75">
        <v>2</v>
      </c>
      <c r="L190" s="76"/>
      <c r="M190" s="34">
        <v>4</v>
      </c>
      <c r="N190" s="34">
        <v>4</v>
      </c>
      <c r="O190" s="62"/>
      <c r="P190" s="34">
        <v>5</v>
      </c>
      <c r="Q190" s="43">
        <f t="shared" si="20"/>
        <v>4.333333333333333</v>
      </c>
      <c r="R190" s="34">
        <v>4</v>
      </c>
      <c r="S190" s="62"/>
      <c r="T190" s="62"/>
      <c r="U190" s="62"/>
      <c r="V190" s="62"/>
      <c r="W190" s="42">
        <f t="shared" si="21"/>
        <v>4</v>
      </c>
      <c r="X190" s="34">
        <v>4</v>
      </c>
      <c r="Y190" s="62"/>
      <c r="Z190" s="62"/>
      <c r="AA190" s="62"/>
      <c r="AB190" s="62"/>
      <c r="AC190" s="42">
        <f t="shared" si="22"/>
        <v>4</v>
      </c>
      <c r="AD190" s="34">
        <v>5</v>
      </c>
      <c r="AE190" s="62"/>
      <c r="AF190" s="62"/>
      <c r="AG190" s="62"/>
      <c r="AH190" s="62"/>
      <c r="AI190" s="42">
        <f t="shared" si="23"/>
        <v>5</v>
      </c>
      <c r="AJ190" s="62"/>
      <c r="AK190" s="34">
        <v>4</v>
      </c>
      <c r="AL190" s="62"/>
      <c r="AM190" s="62"/>
      <c r="AN190" s="62"/>
      <c r="AO190" s="43">
        <f t="shared" si="24"/>
        <v>4</v>
      </c>
      <c r="AP190" s="34">
        <v>5</v>
      </c>
      <c r="AQ190" s="34"/>
      <c r="AR190" s="34"/>
      <c r="AS190" s="34"/>
      <c r="AT190" s="34"/>
      <c r="AU190" s="42">
        <f t="shared" si="25"/>
        <v>5</v>
      </c>
      <c r="AV190" s="34"/>
      <c r="AW190" s="34"/>
      <c r="AX190" s="62"/>
      <c r="AY190" s="34">
        <v>5</v>
      </c>
      <c r="AZ190" s="34"/>
      <c r="BA190" s="43">
        <f t="shared" si="26"/>
        <v>5</v>
      </c>
    </row>
    <row r="191" spans="1:53" ht="23.1" customHeight="1" x14ac:dyDescent="0.3">
      <c r="A191" s="83">
        <v>188</v>
      </c>
      <c r="B191" s="83" t="s">
        <v>148</v>
      </c>
      <c r="C191" s="84" t="s">
        <v>149</v>
      </c>
      <c r="D191" s="83" t="s">
        <v>542</v>
      </c>
      <c r="E191" s="83" t="s">
        <v>35</v>
      </c>
      <c r="F191" s="83"/>
      <c r="G191" s="83"/>
      <c r="H191" s="83"/>
      <c r="I191" s="83"/>
      <c r="J191" s="83"/>
      <c r="K191" s="75">
        <v>2</v>
      </c>
      <c r="L191" s="83"/>
      <c r="M191" s="16">
        <v>3</v>
      </c>
      <c r="N191" s="16">
        <v>3</v>
      </c>
      <c r="O191" s="7"/>
      <c r="P191" s="16">
        <v>2</v>
      </c>
      <c r="Q191" s="43">
        <f t="shared" si="20"/>
        <v>2.6666666666666665</v>
      </c>
      <c r="R191" s="16">
        <v>3</v>
      </c>
      <c r="S191" s="7"/>
      <c r="T191" s="7"/>
      <c r="U191" s="7"/>
      <c r="V191" s="7"/>
      <c r="W191" s="42">
        <f t="shared" si="21"/>
        <v>3</v>
      </c>
      <c r="X191" s="16">
        <v>3</v>
      </c>
      <c r="Y191" s="7"/>
      <c r="Z191" s="7"/>
      <c r="AA191" s="7"/>
      <c r="AB191" s="7"/>
      <c r="AC191" s="42">
        <f t="shared" si="22"/>
        <v>3</v>
      </c>
      <c r="AD191" s="16">
        <v>2</v>
      </c>
      <c r="AE191" s="7"/>
      <c r="AF191" s="7"/>
      <c r="AG191" s="7"/>
      <c r="AH191" s="7"/>
      <c r="AI191" s="42">
        <f t="shared" si="23"/>
        <v>2</v>
      </c>
      <c r="AJ191" s="7"/>
      <c r="AK191" s="16">
        <v>3</v>
      </c>
      <c r="AL191" s="7"/>
      <c r="AM191" s="7"/>
      <c r="AN191" s="7"/>
      <c r="AO191" s="43">
        <f t="shared" si="24"/>
        <v>3</v>
      </c>
      <c r="AP191" s="16">
        <v>2</v>
      </c>
      <c r="AQ191" s="16"/>
      <c r="AR191" s="16"/>
      <c r="AS191" s="16"/>
      <c r="AT191" s="16"/>
      <c r="AU191" s="42">
        <f t="shared" si="25"/>
        <v>2</v>
      </c>
      <c r="AV191" s="16"/>
      <c r="AW191" s="16"/>
      <c r="AX191" s="7"/>
      <c r="AY191" s="16">
        <v>3</v>
      </c>
      <c r="AZ191" s="16"/>
      <c r="BA191" s="43">
        <f t="shared" si="26"/>
        <v>3</v>
      </c>
    </row>
    <row r="192" spans="1:53" ht="23.1" customHeight="1" x14ac:dyDescent="0.3">
      <c r="A192" s="76">
        <v>189</v>
      </c>
      <c r="B192" s="76" t="s">
        <v>414</v>
      </c>
      <c r="C192" s="77" t="s">
        <v>415</v>
      </c>
      <c r="D192" s="76" t="s">
        <v>450</v>
      </c>
      <c r="E192" s="76" t="s">
        <v>493</v>
      </c>
      <c r="F192" s="76"/>
      <c r="G192" s="76"/>
      <c r="H192" s="76"/>
      <c r="I192" s="76"/>
      <c r="J192" s="76"/>
      <c r="K192" s="75">
        <v>2</v>
      </c>
      <c r="L192" s="76"/>
      <c r="M192" s="34">
        <v>3.5</v>
      </c>
      <c r="N192" s="34">
        <v>3.5</v>
      </c>
      <c r="O192" s="62"/>
      <c r="P192" s="34">
        <v>3.5</v>
      </c>
      <c r="Q192" s="43">
        <f t="shared" si="20"/>
        <v>3.5</v>
      </c>
      <c r="R192" s="34">
        <v>4</v>
      </c>
      <c r="S192" s="62"/>
      <c r="T192" s="62"/>
      <c r="U192" s="62"/>
      <c r="V192" s="62"/>
      <c r="W192" s="42">
        <f t="shared" si="21"/>
        <v>4</v>
      </c>
      <c r="X192" s="34">
        <v>4</v>
      </c>
      <c r="Y192" s="62"/>
      <c r="Z192" s="62"/>
      <c r="AA192" s="62"/>
      <c r="AB192" s="62"/>
      <c r="AC192" s="42">
        <f t="shared" si="22"/>
        <v>4</v>
      </c>
      <c r="AD192" s="34">
        <v>3.5</v>
      </c>
      <c r="AE192" s="62"/>
      <c r="AF192" s="62"/>
      <c r="AG192" s="62"/>
      <c r="AH192" s="62"/>
      <c r="AI192" s="42">
        <f t="shared" si="23"/>
        <v>3.5</v>
      </c>
      <c r="AJ192" s="62"/>
      <c r="AK192" s="34">
        <v>3.5</v>
      </c>
      <c r="AL192" s="62"/>
      <c r="AM192" s="62"/>
      <c r="AN192" s="62"/>
      <c r="AO192" s="43">
        <f t="shared" si="24"/>
        <v>3.5</v>
      </c>
      <c r="AP192" s="34">
        <v>4</v>
      </c>
      <c r="AQ192" s="34"/>
      <c r="AR192" s="34"/>
      <c r="AS192" s="34"/>
      <c r="AT192" s="34"/>
      <c r="AU192" s="42">
        <f t="shared" si="25"/>
        <v>4</v>
      </c>
      <c r="AV192" s="34"/>
      <c r="AW192" s="34"/>
      <c r="AX192" s="62"/>
      <c r="AY192" s="34">
        <v>4</v>
      </c>
      <c r="AZ192" s="34"/>
      <c r="BA192" s="43">
        <f t="shared" si="26"/>
        <v>4</v>
      </c>
    </row>
    <row r="193" spans="1:53" ht="23.1" customHeight="1" x14ac:dyDescent="0.3">
      <c r="A193" s="83">
        <v>190</v>
      </c>
      <c r="B193" s="83" t="s">
        <v>416</v>
      </c>
      <c r="C193" s="84" t="s">
        <v>417</v>
      </c>
      <c r="D193" s="83" t="s">
        <v>542</v>
      </c>
      <c r="E193" s="83" t="s">
        <v>289</v>
      </c>
      <c r="F193" s="83"/>
      <c r="G193" s="83"/>
      <c r="H193" s="83"/>
      <c r="I193" s="83"/>
      <c r="J193" s="83"/>
      <c r="K193" s="75">
        <v>3</v>
      </c>
      <c r="L193" s="83"/>
      <c r="M193" s="16">
        <v>3</v>
      </c>
      <c r="N193" s="16">
        <v>4</v>
      </c>
      <c r="O193" s="7"/>
      <c r="P193" s="16">
        <v>4</v>
      </c>
      <c r="Q193" s="43">
        <f t="shared" si="20"/>
        <v>3.6666666666666665</v>
      </c>
      <c r="R193" s="16">
        <v>4</v>
      </c>
      <c r="S193" s="7"/>
      <c r="T193" s="7"/>
      <c r="U193" s="7"/>
      <c r="V193" s="7"/>
      <c r="W193" s="42">
        <f t="shared" si="21"/>
        <v>4</v>
      </c>
      <c r="X193" s="16">
        <v>4</v>
      </c>
      <c r="Y193" s="7"/>
      <c r="Z193" s="7"/>
      <c r="AA193" s="7"/>
      <c r="AB193" s="7"/>
      <c r="AC193" s="42">
        <f t="shared" si="22"/>
        <v>4</v>
      </c>
      <c r="AD193" s="16">
        <v>4</v>
      </c>
      <c r="AE193" s="7"/>
      <c r="AF193" s="7"/>
      <c r="AG193" s="7"/>
      <c r="AH193" s="7"/>
      <c r="AI193" s="42">
        <f t="shared" si="23"/>
        <v>4</v>
      </c>
      <c r="AJ193" s="7"/>
      <c r="AK193" s="16">
        <v>4</v>
      </c>
      <c r="AL193" s="7"/>
      <c r="AM193" s="7"/>
      <c r="AN193" s="7"/>
      <c r="AO193" s="43">
        <f t="shared" si="24"/>
        <v>4</v>
      </c>
      <c r="AP193" s="16">
        <v>4</v>
      </c>
      <c r="AQ193" s="16"/>
      <c r="AR193" s="16"/>
      <c r="AS193" s="16"/>
      <c r="AT193" s="16"/>
      <c r="AU193" s="42">
        <f t="shared" si="25"/>
        <v>4</v>
      </c>
      <c r="AV193" s="16"/>
      <c r="AW193" s="16"/>
      <c r="AX193" s="7"/>
      <c r="AY193" s="16">
        <v>4</v>
      </c>
      <c r="AZ193" s="16"/>
      <c r="BA193" s="43">
        <f t="shared" si="26"/>
        <v>4</v>
      </c>
    </row>
    <row r="194" spans="1:53" ht="23.1" customHeight="1" x14ac:dyDescent="0.3">
      <c r="A194" s="76">
        <v>191</v>
      </c>
      <c r="B194" s="76" t="s">
        <v>418</v>
      </c>
      <c r="C194" s="77" t="s">
        <v>419</v>
      </c>
      <c r="D194" s="76" t="s">
        <v>450</v>
      </c>
      <c r="E194" s="76" t="s">
        <v>493</v>
      </c>
      <c r="F194" s="76"/>
      <c r="G194" s="76"/>
      <c r="H194" s="76"/>
      <c r="I194" s="76"/>
      <c r="J194" s="76"/>
      <c r="K194" s="75">
        <v>4</v>
      </c>
      <c r="L194" s="76"/>
      <c r="M194" s="34">
        <v>3</v>
      </c>
      <c r="N194" s="34">
        <v>3</v>
      </c>
      <c r="O194" s="62"/>
      <c r="P194" s="34">
        <v>4</v>
      </c>
      <c r="Q194" s="43">
        <f t="shared" si="20"/>
        <v>3.3333333333333335</v>
      </c>
      <c r="R194" s="34">
        <v>5</v>
      </c>
      <c r="S194" s="62"/>
      <c r="T194" s="62"/>
      <c r="U194" s="62"/>
      <c r="V194" s="62"/>
      <c r="W194" s="42">
        <f t="shared" si="21"/>
        <v>5</v>
      </c>
      <c r="X194" s="34">
        <v>5</v>
      </c>
      <c r="Y194" s="62"/>
      <c r="Z194" s="62"/>
      <c r="AA194" s="62"/>
      <c r="AB194" s="62"/>
      <c r="AC194" s="42">
        <f t="shared" si="22"/>
        <v>5</v>
      </c>
      <c r="AD194" s="34">
        <v>5</v>
      </c>
      <c r="AE194" s="62"/>
      <c r="AF194" s="62"/>
      <c r="AG194" s="62"/>
      <c r="AH194" s="62"/>
      <c r="AI194" s="42">
        <f t="shared" si="23"/>
        <v>5</v>
      </c>
      <c r="AJ194" s="62"/>
      <c r="AK194" s="34">
        <v>4</v>
      </c>
      <c r="AL194" s="62"/>
      <c r="AM194" s="62"/>
      <c r="AN194" s="62"/>
      <c r="AO194" s="43">
        <f t="shared" si="24"/>
        <v>4</v>
      </c>
      <c r="AP194" s="34">
        <v>5</v>
      </c>
      <c r="AQ194" s="34"/>
      <c r="AR194" s="34"/>
      <c r="AS194" s="34"/>
      <c r="AT194" s="34"/>
      <c r="AU194" s="42">
        <f t="shared" si="25"/>
        <v>5</v>
      </c>
      <c r="AV194" s="34"/>
      <c r="AW194" s="34"/>
      <c r="AX194" s="62"/>
      <c r="AY194" s="34">
        <v>5</v>
      </c>
      <c r="AZ194" s="34"/>
      <c r="BA194" s="43">
        <f t="shared" si="26"/>
        <v>5</v>
      </c>
    </row>
    <row r="195" spans="1:53" ht="23.1" customHeight="1" x14ac:dyDescent="0.3">
      <c r="A195" s="83">
        <v>192</v>
      </c>
      <c r="B195" s="83" t="s">
        <v>420</v>
      </c>
      <c r="C195" s="84" t="s">
        <v>421</v>
      </c>
      <c r="D195" s="83" t="s">
        <v>450</v>
      </c>
      <c r="E195" s="83" t="s">
        <v>493</v>
      </c>
      <c r="F195" s="83"/>
      <c r="G195" s="83"/>
      <c r="H195" s="83"/>
      <c r="I195" s="83"/>
      <c r="J195" s="83"/>
      <c r="K195" s="75">
        <v>3</v>
      </c>
      <c r="L195" s="83"/>
      <c r="M195" s="16">
        <v>3</v>
      </c>
      <c r="N195" s="16">
        <v>3</v>
      </c>
      <c r="O195" s="7"/>
      <c r="P195" s="16">
        <v>3</v>
      </c>
      <c r="Q195" s="43">
        <f t="shared" si="20"/>
        <v>3</v>
      </c>
      <c r="R195" s="16">
        <v>3</v>
      </c>
      <c r="S195" s="7"/>
      <c r="T195" s="7"/>
      <c r="U195" s="7"/>
      <c r="V195" s="7"/>
      <c r="W195" s="42">
        <f t="shared" si="21"/>
        <v>3</v>
      </c>
      <c r="X195" s="16">
        <v>3</v>
      </c>
      <c r="Y195" s="7"/>
      <c r="Z195" s="7"/>
      <c r="AA195" s="7"/>
      <c r="AB195" s="7"/>
      <c r="AC195" s="42">
        <f t="shared" si="22"/>
        <v>3</v>
      </c>
      <c r="AD195" s="16">
        <v>2</v>
      </c>
      <c r="AE195" s="7"/>
      <c r="AF195" s="7"/>
      <c r="AG195" s="7"/>
      <c r="AH195" s="7"/>
      <c r="AI195" s="42">
        <f t="shared" si="23"/>
        <v>2</v>
      </c>
      <c r="AJ195" s="7"/>
      <c r="AK195" s="16">
        <v>3</v>
      </c>
      <c r="AL195" s="7"/>
      <c r="AM195" s="7"/>
      <c r="AN195" s="7"/>
      <c r="AO195" s="43">
        <f t="shared" si="24"/>
        <v>3</v>
      </c>
      <c r="AP195" s="16">
        <v>3</v>
      </c>
      <c r="AQ195" s="16"/>
      <c r="AR195" s="16"/>
      <c r="AS195" s="16"/>
      <c r="AT195" s="16"/>
      <c r="AU195" s="42">
        <f t="shared" si="25"/>
        <v>3</v>
      </c>
      <c r="AV195" s="16"/>
      <c r="AW195" s="16"/>
      <c r="AX195" s="7"/>
      <c r="AY195" s="16">
        <v>3</v>
      </c>
      <c r="AZ195" s="16"/>
      <c r="BA195" s="43">
        <f t="shared" si="26"/>
        <v>3</v>
      </c>
    </row>
    <row r="196" spans="1:53" ht="23.1" customHeight="1" x14ac:dyDescent="0.3">
      <c r="A196" s="76">
        <v>193</v>
      </c>
      <c r="B196" s="76" t="s">
        <v>422</v>
      </c>
      <c r="C196" s="77" t="s">
        <v>423</v>
      </c>
      <c r="D196" s="76" t="s">
        <v>450</v>
      </c>
      <c r="E196" s="76" t="s">
        <v>493</v>
      </c>
      <c r="F196" s="76"/>
      <c r="G196" s="76"/>
      <c r="H196" s="76"/>
      <c r="I196" s="76"/>
      <c r="J196" s="76"/>
      <c r="K196" s="75">
        <v>4</v>
      </c>
      <c r="L196" s="76"/>
      <c r="M196" s="34">
        <v>3</v>
      </c>
      <c r="N196" s="34">
        <v>3</v>
      </c>
      <c r="O196" s="62"/>
      <c r="P196" s="34">
        <v>3</v>
      </c>
      <c r="Q196" s="43">
        <f t="shared" si="20"/>
        <v>3</v>
      </c>
      <c r="R196" s="34">
        <v>3</v>
      </c>
      <c r="S196" s="62"/>
      <c r="T196" s="62"/>
      <c r="U196" s="62"/>
      <c r="V196" s="62"/>
      <c r="W196" s="42">
        <f t="shared" si="21"/>
        <v>3</v>
      </c>
      <c r="X196" s="34">
        <v>3</v>
      </c>
      <c r="Y196" s="62"/>
      <c r="Z196" s="62"/>
      <c r="AA196" s="62"/>
      <c r="AB196" s="62"/>
      <c r="AC196" s="42">
        <f t="shared" si="22"/>
        <v>3</v>
      </c>
      <c r="AD196" s="34">
        <v>2</v>
      </c>
      <c r="AE196" s="62"/>
      <c r="AF196" s="62"/>
      <c r="AG196" s="62"/>
      <c r="AH196" s="62"/>
      <c r="AI196" s="42">
        <f t="shared" si="23"/>
        <v>2</v>
      </c>
      <c r="AJ196" s="62"/>
      <c r="AK196" s="34">
        <v>3</v>
      </c>
      <c r="AL196" s="62"/>
      <c r="AM196" s="62"/>
      <c r="AN196" s="62"/>
      <c r="AO196" s="43">
        <f t="shared" si="24"/>
        <v>3</v>
      </c>
      <c r="AP196" s="34">
        <v>3</v>
      </c>
      <c r="AQ196" s="34"/>
      <c r="AR196" s="34"/>
      <c r="AS196" s="34"/>
      <c r="AT196" s="34"/>
      <c r="AU196" s="42">
        <f t="shared" si="25"/>
        <v>3</v>
      </c>
      <c r="AV196" s="34"/>
      <c r="AW196" s="34"/>
      <c r="AX196" s="62"/>
      <c r="AY196" s="34">
        <v>3</v>
      </c>
      <c r="AZ196" s="34"/>
      <c r="BA196" s="43">
        <f t="shared" si="26"/>
        <v>3</v>
      </c>
    </row>
    <row r="197" spans="1:53" ht="23.1" customHeight="1" x14ac:dyDescent="0.3">
      <c r="A197" s="83">
        <v>194</v>
      </c>
      <c r="B197" s="83" t="s">
        <v>424</v>
      </c>
      <c r="C197" s="84" t="s">
        <v>425</v>
      </c>
      <c r="D197" s="83" t="s">
        <v>450</v>
      </c>
      <c r="E197" s="83" t="s">
        <v>493</v>
      </c>
      <c r="F197" s="83"/>
      <c r="G197" s="83"/>
      <c r="H197" s="83"/>
      <c r="I197" s="83"/>
      <c r="J197" s="83"/>
      <c r="K197" s="75">
        <v>4</v>
      </c>
      <c r="L197" s="83"/>
      <c r="M197" s="16">
        <v>3.5</v>
      </c>
      <c r="N197" s="16">
        <v>3.5</v>
      </c>
      <c r="O197" s="7"/>
      <c r="P197" s="16">
        <v>3</v>
      </c>
      <c r="Q197" s="43">
        <f t="shared" ref="Q197:Q231" si="27">IFERROR(AVERAGE(M197,N197,P197),"0")</f>
        <v>3.3333333333333335</v>
      </c>
      <c r="R197" s="16">
        <v>2.5</v>
      </c>
      <c r="S197" s="7"/>
      <c r="T197" s="7"/>
      <c r="U197" s="7"/>
      <c r="V197" s="7"/>
      <c r="W197" s="42">
        <f t="shared" ref="W197:W231" si="28">R197</f>
        <v>2.5</v>
      </c>
      <c r="X197" s="16">
        <v>2.5</v>
      </c>
      <c r="Y197" s="7"/>
      <c r="Z197" s="7"/>
      <c r="AA197" s="7"/>
      <c r="AB197" s="7"/>
      <c r="AC197" s="42">
        <f t="shared" ref="AC197:AC231" si="29">X197</f>
        <v>2.5</v>
      </c>
      <c r="AD197" s="16">
        <v>2.5</v>
      </c>
      <c r="AE197" s="7"/>
      <c r="AF197" s="7"/>
      <c r="AG197" s="7"/>
      <c r="AH197" s="7"/>
      <c r="AI197" s="42">
        <f t="shared" ref="AI197:AI231" si="30">AD197</f>
        <v>2.5</v>
      </c>
      <c r="AJ197" s="7"/>
      <c r="AK197" s="16">
        <v>2.5</v>
      </c>
      <c r="AL197" s="7"/>
      <c r="AM197" s="7"/>
      <c r="AN197" s="7"/>
      <c r="AO197" s="43">
        <f t="shared" ref="AO197:AO231" si="31">AK197</f>
        <v>2.5</v>
      </c>
      <c r="AP197" s="16">
        <v>2.5</v>
      </c>
      <c r="AQ197" s="16"/>
      <c r="AR197" s="16"/>
      <c r="AS197" s="16"/>
      <c r="AT197" s="16"/>
      <c r="AU197" s="42">
        <f t="shared" ref="AU197:AU231" si="32">AP197</f>
        <v>2.5</v>
      </c>
      <c r="AV197" s="16"/>
      <c r="AW197" s="16"/>
      <c r="AX197" s="7"/>
      <c r="AY197" s="16">
        <v>2.5</v>
      </c>
      <c r="AZ197" s="16"/>
      <c r="BA197" s="43">
        <f t="shared" ref="BA197:BA231" si="33">IFERROR(AVERAGE(AY197,AZ197),"0")</f>
        <v>2.5</v>
      </c>
    </row>
    <row r="198" spans="1:53" ht="23.1" customHeight="1" x14ac:dyDescent="0.3">
      <c r="A198" s="76">
        <v>195</v>
      </c>
      <c r="B198" s="76" t="s">
        <v>426</v>
      </c>
      <c r="C198" s="77" t="s">
        <v>427</v>
      </c>
      <c r="D198" s="76" t="s">
        <v>450</v>
      </c>
      <c r="E198" s="76" t="s">
        <v>289</v>
      </c>
      <c r="F198" s="76"/>
      <c r="G198" s="76"/>
      <c r="H198" s="76"/>
      <c r="I198" s="76"/>
      <c r="J198" s="76"/>
      <c r="K198" s="75">
        <v>3</v>
      </c>
      <c r="L198" s="76"/>
      <c r="M198" s="34">
        <v>3</v>
      </c>
      <c r="N198" s="34">
        <v>3</v>
      </c>
      <c r="O198" s="62"/>
      <c r="P198" s="34">
        <v>3</v>
      </c>
      <c r="Q198" s="43">
        <f t="shared" si="27"/>
        <v>3</v>
      </c>
      <c r="R198" s="34">
        <v>4</v>
      </c>
      <c r="S198" s="62"/>
      <c r="T198" s="62"/>
      <c r="U198" s="62"/>
      <c r="V198" s="62"/>
      <c r="W198" s="42">
        <f t="shared" si="28"/>
        <v>4</v>
      </c>
      <c r="X198" s="34">
        <v>4</v>
      </c>
      <c r="Y198" s="62"/>
      <c r="Z198" s="62"/>
      <c r="AA198" s="62"/>
      <c r="AB198" s="62"/>
      <c r="AC198" s="42">
        <f t="shared" si="29"/>
        <v>4</v>
      </c>
      <c r="AD198" s="34">
        <v>3</v>
      </c>
      <c r="AE198" s="62"/>
      <c r="AF198" s="62"/>
      <c r="AG198" s="62"/>
      <c r="AH198" s="62"/>
      <c r="AI198" s="42">
        <f t="shared" si="30"/>
        <v>3</v>
      </c>
      <c r="AJ198" s="62"/>
      <c r="AK198" s="34">
        <v>4</v>
      </c>
      <c r="AL198" s="62"/>
      <c r="AM198" s="62"/>
      <c r="AN198" s="62"/>
      <c r="AO198" s="43">
        <f t="shared" si="31"/>
        <v>4</v>
      </c>
      <c r="AP198" s="34">
        <v>4</v>
      </c>
      <c r="AQ198" s="34"/>
      <c r="AR198" s="34"/>
      <c r="AS198" s="34"/>
      <c r="AT198" s="34"/>
      <c r="AU198" s="42">
        <f t="shared" si="32"/>
        <v>4</v>
      </c>
      <c r="AV198" s="34"/>
      <c r="AW198" s="34"/>
      <c r="AX198" s="62"/>
      <c r="AY198" s="34">
        <v>4</v>
      </c>
      <c r="AZ198" s="34"/>
      <c r="BA198" s="43">
        <f t="shared" si="33"/>
        <v>4</v>
      </c>
    </row>
    <row r="199" spans="1:53" ht="23.1" customHeight="1" x14ac:dyDescent="0.3">
      <c r="A199" s="83">
        <v>196</v>
      </c>
      <c r="B199" s="83" t="s">
        <v>428</v>
      </c>
      <c r="C199" s="84" t="s">
        <v>429</v>
      </c>
      <c r="D199" s="83" t="s">
        <v>450</v>
      </c>
      <c r="E199" s="83" t="s">
        <v>493</v>
      </c>
      <c r="F199" s="83"/>
      <c r="G199" s="83"/>
      <c r="H199" s="83"/>
      <c r="I199" s="83"/>
      <c r="J199" s="83"/>
      <c r="K199" s="75">
        <v>4</v>
      </c>
      <c r="L199" s="83"/>
      <c r="M199" s="16">
        <v>4</v>
      </c>
      <c r="N199" s="16">
        <v>4</v>
      </c>
      <c r="O199" s="7"/>
      <c r="P199" s="16">
        <v>4</v>
      </c>
      <c r="Q199" s="43">
        <f t="shared" si="27"/>
        <v>4</v>
      </c>
      <c r="R199" s="16">
        <v>4</v>
      </c>
      <c r="S199" s="7"/>
      <c r="T199" s="7"/>
      <c r="U199" s="7"/>
      <c r="V199" s="7"/>
      <c r="W199" s="42">
        <f t="shared" si="28"/>
        <v>4</v>
      </c>
      <c r="X199" s="16">
        <v>4</v>
      </c>
      <c r="Y199" s="7"/>
      <c r="Z199" s="7"/>
      <c r="AA199" s="7"/>
      <c r="AB199" s="7"/>
      <c r="AC199" s="42">
        <f t="shared" si="29"/>
        <v>4</v>
      </c>
      <c r="AD199" s="16">
        <v>4</v>
      </c>
      <c r="AE199" s="7"/>
      <c r="AF199" s="7"/>
      <c r="AG199" s="7"/>
      <c r="AH199" s="7"/>
      <c r="AI199" s="42">
        <f t="shared" si="30"/>
        <v>4</v>
      </c>
      <c r="AJ199" s="7"/>
      <c r="AK199" s="16">
        <v>4</v>
      </c>
      <c r="AL199" s="7"/>
      <c r="AM199" s="7"/>
      <c r="AN199" s="7"/>
      <c r="AO199" s="43">
        <f t="shared" si="31"/>
        <v>4</v>
      </c>
      <c r="AP199" s="16">
        <v>4</v>
      </c>
      <c r="AQ199" s="16"/>
      <c r="AR199" s="16"/>
      <c r="AS199" s="16"/>
      <c r="AT199" s="16"/>
      <c r="AU199" s="42">
        <f t="shared" si="32"/>
        <v>4</v>
      </c>
      <c r="AV199" s="16"/>
      <c r="AW199" s="16"/>
      <c r="AX199" s="7"/>
      <c r="AY199" s="16">
        <v>4</v>
      </c>
      <c r="AZ199" s="16"/>
      <c r="BA199" s="43">
        <f t="shared" si="33"/>
        <v>4</v>
      </c>
    </row>
    <row r="200" spans="1:53" ht="23.1" customHeight="1" x14ac:dyDescent="0.3">
      <c r="A200" s="76">
        <v>197</v>
      </c>
      <c r="B200" s="76" t="s">
        <v>430</v>
      </c>
      <c r="C200" s="77" t="s">
        <v>431</v>
      </c>
      <c r="D200" s="76" t="s">
        <v>542</v>
      </c>
      <c r="E200" s="76" t="s">
        <v>493</v>
      </c>
      <c r="F200" s="76"/>
      <c r="G200" s="76"/>
      <c r="H200" s="76"/>
      <c r="I200" s="76"/>
      <c r="J200" s="76"/>
      <c r="K200" s="75">
        <v>3</v>
      </c>
      <c r="L200" s="76"/>
      <c r="M200" s="34">
        <v>4</v>
      </c>
      <c r="N200" s="34">
        <v>4.5</v>
      </c>
      <c r="O200" s="62"/>
      <c r="P200" s="34">
        <v>4</v>
      </c>
      <c r="Q200" s="43">
        <f t="shared" si="27"/>
        <v>4.166666666666667</v>
      </c>
      <c r="R200" s="34">
        <v>3.5</v>
      </c>
      <c r="S200" s="62"/>
      <c r="T200" s="62"/>
      <c r="U200" s="62"/>
      <c r="V200" s="62"/>
      <c r="W200" s="42">
        <f t="shared" si="28"/>
        <v>3.5</v>
      </c>
      <c r="X200" s="34">
        <v>3.5</v>
      </c>
      <c r="Y200" s="62"/>
      <c r="Z200" s="62"/>
      <c r="AA200" s="62"/>
      <c r="AB200" s="62"/>
      <c r="AC200" s="42">
        <f t="shared" si="29"/>
        <v>3.5</v>
      </c>
      <c r="AD200" s="34">
        <v>4</v>
      </c>
      <c r="AE200" s="62"/>
      <c r="AF200" s="62"/>
      <c r="AG200" s="62"/>
      <c r="AH200" s="62"/>
      <c r="AI200" s="42">
        <f t="shared" si="30"/>
        <v>4</v>
      </c>
      <c r="AJ200" s="62"/>
      <c r="AK200" s="34">
        <v>4</v>
      </c>
      <c r="AL200" s="62"/>
      <c r="AM200" s="62"/>
      <c r="AN200" s="62"/>
      <c r="AO200" s="43">
        <f t="shared" si="31"/>
        <v>4</v>
      </c>
      <c r="AP200" s="34">
        <v>4</v>
      </c>
      <c r="AQ200" s="34"/>
      <c r="AR200" s="34"/>
      <c r="AS200" s="34"/>
      <c r="AT200" s="34"/>
      <c r="AU200" s="42">
        <f t="shared" si="32"/>
        <v>4</v>
      </c>
      <c r="AV200" s="34"/>
      <c r="AW200" s="34"/>
      <c r="AX200" s="62"/>
      <c r="AY200" s="34">
        <v>4</v>
      </c>
      <c r="AZ200" s="34"/>
      <c r="BA200" s="43">
        <f t="shared" si="33"/>
        <v>4</v>
      </c>
    </row>
    <row r="201" spans="1:53" ht="23.1" customHeight="1" x14ac:dyDescent="0.3">
      <c r="A201" s="83">
        <v>198</v>
      </c>
      <c r="B201" s="83" t="s">
        <v>176</v>
      </c>
      <c r="C201" s="84" t="s">
        <v>177</v>
      </c>
      <c r="D201" s="83" t="s">
        <v>542</v>
      </c>
      <c r="E201" s="83" t="s">
        <v>161</v>
      </c>
      <c r="F201" s="83"/>
      <c r="G201" s="83"/>
      <c r="H201" s="83"/>
      <c r="I201" s="83"/>
      <c r="J201" s="83"/>
      <c r="K201" s="75">
        <v>0</v>
      </c>
      <c r="L201" s="83"/>
      <c r="M201" s="16">
        <v>2</v>
      </c>
      <c r="N201" s="16">
        <v>2</v>
      </c>
      <c r="O201" s="7"/>
      <c r="P201" s="16">
        <v>2</v>
      </c>
      <c r="Q201" s="43">
        <f t="shared" si="27"/>
        <v>2</v>
      </c>
      <c r="R201" s="16">
        <v>3</v>
      </c>
      <c r="S201" s="7"/>
      <c r="T201" s="7"/>
      <c r="U201" s="7"/>
      <c r="V201" s="7"/>
      <c r="W201" s="42">
        <f t="shared" si="28"/>
        <v>3</v>
      </c>
      <c r="X201" s="16">
        <v>3</v>
      </c>
      <c r="Y201" s="7"/>
      <c r="Z201" s="7"/>
      <c r="AA201" s="7"/>
      <c r="AB201" s="7"/>
      <c r="AC201" s="42">
        <f t="shared" si="29"/>
        <v>3</v>
      </c>
      <c r="AD201" s="16">
        <v>0</v>
      </c>
      <c r="AE201" s="7"/>
      <c r="AF201" s="7"/>
      <c r="AG201" s="7"/>
      <c r="AH201" s="7"/>
      <c r="AI201" s="42">
        <f t="shared" si="30"/>
        <v>0</v>
      </c>
      <c r="AJ201" s="7"/>
      <c r="AK201" s="16">
        <v>3</v>
      </c>
      <c r="AL201" s="7"/>
      <c r="AM201" s="7"/>
      <c r="AN201" s="7"/>
      <c r="AO201" s="43">
        <f t="shared" si="31"/>
        <v>3</v>
      </c>
      <c r="AP201" s="16">
        <v>3</v>
      </c>
      <c r="AQ201" s="16"/>
      <c r="AR201" s="16"/>
      <c r="AS201" s="16"/>
      <c r="AT201" s="16"/>
      <c r="AU201" s="42">
        <f t="shared" si="32"/>
        <v>3</v>
      </c>
      <c r="AV201" s="16"/>
      <c r="AW201" s="16"/>
      <c r="AX201" s="7"/>
      <c r="AY201" s="16">
        <v>4</v>
      </c>
      <c r="AZ201" s="16"/>
      <c r="BA201" s="43">
        <f t="shared" si="33"/>
        <v>4</v>
      </c>
    </row>
    <row r="202" spans="1:53" ht="23.1" customHeight="1" x14ac:dyDescent="0.3">
      <c r="A202" s="76">
        <v>199</v>
      </c>
      <c r="B202" s="76" t="s">
        <v>432</v>
      </c>
      <c r="C202" s="77" t="s">
        <v>433</v>
      </c>
      <c r="D202" s="76" t="s">
        <v>542</v>
      </c>
      <c r="E202" s="76" t="s">
        <v>289</v>
      </c>
      <c r="F202" s="81"/>
      <c r="G202" s="81"/>
      <c r="H202" s="81"/>
      <c r="I202" s="81"/>
      <c r="J202" s="81"/>
      <c r="K202" s="75">
        <v>3</v>
      </c>
      <c r="L202" s="81"/>
      <c r="M202" s="34">
        <v>4</v>
      </c>
      <c r="N202" s="34">
        <v>4</v>
      </c>
      <c r="O202" s="58"/>
      <c r="P202" s="34">
        <v>4</v>
      </c>
      <c r="Q202" s="43">
        <f t="shared" si="27"/>
        <v>4</v>
      </c>
      <c r="R202" s="34">
        <v>4</v>
      </c>
      <c r="S202" s="58"/>
      <c r="T202" s="58"/>
      <c r="U202" s="58"/>
      <c r="V202" s="58"/>
      <c r="W202" s="42">
        <f t="shared" si="28"/>
        <v>4</v>
      </c>
      <c r="X202" s="34">
        <v>4</v>
      </c>
      <c r="Y202" s="58"/>
      <c r="Z202" s="58"/>
      <c r="AA202" s="58"/>
      <c r="AB202" s="58"/>
      <c r="AC202" s="42">
        <f t="shared" si="29"/>
        <v>4</v>
      </c>
      <c r="AD202" s="34">
        <v>3</v>
      </c>
      <c r="AE202" s="58"/>
      <c r="AF202" s="58"/>
      <c r="AG202" s="58"/>
      <c r="AH202" s="58"/>
      <c r="AI202" s="42">
        <f t="shared" si="30"/>
        <v>3</v>
      </c>
      <c r="AJ202" s="58"/>
      <c r="AK202" s="34">
        <v>3</v>
      </c>
      <c r="AL202" s="58"/>
      <c r="AM202" s="58"/>
      <c r="AN202" s="58"/>
      <c r="AO202" s="43">
        <f t="shared" si="31"/>
        <v>3</v>
      </c>
      <c r="AP202" s="34">
        <v>3</v>
      </c>
      <c r="AQ202" s="34"/>
      <c r="AR202" s="34"/>
      <c r="AS202" s="34"/>
      <c r="AT202" s="34"/>
      <c r="AU202" s="42">
        <f t="shared" si="32"/>
        <v>3</v>
      </c>
      <c r="AV202" s="34"/>
      <c r="AW202" s="34"/>
      <c r="AX202" s="58"/>
      <c r="AY202" s="34">
        <v>4</v>
      </c>
      <c r="AZ202" s="34"/>
      <c r="BA202" s="43">
        <f t="shared" si="33"/>
        <v>4</v>
      </c>
    </row>
    <row r="203" spans="1:53" ht="23.1" customHeight="1" x14ac:dyDescent="0.3">
      <c r="A203" s="83">
        <v>200</v>
      </c>
      <c r="B203" s="83" t="s">
        <v>434</v>
      </c>
      <c r="C203" s="84" t="s">
        <v>435</v>
      </c>
      <c r="D203" s="83" t="s">
        <v>450</v>
      </c>
      <c r="E203" s="83" t="s">
        <v>493</v>
      </c>
      <c r="F203" s="86"/>
      <c r="G203" s="86"/>
      <c r="H203" s="86"/>
      <c r="I203" s="86"/>
      <c r="J203" s="86"/>
      <c r="K203" s="75">
        <v>2</v>
      </c>
      <c r="L203" s="86"/>
      <c r="M203" s="16">
        <v>3</v>
      </c>
      <c r="N203" s="16">
        <v>3</v>
      </c>
      <c r="O203" s="57"/>
      <c r="P203" s="16">
        <v>3</v>
      </c>
      <c r="Q203" s="43">
        <f t="shared" si="27"/>
        <v>3</v>
      </c>
      <c r="R203" s="16">
        <v>3</v>
      </c>
      <c r="S203" s="57"/>
      <c r="T203" s="57"/>
      <c r="U203" s="57"/>
      <c r="V203" s="57"/>
      <c r="W203" s="42">
        <f t="shared" si="28"/>
        <v>3</v>
      </c>
      <c r="X203" s="16">
        <v>3</v>
      </c>
      <c r="Y203" s="57"/>
      <c r="Z203" s="57"/>
      <c r="AA203" s="57"/>
      <c r="AB203" s="57"/>
      <c r="AC203" s="42">
        <f t="shared" si="29"/>
        <v>3</v>
      </c>
      <c r="AD203" s="16">
        <v>3</v>
      </c>
      <c r="AE203" s="57"/>
      <c r="AF203" s="57"/>
      <c r="AG203" s="57"/>
      <c r="AH203" s="57"/>
      <c r="AI203" s="42">
        <f t="shared" si="30"/>
        <v>3</v>
      </c>
      <c r="AJ203" s="57"/>
      <c r="AK203" s="16">
        <v>3</v>
      </c>
      <c r="AL203" s="57"/>
      <c r="AM203" s="57"/>
      <c r="AN203" s="57"/>
      <c r="AO203" s="43">
        <f t="shared" si="31"/>
        <v>3</v>
      </c>
      <c r="AP203" s="16">
        <v>3</v>
      </c>
      <c r="AQ203" s="16"/>
      <c r="AR203" s="16"/>
      <c r="AS203" s="16"/>
      <c r="AT203" s="16"/>
      <c r="AU203" s="42">
        <f t="shared" si="32"/>
        <v>3</v>
      </c>
      <c r="AV203" s="16"/>
      <c r="AW203" s="16"/>
      <c r="AX203" s="57"/>
      <c r="AY203" s="16">
        <v>3</v>
      </c>
      <c r="AZ203" s="16"/>
      <c r="BA203" s="43">
        <f t="shared" si="33"/>
        <v>3</v>
      </c>
    </row>
    <row r="204" spans="1:53" ht="23.1" customHeight="1" x14ac:dyDescent="0.3">
      <c r="A204" s="76">
        <v>201</v>
      </c>
      <c r="B204" s="76" t="s">
        <v>436</v>
      </c>
      <c r="C204" s="77" t="s">
        <v>437</v>
      </c>
      <c r="D204" s="76" t="s">
        <v>450</v>
      </c>
      <c r="E204" s="76" t="s">
        <v>493</v>
      </c>
      <c r="F204" s="81"/>
      <c r="G204" s="81"/>
      <c r="H204" s="81"/>
      <c r="I204" s="81"/>
      <c r="J204" s="81"/>
      <c r="K204" s="75">
        <v>3</v>
      </c>
      <c r="L204" s="81"/>
      <c r="M204" s="34">
        <v>3</v>
      </c>
      <c r="N204" s="34">
        <v>3</v>
      </c>
      <c r="O204" s="58"/>
      <c r="P204" s="34">
        <v>2.5</v>
      </c>
      <c r="Q204" s="43">
        <f t="shared" si="27"/>
        <v>2.8333333333333335</v>
      </c>
      <c r="R204" s="34">
        <v>3</v>
      </c>
      <c r="S204" s="58"/>
      <c r="T204" s="58"/>
      <c r="U204" s="58"/>
      <c r="V204" s="58"/>
      <c r="W204" s="42">
        <f t="shared" si="28"/>
        <v>3</v>
      </c>
      <c r="X204" s="34">
        <v>3</v>
      </c>
      <c r="Y204" s="58"/>
      <c r="Z204" s="58"/>
      <c r="AA204" s="58"/>
      <c r="AB204" s="58"/>
      <c r="AC204" s="42">
        <f t="shared" si="29"/>
        <v>3</v>
      </c>
      <c r="AD204" s="34">
        <v>1</v>
      </c>
      <c r="AE204" s="58"/>
      <c r="AF204" s="58"/>
      <c r="AG204" s="58"/>
      <c r="AH204" s="58"/>
      <c r="AI204" s="42">
        <f t="shared" si="30"/>
        <v>1</v>
      </c>
      <c r="AJ204" s="58"/>
      <c r="AK204" s="34">
        <v>2</v>
      </c>
      <c r="AL204" s="58"/>
      <c r="AM204" s="58"/>
      <c r="AN204" s="58"/>
      <c r="AO204" s="43">
        <f t="shared" si="31"/>
        <v>2</v>
      </c>
      <c r="AP204" s="34">
        <v>3</v>
      </c>
      <c r="AQ204" s="34"/>
      <c r="AR204" s="34"/>
      <c r="AS204" s="34"/>
      <c r="AT204" s="34"/>
      <c r="AU204" s="42">
        <f t="shared" si="32"/>
        <v>3</v>
      </c>
      <c r="AV204" s="34"/>
      <c r="AW204" s="34"/>
      <c r="AX204" s="58"/>
      <c r="AY204" s="34">
        <v>4</v>
      </c>
      <c r="AZ204" s="34"/>
      <c r="BA204" s="43">
        <f t="shared" si="33"/>
        <v>4</v>
      </c>
    </row>
    <row r="205" spans="1:53" ht="23.1" customHeight="1" x14ac:dyDescent="0.3">
      <c r="A205" s="83">
        <v>202</v>
      </c>
      <c r="B205" s="83" t="s">
        <v>438</v>
      </c>
      <c r="C205" s="84" t="s">
        <v>439</v>
      </c>
      <c r="D205" s="83" t="s">
        <v>450</v>
      </c>
      <c r="E205" s="83" t="s">
        <v>289</v>
      </c>
      <c r="F205" s="88"/>
      <c r="G205" s="88"/>
      <c r="H205" s="88"/>
      <c r="I205" s="88"/>
      <c r="J205" s="88"/>
      <c r="K205" s="75">
        <v>0</v>
      </c>
      <c r="L205" s="88"/>
      <c r="M205" s="16">
        <v>4</v>
      </c>
      <c r="N205" s="16">
        <v>3</v>
      </c>
      <c r="O205" s="59"/>
      <c r="P205" s="16">
        <v>3</v>
      </c>
      <c r="Q205" s="43">
        <f t="shared" si="27"/>
        <v>3.3333333333333335</v>
      </c>
      <c r="R205" s="16">
        <v>2</v>
      </c>
      <c r="S205" s="59"/>
      <c r="T205" s="59"/>
      <c r="U205" s="59"/>
      <c r="V205" s="59"/>
      <c r="W205" s="42">
        <f t="shared" si="28"/>
        <v>2</v>
      </c>
      <c r="X205" s="16">
        <v>2</v>
      </c>
      <c r="Y205" s="59"/>
      <c r="Z205" s="59"/>
      <c r="AA205" s="59"/>
      <c r="AB205" s="59"/>
      <c r="AC205" s="42">
        <f t="shared" si="29"/>
        <v>2</v>
      </c>
      <c r="AD205" s="16">
        <v>3</v>
      </c>
      <c r="AE205" s="59"/>
      <c r="AF205" s="59"/>
      <c r="AG205" s="59"/>
      <c r="AH205" s="59"/>
      <c r="AI205" s="42">
        <f t="shared" si="30"/>
        <v>3</v>
      </c>
      <c r="AJ205" s="59"/>
      <c r="AK205" s="16">
        <v>2</v>
      </c>
      <c r="AL205" s="59"/>
      <c r="AM205" s="59"/>
      <c r="AN205" s="59"/>
      <c r="AO205" s="43">
        <f t="shared" si="31"/>
        <v>2</v>
      </c>
      <c r="AP205" s="16">
        <v>2</v>
      </c>
      <c r="AQ205" s="16"/>
      <c r="AR205" s="16"/>
      <c r="AS205" s="16"/>
      <c r="AT205" s="16"/>
      <c r="AU205" s="42">
        <f t="shared" si="32"/>
        <v>2</v>
      </c>
      <c r="AV205" s="16"/>
      <c r="AW205" s="16"/>
      <c r="AX205" s="59"/>
      <c r="AY205" s="16">
        <v>3</v>
      </c>
      <c r="AZ205" s="16"/>
      <c r="BA205" s="43">
        <f t="shared" si="33"/>
        <v>3</v>
      </c>
    </row>
    <row r="206" spans="1:53" ht="23.1" customHeight="1" x14ac:dyDescent="0.3">
      <c r="A206" s="76">
        <v>203</v>
      </c>
      <c r="B206" s="76" t="s">
        <v>440</v>
      </c>
      <c r="C206" s="77" t="s">
        <v>441</v>
      </c>
      <c r="D206" s="76" t="s">
        <v>450</v>
      </c>
      <c r="E206" s="76" t="s">
        <v>289</v>
      </c>
      <c r="F206" s="81"/>
      <c r="G206" s="81"/>
      <c r="H206" s="81"/>
      <c r="I206" s="81"/>
      <c r="J206" s="81"/>
      <c r="K206" s="75">
        <v>3</v>
      </c>
      <c r="L206" s="81"/>
      <c r="M206" s="34">
        <v>4</v>
      </c>
      <c r="N206" s="34">
        <v>4</v>
      </c>
      <c r="O206" s="58"/>
      <c r="P206" s="34">
        <v>3</v>
      </c>
      <c r="Q206" s="43">
        <f t="shared" si="27"/>
        <v>3.6666666666666665</v>
      </c>
      <c r="R206" s="34">
        <v>4</v>
      </c>
      <c r="S206" s="58"/>
      <c r="T206" s="58"/>
      <c r="U206" s="58"/>
      <c r="V206" s="58"/>
      <c r="W206" s="42">
        <f t="shared" si="28"/>
        <v>4</v>
      </c>
      <c r="X206" s="34">
        <v>4</v>
      </c>
      <c r="Y206" s="58"/>
      <c r="Z206" s="58"/>
      <c r="AA206" s="58"/>
      <c r="AB206" s="58"/>
      <c r="AC206" s="42">
        <f t="shared" si="29"/>
        <v>4</v>
      </c>
      <c r="AD206" s="34">
        <v>3</v>
      </c>
      <c r="AE206" s="58"/>
      <c r="AF206" s="58"/>
      <c r="AG206" s="58"/>
      <c r="AH206" s="58"/>
      <c r="AI206" s="42">
        <f t="shared" si="30"/>
        <v>3</v>
      </c>
      <c r="AJ206" s="58"/>
      <c r="AK206" s="34">
        <v>4</v>
      </c>
      <c r="AL206" s="58"/>
      <c r="AM206" s="58"/>
      <c r="AN206" s="58"/>
      <c r="AO206" s="43">
        <f t="shared" si="31"/>
        <v>4</v>
      </c>
      <c r="AP206" s="34">
        <v>4</v>
      </c>
      <c r="AQ206" s="34"/>
      <c r="AR206" s="34"/>
      <c r="AS206" s="34"/>
      <c r="AT206" s="34"/>
      <c r="AU206" s="42">
        <f t="shared" si="32"/>
        <v>4</v>
      </c>
      <c r="AV206" s="34"/>
      <c r="AW206" s="34"/>
      <c r="AX206" s="58"/>
      <c r="AY206" s="34">
        <v>4</v>
      </c>
      <c r="AZ206" s="34"/>
      <c r="BA206" s="43">
        <f t="shared" si="33"/>
        <v>4</v>
      </c>
    </row>
    <row r="207" spans="1:53" ht="23.1" customHeight="1" x14ac:dyDescent="0.3">
      <c r="A207" s="83">
        <v>204</v>
      </c>
      <c r="B207" s="83" t="s">
        <v>442</v>
      </c>
      <c r="C207" s="84" t="s">
        <v>443</v>
      </c>
      <c r="D207" s="83" t="s">
        <v>450</v>
      </c>
      <c r="E207" s="83" t="s">
        <v>289</v>
      </c>
      <c r="F207" s="86"/>
      <c r="G207" s="86"/>
      <c r="H207" s="86"/>
      <c r="I207" s="86"/>
      <c r="J207" s="86"/>
      <c r="K207" s="75">
        <v>2</v>
      </c>
      <c r="L207" s="86"/>
      <c r="M207" s="16">
        <v>3</v>
      </c>
      <c r="N207" s="16">
        <v>4</v>
      </c>
      <c r="O207" s="57"/>
      <c r="P207" s="16">
        <v>4</v>
      </c>
      <c r="Q207" s="43">
        <f t="shared" si="27"/>
        <v>3.6666666666666665</v>
      </c>
      <c r="R207" s="16">
        <v>4</v>
      </c>
      <c r="S207" s="57"/>
      <c r="T207" s="57"/>
      <c r="U207" s="57"/>
      <c r="V207" s="57"/>
      <c r="W207" s="42">
        <f t="shared" si="28"/>
        <v>4</v>
      </c>
      <c r="X207" s="16">
        <v>4</v>
      </c>
      <c r="Y207" s="57"/>
      <c r="Z207" s="57"/>
      <c r="AA207" s="57"/>
      <c r="AB207" s="57"/>
      <c r="AC207" s="42">
        <f t="shared" si="29"/>
        <v>4</v>
      </c>
      <c r="AD207" s="16">
        <v>4</v>
      </c>
      <c r="AE207" s="57"/>
      <c r="AF207" s="57"/>
      <c r="AG207" s="57"/>
      <c r="AH207" s="57"/>
      <c r="AI207" s="42">
        <f t="shared" si="30"/>
        <v>4</v>
      </c>
      <c r="AJ207" s="57"/>
      <c r="AK207" s="16">
        <v>2</v>
      </c>
      <c r="AL207" s="57"/>
      <c r="AM207" s="57"/>
      <c r="AN207" s="57"/>
      <c r="AO207" s="43">
        <f t="shared" si="31"/>
        <v>2</v>
      </c>
      <c r="AP207" s="16">
        <v>4</v>
      </c>
      <c r="AQ207" s="16"/>
      <c r="AR207" s="16"/>
      <c r="AS207" s="16"/>
      <c r="AT207" s="16"/>
      <c r="AU207" s="42">
        <f t="shared" si="32"/>
        <v>4</v>
      </c>
      <c r="AV207" s="16"/>
      <c r="AW207" s="16"/>
      <c r="AX207" s="57"/>
      <c r="AY207" s="16">
        <v>4</v>
      </c>
      <c r="AZ207" s="16"/>
      <c r="BA207" s="43">
        <f t="shared" si="33"/>
        <v>4</v>
      </c>
    </row>
    <row r="208" spans="1:53" ht="23.1" customHeight="1" x14ac:dyDescent="0.3">
      <c r="A208" s="76">
        <v>205</v>
      </c>
      <c r="B208" s="76" t="s">
        <v>444</v>
      </c>
      <c r="C208" s="77" t="s">
        <v>445</v>
      </c>
      <c r="D208" s="76" t="s">
        <v>450</v>
      </c>
      <c r="E208" s="76" t="s">
        <v>289</v>
      </c>
      <c r="F208" s="81"/>
      <c r="G208" s="81"/>
      <c r="H208" s="81"/>
      <c r="I208" s="81"/>
      <c r="J208" s="81"/>
      <c r="K208" s="75">
        <v>2</v>
      </c>
      <c r="L208" s="81"/>
      <c r="M208" s="34">
        <v>4</v>
      </c>
      <c r="N208" s="34">
        <v>4</v>
      </c>
      <c r="O208" s="58"/>
      <c r="P208" s="34">
        <v>4</v>
      </c>
      <c r="Q208" s="43">
        <f t="shared" si="27"/>
        <v>4</v>
      </c>
      <c r="R208" s="34">
        <v>5</v>
      </c>
      <c r="S208" s="58"/>
      <c r="T208" s="58"/>
      <c r="U208" s="58"/>
      <c r="V208" s="58"/>
      <c r="W208" s="42">
        <f t="shared" si="28"/>
        <v>5</v>
      </c>
      <c r="X208" s="34">
        <v>5</v>
      </c>
      <c r="Y208" s="58"/>
      <c r="Z208" s="58"/>
      <c r="AA208" s="58"/>
      <c r="AB208" s="58"/>
      <c r="AC208" s="42">
        <f t="shared" si="29"/>
        <v>5</v>
      </c>
      <c r="AD208" s="34">
        <v>5</v>
      </c>
      <c r="AE208" s="58"/>
      <c r="AF208" s="58"/>
      <c r="AG208" s="58"/>
      <c r="AH208" s="58"/>
      <c r="AI208" s="42">
        <f t="shared" si="30"/>
        <v>5</v>
      </c>
      <c r="AJ208" s="58"/>
      <c r="AK208" s="34">
        <v>5</v>
      </c>
      <c r="AL208" s="58"/>
      <c r="AM208" s="58"/>
      <c r="AN208" s="58"/>
      <c r="AO208" s="43">
        <f t="shared" si="31"/>
        <v>5</v>
      </c>
      <c r="AP208" s="34">
        <v>5</v>
      </c>
      <c r="AQ208" s="34"/>
      <c r="AR208" s="34"/>
      <c r="AS208" s="34"/>
      <c r="AT208" s="34"/>
      <c r="AU208" s="42">
        <f t="shared" si="32"/>
        <v>5</v>
      </c>
      <c r="AV208" s="34"/>
      <c r="AW208" s="34"/>
      <c r="AX208" s="58"/>
      <c r="AY208" s="34">
        <v>5</v>
      </c>
      <c r="AZ208" s="34"/>
      <c r="BA208" s="43">
        <f t="shared" si="33"/>
        <v>5</v>
      </c>
    </row>
    <row r="209" spans="1:53" ht="23.1" customHeight="1" x14ac:dyDescent="0.3">
      <c r="A209" s="83">
        <v>206</v>
      </c>
      <c r="B209" s="83" t="s">
        <v>446</v>
      </c>
      <c r="C209" s="84" t="s">
        <v>447</v>
      </c>
      <c r="D209" s="83" t="s">
        <v>450</v>
      </c>
      <c r="E209" s="83" t="s">
        <v>289</v>
      </c>
      <c r="F209" s="86"/>
      <c r="G209" s="86"/>
      <c r="H209" s="86"/>
      <c r="I209" s="86"/>
      <c r="J209" s="86"/>
      <c r="K209" s="75">
        <v>2</v>
      </c>
      <c r="L209" s="86"/>
      <c r="M209" s="16">
        <v>4</v>
      </c>
      <c r="N209" s="16">
        <v>4</v>
      </c>
      <c r="O209" s="57"/>
      <c r="P209" s="16">
        <v>3</v>
      </c>
      <c r="Q209" s="43">
        <f t="shared" si="27"/>
        <v>3.6666666666666665</v>
      </c>
      <c r="R209" s="16">
        <v>4</v>
      </c>
      <c r="S209" s="57"/>
      <c r="T209" s="57"/>
      <c r="U209" s="57"/>
      <c r="V209" s="57"/>
      <c r="W209" s="42">
        <f t="shared" si="28"/>
        <v>4</v>
      </c>
      <c r="X209" s="16">
        <v>4</v>
      </c>
      <c r="Y209" s="57"/>
      <c r="Z209" s="57"/>
      <c r="AA209" s="57"/>
      <c r="AB209" s="57"/>
      <c r="AC209" s="42">
        <f t="shared" si="29"/>
        <v>4</v>
      </c>
      <c r="AD209" s="16">
        <v>3</v>
      </c>
      <c r="AE209" s="57"/>
      <c r="AF209" s="57"/>
      <c r="AG209" s="57"/>
      <c r="AH209" s="57"/>
      <c r="AI209" s="42">
        <f t="shared" si="30"/>
        <v>3</v>
      </c>
      <c r="AJ209" s="57"/>
      <c r="AK209" s="16">
        <v>4</v>
      </c>
      <c r="AL209" s="57"/>
      <c r="AM209" s="57"/>
      <c r="AN209" s="57"/>
      <c r="AO209" s="43">
        <f t="shared" si="31"/>
        <v>4</v>
      </c>
      <c r="AP209" s="16">
        <v>3</v>
      </c>
      <c r="AQ209" s="16"/>
      <c r="AR209" s="16"/>
      <c r="AS209" s="16"/>
      <c r="AT209" s="16"/>
      <c r="AU209" s="42">
        <f t="shared" si="32"/>
        <v>3</v>
      </c>
      <c r="AV209" s="16"/>
      <c r="AW209" s="16"/>
      <c r="AX209" s="57"/>
      <c r="AY209" s="16">
        <v>4</v>
      </c>
      <c r="AZ209" s="16"/>
      <c r="BA209" s="43">
        <f t="shared" si="33"/>
        <v>4</v>
      </c>
    </row>
    <row r="210" spans="1:53" ht="23.1" customHeight="1" x14ac:dyDescent="0.3">
      <c r="A210" s="76">
        <v>207</v>
      </c>
      <c r="B210" s="76" t="s">
        <v>448</v>
      </c>
      <c r="C210" s="77" t="s">
        <v>449</v>
      </c>
      <c r="D210" s="76" t="s">
        <v>450</v>
      </c>
      <c r="E210" s="76" t="s">
        <v>289</v>
      </c>
      <c r="F210" s="81"/>
      <c r="G210" s="81"/>
      <c r="H210" s="81"/>
      <c r="I210" s="81"/>
      <c r="J210" s="81"/>
      <c r="K210" s="75">
        <v>2</v>
      </c>
      <c r="L210" s="81"/>
      <c r="M210" s="34">
        <v>5</v>
      </c>
      <c r="N210" s="34">
        <v>5</v>
      </c>
      <c r="O210" s="58"/>
      <c r="P210" s="34">
        <v>5</v>
      </c>
      <c r="Q210" s="43">
        <f t="shared" si="27"/>
        <v>5</v>
      </c>
      <c r="R210" s="34">
        <v>4</v>
      </c>
      <c r="S210" s="58"/>
      <c r="T210" s="58"/>
      <c r="U210" s="58"/>
      <c r="V210" s="58"/>
      <c r="W210" s="42">
        <f t="shared" si="28"/>
        <v>4</v>
      </c>
      <c r="X210" s="34">
        <v>5</v>
      </c>
      <c r="Y210" s="58"/>
      <c r="Z210" s="58"/>
      <c r="AA210" s="58"/>
      <c r="AB210" s="58"/>
      <c r="AC210" s="42">
        <f t="shared" si="29"/>
        <v>5</v>
      </c>
      <c r="AD210" s="34">
        <v>4</v>
      </c>
      <c r="AE210" s="58"/>
      <c r="AF210" s="58"/>
      <c r="AG210" s="58"/>
      <c r="AH210" s="58"/>
      <c r="AI210" s="42">
        <f t="shared" si="30"/>
        <v>4</v>
      </c>
      <c r="AJ210" s="58"/>
      <c r="AK210" s="34">
        <v>5</v>
      </c>
      <c r="AL210" s="58"/>
      <c r="AM210" s="58"/>
      <c r="AN210" s="58"/>
      <c r="AO210" s="43">
        <f t="shared" si="31"/>
        <v>5</v>
      </c>
      <c r="AP210" s="34">
        <v>4</v>
      </c>
      <c r="AQ210" s="34"/>
      <c r="AR210" s="34"/>
      <c r="AS210" s="34"/>
      <c r="AT210" s="34"/>
      <c r="AU210" s="42">
        <f t="shared" si="32"/>
        <v>4</v>
      </c>
      <c r="AV210" s="34"/>
      <c r="AW210" s="34"/>
      <c r="AX210" s="58"/>
      <c r="AY210" s="34">
        <v>5</v>
      </c>
      <c r="AZ210" s="34"/>
      <c r="BA210" s="43">
        <f t="shared" si="33"/>
        <v>5</v>
      </c>
    </row>
    <row r="211" spans="1:53" ht="23.1" customHeight="1" x14ac:dyDescent="0.3">
      <c r="A211" s="83">
        <v>208</v>
      </c>
      <c r="B211" s="83" t="s">
        <v>74</v>
      </c>
      <c r="C211" s="84" t="s">
        <v>494</v>
      </c>
      <c r="D211" s="83" t="s">
        <v>450</v>
      </c>
      <c r="E211" s="83" t="s">
        <v>289</v>
      </c>
      <c r="F211" s="86"/>
      <c r="G211" s="86"/>
      <c r="H211" s="86"/>
      <c r="I211" s="86"/>
      <c r="J211" s="86"/>
      <c r="K211" s="75">
        <v>3</v>
      </c>
      <c r="L211" s="86"/>
      <c r="M211" s="16">
        <v>5</v>
      </c>
      <c r="N211" s="16">
        <v>5</v>
      </c>
      <c r="O211" s="57"/>
      <c r="P211" s="16">
        <v>5</v>
      </c>
      <c r="Q211" s="43">
        <f t="shared" si="27"/>
        <v>5</v>
      </c>
      <c r="R211" s="16">
        <v>5</v>
      </c>
      <c r="S211" s="57"/>
      <c r="T211" s="57"/>
      <c r="U211" s="57"/>
      <c r="V211" s="57"/>
      <c r="W211" s="42">
        <f t="shared" si="28"/>
        <v>5</v>
      </c>
      <c r="X211" s="16">
        <v>5</v>
      </c>
      <c r="Y211" s="57"/>
      <c r="Z211" s="57"/>
      <c r="AA211" s="57"/>
      <c r="AB211" s="57"/>
      <c r="AC211" s="42">
        <f t="shared" si="29"/>
        <v>5</v>
      </c>
      <c r="AD211" s="16">
        <v>5</v>
      </c>
      <c r="AE211" s="57"/>
      <c r="AF211" s="57"/>
      <c r="AG211" s="57"/>
      <c r="AH211" s="57"/>
      <c r="AI211" s="42">
        <f t="shared" si="30"/>
        <v>5</v>
      </c>
      <c r="AJ211" s="57"/>
      <c r="AK211" s="16">
        <v>5</v>
      </c>
      <c r="AL211" s="57"/>
      <c r="AM211" s="57"/>
      <c r="AN211" s="57"/>
      <c r="AO211" s="43">
        <f t="shared" si="31"/>
        <v>5</v>
      </c>
      <c r="AP211" s="16">
        <v>5</v>
      </c>
      <c r="AQ211" s="16"/>
      <c r="AR211" s="16"/>
      <c r="AS211" s="16"/>
      <c r="AT211" s="16"/>
      <c r="AU211" s="42">
        <f t="shared" si="32"/>
        <v>5</v>
      </c>
      <c r="AV211" s="16"/>
      <c r="AW211" s="16"/>
      <c r="AX211" s="57"/>
      <c r="AY211" s="16">
        <v>5</v>
      </c>
      <c r="AZ211" s="16"/>
      <c r="BA211" s="43">
        <f t="shared" si="33"/>
        <v>5</v>
      </c>
    </row>
    <row r="212" spans="1:53" ht="23.1" customHeight="1" x14ac:dyDescent="0.3">
      <c r="A212" s="76">
        <v>209</v>
      </c>
      <c r="B212" s="76" t="s">
        <v>451</v>
      </c>
      <c r="C212" s="77" t="s">
        <v>452</v>
      </c>
      <c r="D212" s="76" t="s">
        <v>450</v>
      </c>
      <c r="E212" s="76" t="s">
        <v>289</v>
      </c>
      <c r="F212" s="81"/>
      <c r="G212" s="81"/>
      <c r="H212" s="81"/>
      <c r="I212" s="81"/>
      <c r="J212" s="81"/>
      <c r="K212" s="75">
        <v>2</v>
      </c>
      <c r="L212" s="81"/>
      <c r="M212" s="34">
        <v>3</v>
      </c>
      <c r="N212" s="34">
        <v>3</v>
      </c>
      <c r="O212" s="58"/>
      <c r="P212" s="34">
        <v>3</v>
      </c>
      <c r="Q212" s="43">
        <f t="shared" si="27"/>
        <v>3</v>
      </c>
      <c r="R212" s="34">
        <v>3</v>
      </c>
      <c r="S212" s="58"/>
      <c r="T212" s="58"/>
      <c r="U212" s="58"/>
      <c r="V212" s="58"/>
      <c r="W212" s="42">
        <f t="shared" si="28"/>
        <v>3</v>
      </c>
      <c r="X212" s="34">
        <v>3</v>
      </c>
      <c r="Y212" s="58"/>
      <c r="Z212" s="58"/>
      <c r="AA212" s="58"/>
      <c r="AB212" s="58"/>
      <c r="AC212" s="42">
        <f t="shared" si="29"/>
        <v>3</v>
      </c>
      <c r="AD212" s="34">
        <v>3</v>
      </c>
      <c r="AE212" s="58"/>
      <c r="AF212" s="58"/>
      <c r="AG212" s="58"/>
      <c r="AH212" s="58"/>
      <c r="AI212" s="42">
        <f t="shared" si="30"/>
        <v>3</v>
      </c>
      <c r="AJ212" s="58"/>
      <c r="AK212" s="34">
        <v>3</v>
      </c>
      <c r="AL212" s="58"/>
      <c r="AM212" s="58"/>
      <c r="AN212" s="58"/>
      <c r="AO212" s="43">
        <f t="shared" si="31"/>
        <v>3</v>
      </c>
      <c r="AP212" s="34">
        <v>3</v>
      </c>
      <c r="AQ212" s="34"/>
      <c r="AR212" s="34"/>
      <c r="AS212" s="34"/>
      <c r="AT212" s="34"/>
      <c r="AU212" s="42">
        <f t="shared" si="32"/>
        <v>3</v>
      </c>
      <c r="AV212" s="34"/>
      <c r="AW212" s="34"/>
      <c r="AX212" s="58"/>
      <c r="AY212" s="34">
        <v>4</v>
      </c>
      <c r="AZ212" s="34"/>
      <c r="BA212" s="43">
        <f t="shared" si="33"/>
        <v>4</v>
      </c>
    </row>
    <row r="213" spans="1:53" ht="23.1" customHeight="1" x14ac:dyDescent="0.3">
      <c r="A213" s="83">
        <v>210</v>
      </c>
      <c r="B213" s="83" t="s">
        <v>453</v>
      </c>
      <c r="C213" s="84" t="s">
        <v>454</v>
      </c>
      <c r="D213" s="83" t="s">
        <v>450</v>
      </c>
      <c r="E213" s="83" t="s">
        <v>289</v>
      </c>
      <c r="F213" s="86"/>
      <c r="G213" s="86"/>
      <c r="H213" s="86"/>
      <c r="I213" s="86"/>
      <c r="J213" s="86"/>
      <c r="K213" s="75">
        <v>2</v>
      </c>
      <c r="L213" s="86"/>
      <c r="M213" s="16">
        <v>4</v>
      </c>
      <c r="N213" s="16">
        <v>3</v>
      </c>
      <c r="O213" s="57"/>
      <c r="P213" s="16">
        <v>4</v>
      </c>
      <c r="Q213" s="43">
        <f t="shared" si="27"/>
        <v>3.6666666666666665</v>
      </c>
      <c r="R213" s="16">
        <v>4</v>
      </c>
      <c r="S213" s="57"/>
      <c r="T213" s="57"/>
      <c r="U213" s="57"/>
      <c r="V213" s="57"/>
      <c r="W213" s="42">
        <f t="shared" si="28"/>
        <v>4</v>
      </c>
      <c r="X213" s="16">
        <v>4</v>
      </c>
      <c r="Y213" s="57"/>
      <c r="Z213" s="57"/>
      <c r="AA213" s="57"/>
      <c r="AB213" s="57"/>
      <c r="AC213" s="42">
        <f t="shared" si="29"/>
        <v>4</v>
      </c>
      <c r="AD213" s="16">
        <v>3</v>
      </c>
      <c r="AE213" s="57"/>
      <c r="AF213" s="57"/>
      <c r="AG213" s="57"/>
      <c r="AH213" s="57"/>
      <c r="AI213" s="42">
        <f t="shared" si="30"/>
        <v>3</v>
      </c>
      <c r="AJ213" s="57"/>
      <c r="AK213" s="16">
        <v>3</v>
      </c>
      <c r="AL213" s="57"/>
      <c r="AM213" s="57"/>
      <c r="AN213" s="57"/>
      <c r="AO213" s="43">
        <f t="shared" si="31"/>
        <v>3</v>
      </c>
      <c r="AP213" s="16">
        <v>3</v>
      </c>
      <c r="AQ213" s="16"/>
      <c r="AR213" s="16"/>
      <c r="AS213" s="16"/>
      <c r="AT213" s="16"/>
      <c r="AU213" s="42">
        <f t="shared" si="32"/>
        <v>3</v>
      </c>
      <c r="AV213" s="16"/>
      <c r="AW213" s="16"/>
      <c r="AX213" s="57"/>
      <c r="AY213" s="16">
        <v>4</v>
      </c>
      <c r="AZ213" s="16"/>
      <c r="BA213" s="43">
        <f t="shared" si="33"/>
        <v>4</v>
      </c>
    </row>
    <row r="214" spans="1:53" ht="23.1" customHeight="1" x14ac:dyDescent="0.3">
      <c r="A214" s="76">
        <v>211</v>
      </c>
      <c r="B214" s="76" t="s">
        <v>455</v>
      </c>
      <c r="C214" s="77" t="s">
        <v>456</v>
      </c>
      <c r="D214" s="76" t="s">
        <v>542</v>
      </c>
      <c r="E214" s="76" t="s">
        <v>289</v>
      </c>
      <c r="F214" s="81"/>
      <c r="G214" s="81"/>
      <c r="H214" s="81"/>
      <c r="I214" s="81"/>
      <c r="J214" s="81"/>
      <c r="K214" s="75">
        <v>3</v>
      </c>
      <c r="L214" s="81"/>
      <c r="M214" s="34">
        <v>4</v>
      </c>
      <c r="N214" s="34">
        <v>3</v>
      </c>
      <c r="O214" s="58"/>
      <c r="P214" s="34">
        <v>3</v>
      </c>
      <c r="Q214" s="43">
        <f t="shared" si="27"/>
        <v>3.3333333333333335</v>
      </c>
      <c r="R214" s="34">
        <v>3</v>
      </c>
      <c r="S214" s="58"/>
      <c r="T214" s="58"/>
      <c r="U214" s="58"/>
      <c r="V214" s="58"/>
      <c r="W214" s="42">
        <f t="shared" si="28"/>
        <v>3</v>
      </c>
      <c r="X214" s="34">
        <v>3</v>
      </c>
      <c r="Y214" s="58"/>
      <c r="Z214" s="58"/>
      <c r="AA214" s="58"/>
      <c r="AB214" s="58"/>
      <c r="AC214" s="42">
        <f t="shared" si="29"/>
        <v>3</v>
      </c>
      <c r="AD214" s="34">
        <v>3</v>
      </c>
      <c r="AE214" s="58"/>
      <c r="AF214" s="58"/>
      <c r="AG214" s="58"/>
      <c r="AH214" s="58"/>
      <c r="AI214" s="42">
        <f t="shared" si="30"/>
        <v>3</v>
      </c>
      <c r="AJ214" s="58"/>
      <c r="AK214" s="34">
        <v>3</v>
      </c>
      <c r="AL214" s="58"/>
      <c r="AM214" s="58"/>
      <c r="AN214" s="58"/>
      <c r="AO214" s="43">
        <f t="shared" si="31"/>
        <v>3</v>
      </c>
      <c r="AP214" s="34">
        <v>3</v>
      </c>
      <c r="AQ214" s="34"/>
      <c r="AR214" s="34"/>
      <c r="AS214" s="34"/>
      <c r="AT214" s="34"/>
      <c r="AU214" s="42">
        <f t="shared" si="32"/>
        <v>3</v>
      </c>
      <c r="AV214" s="34"/>
      <c r="AW214" s="34"/>
      <c r="AX214" s="58"/>
      <c r="AY214" s="34">
        <v>4</v>
      </c>
      <c r="AZ214" s="34"/>
      <c r="BA214" s="43">
        <f t="shared" si="33"/>
        <v>4</v>
      </c>
    </row>
    <row r="215" spans="1:53" ht="23.1" customHeight="1" x14ac:dyDescent="0.3">
      <c r="A215" s="83">
        <v>212</v>
      </c>
      <c r="B215" s="83" t="s">
        <v>457</v>
      </c>
      <c r="C215" s="84" t="s">
        <v>458</v>
      </c>
      <c r="D215" s="83" t="s">
        <v>542</v>
      </c>
      <c r="E215" s="83" t="s">
        <v>289</v>
      </c>
      <c r="F215" s="92"/>
      <c r="G215" s="92"/>
      <c r="H215" s="92"/>
      <c r="I215" s="92"/>
      <c r="J215" s="92"/>
      <c r="K215" s="75">
        <v>4</v>
      </c>
      <c r="L215" s="92"/>
      <c r="M215" s="16">
        <v>5</v>
      </c>
      <c r="N215" s="16">
        <v>5</v>
      </c>
      <c r="O215" s="61"/>
      <c r="P215" s="16">
        <v>5</v>
      </c>
      <c r="Q215" s="43">
        <f t="shared" si="27"/>
        <v>5</v>
      </c>
      <c r="R215" s="16">
        <v>5</v>
      </c>
      <c r="S215" s="61"/>
      <c r="T215" s="61"/>
      <c r="U215" s="61"/>
      <c r="V215" s="61"/>
      <c r="W215" s="42">
        <f t="shared" si="28"/>
        <v>5</v>
      </c>
      <c r="X215" s="16">
        <v>5</v>
      </c>
      <c r="Y215" s="61"/>
      <c r="Z215" s="61"/>
      <c r="AA215" s="61"/>
      <c r="AB215" s="61"/>
      <c r="AC215" s="42">
        <f t="shared" si="29"/>
        <v>5</v>
      </c>
      <c r="AD215" s="16">
        <v>5</v>
      </c>
      <c r="AE215" s="61"/>
      <c r="AF215" s="61"/>
      <c r="AG215" s="61"/>
      <c r="AH215" s="61"/>
      <c r="AI215" s="42">
        <f t="shared" si="30"/>
        <v>5</v>
      </c>
      <c r="AJ215" s="61"/>
      <c r="AK215" s="16">
        <v>5</v>
      </c>
      <c r="AL215" s="61"/>
      <c r="AM215" s="61"/>
      <c r="AN215" s="61"/>
      <c r="AO215" s="43">
        <f t="shared" si="31"/>
        <v>5</v>
      </c>
      <c r="AP215" s="16">
        <v>5</v>
      </c>
      <c r="AQ215" s="16"/>
      <c r="AR215" s="16"/>
      <c r="AS215" s="16"/>
      <c r="AT215" s="16"/>
      <c r="AU215" s="42">
        <f t="shared" si="32"/>
        <v>5</v>
      </c>
      <c r="AV215" s="16"/>
      <c r="AW215" s="16"/>
      <c r="AX215" s="61"/>
      <c r="AY215" s="16">
        <v>5</v>
      </c>
      <c r="AZ215" s="16"/>
      <c r="BA215" s="43">
        <f t="shared" si="33"/>
        <v>5</v>
      </c>
    </row>
    <row r="216" spans="1:53" ht="23.1" customHeight="1" x14ac:dyDescent="0.3">
      <c r="A216" s="76">
        <v>213</v>
      </c>
      <c r="B216" s="76" t="s">
        <v>459</v>
      </c>
      <c r="C216" s="77" t="s">
        <v>460</v>
      </c>
      <c r="D216" s="76" t="s">
        <v>542</v>
      </c>
      <c r="E216" s="76" t="s">
        <v>289</v>
      </c>
      <c r="F216" s="81"/>
      <c r="G216" s="81"/>
      <c r="H216" s="81"/>
      <c r="I216" s="81"/>
      <c r="J216" s="81"/>
      <c r="K216" s="75">
        <v>1</v>
      </c>
      <c r="L216" s="81"/>
      <c r="M216" s="34">
        <v>4</v>
      </c>
      <c r="N216" s="34">
        <v>3</v>
      </c>
      <c r="O216" s="58"/>
      <c r="P216" s="34">
        <v>3</v>
      </c>
      <c r="Q216" s="43">
        <f t="shared" si="27"/>
        <v>3.3333333333333335</v>
      </c>
      <c r="R216" s="34">
        <v>4</v>
      </c>
      <c r="S216" s="58"/>
      <c r="T216" s="58"/>
      <c r="U216" s="58"/>
      <c r="V216" s="58"/>
      <c r="W216" s="42">
        <f t="shared" si="28"/>
        <v>4</v>
      </c>
      <c r="X216" s="34">
        <v>4</v>
      </c>
      <c r="Y216" s="58"/>
      <c r="Z216" s="58"/>
      <c r="AA216" s="58"/>
      <c r="AB216" s="58"/>
      <c r="AC216" s="42">
        <f t="shared" si="29"/>
        <v>4</v>
      </c>
      <c r="AD216" s="34">
        <v>3</v>
      </c>
      <c r="AE216" s="58"/>
      <c r="AF216" s="58"/>
      <c r="AG216" s="58"/>
      <c r="AH216" s="58"/>
      <c r="AI216" s="42">
        <f t="shared" si="30"/>
        <v>3</v>
      </c>
      <c r="AJ216" s="58"/>
      <c r="AK216" s="34">
        <v>4</v>
      </c>
      <c r="AL216" s="58"/>
      <c r="AM216" s="58"/>
      <c r="AN216" s="58"/>
      <c r="AO216" s="43">
        <f t="shared" si="31"/>
        <v>4</v>
      </c>
      <c r="AP216" s="34">
        <v>3</v>
      </c>
      <c r="AQ216" s="34"/>
      <c r="AR216" s="34"/>
      <c r="AS216" s="34"/>
      <c r="AT216" s="34"/>
      <c r="AU216" s="42">
        <f t="shared" si="32"/>
        <v>3</v>
      </c>
      <c r="AV216" s="34"/>
      <c r="AW216" s="34"/>
      <c r="AX216" s="58"/>
      <c r="AY216" s="34">
        <v>4</v>
      </c>
      <c r="AZ216" s="34"/>
      <c r="BA216" s="43">
        <f t="shared" si="33"/>
        <v>4</v>
      </c>
    </row>
    <row r="217" spans="1:53" ht="23.1" customHeight="1" x14ac:dyDescent="0.3">
      <c r="A217" s="83">
        <v>214</v>
      </c>
      <c r="B217" s="83" t="s">
        <v>461</v>
      </c>
      <c r="C217" s="84" t="s">
        <v>462</v>
      </c>
      <c r="D217" s="83" t="s">
        <v>450</v>
      </c>
      <c r="E217" s="83" t="s">
        <v>289</v>
      </c>
      <c r="F217" s="86"/>
      <c r="G217" s="86"/>
      <c r="H217" s="86"/>
      <c r="I217" s="86"/>
      <c r="J217" s="86"/>
      <c r="K217" s="75">
        <v>3</v>
      </c>
      <c r="L217" s="86"/>
      <c r="M217" s="16">
        <v>5</v>
      </c>
      <c r="N217" s="16">
        <v>5</v>
      </c>
      <c r="O217" s="57"/>
      <c r="P217" s="16">
        <v>4</v>
      </c>
      <c r="Q217" s="43">
        <f t="shared" si="27"/>
        <v>4.666666666666667</v>
      </c>
      <c r="R217" s="16">
        <v>4</v>
      </c>
      <c r="S217" s="57"/>
      <c r="T217" s="57"/>
      <c r="U217" s="57"/>
      <c r="V217" s="57"/>
      <c r="W217" s="42">
        <f t="shared" si="28"/>
        <v>4</v>
      </c>
      <c r="X217" s="16">
        <v>4</v>
      </c>
      <c r="Y217" s="57"/>
      <c r="Z217" s="57"/>
      <c r="AA217" s="57"/>
      <c r="AB217" s="57"/>
      <c r="AC217" s="42">
        <f t="shared" si="29"/>
        <v>4</v>
      </c>
      <c r="AD217" s="16">
        <v>5</v>
      </c>
      <c r="AE217" s="57"/>
      <c r="AF217" s="57"/>
      <c r="AG217" s="57"/>
      <c r="AH217" s="57"/>
      <c r="AI217" s="42">
        <f t="shared" si="30"/>
        <v>5</v>
      </c>
      <c r="AJ217" s="57"/>
      <c r="AK217" s="16">
        <v>4</v>
      </c>
      <c r="AL217" s="57"/>
      <c r="AM217" s="57"/>
      <c r="AN217" s="57"/>
      <c r="AO217" s="43">
        <f t="shared" si="31"/>
        <v>4</v>
      </c>
      <c r="AP217" s="16">
        <v>4</v>
      </c>
      <c r="AQ217" s="16"/>
      <c r="AR217" s="16"/>
      <c r="AS217" s="16"/>
      <c r="AT217" s="16"/>
      <c r="AU217" s="42">
        <f t="shared" si="32"/>
        <v>4</v>
      </c>
      <c r="AV217" s="16"/>
      <c r="AW217" s="16"/>
      <c r="AX217" s="57"/>
      <c r="AY217" s="16">
        <v>5</v>
      </c>
      <c r="AZ217" s="16"/>
      <c r="BA217" s="43">
        <f t="shared" si="33"/>
        <v>5</v>
      </c>
    </row>
    <row r="218" spans="1:53" ht="23.1" customHeight="1" x14ac:dyDescent="0.3">
      <c r="A218" s="76">
        <v>215</v>
      </c>
      <c r="B218" s="76" t="s">
        <v>463</v>
      </c>
      <c r="C218" s="77" t="s">
        <v>464</v>
      </c>
      <c r="D218" s="76" t="s">
        <v>450</v>
      </c>
      <c r="E218" s="76" t="s">
        <v>289</v>
      </c>
      <c r="F218" s="81"/>
      <c r="G218" s="81"/>
      <c r="H218" s="81"/>
      <c r="I218" s="81"/>
      <c r="J218" s="81"/>
      <c r="K218" s="75">
        <v>2</v>
      </c>
      <c r="L218" s="81"/>
      <c r="M218" s="34">
        <v>4</v>
      </c>
      <c r="N218" s="34">
        <v>3</v>
      </c>
      <c r="O218" s="58"/>
      <c r="P218" s="34">
        <v>3</v>
      </c>
      <c r="Q218" s="43">
        <f t="shared" si="27"/>
        <v>3.3333333333333335</v>
      </c>
      <c r="R218" s="34">
        <v>4</v>
      </c>
      <c r="S218" s="58"/>
      <c r="T218" s="58"/>
      <c r="U218" s="58"/>
      <c r="V218" s="58"/>
      <c r="W218" s="42">
        <f t="shared" si="28"/>
        <v>4</v>
      </c>
      <c r="X218" s="34">
        <v>4</v>
      </c>
      <c r="Y218" s="58"/>
      <c r="Z218" s="58"/>
      <c r="AA218" s="58"/>
      <c r="AB218" s="58"/>
      <c r="AC218" s="42">
        <f t="shared" si="29"/>
        <v>4</v>
      </c>
      <c r="AD218" s="34">
        <v>3</v>
      </c>
      <c r="AE218" s="58"/>
      <c r="AF218" s="58"/>
      <c r="AG218" s="58"/>
      <c r="AH218" s="58"/>
      <c r="AI218" s="42">
        <f t="shared" si="30"/>
        <v>3</v>
      </c>
      <c r="AJ218" s="58"/>
      <c r="AK218" s="34">
        <v>4</v>
      </c>
      <c r="AL218" s="58"/>
      <c r="AM218" s="58"/>
      <c r="AN218" s="58"/>
      <c r="AO218" s="43">
        <f t="shared" si="31"/>
        <v>4</v>
      </c>
      <c r="AP218" s="34">
        <v>3</v>
      </c>
      <c r="AQ218" s="34"/>
      <c r="AR218" s="34"/>
      <c r="AS218" s="34"/>
      <c r="AT218" s="34"/>
      <c r="AU218" s="42">
        <f t="shared" si="32"/>
        <v>3</v>
      </c>
      <c r="AV218" s="34"/>
      <c r="AW218" s="34"/>
      <c r="AX218" s="58"/>
      <c r="AY218" s="34">
        <v>4</v>
      </c>
      <c r="AZ218" s="34"/>
      <c r="BA218" s="43">
        <f t="shared" si="33"/>
        <v>4</v>
      </c>
    </row>
    <row r="219" spans="1:53" ht="23.1" customHeight="1" x14ac:dyDescent="0.3">
      <c r="A219" s="83">
        <v>216</v>
      </c>
      <c r="B219" s="83" t="s">
        <v>465</v>
      </c>
      <c r="C219" s="84" t="s">
        <v>466</v>
      </c>
      <c r="D219" s="83" t="s">
        <v>450</v>
      </c>
      <c r="E219" s="83" t="s">
        <v>289</v>
      </c>
      <c r="F219" s="88"/>
      <c r="G219" s="88"/>
      <c r="H219" s="88"/>
      <c r="I219" s="88"/>
      <c r="J219" s="88"/>
      <c r="K219" s="75">
        <v>2</v>
      </c>
      <c r="L219" s="88"/>
      <c r="M219" s="16">
        <v>4</v>
      </c>
      <c r="N219" s="16">
        <v>4</v>
      </c>
      <c r="O219" s="59"/>
      <c r="P219" s="16">
        <v>4</v>
      </c>
      <c r="Q219" s="43">
        <f t="shared" si="27"/>
        <v>4</v>
      </c>
      <c r="R219" s="16">
        <v>4</v>
      </c>
      <c r="S219" s="59"/>
      <c r="T219" s="59"/>
      <c r="U219" s="59"/>
      <c r="V219" s="59"/>
      <c r="W219" s="42">
        <f t="shared" si="28"/>
        <v>4</v>
      </c>
      <c r="X219" s="16">
        <v>4</v>
      </c>
      <c r="Y219" s="59"/>
      <c r="Z219" s="59"/>
      <c r="AA219" s="59"/>
      <c r="AB219" s="59"/>
      <c r="AC219" s="42">
        <f t="shared" si="29"/>
        <v>4</v>
      </c>
      <c r="AD219" s="16">
        <v>4</v>
      </c>
      <c r="AE219" s="59"/>
      <c r="AF219" s="59"/>
      <c r="AG219" s="59"/>
      <c r="AH219" s="59"/>
      <c r="AI219" s="42">
        <f t="shared" si="30"/>
        <v>4</v>
      </c>
      <c r="AJ219" s="59"/>
      <c r="AK219" s="16">
        <v>4</v>
      </c>
      <c r="AL219" s="59"/>
      <c r="AM219" s="59"/>
      <c r="AN219" s="59"/>
      <c r="AO219" s="43">
        <f t="shared" si="31"/>
        <v>4</v>
      </c>
      <c r="AP219" s="16">
        <v>5</v>
      </c>
      <c r="AQ219" s="16"/>
      <c r="AR219" s="16"/>
      <c r="AS219" s="16"/>
      <c r="AT219" s="16"/>
      <c r="AU219" s="42">
        <f t="shared" si="32"/>
        <v>5</v>
      </c>
      <c r="AV219" s="16"/>
      <c r="AW219" s="16"/>
      <c r="AX219" s="59"/>
      <c r="AY219" s="16">
        <v>5</v>
      </c>
      <c r="AZ219" s="16"/>
      <c r="BA219" s="43">
        <f t="shared" si="33"/>
        <v>5</v>
      </c>
    </row>
    <row r="220" spans="1:53" ht="23.1" customHeight="1" x14ac:dyDescent="0.3">
      <c r="A220" s="76">
        <v>217</v>
      </c>
      <c r="B220" s="76" t="s">
        <v>467</v>
      </c>
      <c r="C220" s="77" t="s">
        <v>468</v>
      </c>
      <c r="D220" s="76" t="s">
        <v>542</v>
      </c>
      <c r="E220" s="76" t="s">
        <v>289</v>
      </c>
      <c r="F220" s="81"/>
      <c r="G220" s="81"/>
      <c r="H220" s="81"/>
      <c r="I220" s="81"/>
      <c r="J220" s="81"/>
      <c r="K220" s="75">
        <v>3</v>
      </c>
      <c r="L220" s="81"/>
      <c r="M220" s="34">
        <v>5</v>
      </c>
      <c r="N220" s="34">
        <v>5</v>
      </c>
      <c r="O220" s="58"/>
      <c r="P220" s="34">
        <v>5</v>
      </c>
      <c r="Q220" s="43">
        <f t="shared" si="27"/>
        <v>5</v>
      </c>
      <c r="R220" s="34">
        <v>4</v>
      </c>
      <c r="S220" s="58"/>
      <c r="T220" s="58"/>
      <c r="U220" s="58"/>
      <c r="V220" s="58"/>
      <c r="W220" s="42">
        <f t="shared" si="28"/>
        <v>4</v>
      </c>
      <c r="X220" s="34">
        <v>4</v>
      </c>
      <c r="Y220" s="58"/>
      <c r="Z220" s="58"/>
      <c r="AA220" s="58"/>
      <c r="AB220" s="58"/>
      <c r="AC220" s="42">
        <f t="shared" si="29"/>
        <v>4</v>
      </c>
      <c r="AD220" s="34">
        <v>5</v>
      </c>
      <c r="AE220" s="58"/>
      <c r="AF220" s="58"/>
      <c r="AG220" s="58"/>
      <c r="AH220" s="58"/>
      <c r="AI220" s="42">
        <f t="shared" si="30"/>
        <v>5</v>
      </c>
      <c r="AJ220" s="58"/>
      <c r="AK220" s="34">
        <v>4</v>
      </c>
      <c r="AL220" s="58"/>
      <c r="AM220" s="58"/>
      <c r="AN220" s="58"/>
      <c r="AO220" s="43">
        <f t="shared" si="31"/>
        <v>4</v>
      </c>
      <c r="AP220" s="34">
        <v>5</v>
      </c>
      <c r="AQ220" s="34"/>
      <c r="AR220" s="34"/>
      <c r="AS220" s="34"/>
      <c r="AT220" s="34"/>
      <c r="AU220" s="42">
        <f t="shared" si="32"/>
        <v>5</v>
      </c>
      <c r="AV220" s="34"/>
      <c r="AW220" s="34"/>
      <c r="AX220" s="58"/>
      <c r="AY220" s="34">
        <v>5</v>
      </c>
      <c r="AZ220" s="34"/>
      <c r="BA220" s="43">
        <f t="shared" si="33"/>
        <v>5</v>
      </c>
    </row>
    <row r="221" spans="1:53" ht="23.1" customHeight="1" x14ac:dyDescent="0.3">
      <c r="A221" s="83">
        <v>218</v>
      </c>
      <c r="B221" s="83" t="s">
        <v>469</v>
      </c>
      <c r="C221" s="84" t="s">
        <v>470</v>
      </c>
      <c r="D221" s="83" t="s">
        <v>450</v>
      </c>
      <c r="E221" s="83" t="s">
        <v>289</v>
      </c>
      <c r="F221" s="86"/>
      <c r="G221" s="86"/>
      <c r="H221" s="86"/>
      <c r="I221" s="86"/>
      <c r="J221" s="86"/>
      <c r="K221" s="75">
        <v>2</v>
      </c>
      <c r="L221" s="86"/>
      <c r="M221" s="16">
        <v>3</v>
      </c>
      <c r="N221" s="16">
        <v>3</v>
      </c>
      <c r="O221" s="57"/>
      <c r="P221" s="16">
        <v>3</v>
      </c>
      <c r="Q221" s="43">
        <f t="shared" si="27"/>
        <v>3</v>
      </c>
      <c r="R221" s="16">
        <v>4</v>
      </c>
      <c r="S221" s="57"/>
      <c r="T221" s="57"/>
      <c r="U221" s="57"/>
      <c r="V221" s="57"/>
      <c r="W221" s="42">
        <f t="shared" si="28"/>
        <v>4</v>
      </c>
      <c r="X221" s="16">
        <v>4</v>
      </c>
      <c r="Y221" s="57"/>
      <c r="Z221" s="57"/>
      <c r="AA221" s="57"/>
      <c r="AB221" s="57"/>
      <c r="AC221" s="42">
        <f t="shared" si="29"/>
        <v>4</v>
      </c>
      <c r="AD221" s="16">
        <v>3</v>
      </c>
      <c r="AE221" s="57"/>
      <c r="AF221" s="57"/>
      <c r="AG221" s="57"/>
      <c r="AH221" s="57"/>
      <c r="AI221" s="42">
        <f t="shared" si="30"/>
        <v>3</v>
      </c>
      <c r="AJ221" s="57"/>
      <c r="AK221" s="16">
        <v>4</v>
      </c>
      <c r="AL221" s="57"/>
      <c r="AM221" s="57"/>
      <c r="AN221" s="57"/>
      <c r="AO221" s="43">
        <f t="shared" si="31"/>
        <v>4</v>
      </c>
      <c r="AP221" s="16">
        <v>3</v>
      </c>
      <c r="AQ221" s="16"/>
      <c r="AR221" s="16"/>
      <c r="AS221" s="16"/>
      <c r="AT221" s="16"/>
      <c r="AU221" s="42">
        <f t="shared" si="32"/>
        <v>3</v>
      </c>
      <c r="AV221" s="16"/>
      <c r="AW221" s="16"/>
      <c r="AX221" s="57"/>
      <c r="AY221" s="16">
        <v>4</v>
      </c>
      <c r="AZ221" s="16"/>
      <c r="BA221" s="43">
        <f t="shared" si="33"/>
        <v>4</v>
      </c>
    </row>
    <row r="222" spans="1:53" ht="23.1" customHeight="1" x14ac:dyDescent="0.3">
      <c r="A222" s="76">
        <v>219</v>
      </c>
      <c r="B222" s="76" t="s">
        <v>471</v>
      </c>
      <c r="C222" s="77" t="s">
        <v>472</v>
      </c>
      <c r="D222" s="76" t="s">
        <v>450</v>
      </c>
      <c r="E222" s="76" t="s">
        <v>289</v>
      </c>
      <c r="F222" s="81"/>
      <c r="G222" s="81"/>
      <c r="H222" s="81"/>
      <c r="I222" s="81"/>
      <c r="J222" s="81"/>
      <c r="K222" s="75">
        <v>3</v>
      </c>
      <c r="L222" s="81"/>
      <c r="M222" s="34">
        <v>4</v>
      </c>
      <c r="N222" s="34">
        <v>4</v>
      </c>
      <c r="O222" s="58"/>
      <c r="P222" s="34">
        <v>4</v>
      </c>
      <c r="Q222" s="43">
        <f t="shared" si="27"/>
        <v>4</v>
      </c>
      <c r="R222" s="34">
        <v>4</v>
      </c>
      <c r="S222" s="58"/>
      <c r="T222" s="58"/>
      <c r="U222" s="58"/>
      <c r="V222" s="58"/>
      <c r="W222" s="42">
        <f t="shared" si="28"/>
        <v>4</v>
      </c>
      <c r="X222" s="34">
        <v>4</v>
      </c>
      <c r="Y222" s="58"/>
      <c r="Z222" s="58"/>
      <c r="AA222" s="58"/>
      <c r="AB222" s="58"/>
      <c r="AC222" s="42">
        <f t="shared" si="29"/>
        <v>4</v>
      </c>
      <c r="AD222" s="34">
        <v>4</v>
      </c>
      <c r="AE222" s="58"/>
      <c r="AF222" s="58"/>
      <c r="AG222" s="58"/>
      <c r="AH222" s="58"/>
      <c r="AI222" s="42">
        <f t="shared" si="30"/>
        <v>4</v>
      </c>
      <c r="AJ222" s="58"/>
      <c r="AK222" s="34">
        <v>3</v>
      </c>
      <c r="AL222" s="58"/>
      <c r="AM222" s="58"/>
      <c r="AN222" s="58"/>
      <c r="AO222" s="43">
        <f t="shared" si="31"/>
        <v>3</v>
      </c>
      <c r="AP222" s="34">
        <v>4</v>
      </c>
      <c r="AQ222" s="34"/>
      <c r="AR222" s="34"/>
      <c r="AS222" s="34"/>
      <c r="AT222" s="34"/>
      <c r="AU222" s="42">
        <f t="shared" si="32"/>
        <v>4</v>
      </c>
      <c r="AV222" s="34"/>
      <c r="AW222" s="34"/>
      <c r="AX222" s="58"/>
      <c r="AY222" s="34">
        <v>4</v>
      </c>
      <c r="AZ222" s="34"/>
      <c r="BA222" s="43">
        <f t="shared" si="33"/>
        <v>4</v>
      </c>
    </row>
    <row r="223" spans="1:53" ht="23.1" customHeight="1" x14ac:dyDescent="0.3">
      <c r="A223" s="83">
        <v>220</v>
      </c>
      <c r="B223" s="83" t="s">
        <v>473</v>
      </c>
      <c r="C223" s="84" t="s">
        <v>474</v>
      </c>
      <c r="D223" s="83" t="s">
        <v>542</v>
      </c>
      <c r="E223" s="83" t="s">
        <v>289</v>
      </c>
      <c r="F223" s="86"/>
      <c r="G223" s="86"/>
      <c r="H223" s="86"/>
      <c r="I223" s="86"/>
      <c r="J223" s="86"/>
      <c r="K223" s="75">
        <v>0</v>
      </c>
      <c r="L223" s="86"/>
      <c r="M223" s="16">
        <v>4</v>
      </c>
      <c r="N223" s="16">
        <v>4</v>
      </c>
      <c r="O223" s="57"/>
      <c r="P223" s="16">
        <v>4</v>
      </c>
      <c r="Q223" s="43">
        <f t="shared" si="27"/>
        <v>4</v>
      </c>
      <c r="R223" s="16">
        <v>5</v>
      </c>
      <c r="S223" s="57"/>
      <c r="T223" s="57"/>
      <c r="U223" s="57"/>
      <c r="V223" s="57"/>
      <c r="W223" s="42">
        <f t="shared" si="28"/>
        <v>5</v>
      </c>
      <c r="X223" s="16">
        <v>5</v>
      </c>
      <c r="Y223" s="57"/>
      <c r="Z223" s="57"/>
      <c r="AA223" s="57"/>
      <c r="AB223" s="57"/>
      <c r="AC223" s="42">
        <f t="shared" si="29"/>
        <v>5</v>
      </c>
      <c r="AD223" s="16">
        <v>4</v>
      </c>
      <c r="AE223" s="57"/>
      <c r="AF223" s="57"/>
      <c r="AG223" s="57"/>
      <c r="AH223" s="57"/>
      <c r="AI223" s="42">
        <f t="shared" si="30"/>
        <v>4</v>
      </c>
      <c r="AJ223" s="57"/>
      <c r="AK223" s="16">
        <v>3</v>
      </c>
      <c r="AL223" s="57"/>
      <c r="AM223" s="57"/>
      <c r="AN223" s="57"/>
      <c r="AO223" s="43">
        <f t="shared" si="31"/>
        <v>3</v>
      </c>
      <c r="AP223" s="16">
        <v>3</v>
      </c>
      <c r="AQ223" s="16"/>
      <c r="AR223" s="16"/>
      <c r="AS223" s="16"/>
      <c r="AT223" s="16"/>
      <c r="AU223" s="42">
        <f t="shared" si="32"/>
        <v>3</v>
      </c>
      <c r="AV223" s="16"/>
      <c r="AW223" s="16"/>
      <c r="AX223" s="57"/>
      <c r="AY223" s="16">
        <v>4</v>
      </c>
      <c r="AZ223" s="16"/>
      <c r="BA223" s="43">
        <f t="shared" si="33"/>
        <v>4</v>
      </c>
    </row>
    <row r="224" spans="1:53" ht="23.1" customHeight="1" x14ac:dyDescent="0.3">
      <c r="A224" s="76">
        <v>221</v>
      </c>
      <c r="B224" s="76" t="s">
        <v>475</v>
      </c>
      <c r="C224" s="77" t="s">
        <v>476</v>
      </c>
      <c r="D224" s="76" t="s">
        <v>450</v>
      </c>
      <c r="E224" s="76" t="s">
        <v>289</v>
      </c>
      <c r="F224" s="81"/>
      <c r="G224" s="81"/>
      <c r="H224" s="81"/>
      <c r="I224" s="81"/>
      <c r="J224" s="81"/>
      <c r="K224" s="75">
        <v>0</v>
      </c>
      <c r="L224" s="81"/>
      <c r="M224" s="34">
        <v>4</v>
      </c>
      <c r="N224" s="34">
        <v>4</v>
      </c>
      <c r="O224" s="58"/>
      <c r="P224" s="34">
        <v>4</v>
      </c>
      <c r="Q224" s="43">
        <f t="shared" si="27"/>
        <v>4</v>
      </c>
      <c r="R224" s="34">
        <v>4</v>
      </c>
      <c r="S224" s="58"/>
      <c r="T224" s="58"/>
      <c r="U224" s="58"/>
      <c r="V224" s="58"/>
      <c r="W224" s="42">
        <f t="shared" si="28"/>
        <v>4</v>
      </c>
      <c r="X224" s="34">
        <v>4</v>
      </c>
      <c r="Y224" s="58"/>
      <c r="Z224" s="58"/>
      <c r="AA224" s="58"/>
      <c r="AB224" s="58"/>
      <c r="AC224" s="42">
        <f t="shared" si="29"/>
        <v>4</v>
      </c>
      <c r="AD224" s="34">
        <v>3</v>
      </c>
      <c r="AE224" s="58"/>
      <c r="AF224" s="58"/>
      <c r="AG224" s="58"/>
      <c r="AH224" s="58"/>
      <c r="AI224" s="42">
        <f t="shared" si="30"/>
        <v>3</v>
      </c>
      <c r="AJ224" s="58"/>
      <c r="AK224" s="34">
        <v>3</v>
      </c>
      <c r="AL224" s="58"/>
      <c r="AM224" s="58"/>
      <c r="AN224" s="58"/>
      <c r="AO224" s="43">
        <f t="shared" si="31"/>
        <v>3</v>
      </c>
      <c r="AP224" s="34">
        <v>3</v>
      </c>
      <c r="AQ224" s="34"/>
      <c r="AR224" s="34"/>
      <c r="AS224" s="34"/>
      <c r="AT224" s="34"/>
      <c r="AU224" s="42">
        <f t="shared" si="32"/>
        <v>3</v>
      </c>
      <c r="AV224" s="34"/>
      <c r="AW224" s="34"/>
      <c r="AX224" s="58"/>
      <c r="AY224" s="34">
        <v>4</v>
      </c>
      <c r="AZ224" s="34"/>
      <c r="BA224" s="43">
        <f t="shared" si="33"/>
        <v>4</v>
      </c>
    </row>
    <row r="225" spans="1:53" ht="23.1" customHeight="1" x14ac:dyDescent="0.3">
      <c r="A225" s="83">
        <v>222</v>
      </c>
      <c r="B225" s="83" t="s">
        <v>477</v>
      </c>
      <c r="C225" s="84" t="s">
        <v>478</v>
      </c>
      <c r="D225" s="83" t="s">
        <v>450</v>
      </c>
      <c r="E225" s="83" t="s">
        <v>289</v>
      </c>
      <c r="F225" s="86"/>
      <c r="G225" s="86"/>
      <c r="H225" s="86"/>
      <c r="I225" s="86"/>
      <c r="J225" s="86"/>
      <c r="K225" s="75">
        <v>2</v>
      </c>
      <c r="L225" s="86"/>
      <c r="M225" s="16">
        <v>5</v>
      </c>
      <c r="N225" s="16">
        <v>5</v>
      </c>
      <c r="O225" s="57"/>
      <c r="P225" s="16">
        <v>5</v>
      </c>
      <c r="Q225" s="43">
        <f t="shared" si="27"/>
        <v>5</v>
      </c>
      <c r="R225" s="16">
        <v>3</v>
      </c>
      <c r="S225" s="57"/>
      <c r="T225" s="57"/>
      <c r="U225" s="57"/>
      <c r="V225" s="57"/>
      <c r="W225" s="42">
        <f t="shared" si="28"/>
        <v>3</v>
      </c>
      <c r="X225" s="16">
        <v>3</v>
      </c>
      <c r="Y225" s="57"/>
      <c r="Z225" s="57"/>
      <c r="AA225" s="57"/>
      <c r="AB225" s="57"/>
      <c r="AC225" s="42">
        <f t="shared" si="29"/>
        <v>3</v>
      </c>
      <c r="AD225" s="16">
        <v>4</v>
      </c>
      <c r="AE225" s="57"/>
      <c r="AF225" s="57"/>
      <c r="AG225" s="57"/>
      <c r="AH225" s="57"/>
      <c r="AI225" s="42">
        <f t="shared" si="30"/>
        <v>4</v>
      </c>
      <c r="AJ225" s="57"/>
      <c r="AK225" s="16">
        <v>4</v>
      </c>
      <c r="AL225" s="57"/>
      <c r="AM225" s="57"/>
      <c r="AN225" s="57"/>
      <c r="AO225" s="43">
        <f t="shared" si="31"/>
        <v>4</v>
      </c>
      <c r="AP225" s="16">
        <v>5</v>
      </c>
      <c r="AQ225" s="16"/>
      <c r="AR225" s="16"/>
      <c r="AS225" s="16"/>
      <c r="AT225" s="16"/>
      <c r="AU225" s="42">
        <f t="shared" si="32"/>
        <v>5</v>
      </c>
      <c r="AV225" s="16"/>
      <c r="AW225" s="16"/>
      <c r="AX225" s="57"/>
      <c r="AY225" s="16">
        <v>5</v>
      </c>
      <c r="AZ225" s="16"/>
      <c r="BA225" s="43">
        <f t="shared" si="33"/>
        <v>5</v>
      </c>
    </row>
    <row r="226" spans="1:53" ht="23.1" customHeight="1" x14ac:dyDescent="0.3">
      <c r="A226" s="76">
        <v>223</v>
      </c>
      <c r="B226" s="76" t="s">
        <v>479</v>
      </c>
      <c r="C226" s="77" t="s">
        <v>480</v>
      </c>
      <c r="D226" s="76" t="s">
        <v>450</v>
      </c>
      <c r="E226" s="76" t="s">
        <v>289</v>
      </c>
      <c r="F226" s="81"/>
      <c r="G226" s="81"/>
      <c r="H226" s="81"/>
      <c r="I226" s="81"/>
      <c r="J226" s="81"/>
      <c r="K226" s="75">
        <v>2</v>
      </c>
      <c r="L226" s="81"/>
      <c r="M226" s="34">
        <v>2</v>
      </c>
      <c r="N226" s="34">
        <v>2</v>
      </c>
      <c r="O226" s="58"/>
      <c r="P226" s="34">
        <v>2</v>
      </c>
      <c r="Q226" s="43">
        <f t="shared" si="27"/>
        <v>2</v>
      </c>
      <c r="R226" s="34">
        <v>0</v>
      </c>
      <c r="S226" s="58"/>
      <c r="T226" s="58"/>
      <c r="U226" s="58"/>
      <c r="V226" s="58"/>
      <c r="W226" s="42">
        <f t="shared" si="28"/>
        <v>0</v>
      </c>
      <c r="X226" s="34">
        <v>0</v>
      </c>
      <c r="Y226" s="58"/>
      <c r="Z226" s="58"/>
      <c r="AA226" s="58"/>
      <c r="AB226" s="58"/>
      <c r="AC226" s="42">
        <f t="shared" si="29"/>
        <v>0</v>
      </c>
      <c r="AD226" s="34">
        <v>0</v>
      </c>
      <c r="AE226" s="58"/>
      <c r="AF226" s="58"/>
      <c r="AG226" s="58"/>
      <c r="AH226" s="58"/>
      <c r="AI226" s="42">
        <f t="shared" si="30"/>
        <v>0</v>
      </c>
      <c r="AJ226" s="58"/>
      <c r="AK226" s="34">
        <v>3</v>
      </c>
      <c r="AL226" s="58"/>
      <c r="AM226" s="58"/>
      <c r="AN226" s="58"/>
      <c r="AO226" s="43">
        <f t="shared" si="31"/>
        <v>3</v>
      </c>
      <c r="AP226" s="34">
        <v>3</v>
      </c>
      <c r="AQ226" s="34"/>
      <c r="AR226" s="34"/>
      <c r="AS226" s="34"/>
      <c r="AT226" s="34"/>
      <c r="AU226" s="42">
        <f t="shared" si="32"/>
        <v>3</v>
      </c>
      <c r="AV226" s="34"/>
      <c r="AW226" s="34"/>
      <c r="AX226" s="58"/>
      <c r="AY226" s="34">
        <v>0</v>
      </c>
      <c r="AZ226" s="34"/>
      <c r="BA226" s="43">
        <f t="shared" si="33"/>
        <v>0</v>
      </c>
    </row>
    <row r="227" spans="1:53" ht="23.1" customHeight="1" x14ac:dyDescent="0.3">
      <c r="A227" s="83">
        <v>224</v>
      </c>
      <c r="B227" s="83" t="s">
        <v>481</v>
      </c>
      <c r="C227" s="84" t="s">
        <v>482</v>
      </c>
      <c r="D227" s="83" t="s">
        <v>450</v>
      </c>
      <c r="E227" s="83" t="s">
        <v>289</v>
      </c>
      <c r="F227" s="86"/>
      <c r="G227" s="86"/>
      <c r="H227" s="86"/>
      <c r="I227" s="86"/>
      <c r="J227" s="86"/>
      <c r="K227" s="75">
        <v>3</v>
      </c>
      <c r="L227" s="86"/>
      <c r="M227" s="16">
        <v>4</v>
      </c>
      <c r="N227" s="16">
        <v>5</v>
      </c>
      <c r="O227" s="57"/>
      <c r="P227" s="16">
        <v>4</v>
      </c>
      <c r="Q227" s="43">
        <f t="shared" si="27"/>
        <v>4.333333333333333</v>
      </c>
      <c r="R227" s="16">
        <v>5</v>
      </c>
      <c r="S227" s="57"/>
      <c r="T227" s="57"/>
      <c r="U227" s="57"/>
      <c r="V227" s="57"/>
      <c r="W227" s="42">
        <f t="shared" si="28"/>
        <v>5</v>
      </c>
      <c r="X227" s="16">
        <v>5</v>
      </c>
      <c r="Y227" s="57"/>
      <c r="Z227" s="57"/>
      <c r="AA227" s="57"/>
      <c r="AB227" s="57"/>
      <c r="AC227" s="42">
        <f t="shared" si="29"/>
        <v>5</v>
      </c>
      <c r="AD227" s="16">
        <v>5</v>
      </c>
      <c r="AE227" s="57"/>
      <c r="AF227" s="57"/>
      <c r="AG227" s="57"/>
      <c r="AH227" s="57"/>
      <c r="AI227" s="42">
        <f t="shared" si="30"/>
        <v>5</v>
      </c>
      <c r="AJ227" s="57"/>
      <c r="AK227" s="16">
        <v>5</v>
      </c>
      <c r="AL227" s="57"/>
      <c r="AM227" s="57"/>
      <c r="AN227" s="57"/>
      <c r="AO227" s="43">
        <f t="shared" si="31"/>
        <v>5</v>
      </c>
      <c r="AP227" s="16">
        <v>5</v>
      </c>
      <c r="AQ227" s="16"/>
      <c r="AR227" s="16"/>
      <c r="AS227" s="16"/>
      <c r="AT227" s="16"/>
      <c r="AU227" s="42">
        <f t="shared" si="32"/>
        <v>5</v>
      </c>
      <c r="AV227" s="16"/>
      <c r="AW227" s="16"/>
      <c r="AX227" s="57"/>
      <c r="AY227" s="16">
        <v>5</v>
      </c>
      <c r="AZ227" s="16"/>
      <c r="BA227" s="43">
        <f t="shared" si="33"/>
        <v>5</v>
      </c>
    </row>
    <row r="228" spans="1:53" ht="23.1" customHeight="1" x14ac:dyDescent="0.3">
      <c r="A228" s="76">
        <v>225</v>
      </c>
      <c r="B228" s="76" t="s">
        <v>483</v>
      </c>
      <c r="C228" s="77" t="s">
        <v>540</v>
      </c>
      <c r="D228" s="76" t="s">
        <v>450</v>
      </c>
      <c r="E228" s="76" t="s">
        <v>289</v>
      </c>
      <c r="F228" s="81"/>
      <c r="G228" s="81"/>
      <c r="H228" s="81"/>
      <c r="I228" s="81"/>
      <c r="J228" s="81"/>
      <c r="K228" s="75">
        <v>2</v>
      </c>
      <c r="L228" s="81"/>
      <c r="M228" s="34">
        <v>4</v>
      </c>
      <c r="N228" s="34">
        <v>4</v>
      </c>
      <c r="O228" s="58"/>
      <c r="P228" s="34">
        <v>4</v>
      </c>
      <c r="Q228" s="43">
        <f t="shared" si="27"/>
        <v>4</v>
      </c>
      <c r="R228" s="34">
        <v>3</v>
      </c>
      <c r="S228" s="58"/>
      <c r="T228" s="58"/>
      <c r="U228" s="58"/>
      <c r="V228" s="58"/>
      <c r="W228" s="42">
        <f t="shared" si="28"/>
        <v>3</v>
      </c>
      <c r="X228" s="34">
        <v>3</v>
      </c>
      <c r="Y228" s="58"/>
      <c r="Z228" s="58"/>
      <c r="AA228" s="58"/>
      <c r="AB228" s="58"/>
      <c r="AC228" s="42">
        <f t="shared" si="29"/>
        <v>3</v>
      </c>
      <c r="AD228" s="34">
        <v>3</v>
      </c>
      <c r="AE228" s="58"/>
      <c r="AF228" s="58"/>
      <c r="AG228" s="58"/>
      <c r="AH228" s="58"/>
      <c r="AI228" s="42">
        <f t="shared" si="30"/>
        <v>3</v>
      </c>
      <c r="AJ228" s="58"/>
      <c r="AK228" s="34">
        <v>2</v>
      </c>
      <c r="AL228" s="58"/>
      <c r="AM228" s="58"/>
      <c r="AN228" s="58"/>
      <c r="AO228" s="43">
        <f t="shared" si="31"/>
        <v>2</v>
      </c>
      <c r="AP228" s="34">
        <v>4</v>
      </c>
      <c r="AQ228" s="34"/>
      <c r="AR228" s="34"/>
      <c r="AS228" s="34"/>
      <c r="AT228" s="34"/>
      <c r="AU228" s="42">
        <f t="shared" si="32"/>
        <v>4</v>
      </c>
      <c r="AV228" s="34"/>
      <c r="AW228" s="34"/>
      <c r="AX228" s="58"/>
      <c r="AY228" s="34">
        <v>4</v>
      </c>
      <c r="AZ228" s="34"/>
      <c r="BA228" s="43">
        <f t="shared" si="33"/>
        <v>4</v>
      </c>
    </row>
    <row r="229" spans="1:53" ht="23.1" customHeight="1" x14ac:dyDescent="0.3">
      <c r="A229" s="83">
        <v>226</v>
      </c>
      <c r="B229" s="83" t="s">
        <v>484</v>
      </c>
      <c r="C229" s="84" t="s">
        <v>485</v>
      </c>
      <c r="D229" s="83" t="s">
        <v>450</v>
      </c>
      <c r="E229" s="83" t="s">
        <v>289</v>
      </c>
      <c r="F229" s="92"/>
      <c r="G229" s="92"/>
      <c r="H229" s="92"/>
      <c r="I229" s="92"/>
      <c r="J229" s="92"/>
      <c r="K229" s="75">
        <v>2</v>
      </c>
      <c r="L229" s="92"/>
      <c r="M229" s="16">
        <v>5</v>
      </c>
      <c r="N229" s="16">
        <v>5</v>
      </c>
      <c r="O229" s="61"/>
      <c r="P229" s="16">
        <v>5</v>
      </c>
      <c r="Q229" s="43">
        <f t="shared" si="27"/>
        <v>5</v>
      </c>
      <c r="R229" s="16">
        <v>5</v>
      </c>
      <c r="S229" s="61"/>
      <c r="T229" s="61"/>
      <c r="U229" s="61"/>
      <c r="V229" s="61"/>
      <c r="W229" s="42">
        <f t="shared" si="28"/>
        <v>5</v>
      </c>
      <c r="X229" s="16">
        <v>5</v>
      </c>
      <c r="Y229" s="61"/>
      <c r="Z229" s="61"/>
      <c r="AA229" s="61"/>
      <c r="AB229" s="61"/>
      <c r="AC229" s="42">
        <f t="shared" si="29"/>
        <v>5</v>
      </c>
      <c r="AD229" s="16">
        <v>5</v>
      </c>
      <c r="AE229" s="61"/>
      <c r="AF229" s="61"/>
      <c r="AG229" s="61"/>
      <c r="AH229" s="61"/>
      <c r="AI229" s="42">
        <f t="shared" si="30"/>
        <v>5</v>
      </c>
      <c r="AJ229" s="61"/>
      <c r="AK229" s="16">
        <v>5</v>
      </c>
      <c r="AL229" s="61"/>
      <c r="AM229" s="61"/>
      <c r="AN229" s="61"/>
      <c r="AO229" s="43">
        <f t="shared" si="31"/>
        <v>5</v>
      </c>
      <c r="AP229" s="16">
        <v>5</v>
      </c>
      <c r="AQ229" s="16"/>
      <c r="AR229" s="16"/>
      <c r="AS229" s="16"/>
      <c r="AT229" s="16"/>
      <c r="AU229" s="42">
        <f t="shared" si="32"/>
        <v>5</v>
      </c>
      <c r="AV229" s="16"/>
      <c r="AW229" s="16"/>
      <c r="AX229" s="61"/>
      <c r="AY229" s="16">
        <v>5</v>
      </c>
      <c r="AZ229" s="16"/>
      <c r="BA229" s="43">
        <f t="shared" si="33"/>
        <v>5</v>
      </c>
    </row>
    <row r="230" spans="1:53" ht="23.1" customHeight="1" x14ac:dyDescent="0.3">
      <c r="A230" s="76">
        <v>227</v>
      </c>
      <c r="B230" s="76" t="s">
        <v>486</v>
      </c>
      <c r="C230" s="77" t="s">
        <v>487</v>
      </c>
      <c r="D230" s="76" t="s">
        <v>450</v>
      </c>
      <c r="E230" s="76" t="s">
        <v>289</v>
      </c>
      <c r="F230" s="96"/>
      <c r="G230" s="96"/>
      <c r="H230" s="96"/>
      <c r="I230" s="96"/>
      <c r="J230" s="96"/>
      <c r="K230" s="75">
        <v>0</v>
      </c>
      <c r="L230" s="96"/>
      <c r="M230" s="34">
        <v>2</v>
      </c>
      <c r="N230" s="34">
        <v>2</v>
      </c>
      <c r="O230" s="56"/>
      <c r="P230" s="34">
        <v>3</v>
      </c>
      <c r="Q230" s="43">
        <f t="shared" si="27"/>
        <v>2.3333333333333335</v>
      </c>
      <c r="R230" s="34">
        <v>3</v>
      </c>
      <c r="S230" s="56"/>
      <c r="T230" s="56"/>
      <c r="U230" s="56"/>
      <c r="V230" s="56"/>
      <c r="W230" s="42">
        <f t="shared" si="28"/>
        <v>3</v>
      </c>
      <c r="X230" s="34">
        <v>3</v>
      </c>
      <c r="Y230" s="56"/>
      <c r="Z230" s="56"/>
      <c r="AA230" s="56"/>
      <c r="AB230" s="56"/>
      <c r="AC230" s="42">
        <f t="shared" si="29"/>
        <v>3</v>
      </c>
      <c r="AD230" s="34">
        <v>2</v>
      </c>
      <c r="AE230" s="56"/>
      <c r="AF230" s="56"/>
      <c r="AG230" s="56"/>
      <c r="AH230" s="56"/>
      <c r="AI230" s="42">
        <f t="shared" si="30"/>
        <v>2</v>
      </c>
      <c r="AJ230" s="56"/>
      <c r="AK230" s="34">
        <v>2</v>
      </c>
      <c r="AL230" s="56"/>
      <c r="AM230" s="56"/>
      <c r="AN230" s="56"/>
      <c r="AO230" s="43">
        <f t="shared" si="31"/>
        <v>2</v>
      </c>
      <c r="AP230" s="34">
        <v>3</v>
      </c>
      <c r="AQ230" s="34"/>
      <c r="AR230" s="34"/>
      <c r="AS230" s="34"/>
      <c r="AT230" s="34"/>
      <c r="AU230" s="42">
        <f t="shared" si="32"/>
        <v>3</v>
      </c>
      <c r="AV230" s="34"/>
      <c r="AW230" s="34"/>
      <c r="AX230" s="56"/>
      <c r="AY230" s="34">
        <v>2</v>
      </c>
      <c r="AZ230" s="34"/>
      <c r="BA230" s="43">
        <f t="shared" si="33"/>
        <v>2</v>
      </c>
    </row>
    <row r="231" spans="1:53" ht="23.1" customHeight="1" x14ac:dyDescent="0.3">
      <c r="A231" s="123">
        <v>228</v>
      </c>
      <c r="B231" s="123" t="s">
        <v>541</v>
      </c>
      <c r="C231" s="124" t="s">
        <v>488</v>
      </c>
      <c r="D231" s="123" t="s">
        <v>545</v>
      </c>
      <c r="E231" s="123" t="s">
        <v>289</v>
      </c>
      <c r="F231" s="125"/>
      <c r="G231" s="125"/>
      <c r="H231" s="125"/>
      <c r="I231" s="125"/>
      <c r="J231" s="125"/>
      <c r="K231" s="44">
        <v>0</v>
      </c>
      <c r="L231" s="125"/>
      <c r="M231" s="16" t="s">
        <v>582</v>
      </c>
      <c r="N231" s="16" t="s">
        <v>582</v>
      </c>
      <c r="O231" s="37"/>
      <c r="P231" s="16" t="s">
        <v>582</v>
      </c>
      <c r="Q231" s="43" t="str">
        <f t="shared" si="27"/>
        <v>0</v>
      </c>
      <c r="R231" s="16" t="s">
        <v>582</v>
      </c>
      <c r="S231" s="37"/>
      <c r="T231" s="37"/>
      <c r="U231" s="37"/>
      <c r="V231" s="37"/>
      <c r="W231" s="42" t="str">
        <f t="shared" si="28"/>
        <v>0</v>
      </c>
      <c r="X231" s="16" t="s">
        <v>582</v>
      </c>
      <c r="Y231" s="37"/>
      <c r="Z231" s="37"/>
      <c r="AA231" s="37"/>
      <c r="AB231" s="37"/>
      <c r="AC231" s="42" t="str">
        <f t="shared" si="29"/>
        <v>0</v>
      </c>
      <c r="AD231" s="16" t="s">
        <v>582</v>
      </c>
      <c r="AE231" s="37"/>
      <c r="AF231" s="37"/>
      <c r="AG231" s="37"/>
      <c r="AH231" s="37"/>
      <c r="AI231" s="42" t="str">
        <f t="shared" si="30"/>
        <v>0</v>
      </c>
      <c r="AJ231" s="37"/>
      <c r="AK231" s="16" t="s">
        <v>582</v>
      </c>
      <c r="AL231" s="37"/>
      <c r="AM231" s="37"/>
      <c r="AN231" s="37"/>
      <c r="AO231" s="43" t="str">
        <f t="shared" si="31"/>
        <v>0</v>
      </c>
      <c r="AP231" s="16" t="s">
        <v>582</v>
      </c>
      <c r="AQ231" s="16"/>
      <c r="AR231" s="16"/>
      <c r="AS231" s="16"/>
      <c r="AT231" s="16"/>
      <c r="AU231" s="42" t="str">
        <f t="shared" si="32"/>
        <v>0</v>
      </c>
      <c r="AV231" s="16"/>
      <c r="AW231" s="16"/>
      <c r="AX231" s="37"/>
      <c r="AY231" s="16" t="s">
        <v>582</v>
      </c>
      <c r="AZ231" s="16"/>
      <c r="BA231" s="43" t="str">
        <f t="shared" si="33"/>
        <v>0</v>
      </c>
    </row>
  </sheetData>
  <mergeCells count="21">
    <mergeCell ref="R1:V1"/>
    <mergeCell ref="W1:W2"/>
    <mergeCell ref="X1:AB1"/>
    <mergeCell ref="A1:A2"/>
    <mergeCell ref="B1:B2"/>
    <mergeCell ref="C1:C2"/>
    <mergeCell ref="D1:D2"/>
    <mergeCell ref="F1:J1"/>
    <mergeCell ref="K1:K2"/>
    <mergeCell ref="L1:P1"/>
    <mergeCell ref="Q1:Q2"/>
    <mergeCell ref="E1:E2"/>
    <mergeCell ref="AP1:AT1"/>
    <mergeCell ref="AU1:AU2"/>
    <mergeCell ref="AV1:AZ1"/>
    <mergeCell ref="BA1:BA2"/>
    <mergeCell ref="AC1:AC2"/>
    <mergeCell ref="AD1:AH1"/>
    <mergeCell ref="AI1:AI2"/>
    <mergeCell ref="AJ1:AN1"/>
    <mergeCell ref="AO1:A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1DC0-AE18-4DCA-95E3-436FA118579B}">
  <dimension ref="A1:CJ230"/>
  <sheetViews>
    <sheetView tabSelected="1" topLeftCell="BL216" zoomScale="102" zoomScaleNormal="102" workbookViewId="0">
      <selection activeCell="CH3" sqref="CH3:CJ230"/>
    </sheetView>
  </sheetViews>
  <sheetFormatPr defaultRowHeight="14.4" x14ac:dyDescent="0.3"/>
  <cols>
    <col min="1" max="1" width="10.33203125" style="11" customWidth="1"/>
    <col min="2" max="2" width="21.6640625" style="11" customWidth="1"/>
    <col min="3" max="3" width="22.77734375" style="3" customWidth="1"/>
    <col min="4" max="5" width="12.44140625" style="11" customWidth="1"/>
    <col min="13" max="13" width="1.33203125" style="122" customWidth="1"/>
    <col min="21" max="21" width="1.33203125" style="122" customWidth="1"/>
    <col min="29" max="29" width="1.33203125" style="122" customWidth="1"/>
    <col min="37" max="37" width="1.33203125" style="122" customWidth="1"/>
    <col min="45" max="45" width="1.33203125" style="122" customWidth="1"/>
    <col min="52" max="52" width="8.88671875" customWidth="1"/>
    <col min="53" max="53" width="1.21875" style="122" customWidth="1"/>
    <col min="61" max="61" width="1.33203125" style="122" customWidth="1"/>
    <col min="69" max="69" width="1.33203125" style="122" customWidth="1"/>
    <col min="77" max="77" width="1.33203125" style="122" customWidth="1"/>
    <col min="85" max="85" width="1.44140625" customWidth="1"/>
    <col min="86" max="86" width="8.5546875" customWidth="1"/>
    <col min="87" max="87" width="8.88671875" style="12"/>
  </cols>
  <sheetData>
    <row r="1" spans="1:88" s="3" customFormat="1" ht="21.6" customHeight="1" x14ac:dyDescent="0.3">
      <c r="A1" s="152" t="s">
        <v>0</v>
      </c>
      <c r="B1" s="152" t="s">
        <v>26</v>
      </c>
      <c r="C1" s="154" t="s">
        <v>27</v>
      </c>
      <c r="D1" s="152" t="s">
        <v>489</v>
      </c>
      <c r="E1" s="152" t="s">
        <v>25</v>
      </c>
      <c r="F1" s="159" t="s">
        <v>633</v>
      </c>
      <c r="G1" s="160"/>
      <c r="H1" s="160"/>
      <c r="I1" s="160"/>
      <c r="J1" s="160"/>
      <c r="K1" s="160"/>
      <c r="L1" s="161"/>
      <c r="M1" s="121"/>
      <c r="N1" s="159" t="s">
        <v>634</v>
      </c>
      <c r="O1" s="160"/>
      <c r="P1" s="160"/>
      <c r="Q1" s="160"/>
      <c r="R1" s="160"/>
      <c r="S1" s="160"/>
      <c r="T1" s="161"/>
      <c r="U1" s="121"/>
      <c r="V1" s="159" t="s">
        <v>635</v>
      </c>
      <c r="W1" s="160"/>
      <c r="X1" s="160"/>
      <c r="Y1" s="160"/>
      <c r="Z1" s="160"/>
      <c r="AA1" s="160"/>
      <c r="AB1" s="161"/>
      <c r="AC1" s="121"/>
      <c r="AD1" s="159" t="s">
        <v>636</v>
      </c>
      <c r="AE1" s="160"/>
      <c r="AF1" s="160"/>
      <c r="AG1" s="160"/>
      <c r="AH1" s="160"/>
      <c r="AI1" s="160"/>
      <c r="AJ1" s="161"/>
      <c r="AK1" s="121"/>
      <c r="AL1" s="159" t="s">
        <v>637</v>
      </c>
      <c r="AM1" s="160"/>
      <c r="AN1" s="160"/>
      <c r="AO1" s="160"/>
      <c r="AP1" s="160"/>
      <c r="AQ1" s="160"/>
      <c r="AR1" s="161"/>
      <c r="AS1" s="121"/>
      <c r="AT1" s="159" t="s">
        <v>639</v>
      </c>
      <c r="AU1" s="160"/>
      <c r="AV1" s="160"/>
      <c r="AW1" s="160"/>
      <c r="AX1" s="160"/>
      <c r="AY1" s="160"/>
      <c r="AZ1" s="161"/>
      <c r="BA1" s="121"/>
      <c r="BB1" s="159" t="s">
        <v>640</v>
      </c>
      <c r="BC1" s="160"/>
      <c r="BD1" s="160"/>
      <c r="BE1" s="160"/>
      <c r="BF1" s="160"/>
      <c r="BG1" s="160"/>
      <c r="BH1" s="160"/>
      <c r="BI1" s="161"/>
      <c r="BJ1" s="159" t="s">
        <v>638</v>
      </c>
      <c r="BK1" s="160"/>
      <c r="BL1" s="160"/>
      <c r="BM1" s="160"/>
      <c r="BN1" s="160"/>
      <c r="BO1" s="160"/>
      <c r="BP1" s="161"/>
      <c r="BQ1" s="121"/>
      <c r="BR1" s="167" t="s">
        <v>631</v>
      </c>
      <c r="BS1" s="168"/>
      <c r="BT1" s="168"/>
      <c r="BU1" s="168"/>
      <c r="BV1" s="168"/>
      <c r="BW1" s="168"/>
      <c r="BX1" s="169"/>
      <c r="BY1" s="121"/>
      <c r="BZ1" s="164" t="s">
        <v>632</v>
      </c>
      <c r="CA1" s="165"/>
      <c r="CB1" s="165"/>
      <c r="CC1" s="165"/>
      <c r="CD1" s="165"/>
      <c r="CE1" s="165"/>
      <c r="CF1" s="166"/>
      <c r="CH1" s="162" t="s">
        <v>29</v>
      </c>
      <c r="CI1" s="162"/>
      <c r="CJ1" s="163"/>
    </row>
    <row r="2" spans="1:88" s="3" customFormat="1" ht="20.100000000000001" customHeight="1" x14ac:dyDescent="0.3">
      <c r="A2" s="157"/>
      <c r="B2" s="157"/>
      <c r="C2" s="158"/>
      <c r="D2" s="157"/>
      <c r="E2" s="157"/>
      <c r="F2" s="20" t="s">
        <v>35</v>
      </c>
      <c r="G2" s="20" t="s">
        <v>493</v>
      </c>
      <c r="H2" s="20" t="s">
        <v>626</v>
      </c>
      <c r="I2" s="20" t="s">
        <v>627</v>
      </c>
      <c r="J2" s="20" t="s">
        <v>628</v>
      </c>
      <c r="K2" s="20" t="s">
        <v>629</v>
      </c>
      <c r="L2" s="20" t="s">
        <v>630</v>
      </c>
      <c r="M2" s="138"/>
      <c r="N2" s="20" t="s">
        <v>35</v>
      </c>
      <c r="O2" s="20" t="s">
        <v>493</v>
      </c>
      <c r="P2" s="20" t="s">
        <v>626</v>
      </c>
      <c r="Q2" s="20" t="s">
        <v>627</v>
      </c>
      <c r="R2" s="20" t="s">
        <v>628</v>
      </c>
      <c r="S2" s="20" t="s">
        <v>629</v>
      </c>
      <c r="T2" s="20" t="s">
        <v>630</v>
      </c>
      <c r="U2" s="138"/>
      <c r="V2" s="20" t="s">
        <v>35</v>
      </c>
      <c r="W2" s="20" t="s">
        <v>493</v>
      </c>
      <c r="X2" s="20" t="s">
        <v>626</v>
      </c>
      <c r="Y2" s="20" t="s">
        <v>627</v>
      </c>
      <c r="Z2" s="20" t="s">
        <v>628</v>
      </c>
      <c r="AA2" s="20" t="s">
        <v>629</v>
      </c>
      <c r="AB2" s="20" t="s">
        <v>630</v>
      </c>
      <c r="AC2" s="138"/>
      <c r="AD2" s="20" t="s">
        <v>35</v>
      </c>
      <c r="AE2" s="20" t="s">
        <v>493</v>
      </c>
      <c r="AF2" s="20" t="s">
        <v>626</v>
      </c>
      <c r="AG2" s="20" t="s">
        <v>627</v>
      </c>
      <c r="AH2" s="20" t="s">
        <v>628</v>
      </c>
      <c r="AI2" s="20" t="s">
        <v>629</v>
      </c>
      <c r="AJ2" s="20" t="s">
        <v>630</v>
      </c>
      <c r="AK2" s="138"/>
      <c r="AL2" s="20" t="s">
        <v>35</v>
      </c>
      <c r="AM2" s="20" t="s">
        <v>493</v>
      </c>
      <c r="AN2" s="20" t="s">
        <v>626</v>
      </c>
      <c r="AO2" s="20" t="s">
        <v>627</v>
      </c>
      <c r="AP2" s="20" t="s">
        <v>628</v>
      </c>
      <c r="AQ2" s="20" t="s">
        <v>629</v>
      </c>
      <c r="AR2" s="20" t="s">
        <v>630</v>
      </c>
      <c r="AS2" s="138"/>
      <c r="AT2" s="20" t="s">
        <v>35</v>
      </c>
      <c r="AU2" s="20" t="s">
        <v>493</v>
      </c>
      <c r="AV2" s="20" t="s">
        <v>626</v>
      </c>
      <c r="AW2" s="20" t="s">
        <v>627</v>
      </c>
      <c r="AX2" s="20" t="s">
        <v>628</v>
      </c>
      <c r="AY2" s="20" t="s">
        <v>629</v>
      </c>
      <c r="AZ2" s="20" t="s">
        <v>630</v>
      </c>
      <c r="BA2" s="138"/>
      <c r="BB2" s="20" t="s">
        <v>35</v>
      </c>
      <c r="BC2" s="20" t="s">
        <v>493</v>
      </c>
      <c r="BD2" s="20" t="s">
        <v>626</v>
      </c>
      <c r="BE2" s="20" t="s">
        <v>627</v>
      </c>
      <c r="BF2" s="20" t="s">
        <v>628</v>
      </c>
      <c r="BG2" s="20" t="s">
        <v>629</v>
      </c>
      <c r="BH2" s="20" t="s">
        <v>630</v>
      </c>
      <c r="BI2" s="138"/>
      <c r="BJ2" s="20" t="s">
        <v>35</v>
      </c>
      <c r="BK2" s="20" t="s">
        <v>493</v>
      </c>
      <c r="BL2" s="20" t="s">
        <v>626</v>
      </c>
      <c r="BM2" s="20" t="s">
        <v>627</v>
      </c>
      <c r="BN2" s="20" t="s">
        <v>628</v>
      </c>
      <c r="BO2" s="20" t="s">
        <v>629</v>
      </c>
      <c r="BP2" s="20" t="s">
        <v>630</v>
      </c>
      <c r="BQ2" s="138"/>
      <c r="BR2" s="20" t="s">
        <v>35</v>
      </c>
      <c r="BS2" s="20" t="s">
        <v>493</v>
      </c>
      <c r="BT2" s="20" t="s">
        <v>626</v>
      </c>
      <c r="BU2" s="20" t="s">
        <v>627</v>
      </c>
      <c r="BV2" s="20" t="s">
        <v>628</v>
      </c>
      <c r="BW2" s="20" t="s">
        <v>629</v>
      </c>
      <c r="BX2" s="20" t="s">
        <v>630</v>
      </c>
      <c r="BY2" s="138"/>
      <c r="BZ2" s="20" t="s">
        <v>35</v>
      </c>
      <c r="CA2" s="20" t="s">
        <v>493</v>
      </c>
      <c r="CB2" s="20" t="s">
        <v>626</v>
      </c>
      <c r="CC2" s="20" t="s">
        <v>627</v>
      </c>
      <c r="CD2" s="20" t="s">
        <v>628</v>
      </c>
      <c r="CE2" s="20" t="s">
        <v>629</v>
      </c>
      <c r="CF2" s="20" t="s">
        <v>630</v>
      </c>
      <c r="CG2" s="138"/>
      <c r="CH2" s="20" t="s">
        <v>32</v>
      </c>
      <c r="CI2" s="20" t="s">
        <v>33</v>
      </c>
      <c r="CJ2" s="20" t="s">
        <v>34</v>
      </c>
    </row>
    <row r="3" spans="1:88" s="122" customFormat="1" ht="23.1" customHeight="1" x14ac:dyDescent="0.3">
      <c r="A3" s="137">
        <v>1</v>
      </c>
      <c r="B3" s="62" t="s">
        <v>36</v>
      </c>
      <c r="C3" s="62" t="s">
        <v>37</v>
      </c>
      <c r="D3" s="62" t="s">
        <v>542</v>
      </c>
      <c r="E3" s="62" t="s">
        <v>35</v>
      </c>
      <c r="F3" s="139"/>
      <c r="G3" s="139">
        <f>'Review 1'!Q3</f>
        <v>0</v>
      </c>
      <c r="H3" s="139">
        <f>'Review 1'!W3</f>
        <v>0</v>
      </c>
      <c r="I3" s="139">
        <f>'Review 1'!AC3</f>
        <v>0</v>
      </c>
      <c r="J3" s="139">
        <f>'Review 1'!AI3</f>
        <v>0</v>
      </c>
      <c r="K3" s="139"/>
      <c r="L3" s="139">
        <f>'Review 1'!AU3</f>
        <v>0</v>
      </c>
      <c r="M3" s="138"/>
      <c r="N3" s="139"/>
      <c r="O3" s="139">
        <f>'Review 2'!Q3</f>
        <v>3</v>
      </c>
      <c r="P3" s="139">
        <f>'Review 2'!W3</f>
        <v>2</v>
      </c>
      <c r="Q3" s="139">
        <f>'Review 2'!AC3</f>
        <v>2.5</v>
      </c>
      <c r="R3" s="139">
        <f>'Review 2'!AI3</f>
        <v>2</v>
      </c>
      <c r="S3" s="139"/>
      <c r="T3" s="139">
        <f>'Review 2'!AU3</f>
        <v>2</v>
      </c>
      <c r="U3" s="138"/>
      <c r="V3" s="62"/>
      <c r="W3" s="139">
        <f>'Review 3'!Q3</f>
        <v>3.6</v>
      </c>
      <c r="X3" s="139">
        <f>'Review 3'!W3</f>
        <v>0</v>
      </c>
      <c r="Y3" s="139">
        <f>'Review 3'!AC3</f>
        <v>0</v>
      </c>
      <c r="Z3" s="139">
        <f>'Review 3'!AI3</f>
        <v>0</v>
      </c>
      <c r="AA3" s="62"/>
      <c r="AB3" s="139">
        <f>'Review 3'!AU3</f>
        <v>0</v>
      </c>
      <c r="AC3" s="138"/>
      <c r="AD3" s="62"/>
      <c r="AE3" s="139">
        <f>'Review 4'!Q3</f>
        <v>3.4</v>
      </c>
      <c r="AF3" s="139">
        <f>'Review 4'!W3</f>
        <v>3</v>
      </c>
      <c r="AG3" s="139">
        <f>'Review 4'!AC3</f>
        <v>4</v>
      </c>
      <c r="AH3" s="139">
        <f>'Review 4'!AI3</f>
        <v>2.5</v>
      </c>
      <c r="AI3" s="139"/>
      <c r="AJ3" s="139">
        <f>'Review 4'!AU3</f>
        <v>4.666666666666667</v>
      </c>
      <c r="AK3" s="138"/>
      <c r="AL3" s="62"/>
      <c r="AM3" s="139">
        <f>'Reflection -1 '!Q3</f>
        <v>2.6666666666666665</v>
      </c>
      <c r="AN3" s="62"/>
      <c r="AO3" s="62"/>
      <c r="AP3" s="62"/>
      <c r="AQ3" s="62"/>
      <c r="AR3" s="62"/>
      <c r="AS3" s="138"/>
      <c r="AT3" s="62"/>
      <c r="AU3" s="139">
        <f>'Reflection -2'!Q3</f>
        <v>4</v>
      </c>
      <c r="AV3" s="62"/>
      <c r="AW3" s="62"/>
      <c r="AX3" s="62"/>
      <c r="AY3" s="139"/>
      <c r="AZ3" s="62"/>
      <c r="BA3" s="138"/>
      <c r="BB3" s="139"/>
      <c r="BC3" s="139">
        <f>'Reflection -3'!Q3</f>
        <v>0</v>
      </c>
      <c r="BD3" s="139"/>
      <c r="BE3" s="139"/>
      <c r="BF3" s="139"/>
      <c r="BG3" s="139"/>
      <c r="BH3" s="139"/>
      <c r="BI3" s="138"/>
      <c r="BJ3" s="139"/>
      <c r="BK3" s="139">
        <f>'Reflection -3'!Q3</f>
        <v>0</v>
      </c>
      <c r="BL3" s="62"/>
      <c r="BM3" s="139"/>
      <c r="BN3" s="62"/>
      <c r="BO3" s="139"/>
      <c r="BP3" s="139"/>
      <c r="BQ3" s="138"/>
      <c r="BR3" s="139"/>
      <c r="BS3" s="139">
        <f>Capstone!Q4</f>
        <v>5</v>
      </c>
      <c r="BT3" s="139">
        <f>Capstone!W4</f>
        <v>5</v>
      </c>
      <c r="BU3" s="139">
        <f>Capstone!AC4</f>
        <v>5</v>
      </c>
      <c r="BV3" s="139">
        <f>Capstone!AI4</f>
        <v>5</v>
      </c>
      <c r="BW3" s="139">
        <f>Capstone!AO4</f>
        <v>4</v>
      </c>
      <c r="BX3" s="139">
        <f>Capstone!AU4</f>
        <v>4</v>
      </c>
      <c r="BY3" s="138"/>
      <c r="BZ3" s="139"/>
      <c r="CA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2.0833333333333335</v>
      </c>
      <c r="CB3" s="139">
        <f>IFERROR(AVERAGE(Table110461117[[#This Row],[Column31]],Table110461117[[#This Row],[Column13]],Table110461117[[#This Row],[Column4]],Table110461117[[#This Row],[Column22]],),"A")</f>
        <v>1</v>
      </c>
      <c r="CC3" s="139">
        <f>IFERROR(AVERAGE(Table110461117[[#This Row],[Column5]],Table110461117[[#This Row],[Column14]],Table110461117[[#This Row],[Column23]],Table110461117[[#This Row],[Column32]]),"A")</f>
        <v>1.625</v>
      </c>
      <c r="CD3" s="139">
        <f>IFERROR(AVERAGE(Table110461117[[#This Row],[Column6]],Table110461117[[#This Row],[Column15]],Table110461117[[#This Row],[Column24]],Table110461117[[#This Row],[Column33]]),"A")</f>
        <v>1.125</v>
      </c>
      <c r="CE3" s="139"/>
      <c r="CF3" s="139">
        <f>IFERROR(AVERAGE(Table110461117[[#This Row],[Column26]],Table110461117[[#This Row],[Column35]],Table110461117[[#This Row],[Column17]],Table110461117[[#This Row],[Column8]]),"A")</f>
        <v>1.6666666666666667</v>
      </c>
      <c r="CG3" s="138"/>
      <c r="CH3" s="139">
        <f>IFERROR(AVERAGE('Review 1'!AX3,'Review 2'!AX3,'Review 3'!AX3,'Review 4'!AX3,'Reflection -1 '!AX3,'Reflection -2'!AX3,'Reflection -3'!AX3,'Reflection -4'!AX3),"A")</f>
        <v>2.125</v>
      </c>
      <c r="CI3" s="139">
        <f>IFERROR(AVERAGE('Review 1'!AY3,'Review 2'!AY3,'Review 3'!AY3,'Review 4'!AY3,'Reflection -1 '!AY3,'Reflection -2'!AY3,'Reflection -3'!AY3,'Reflection -4'!AY3,Capstone!AY4),"A")</f>
        <v>1.4444444444444444</v>
      </c>
      <c r="CJ3" s="139">
        <f>IFERROR(AVERAGE('Review 1'!AZ3,'Review 2'!AZ3,'Review 3'!AZ3,'Review 4'!AZ3,'Reflection -1 '!AZ3,'Reflection -2'!AZ3,'Reflection -3'!AZ3,'Reflection -4'!AZ3),"A")</f>
        <v>1.75</v>
      </c>
    </row>
    <row r="4" spans="1:88" s="122" customFormat="1" ht="23.1" customHeight="1" x14ac:dyDescent="0.3">
      <c r="A4" s="6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140"/>
      <c r="G4" s="140">
        <f>'Review 1'!Q4</f>
        <v>0</v>
      </c>
      <c r="H4" s="140">
        <f>'Review 1'!W4</f>
        <v>0</v>
      </c>
      <c r="I4" s="140">
        <f>'Review 1'!AC4</f>
        <v>0</v>
      </c>
      <c r="J4" s="140">
        <f>'Review 1'!AI4</f>
        <v>0</v>
      </c>
      <c r="K4" s="140"/>
      <c r="L4" s="140">
        <f>'Review 1'!AU4</f>
        <v>0</v>
      </c>
      <c r="M4" s="138"/>
      <c r="N4" s="140"/>
      <c r="O4" s="140">
        <f>'Review 2'!Q4</f>
        <v>3</v>
      </c>
      <c r="P4" s="140">
        <f>'Review 2'!W4</f>
        <v>2.6666666666666665</v>
      </c>
      <c r="Q4" s="140">
        <f>'Review 2'!AC4</f>
        <v>1.5</v>
      </c>
      <c r="R4" s="140">
        <f>'Review 2'!AI4</f>
        <v>2.5</v>
      </c>
      <c r="S4" s="140"/>
      <c r="T4" s="140">
        <f>'Review 2'!AU4</f>
        <v>2</v>
      </c>
      <c r="U4" s="138"/>
      <c r="V4" s="7"/>
      <c r="W4" s="140">
        <f>'Review 3'!Q4</f>
        <v>3.6</v>
      </c>
      <c r="X4" s="140">
        <f>'Review 3'!W4</f>
        <v>0</v>
      </c>
      <c r="Y4" s="140">
        <f>'Review 3'!AC4</f>
        <v>0</v>
      </c>
      <c r="Z4" s="140">
        <f>'Review 3'!AI4</f>
        <v>0</v>
      </c>
      <c r="AA4" s="7"/>
      <c r="AB4" s="140">
        <f>'Review 3'!AU4</f>
        <v>0</v>
      </c>
      <c r="AC4" s="138"/>
      <c r="AD4" s="7"/>
      <c r="AE4" s="140">
        <f>'Review 4'!Q4</f>
        <v>3.2</v>
      </c>
      <c r="AF4" s="140">
        <f>'Review 4'!W4</f>
        <v>2.3333333333333335</v>
      </c>
      <c r="AG4" s="140">
        <f>'Review 4'!AC4</f>
        <v>2.5</v>
      </c>
      <c r="AH4" s="140">
        <f>'Review 4'!AI4</f>
        <v>0.5</v>
      </c>
      <c r="AI4" s="140"/>
      <c r="AJ4" s="140">
        <f>'Review 4'!AU4</f>
        <v>2.3333333333333335</v>
      </c>
      <c r="AK4" s="138"/>
      <c r="AL4" s="7"/>
      <c r="AM4" s="140">
        <f>'Reflection -1 '!Q4</f>
        <v>4</v>
      </c>
      <c r="AN4" s="7"/>
      <c r="AO4" s="7"/>
      <c r="AP4" s="7"/>
      <c r="AQ4" s="7"/>
      <c r="AR4" s="7"/>
      <c r="AS4" s="138"/>
      <c r="AT4" s="7"/>
      <c r="AU4" s="140">
        <f>'Reflection -2'!Q4</f>
        <v>2.6666666666666665</v>
      </c>
      <c r="AV4" s="7"/>
      <c r="AW4" s="7"/>
      <c r="AX4" s="7"/>
      <c r="AY4" s="140"/>
      <c r="AZ4" s="7"/>
      <c r="BA4" s="138"/>
      <c r="BB4" s="140"/>
      <c r="BC4" s="140">
        <f>'Reflection -3'!Q4</f>
        <v>3.3333333333333335</v>
      </c>
      <c r="BD4" s="140"/>
      <c r="BE4" s="140"/>
      <c r="BF4" s="140"/>
      <c r="BG4" s="140"/>
      <c r="BH4" s="140"/>
      <c r="BI4" s="138"/>
      <c r="BJ4" s="140"/>
      <c r="BK4" s="140">
        <f>'Reflection -3'!Q4</f>
        <v>3.3333333333333335</v>
      </c>
      <c r="BL4" s="7"/>
      <c r="BM4" s="140"/>
      <c r="BN4" s="7"/>
      <c r="BO4" s="140"/>
      <c r="BP4" s="140"/>
      <c r="BQ4" s="138"/>
      <c r="BR4" s="140"/>
      <c r="BS4" s="140">
        <f>Capstone!Q5</f>
        <v>2.6666666666666665</v>
      </c>
      <c r="BT4" s="140">
        <f>Capstone!W5</f>
        <v>3</v>
      </c>
      <c r="BU4" s="140">
        <f>Capstone!AC5</f>
        <v>3</v>
      </c>
      <c r="BV4" s="140">
        <f>Capstone!AI5</f>
        <v>3</v>
      </c>
      <c r="BW4" s="140">
        <f>Capstone!AO5</f>
        <v>2</v>
      </c>
      <c r="BX4" s="140">
        <f>Capstone!AU5</f>
        <v>3</v>
      </c>
      <c r="BY4" s="138"/>
      <c r="BZ4" s="140"/>
      <c r="CA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2.8916666666666671</v>
      </c>
      <c r="CB4" s="140">
        <f>IFERROR(AVERAGE(Table110461117[[#This Row],[Column31]],Table110461117[[#This Row],[Column13]],Table110461117[[#This Row],[Column4]],Table110461117[[#This Row],[Column22]],),"A")</f>
        <v>1</v>
      </c>
      <c r="CC4" s="140">
        <f>IFERROR(AVERAGE(Table110461117[[#This Row],[Column5]],Table110461117[[#This Row],[Column14]],Table110461117[[#This Row],[Column23]],Table110461117[[#This Row],[Column32]]),"A")</f>
        <v>1</v>
      </c>
      <c r="CD4" s="140">
        <f>IFERROR(AVERAGE(Table110461117[[#This Row],[Column6]],Table110461117[[#This Row],[Column15]],Table110461117[[#This Row],[Column24]],Table110461117[[#This Row],[Column33]]),"A")</f>
        <v>0.75</v>
      </c>
      <c r="CE4" s="140"/>
      <c r="CF4" s="140">
        <f>IFERROR(AVERAGE(Table110461117[[#This Row],[Column26]],Table110461117[[#This Row],[Column35]],Table110461117[[#This Row],[Column17]],Table110461117[[#This Row],[Column8]]),"A")</f>
        <v>1.0833333333333335</v>
      </c>
      <c r="CG4" s="138"/>
      <c r="CH4" s="140">
        <f>IFERROR(AVERAGE('Review 1'!AX4,'Review 2'!AX4,'Review 3'!AX4,'Review 4'!AX4,'Reflection -1 '!AX4,'Reflection -2'!AX4,'Reflection -3'!AX4,'Reflection -4'!AX4),"A")</f>
        <v>2.375</v>
      </c>
      <c r="CI4" s="140">
        <f>IFERROR(AVERAGE('Review 1'!AY4,'Review 2'!AY4,'Review 3'!AY4,'Review 4'!AY4,'Reflection -1 '!AY4,'Reflection -2'!AY4,'Reflection -3'!AY4,'Reflection -4'!AY4,Capstone!AY5),"A")</f>
        <v>0.77777777777777779</v>
      </c>
      <c r="CJ4" s="140">
        <f>IFERROR(AVERAGE('Review 1'!AZ4,'Review 2'!AZ4,'Review 3'!AZ4,'Review 4'!AZ4,'Reflection -1 '!AZ4,'Reflection -2'!AZ4,'Reflection -3'!AZ4,'Reflection -4'!AZ4),"A")</f>
        <v>2.125</v>
      </c>
    </row>
    <row r="5" spans="1:88" s="122" customFormat="1" ht="23.1" customHeight="1" x14ac:dyDescent="0.3">
      <c r="A5" s="137">
        <v>3</v>
      </c>
      <c r="B5" s="62" t="s">
        <v>64</v>
      </c>
      <c r="C5" s="62" t="s">
        <v>65</v>
      </c>
      <c r="D5" s="62" t="s">
        <v>542</v>
      </c>
      <c r="E5" s="62" t="s">
        <v>35</v>
      </c>
      <c r="F5" s="139"/>
      <c r="G5" s="139">
        <f>'Review 1'!Q5</f>
        <v>0</v>
      </c>
      <c r="H5" s="139">
        <f>'Review 1'!W5</f>
        <v>0</v>
      </c>
      <c r="I5" s="139">
        <f>'Review 1'!AC5</f>
        <v>0</v>
      </c>
      <c r="J5" s="139">
        <f>'Review 1'!AI5</f>
        <v>0</v>
      </c>
      <c r="K5" s="139"/>
      <c r="L5" s="139">
        <f>'Review 1'!AU5</f>
        <v>0</v>
      </c>
      <c r="M5" s="138"/>
      <c r="N5" s="139"/>
      <c r="O5" s="139">
        <f>'Review 2'!Q5</f>
        <v>3.4</v>
      </c>
      <c r="P5" s="139">
        <f>'Review 2'!W5</f>
        <v>3.3333333333333335</v>
      </c>
      <c r="Q5" s="139">
        <f>'Review 2'!AC5</f>
        <v>1.5</v>
      </c>
      <c r="R5" s="139">
        <f>'Review 2'!AI5</f>
        <v>1.5</v>
      </c>
      <c r="S5" s="139"/>
      <c r="T5" s="139">
        <f>'Review 2'!AU5</f>
        <v>2</v>
      </c>
      <c r="U5" s="138"/>
      <c r="V5" s="62"/>
      <c r="W5" s="139">
        <f>'Review 3'!Q5</f>
        <v>0.6</v>
      </c>
      <c r="X5" s="139">
        <f>'Review 3'!W5</f>
        <v>0</v>
      </c>
      <c r="Y5" s="139">
        <f>'Review 3'!AC5</f>
        <v>0</v>
      </c>
      <c r="Z5" s="139">
        <f>'Review 3'!AI5</f>
        <v>0</v>
      </c>
      <c r="AA5" s="62"/>
      <c r="AB5" s="139">
        <f>'Review 3'!AU5</f>
        <v>0</v>
      </c>
      <c r="AC5" s="138"/>
      <c r="AD5" s="62"/>
      <c r="AE5" s="139">
        <f>'Review 4'!Q5</f>
        <v>3.6</v>
      </c>
      <c r="AF5" s="139">
        <f>'Review 4'!W5</f>
        <v>3</v>
      </c>
      <c r="AG5" s="139">
        <f>'Review 4'!AC5</f>
        <v>1.5</v>
      </c>
      <c r="AH5" s="139">
        <f>'Review 4'!AI5</f>
        <v>0.5</v>
      </c>
      <c r="AI5" s="139"/>
      <c r="AJ5" s="139">
        <f>'Review 4'!AU5</f>
        <v>2</v>
      </c>
      <c r="AK5" s="138"/>
      <c r="AL5" s="62"/>
      <c r="AM5" s="139">
        <f>'Reflection -1 '!Q5</f>
        <v>3.6666666666666665</v>
      </c>
      <c r="AN5" s="62"/>
      <c r="AO5" s="62"/>
      <c r="AP5" s="62"/>
      <c r="AQ5" s="62"/>
      <c r="AR5" s="62"/>
      <c r="AS5" s="138"/>
      <c r="AT5" s="62"/>
      <c r="AU5" s="139">
        <f>'Reflection -2'!Q5</f>
        <v>0</v>
      </c>
      <c r="AV5" s="62"/>
      <c r="AW5" s="62"/>
      <c r="AX5" s="62"/>
      <c r="AY5" s="139"/>
      <c r="AZ5" s="62"/>
      <c r="BA5" s="138"/>
      <c r="BB5" s="139"/>
      <c r="BC5" s="139">
        <f>'Reflection -3'!Q5</f>
        <v>2.3333333333333335</v>
      </c>
      <c r="BD5" s="139"/>
      <c r="BE5" s="139"/>
      <c r="BF5" s="139"/>
      <c r="BG5" s="139"/>
      <c r="BH5" s="139"/>
      <c r="BI5" s="138"/>
      <c r="BJ5" s="139"/>
      <c r="BK5" s="139">
        <f>'Reflection -3'!Q5</f>
        <v>2.3333333333333335</v>
      </c>
      <c r="BL5" s="62"/>
      <c r="BM5" s="139"/>
      <c r="BN5" s="62"/>
      <c r="BO5" s="139"/>
      <c r="BP5" s="139"/>
      <c r="BQ5" s="138"/>
      <c r="BR5" s="139"/>
      <c r="BS5" s="139">
        <f>Capstone!Q6</f>
        <v>3</v>
      </c>
      <c r="BT5" s="139">
        <f>Capstone!W6</f>
        <v>4</v>
      </c>
      <c r="BU5" s="139">
        <f>Capstone!AC6</f>
        <v>4</v>
      </c>
      <c r="BV5" s="139">
        <f>Capstone!AI6</f>
        <v>3</v>
      </c>
      <c r="BW5" s="139">
        <f>Capstone!AO6</f>
        <v>3</v>
      </c>
      <c r="BX5" s="139">
        <f>Capstone!AU6</f>
        <v>3</v>
      </c>
      <c r="BY5" s="138"/>
      <c r="BZ5" s="139"/>
      <c r="CA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1.9916666666666667</v>
      </c>
      <c r="CB5" s="139">
        <f>IFERROR(AVERAGE(Table110461117[[#This Row],[Column31]],Table110461117[[#This Row],[Column13]],Table110461117[[#This Row],[Column4]],Table110461117[[#This Row],[Column22]],),"A")</f>
        <v>1.2666666666666668</v>
      </c>
      <c r="CC5" s="139">
        <f>IFERROR(AVERAGE(Table110461117[[#This Row],[Column5]],Table110461117[[#This Row],[Column14]],Table110461117[[#This Row],[Column23]],Table110461117[[#This Row],[Column32]]),"A")</f>
        <v>0.75</v>
      </c>
      <c r="CD5" s="139">
        <f>IFERROR(AVERAGE(Table110461117[[#This Row],[Column6]],Table110461117[[#This Row],[Column15]],Table110461117[[#This Row],[Column24]],Table110461117[[#This Row],[Column33]]),"A")</f>
        <v>0.5</v>
      </c>
      <c r="CE5" s="139"/>
      <c r="CF5" s="139">
        <f>IFERROR(AVERAGE(Table110461117[[#This Row],[Column26]],Table110461117[[#This Row],[Column35]],Table110461117[[#This Row],[Column17]],Table110461117[[#This Row],[Column8]]),"A")</f>
        <v>1</v>
      </c>
      <c r="CG5" s="138"/>
      <c r="CH5" s="139">
        <f>IFERROR(AVERAGE('Review 1'!AX5,'Review 2'!AX5,'Review 3'!AX5,'Review 4'!AX5,'Reflection -1 '!AX5,'Reflection -2'!AX5,'Reflection -3'!AX5,'Reflection -4'!AX5),"A")</f>
        <v>2.25</v>
      </c>
      <c r="CI5" s="139">
        <f>IFERROR(AVERAGE('Review 1'!AY5,'Review 2'!AY5,'Review 3'!AY5,'Review 4'!AY5,'Reflection -1 '!AY5,'Reflection -2'!AY5,'Reflection -3'!AY5,'Reflection -4'!AY5,Capstone!AY6),"A")</f>
        <v>0.77777777777777779</v>
      </c>
      <c r="CJ5" s="139">
        <f>IFERROR(AVERAGE('Review 1'!AZ5,'Review 2'!AZ5,'Review 3'!AZ5,'Review 4'!AZ5,'Reflection -1 '!AZ5,'Reflection -2'!AZ5,'Reflection -3'!AZ5,'Reflection -4'!AZ5),"A")</f>
        <v>1.25</v>
      </c>
    </row>
    <row r="6" spans="1:88" s="122" customFormat="1" ht="23.1" customHeight="1" x14ac:dyDescent="0.3">
      <c r="A6" s="6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140"/>
      <c r="G6" s="140">
        <f>'Review 1'!Q6</f>
        <v>0</v>
      </c>
      <c r="H6" s="140">
        <f>'Review 1'!W6</f>
        <v>0</v>
      </c>
      <c r="I6" s="140">
        <f>'Review 1'!AC6</f>
        <v>0</v>
      </c>
      <c r="J6" s="140">
        <f>'Review 1'!AI6</f>
        <v>0</v>
      </c>
      <c r="K6" s="140"/>
      <c r="L6" s="140">
        <f>'Review 1'!AU6</f>
        <v>0</v>
      </c>
      <c r="M6" s="138"/>
      <c r="N6" s="140"/>
      <c r="O6" s="140">
        <f>'Review 2'!Q6</f>
        <v>2</v>
      </c>
      <c r="P6" s="140">
        <f>'Review 2'!W6</f>
        <v>2</v>
      </c>
      <c r="Q6" s="140">
        <f>'Review 2'!AC6</f>
        <v>2</v>
      </c>
      <c r="R6" s="140">
        <f>'Review 2'!AI6</f>
        <v>1</v>
      </c>
      <c r="S6" s="140"/>
      <c r="T6" s="140">
        <f>'Review 2'!AU6</f>
        <v>3</v>
      </c>
      <c r="U6" s="138"/>
      <c r="V6" s="7"/>
      <c r="W6" s="140">
        <f>'Review 3'!Q6</f>
        <v>2.6</v>
      </c>
      <c r="X6" s="140">
        <f>'Review 3'!W6</f>
        <v>0</v>
      </c>
      <c r="Y6" s="140">
        <f>'Review 3'!AC6</f>
        <v>0</v>
      </c>
      <c r="Z6" s="140">
        <f>'Review 3'!AI6</f>
        <v>0</v>
      </c>
      <c r="AA6" s="7"/>
      <c r="AB6" s="140">
        <f>'Review 3'!AU6</f>
        <v>0</v>
      </c>
      <c r="AC6" s="138"/>
      <c r="AD6" s="7"/>
      <c r="AE6" s="140">
        <f>'Review 4'!Q6</f>
        <v>2</v>
      </c>
      <c r="AF6" s="140">
        <f>'Review 4'!W6</f>
        <v>3</v>
      </c>
      <c r="AG6" s="140">
        <f>'Review 4'!AC6</f>
        <v>2.5</v>
      </c>
      <c r="AH6" s="140">
        <f>'Review 4'!AI6</f>
        <v>1.5</v>
      </c>
      <c r="AI6" s="140"/>
      <c r="AJ6" s="140">
        <f>'Review 4'!AU6</f>
        <v>3.6666666666666665</v>
      </c>
      <c r="AK6" s="138"/>
      <c r="AL6" s="7"/>
      <c r="AM6" s="140">
        <f>'Reflection -1 '!Q6</f>
        <v>3</v>
      </c>
      <c r="AN6" s="7"/>
      <c r="AO6" s="7"/>
      <c r="AP6" s="7"/>
      <c r="AQ6" s="7"/>
      <c r="AR6" s="7"/>
      <c r="AS6" s="138"/>
      <c r="AT6" s="7"/>
      <c r="AU6" s="140">
        <f>'Reflection -2'!Q6</f>
        <v>3.6666666666666665</v>
      </c>
      <c r="AV6" s="7"/>
      <c r="AW6" s="7"/>
      <c r="AX6" s="7"/>
      <c r="AY6" s="140"/>
      <c r="AZ6" s="7"/>
      <c r="BA6" s="138"/>
      <c r="BB6" s="140"/>
      <c r="BC6" s="140">
        <f>'Reflection -3'!Q6</f>
        <v>3</v>
      </c>
      <c r="BD6" s="140"/>
      <c r="BE6" s="140"/>
      <c r="BF6" s="140"/>
      <c r="BG6" s="140"/>
      <c r="BH6" s="140"/>
      <c r="BI6" s="138"/>
      <c r="BJ6" s="140"/>
      <c r="BK6" s="140">
        <f>'Reflection -3'!Q6</f>
        <v>3</v>
      </c>
      <c r="BL6" s="7"/>
      <c r="BM6" s="140"/>
      <c r="BN6" s="7"/>
      <c r="BO6" s="140"/>
      <c r="BP6" s="140"/>
      <c r="BQ6" s="138"/>
      <c r="BR6" s="140"/>
      <c r="BS6" s="140">
        <f>Capstone!Q7</f>
        <v>2.6666666666666665</v>
      </c>
      <c r="BT6" s="140">
        <f>Capstone!W7</f>
        <v>2</v>
      </c>
      <c r="BU6" s="140">
        <f>Capstone!AC7</f>
        <v>2</v>
      </c>
      <c r="BV6" s="140">
        <f>Capstone!AI7</f>
        <v>2</v>
      </c>
      <c r="BW6" s="140">
        <f>Capstone!AO7</f>
        <v>2</v>
      </c>
      <c r="BX6" s="140">
        <f>Capstone!AU7</f>
        <v>2</v>
      </c>
      <c r="BY6" s="138"/>
      <c r="BZ6" s="140"/>
      <c r="CA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2.4083333333333337</v>
      </c>
      <c r="CB6" s="140">
        <f>IFERROR(AVERAGE(Table110461117[[#This Row],[Column31]],Table110461117[[#This Row],[Column13]],Table110461117[[#This Row],[Column4]],Table110461117[[#This Row],[Column22]],),"A")</f>
        <v>1</v>
      </c>
      <c r="CC6" s="140">
        <f>IFERROR(AVERAGE(Table110461117[[#This Row],[Column5]],Table110461117[[#This Row],[Column14]],Table110461117[[#This Row],[Column23]],Table110461117[[#This Row],[Column32]]),"A")</f>
        <v>1.125</v>
      </c>
      <c r="CD6" s="140">
        <f>IFERROR(AVERAGE(Table110461117[[#This Row],[Column6]],Table110461117[[#This Row],[Column15]],Table110461117[[#This Row],[Column24]],Table110461117[[#This Row],[Column33]]),"A")</f>
        <v>0.625</v>
      </c>
      <c r="CE6" s="140"/>
      <c r="CF6" s="140">
        <f>IFERROR(AVERAGE(Table110461117[[#This Row],[Column26]],Table110461117[[#This Row],[Column35]],Table110461117[[#This Row],[Column17]],Table110461117[[#This Row],[Column8]]),"A")</f>
        <v>1.6666666666666665</v>
      </c>
      <c r="CG6" s="138"/>
      <c r="CH6" s="140">
        <f>IFERROR(AVERAGE('Review 1'!AX6,'Review 2'!AX6,'Review 3'!AX6,'Review 4'!AX6,'Reflection -1 '!AX6,'Reflection -2'!AX6,'Reflection -3'!AX6,'Reflection -4'!AX6),"A")</f>
        <v>2.625</v>
      </c>
      <c r="CI6" s="140">
        <f>IFERROR(AVERAGE('Review 1'!AY6,'Review 2'!AY6,'Review 3'!AY6,'Review 4'!AY6,'Reflection -1 '!AY6,'Reflection -2'!AY6,'Reflection -3'!AY6,'Reflection -4'!AY6,Capstone!AY7),"A")</f>
        <v>0.77777777777777779</v>
      </c>
      <c r="CJ6" s="140">
        <f>IFERROR(AVERAGE('Review 1'!AZ6,'Review 2'!AZ6,'Review 3'!AZ6,'Review 4'!AZ6,'Reflection -1 '!AZ6,'Reflection -2'!AZ6,'Reflection -3'!AZ6,'Reflection -4'!AZ6),"A")</f>
        <v>1.875</v>
      </c>
    </row>
    <row r="7" spans="1:88" s="122" customFormat="1" ht="23.1" customHeight="1" x14ac:dyDescent="0.3">
      <c r="A7" s="137">
        <v>5</v>
      </c>
      <c r="B7" s="62" t="s">
        <v>290</v>
      </c>
      <c r="C7" s="62" t="s">
        <v>538</v>
      </c>
      <c r="D7" s="62" t="s">
        <v>450</v>
      </c>
      <c r="E7" s="62" t="s">
        <v>289</v>
      </c>
      <c r="F7" s="139"/>
      <c r="G7" s="139">
        <f>'Review 1'!Q7</f>
        <v>3</v>
      </c>
      <c r="H7" s="139">
        <f>'Review 1'!W7</f>
        <v>2.3333333333333335</v>
      </c>
      <c r="I7" s="139">
        <f>'Review 1'!AC7</f>
        <v>2.5</v>
      </c>
      <c r="J7" s="139">
        <f>'Review 1'!AI7</f>
        <v>2</v>
      </c>
      <c r="K7" s="139"/>
      <c r="L7" s="139">
        <f>'Review 1'!AU7</f>
        <v>3</v>
      </c>
      <c r="M7" s="138"/>
      <c r="N7" s="139"/>
      <c r="O7" s="139">
        <f>'Review 2'!Q7</f>
        <v>3</v>
      </c>
      <c r="P7" s="139">
        <f>'Review 2'!W7</f>
        <v>2.6666666666666665</v>
      </c>
      <c r="Q7" s="139">
        <f>'Review 2'!AC7</f>
        <v>2</v>
      </c>
      <c r="R7" s="139">
        <f>'Review 2'!AI7</f>
        <v>1.5</v>
      </c>
      <c r="S7" s="139"/>
      <c r="T7" s="139">
        <f>'Review 2'!AU7</f>
        <v>2.6666666666666665</v>
      </c>
      <c r="U7" s="138"/>
      <c r="V7" s="62"/>
      <c r="W7" s="139">
        <f>'Review 3'!Q7</f>
        <v>2.2000000000000002</v>
      </c>
      <c r="X7" s="139">
        <f>'Review 3'!W7</f>
        <v>2</v>
      </c>
      <c r="Y7" s="139">
        <f>'Review 3'!AC7</f>
        <v>2</v>
      </c>
      <c r="Z7" s="139">
        <f>'Review 3'!AI7</f>
        <v>2</v>
      </c>
      <c r="AA7" s="62"/>
      <c r="AB7" s="139">
        <f>'Review 3'!AU7</f>
        <v>2</v>
      </c>
      <c r="AC7" s="138"/>
      <c r="AD7" s="62"/>
      <c r="AE7" s="139">
        <f>'Review 4'!Q7</f>
        <v>3.4</v>
      </c>
      <c r="AF7" s="139">
        <f>'Review 4'!W7</f>
        <v>3</v>
      </c>
      <c r="AG7" s="139">
        <f>'Review 4'!AC7</f>
        <v>4</v>
      </c>
      <c r="AH7" s="139">
        <f>'Review 4'!AI7</f>
        <v>5</v>
      </c>
      <c r="AI7" s="139"/>
      <c r="AJ7" s="139">
        <f>'Review 4'!AU7</f>
        <v>4.666666666666667</v>
      </c>
      <c r="AK7" s="138"/>
      <c r="AL7" s="62"/>
      <c r="AM7" s="139">
        <f>'Reflection -1 '!Q7</f>
        <v>2.6666666666666665</v>
      </c>
      <c r="AN7" s="62"/>
      <c r="AO7" s="62"/>
      <c r="AP7" s="62"/>
      <c r="AQ7" s="62"/>
      <c r="AR7" s="62"/>
      <c r="AS7" s="138"/>
      <c r="AT7" s="62"/>
      <c r="AU7" s="139">
        <f>'Reflection -2'!Q7</f>
        <v>4</v>
      </c>
      <c r="AV7" s="62"/>
      <c r="AW7" s="62"/>
      <c r="AX7" s="62"/>
      <c r="AY7" s="139"/>
      <c r="AZ7" s="62"/>
      <c r="BA7" s="138"/>
      <c r="BB7" s="139"/>
      <c r="BC7" s="139">
        <f>'Reflection -3'!Q7</f>
        <v>2</v>
      </c>
      <c r="BD7" s="139"/>
      <c r="BE7" s="139"/>
      <c r="BF7" s="139"/>
      <c r="BG7" s="139"/>
      <c r="BH7" s="139"/>
      <c r="BI7" s="138"/>
      <c r="BJ7" s="139"/>
      <c r="BK7" s="139">
        <f>'Reflection -3'!Q7</f>
        <v>2</v>
      </c>
      <c r="BL7" s="62"/>
      <c r="BM7" s="139"/>
      <c r="BN7" s="62"/>
      <c r="BO7" s="139"/>
      <c r="BP7" s="139"/>
      <c r="BQ7" s="138"/>
      <c r="BR7" s="139"/>
      <c r="BS7" s="139">
        <f>Capstone!Q8</f>
        <v>3</v>
      </c>
      <c r="BT7" s="139">
        <f>Capstone!W8</f>
        <v>3</v>
      </c>
      <c r="BU7" s="139">
        <f>Capstone!AC8</f>
        <v>3</v>
      </c>
      <c r="BV7" s="139">
        <f>Capstone!AI8</f>
        <v>2</v>
      </c>
      <c r="BW7" s="139">
        <f>Capstone!AO8</f>
        <v>2</v>
      </c>
      <c r="BX7" s="139">
        <f>Capstone!AU8</f>
        <v>2</v>
      </c>
      <c r="BY7" s="138"/>
      <c r="BZ7" s="139"/>
      <c r="CA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2.7833333333333332</v>
      </c>
      <c r="CB7" s="139">
        <f>IFERROR(AVERAGE(Table110461117[[#This Row],[Column31]],Table110461117[[#This Row],[Column13]],Table110461117[[#This Row],[Column4]],Table110461117[[#This Row],[Column22]],),"A")</f>
        <v>2</v>
      </c>
      <c r="CC7" s="139">
        <f>IFERROR(AVERAGE(Table110461117[[#This Row],[Column5]],Table110461117[[#This Row],[Column14]],Table110461117[[#This Row],[Column23]],Table110461117[[#This Row],[Column32]]),"A")</f>
        <v>2.625</v>
      </c>
      <c r="CD7" s="139">
        <f>IFERROR(AVERAGE(Table110461117[[#This Row],[Column6]],Table110461117[[#This Row],[Column15]],Table110461117[[#This Row],[Column24]],Table110461117[[#This Row],[Column33]]),"A")</f>
        <v>2.625</v>
      </c>
      <c r="CE7" s="139"/>
      <c r="CF7" s="139">
        <f>IFERROR(AVERAGE(Table110461117[[#This Row],[Column26]],Table110461117[[#This Row],[Column35]],Table110461117[[#This Row],[Column17]],Table110461117[[#This Row],[Column8]]),"A")</f>
        <v>3.0833333333333335</v>
      </c>
      <c r="CG7" s="138"/>
      <c r="CH7" s="139">
        <f>IFERROR(AVERAGE('Review 1'!AX7,'Review 2'!AX7,'Review 3'!AX7,'Review 4'!AX7,'Reflection -1 '!AX7,'Reflection -2'!AX7,'Reflection -3'!AX7,'Reflection -4'!AX7),"A")</f>
        <v>3</v>
      </c>
      <c r="CI7" s="139">
        <f>IFERROR(AVERAGE('Review 1'!AY7,'Review 2'!AY7,'Review 3'!AY7,'Review 4'!AY7,'Reflection -1 '!AY7,'Reflection -2'!AY7,'Reflection -3'!AY7,'Reflection -4'!AY7,Capstone!AY8),"A")</f>
        <v>2.7777777777777777</v>
      </c>
      <c r="CJ7" s="139">
        <f>IFERROR(AVERAGE('Review 1'!AZ7,'Review 2'!AZ7,'Review 3'!AZ7,'Review 4'!AZ7,'Reflection -1 '!AZ7,'Reflection -2'!AZ7,'Reflection -3'!AZ7,'Reflection -4'!AZ7),"A")</f>
        <v>3</v>
      </c>
    </row>
    <row r="8" spans="1:88" s="122" customFormat="1" ht="23.1" customHeight="1" x14ac:dyDescent="0.3">
      <c r="A8" s="6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140"/>
      <c r="G8" s="140">
        <f>'Review 1'!Q8</f>
        <v>0</v>
      </c>
      <c r="H8" s="140">
        <f>'Review 1'!W8</f>
        <v>0</v>
      </c>
      <c r="I8" s="140">
        <f>'Review 1'!AC8</f>
        <v>0</v>
      </c>
      <c r="J8" s="140">
        <f>'Review 1'!AI8</f>
        <v>0</v>
      </c>
      <c r="K8" s="140"/>
      <c r="L8" s="140">
        <f>'Review 1'!AU8</f>
        <v>0</v>
      </c>
      <c r="M8" s="138"/>
      <c r="N8" s="140"/>
      <c r="O8" s="140">
        <f>'Review 2'!Q8</f>
        <v>2.6</v>
      </c>
      <c r="P8" s="140">
        <f>'Review 2'!W8</f>
        <v>2</v>
      </c>
      <c r="Q8" s="140">
        <f>'Review 2'!AC8</f>
        <v>2</v>
      </c>
      <c r="R8" s="140">
        <f>'Review 2'!AI8</f>
        <v>2</v>
      </c>
      <c r="S8" s="140"/>
      <c r="T8" s="140">
        <f>'Review 2'!AU8</f>
        <v>2</v>
      </c>
      <c r="U8" s="138"/>
      <c r="V8" s="7"/>
      <c r="W8" s="140">
        <f>'Review 3'!Q8</f>
        <v>0.6</v>
      </c>
      <c r="X8" s="140">
        <f>'Review 3'!W8</f>
        <v>0</v>
      </c>
      <c r="Y8" s="140">
        <f>'Review 3'!AC8</f>
        <v>0</v>
      </c>
      <c r="Z8" s="140">
        <f>'Review 3'!AI8</f>
        <v>0</v>
      </c>
      <c r="AA8" s="7"/>
      <c r="AB8" s="140">
        <f>'Review 3'!AU8</f>
        <v>0</v>
      </c>
      <c r="AC8" s="138"/>
      <c r="AD8" s="7"/>
      <c r="AE8" s="140">
        <f>'Review 4'!Q8</f>
        <v>3</v>
      </c>
      <c r="AF8" s="140">
        <f>'Review 4'!W8</f>
        <v>2.3333333333333335</v>
      </c>
      <c r="AG8" s="140">
        <f>'Review 4'!AC8</f>
        <v>2.5</v>
      </c>
      <c r="AH8" s="140">
        <f>'Review 4'!AI8</f>
        <v>2.5</v>
      </c>
      <c r="AI8" s="140"/>
      <c r="AJ8" s="140">
        <f>'Review 4'!AU8</f>
        <v>4.333333333333333</v>
      </c>
      <c r="AK8" s="138"/>
      <c r="AL8" s="7"/>
      <c r="AM8" s="140">
        <f>'Reflection -1 '!Q8</f>
        <v>2.6666666666666665</v>
      </c>
      <c r="AN8" s="7"/>
      <c r="AO8" s="7"/>
      <c r="AP8" s="7"/>
      <c r="AQ8" s="7"/>
      <c r="AR8" s="7"/>
      <c r="AS8" s="138"/>
      <c r="AT8" s="7"/>
      <c r="AU8" s="140">
        <f>'Reflection -2'!Q8</f>
        <v>3.6666666666666665</v>
      </c>
      <c r="AV8" s="7"/>
      <c r="AW8" s="7"/>
      <c r="AX8" s="7"/>
      <c r="AY8" s="140"/>
      <c r="AZ8" s="7"/>
      <c r="BA8" s="138"/>
      <c r="BB8" s="140"/>
      <c r="BC8" s="140">
        <f>'Reflection -3'!Q8</f>
        <v>2</v>
      </c>
      <c r="BD8" s="140"/>
      <c r="BE8" s="140"/>
      <c r="BF8" s="140"/>
      <c r="BG8" s="140"/>
      <c r="BH8" s="140"/>
      <c r="BI8" s="138"/>
      <c r="BJ8" s="140"/>
      <c r="BK8" s="140">
        <f>'Reflection -3'!Q8</f>
        <v>2</v>
      </c>
      <c r="BL8" s="7"/>
      <c r="BM8" s="140"/>
      <c r="BN8" s="7"/>
      <c r="BO8" s="140"/>
      <c r="BP8" s="140"/>
      <c r="BQ8" s="138"/>
      <c r="BR8" s="140"/>
      <c r="BS8" s="140">
        <f>Capstone!Q9</f>
        <v>5</v>
      </c>
      <c r="BT8" s="140">
        <f>Capstone!W9</f>
        <v>5</v>
      </c>
      <c r="BU8" s="140">
        <f>Capstone!AC9</f>
        <v>5</v>
      </c>
      <c r="BV8" s="140">
        <f>Capstone!AI9</f>
        <v>4</v>
      </c>
      <c r="BW8" s="140">
        <f>Capstone!AO9</f>
        <v>4</v>
      </c>
      <c r="BX8" s="140">
        <f>Capstone!AU9</f>
        <v>4</v>
      </c>
      <c r="BY8" s="138"/>
      <c r="BZ8" s="140"/>
      <c r="CA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2.0666666666666664</v>
      </c>
      <c r="CB8" s="140">
        <f>IFERROR(AVERAGE(Table110461117[[#This Row],[Column31]],Table110461117[[#This Row],[Column13]],Table110461117[[#This Row],[Column4]],Table110461117[[#This Row],[Column22]],),"A")</f>
        <v>0.86666666666666681</v>
      </c>
      <c r="CC8" s="140">
        <f>IFERROR(AVERAGE(Table110461117[[#This Row],[Column5]],Table110461117[[#This Row],[Column14]],Table110461117[[#This Row],[Column23]],Table110461117[[#This Row],[Column32]]),"A")</f>
        <v>1.125</v>
      </c>
      <c r="CD8" s="140">
        <f>IFERROR(AVERAGE(Table110461117[[#This Row],[Column6]],Table110461117[[#This Row],[Column15]],Table110461117[[#This Row],[Column24]],Table110461117[[#This Row],[Column33]]),"A")</f>
        <v>1.125</v>
      </c>
      <c r="CE8" s="140"/>
      <c r="CF8" s="140">
        <f>IFERROR(AVERAGE(Table110461117[[#This Row],[Column26]],Table110461117[[#This Row],[Column35]],Table110461117[[#This Row],[Column17]],Table110461117[[#This Row],[Column8]]),"A")</f>
        <v>1.5833333333333333</v>
      </c>
      <c r="CG8" s="138"/>
      <c r="CH8" s="140">
        <f>IFERROR(AVERAGE('Review 1'!AX8,'Review 2'!AX8,'Review 3'!AX8,'Review 4'!AX8,'Reflection -1 '!AX8,'Reflection -2'!AX8,'Reflection -3'!AX8,'Reflection -4'!AX8),"A")</f>
        <v>2.75</v>
      </c>
      <c r="CI8" s="140">
        <f>IFERROR(AVERAGE('Review 1'!AY8,'Review 2'!AY8,'Review 3'!AY8,'Review 4'!AY8,'Reflection -1 '!AY8,'Reflection -2'!AY8,'Reflection -3'!AY8,'Reflection -4'!AY8,Capstone!AY9),"A")</f>
        <v>1.3333333333333333</v>
      </c>
      <c r="CJ8" s="140">
        <f>IFERROR(AVERAGE('Review 1'!AZ8,'Review 2'!AZ8,'Review 3'!AZ8,'Review 4'!AZ8,'Reflection -1 '!AZ8,'Reflection -2'!AZ8,'Reflection -3'!AZ8,'Reflection -4'!AZ8),"A")</f>
        <v>1.75</v>
      </c>
    </row>
    <row r="9" spans="1:88" s="122" customFormat="1" ht="23.1" customHeight="1" x14ac:dyDescent="0.3">
      <c r="A9" s="137">
        <v>7</v>
      </c>
      <c r="B9" s="62" t="s">
        <v>72</v>
      </c>
      <c r="C9" s="62" t="s">
        <v>73</v>
      </c>
      <c r="D9" s="62" t="s">
        <v>450</v>
      </c>
      <c r="E9" s="62" t="s">
        <v>35</v>
      </c>
      <c r="F9" s="139"/>
      <c r="G9" s="139">
        <f>'Review 1'!Q9</f>
        <v>0</v>
      </c>
      <c r="H9" s="139">
        <f>'Review 1'!W9</f>
        <v>0</v>
      </c>
      <c r="I9" s="139">
        <f>'Review 1'!AC9</f>
        <v>0</v>
      </c>
      <c r="J9" s="139">
        <f>'Review 1'!AI9</f>
        <v>0</v>
      </c>
      <c r="K9" s="139"/>
      <c r="L9" s="139">
        <f>'Review 1'!AU9</f>
        <v>0</v>
      </c>
      <c r="M9" s="138"/>
      <c r="N9" s="139"/>
      <c r="O9" s="139">
        <f>'Review 2'!Q9</f>
        <v>2.6</v>
      </c>
      <c r="P9" s="139">
        <f>'Review 2'!W9</f>
        <v>2.6666666666666665</v>
      </c>
      <c r="Q9" s="139">
        <f>'Review 2'!AC9</f>
        <v>3</v>
      </c>
      <c r="R9" s="139">
        <f>'Review 2'!AI9</f>
        <v>3</v>
      </c>
      <c r="S9" s="139"/>
      <c r="T9" s="139">
        <f>'Review 2'!AU9</f>
        <v>1</v>
      </c>
      <c r="U9" s="138"/>
      <c r="V9" s="62"/>
      <c r="W9" s="139">
        <f>'Review 3'!Q9</f>
        <v>2.2000000000000002</v>
      </c>
      <c r="X9" s="139">
        <f>'Review 3'!W9</f>
        <v>0</v>
      </c>
      <c r="Y9" s="139">
        <f>'Review 3'!AC9</f>
        <v>0</v>
      </c>
      <c r="Z9" s="139">
        <f>'Review 3'!AI9</f>
        <v>0</v>
      </c>
      <c r="AA9" s="62"/>
      <c r="AB9" s="139">
        <f>'Review 3'!AU9</f>
        <v>0</v>
      </c>
      <c r="AC9" s="138"/>
      <c r="AD9" s="62"/>
      <c r="AE9" s="139">
        <f>'Review 4'!Q9</f>
        <v>3.8</v>
      </c>
      <c r="AF9" s="139">
        <f>'Review 4'!W9</f>
        <v>3</v>
      </c>
      <c r="AG9" s="139">
        <f>'Review 4'!AC9</f>
        <v>3</v>
      </c>
      <c r="AH9" s="139">
        <f>'Review 4'!AI9</f>
        <v>2.5</v>
      </c>
      <c r="AI9" s="139"/>
      <c r="AJ9" s="139">
        <f>'Review 4'!AU9</f>
        <v>4</v>
      </c>
      <c r="AK9" s="138"/>
      <c r="AL9" s="62"/>
      <c r="AM9" s="139">
        <f>'Reflection -1 '!Q9</f>
        <v>0</v>
      </c>
      <c r="AN9" s="62"/>
      <c r="AO9" s="62"/>
      <c r="AP9" s="62"/>
      <c r="AQ9" s="62"/>
      <c r="AR9" s="62"/>
      <c r="AS9" s="138"/>
      <c r="AT9" s="62"/>
      <c r="AU9" s="139">
        <f>'Reflection -2'!Q9</f>
        <v>0</v>
      </c>
      <c r="AV9" s="62"/>
      <c r="AW9" s="62"/>
      <c r="AX9" s="62"/>
      <c r="AY9" s="139"/>
      <c r="AZ9" s="62"/>
      <c r="BA9" s="138"/>
      <c r="BB9" s="139"/>
      <c r="BC9" s="139">
        <f>'Reflection -3'!Q9</f>
        <v>0</v>
      </c>
      <c r="BD9" s="139"/>
      <c r="BE9" s="139"/>
      <c r="BF9" s="139"/>
      <c r="BG9" s="139"/>
      <c r="BH9" s="139"/>
      <c r="BI9" s="138"/>
      <c r="BJ9" s="139"/>
      <c r="BK9" s="139">
        <f>'Reflection -3'!Q9</f>
        <v>0</v>
      </c>
      <c r="BL9" s="62"/>
      <c r="BM9" s="139"/>
      <c r="BN9" s="62"/>
      <c r="BO9" s="139"/>
      <c r="BP9" s="139"/>
      <c r="BQ9" s="138"/>
      <c r="BR9" s="139"/>
      <c r="BS9" s="139">
        <f>Capstone!Q10</f>
        <v>3.3333333333333335</v>
      </c>
      <c r="BT9" s="139">
        <f>Capstone!W10</f>
        <v>4</v>
      </c>
      <c r="BU9" s="139">
        <f>Capstone!AC10</f>
        <v>4</v>
      </c>
      <c r="BV9" s="139">
        <f>Capstone!AI10</f>
        <v>4</v>
      </c>
      <c r="BW9" s="139">
        <f>Capstone!AO10</f>
        <v>4</v>
      </c>
      <c r="BX9" s="139">
        <f>Capstone!AU10</f>
        <v>4</v>
      </c>
      <c r="BY9" s="138"/>
      <c r="BZ9" s="139"/>
      <c r="CA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1.0750000000000002</v>
      </c>
      <c r="CB9" s="139">
        <f>IFERROR(AVERAGE(Table110461117[[#This Row],[Column31]],Table110461117[[#This Row],[Column13]],Table110461117[[#This Row],[Column4]],Table110461117[[#This Row],[Column22]],),"A")</f>
        <v>1.1333333333333333</v>
      </c>
      <c r="CC9" s="139">
        <f>IFERROR(AVERAGE(Table110461117[[#This Row],[Column5]],Table110461117[[#This Row],[Column14]],Table110461117[[#This Row],[Column23]],Table110461117[[#This Row],[Column32]]),"A")</f>
        <v>1.5</v>
      </c>
      <c r="CD9" s="139">
        <f>IFERROR(AVERAGE(Table110461117[[#This Row],[Column6]],Table110461117[[#This Row],[Column15]],Table110461117[[#This Row],[Column24]],Table110461117[[#This Row],[Column33]]),"A")</f>
        <v>1.375</v>
      </c>
      <c r="CE9" s="139"/>
      <c r="CF9" s="139">
        <f>IFERROR(AVERAGE(Table110461117[[#This Row],[Column26]],Table110461117[[#This Row],[Column35]],Table110461117[[#This Row],[Column17]],Table110461117[[#This Row],[Column8]]),"A")</f>
        <v>1.25</v>
      </c>
      <c r="CG9" s="138"/>
      <c r="CH9" s="139">
        <f>IFERROR(AVERAGE('Review 1'!AX9,'Review 2'!AX9,'Review 3'!AX9,'Review 4'!AX9,'Reflection -1 '!AX9,'Reflection -2'!AX9,'Reflection -3'!AX9,'Reflection -4'!AX9),"A")</f>
        <v>0.75</v>
      </c>
      <c r="CI9" s="139">
        <f>IFERROR(AVERAGE('Review 1'!AY9,'Review 2'!AY9,'Review 3'!AY9,'Review 4'!AY9,'Reflection -1 '!AY9,'Reflection -2'!AY9,'Reflection -3'!AY9,'Reflection -4'!AY9,Capstone!AY10),"A")</f>
        <v>1.3333333333333333</v>
      </c>
      <c r="CJ9" s="139">
        <f>IFERROR(AVERAGE('Review 1'!AZ9,'Review 2'!AZ9,'Review 3'!AZ9,'Review 4'!AZ9,'Reflection -1 '!AZ9,'Reflection -2'!AZ9,'Reflection -3'!AZ9,'Reflection -4'!AZ9),"A")</f>
        <v>1</v>
      </c>
    </row>
    <row r="10" spans="1:88" s="122" customFormat="1" ht="23.1" customHeight="1" x14ac:dyDescent="0.3">
      <c r="A10" s="6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140"/>
      <c r="G10" s="140">
        <f>'Review 1'!Q10</f>
        <v>3</v>
      </c>
      <c r="H10" s="140">
        <f>'Review 1'!W10</f>
        <v>2.3333333333333335</v>
      </c>
      <c r="I10" s="140">
        <f>'Review 1'!AC10</f>
        <v>2.5</v>
      </c>
      <c r="J10" s="140">
        <f>'Review 1'!AI10</f>
        <v>2</v>
      </c>
      <c r="K10" s="140"/>
      <c r="L10" s="140">
        <f>'Review 1'!AU10</f>
        <v>3</v>
      </c>
      <c r="M10" s="138"/>
      <c r="N10" s="140"/>
      <c r="O10" s="140">
        <f>'Review 2'!Q10</f>
        <v>3</v>
      </c>
      <c r="P10" s="140">
        <f>'Review 2'!W10</f>
        <v>2.6666666666666665</v>
      </c>
      <c r="Q10" s="140">
        <f>'Review 2'!AC10</f>
        <v>2</v>
      </c>
      <c r="R10" s="140">
        <f>'Review 2'!AI10</f>
        <v>1.5</v>
      </c>
      <c r="S10" s="140"/>
      <c r="T10" s="140">
        <f>'Review 2'!AU10</f>
        <v>2.6666666666666665</v>
      </c>
      <c r="U10" s="138"/>
      <c r="V10" s="7"/>
      <c r="W10" s="140">
        <f>'Review 3'!Q10</f>
        <v>2.2000000000000002</v>
      </c>
      <c r="X10" s="140">
        <f>'Review 3'!W10</f>
        <v>2</v>
      </c>
      <c r="Y10" s="140">
        <f>'Review 3'!AC10</f>
        <v>2</v>
      </c>
      <c r="Z10" s="140">
        <f>'Review 3'!AI10</f>
        <v>2</v>
      </c>
      <c r="AA10" s="7"/>
      <c r="AB10" s="140">
        <f>'Review 3'!AU10</f>
        <v>2</v>
      </c>
      <c r="AC10" s="138"/>
      <c r="AD10" s="7"/>
      <c r="AE10" s="140">
        <f>'Review 4'!Q10</f>
        <v>3.4</v>
      </c>
      <c r="AF10" s="140">
        <f>'Review 4'!W10</f>
        <v>3</v>
      </c>
      <c r="AG10" s="140">
        <f>'Review 4'!AC10</f>
        <v>4</v>
      </c>
      <c r="AH10" s="140">
        <f>'Review 4'!AI10</f>
        <v>5</v>
      </c>
      <c r="AI10" s="140"/>
      <c r="AJ10" s="140">
        <f>'Review 4'!AU10</f>
        <v>4.666666666666667</v>
      </c>
      <c r="AK10" s="138"/>
      <c r="AL10" s="7"/>
      <c r="AM10" s="140">
        <f>'Reflection -1 '!Q10</f>
        <v>2.6666666666666665</v>
      </c>
      <c r="AN10" s="7"/>
      <c r="AO10" s="7"/>
      <c r="AP10" s="7"/>
      <c r="AQ10" s="7"/>
      <c r="AR10" s="7"/>
      <c r="AS10" s="138"/>
      <c r="AT10" s="7"/>
      <c r="AU10" s="140">
        <f>'Reflection -2'!Q10</f>
        <v>4</v>
      </c>
      <c r="AV10" s="7"/>
      <c r="AW10" s="7"/>
      <c r="AX10" s="7"/>
      <c r="AY10" s="140"/>
      <c r="AZ10" s="7"/>
      <c r="BA10" s="138"/>
      <c r="BB10" s="140"/>
      <c r="BC10" s="140">
        <f>'Reflection -3'!Q10</f>
        <v>2</v>
      </c>
      <c r="BD10" s="140"/>
      <c r="BE10" s="140"/>
      <c r="BF10" s="140"/>
      <c r="BG10" s="140"/>
      <c r="BH10" s="140"/>
      <c r="BI10" s="138"/>
      <c r="BJ10" s="140"/>
      <c r="BK10" s="140">
        <f>'Reflection -3'!Q10</f>
        <v>2</v>
      </c>
      <c r="BL10" s="7"/>
      <c r="BM10" s="140"/>
      <c r="BN10" s="7"/>
      <c r="BO10" s="140"/>
      <c r="BP10" s="140"/>
      <c r="BQ10" s="138"/>
      <c r="BR10" s="140"/>
      <c r="BS10" s="140">
        <f>Capstone!Q11</f>
        <v>3.1666666666666665</v>
      </c>
      <c r="BT10" s="140">
        <f>Capstone!W11</f>
        <v>3</v>
      </c>
      <c r="BU10" s="140">
        <f>Capstone!AC11</f>
        <v>3</v>
      </c>
      <c r="BV10" s="140">
        <f>Capstone!AI11</f>
        <v>2.5</v>
      </c>
      <c r="BW10" s="140">
        <f>Capstone!AO11</f>
        <v>2.5</v>
      </c>
      <c r="BX10" s="140">
        <f>Capstone!AU11</f>
        <v>2.5</v>
      </c>
      <c r="BY10" s="138"/>
      <c r="BZ10" s="140"/>
      <c r="CA1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2.7833333333333332</v>
      </c>
      <c r="CB10" s="140">
        <f>IFERROR(AVERAGE(Table110461117[[#This Row],[Column31]],Table110461117[[#This Row],[Column13]],Table110461117[[#This Row],[Column4]],Table110461117[[#This Row],[Column22]],),"A")</f>
        <v>2</v>
      </c>
      <c r="CC10" s="140">
        <f>IFERROR(AVERAGE(Table110461117[[#This Row],[Column5]],Table110461117[[#This Row],[Column14]],Table110461117[[#This Row],[Column23]],Table110461117[[#This Row],[Column32]]),"A")</f>
        <v>2.625</v>
      </c>
      <c r="CD10" s="140">
        <f>IFERROR(AVERAGE(Table110461117[[#This Row],[Column6]],Table110461117[[#This Row],[Column15]],Table110461117[[#This Row],[Column24]],Table110461117[[#This Row],[Column33]]),"A")</f>
        <v>2.625</v>
      </c>
      <c r="CE10" s="140"/>
      <c r="CF10" s="140">
        <f>IFERROR(AVERAGE(Table110461117[[#This Row],[Column26]],Table110461117[[#This Row],[Column35]],Table110461117[[#This Row],[Column17]],Table110461117[[#This Row],[Column8]]),"A")</f>
        <v>3.0833333333333335</v>
      </c>
      <c r="CG10" s="138"/>
      <c r="CH10" s="140">
        <f>IFERROR(AVERAGE('Review 1'!AX10,'Review 2'!AX10,'Review 3'!AX10,'Review 4'!AX10,'Reflection -1 '!AX10,'Reflection -2'!AX10,'Reflection -3'!AX10,'Reflection -4'!AX10),"A")</f>
        <v>3.25</v>
      </c>
      <c r="CI10" s="140">
        <f>IFERROR(AVERAGE('Review 1'!AY10,'Review 2'!AY10,'Review 3'!AY10,'Review 4'!AY10,'Reflection -1 '!AY10,'Reflection -2'!AY10,'Reflection -3'!AY10,'Reflection -4'!AY10,Capstone!AY11),"A")</f>
        <v>2.8888888888888888</v>
      </c>
      <c r="CJ10" s="140">
        <f>IFERROR(AVERAGE('Review 1'!AZ10,'Review 2'!AZ10,'Review 3'!AZ10,'Review 4'!AZ10,'Reflection -1 '!AZ10,'Reflection -2'!AZ10,'Reflection -3'!AZ10,'Reflection -4'!AZ10),"A")</f>
        <v>3</v>
      </c>
    </row>
    <row r="11" spans="1:88" s="122" customFormat="1" ht="23.1" customHeight="1" x14ac:dyDescent="0.3">
      <c r="A11" s="137">
        <v>9</v>
      </c>
      <c r="B11" s="62" t="s">
        <v>103</v>
      </c>
      <c r="C11" s="62" t="s">
        <v>104</v>
      </c>
      <c r="D11" s="62" t="s">
        <v>542</v>
      </c>
      <c r="E11" s="62" t="s">
        <v>35</v>
      </c>
      <c r="F11" s="139"/>
      <c r="G11" s="139">
        <f>'Review 1'!Q11</f>
        <v>0</v>
      </c>
      <c r="H11" s="139">
        <f>'Review 1'!W11</f>
        <v>0</v>
      </c>
      <c r="I11" s="139">
        <f>'Review 1'!AC11</f>
        <v>0</v>
      </c>
      <c r="J11" s="139">
        <f>'Review 1'!AI11</f>
        <v>0</v>
      </c>
      <c r="K11" s="139"/>
      <c r="L11" s="139">
        <f>'Review 1'!AU11</f>
        <v>0</v>
      </c>
      <c r="M11" s="138"/>
      <c r="N11" s="139"/>
      <c r="O11" s="139">
        <f>'Review 2'!Q11</f>
        <v>2.8</v>
      </c>
      <c r="P11" s="139">
        <f>'Review 2'!W11</f>
        <v>2.3333333333333335</v>
      </c>
      <c r="Q11" s="139">
        <f>'Review 2'!AC11</f>
        <v>4</v>
      </c>
      <c r="R11" s="139">
        <f>'Review 2'!AI11</f>
        <v>2.5</v>
      </c>
      <c r="S11" s="139"/>
      <c r="T11" s="139">
        <f>'Review 2'!AU11</f>
        <v>3.3333333333333335</v>
      </c>
      <c r="U11" s="138"/>
      <c r="V11" s="62"/>
      <c r="W11" s="139">
        <f>'Review 3'!Q11</f>
        <v>2.6</v>
      </c>
      <c r="X11" s="139">
        <f>'Review 3'!W11</f>
        <v>0</v>
      </c>
      <c r="Y11" s="139">
        <f>'Review 3'!AC11</f>
        <v>0</v>
      </c>
      <c r="Z11" s="139">
        <f>'Review 3'!AI11</f>
        <v>0</v>
      </c>
      <c r="AA11" s="62"/>
      <c r="AB11" s="139">
        <f>'Review 3'!AU11</f>
        <v>0</v>
      </c>
      <c r="AC11" s="138"/>
      <c r="AD11" s="62"/>
      <c r="AE11" s="139">
        <f>'Review 4'!Q11</f>
        <v>3.4</v>
      </c>
      <c r="AF11" s="139">
        <f>'Review 4'!W11</f>
        <v>4.333333333333333</v>
      </c>
      <c r="AG11" s="139">
        <f>'Review 4'!AC11</f>
        <v>4</v>
      </c>
      <c r="AH11" s="139">
        <f>'Review 4'!AI11</f>
        <v>2.5</v>
      </c>
      <c r="AI11" s="139"/>
      <c r="AJ11" s="139">
        <f>'Review 4'!AU11</f>
        <v>5</v>
      </c>
      <c r="AK11" s="138"/>
      <c r="AL11" s="62"/>
      <c r="AM11" s="139">
        <f>'Reflection -1 '!Q11</f>
        <v>2.6666666666666665</v>
      </c>
      <c r="AN11" s="62"/>
      <c r="AO11" s="62"/>
      <c r="AP11" s="62"/>
      <c r="AQ11" s="62"/>
      <c r="AR11" s="62"/>
      <c r="AS11" s="138"/>
      <c r="AT11" s="62"/>
      <c r="AU11" s="139">
        <f>'Reflection -2'!Q11</f>
        <v>3.3333333333333335</v>
      </c>
      <c r="AV11" s="62"/>
      <c r="AW11" s="62"/>
      <c r="AX11" s="62"/>
      <c r="AY11" s="139"/>
      <c r="AZ11" s="62"/>
      <c r="BA11" s="138"/>
      <c r="BB11" s="139"/>
      <c r="BC11" s="139">
        <f>'Reflection -3'!Q11</f>
        <v>2.6666666666666665</v>
      </c>
      <c r="BD11" s="139"/>
      <c r="BE11" s="139"/>
      <c r="BF11" s="139"/>
      <c r="BG11" s="139"/>
      <c r="BH11" s="139"/>
      <c r="BI11" s="138"/>
      <c r="BJ11" s="139"/>
      <c r="BK11" s="139">
        <f>'Reflection -3'!Q11</f>
        <v>2.6666666666666665</v>
      </c>
      <c r="BL11" s="62"/>
      <c r="BM11" s="139"/>
      <c r="BN11" s="62"/>
      <c r="BO11" s="139"/>
      <c r="BP11" s="139"/>
      <c r="BQ11" s="138"/>
      <c r="BR11" s="139"/>
      <c r="BS11" s="139">
        <f>Capstone!Q12</f>
        <v>3.3333333333333335</v>
      </c>
      <c r="BT11" s="139">
        <f>Capstone!W12</f>
        <v>4</v>
      </c>
      <c r="BU11" s="139">
        <f>Capstone!AC12</f>
        <v>4</v>
      </c>
      <c r="BV11" s="139">
        <f>Capstone!AI12</f>
        <v>3</v>
      </c>
      <c r="BW11" s="139">
        <f>Capstone!AO12</f>
        <v>3</v>
      </c>
      <c r="BX11" s="139">
        <f>Capstone!AU12</f>
        <v>4</v>
      </c>
      <c r="BY11" s="138"/>
      <c r="BZ11" s="139"/>
      <c r="CA1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2.5166666666666666</v>
      </c>
      <c r="CB11" s="139">
        <f>IFERROR(AVERAGE(Table110461117[[#This Row],[Column31]],Table110461117[[#This Row],[Column13]],Table110461117[[#This Row],[Column4]],Table110461117[[#This Row],[Column22]],),"A")</f>
        <v>1.3333333333333333</v>
      </c>
      <c r="CC11" s="139">
        <f>IFERROR(AVERAGE(Table110461117[[#This Row],[Column5]],Table110461117[[#This Row],[Column14]],Table110461117[[#This Row],[Column23]],Table110461117[[#This Row],[Column32]]),"A")</f>
        <v>2</v>
      </c>
      <c r="CD11" s="139">
        <f>IFERROR(AVERAGE(Table110461117[[#This Row],[Column6]],Table110461117[[#This Row],[Column15]],Table110461117[[#This Row],[Column24]],Table110461117[[#This Row],[Column33]]),"A")</f>
        <v>1.25</v>
      </c>
      <c r="CE11" s="139"/>
      <c r="CF11" s="139">
        <f>IFERROR(AVERAGE(Table110461117[[#This Row],[Column26]],Table110461117[[#This Row],[Column35]],Table110461117[[#This Row],[Column17]],Table110461117[[#This Row],[Column8]]),"A")</f>
        <v>2.0833333333333335</v>
      </c>
      <c r="CG11" s="138"/>
      <c r="CH11" s="139">
        <f>IFERROR(AVERAGE('Review 1'!AX11,'Review 2'!AX11,'Review 3'!AX11,'Review 4'!AX11,'Reflection -1 '!AX11,'Reflection -2'!AX11,'Reflection -3'!AX11,'Reflection -4'!AX11),"A")</f>
        <v>3.375</v>
      </c>
      <c r="CI11" s="139">
        <f>IFERROR(AVERAGE('Review 1'!AY11,'Review 2'!AY11,'Review 3'!AY11,'Review 4'!AY11,'Reflection -1 '!AY11,'Reflection -2'!AY11,'Reflection -3'!AY11,'Reflection -4'!AY11,Capstone!AY12),"A")</f>
        <v>1.3333333333333333</v>
      </c>
      <c r="CJ11" s="139">
        <f>IFERROR(AVERAGE('Review 1'!AZ11,'Review 2'!AZ11,'Review 3'!AZ11,'Review 4'!AZ11,'Reflection -1 '!AZ11,'Reflection -2'!AZ11,'Reflection -3'!AZ11,'Reflection -4'!AZ11),"A")</f>
        <v>2.5</v>
      </c>
    </row>
    <row r="12" spans="1:88" s="122" customFormat="1" ht="23.1" customHeight="1" x14ac:dyDescent="0.3">
      <c r="A12" s="6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140"/>
      <c r="G12" s="140">
        <f>'Review 1'!Q12</f>
        <v>0</v>
      </c>
      <c r="H12" s="140">
        <f>'Review 1'!W12</f>
        <v>0</v>
      </c>
      <c r="I12" s="140">
        <f>'Review 1'!AC12</f>
        <v>0</v>
      </c>
      <c r="J12" s="140">
        <f>'Review 1'!AI12</f>
        <v>0</v>
      </c>
      <c r="K12" s="140"/>
      <c r="L12" s="140">
        <f>'Review 1'!AU12</f>
        <v>0</v>
      </c>
      <c r="M12" s="138"/>
      <c r="N12" s="140"/>
      <c r="O12" s="140">
        <f>'Review 2'!Q12</f>
        <v>3.6</v>
      </c>
      <c r="P12" s="140">
        <f>'Review 2'!W12</f>
        <v>3</v>
      </c>
      <c r="Q12" s="140">
        <f>'Review 2'!AC12</f>
        <v>2</v>
      </c>
      <c r="R12" s="140">
        <f>'Review 2'!AI12</f>
        <v>2.5</v>
      </c>
      <c r="S12" s="140"/>
      <c r="T12" s="140">
        <f>'Review 2'!AU12</f>
        <v>1.3333333333333333</v>
      </c>
      <c r="U12" s="138"/>
      <c r="V12" s="7"/>
      <c r="W12" s="140">
        <f>'Review 3'!Q12</f>
        <v>0.6</v>
      </c>
      <c r="X12" s="140">
        <f>'Review 3'!W12</f>
        <v>0</v>
      </c>
      <c r="Y12" s="140">
        <f>'Review 3'!AC12</f>
        <v>0</v>
      </c>
      <c r="Z12" s="140">
        <f>'Review 3'!AI12</f>
        <v>0</v>
      </c>
      <c r="AA12" s="7"/>
      <c r="AB12" s="140">
        <f>'Review 3'!AU12</f>
        <v>0</v>
      </c>
      <c r="AC12" s="138"/>
      <c r="AD12" s="7"/>
      <c r="AE12" s="140">
        <f>'Review 4'!Q12</f>
        <v>3.8</v>
      </c>
      <c r="AF12" s="140">
        <f>'Review 4'!W12</f>
        <v>2</v>
      </c>
      <c r="AG12" s="140">
        <f>'Review 4'!AC12</f>
        <v>2</v>
      </c>
      <c r="AH12" s="140">
        <f>'Review 4'!AI12</f>
        <v>0.5</v>
      </c>
      <c r="AI12" s="140"/>
      <c r="AJ12" s="140">
        <f>'Review 4'!AU12</f>
        <v>1.6666666666666667</v>
      </c>
      <c r="AK12" s="138"/>
      <c r="AL12" s="7"/>
      <c r="AM12" s="140">
        <f>'Reflection -1 '!Q12</f>
        <v>2.3333333333333335</v>
      </c>
      <c r="AN12" s="7"/>
      <c r="AO12" s="7"/>
      <c r="AP12" s="7"/>
      <c r="AQ12" s="7"/>
      <c r="AR12" s="7"/>
      <c r="AS12" s="138"/>
      <c r="AT12" s="7"/>
      <c r="AU12" s="140">
        <f>'Reflection -2'!Q12</f>
        <v>2.6666666666666665</v>
      </c>
      <c r="AV12" s="7"/>
      <c r="AW12" s="7"/>
      <c r="AX12" s="7"/>
      <c r="AY12" s="140"/>
      <c r="AZ12" s="7"/>
      <c r="BA12" s="138"/>
      <c r="BB12" s="140"/>
      <c r="BC12" s="140">
        <f>'Reflection -3'!Q12</f>
        <v>0</v>
      </c>
      <c r="BD12" s="140"/>
      <c r="BE12" s="140"/>
      <c r="BF12" s="140"/>
      <c r="BG12" s="140"/>
      <c r="BH12" s="140"/>
      <c r="BI12" s="138"/>
      <c r="BJ12" s="140"/>
      <c r="BK12" s="140">
        <f>'Reflection -3'!Q12</f>
        <v>0</v>
      </c>
      <c r="BL12" s="7"/>
      <c r="BM12" s="140"/>
      <c r="BN12" s="7"/>
      <c r="BO12" s="140"/>
      <c r="BP12" s="140"/>
      <c r="BQ12" s="138"/>
      <c r="BR12" s="140"/>
      <c r="BS12" s="140">
        <f>Capstone!Q13</f>
        <v>4.333333333333333</v>
      </c>
      <c r="BT12" s="140">
        <f>Capstone!W13</f>
        <v>3</v>
      </c>
      <c r="BU12" s="140">
        <f>Capstone!AC13</f>
        <v>3</v>
      </c>
      <c r="BV12" s="140">
        <f>Capstone!AI13</f>
        <v>4</v>
      </c>
      <c r="BW12" s="140">
        <f>Capstone!AO13</f>
        <v>4</v>
      </c>
      <c r="BX12" s="140">
        <f>Capstone!AU13</f>
        <v>4</v>
      </c>
      <c r="BY12" s="138"/>
      <c r="BZ12" s="140"/>
      <c r="CA1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1.6249999999999998</v>
      </c>
      <c r="CB12" s="140">
        <f>IFERROR(AVERAGE(Table110461117[[#This Row],[Column31]],Table110461117[[#This Row],[Column13]],Table110461117[[#This Row],[Column4]],Table110461117[[#This Row],[Column22]],),"A")</f>
        <v>1</v>
      </c>
      <c r="CC12" s="140">
        <f>IFERROR(AVERAGE(Table110461117[[#This Row],[Column5]],Table110461117[[#This Row],[Column14]],Table110461117[[#This Row],[Column23]],Table110461117[[#This Row],[Column32]]),"A")</f>
        <v>1</v>
      </c>
      <c r="CD12" s="140">
        <f>IFERROR(AVERAGE(Table110461117[[#This Row],[Column6]],Table110461117[[#This Row],[Column15]],Table110461117[[#This Row],[Column24]],Table110461117[[#This Row],[Column33]]),"A")</f>
        <v>0.75</v>
      </c>
      <c r="CE12" s="140"/>
      <c r="CF12" s="140">
        <f>IFERROR(AVERAGE(Table110461117[[#This Row],[Column26]],Table110461117[[#This Row],[Column35]],Table110461117[[#This Row],[Column17]],Table110461117[[#This Row],[Column8]]),"A")</f>
        <v>0.75</v>
      </c>
      <c r="CG12" s="138"/>
      <c r="CH12" s="140">
        <f>IFERROR(AVERAGE('Review 1'!AX12,'Review 2'!AX12,'Review 3'!AX12,'Review 4'!AX12,'Reflection -1 '!AX12,'Reflection -2'!AX12,'Reflection -3'!AX12,'Reflection -4'!AX12),"A")</f>
        <v>1.625</v>
      </c>
      <c r="CI12" s="140">
        <f>IFERROR(AVERAGE('Review 1'!AY12,'Review 2'!AY12,'Review 3'!AY12,'Review 4'!AY12,'Reflection -1 '!AY12,'Reflection -2'!AY12,'Reflection -3'!AY12,'Reflection -4'!AY12,Capstone!AY13),"A")</f>
        <v>0.88888888888888884</v>
      </c>
      <c r="CJ12" s="140">
        <f>IFERROR(AVERAGE('Review 1'!AZ12,'Review 2'!AZ12,'Review 3'!AZ12,'Review 4'!AZ12,'Reflection -1 '!AZ12,'Reflection -2'!AZ12,'Reflection -3'!AZ12,'Reflection -4'!AZ12),"A")</f>
        <v>1</v>
      </c>
    </row>
    <row r="13" spans="1:88" s="122" customFormat="1" ht="23.1" customHeight="1" x14ac:dyDescent="0.3">
      <c r="A13" s="137">
        <v>11</v>
      </c>
      <c r="B13" s="62" t="s">
        <v>162</v>
      </c>
      <c r="C13" s="62" t="s">
        <v>163</v>
      </c>
      <c r="D13" s="62" t="s">
        <v>450</v>
      </c>
      <c r="E13" s="62" t="s">
        <v>161</v>
      </c>
      <c r="F13" s="139"/>
      <c r="G13" s="139">
        <f>'Review 1'!Q13</f>
        <v>2</v>
      </c>
      <c r="H13" s="139">
        <f>'Review 1'!W13</f>
        <v>2</v>
      </c>
      <c r="I13" s="139">
        <f>'Review 1'!AC13</f>
        <v>2</v>
      </c>
      <c r="J13" s="139">
        <f>'Review 1'!AI13</f>
        <v>2</v>
      </c>
      <c r="K13" s="139"/>
      <c r="L13" s="139">
        <f>'Review 1'!AU13</f>
        <v>2</v>
      </c>
      <c r="M13" s="138"/>
      <c r="N13" s="139"/>
      <c r="O13" s="139">
        <f>'Review 2'!Q13</f>
        <v>2</v>
      </c>
      <c r="P13" s="139">
        <f>'Review 2'!W13</f>
        <v>2</v>
      </c>
      <c r="Q13" s="139">
        <f>'Review 2'!AC13</f>
        <v>2</v>
      </c>
      <c r="R13" s="139">
        <f>'Review 2'!AI13</f>
        <v>2</v>
      </c>
      <c r="S13" s="139"/>
      <c r="T13" s="139">
        <f>'Review 2'!AU13</f>
        <v>2</v>
      </c>
      <c r="U13" s="138"/>
      <c r="V13" s="62"/>
      <c r="W13" s="139">
        <f>'Review 3'!Q13</f>
        <v>2</v>
      </c>
      <c r="X13" s="139">
        <f>'Review 3'!W13</f>
        <v>2</v>
      </c>
      <c r="Y13" s="139">
        <f>'Review 3'!AC13</f>
        <v>2</v>
      </c>
      <c r="Z13" s="139">
        <f>'Review 3'!AI13</f>
        <v>2</v>
      </c>
      <c r="AA13" s="62"/>
      <c r="AB13" s="139">
        <f>'Review 3'!AU13</f>
        <v>2</v>
      </c>
      <c r="AC13" s="138"/>
      <c r="AD13" s="62"/>
      <c r="AE13" s="139">
        <f>'Review 4'!Q13</f>
        <v>3.4</v>
      </c>
      <c r="AF13" s="139">
        <f>'Review 4'!W13</f>
        <v>3</v>
      </c>
      <c r="AG13" s="139">
        <f>'Review 4'!AC13</f>
        <v>4</v>
      </c>
      <c r="AH13" s="139">
        <f>'Review 4'!AI13</f>
        <v>5</v>
      </c>
      <c r="AI13" s="139"/>
      <c r="AJ13" s="139">
        <f>'Review 4'!AU13</f>
        <v>4.666666666666667</v>
      </c>
      <c r="AK13" s="138"/>
      <c r="AL13" s="62"/>
      <c r="AM13" s="139">
        <f>'Reflection -1 '!Q13</f>
        <v>2.6666666666666665</v>
      </c>
      <c r="AN13" s="62"/>
      <c r="AO13" s="62"/>
      <c r="AP13" s="62"/>
      <c r="AQ13" s="62"/>
      <c r="AR13" s="62"/>
      <c r="AS13" s="138"/>
      <c r="AT13" s="62"/>
      <c r="AU13" s="139">
        <f>'Reflection -2'!Q13</f>
        <v>4</v>
      </c>
      <c r="AV13" s="62"/>
      <c r="AW13" s="62"/>
      <c r="AX13" s="62"/>
      <c r="AY13" s="139"/>
      <c r="AZ13" s="62"/>
      <c r="BA13" s="138"/>
      <c r="BB13" s="139"/>
      <c r="BC13" s="139">
        <f>'Reflection -3'!Q13</f>
        <v>0</v>
      </c>
      <c r="BD13" s="139"/>
      <c r="BE13" s="139"/>
      <c r="BF13" s="139"/>
      <c r="BG13" s="139"/>
      <c r="BH13" s="139"/>
      <c r="BI13" s="138"/>
      <c r="BJ13" s="139"/>
      <c r="BK13" s="139">
        <f>'Reflection -3'!Q13</f>
        <v>0</v>
      </c>
      <c r="BL13" s="62"/>
      <c r="BM13" s="139"/>
      <c r="BN13" s="62"/>
      <c r="BO13" s="139"/>
      <c r="BP13" s="139"/>
      <c r="BQ13" s="138"/>
      <c r="BR13" s="139"/>
      <c r="BS13" s="139">
        <f>Capstone!Q14</f>
        <v>3</v>
      </c>
      <c r="BT13" s="139">
        <f>Capstone!W14</f>
        <v>4</v>
      </c>
      <c r="BU13" s="139">
        <f>Capstone!AC14</f>
        <v>4</v>
      </c>
      <c r="BV13" s="139">
        <f>Capstone!AI14</f>
        <v>0</v>
      </c>
      <c r="BW13" s="139">
        <f>Capstone!AO14</f>
        <v>3.5</v>
      </c>
      <c r="BX13" s="139">
        <f>Capstone!AU14</f>
        <v>4</v>
      </c>
      <c r="BY13" s="138"/>
      <c r="BZ13" s="139"/>
      <c r="CA1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2.0083333333333333</v>
      </c>
      <c r="CB13" s="139">
        <f>IFERROR(AVERAGE(Table110461117[[#This Row],[Column31]],Table110461117[[#This Row],[Column13]],Table110461117[[#This Row],[Column4]],Table110461117[[#This Row],[Column22]],),"A")</f>
        <v>1.8</v>
      </c>
      <c r="CC13" s="139">
        <f>IFERROR(AVERAGE(Table110461117[[#This Row],[Column5]],Table110461117[[#This Row],[Column14]],Table110461117[[#This Row],[Column23]],Table110461117[[#This Row],[Column32]]),"A")</f>
        <v>2.5</v>
      </c>
      <c r="CD13" s="139">
        <f>IFERROR(AVERAGE(Table110461117[[#This Row],[Column6]],Table110461117[[#This Row],[Column15]],Table110461117[[#This Row],[Column24]],Table110461117[[#This Row],[Column33]]),"A")</f>
        <v>2.75</v>
      </c>
      <c r="CE13" s="139"/>
      <c r="CF13" s="139">
        <f>IFERROR(AVERAGE(Table110461117[[#This Row],[Column26]],Table110461117[[#This Row],[Column35]],Table110461117[[#This Row],[Column17]],Table110461117[[#This Row],[Column8]]),"A")</f>
        <v>2.666666666666667</v>
      </c>
      <c r="CG13" s="138"/>
      <c r="CH13" s="139">
        <f>IFERROR(AVERAGE('Review 1'!AX13,'Review 2'!AX13,'Review 3'!AX13,'Review 4'!AX13,'Reflection -1 '!AX13,'Reflection -2'!AX13,'Reflection -3'!AX13,'Reflection -4'!AX13),"A")</f>
        <v>2.625</v>
      </c>
      <c r="CI13" s="139">
        <f>IFERROR(AVERAGE('Review 1'!AY13,'Review 2'!AY13,'Review 3'!AY13,'Review 4'!AY13,'Reflection -1 '!AY13,'Reflection -2'!AY13,'Reflection -3'!AY13,'Reflection -4'!AY13,Capstone!AY14),"A")</f>
        <v>1.4444444444444444</v>
      </c>
      <c r="CJ13" s="139">
        <f>IFERROR(AVERAGE('Review 1'!AZ13,'Review 2'!AZ13,'Review 3'!AZ13,'Review 4'!AZ13,'Reflection -1 '!AZ13,'Reflection -2'!AZ13,'Reflection -3'!AZ13,'Reflection -4'!AZ13),"A")</f>
        <v>1.75</v>
      </c>
    </row>
    <row r="14" spans="1:88" s="122" customFormat="1" ht="23.1" customHeight="1" x14ac:dyDescent="0.3">
      <c r="A14" s="6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140"/>
      <c r="G14" s="140">
        <f>'Review 1'!Q14</f>
        <v>3</v>
      </c>
      <c r="H14" s="140">
        <f>'Review 1'!W14</f>
        <v>3</v>
      </c>
      <c r="I14" s="140">
        <f>'Review 1'!AC14</f>
        <v>3</v>
      </c>
      <c r="J14" s="140">
        <f>'Review 1'!AI14</f>
        <v>3</v>
      </c>
      <c r="K14" s="140"/>
      <c r="L14" s="140">
        <f>'Review 1'!AU14</f>
        <v>3</v>
      </c>
      <c r="M14" s="138"/>
      <c r="N14" s="140"/>
      <c r="O14" s="140">
        <f>'Review 2'!Q14</f>
        <v>3</v>
      </c>
      <c r="P14" s="140">
        <f>'Review 2'!W14</f>
        <v>3</v>
      </c>
      <c r="Q14" s="140">
        <f>'Review 2'!AC14</f>
        <v>3</v>
      </c>
      <c r="R14" s="140">
        <f>'Review 2'!AI14</f>
        <v>3</v>
      </c>
      <c r="S14" s="140"/>
      <c r="T14" s="140">
        <f>'Review 2'!AU14</f>
        <v>3</v>
      </c>
      <c r="U14" s="138"/>
      <c r="V14" s="7"/>
      <c r="W14" s="140">
        <f>'Review 3'!Q14</f>
        <v>0</v>
      </c>
      <c r="X14" s="140">
        <f>'Review 3'!W14</f>
        <v>0</v>
      </c>
      <c r="Y14" s="140">
        <f>'Review 3'!AC14</f>
        <v>3</v>
      </c>
      <c r="Z14" s="140">
        <f>'Review 3'!AI14</f>
        <v>0</v>
      </c>
      <c r="AA14" s="7"/>
      <c r="AB14" s="140">
        <f>'Review 3'!AU14</f>
        <v>0</v>
      </c>
      <c r="AC14" s="138"/>
      <c r="AD14" s="7"/>
      <c r="AE14" s="140">
        <f>'Review 4'!Q14</f>
        <v>3.2</v>
      </c>
      <c r="AF14" s="140">
        <f>'Review 4'!W14</f>
        <v>2.3333333333333335</v>
      </c>
      <c r="AG14" s="140">
        <f>'Review 4'!AC14</f>
        <v>2.5</v>
      </c>
      <c r="AH14" s="140">
        <f>'Review 4'!AI14</f>
        <v>1</v>
      </c>
      <c r="AI14" s="140"/>
      <c r="AJ14" s="140">
        <f>'Review 4'!AU14</f>
        <v>3</v>
      </c>
      <c r="AK14" s="138"/>
      <c r="AL14" s="7"/>
      <c r="AM14" s="140">
        <f>'Reflection -1 '!Q14</f>
        <v>4</v>
      </c>
      <c r="AN14" s="7"/>
      <c r="AO14" s="7"/>
      <c r="AP14" s="7"/>
      <c r="AQ14" s="7"/>
      <c r="AR14" s="7"/>
      <c r="AS14" s="138"/>
      <c r="AT14" s="7"/>
      <c r="AU14" s="140">
        <f>'Reflection -2'!Q14</f>
        <v>2.6666666666666665</v>
      </c>
      <c r="AV14" s="7"/>
      <c r="AW14" s="7"/>
      <c r="AX14" s="7"/>
      <c r="AY14" s="140"/>
      <c r="AZ14" s="7"/>
      <c r="BA14" s="138"/>
      <c r="BB14" s="140"/>
      <c r="BC14" s="140">
        <f>'Reflection -3'!Q14</f>
        <v>3.3333333333333335</v>
      </c>
      <c r="BD14" s="140"/>
      <c r="BE14" s="140"/>
      <c r="BF14" s="140"/>
      <c r="BG14" s="140"/>
      <c r="BH14" s="140"/>
      <c r="BI14" s="138"/>
      <c r="BJ14" s="140"/>
      <c r="BK14" s="140">
        <f>'Reflection -3'!Q14</f>
        <v>3.3333333333333335</v>
      </c>
      <c r="BL14" s="7"/>
      <c r="BM14" s="140"/>
      <c r="BN14" s="7"/>
      <c r="BO14" s="140"/>
      <c r="BP14" s="140"/>
      <c r="BQ14" s="138"/>
      <c r="BR14" s="140"/>
      <c r="BS14" s="140">
        <f>Capstone!Q15</f>
        <v>3.8333333333333335</v>
      </c>
      <c r="BT14" s="140">
        <f>Capstone!W15</f>
        <v>4</v>
      </c>
      <c r="BU14" s="140">
        <f>Capstone!AC15</f>
        <v>4</v>
      </c>
      <c r="BV14" s="140">
        <f>Capstone!AI15</f>
        <v>0</v>
      </c>
      <c r="BW14" s="140">
        <f>Capstone!AO15</f>
        <v>4</v>
      </c>
      <c r="BX14" s="140">
        <f>Capstone!AU15</f>
        <v>4</v>
      </c>
      <c r="BY14" s="138"/>
      <c r="BZ14" s="140"/>
      <c r="CA1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2.8166666666666669</v>
      </c>
      <c r="CB14" s="140">
        <f>IFERROR(AVERAGE(Table110461117[[#This Row],[Column31]],Table110461117[[#This Row],[Column13]],Table110461117[[#This Row],[Column4]],Table110461117[[#This Row],[Column22]],),"A")</f>
        <v>1.6666666666666667</v>
      </c>
      <c r="CC14" s="140">
        <f>IFERROR(AVERAGE(Table110461117[[#This Row],[Column5]],Table110461117[[#This Row],[Column14]],Table110461117[[#This Row],[Column23]],Table110461117[[#This Row],[Column32]]),"A")</f>
        <v>2.875</v>
      </c>
      <c r="CD14" s="140">
        <f>IFERROR(AVERAGE(Table110461117[[#This Row],[Column6]],Table110461117[[#This Row],[Column15]],Table110461117[[#This Row],[Column24]],Table110461117[[#This Row],[Column33]]),"A")</f>
        <v>1.75</v>
      </c>
      <c r="CE14" s="140"/>
      <c r="CF14" s="140">
        <f>IFERROR(AVERAGE(Table110461117[[#This Row],[Column26]],Table110461117[[#This Row],[Column35]],Table110461117[[#This Row],[Column17]],Table110461117[[#This Row],[Column8]]),"A")</f>
        <v>2.25</v>
      </c>
      <c r="CG14" s="138"/>
      <c r="CH14" s="140">
        <f>IFERROR(AVERAGE('Review 1'!AX14,'Review 2'!AX14,'Review 3'!AX14,'Review 4'!AX14,'Reflection -1 '!AX14,'Reflection -2'!AX14,'Reflection -3'!AX14,'Reflection -4'!AX14),"A")</f>
        <v>2.75</v>
      </c>
      <c r="CI14" s="140">
        <f>IFERROR(AVERAGE('Review 1'!AY14,'Review 2'!AY14,'Review 3'!AY14,'Review 4'!AY14,'Reflection -1 '!AY14,'Reflection -2'!AY14,'Reflection -3'!AY14,'Reflection -4'!AY14,Capstone!AY15),"A")</f>
        <v>1.4444444444444444</v>
      </c>
      <c r="CJ14" s="140">
        <f>IFERROR(AVERAGE('Review 1'!AZ14,'Review 2'!AZ14,'Review 3'!AZ14,'Review 4'!AZ14,'Reflection -1 '!AZ14,'Reflection -2'!AZ14,'Reflection -3'!AZ14,'Reflection -4'!AZ14),"A")</f>
        <v>2.625</v>
      </c>
    </row>
    <row r="15" spans="1:88" s="122" customFormat="1" ht="23.1" customHeight="1" x14ac:dyDescent="0.3">
      <c r="A15" s="137">
        <v>13</v>
      </c>
      <c r="B15" s="62" t="s">
        <v>87</v>
      </c>
      <c r="C15" s="62" t="s">
        <v>88</v>
      </c>
      <c r="D15" s="62" t="s">
        <v>450</v>
      </c>
      <c r="E15" s="62" t="s">
        <v>35</v>
      </c>
      <c r="F15" s="139"/>
      <c r="G15" s="139">
        <f>'Review 1'!Q15</f>
        <v>2</v>
      </c>
      <c r="H15" s="139">
        <f>'Review 1'!W15</f>
        <v>3</v>
      </c>
      <c r="I15" s="139">
        <f>'Review 1'!AC15</f>
        <v>2.5</v>
      </c>
      <c r="J15" s="139">
        <f>'Review 1'!AI15</f>
        <v>3</v>
      </c>
      <c r="K15" s="139"/>
      <c r="L15" s="139">
        <f>'Review 1'!AU15</f>
        <v>1</v>
      </c>
      <c r="M15" s="138"/>
      <c r="N15" s="139"/>
      <c r="O15" s="139">
        <f>'Review 2'!Q15</f>
        <v>2</v>
      </c>
      <c r="P15" s="139">
        <f>'Review 2'!W15</f>
        <v>3</v>
      </c>
      <c r="Q15" s="139">
        <f>'Review 2'!AC15</f>
        <v>2.5</v>
      </c>
      <c r="R15" s="139">
        <f>'Review 2'!AI15</f>
        <v>3</v>
      </c>
      <c r="S15" s="139"/>
      <c r="T15" s="139">
        <f>'Review 2'!AU15</f>
        <v>1</v>
      </c>
      <c r="U15" s="138"/>
      <c r="V15" s="62"/>
      <c r="W15" s="139">
        <f>'Review 3'!Q15</f>
        <v>2</v>
      </c>
      <c r="X15" s="139">
        <f>'Review 3'!W15</f>
        <v>0</v>
      </c>
      <c r="Y15" s="139">
        <f>'Review 3'!AC15</f>
        <v>0</v>
      </c>
      <c r="Z15" s="139">
        <f>'Review 3'!AI15</f>
        <v>0</v>
      </c>
      <c r="AA15" s="62"/>
      <c r="AB15" s="139">
        <f>'Review 3'!AU15</f>
        <v>0</v>
      </c>
      <c r="AC15" s="138"/>
      <c r="AD15" s="62"/>
      <c r="AE15" s="139">
        <f>'Review 4'!Q15</f>
        <v>2.4</v>
      </c>
      <c r="AF15" s="139">
        <f>'Review 4'!W15</f>
        <v>3</v>
      </c>
      <c r="AG15" s="139">
        <f>'Review 4'!AC15</f>
        <v>2</v>
      </c>
      <c r="AH15" s="139">
        <f>'Review 4'!AI15</f>
        <v>2.5</v>
      </c>
      <c r="AI15" s="139"/>
      <c r="AJ15" s="139">
        <f>'Review 4'!AU15</f>
        <v>2.6666666666666665</v>
      </c>
      <c r="AK15" s="138"/>
      <c r="AL15" s="62"/>
      <c r="AM15" s="139">
        <f>'Reflection -1 '!Q15</f>
        <v>3.6666666666666665</v>
      </c>
      <c r="AN15" s="62"/>
      <c r="AO15" s="62"/>
      <c r="AP15" s="62"/>
      <c r="AQ15" s="62"/>
      <c r="AR15" s="62"/>
      <c r="AS15" s="138"/>
      <c r="AT15" s="62"/>
      <c r="AU15" s="139">
        <f>'Reflection -2'!Q15</f>
        <v>3</v>
      </c>
      <c r="AV15" s="62"/>
      <c r="AW15" s="62"/>
      <c r="AX15" s="62"/>
      <c r="AY15" s="139"/>
      <c r="AZ15" s="62"/>
      <c r="BA15" s="138"/>
      <c r="BB15" s="139"/>
      <c r="BC15" s="139">
        <f>'Reflection -3'!Q15</f>
        <v>3</v>
      </c>
      <c r="BD15" s="139"/>
      <c r="BE15" s="139"/>
      <c r="BF15" s="139"/>
      <c r="BG15" s="139"/>
      <c r="BH15" s="139"/>
      <c r="BI15" s="138"/>
      <c r="BJ15" s="139"/>
      <c r="BK15" s="139">
        <f>'Reflection -3'!Q15</f>
        <v>3</v>
      </c>
      <c r="BL15" s="62"/>
      <c r="BM15" s="139"/>
      <c r="BN15" s="62"/>
      <c r="BO15" s="139"/>
      <c r="BP15" s="139"/>
      <c r="BQ15" s="138"/>
      <c r="BR15" s="139"/>
      <c r="BS15" s="139">
        <f>Capstone!Q16</f>
        <v>3.3333333333333335</v>
      </c>
      <c r="BT15" s="139">
        <f>Capstone!W16</f>
        <v>3</v>
      </c>
      <c r="BU15" s="139">
        <f>Capstone!AC16</f>
        <v>3</v>
      </c>
      <c r="BV15" s="139">
        <f>Capstone!AI16</f>
        <v>3</v>
      </c>
      <c r="BW15" s="139">
        <f>Capstone!AO16</f>
        <v>3</v>
      </c>
      <c r="BX15" s="139">
        <f>Capstone!AU16</f>
        <v>3</v>
      </c>
      <c r="BY15" s="138"/>
      <c r="BZ15" s="139"/>
      <c r="CA1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2.6333333333333333</v>
      </c>
      <c r="CB15" s="139">
        <f>IFERROR(AVERAGE(Table110461117[[#This Row],[Column31]],Table110461117[[#This Row],[Column13]],Table110461117[[#This Row],[Column4]],Table110461117[[#This Row],[Column22]],),"A")</f>
        <v>1.8</v>
      </c>
      <c r="CC15" s="139">
        <f>IFERROR(AVERAGE(Table110461117[[#This Row],[Column5]],Table110461117[[#This Row],[Column14]],Table110461117[[#This Row],[Column23]],Table110461117[[#This Row],[Column32]]),"A")</f>
        <v>1.75</v>
      </c>
      <c r="CD15" s="139">
        <f>IFERROR(AVERAGE(Table110461117[[#This Row],[Column6]],Table110461117[[#This Row],[Column15]],Table110461117[[#This Row],[Column24]],Table110461117[[#This Row],[Column33]]),"A")</f>
        <v>2.125</v>
      </c>
      <c r="CE15" s="139"/>
      <c r="CF15" s="139">
        <f>IFERROR(AVERAGE(Table110461117[[#This Row],[Column26]],Table110461117[[#This Row],[Column35]],Table110461117[[#This Row],[Column17]],Table110461117[[#This Row],[Column8]]),"A")</f>
        <v>1.1666666666666665</v>
      </c>
      <c r="CG15" s="138"/>
      <c r="CH15" s="139">
        <f>IFERROR(AVERAGE('Review 1'!AX15,'Review 2'!AX15,'Review 3'!AX15,'Review 4'!AX15,'Reflection -1 '!AX15,'Reflection -2'!AX15,'Reflection -3'!AX15,'Reflection -4'!AX15),"A")</f>
        <v>4</v>
      </c>
      <c r="CI15" s="139">
        <f>IFERROR(AVERAGE('Review 1'!AY15,'Review 2'!AY15,'Review 3'!AY15,'Review 4'!AY15,'Reflection -1 '!AY15,'Reflection -2'!AY15,'Reflection -3'!AY15,'Reflection -4'!AY15,Capstone!AY16),"A")</f>
        <v>1.8888888888888888</v>
      </c>
      <c r="CJ15" s="139">
        <f>IFERROR(AVERAGE('Review 1'!AZ15,'Review 2'!AZ15,'Review 3'!AZ15,'Review 4'!AZ15,'Reflection -1 '!AZ15,'Reflection -2'!AZ15,'Reflection -3'!AZ15,'Reflection -4'!AZ15),"A")</f>
        <v>3</v>
      </c>
    </row>
    <row r="16" spans="1:88" s="122" customFormat="1" ht="23.1" customHeight="1" x14ac:dyDescent="0.3">
      <c r="A16" s="6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140"/>
      <c r="G16" s="140">
        <f>'Review 1'!Q16</f>
        <v>2.4</v>
      </c>
      <c r="H16" s="140">
        <f>'Review 1'!W16</f>
        <v>2.6666666666666665</v>
      </c>
      <c r="I16" s="140">
        <f>'Review 1'!AC16</f>
        <v>2</v>
      </c>
      <c r="J16" s="140">
        <f>'Review 1'!AI16</f>
        <v>2</v>
      </c>
      <c r="K16" s="140"/>
      <c r="L16" s="140">
        <f>'Review 1'!AU16</f>
        <v>2</v>
      </c>
      <c r="M16" s="138"/>
      <c r="N16" s="140"/>
      <c r="O16" s="140">
        <f>'Review 2'!Q16</f>
        <v>2</v>
      </c>
      <c r="P16" s="140">
        <f>'Review 2'!W16</f>
        <v>2.6666666666666665</v>
      </c>
      <c r="Q16" s="140">
        <f>'Review 2'!AC16</f>
        <v>2.5</v>
      </c>
      <c r="R16" s="140">
        <f>'Review 2'!AI16</f>
        <v>2.5</v>
      </c>
      <c r="S16" s="140"/>
      <c r="T16" s="140">
        <f>'Review 2'!AU16</f>
        <v>2</v>
      </c>
      <c r="U16" s="138"/>
      <c r="V16" s="7"/>
      <c r="W16" s="140">
        <f>'Review 3'!Q16</f>
        <v>3</v>
      </c>
      <c r="X16" s="140">
        <f>'Review 3'!W16</f>
        <v>3</v>
      </c>
      <c r="Y16" s="140">
        <f>'Review 3'!AC16</f>
        <v>2.5</v>
      </c>
      <c r="Z16" s="140">
        <f>'Review 3'!AI16</f>
        <v>3</v>
      </c>
      <c r="AA16" s="7"/>
      <c r="AB16" s="140">
        <f>'Review 3'!AU16</f>
        <v>3</v>
      </c>
      <c r="AC16" s="138"/>
      <c r="AD16" s="7"/>
      <c r="AE16" s="140">
        <f>'Review 4'!Q16</f>
        <v>3.6</v>
      </c>
      <c r="AF16" s="140">
        <f>'Review 4'!W16</f>
        <v>3</v>
      </c>
      <c r="AG16" s="140">
        <f>'Review 4'!AC16</f>
        <v>1.5</v>
      </c>
      <c r="AH16" s="140">
        <f>'Review 4'!AI16</f>
        <v>1</v>
      </c>
      <c r="AI16" s="140"/>
      <c r="AJ16" s="140">
        <f>'Review 4'!AU16</f>
        <v>2.3333333333333335</v>
      </c>
      <c r="AK16" s="138"/>
      <c r="AL16" s="7"/>
      <c r="AM16" s="140">
        <f>'Reflection -1 '!Q16</f>
        <v>3.6666666666666665</v>
      </c>
      <c r="AN16" s="7"/>
      <c r="AO16" s="7"/>
      <c r="AP16" s="7"/>
      <c r="AQ16" s="7"/>
      <c r="AR16" s="7"/>
      <c r="AS16" s="138"/>
      <c r="AT16" s="7"/>
      <c r="AU16" s="140">
        <f>'Reflection -2'!Q16</f>
        <v>0</v>
      </c>
      <c r="AV16" s="7"/>
      <c r="AW16" s="7"/>
      <c r="AX16" s="7"/>
      <c r="AY16" s="140"/>
      <c r="AZ16" s="7"/>
      <c r="BA16" s="138"/>
      <c r="BB16" s="140"/>
      <c r="BC16" s="140">
        <f>'Reflection -3'!Q16</f>
        <v>2.3333333333333335</v>
      </c>
      <c r="BD16" s="140"/>
      <c r="BE16" s="140"/>
      <c r="BF16" s="140"/>
      <c r="BG16" s="140"/>
      <c r="BH16" s="140"/>
      <c r="BI16" s="138"/>
      <c r="BJ16" s="140"/>
      <c r="BK16" s="140">
        <f>'Reflection -3'!Q16</f>
        <v>2.3333333333333335</v>
      </c>
      <c r="BL16" s="7"/>
      <c r="BM16" s="140"/>
      <c r="BN16" s="7"/>
      <c r="BO16" s="140"/>
      <c r="BP16" s="140"/>
      <c r="BQ16" s="138"/>
      <c r="BR16" s="140"/>
      <c r="BS16" s="140">
        <f>Capstone!Q17</f>
        <v>3.8333333333333335</v>
      </c>
      <c r="BT16" s="140">
        <f>Capstone!W17</f>
        <v>3.5</v>
      </c>
      <c r="BU16" s="140">
        <f>Capstone!AC17</f>
        <v>3.5</v>
      </c>
      <c r="BV16" s="140">
        <f>Capstone!AI17</f>
        <v>0</v>
      </c>
      <c r="BW16" s="140">
        <f>Capstone!AO17</f>
        <v>3</v>
      </c>
      <c r="BX16" s="140">
        <f>Capstone!AU17</f>
        <v>3.5</v>
      </c>
      <c r="BY16" s="138"/>
      <c r="BZ16" s="140"/>
      <c r="CA1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2.4166666666666665</v>
      </c>
      <c r="CB16" s="140">
        <f>IFERROR(AVERAGE(Table110461117[[#This Row],[Column31]],Table110461117[[#This Row],[Column13]],Table110461117[[#This Row],[Column4]],Table110461117[[#This Row],[Column22]],),"A")</f>
        <v>2.2666666666666666</v>
      </c>
      <c r="CC16" s="140">
        <f>IFERROR(AVERAGE(Table110461117[[#This Row],[Column5]],Table110461117[[#This Row],[Column14]],Table110461117[[#This Row],[Column23]],Table110461117[[#This Row],[Column32]]),"A")</f>
        <v>2.125</v>
      </c>
      <c r="CD16" s="140">
        <f>IFERROR(AVERAGE(Table110461117[[#This Row],[Column6]],Table110461117[[#This Row],[Column15]],Table110461117[[#This Row],[Column24]],Table110461117[[#This Row],[Column33]]),"A")</f>
        <v>2.125</v>
      </c>
      <c r="CE16" s="140"/>
      <c r="CF16" s="140">
        <f>IFERROR(AVERAGE(Table110461117[[#This Row],[Column26]],Table110461117[[#This Row],[Column35]],Table110461117[[#This Row],[Column17]],Table110461117[[#This Row],[Column8]]),"A")</f>
        <v>2.3333333333333335</v>
      </c>
      <c r="CG16" s="138"/>
      <c r="CH16" s="140">
        <f>IFERROR(AVERAGE('Review 1'!AX16,'Review 2'!AX16,'Review 3'!AX16,'Review 4'!AX16,'Reflection -1 '!AX16,'Reflection -2'!AX16,'Reflection -3'!AX16,'Reflection -4'!AX16),"A")</f>
        <v>2.875</v>
      </c>
      <c r="CI16" s="140">
        <f>IFERROR(AVERAGE('Review 1'!AY16,'Review 2'!AY16,'Review 3'!AY16,'Review 4'!AY16,'Reflection -1 '!AY16,'Reflection -2'!AY16,'Reflection -3'!AY16,'Reflection -4'!AY16,Capstone!AY17),"A")</f>
        <v>1</v>
      </c>
      <c r="CJ16" s="140">
        <f>IFERROR(AVERAGE('Review 1'!AZ16,'Review 2'!AZ16,'Review 3'!AZ16,'Review 4'!AZ16,'Reflection -1 '!AZ16,'Reflection -2'!AZ16,'Reflection -3'!AZ16,'Reflection -4'!AZ16),"A")</f>
        <v>1.5</v>
      </c>
    </row>
    <row r="17" spans="1:88" s="122" customFormat="1" ht="23.1" customHeight="1" x14ac:dyDescent="0.3">
      <c r="A17" s="137">
        <v>15</v>
      </c>
      <c r="B17" s="62" t="s">
        <v>293</v>
      </c>
      <c r="C17" s="62" t="s">
        <v>294</v>
      </c>
      <c r="D17" s="62" t="s">
        <v>542</v>
      </c>
      <c r="E17" s="62" t="s">
        <v>493</v>
      </c>
      <c r="F17" s="139"/>
      <c r="G17" s="139">
        <f>'Review 1'!Q17</f>
        <v>3.2</v>
      </c>
      <c r="H17" s="139">
        <f>'Review 1'!W17</f>
        <v>3</v>
      </c>
      <c r="I17" s="139">
        <f>'Review 1'!AC17</f>
        <v>2.5</v>
      </c>
      <c r="J17" s="139">
        <f>'Review 1'!AI17</f>
        <v>3</v>
      </c>
      <c r="K17" s="139"/>
      <c r="L17" s="139">
        <f>'Review 1'!AU17</f>
        <v>3</v>
      </c>
      <c r="M17" s="138"/>
      <c r="N17" s="139"/>
      <c r="O17" s="139">
        <f>'Review 2'!Q17</f>
        <v>3</v>
      </c>
      <c r="P17" s="139">
        <f>'Review 2'!W17</f>
        <v>2.6666666666666665</v>
      </c>
      <c r="Q17" s="139">
        <f>'Review 2'!AC17</f>
        <v>2</v>
      </c>
      <c r="R17" s="139">
        <f>'Review 2'!AI17</f>
        <v>1.5</v>
      </c>
      <c r="S17" s="139"/>
      <c r="T17" s="139">
        <f>'Review 2'!AU17</f>
        <v>2</v>
      </c>
      <c r="U17" s="138"/>
      <c r="V17" s="62"/>
      <c r="W17" s="139">
        <f>'Review 3'!Q17</f>
        <v>2.6</v>
      </c>
      <c r="X17" s="139">
        <f>'Review 3'!W17</f>
        <v>2</v>
      </c>
      <c r="Y17" s="139">
        <f>'Review 3'!AC17</f>
        <v>2</v>
      </c>
      <c r="Z17" s="139">
        <f>'Review 3'!AI17</f>
        <v>2</v>
      </c>
      <c r="AA17" s="62"/>
      <c r="AB17" s="139">
        <f>'Review 3'!AU17</f>
        <v>2</v>
      </c>
      <c r="AC17" s="138"/>
      <c r="AD17" s="62"/>
      <c r="AE17" s="139">
        <f>'Review 4'!Q17</f>
        <v>3.2</v>
      </c>
      <c r="AF17" s="139">
        <f>'Review 4'!W17</f>
        <v>2.3333333333333335</v>
      </c>
      <c r="AG17" s="139">
        <f>'Review 4'!AC17</f>
        <v>2.5</v>
      </c>
      <c r="AH17" s="139">
        <f>'Review 4'!AI17</f>
        <v>1</v>
      </c>
      <c r="AI17" s="139"/>
      <c r="AJ17" s="139">
        <f>'Review 4'!AU17</f>
        <v>3</v>
      </c>
      <c r="AK17" s="138"/>
      <c r="AL17" s="62"/>
      <c r="AM17" s="139">
        <f>'Reflection -1 '!Q17</f>
        <v>4</v>
      </c>
      <c r="AN17" s="62"/>
      <c r="AO17" s="62"/>
      <c r="AP17" s="62"/>
      <c r="AQ17" s="62"/>
      <c r="AR17" s="62"/>
      <c r="AS17" s="138"/>
      <c r="AT17" s="62"/>
      <c r="AU17" s="139">
        <f>'Reflection -2'!Q17</f>
        <v>2.6666666666666665</v>
      </c>
      <c r="AV17" s="62"/>
      <c r="AW17" s="62"/>
      <c r="AX17" s="62"/>
      <c r="AY17" s="139"/>
      <c r="AZ17" s="62"/>
      <c r="BA17" s="138"/>
      <c r="BB17" s="139"/>
      <c r="BC17" s="139">
        <f>'Reflection -3'!Q17</f>
        <v>3.3333333333333335</v>
      </c>
      <c r="BD17" s="139"/>
      <c r="BE17" s="139"/>
      <c r="BF17" s="139"/>
      <c r="BG17" s="139"/>
      <c r="BH17" s="139"/>
      <c r="BI17" s="138"/>
      <c r="BJ17" s="139"/>
      <c r="BK17" s="139">
        <f>'Reflection -3'!Q17</f>
        <v>3.3333333333333335</v>
      </c>
      <c r="BL17" s="62"/>
      <c r="BM17" s="139"/>
      <c r="BN17" s="62"/>
      <c r="BO17" s="139"/>
      <c r="BP17" s="139"/>
      <c r="BQ17" s="138"/>
      <c r="BR17" s="139"/>
      <c r="BS17" s="139">
        <f>Capstone!Q18</f>
        <v>4</v>
      </c>
      <c r="BT17" s="139">
        <f>Capstone!W18</f>
        <v>4</v>
      </c>
      <c r="BU17" s="139">
        <f>Capstone!AC18</f>
        <v>4</v>
      </c>
      <c r="BV17" s="139">
        <f>Capstone!AI18</f>
        <v>3</v>
      </c>
      <c r="BW17" s="139">
        <f>Capstone!AO18</f>
        <v>3</v>
      </c>
      <c r="BX17" s="139">
        <f>Capstone!AU18</f>
        <v>4</v>
      </c>
      <c r="BY17" s="138"/>
      <c r="BZ17" s="139"/>
      <c r="CA1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3.166666666666667</v>
      </c>
      <c r="CB17" s="139">
        <f>IFERROR(AVERAGE(Table110461117[[#This Row],[Column31]],Table110461117[[#This Row],[Column13]],Table110461117[[#This Row],[Column4]],Table110461117[[#This Row],[Column22]],),"A")</f>
        <v>2</v>
      </c>
      <c r="CC17" s="139">
        <f>IFERROR(AVERAGE(Table110461117[[#This Row],[Column5]],Table110461117[[#This Row],[Column14]],Table110461117[[#This Row],[Column23]],Table110461117[[#This Row],[Column32]]),"A")</f>
        <v>2.25</v>
      </c>
      <c r="CD17" s="139">
        <f>IFERROR(AVERAGE(Table110461117[[#This Row],[Column6]],Table110461117[[#This Row],[Column15]],Table110461117[[#This Row],[Column24]],Table110461117[[#This Row],[Column33]]),"A")</f>
        <v>1.875</v>
      </c>
      <c r="CE17" s="139"/>
      <c r="CF17" s="139">
        <f>IFERROR(AVERAGE(Table110461117[[#This Row],[Column26]],Table110461117[[#This Row],[Column35]],Table110461117[[#This Row],[Column17]],Table110461117[[#This Row],[Column8]]),"A")</f>
        <v>2.5</v>
      </c>
      <c r="CG17" s="138"/>
      <c r="CH17" s="139">
        <f>IFERROR(AVERAGE('Review 1'!AX17,'Review 2'!AX17,'Review 3'!AX17,'Review 4'!AX17,'Reflection -1 '!AX17,'Reflection -2'!AX17,'Reflection -3'!AX17,'Reflection -4'!AX17),"A")</f>
        <v>3.125</v>
      </c>
      <c r="CI17" s="139">
        <f>IFERROR(AVERAGE('Review 1'!AY17,'Review 2'!AY17,'Review 3'!AY17,'Review 4'!AY17,'Reflection -1 '!AY17,'Reflection -2'!AY17,'Reflection -3'!AY17,'Reflection -4'!AY17,Capstone!AY18),"A")</f>
        <v>2.4444444444444446</v>
      </c>
      <c r="CJ17" s="139">
        <f>IFERROR(AVERAGE('Review 1'!AZ17,'Review 2'!AZ17,'Review 3'!AZ17,'Review 4'!AZ17,'Reflection -1 '!AZ17,'Reflection -2'!AZ17,'Reflection -3'!AZ17,'Reflection -4'!AZ17),"A")</f>
        <v>3.125</v>
      </c>
    </row>
    <row r="18" spans="1:88" s="122" customFormat="1" ht="23.1" customHeight="1" x14ac:dyDescent="0.3">
      <c r="A18" s="6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140"/>
      <c r="G18" s="140">
        <f>'Review 1'!Q18</f>
        <v>1</v>
      </c>
      <c r="H18" s="140">
        <f>'Review 1'!W18</f>
        <v>1</v>
      </c>
      <c r="I18" s="140">
        <f>'Review 1'!AC18</f>
        <v>1</v>
      </c>
      <c r="J18" s="140">
        <f>'Review 1'!AI18</f>
        <v>1</v>
      </c>
      <c r="K18" s="140"/>
      <c r="L18" s="140">
        <f>'Review 1'!AU18</f>
        <v>1</v>
      </c>
      <c r="M18" s="138"/>
      <c r="N18" s="140"/>
      <c r="O18" s="140">
        <f>'Review 2'!Q18</f>
        <v>1.4</v>
      </c>
      <c r="P18" s="140">
        <f>'Review 2'!W18</f>
        <v>1</v>
      </c>
      <c r="Q18" s="140">
        <f>'Review 2'!AC18</f>
        <v>1</v>
      </c>
      <c r="R18" s="140">
        <f>'Review 2'!AI18</f>
        <v>1</v>
      </c>
      <c r="S18" s="140"/>
      <c r="T18" s="140">
        <f>'Review 2'!AU18</f>
        <v>1</v>
      </c>
      <c r="U18" s="138"/>
      <c r="V18" s="7"/>
      <c r="W18" s="140">
        <f>'Review 3'!Q18</f>
        <v>2</v>
      </c>
      <c r="X18" s="140">
        <f>'Review 3'!W18</f>
        <v>0</v>
      </c>
      <c r="Y18" s="140">
        <f>'Review 3'!AC18</f>
        <v>0</v>
      </c>
      <c r="Z18" s="140">
        <f>'Review 3'!AI18</f>
        <v>0</v>
      </c>
      <c r="AA18" s="7"/>
      <c r="AB18" s="140">
        <f>'Review 3'!AU18</f>
        <v>0</v>
      </c>
      <c r="AC18" s="138"/>
      <c r="AD18" s="7"/>
      <c r="AE18" s="140">
        <f>'Review 4'!Q18</f>
        <v>2.4</v>
      </c>
      <c r="AF18" s="140">
        <f>'Review 4'!W18</f>
        <v>3</v>
      </c>
      <c r="AG18" s="140">
        <f>'Review 4'!AC18</f>
        <v>2</v>
      </c>
      <c r="AH18" s="140">
        <f>'Review 4'!AI18</f>
        <v>1</v>
      </c>
      <c r="AI18" s="140"/>
      <c r="AJ18" s="140">
        <f>'Review 4'!AU18</f>
        <v>2.6666666666666665</v>
      </c>
      <c r="AK18" s="138"/>
      <c r="AL18" s="7"/>
      <c r="AM18" s="140">
        <f>'Reflection -1 '!Q18</f>
        <v>3</v>
      </c>
      <c r="AN18" s="7"/>
      <c r="AO18" s="7"/>
      <c r="AP18" s="7"/>
      <c r="AQ18" s="7"/>
      <c r="AR18" s="7"/>
      <c r="AS18" s="138"/>
      <c r="AT18" s="7"/>
      <c r="AU18" s="140">
        <f>'Reflection -2'!Q18</f>
        <v>2</v>
      </c>
      <c r="AV18" s="7"/>
      <c r="AW18" s="7"/>
      <c r="AX18" s="7"/>
      <c r="AY18" s="140"/>
      <c r="AZ18" s="7"/>
      <c r="BA18" s="138"/>
      <c r="BB18" s="140"/>
      <c r="BC18" s="140">
        <f>'Reflection -3'!Q18</f>
        <v>3.3333333333333335</v>
      </c>
      <c r="BD18" s="140"/>
      <c r="BE18" s="140"/>
      <c r="BF18" s="140"/>
      <c r="BG18" s="140"/>
      <c r="BH18" s="140"/>
      <c r="BI18" s="138"/>
      <c r="BJ18" s="140"/>
      <c r="BK18" s="140">
        <f>'Reflection -3'!Q18</f>
        <v>3.3333333333333335</v>
      </c>
      <c r="BL18" s="7"/>
      <c r="BM18" s="140"/>
      <c r="BN18" s="7"/>
      <c r="BO18" s="140"/>
      <c r="BP18" s="140"/>
      <c r="BQ18" s="138"/>
      <c r="BR18" s="140"/>
      <c r="BS18" s="140">
        <f>Capstone!Q19</f>
        <v>2.6666666666666665</v>
      </c>
      <c r="BT18" s="140">
        <f>Capstone!W19</f>
        <v>3</v>
      </c>
      <c r="BU18" s="140">
        <f>Capstone!AC19</f>
        <v>3</v>
      </c>
      <c r="BV18" s="140">
        <f>Capstone!AI19</f>
        <v>2</v>
      </c>
      <c r="BW18" s="140">
        <f>Capstone!AO19</f>
        <v>3</v>
      </c>
      <c r="BX18" s="140">
        <f>Capstone!AU19</f>
        <v>2</v>
      </c>
      <c r="BY18" s="138"/>
      <c r="BZ18" s="140"/>
      <c r="CA1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2.3083333333333336</v>
      </c>
      <c r="CB18" s="140">
        <f>IFERROR(AVERAGE(Table110461117[[#This Row],[Column31]],Table110461117[[#This Row],[Column13]],Table110461117[[#This Row],[Column4]],Table110461117[[#This Row],[Column22]],),"A")</f>
        <v>1</v>
      </c>
      <c r="CC18" s="140">
        <f>IFERROR(AVERAGE(Table110461117[[#This Row],[Column5]],Table110461117[[#This Row],[Column14]],Table110461117[[#This Row],[Column23]],Table110461117[[#This Row],[Column32]]),"A")</f>
        <v>1</v>
      </c>
      <c r="CD18" s="140">
        <f>IFERROR(AVERAGE(Table110461117[[#This Row],[Column6]],Table110461117[[#This Row],[Column15]],Table110461117[[#This Row],[Column24]],Table110461117[[#This Row],[Column33]]),"A")</f>
        <v>0.75</v>
      </c>
      <c r="CE18" s="140"/>
      <c r="CF18" s="140">
        <f>IFERROR(AVERAGE(Table110461117[[#This Row],[Column26]],Table110461117[[#This Row],[Column35]],Table110461117[[#This Row],[Column17]],Table110461117[[#This Row],[Column8]]),"A")</f>
        <v>1.1666666666666665</v>
      </c>
      <c r="CG18" s="138"/>
      <c r="CH18" s="140">
        <f>IFERROR(AVERAGE('Review 1'!AX18,'Review 2'!AX18,'Review 3'!AX18,'Review 4'!AX18,'Reflection -1 '!AX18,'Reflection -2'!AX18,'Reflection -3'!AX18,'Reflection -4'!AX18),"A")</f>
        <v>3.125</v>
      </c>
      <c r="CI18" s="140">
        <f>IFERROR(AVERAGE('Review 1'!AY18,'Review 2'!AY18,'Review 3'!AY18,'Review 4'!AY18,'Reflection -1 '!AY18,'Reflection -2'!AY18,'Reflection -3'!AY18,'Reflection -4'!AY18,Capstone!AY19),"A")</f>
        <v>0.77777777777777779</v>
      </c>
      <c r="CJ18" s="140">
        <f>IFERROR(AVERAGE('Review 1'!AZ18,'Review 2'!AZ18,'Review 3'!AZ18,'Review 4'!AZ18,'Reflection -1 '!AZ18,'Reflection -2'!AZ18,'Reflection -3'!AZ18,'Reflection -4'!AZ18),"A")</f>
        <v>1.75</v>
      </c>
    </row>
    <row r="19" spans="1:88" s="122" customFormat="1" ht="23.1" customHeight="1" x14ac:dyDescent="0.3">
      <c r="A19" s="137">
        <v>17</v>
      </c>
      <c r="B19" s="62" t="s">
        <v>295</v>
      </c>
      <c r="C19" s="62" t="s">
        <v>296</v>
      </c>
      <c r="D19" s="62" t="s">
        <v>542</v>
      </c>
      <c r="E19" s="62" t="s">
        <v>493</v>
      </c>
      <c r="F19" s="139"/>
      <c r="G19" s="139">
        <f>'Review 1'!Q19</f>
        <v>2.8</v>
      </c>
      <c r="H19" s="139">
        <f>'Review 1'!W19</f>
        <v>2.3333333333333335</v>
      </c>
      <c r="I19" s="139">
        <f>'Review 1'!AC19</f>
        <v>2</v>
      </c>
      <c r="J19" s="139">
        <f>'Review 1'!AI19</f>
        <v>3</v>
      </c>
      <c r="K19" s="139"/>
      <c r="L19" s="139">
        <f>'Review 1'!AU19</f>
        <v>3</v>
      </c>
      <c r="M19" s="138"/>
      <c r="N19" s="139"/>
      <c r="O19" s="139">
        <f>'Review 2'!Q19</f>
        <v>2.8</v>
      </c>
      <c r="P19" s="139">
        <f>'Review 2'!W19</f>
        <v>2.6666666666666665</v>
      </c>
      <c r="Q19" s="139">
        <f>'Review 2'!AC19</f>
        <v>2</v>
      </c>
      <c r="R19" s="139">
        <f>'Review 2'!AI19</f>
        <v>1.5</v>
      </c>
      <c r="S19" s="139"/>
      <c r="T19" s="139">
        <f>'Review 2'!AU19</f>
        <v>2.3333333333333335</v>
      </c>
      <c r="U19" s="138"/>
      <c r="V19" s="62"/>
      <c r="W19" s="139">
        <f>'Review 3'!Q19</f>
        <v>2.2000000000000002</v>
      </c>
      <c r="X19" s="139">
        <f>'Review 3'!W19</f>
        <v>2</v>
      </c>
      <c r="Y19" s="139">
        <f>'Review 3'!AC19</f>
        <v>2</v>
      </c>
      <c r="Z19" s="139">
        <f>'Review 3'!AI19</f>
        <v>2</v>
      </c>
      <c r="AA19" s="62"/>
      <c r="AB19" s="139">
        <f>'Review 3'!AU19</f>
        <v>2</v>
      </c>
      <c r="AC19" s="138"/>
      <c r="AD19" s="62"/>
      <c r="AE19" s="139">
        <f>'Review 4'!Q19</f>
        <v>3.6</v>
      </c>
      <c r="AF19" s="139">
        <f>'Review 4'!W19</f>
        <v>3</v>
      </c>
      <c r="AG19" s="139">
        <f>'Review 4'!AC19</f>
        <v>1.5</v>
      </c>
      <c r="AH19" s="139">
        <f>'Review 4'!AI19</f>
        <v>1</v>
      </c>
      <c r="AI19" s="139"/>
      <c r="AJ19" s="139">
        <f>'Review 4'!AU19</f>
        <v>2.3333333333333335</v>
      </c>
      <c r="AK19" s="138"/>
      <c r="AL19" s="62"/>
      <c r="AM19" s="139">
        <f>'Reflection -1 '!Q19</f>
        <v>3.6666666666666665</v>
      </c>
      <c r="AN19" s="62"/>
      <c r="AO19" s="62"/>
      <c r="AP19" s="62"/>
      <c r="AQ19" s="62"/>
      <c r="AR19" s="62"/>
      <c r="AS19" s="138"/>
      <c r="AT19" s="62"/>
      <c r="AU19" s="139">
        <f>'Reflection -2'!Q19</f>
        <v>2</v>
      </c>
      <c r="AV19" s="62"/>
      <c r="AW19" s="62"/>
      <c r="AX19" s="62"/>
      <c r="AY19" s="139"/>
      <c r="AZ19" s="62"/>
      <c r="BA19" s="138"/>
      <c r="BB19" s="139"/>
      <c r="BC19" s="139">
        <f>'Reflection -3'!Q19</f>
        <v>2.3333333333333335</v>
      </c>
      <c r="BD19" s="139"/>
      <c r="BE19" s="139"/>
      <c r="BF19" s="139"/>
      <c r="BG19" s="139"/>
      <c r="BH19" s="139"/>
      <c r="BI19" s="138"/>
      <c r="BJ19" s="139"/>
      <c r="BK19" s="139">
        <f>'Reflection -3'!Q19</f>
        <v>2.3333333333333335</v>
      </c>
      <c r="BL19" s="62"/>
      <c r="BM19" s="139"/>
      <c r="BN19" s="62"/>
      <c r="BO19" s="139"/>
      <c r="BP19" s="139"/>
      <c r="BQ19" s="138"/>
      <c r="BR19" s="139"/>
      <c r="BS19" s="139">
        <f>Capstone!Q20</f>
        <v>5</v>
      </c>
      <c r="BT19" s="139">
        <f>Capstone!W20</f>
        <v>4</v>
      </c>
      <c r="BU19" s="139">
        <f>Capstone!AC20</f>
        <v>4</v>
      </c>
      <c r="BV19" s="139">
        <f>Capstone!AI20</f>
        <v>5</v>
      </c>
      <c r="BW19" s="139">
        <f>Capstone!AO20</f>
        <v>4</v>
      </c>
      <c r="BX19" s="139">
        <f>Capstone!AU20</f>
        <v>5</v>
      </c>
      <c r="BY19" s="138"/>
      <c r="BZ19" s="139"/>
      <c r="CA1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2.7166666666666663</v>
      </c>
      <c r="CB19" s="139">
        <f>IFERROR(AVERAGE(Table110461117[[#This Row],[Column31]],Table110461117[[#This Row],[Column13]],Table110461117[[#This Row],[Column4]],Table110461117[[#This Row],[Column22]],),"A")</f>
        <v>2</v>
      </c>
      <c r="CC19" s="139">
        <f>IFERROR(AVERAGE(Table110461117[[#This Row],[Column5]],Table110461117[[#This Row],[Column14]],Table110461117[[#This Row],[Column23]],Table110461117[[#This Row],[Column32]]),"A")</f>
        <v>1.875</v>
      </c>
      <c r="CD19" s="139">
        <f>IFERROR(AVERAGE(Table110461117[[#This Row],[Column6]],Table110461117[[#This Row],[Column15]],Table110461117[[#This Row],[Column24]],Table110461117[[#This Row],[Column33]]),"A")</f>
        <v>1.875</v>
      </c>
      <c r="CE19" s="139"/>
      <c r="CF19" s="139">
        <f>IFERROR(AVERAGE(Table110461117[[#This Row],[Column26]],Table110461117[[#This Row],[Column35]],Table110461117[[#This Row],[Column17]],Table110461117[[#This Row],[Column8]]),"A")</f>
        <v>2.416666666666667</v>
      </c>
      <c r="CG19" s="138"/>
      <c r="CH19" s="139">
        <f>IFERROR(AVERAGE('Review 1'!AX19,'Review 2'!AX19,'Review 3'!AX19,'Review 4'!AX19,'Reflection -1 '!AX19,'Reflection -2'!AX19,'Reflection -3'!AX19,'Reflection -4'!AX19),"A")</f>
        <v>3.375</v>
      </c>
      <c r="CI19" s="139">
        <f>IFERROR(AVERAGE('Review 1'!AY19,'Review 2'!AY19,'Review 3'!AY19,'Review 4'!AY19,'Reflection -1 '!AY19,'Reflection -2'!AY19,'Reflection -3'!AY19,'Reflection -4'!AY19,Capstone!AY20),"A")</f>
        <v>2.5555555555555554</v>
      </c>
      <c r="CJ19" s="139">
        <f>IFERROR(AVERAGE('Review 1'!AZ19,'Review 2'!AZ19,'Review 3'!AZ19,'Review 4'!AZ19,'Reflection -1 '!AZ19,'Reflection -2'!AZ19,'Reflection -3'!AZ19,'Reflection -4'!AZ19),"A")</f>
        <v>2.125</v>
      </c>
    </row>
    <row r="20" spans="1:88" s="122" customFormat="1" ht="23.1" customHeight="1" x14ac:dyDescent="0.3">
      <c r="A20" s="6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140"/>
      <c r="G20" s="140">
        <f>'Review 1'!Q20</f>
        <v>2.4</v>
      </c>
      <c r="H20" s="140">
        <f>'Review 1'!W20</f>
        <v>1</v>
      </c>
      <c r="I20" s="140">
        <f>'Review 1'!AC20</f>
        <v>1</v>
      </c>
      <c r="J20" s="140">
        <f>'Review 1'!AI20</f>
        <v>1</v>
      </c>
      <c r="K20" s="140"/>
      <c r="L20" s="140">
        <f>'Review 1'!AU20</f>
        <v>1</v>
      </c>
      <c r="M20" s="138"/>
      <c r="N20" s="140"/>
      <c r="O20" s="140">
        <f>'Review 2'!Q20</f>
        <v>3</v>
      </c>
      <c r="P20" s="140">
        <f>'Review 2'!W20</f>
        <v>2.6666666666666665</v>
      </c>
      <c r="Q20" s="140">
        <f>'Review 2'!AC20</f>
        <v>1.5</v>
      </c>
      <c r="R20" s="140">
        <f>'Review 2'!AI20</f>
        <v>3.5</v>
      </c>
      <c r="S20" s="140"/>
      <c r="T20" s="140">
        <f>'Review 2'!AU20</f>
        <v>2</v>
      </c>
      <c r="U20" s="138"/>
      <c r="V20" s="7"/>
      <c r="W20" s="140">
        <f>'Review 3'!Q20</f>
        <v>3</v>
      </c>
      <c r="X20" s="140">
        <f>'Review 3'!W20</f>
        <v>0</v>
      </c>
      <c r="Y20" s="140">
        <f>'Review 3'!AC20</f>
        <v>0</v>
      </c>
      <c r="Z20" s="140">
        <f>'Review 3'!AI20</f>
        <v>0</v>
      </c>
      <c r="AA20" s="7"/>
      <c r="AB20" s="140">
        <f>'Review 3'!AU20</f>
        <v>0</v>
      </c>
      <c r="AC20" s="138"/>
      <c r="AD20" s="7"/>
      <c r="AE20" s="140">
        <f>'Review 4'!Q20</f>
        <v>3.2</v>
      </c>
      <c r="AF20" s="140">
        <f>'Review 4'!W20</f>
        <v>4</v>
      </c>
      <c r="AG20" s="140">
        <f>'Review 4'!AC20</f>
        <v>2</v>
      </c>
      <c r="AH20" s="140">
        <f>'Review 4'!AI20</f>
        <v>1.5</v>
      </c>
      <c r="AI20" s="140"/>
      <c r="AJ20" s="140">
        <f>'Review 4'!AU20</f>
        <v>3</v>
      </c>
      <c r="AK20" s="138"/>
      <c r="AL20" s="7"/>
      <c r="AM20" s="140">
        <f>'Reflection -1 '!Q20</f>
        <v>2.6666666666666665</v>
      </c>
      <c r="AN20" s="7"/>
      <c r="AO20" s="7"/>
      <c r="AP20" s="7"/>
      <c r="AQ20" s="7"/>
      <c r="AR20" s="7"/>
      <c r="AS20" s="138"/>
      <c r="AT20" s="7"/>
      <c r="AU20" s="140">
        <f>'Reflection -2'!Q20</f>
        <v>3</v>
      </c>
      <c r="AV20" s="7"/>
      <c r="AW20" s="7"/>
      <c r="AX20" s="7"/>
      <c r="AY20" s="140"/>
      <c r="AZ20" s="7"/>
      <c r="BA20" s="138"/>
      <c r="BB20" s="140"/>
      <c r="BC20" s="140">
        <f>'Reflection -3'!Q20</f>
        <v>3.6666666666666665</v>
      </c>
      <c r="BD20" s="140"/>
      <c r="BE20" s="140"/>
      <c r="BF20" s="140"/>
      <c r="BG20" s="140"/>
      <c r="BH20" s="140"/>
      <c r="BI20" s="138"/>
      <c r="BJ20" s="140"/>
      <c r="BK20" s="140">
        <f>'Reflection -3'!Q20</f>
        <v>3.6666666666666665</v>
      </c>
      <c r="BL20" s="7"/>
      <c r="BM20" s="140"/>
      <c r="BN20" s="7"/>
      <c r="BO20" s="140"/>
      <c r="BP20" s="140"/>
      <c r="BQ20" s="138"/>
      <c r="BR20" s="140"/>
      <c r="BS20" s="140">
        <f>Capstone!Q21</f>
        <v>5</v>
      </c>
      <c r="BT20" s="140">
        <f>Capstone!W21</f>
        <v>5</v>
      </c>
      <c r="BU20" s="140">
        <f>Capstone!AC21</f>
        <v>5</v>
      </c>
      <c r="BV20" s="140">
        <f>Capstone!AI21</f>
        <v>5</v>
      </c>
      <c r="BW20" s="140">
        <f>Capstone!AO21</f>
        <v>5</v>
      </c>
      <c r="BX20" s="140">
        <f>Capstone!AU21</f>
        <v>5</v>
      </c>
      <c r="BY20" s="138"/>
      <c r="BZ20" s="140"/>
      <c r="CA2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3.0750000000000002</v>
      </c>
      <c r="CB20" s="140">
        <f>IFERROR(AVERAGE(Table110461117[[#This Row],[Column31]],Table110461117[[#This Row],[Column13]],Table110461117[[#This Row],[Column4]],Table110461117[[#This Row],[Column22]],),"A")</f>
        <v>1.5333333333333332</v>
      </c>
      <c r="CC20" s="140">
        <f>IFERROR(AVERAGE(Table110461117[[#This Row],[Column5]],Table110461117[[#This Row],[Column14]],Table110461117[[#This Row],[Column23]],Table110461117[[#This Row],[Column32]]),"A")</f>
        <v>1.125</v>
      </c>
      <c r="CD20" s="140">
        <f>IFERROR(AVERAGE(Table110461117[[#This Row],[Column6]],Table110461117[[#This Row],[Column15]],Table110461117[[#This Row],[Column24]],Table110461117[[#This Row],[Column33]]),"A")</f>
        <v>1.5</v>
      </c>
      <c r="CE20" s="140"/>
      <c r="CF20" s="140">
        <f>IFERROR(AVERAGE(Table110461117[[#This Row],[Column26]],Table110461117[[#This Row],[Column35]],Table110461117[[#This Row],[Column17]],Table110461117[[#This Row],[Column8]]),"A")</f>
        <v>1.5</v>
      </c>
      <c r="CG20" s="138"/>
      <c r="CH20" s="140">
        <f>IFERROR(AVERAGE('Review 1'!AX20,'Review 2'!AX20,'Review 3'!AX20,'Review 4'!AX20,'Reflection -1 '!AX20,'Reflection -2'!AX20,'Reflection -3'!AX20,'Reflection -4'!AX20),"A")</f>
        <v>3.75</v>
      </c>
      <c r="CI20" s="140">
        <f>IFERROR(AVERAGE('Review 1'!AY20,'Review 2'!AY20,'Review 3'!AY20,'Review 4'!AY20,'Reflection -1 '!AY20,'Reflection -2'!AY20,'Reflection -3'!AY20,'Reflection -4'!AY20,Capstone!AY21),"A")</f>
        <v>1.2222222222222223</v>
      </c>
      <c r="CJ20" s="140">
        <f>IFERROR(AVERAGE('Review 1'!AZ20,'Review 2'!AZ20,'Review 3'!AZ20,'Review 4'!AZ20,'Reflection -1 '!AZ20,'Reflection -2'!AZ20,'Reflection -3'!AZ20,'Reflection -4'!AZ20),"A")</f>
        <v>2.125</v>
      </c>
    </row>
    <row r="21" spans="1:88" s="122" customFormat="1" ht="23.1" customHeight="1" x14ac:dyDescent="0.3">
      <c r="A21" s="137">
        <v>19</v>
      </c>
      <c r="B21" s="62" t="s">
        <v>50</v>
      </c>
      <c r="C21" s="62" t="s">
        <v>51</v>
      </c>
      <c r="D21" s="62" t="s">
        <v>542</v>
      </c>
      <c r="E21" s="62" t="s">
        <v>35</v>
      </c>
      <c r="F21" s="139"/>
      <c r="G21" s="139">
        <f>'Review 1'!Q21</f>
        <v>0</v>
      </c>
      <c r="H21" s="139">
        <f>'Review 1'!W21</f>
        <v>0</v>
      </c>
      <c r="I21" s="139">
        <f>'Review 1'!AC21</f>
        <v>0</v>
      </c>
      <c r="J21" s="139">
        <f>'Review 1'!AI21</f>
        <v>0</v>
      </c>
      <c r="K21" s="139"/>
      <c r="L21" s="139">
        <f>'Review 1'!AU21</f>
        <v>0</v>
      </c>
      <c r="M21" s="138"/>
      <c r="N21" s="139"/>
      <c r="O21" s="139">
        <f>'Review 2'!Q21</f>
        <v>3.6</v>
      </c>
      <c r="P21" s="139">
        <f>'Review 2'!W21</f>
        <v>1.6666666666666667</v>
      </c>
      <c r="Q21" s="139">
        <f>'Review 2'!AC21</f>
        <v>2</v>
      </c>
      <c r="R21" s="139">
        <f>'Review 2'!AI21</f>
        <v>1</v>
      </c>
      <c r="S21" s="139"/>
      <c r="T21" s="139">
        <f>'Review 2'!AU21</f>
        <v>3</v>
      </c>
      <c r="U21" s="138"/>
      <c r="V21" s="62"/>
      <c r="W21" s="139">
        <f>'Review 3'!Q21</f>
        <v>3</v>
      </c>
      <c r="X21" s="139">
        <f>'Review 3'!W21</f>
        <v>0</v>
      </c>
      <c r="Y21" s="139">
        <f>'Review 3'!AC21</f>
        <v>0</v>
      </c>
      <c r="Z21" s="139">
        <f>'Review 3'!AI21</f>
        <v>0</v>
      </c>
      <c r="AA21" s="62"/>
      <c r="AB21" s="139">
        <f>'Review 3'!AU21</f>
        <v>0</v>
      </c>
      <c r="AC21" s="138"/>
      <c r="AD21" s="62"/>
      <c r="AE21" s="139">
        <f>'Review 4'!Q21</f>
        <v>4</v>
      </c>
      <c r="AF21" s="139">
        <f>'Review 4'!W21</f>
        <v>4</v>
      </c>
      <c r="AG21" s="139">
        <f>'Review 4'!AC21</f>
        <v>2.5</v>
      </c>
      <c r="AH21" s="139">
        <f>'Review 4'!AI21</f>
        <v>0.5</v>
      </c>
      <c r="AI21" s="139"/>
      <c r="AJ21" s="139">
        <f>'Review 4'!AU21</f>
        <v>3</v>
      </c>
      <c r="AK21" s="138"/>
      <c r="AL21" s="62"/>
      <c r="AM21" s="139">
        <f>'Reflection -1 '!Q21</f>
        <v>1</v>
      </c>
      <c r="AN21" s="62"/>
      <c r="AO21" s="62"/>
      <c r="AP21" s="62"/>
      <c r="AQ21" s="62"/>
      <c r="AR21" s="62"/>
      <c r="AS21" s="138"/>
      <c r="AT21" s="62"/>
      <c r="AU21" s="139">
        <f>'Reflection -2'!Q21</f>
        <v>0</v>
      </c>
      <c r="AV21" s="62"/>
      <c r="AW21" s="62"/>
      <c r="AX21" s="62"/>
      <c r="AY21" s="139"/>
      <c r="AZ21" s="62"/>
      <c r="BA21" s="138"/>
      <c r="BB21" s="139"/>
      <c r="BC21" s="139">
        <f>'Reflection -3'!Q21</f>
        <v>0</v>
      </c>
      <c r="BD21" s="139"/>
      <c r="BE21" s="139"/>
      <c r="BF21" s="139"/>
      <c r="BG21" s="139"/>
      <c r="BH21" s="139"/>
      <c r="BI21" s="138"/>
      <c r="BJ21" s="139"/>
      <c r="BK21" s="139">
        <f>'Reflection -3'!Q21</f>
        <v>0</v>
      </c>
      <c r="BL21" s="62"/>
      <c r="BM21" s="139"/>
      <c r="BN21" s="62"/>
      <c r="BO21" s="139"/>
      <c r="BP21" s="139"/>
      <c r="BQ21" s="138"/>
      <c r="BR21" s="139"/>
      <c r="BS21" s="139">
        <f>Capstone!Q22</f>
        <v>4.666666666666667</v>
      </c>
      <c r="BT21" s="139">
        <f>Capstone!W22</f>
        <v>5</v>
      </c>
      <c r="BU21" s="139">
        <f>Capstone!AC22</f>
        <v>5</v>
      </c>
      <c r="BV21" s="139">
        <f>Capstone!AI22</f>
        <v>4</v>
      </c>
      <c r="BW21" s="139">
        <f>Capstone!AO22</f>
        <v>5</v>
      </c>
      <c r="BX21" s="139">
        <f>Capstone!AU22</f>
        <v>4</v>
      </c>
      <c r="BY21" s="138"/>
      <c r="BZ21" s="139"/>
      <c r="CA2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1.45</v>
      </c>
      <c r="CB21" s="139">
        <f>IFERROR(AVERAGE(Table110461117[[#This Row],[Column31]],Table110461117[[#This Row],[Column13]],Table110461117[[#This Row],[Column4]],Table110461117[[#This Row],[Column22]],),"A")</f>
        <v>1.1333333333333333</v>
      </c>
      <c r="CC21" s="139">
        <f>IFERROR(AVERAGE(Table110461117[[#This Row],[Column5]],Table110461117[[#This Row],[Column14]],Table110461117[[#This Row],[Column23]],Table110461117[[#This Row],[Column32]]),"A")</f>
        <v>1.125</v>
      </c>
      <c r="CD21" s="139">
        <f>IFERROR(AVERAGE(Table110461117[[#This Row],[Column6]],Table110461117[[#This Row],[Column15]],Table110461117[[#This Row],[Column24]],Table110461117[[#This Row],[Column33]]),"A")</f>
        <v>0.375</v>
      </c>
      <c r="CE21" s="139"/>
      <c r="CF21" s="139">
        <f>IFERROR(AVERAGE(Table110461117[[#This Row],[Column26]],Table110461117[[#This Row],[Column35]],Table110461117[[#This Row],[Column17]],Table110461117[[#This Row],[Column8]]),"A")</f>
        <v>1.5</v>
      </c>
      <c r="CG21" s="138"/>
      <c r="CH21" s="139">
        <f>IFERROR(AVERAGE('Review 1'!AX21,'Review 2'!AX21,'Review 3'!AX21,'Review 4'!AX21,'Reflection -1 '!AX21,'Reflection -2'!AX21,'Reflection -3'!AX21,'Reflection -4'!AX21),"A")</f>
        <v>0.625</v>
      </c>
      <c r="CI21" s="139">
        <f>IFERROR(AVERAGE('Review 1'!AY21,'Review 2'!AY21,'Review 3'!AY21,'Review 4'!AY21,'Reflection -1 '!AY21,'Reflection -2'!AY21,'Reflection -3'!AY21,'Reflection -4'!AY21,Capstone!AY22),"A")</f>
        <v>0.66666666666666663</v>
      </c>
      <c r="CJ21" s="139">
        <f>IFERROR(AVERAGE('Review 1'!AZ21,'Review 2'!AZ21,'Review 3'!AZ21,'Review 4'!AZ21,'Reflection -1 '!AZ21,'Reflection -2'!AZ21,'Reflection -3'!AZ21,'Reflection -4'!AZ21),"A")</f>
        <v>0.5</v>
      </c>
    </row>
    <row r="22" spans="1:88" s="122" customFormat="1" ht="23.1" customHeight="1" x14ac:dyDescent="0.3">
      <c r="A22" s="6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140"/>
      <c r="G22" s="140">
        <f>'Review 1'!Q22</f>
        <v>3</v>
      </c>
      <c r="H22" s="140">
        <f>'Review 1'!W22</f>
        <v>3</v>
      </c>
      <c r="I22" s="140">
        <f>'Review 1'!AC22</f>
        <v>3</v>
      </c>
      <c r="J22" s="140">
        <f>'Review 1'!AI22</f>
        <v>3</v>
      </c>
      <c r="K22" s="140"/>
      <c r="L22" s="140">
        <f>'Review 1'!AU22</f>
        <v>3</v>
      </c>
      <c r="M22" s="138"/>
      <c r="N22" s="140"/>
      <c r="O22" s="140">
        <f>'Review 2'!Q22</f>
        <v>3</v>
      </c>
      <c r="P22" s="140">
        <f>'Review 2'!W22</f>
        <v>3</v>
      </c>
      <c r="Q22" s="140">
        <f>'Review 2'!AC22</f>
        <v>3</v>
      </c>
      <c r="R22" s="140">
        <f>'Review 2'!AI22</f>
        <v>3</v>
      </c>
      <c r="S22" s="140"/>
      <c r="T22" s="140">
        <f>'Review 2'!AU22</f>
        <v>3</v>
      </c>
      <c r="U22" s="138"/>
      <c r="V22" s="7"/>
      <c r="W22" s="140">
        <f>'Review 3'!Q22</f>
        <v>3</v>
      </c>
      <c r="X22" s="140">
        <f>'Review 3'!W22</f>
        <v>3</v>
      </c>
      <c r="Y22" s="140">
        <f>'Review 3'!AC22</f>
        <v>3</v>
      </c>
      <c r="Z22" s="140">
        <f>'Review 3'!AI22</f>
        <v>3</v>
      </c>
      <c r="AA22" s="7"/>
      <c r="AB22" s="140">
        <f>'Review 3'!AU22</f>
        <v>3</v>
      </c>
      <c r="AC22" s="138"/>
      <c r="AD22" s="7"/>
      <c r="AE22" s="140">
        <f>'Review 4'!Q22</f>
        <v>2</v>
      </c>
      <c r="AF22" s="140">
        <f>'Review 4'!W22</f>
        <v>3</v>
      </c>
      <c r="AG22" s="140">
        <f>'Review 4'!AC22</f>
        <v>2.5</v>
      </c>
      <c r="AH22" s="140">
        <f>'Review 4'!AI22</f>
        <v>3</v>
      </c>
      <c r="AI22" s="140"/>
      <c r="AJ22" s="140">
        <f>'Review 4'!AU22</f>
        <v>4</v>
      </c>
      <c r="AK22" s="138"/>
      <c r="AL22" s="7"/>
      <c r="AM22" s="140">
        <f>'Reflection -1 '!Q22</f>
        <v>3</v>
      </c>
      <c r="AN22" s="7"/>
      <c r="AO22" s="7"/>
      <c r="AP22" s="7"/>
      <c r="AQ22" s="7"/>
      <c r="AR22" s="7"/>
      <c r="AS22" s="138"/>
      <c r="AT22" s="7"/>
      <c r="AU22" s="140">
        <f>'Reflection -2'!Q22</f>
        <v>3.6666666666666665</v>
      </c>
      <c r="AV22" s="7"/>
      <c r="AW22" s="7"/>
      <c r="AX22" s="7"/>
      <c r="AY22" s="140"/>
      <c r="AZ22" s="7"/>
      <c r="BA22" s="138"/>
      <c r="BB22" s="140"/>
      <c r="BC22" s="140">
        <f>'Reflection -3'!Q22</f>
        <v>3</v>
      </c>
      <c r="BD22" s="140"/>
      <c r="BE22" s="140"/>
      <c r="BF22" s="140"/>
      <c r="BG22" s="140"/>
      <c r="BH22" s="140"/>
      <c r="BI22" s="138"/>
      <c r="BJ22" s="140"/>
      <c r="BK22" s="140">
        <f>'Reflection -3'!Q22</f>
        <v>3</v>
      </c>
      <c r="BL22" s="7"/>
      <c r="BM22" s="140"/>
      <c r="BN22" s="7"/>
      <c r="BO22" s="140"/>
      <c r="BP22" s="140"/>
      <c r="BQ22" s="138"/>
      <c r="BR22" s="140"/>
      <c r="BS22" s="140">
        <f>Capstone!Q23</f>
        <v>4.666666666666667</v>
      </c>
      <c r="BT22" s="140">
        <f>Capstone!W23</f>
        <v>5</v>
      </c>
      <c r="BU22" s="140">
        <f>Capstone!AC23</f>
        <v>5</v>
      </c>
      <c r="BV22" s="140">
        <f>Capstone!AI23</f>
        <v>3</v>
      </c>
      <c r="BW22" s="140">
        <f>Capstone!AO23</f>
        <v>5</v>
      </c>
      <c r="BX22" s="140">
        <f>Capstone!AU23</f>
        <v>5</v>
      </c>
      <c r="BY22" s="138"/>
      <c r="BZ22" s="140"/>
      <c r="CA2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2.9583333333333335</v>
      </c>
      <c r="CB22" s="140">
        <f>IFERROR(AVERAGE(Table110461117[[#This Row],[Column31]],Table110461117[[#This Row],[Column13]],Table110461117[[#This Row],[Column4]],Table110461117[[#This Row],[Column22]],),"A")</f>
        <v>2.4</v>
      </c>
      <c r="CC22" s="140">
        <f>IFERROR(AVERAGE(Table110461117[[#This Row],[Column5]],Table110461117[[#This Row],[Column14]],Table110461117[[#This Row],[Column23]],Table110461117[[#This Row],[Column32]]),"A")</f>
        <v>2.875</v>
      </c>
      <c r="CD22" s="140">
        <f>IFERROR(AVERAGE(Table110461117[[#This Row],[Column6]],Table110461117[[#This Row],[Column15]],Table110461117[[#This Row],[Column24]],Table110461117[[#This Row],[Column33]]),"A")</f>
        <v>3</v>
      </c>
      <c r="CE22" s="140"/>
      <c r="CF22" s="140">
        <f>IFERROR(AVERAGE(Table110461117[[#This Row],[Column26]],Table110461117[[#This Row],[Column35]],Table110461117[[#This Row],[Column17]],Table110461117[[#This Row],[Column8]]),"A")</f>
        <v>3.25</v>
      </c>
      <c r="CG22" s="138"/>
      <c r="CH22" s="140">
        <f>IFERROR(AVERAGE('Review 1'!AX22,'Review 2'!AX22,'Review 3'!AX22,'Review 4'!AX22,'Reflection -1 '!AX22,'Reflection -2'!AX22,'Reflection -3'!AX22,'Reflection -4'!AX22),"A")</f>
        <v>3.375</v>
      </c>
      <c r="CI22" s="140">
        <f>IFERROR(AVERAGE('Review 1'!AY22,'Review 2'!AY22,'Review 3'!AY22,'Review 4'!AY22,'Reflection -1 '!AY22,'Reflection -2'!AY22,'Reflection -3'!AY22,'Reflection -4'!AY22,Capstone!AY23),"A")</f>
        <v>1.5555555555555556</v>
      </c>
      <c r="CJ22" s="140">
        <f>IFERROR(AVERAGE('Review 1'!AZ22,'Review 2'!AZ22,'Review 3'!AZ22,'Review 4'!AZ22,'Reflection -1 '!AZ22,'Reflection -2'!AZ22,'Reflection -3'!AZ22,'Reflection -4'!AZ22),"A")</f>
        <v>2.625</v>
      </c>
    </row>
    <row r="23" spans="1:88" s="122" customFormat="1" ht="23.1" customHeight="1" x14ac:dyDescent="0.3">
      <c r="A23" s="137">
        <v>21</v>
      </c>
      <c r="B23" s="62" t="s">
        <v>209</v>
      </c>
      <c r="C23" s="62" t="s">
        <v>210</v>
      </c>
      <c r="D23" s="62" t="s">
        <v>450</v>
      </c>
      <c r="E23" s="62" t="s">
        <v>161</v>
      </c>
      <c r="F23" s="139"/>
      <c r="G23" s="139">
        <f>'Review 1'!Q23</f>
        <v>2</v>
      </c>
      <c r="H23" s="139">
        <f>'Review 1'!W23</f>
        <v>2</v>
      </c>
      <c r="I23" s="139">
        <f>'Review 1'!AC23</f>
        <v>2</v>
      </c>
      <c r="J23" s="139">
        <f>'Review 1'!AI23</f>
        <v>2</v>
      </c>
      <c r="K23" s="139"/>
      <c r="L23" s="139">
        <f>'Review 1'!AU23</f>
        <v>2</v>
      </c>
      <c r="M23" s="138"/>
      <c r="N23" s="139"/>
      <c r="O23" s="139">
        <f>'Review 2'!Q23</f>
        <v>2</v>
      </c>
      <c r="P23" s="139">
        <f>'Review 2'!W23</f>
        <v>2</v>
      </c>
      <c r="Q23" s="139">
        <f>'Review 2'!AC23</f>
        <v>2</v>
      </c>
      <c r="R23" s="139">
        <f>'Review 2'!AI23</f>
        <v>2</v>
      </c>
      <c r="S23" s="139"/>
      <c r="T23" s="139">
        <f>'Review 2'!AU23</f>
        <v>2</v>
      </c>
      <c r="U23" s="138"/>
      <c r="V23" s="62"/>
      <c r="W23" s="139">
        <f>'Review 3'!Q23</f>
        <v>1</v>
      </c>
      <c r="X23" s="139">
        <f>'Review 3'!W23</f>
        <v>0.66666666666666663</v>
      </c>
      <c r="Y23" s="139">
        <f>'Review 3'!AC23</f>
        <v>2</v>
      </c>
      <c r="Z23" s="139">
        <f>'Review 3'!AI23</f>
        <v>0</v>
      </c>
      <c r="AA23" s="62"/>
      <c r="AB23" s="139">
        <f>'Review 3'!AU23</f>
        <v>1.3333333333333333</v>
      </c>
      <c r="AC23" s="138"/>
      <c r="AD23" s="62"/>
      <c r="AE23" s="139">
        <f>'Review 4'!Q23</f>
        <v>3</v>
      </c>
      <c r="AF23" s="139">
        <f>'Review 4'!W23</f>
        <v>2.3333333333333335</v>
      </c>
      <c r="AG23" s="139">
        <f>'Review 4'!AC23</f>
        <v>2.5</v>
      </c>
      <c r="AH23" s="139">
        <f>'Review 4'!AI23</f>
        <v>5</v>
      </c>
      <c r="AI23" s="139"/>
      <c r="AJ23" s="139">
        <f>'Review 4'!AU23</f>
        <v>4.333333333333333</v>
      </c>
      <c r="AK23" s="138"/>
      <c r="AL23" s="62"/>
      <c r="AM23" s="139">
        <f>'Reflection -1 '!Q23</f>
        <v>2.6666666666666665</v>
      </c>
      <c r="AN23" s="62"/>
      <c r="AO23" s="62"/>
      <c r="AP23" s="62"/>
      <c r="AQ23" s="62"/>
      <c r="AR23" s="62"/>
      <c r="AS23" s="138"/>
      <c r="AT23" s="62"/>
      <c r="AU23" s="139">
        <f>'Reflection -2'!Q23</f>
        <v>3.6666666666666665</v>
      </c>
      <c r="AV23" s="62"/>
      <c r="AW23" s="62"/>
      <c r="AX23" s="62"/>
      <c r="AY23" s="139"/>
      <c r="AZ23" s="62"/>
      <c r="BA23" s="138"/>
      <c r="BB23" s="139"/>
      <c r="BC23" s="139">
        <f>'Reflection -3'!Q23</f>
        <v>2</v>
      </c>
      <c r="BD23" s="139"/>
      <c r="BE23" s="139"/>
      <c r="BF23" s="139"/>
      <c r="BG23" s="139"/>
      <c r="BH23" s="139"/>
      <c r="BI23" s="138"/>
      <c r="BJ23" s="139"/>
      <c r="BK23" s="139">
        <f>'Reflection -3'!Q23</f>
        <v>2</v>
      </c>
      <c r="BL23" s="62"/>
      <c r="BM23" s="139"/>
      <c r="BN23" s="62"/>
      <c r="BO23" s="139"/>
      <c r="BP23" s="139"/>
      <c r="BQ23" s="138"/>
      <c r="BR23" s="139"/>
      <c r="BS23" s="139">
        <f>Capstone!Q24</f>
        <v>2</v>
      </c>
      <c r="BT23" s="139">
        <f>Capstone!W24</f>
        <v>3</v>
      </c>
      <c r="BU23" s="139">
        <f>Capstone!AC24</f>
        <v>3</v>
      </c>
      <c r="BV23" s="139">
        <f>Capstone!AI24</f>
        <v>0</v>
      </c>
      <c r="BW23" s="139">
        <f>Capstone!AO24</f>
        <v>3</v>
      </c>
      <c r="BX23" s="139">
        <f>Capstone!AU24</f>
        <v>3</v>
      </c>
      <c r="BY23" s="138"/>
      <c r="BZ23" s="139"/>
      <c r="CA2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2.2916666666666665</v>
      </c>
      <c r="CB23" s="139">
        <f>IFERROR(AVERAGE(Table110461117[[#This Row],[Column31]],Table110461117[[#This Row],[Column13]],Table110461117[[#This Row],[Column4]],Table110461117[[#This Row],[Column22]],),"A")</f>
        <v>1.4000000000000001</v>
      </c>
      <c r="CC23" s="139">
        <f>IFERROR(AVERAGE(Table110461117[[#This Row],[Column5]],Table110461117[[#This Row],[Column14]],Table110461117[[#This Row],[Column23]],Table110461117[[#This Row],[Column32]]),"A")</f>
        <v>2.125</v>
      </c>
      <c r="CD23" s="139">
        <f>IFERROR(AVERAGE(Table110461117[[#This Row],[Column6]],Table110461117[[#This Row],[Column15]],Table110461117[[#This Row],[Column24]],Table110461117[[#This Row],[Column33]]),"A")</f>
        <v>2.25</v>
      </c>
      <c r="CE23" s="139"/>
      <c r="CF23" s="139">
        <f>IFERROR(AVERAGE(Table110461117[[#This Row],[Column26]],Table110461117[[#This Row],[Column35]],Table110461117[[#This Row],[Column17]],Table110461117[[#This Row],[Column8]]),"A")</f>
        <v>2.4166666666666665</v>
      </c>
      <c r="CG23" s="138"/>
      <c r="CH23" s="139">
        <f>IFERROR(AVERAGE('Review 1'!AX23,'Review 2'!AX23,'Review 3'!AX23,'Review 4'!AX23,'Reflection -1 '!AX23,'Reflection -2'!AX23,'Reflection -3'!AX23,'Reflection -4'!AX23),"A")</f>
        <v>3.25</v>
      </c>
      <c r="CI23" s="139">
        <f>IFERROR(AVERAGE('Review 1'!AY23,'Review 2'!AY23,'Review 3'!AY23,'Review 4'!AY23,'Reflection -1 '!AY23,'Reflection -2'!AY23,'Reflection -3'!AY23,'Reflection -4'!AY23,Capstone!AY24),"A")</f>
        <v>1.3333333333333333</v>
      </c>
      <c r="CJ23" s="139">
        <f>IFERROR(AVERAGE('Review 1'!AZ23,'Review 2'!AZ23,'Review 3'!AZ23,'Review 4'!AZ23,'Reflection -1 '!AZ23,'Reflection -2'!AZ23,'Reflection -3'!AZ23,'Reflection -4'!AZ23),"A")</f>
        <v>2</v>
      </c>
    </row>
    <row r="24" spans="1:88" s="122" customFormat="1" ht="23.1" customHeight="1" x14ac:dyDescent="0.3">
      <c r="A24" s="6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140"/>
      <c r="G24" s="140">
        <f>'Review 1'!Q24</f>
        <v>2.4</v>
      </c>
      <c r="H24" s="140">
        <f>'Review 1'!W24</f>
        <v>2</v>
      </c>
      <c r="I24" s="140">
        <f>'Review 1'!AC24</f>
        <v>2</v>
      </c>
      <c r="J24" s="140">
        <f>'Review 1'!AI24</f>
        <v>1</v>
      </c>
      <c r="K24" s="140"/>
      <c r="L24" s="140">
        <f>'Review 1'!AU24</f>
        <v>1</v>
      </c>
      <c r="M24" s="138"/>
      <c r="N24" s="140"/>
      <c r="O24" s="140">
        <f>'Review 2'!Q24</f>
        <v>2.4</v>
      </c>
      <c r="P24" s="140">
        <f>'Review 2'!W24</f>
        <v>2</v>
      </c>
      <c r="Q24" s="140">
        <f>'Review 2'!AC24</f>
        <v>2</v>
      </c>
      <c r="R24" s="140">
        <f>'Review 2'!AI24</f>
        <v>1</v>
      </c>
      <c r="S24" s="140"/>
      <c r="T24" s="140">
        <f>'Review 2'!AU24</f>
        <v>1</v>
      </c>
      <c r="U24" s="138"/>
      <c r="V24" s="7"/>
      <c r="W24" s="140">
        <f>'Review 3'!Q24</f>
        <v>0.6</v>
      </c>
      <c r="X24" s="140">
        <f>'Review 3'!W24</f>
        <v>0</v>
      </c>
      <c r="Y24" s="140">
        <f>'Review 3'!AC24</f>
        <v>0</v>
      </c>
      <c r="Z24" s="140">
        <f>'Review 3'!AI24</f>
        <v>0</v>
      </c>
      <c r="AA24" s="7"/>
      <c r="AB24" s="140">
        <f>'Review 3'!AU24</f>
        <v>0</v>
      </c>
      <c r="AC24" s="138"/>
      <c r="AD24" s="7"/>
      <c r="AE24" s="140">
        <f>'Review 4'!Q24</f>
        <v>3.2</v>
      </c>
      <c r="AF24" s="140">
        <f>'Review 4'!W24</f>
        <v>3</v>
      </c>
      <c r="AG24" s="140">
        <f>'Review 4'!AC24</f>
        <v>1.5</v>
      </c>
      <c r="AH24" s="140">
        <f>'Review 4'!AI24</f>
        <v>1.5</v>
      </c>
      <c r="AI24" s="140"/>
      <c r="AJ24" s="140">
        <f>'Review 4'!AU24</f>
        <v>1.6666666666666667</v>
      </c>
      <c r="AK24" s="138"/>
      <c r="AL24" s="7"/>
      <c r="AM24" s="140">
        <f>'Reflection -1 '!Q24</f>
        <v>1</v>
      </c>
      <c r="AN24" s="7"/>
      <c r="AO24" s="7"/>
      <c r="AP24" s="7"/>
      <c r="AQ24" s="7"/>
      <c r="AR24" s="7"/>
      <c r="AS24" s="138"/>
      <c r="AT24" s="7"/>
      <c r="AU24" s="140">
        <f>'Reflection -2'!Q24</f>
        <v>2.6666666666666665</v>
      </c>
      <c r="AV24" s="7"/>
      <c r="AW24" s="7"/>
      <c r="AX24" s="7"/>
      <c r="AY24" s="140"/>
      <c r="AZ24" s="7"/>
      <c r="BA24" s="138"/>
      <c r="BB24" s="140"/>
      <c r="BC24" s="140">
        <f>'Reflection -3'!Q24</f>
        <v>1.6666666666666667</v>
      </c>
      <c r="BD24" s="140"/>
      <c r="BE24" s="140"/>
      <c r="BF24" s="140"/>
      <c r="BG24" s="140"/>
      <c r="BH24" s="140"/>
      <c r="BI24" s="138"/>
      <c r="BJ24" s="140"/>
      <c r="BK24" s="140">
        <f>'Reflection -3'!Q24</f>
        <v>1.6666666666666667</v>
      </c>
      <c r="BL24" s="7"/>
      <c r="BM24" s="140"/>
      <c r="BN24" s="7"/>
      <c r="BO24" s="140"/>
      <c r="BP24" s="140"/>
      <c r="BQ24" s="138"/>
      <c r="BR24" s="140"/>
      <c r="BS24" s="140">
        <f>Capstone!Q25</f>
        <v>4.666666666666667</v>
      </c>
      <c r="BT24" s="140">
        <f>Capstone!W25</f>
        <v>3</v>
      </c>
      <c r="BU24" s="140">
        <f>Capstone!AC25</f>
        <v>3</v>
      </c>
      <c r="BV24" s="140">
        <f>Capstone!AI25</f>
        <v>4</v>
      </c>
      <c r="BW24" s="140">
        <f>Capstone!AO25</f>
        <v>3</v>
      </c>
      <c r="BX24" s="140">
        <f>Capstone!AU25</f>
        <v>4</v>
      </c>
      <c r="BY24" s="138"/>
      <c r="BZ24" s="140"/>
      <c r="CA2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1.95</v>
      </c>
      <c r="CB24" s="140">
        <f>IFERROR(AVERAGE(Table110461117[[#This Row],[Column31]],Table110461117[[#This Row],[Column13]],Table110461117[[#This Row],[Column4]],Table110461117[[#This Row],[Column22]],),"A")</f>
        <v>1.4</v>
      </c>
      <c r="CC24" s="140">
        <f>IFERROR(AVERAGE(Table110461117[[#This Row],[Column5]],Table110461117[[#This Row],[Column14]],Table110461117[[#This Row],[Column23]],Table110461117[[#This Row],[Column32]]),"A")</f>
        <v>1.375</v>
      </c>
      <c r="CD24" s="140">
        <f>IFERROR(AVERAGE(Table110461117[[#This Row],[Column6]],Table110461117[[#This Row],[Column15]],Table110461117[[#This Row],[Column24]],Table110461117[[#This Row],[Column33]]),"A")</f>
        <v>0.875</v>
      </c>
      <c r="CE24" s="140"/>
      <c r="CF24" s="140">
        <f>IFERROR(AVERAGE(Table110461117[[#This Row],[Column26]],Table110461117[[#This Row],[Column35]],Table110461117[[#This Row],[Column17]],Table110461117[[#This Row],[Column8]]),"A")</f>
        <v>0.91666666666666674</v>
      </c>
      <c r="CG24" s="138"/>
      <c r="CH24" s="140">
        <f>IFERROR(AVERAGE('Review 1'!AX24,'Review 2'!AX24,'Review 3'!AX24,'Review 4'!AX24,'Reflection -1 '!AX24,'Reflection -2'!AX24,'Reflection -3'!AX24,'Reflection -4'!AX24),"A")</f>
        <v>2.375</v>
      </c>
      <c r="CI24" s="140">
        <f>IFERROR(AVERAGE('Review 1'!AY24,'Review 2'!AY24,'Review 3'!AY24,'Review 4'!AY24,'Reflection -1 '!AY24,'Reflection -2'!AY24,'Reflection -3'!AY24,'Reflection -4'!AY24,Capstone!AY25),"A")</f>
        <v>1.3333333333333333</v>
      </c>
      <c r="CJ24" s="140">
        <f>IFERROR(AVERAGE('Review 1'!AZ24,'Review 2'!AZ24,'Review 3'!AZ24,'Review 4'!AZ24,'Reflection -1 '!AZ24,'Reflection -2'!AZ24,'Reflection -3'!AZ24,'Reflection -4'!AZ24),"A")</f>
        <v>1.75</v>
      </c>
    </row>
    <row r="25" spans="1:88" s="122" customFormat="1" ht="23.1" customHeight="1" x14ac:dyDescent="0.3">
      <c r="A25" s="137">
        <v>23</v>
      </c>
      <c r="B25" s="62" t="s">
        <v>225</v>
      </c>
      <c r="C25" s="62" t="s">
        <v>226</v>
      </c>
      <c r="D25" s="62" t="s">
        <v>450</v>
      </c>
      <c r="E25" s="62" t="s">
        <v>161</v>
      </c>
      <c r="F25" s="139"/>
      <c r="G25" s="139">
        <f>'Review 1'!Q25</f>
        <v>2.8</v>
      </c>
      <c r="H25" s="139">
        <f>'Review 1'!W25</f>
        <v>2.6666666666666665</v>
      </c>
      <c r="I25" s="139">
        <f>'Review 1'!AC25</f>
        <v>3</v>
      </c>
      <c r="J25" s="139">
        <f>'Review 1'!AI25</f>
        <v>3</v>
      </c>
      <c r="K25" s="139"/>
      <c r="L25" s="139">
        <f>'Review 1'!AU25</f>
        <v>2.6666666666666665</v>
      </c>
      <c r="M25" s="138"/>
      <c r="N25" s="139"/>
      <c r="O25" s="139">
        <f>'Review 2'!Q25</f>
        <v>2.6</v>
      </c>
      <c r="P25" s="139">
        <f>'Review 2'!W25</f>
        <v>2.6666666666666665</v>
      </c>
      <c r="Q25" s="139">
        <f>'Review 2'!AC25</f>
        <v>2.5</v>
      </c>
      <c r="R25" s="139">
        <f>'Review 2'!AI25</f>
        <v>2.5</v>
      </c>
      <c r="S25" s="139"/>
      <c r="T25" s="139">
        <f>'Review 2'!AU25</f>
        <v>2.6666666666666665</v>
      </c>
      <c r="U25" s="138"/>
      <c r="V25" s="62"/>
      <c r="W25" s="139">
        <f>'Review 3'!Q25</f>
        <v>0</v>
      </c>
      <c r="X25" s="139">
        <f>'Review 3'!W25</f>
        <v>2</v>
      </c>
      <c r="Y25" s="139">
        <f>'Review 3'!AC25</f>
        <v>2.5</v>
      </c>
      <c r="Z25" s="139">
        <f>'Review 3'!AI25</f>
        <v>2</v>
      </c>
      <c r="AA25" s="62"/>
      <c r="AB25" s="139">
        <f>'Review 3'!AU25</f>
        <v>2</v>
      </c>
      <c r="AC25" s="138"/>
      <c r="AD25" s="62"/>
      <c r="AE25" s="139">
        <f>'Review 4'!Q25</f>
        <v>3.8</v>
      </c>
      <c r="AF25" s="139">
        <f>'Review 4'!W25</f>
        <v>3</v>
      </c>
      <c r="AG25" s="139">
        <f>'Review 4'!AC25</f>
        <v>3</v>
      </c>
      <c r="AH25" s="139">
        <f>'Review 4'!AI25</f>
        <v>5</v>
      </c>
      <c r="AI25" s="139"/>
      <c r="AJ25" s="139">
        <f>'Review 4'!AU25</f>
        <v>3.6666666666666665</v>
      </c>
      <c r="AK25" s="138"/>
      <c r="AL25" s="62"/>
      <c r="AM25" s="139">
        <f>'Reflection -1 '!Q25</f>
        <v>0</v>
      </c>
      <c r="AN25" s="62"/>
      <c r="AO25" s="62"/>
      <c r="AP25" s="62"/>
      <c r="AQ25" s="62"/>
      <c r="AR25" s="62"/>
      <c r="AS25" s="138"/>
      <c r="AT25" s="62"/>
      <c r="AU25" s="139">
        <f>'Reflection -2'!Q25</f>
        <v>0</v>
      </c>
      <c r="AV25" s="62"/>
      <c r="AW25" s="62"/>
      <c r="AX25" s="62"/>
      <c r="AY25" s="139"/>
      <c r="AZ25" s="62"/>
      <c r="BA25" s="138"/>
      <c r="BB25" s="139"/>
      <c r="BC25" s="139">
        <f>'Reflection -3'!Q25</f>
        <v>0</v>
      </c>
      <c r="BD25" s="139"/>
      <c r="BE25" s="139"/>
      <c r="BF25" s="139"/>
      <c r="BG25" s="139"/>
      <c r="BH25" s="139"/>
      <c r="BI25" s="138"/>
      <c r="BJ25" s="139"/>
      <c r="BK25" s="139">
        <f>'Reflection -3'!Q25</f>
        <v>0</v>
      </c>
      <c r="BL25" s="62"/>
      <c r="BM25" s="139"/>
      <c r="BN25" s="62"/>
      <c r="BO25" s="139"/>
      <c r="BP25" s="139"/>
      <c r="BQ25" s="138"/>
      <c r="BR25" s="139"/>
      <c r="BS25" s="139">
        <f>Capstone!Q26</f>
        <v>5</v>
      </c>
      <c r="BT25" s="139">
        <f>Capstone!W26</f>
        <v>4</v>
      </c>
      <c r="BU25" s="139">
        <f>Capstone!AC26</f>
        <v>4</v>
      </c>
      <c r="BV25" s="139">
        <f>Capstone!AI26</f>
        <v>0</v>
      </c>
      <c r="BW25" s="139">
        <f>Capstone!AO26</f>
        <v>4</v>
      </c>
      <c r="BX25" s="139">
        <f>Capstone!AU26</f>
        <v>5</v>
      </c>
      <c r="BY25" s="138"/>
      <c r="BZ25" s="139"/>
      <c r="CA2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1.1499999999999999</v>
      </c>
      <c r="CB25" s="139">
        <f>IFERROR(AVERAGE(Table110461117[[#This Row],[Column31]],Table110461117[[#This Row],[Column13]],Table110461117[[#This Row],[Column4]],Table110461117[[#This Row],[Column22]],),"A")</f>
        <v>2.0666666666666664</v>
      </c>
      <c r="CC25" s="139">
        <f>IFERROR(AVERAGE(Table110461117[[#This Row],[Column5]],Table110461117[[#This Row],[Column14]],Table110461117[[#This Row],[Column23]],Table110461117[[#This Row],[Column32]]),"A")</f>
        <v>2.75</v>
      </c>
      <c r="CD25" s="139">
        <f>IFERROR(AVERAGE(Table110461117[[#This Row],[Column6]],Table110461117[[#This Row],[Column15]],Table110461117[[#This Row],[Column24]],Table110461117[[#This Row],[Column33]]),"A")</f>
        <v>3.125</v>
      </c>
      <c r="CE25" s="139"/>
      <c r="CF25" s="139">
        <f>IFERROR(AVERAGE(Table110461117[[#This Row],[Column26]],Table110461117[[#This Row],[Column35]],Table110461117[[#This Row],[Column17]],Table110461117[[#This Row],[Column8]]),"A")</f>
        <v>2.7499999999999996</v>
      </c>
      <c r="CG25" s="138"/>
      <c r="CH25" s="139">
        <f>IFERROR(AVERAGE('Review 1'!AX25,'Review 2'!AX25,'Review 3'!AX25,'Review 4'!AX25,'Reflection -1 '!AX25,'Reflection -2'!AX25,'Reflection -3'!AX25,'Reflection -4'!AX25),"A")</f>
        <v>1.375</v>
      </c>
      <c r="CI25" s="139">
        <f>IFERROR(AVERAGE('Review 1'!AY25,'Review 2'!AY25,'Review 3'!AY25,'Review 4'!AY25,'Reflection -1 '!AY25,'Reflection -2'!AY25,'Reflection -3'!AY25,'Reflection -4'!AY25,Capstone!AY26),"A")</f>
        <v>1.6666666666666667</v>
      </c>
      <c r="CJ25" s="139">
        <f>IFERROR(AVERAGE('Review 1'!AZ25,'Review 2'!AZ25,'Review 3'!AZ25,'Review 4'!AZ25,'Reflection -1 '!AZ25,'Reflection -2'!AZ25,'Reflection -3'!AZ25,'Reflection -4'!AZ25),"A")</f>
        <v>1.125</v>
      </c>
    </row>
    <row r="26" spans="1:88" s="122" customFormat="1" ht="23.1" customHeight="1" x14ac:dyDescent="0.3">
      <c r="A26" s="6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140"/>
      <c r="G26" s="140">
        <f>'Review 1'!Q26</f>
        <v>0</v>
      </c>
      <c r="H26" s="140">
        <f>'Review 1'!W26</f>
        <v>0</v>
      </c>
      <c r="I26" s="140">
        <f>'Review 1'!AC26</f>
        <v>0</v>
      </c>
      <c r="J26" s="140">
        <f>'Review 1'!AI26</f>
        <v>0</v>
      </c>
      <c r="K26" s="140"/>
      <c r="L26" s="140">
        <f>'Review 1'!AU26</f>
        <v>0</v>
      </c>
      <c r="M26" s="138"/>
      <c r="N26" s="140"/>
      <c r="O26" s="140">
        <f>'Review 2'!Q26</f>
        <v>3.6</v>
      </c>
      <c r="P26" s="140">
        <f>'Review 2'!W26</f>
        <v>2</v>
      </c>
      <c r="Q26" s="140">
        <f>'Review 2'!AC26</f>
        <v>2</v>
      </c>
      <c r="R26" s="140">
        <f>'Review 2'!AI26</f>
        <v>2</v>
      </c>
      <c r="S26" s="140"/>
      <c r="T26" s="140">
        <f>'Review 2'!AU26</f>
        <v>2</v>
      </c>
      <c r="U26" s="138"/>
      <c r="V26" s="7"/>
      <c r="W26" s="140">
        <f>'Review 3'!Q26</f>
        <v>3</v>
      </c>
      <c r="X26" s="140">
        <f>'Review 3'!W26</f>
        <v>0</v>
      </c>
      <c r="Y26" s="140">
        <f>'Review 3'!AC26</f>
        <v>0</v>
      </c>
      <c r="Z26" s="140">
        <f>'Review 3'!AI26</f>
        <v>0</v>
      </c>
      <c r="AA26" s="7"/>
      <c r="AB26" s="140">
        <f>'Review 3'!AU26</f>
        <v>0</v>
      </c>
      <c r="AC26" s="138"/>
      <c r="AD26" s="7"/>
      <c r="AE26" s="140">
        <f>'Review 4'!Q26</f>
        <v>3.6</v>
      </c>
      <c r="AF26" s="140">
        <f>'Review 4'!W26</f>
        <v>2.3333333333333335</v>
      </c>
      <c r="AG26" s="140">
        <f>'Review 4'!AC26</f>
        <v>2</v>
      </c>
      <c r="AH26" s="140">
        <f>'Review 4'!AI26</f>
        <v>1</v>
      </c>
      <c r="AI26" s="140"/>
      <c r="AJ26" s="140">
        <f>'Review 4'!AU26</f>
        <v>2</v>
      </c>
      <c r="AK26" s="138"/>
      <c r="AL26" s="7"/>
      <c r="AM26" s="140">
        <f>'Reflection -1 '!Q26</f>
        <v>2.6666666666666665</v>
      </c>
      <c r="AN26" s="7"/>
      <c r="AO26" s="7"/>
      <c r="AP26" s="7"/>
      <c r="AQ26" s="7"/>
      <c r="AR26" s="7"/>
      <c r="AS26" s="138"/>
      <c r="AT26" s="7"/>
      <c r="AU26" s="140">
        <f>'Reflection -2'!Q26</f>
        <v>2.3333333333333335</v>
      </c>
      <c r="AV26" s="7"/>
      <c r="AW26" s="7"/>
      <c r="AX26" s="7"/>
      <c r="AY26" s="140"/>
      <c r="AZ26" s="7"/>
      <c r="BA26" s="138"/>
      <c r="BB26" s="140"/>
      <c r="BC26" s="140">
        <f>'Reflection -3'!Q26</f>
        <v>0</v>
      </c>
      <c r="BD26" s="140"/>
      <c r="BE26" s="140"/>
      <c r="BF26" s="140"/>
      <c r="BG26" s="140"/>
      <c r="BH26" s="140"/>
      <c r="BI26" s="138"/>
      <c r="BJ26" s="140"/>
      <c r="BK26" s="140">
        <f>'Reflection -3'!Q26</f>
        <v>0</v>
      </c>
      <c r="BL26" s="7"/>
      <c r="BM26" s="140"/>
      <c r="BN26" s="7"/>
      <c r="BO26" s="140"/>
      <c r="BP26" s="140"/>
      <c r="BQ26" s="138"/>
      <c r="BR26" s="140"/>
      <c r="BS26" s="140">
        <f>Capstone!Q27</f>
        <v>4</v>
      </c>
      <c r="BT26" s="140">
        <f>Capstone!W27</f>
        <v>4</v>
      </c>
      <c r="BU26" s="140">
        <f>Capstone!AC27</f>
        <v>4</v>
      </c>
      <c r="BV26" s="140">
        <f>Capstone!AI27</f>
        <v>4</v>
      </c>
      <c r="BW26" s="140">
        <f>Capstone!AO27</f>
        <v>4</v>
      </c>
      <c r="BX26" s="140">
        <f>Capstone!AU27</f>
        <v>4</v>
      </c>
      <c r="BY26" s="138"/>
      <c r="BZ26" s="140"/>
      <c r="CA2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1.9000000000000001</v>
      </c>
      <c r="CB26" s="140">
        <f>IFERROR(AVERAGE(Table110461117[[#This Row],[Column31]],Table110461117[[#This Row],[Column13]],Table110461117[[#This Row],[Column4]],Table110461117[[#This Row],[Column22]],),"A")</f>
        <v>0.86666666666666681</v>
      </c>
      <c r="CC26" s="140">
        <f>IFERROR(AVERAGE(Table110461117[[#This Row],[Column5]],Table110461117[[#This Row],[Column14]],Table110461117[[#This Row],[Column23]],Table110461117[[#This Row],[Column32]]),"A")</f>
        <v>1</v>
      </c>
      <c r="CD26" s="140">
        <f>IFERROR(AVERAGE(Table110461117[[#This Row],[Column6]],Table110461117[[#This Row],[Column15]],Table110461117[[#This Row],[Column24]],Table110461117[[#This Row],[Column33]]),"A")</f>
        <v>0.75</v>
      </c>
      <c r="CE26" s="140"/>
      <c r="CF26" s="140">
        <f>IFERROR(AVERAGE(Table110461117[[#This Row],[Column26]],Table110461117[[#This Row],[Column35]],Table110461117[[#This Row],[Column17]],Table110461117[[#This Row],[Column8]]),"A")</f>
        <v>1</v>
      </c>
      <c r="CG26" s="138"/>
      <c r="CH26" s="140">
        <f>IFERROR(AVERAGE('Review 1'!AX26,'Review 2'!AX26,'Review 3'!AX26,'Review 4'!AX26,'Reflection -1 '!AX26,'Reflection -2'!AX26,'Reflection -3'!AX26,'Reflection -4'!AX26),"A")</f>
        <v>1.75</v>
      </c>
      <c r="CI26" s="140">
        <f>IFERROR(AVERAGE('Review 1'!AY26,'Review 2'!AY26,'Review 3'!AY26,'Review 4'!AY26,'Reflection -1 '!AY26,'Reflection -2'!AY26,'Reflection -3'!AY26,'Reflection -4'!AY26,Capstone!AY27),"A")</f>
        <v>0.88888888888888884</v>
      </c>
      <c r="CJ26" s="140">
        <f>IFERROR(AVERAGE('Review 1'!AZ26,'Review 2'!AZ26,'Review 3'!AZ26,'Review 4'!AZ26,'Reflection -1 '!AZ26,'Reflection -2'!AZ26,'Reflection -3'!AZ26,'Reflection -4'!AZ26),"A")</f>
        <v>1</v>
      </c>
    </row>
    <row r="27" spans="1:88" s="122" customFormat="1" ht="23.1" customHeight="1" x14ac:dyDescent="0.3">
      <c r="A27" s="137">
        <v>25</v>
      </c>
      <c r="B27" s="62" t="s">
        <v>241</v>
      </c>
      <c r="C27" s="62" t="s">
        <v>242</v>
      </c>
      <c r="D27" s="62" t="s">
        <v>450</v>
      </c>
      <c r="E27" s="62" t="s">
        <v>161</v>
      </c>
      <c r="F27" s="139"/>
      <c r="G27" s="139">
        <f>'Review 1'!Q27</f>
        <v>3</v>
      </c>
      <c r="H27" s="139">
        <f>'Review 1'!W27</f>
        <v>3</v>
      </c>
      <c r="I27" s="139">
        <f>'Review 1'!AC27</f>
        <v>3</v>
      </c>
      <c r="J27" s="139">
        <f>'Review 1'!AI27</f>
        <v>3</v>
      </c>
      <c r="K27" s="139"/>
      <c r="L27" s="139">
        <f>'Review 1'!AU27</f>
        <v>3</v>
      </c>
      <c r="M27" s="138"/>
      <c r="N27" s="139"/>
      <c r="O27" s="139">
        <f>'Review 2'!Q27</f>
        <v>3</v>
      </c>
      <c r="P27" s="139">
        <f>'Review 2'!W27</f>
        <v>3</v>
      </c>
      <c r="Q27" s="139">
        <f>'Review 2'!AC27</f>
        <v>3</v>
      </c>
      <c r="R27" s="139">
        <f>'Review 2'!AI27</f>
        <v>3</v>
      </c>
      <c r="S27" s="139"/>
      <c r="T27" s="139">
        <f>'Review 2'!AU27</f>
        <v>3</v>
      </c>
      <c r="U27" s="138"/>
      <c r="V27" s="62"/>
      <c r="W27" s="139">
        <f>'Review 3'!Q27</f>
        <v>2</v>
      </c>
      <c r="X27" s="139">
        <f>'Review 3'!W27</f>
        <v>1.3333333333333333</v>
      </c>
      <c r="Y27" s="139">
        <f>'Review 3'!AC27</f>
        <v>3</v>
      </c>
      <c r="Z27" s="139">
        <f>'Review 3'!AI27</f>
        <v>2</v>
      </c>
      <c r="AA27" s="62"/>
      <c r="AB27" s="139">
        <f>'Review 3'!AU27</f>
        <v>2</v>
      </c>
      <c r="AC27" s="138"/>
      <c r="AD27" s="62"/>
      <c r="AE27" s="139">
        <f>'Review 4'!Q27</f>
        <v>3.4</v>
      </c>
      <c r="AF27" s="139">
        <f>'Review 4'!W27</f>
        <v>4.333333333333333</v>
      </c>
      <c r="AG27" s="139">
        <f>'Review 4'!AC27</f>
        <v>4</v>
      </c>
      <c r="AH27" s="139">
        <f>'Review 4'!AI27</f>
        <v>5</v>
      </c>
      <c r="AI27" s="139"/>
      <c r="AJ27" s="139">
        <f>'Review 4'!AU27</f>
        <v>5</v>
      </c>
      <c r="AK27" s="138"/>
      <c r="AL27" s="62"/>
      <c r="AM27" s="139">
        <f>'Reflection -1 '!Q27</f>
        <v>2.6666666666666665</v>
      </c>
      <c r="AN27" s="62"/>
      <c r="AO27" s="62"/>
      <c r="AP27" s="62"/>
      <c r="AQ27" s="62"/>
      <c r="AR27" s="62"/>
      <c r="AS27" s="138"/>
      <c r="AT27" s="62"/>
      <c r="AU27" s="139">
        <f>'Reflection -2'!Q27</f>
        <v>3.3333333333333335</v>
      </c>
      <c r="AV27" s="62"/>
      <c r="AW27" s="62"/>
      <c r="AX27" s="62"/>
      <c r="AY27" s="139"/>
      <c r="AZ27" s="62"/>
      <c r="BA27" s="138"/>
      <c r="BB27" s="139"/>
      <c r="BC27" s="139">
        <f>'Reflection -3'!Q27</f>
        <v>2.6666666666666665</v>
      </c>
      <c r="BD27" s="139"/>
      <c r="BE27" s="139"/>
      <c r="BF27" s="139"/>
      <c r="BG27" s="139"/>
      <c r="BH27" s="139"/>
      <c r="BI27" s="138"/>
      <c r="BJ27" s="139"/>
      <c r="BK27" s="139">
        <f>'Reflection -3'!Q27</f>
        <v>2.6666666666666665</v>
      </c>
      <c r="BL27" s="62"/>
      <c r="BM27" s="139"/>
      <c r="BN27" s="62"/>
      <c r="BO27" s="139"/>
      <c r="BP27" s="139"/>
      <c r="BQ27" s="138"/>
      <c r="BR27" s="139"/>
      <c r="BS27" s="139">
        <f>Capstone!Q28</f>
        <v>4</v>
      </c>
      <c r="BT27" s="139">
        <f>Capstone!W28</f>
        <v>3</v>
      </c>
      <c r="BU27" s="139">
        <f>Capstone!AC28</f>
        <v>3</v>
      </c>
      <c r="BV27" s="139">
        <f>Capstone!AI28</f>
        <v>0</v>
      </c>
      <c r="BW27" s="139">
        <f>Capstone!AO28</f>
        <v>3.5</v>
      </c>
      <c r="BX27" s="139">
        <f>Capstone!AU28</f>
        <v>3.5</v>
      </c>
      <c r="BY27" s="138"/>
      <c r="BZ27" s="139"/>
      <c r="CA2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2.8416666666666663</v>
      </c>
      <c r="CB27" s="139">
        <f>IFERROR(AVERAGE(Table110461117[[#This Row],[Column31]],Table110461117[[#This Row],[Column13]],Table110461117[[#This Row],[Column4]],Table110461117[[#This Row],[Column22]],),"A")</f>
        <v>2.333333333333333</v>
      </c>
      <c r="CC27" s="139">
        <f>IFERROR(AVERAGE(Table110461117[[#This Row],[Column5]],Table110461117[[#This Row],[Column14]],Table110461117[[#This Row],[Column23]],Table110461117[[#This Row],[Column32]]),"A")</f>
        <v>3.25</v>
      </c>
      <c r="CD27" s="139">
        <f>IFERROR(AVERAGE(Table110461117[[#This Row],[Column6]],Table110461117[[#This Row],[Column15]],Table110461117[[#This Row],[Column24]],Table110461117[[#This Row],[Column33]]),"A")</f>
        <v>3.25</v>
      </c>
      <c r="CE27" s="139"/>
      <c r="CF27" s="139">
        <f>IFERROR(AVERAGE(Table110461117[[#This Row],[Column26]],Table110461117[[#This Row],[Column35]],Table110461117[[#This Row],[Column17]],Table110461117[[#This Row],[Column8]]),"A")</f>
        <v>3.25</v>
      </c>
      <c r="CG27" s="138"/>
      <c r="CH27" s="139">
        <f>IFERROR(AVERAGE('Review 1'!AX27,'Review 2'!AX27,'Review 3'!AX27,'Review 4'!AX27,'Reflection -1 '!AX27,'Reflection -2'!AX27,'Reflection -3'!AX27,'Reflection -4'!AX27),"A")</f>
        <v>4.125</v>
      </c>
      <c r="CI27" s="139">
        <f>IFERROR(AVERAGE('Review 1'!AY27,'Review 2'!AY27,'Review 3'!AY27,'Review 4'!AY27,'Reflection -1 '!AY27,'Reflection -2'!AY27,'Reflection -3'!AY27,'Reflection -4'!AY27,Capstone!AY28),"A")</f>
        <v>1.5555555555555556</v>
      </c>
      <c r="CJ27" s="139">
        <f>IFERROR(AVERAGE('Review 1'!AZ27,'Review 2'!AZ27,'Review 3'!AZ27,'Review 4'!AZ27,'Reflection -1 '!AZ27,'Reflection -2'!AZ27,'Reflection -3'!AZ27,'Reflection -4'!AZ27),"A")</f>
        <v>3</v>
      </c>
    </row>
    <row r="28" spans="1:88" s="122" customFormat="1" ht="23.1" customHeight="1" x14ac:dyDescent="0.3">
      <c r="A28" s="6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140"/>
      <c r="G28" s="140">
        <f>'Review 1'!Q28</f>
        <v>2.6</v>
      </c>
      <c r="H28" s="140">
        <f>'Review 1'!W28</f>
        <v>4</v>
      </c>
      <c r="I28" s="140">
        <f>'Review 1'!AC28</f>
        <v>3</v>
      </c>
      <c r="J28" s="140">
        <f>'Review 1'!AI28</f>
        <v>3</v>
      </c>
      <c r="K28" s="140"/>
      <c r="L28" s="140">
        <f>'Review 1'!AU28</f>
        <v>3</v>
      </c>
      <c r="M28" s="138"/>
      <c r="N28" s="140"/>
      <c r="O28" s="140">
        <f>'Review 2'!Q28</f>
        <v>2.2000000000000002</v>
      </c>
      <c r="P28" s="140">
        <f>'Review 2'!W28</f>
        <v>2</v>
      </c>
      <c r="Q28" s="140">
        <f>'Review 2'!AC28</f>
        <v>2</v>
      </c>
      <c r="R28" s="140">
        <f>'Review 2'!AI28</f>
        <v>1</v>
      </c>
      <c r="S28" s="140"/>
      <c r="T28" s="140">
        <f>'Review 2'!AU28</f>
        <v>2</v>
      </c>
      <c r="U28" s="138"/>
      <c r="V28" s="7"/>
      <c r="W28" s="140">
        <f>'Review 3'!Q28</f>
        <v>2.2000000000000002</v>
      </c>
      <c r="X28" s="140">
        <f>'Review 3'!W28</f>
        <v>2</v>
      </c>
      <c r="Y28" s="140">
        <f>'Review 3'!AC28</f>
        <v>2</v>
      </c>
      <c r="Z28" s="140">
        <f>'Review 3'!AI28</f>
        <v>2</v>
      </c>
      <c r="AA28" s="7"/>
      <c r="AB28" s="140">
        <f>'Review 3'!AU28</f>
        <v>2</v>
      </c>
      <c r="AC28" s="138"/>
      <c r="AD28" s="7"/>
      <c r="AE28" s="140">
        <f>'Review 4'!Q28</f>
        <v>2</v>
      </c>
      <c r="AF28" s="140">
        <f>'Review 4'!W28</f>
        <v>3</v>
      </c>
      <c r="AG28" s="140">
        <f>'Review 4'!AC28</f>
        <v>2.5</v>
      </c>
      <c r="AH28" s="140">
        <f>'Review 4'!AI28</f>
        <v>3</v>
      </c>
      <c r="AI28" s="140"/>
      <c r="AJ28" s="140">
        <f>'Review 4'!AU28</f>
        <v>4</v>
      </c>
      <c r="AK28" s="138"/>
      <c r="AL28" s="7"/>
      <c r="AM28" s="140">
        <f>'Reflection -1 '!Q28</f>
        <v>3</v>
      </c>
      <c r="AN28" s="7"/>
      <c r="AO28" s="7"/>
      <c r="AP28" s="7"/>
      <c r="AQ28" s="7"/>
      <c r="AR28" s="7"/>
      <c r="AS28" s="138"/>
      <c r="AT28" s="7"/>
      <c r="AU28" s="140">
        <f>'Reflection -2'!Q28</f>
        <v>3.6666666666666665</v>
      </c>
      <c r="AV28" s="7"/>
      <c r="AW28" s="7"/>
      <c r="AX28" s="7"/>
      <c r="AY28" s="140"/>
      <c r="AZ28" s="7"/>
      <c r="BA28" s="138"/>
      <c r="BB28" s="140"/>
      <c r="BC28" s="140">
        <f>'Reflection -3'!Q28</f>
        <v>3</v>
      </c>
      <c r="BD28" s="140"/>
      <c r="BE28" s="140"/>
      <c r="BF28" s="140"/>
      <c r="BG28" s="140"/>
      <c r="BH28" s="140"/>
      <c r="BI28" s="138"/>
      <c r="BJ28" s="140"/>
      <c r="BK28" s="140">
        <f>'Reflection -3'!Q28</f>
        <v>3</v>
      </c>
      <c r="BL28" s="7"/>
      <c r="BM28" s="140"/>
      <c r="BN28" s="7"/>
      <c r="BO28" s="140"/>
      <c r="BP28" s="140"/>
      <c r="BQ28" s="138"/>
      <c r="BR28" s="140"/>
      <c r="BS28" s="140">
        <f>Capstone!Q29</f>
        <v>3.6666666666666665</v>
      </c>
      <c r="BT28" s="140">
        <f>Capstone!W29</f>
        <v>4</v>
      </c>
      <c r="BU28" s="140">
        <f>Capstone!AC29</f>
        <v>4</v>
      </c>
      <c r="BV28" s="140">
        <f>Capstone!AI29</f>
        <v>4</v>
      </c>
      <c r="BW28" s="140">
        <f>Capstone!AO29</f>
        <v>3</v>
      </c>
      <c r="BX28" s="140">
        <f>Capstone!AU29</f>
        <v>4</v>
      </c>
      <c r="BY28" s="138"/>
      <c r="BZ28" s="140"/>
      <c r="CA2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2.708333333333333</v>
      </c>
      <c r="CB28" s="140">
        <f>IFERROR(AVERAGE(Table110461117[[#This Row],[Column31]],Table110461117[[#This Row],[Column13]],Table110461117[[#This Row],[Column4]],Table110461117[[#This Row],[Column22]],),"A")</f>
        <v>2.2000000000000002</v>
      </c>
      <c r="CC28" s="140">
        <f>IFERROR(AVERAGE(Table110461117[[#This Row],[Column5]],Table110461117[[#This Row],[Column14]],Table110461117[[#This Row],[Column23]],Table110461117[[#This Row],[Column32]]),"A")</f>
        <v>2.375</v>
      </c>
      <c r="CD28" s="140">
        <f>IFERROR(AVERAGE(Table110461117[[#This Row],[Column6]],Table110461117[[#This Row],[Column15]],Table110461117[[#This Row],[Column24]],Table110461117[[#This Row],[Column33]]),"A")</f>
        <v>2.25</v>
      </c>
      <c r="CE28" s="140"/>
      <c r="CF28" s="140">
        <f>IFERROR(AVERAGE(Table110461117[[#This Row],[Column26]],Table110461117[[#This Row],[Column35]],Table110461117[[#This Row],[Column17]],Table110461117[[#This Row],[Column8]]),"A")</f>
        <v>2.75</v>
      </c>
      <c r="CG28" s="138"/>
      <c r="CH28" s="140">
        <f>IFERROR(AVERAGE('Review 1'!AX28,'Review 2'!AX28,'Review 3'!AX28,'Review 4'!AX28,'Reflection -1 '!AX28,'Reflection -2'!AX28,'Reflection -3'!AX28,'Reflection -4'!AX28),"A")</f>
        <v>3.25</v>
      </c>
      <c r="CI28" s="140">
        <f>IFERROR(AVERAGE('Review 1'!AY28,'Review 2'!AY28,'Review 3'!AY28,'Review 4'!AY28,'Reflection -1 '!AY28,'Reflection -2'!AY28,'Reflection -3'!AY28,'Reflection -4'!AY28,Capstone!AY29),"A")</f>
        <v>2.6666666666666665</v>
      </c>
      <c r="CJ28" s="140">
        <f>IFERROR(AVERAGE('Review 1'!AZ28,'Review 2'!AZ28,'Review 3'!AZ28,'Review 4'!AZ28,'Reflection -1 '!AZ28,'Reflection -2'!AZ28,'Reflection -3'!AZ28,'Reflection -4'!AZ28),"A")</f>
        <v>3</v>
      </c>
    </row>
    <row r="29" spans="1:88" s="122" customFormat="1" ht="23.1" customHeight="1" x14ac:dyDescent="0.3">
      <c r="A29" s="137">
        <v>27</v>
      </c>
      <c r="B29" s="62" t="s">
        <v>257</v>
      </c>
      <c r="C29" s="62" t="s">
        <v>258</v>
      </c>
      <c r="D29" s="62" t="s">
        <v>450</v>
      </c>
      <c r="E29" s="62" t="s">
        <v>161</v>
      </c>
      <c r="F29" s="139"/>
      <c r="G29" s="139">
        <f>'Review 1'!Q29</f>
        <v>3.2</v>
      </c>
      <c r="H29" s="139">
        <f>'Review 1'!W29</f>
        <v>3.3333333333333335</v>
      </c>
      <c r="I29" s="139">
        <f>'Review 1'!AC29</f>
        <v>3</v>
      </c>
      <c r="J29" s="139">
        <f>'Review 1'!AI29</f>
        <v>3</v>
      </c>
      <c r="K29" s="139"/>
      <c r="L29" s="139">
        <f>'Review 1'!AU29</f>
        <v>3</v>
      </c>
      <c r="M29" s="138"/>
      <c r="N29" s="139"/>
      <c r="O29" s="139">
        <f>'Review 2'!Q29</f>
        <v>3</v>
      </c>
      <c r="P29" s="139">
        <f>'Review 2'!W29</f>
        <v>3.3333333333333335</v>
      </c>
      <c r="Q29" s="139">
        <f>'Review 2'!AC29</f>
        <v>3.5</v>
      </c>
      <c r="R29" s="139">
        <f>'Review 2'!AI29</f>
        <v>3</v>
      </c>
      <c r="S29" s="139"/>
      <c r="T29" s="139">
        <f>'Review 2'!AU29</f>
        <v>3</v>
      </c>
      <c r="U29" s="138"/>
      <c r="V29" s="62"/>
      <c r="W29" s="139">
        <f>'Review 3'!Q29</f>
        <v>1.2</v>
      </c>
      <c r="X29" s="139">
        <f>'Review 3'!W29</f>
        <v>2.3333333333333335</v>
      </c>
      <c r="Y29" s="139">
        <f>'Review 3'!AC29</f>
        <v>3.5</v>
      </c>
      <c r="Z29" s="139">
        <f>'Review 3'!AI29</f>
        <v>2</v>
      </c>
      <c r="AA29" s="62"/>
      <c r="AB29" s="139">
        <f>'Review 3'!AU29</f>
        <v>2.6666666666666665</v>
      </c>
      <c r="AC29" s="138"/>
      <c r="AD29" s="62"/>
      <c r="AE29" s="139">
        <f>'Review 4'!Q29</f>
        <v>3.8</v>
      </c>
      <c r="AF29" s="139">
        <f>'Review 4'!W29</f>
        <v>2</v>
      </c>
      <c r="AG29" s="139">
        <f>'Review 4'!AC29</f>
        <v>2</v>
      </c>
      <c r="AH29" s="139">
        <f>'Review 4'!AI29</f>
        <v>1</v>
      </c>
      <c r="AI29" s="139"/>
      <c r="AJ29" s="139">
        <f>'Review 4'!AU29</f>
        <v>1.6666666666666667</v>
      </c>
      <c r="AK29" s="138"/>
      <c r="AL29" s="62"/>
      <c r="AM29" s="139">
        <f>'Reflection -1 '!Q29</f>
        <v>2.3333333333333335</v>
      </c>
      <c r="AN29" s="62"/>
      <c r="AO29" s="62"/>
      <c r="AP29" s="62"/>
      <c r="AQ29" s="62"/>
      <c r="AR29" s="62"/>
      <c r="AS29" s="138"/>
      <c r="AT29" s="62"/>
      <c r="AU29" s="139">
        <f>'Reflection -2'!Q29</f>
        <v>2.6666666666666665</v>
      </c>
      <c r="AV29" s="62"/>
      <c r="AW29" s="62"/>
      <c r="AX29" s="62"/>
      <c r="AY29" s="139"/>
      <c r="AZ29" s="62"/>
      <c r="BA29" s="138"/>
      <c r="BB29" s="139"/>
      <c r="BC29" s="139">
        <f>'Reflection -3'!Q29</f>
        <v>0</v>
      </c>
      <c r="BD29" s="139"/>
      <c r="BE29" s="139"/>
      <c r="BF29" s="139"/>
      <c r="BG29" s="139"/>
      <c r="BH29" s="139"/>
      <c r="BI29" s="138"/>
      <c r="BJ29" s="139"/>
      <c r="BK29" s="139">
        <f>'Reflection -3'!Q29</f>
        <v>0</v>
      </c>
      <c r="BL29" s="62"/>
      <c r="BM29" s="139"/>
      <c r="BN29" s="62"/>
      <c r="BO29" s="139"/>
      <c r="BP29" s="139"/>
      <c r="BQ29" s="138"/>
      <c r="BR29" s="139"/>
      <c r="BS29" s="139">
        <f>Capstone!Q30</f>
        <v>4</v>
      </c>
      <c r="BT29" s="139">
        <f>Capstone!W30</f>
        <v>4.5</v>
      </c>
      <c r="BU29" s="139">
        <f>Capstone!AC30</f>
        <v>4.5</v>
      </c>
      <c r="BV29" s="139">
        <f>Capstone!AI30</f>
        <v>5</v>
      </c>
      <c r="BW29" s="139">
        <f>Capstone!AO30</f>
        <v>4</v>
      </c>
      <c r="BX29" s="139">
        <f>Capstone!AU30</f>
        <v>4</v>
      </c>
      <c r="BY29" s="138"/>
      <c r="BZ29" s="139"/>
      <c r="CA2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2.0249999999999999</v>
      </c>
      <c r="CB29" s="139">
        <f>IFERROR(AVERAGE(Table110461117[[#This Row],[Column31]],Table110461117[[#This Row],[Column13]],Table110461117[[#This Row],[Column4]],Table110461117[[#This Row],[Column22]],),"A")</f>
        <v>2.2000000000000002</v>
      </c>
      <c r="CC29" s="139">
        <f>IFERROR(AVERAGE(Table110461117[[#This Row],[Column5]],Table110461117[[#This Row],[Column14]],Table110461117[[#This Row],[Column23]],Table110461117[[#This Row],[Column32]]),"A")</f>
        <v>3</v>
      </c>
      <c r="CD29" s="139">
        <f>IFERROR(AVERAGE(Table110461117[[#This Row],[Column6]],Table110461117[[#This Row],[Column15]],Table110461117[[#This Row],[Column24]],Table110461117[[#This Row],[Column33]]),"A")</f>
        <v>2.25</v>
      </c>
      <c r="CE29" s="139"/>
      <c r="CF29" s="139">
        <f>IFERROR(AVERAGE(Table110461117[[#This Row],[Column26]],Table110461117[[#This Row],[Column35]],Table110461117[[#This Row],[Column17]],Table110461117[[#This Row],[Column8]]),"A")</f>
        <v>2.583333333333333</v>
      </c>
      <c r="CG29" s="138"/>
      <c r="CH29" s="139">
        <f>IFERROR(AVERAGE('Review 1'!AX29,'Review 2'!AX29,'Review 3'!AX29,'Review 4'!AX29,'Reflection -1 '!AX29,'Reflection -2'!AX29,'Reflection -3'!AX29,'Reflection -4'!AX29),"A")</f>
        <v>2.625</v>
      </c>
      <c r="CI29" s="139">
        <f>IFERROR(AVERAGE('Review 1'!AY29,'Review 2'!AY29,'Review 3'!AY29,'Review 4'!AY29,'Reflection -1 '!AY29,'Reflection -2'!AY29,'Reflection -3'!AY29,'Reflection -4'!AY29,Capstone!AY30),"A")</f>
        <v>1.3333333333333333</v>
      </c>
      <c r="CJ29" s="139">
        <f>IFERROR(AVERAGE('Review 1'!AZ29,'Review 2'!AZ29,'Review 3'!AZ29,'Review 4'!AZ29,'Reflection -1 '!AZ29,'Reflection -2'!AZ29,'Reflection -3'!AZ29,'Reflection -4'!AZ29),"A")</f>
        <v>1.625</v>
      </c>
    </row>
    <row r="30" spans="1:88" s="122" customFormat="1" ht="23.1" customHeight="1" x14ac:dyDescent="0.3">
      <c r="A30" s="6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140"/>
      <c r="G30" s="140">
        <f>'Review 1'!Q30</f>
        <v>0</v>
      </c>
      <c r="H30" s="140">
        <f>'Review 1'!W30</f>
        <v>0</v>
      </c>
      <c r="I30" s="140">
        <f>'Review 1'!AC30</f>
        <v>0</v>
      </c>
      <c r="J30" s="140">
        <f>'Review 1'!AI30</f>
        <v>0</v>
      </c>
      <c r="K30" s="140"/>
      <c r="L30" s="140">
        <f>'Review 1'!AU30</f>
        <v>0</v>
      </c>
      <c r="M30" s="138"/>
      <c r="N30" s="140"/>
      <c r="O30" s="140">
        <f>'Review 2'!Q30</f>
        <v>1</v>
      </c>
      <c r="P30" s="140">
        <f>'Review 2'!W30</f>
        <v>1</v>
      </c>
      <c r="Q30" s="140">
        <f>'Review 2'!AC30</f>
        <v>1</v>
      </c>
      <c r="R30" s="140">
        <f>'Review 2'!AI30</f>
        <v>1</v>
      </c>
      <c r="S30" s="140"/>
      <c r="T30" s="140">
        <f>'Review 2'!AU30</f>
        <v>1</v>
      </c>
      <c r="U30" s="138"/>
      <c r="V30" s="7"/>
      <c r="W30" s="140">
        <f>'Review 3'!Q30</f>
        <v>1.4</v>
      </c>
      <c r="X30" s="140">
        <f>'Review 3'!W30</f>
        <v>0</v>
      </c>
      <c r="Y30" s="140">
        <f>'Review 3'!AC30</f>
        <v>0</v>
      </c>
      <c r="Z30" s="140">
        <f>'Review 3'!AI30</f>
        <v>0</v>
      </c>
      <c r="AA30" s="7"/>
      <c r="AB30" s="140">
        <f>'Review 3'!AU30</f>
        <v>0</v>
      </c>
      <c r="AC30" s="138"/>
      <c r="AD30" s="7"/>
      <c r="AE30" s="140">
        <f>'Review 4'!Q30</f>
        <v>2.2000000000000002</v>
      </c>
      <c r="AF30" s="140">
        <f>'Review 4'!W30</f>
        <v>3.3333333333333335</v>
      </c>
      <c r="AG30" s="140">
        <f>'Review 4'!AC30</f>
        <v>2</v>
      </c>
      <c r="AH30" s="140">
        <f>'Review 4'!AI30</f>
        <v>0.5</v>
      </c>
      <c r="AI30" s="140"/>
      <c r="AJ30" s="140">
        <f>'Review 4'!AU30</f>
        <v>3</v>
      </c>
      <c r="AK30" s="138"/>
      <c r="AL30" s="7"/>
      <c r="AM30" s="140">
        <f>'Reflection -1 '!Q30</f>
        <v>2.3333333333333335</v>
      </c>
      <c r="AN30" s="7"/>
      <c r="AO30" s="7"/>
      <c r="AP30" s="7"/>
      <c r="AQ30" s="7"/>
      <c r="AR30" s="7"/>
      <c r="AS30" s="138"/>
      <c r="AT30" s="7"/>
      <c r="AU30" s="140">
        <f>'Reflection -2'!Q30</f>
        <v>1</v>
      </c>
      <c r="AV30" s="7"/>
      <c r="AW30" s="7"/>
      <c r="AX30" s="7"/>
      <c r="AY30" s="140"/>
      <c r="AZ30" s="7"/>
      <c r="BA30" s="138"/>
      <c r="BB30" s="140"/>
      <c r="BC30" s="140">
        <f>'Reflection -3'!Q30</f>
        <v>1</v>
      </c>
      <c r="BD30" s="140"/>
      <c r="BE30" s="140"/>
      <c r="BF30" s="140"/>
      <c r="BG30" s="140"/>
      <c r="BH30" s="140"/>
      <c r="BI30" s="138"/>
      <c r="BJ30" s="140"/>
      <c r="BK30" s="140">
        <f>'Reflection -3'!Q30</f>
        <v>1</v>
      </c>
      <c r="BL30" s="7"/>
      <c r="BM30" s="140"/>
      <c r="BN30" s="7"/>
      <c r="BO30" s="140"/>
      <c r="BP30" s="140"/>
      <c r="BQ30" s="138"/>
      <c r="BR30" s="140"/>
      <c r="BS30" s="140">
        <f>Capstone!Q31</f>
        <v>3</v>
      </c>
      <c r="BT30" s="140">
        <f>Capstone!W31</f>
        <v>4</v>
      </c>
      <c r="BU30" s="140">
        <f>Capstone!AC31</f>
        <v>4</v>
      </c>
      <c r="BV30" s="140">
        <f>Capstone!AI31</f>
        <v>4</v>
      </c>
      <c r="BW30" s="140">
        <f>Capstone!AO31</f>
        <v>4</v>
      </c>
      <c r="BX30" s="140">
        <f>Capstone!AU31</f>
        <v>4</v>
      </c>
      <c r="BY30" s="138"/>
      <c r="BZ30" s="140"/>
      <c r="CA3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1.2416666666666667</v>
      </c>
      <c r="CB30" s="140">
        <f>IFERROR(AVERAGE(Table110461117[[#This Row],[Column31]],Table110461117[[#This Row],[Column13]],Table110461117[[#This Row],[Column4]],Table110461117[[#This Row],[Column22]],),"A")</f>
        <v>0.86666666666666681</v>
      </c>
      <c r="CC30" s="140">
        <f>IFERROR(AVERAGE(Table110461117[[#This Row],[Column5]],Table110461117[[#This Row],[Column14]],Table110461117[[#This Row],[Column23]],Table110461117[[#This Row],[Column32]]),"A")</f>
        <v>0.75</v>
      </c>
      <c r="CD30" s="140">
        <f>IFERROR(AVERAGE(Table110461117[[#This Row],[Column6]],Table110461117[[#This Row],[Column15]],Table110461117[[#This Row],[Column24]],Table110461117[[#This Row],[Column33]]),"A")</f>
        <v>0.375</v>
      </c>
      <c r="CE30" s="140"/>
      <c r="CF30" s="140">
        <f>IFERROR(AVERAGE(Table110461117[[#This Row],[Column26]],Table110461117[[#This Row],[Column35]],Table110461117[[#This Row],[Column17]],Table110461117[[#This Row],[Column8]]),"A")</f>
        <v>1</v>
      </c>
      <c r="CG30" s="138"/>
      <c r="CH30" s="140">
        <f>IFERROR(AVERAGE('Review 1'!AX30,'Review 2'!AX30,'Review 3'!AX30,'Review 4'!AX30,'Reflection -1 '!AX30,'Reflection -2'!AX30,'Reflection -3'!AX30,'Reflection -4'!AX30),"A")</f>
        <v>3</v>
      </c>
      <c r="CI30" s="140">
        <f>IFERROR(AVERAGE('Review 1'!AY30,'Review 2'!AY30,'Review 3'!AY30,'Review 4'!AY30,'Reflection -1 '!AY30,'Reflection -2'!AY30,'Reflection -3'!AY30,'Reflection -4'!AY30,Capstone!AY31),"A")</f>
        <v>0.66666666666666663</v>
      </c>
      <c r="CJ30" s="140">
        <f>IFERROR(AVERAGE('Review 1'!AZ30,'Review 2'!AZ30,'Review 3'!AZ30,'Review 4'!AZ30,'Reflection -1 '!AZ30,'Reflection -2'!AZ30,'Reflection -3'!AZ30,'Reflection -4'!AZ30),"A")</f>
        <v>0.875</v>
      </c>
    </row>
    <row r="31" spans="1:88" s="122" customFormat="1" ht="23.1" customHeight="1" x14ac:dyDescent="0.3">
      <c r="A31" s="137">
        <v>29</v>
      </c>
      <c r="B31" s="62" t="s">
        <v>300</v>
      </c>
      <c r="C31" s="62" t="s">
        <v>301</v>
      </c>
      <c r="D31" s="62" t="s">
        <v>450</v>
      </c>
      <c r="E31" s="62" t="s">
        <v>493</v>
      </c>
      <c r="F31" s="139"/>
      <c r="G31" s="139">
        <f>'Review 1'!Q31</f>
        <v>2.4</v>
      </c>
      <c r="H31" s="139">
        <f>'Review 1'!W31</f>
        <v>2.6666666666666665</v>
      </c>
      <c r="I31" s="139">
        <f>'Review 1'!AC31</f>
        <v>3</v>
      </c>
      <c r="J31" s="139">
        <f>'Review 1'!AI31</f>
        <v>3</v>
      </c>
      <c r="K31" s="139"/>
      <c r="L31" s="139">
        <f>'Review 1'!AU31</f>
        <v>3</v>
      </c>
      <c r="M31" s="138"/>
      <c r="N31" s="139"/>
      <c r="O31" s="139">
        <f>'Review 2'!Q31</f>
        <v>2.4</v>
      </c>
      <c r="P31" s="139">
        <f>'Review 2'!W31</f>
        <v>2</v>
      </c>
      <c r="Q31" s="139">
        <f>'Review 2'!AC31</f>
        <v>2</v>
      </c>
      <c r="R31" s="139">
        <f>'Review 2'!AI31</f>
        <v>1</v>
      </c>
      <c r="S31" s="139"/>
      <c r="T31" s="139">
        <f>'Review 2'!AU31</f>
        <v>2</v>
      </c>
      <c r="U31" s="138"/>
      <c r="V31" s="62"/>
      <c r="W31" s="139">
        <f>'Review 3'!Q31</f>
        <v>2.6</v>
      </c>
      <c r="X31" s="139">
        <f>'Review 3'!W31</f>
        <v>0</v>
      </c>
      <c r="Y31" s="139">
        <f>'Review 3'!AC31</f>
        <v>0</v>
      </c>
      <c r="Z31" s="139">
        <f>'Review 3'!AI31</f>
        <v>0</v>
      </c>
      <c r="AA31" s="62"/>
      <c r="AB31" s="139">
        <f>'Review 3'!AU31</f>
        <v>0</v>
      </c>
      <c r="AC31" s="138"/>
      <c r="AD31" s="62"/>
      <c r="AE31" s="139">
        <f>'Review 4'!Q31</f>
        <v>3</v>
      </c>
      <c r="AF31" s="139">
        <f>'Review 4'!W31</f>
        <v>2.3333333333333335</v>
      </c>
      <c r="AG31" s="139">
        <f>'Review 4'!AC31</f>
        <v>2.5</v>
      </c>
      <c r="AH31" s="139">
        <f>'Review 4'!AI31</f>
        <v>5</v>
      </c>
      <c r="AI31" s="139"/>
      <c r="AJ31" s="139">
        <f>'Review 4'!AU31</f>
        <v>4.333333333333333</v>
      </c>
      <c r="AK31" s="138"/>
      <c r="AL31" s="62"/>
      <c r="AM31" s="139">
        <f>'Reflection -1 '!Q31</f>
        <v>2.6666666666666665</v>
      </c>
      <c r="AN31" s="62"/>
      <c r="AO31" s="62"/>
      <c r="AP31" s="62"/>
      <c r="AQ31" s="62"/>
      <c r="AR31" s="62"/>
      <c r="AS31" s="138"/>
      <c r="AT31" s="62"/>
      <c r="AU31" s="139">
        <f>'Reflection -2'!Q31</f>
        <v>3.6666666666666665</v>
      </c>
      <c r="AV31" s="62"/>
      <c r="AW31" s="62"/>
      <c r="AX31" s="62"/>
      <c r="AY31" s="139"/>
      <c r="AZ31" s="62"/>
      <c r="BA31" s="138"/>
      <c r="BB31" s="139"/>
      <c r="BC31" s="139">
        <f>'Reflection -3'!Q31</f>
        <v>2</v>
      </c>
      <c r="BD31" s="139"/>
      <c r="BE31" s="139"/>
      <c r="BF31" s="139"/>
      <c r="BG31" s="139"/>
      <c r="BH31" s="139"/>
      <c r="BI31" s="138"/>
      <c r="BJ31" s="139"/>
      <c r="BK31" s="139">
        <f>'Reflection -3'!Q31</f>
        <v>2</v>
      </c>
      <c r="BL31" s="62"/>
      <c r="BM31" s="139"/>
      <c r="BN31" s="62"/>
      <c r="BO31" s="139"/>
      <c r="BP31" s="139"/>
      <c r="BQ31" s="138"/>
      <c r="BR31" s="139"/>
      <c r="BS31" s="139">
        <f>Capstone!Q32</f>
        <v>2.3333333333333335</v>
      </c>
      <c r="BT31" s="139">
        <f>Capstone!W32</f>
        <v>4</v>
      </c>
      <c r="BU31" s="139">
        <f>Capstone!AC32</f>
        <v>4</v>
      </c>
      <c r="BV31" s="139">
        <f>Capstone!AI32</f>
        <v>3</v>
      </c>
      <c r="BW31" s="139">
        <f>Capstone!AO32</f>
        <v>3</v>
      </c>
      <c r="BX31" s="139">
        <f>Capstone!AU32</f>
        <v>3</v>
      </c>
      <c r="BY31" s="138"/>
      <c r="BZ31" s="139"/>
      <c r="CA3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2.5916666666666668</v>
      </c>
      <c r="CB31" s="139">
        <f>IFERROR(AVERAGE(Table110461117[[#This Row],[Column31]],Table110461117[[#This Row],[Column13]],Table110461117[[#This Row],[Column4]],Table110461117[[#This Row],[Column22]],),"A")</f>
        <v>1.4</v>
      </c>
      <c r="CC31" s="139">
        <f>IFERROR(AVERAGE(Table110461117[[#This Row],[Column5]],Table110461117[[#This Row],[Column14]],Table110461117[[#This Row],[Column23]],Table110461117[[#This Row],[Column32]]),"A")</f>
        <v>1.875</v>
      </c>
      <c r="CD31" s="139">
        <f>IFERROR(AVERAGE(Table110461117[[#This Row],[Column6]],Table110461117[[#This Row],[Column15]],Table110461117[[#This Row],[Column24]],Table110461117[[#This Row],[Column33]]),"A")</f>
        <v>2.25</v>
      </c>
      <c r="CE31" s="139"/>
      <c r="CF31" s="139">
        <f>IFERROR(AVERAGE(Table110461117[[#This Row],[Column26]],Table110461117[[#This Row],[Column35]],Table110461117[[#This Row],[Column17]],Table110461117[[#This Row],[Column8]]),"A")</f>
        <v>2.333333333333333</v>
      </c>
      <c r="CG31" s="138"/>
      <c r="CH31" s="139">
        <f>IFERROR(AVERAGE('Review 1'!AX31,'Review 2'!AX31,'Review 3'!AX31,'Review 4'!AX31,'Reflection -1 '!AX31,'Reflection -2'!AX31,'Reflection -3'!AX31,'Reflection -4'!AX31),"A")</f>
        <v>3.375</v>
      </c>
      <c r="CI31" s="139">
        <f>IFERROR(AVERAGE('Review 1'!AY31,'Review 2'!AY31,'Review 3'!AY31,'Review 4'!AY31,'Reflection -1 '!AY31,'Reflection -2'!AY31,'Reflection -3'!AY31,'Reflection -4'!AY31,Capstone!AY32),"A")</f>
        <v>2.4444444444444446</v>
      </c>
      <c r="CJ31" s="139">
        <f>IFERROR(AVERAGE('Review 1'!AZ31,'Review 2'!AZ31,'Review 3'!AZ31,'Review 4'!AZ31,'Reflection -1 '!AZ31,'Reflection -2'!AZ31,'Reflection -3'!AZ31,'Reflection -4'!AZ31),"A")</f>
        <v>2.25</v>
      </c>
    </row>
    <row r="32" spans="1:88" s="122" customFormat="1" ht="23.1" customHeight="1" x14ac:dyDescent="0.3">
      <c r="A32" s="6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140"/>
      <c r="G32" s="140">
        <f>'Review 1'!Q32</f>
        <v>0</v>
      </c>
      <c r="H32" s="140">
        <f>'Review 1'!W32</f>
        <v>0</v>
      </c>
      <c r="I32" s="140">
        <f>'Review 1'!AC32</f>
        <v>0</v>
      </c>
      <c r="J32" s="140">
        <f>'Review 1'!AI32</f>
        <v>0</v>
      </c>
      <c r="K32" s="140"/>
      <c r="L32" s="140">
        <f>'Review 1'!AU32</f>
        <v>0</v>
      </c>
      <c r="M32" s="138"/>
      <c r="N32" s="140"/>
      <c r="O32" s="140">
        <f>'Review 2'!Q32</f>
        <v>2.4</v>
      </c>
      <c r="P32" s="140">
        <f>'Review 2'!W32</f>
        <v>1</v>
      </c>
      <c r="Q32" s="140">
        <f>'Review 2'!AC32</f>
        <v>1</v>
      </c>
      <c r="R32" s="140">
        <f>'Review 2'!AI32</f>
        <v>1</v>
      </c>
      <c r="S32" s="140"/>
      <c r="T32" s="140">
        <f>'Review 2'!AU32</f>
        <v>1</v>
      </c>
      <c r="U32" s="138"/>
      <c r="V32" s="7"/>
      <c r="W32" s="140">
        <f>'Review 3'!Q32</f>
        <v>1.4</v>
      </c>
      <c r="X32" s="140">
        <f>'Review 3'!W32</f>
        <v>0</v>
      </c>
      <c r="Y32" s="140">
        <f>'Review 3'!AC32</f>
        <v>0</v>
      </c>
      <c r="Z32" s="140">
        <f>'Review 3'!AI32</f>
        <v>0</v>
      </c>
      <c r="AA32" s="7"/>
      <c r="AB32" s="140">
        <f>'Review 3'!AU32</f>
        <v>0</v>
      </c>
      <c r="AC32" s="138"/>
      <c r="AD32" s="7"/>
      <c r="AE32" s="140">
        <f>'Review 4'!Q32</f>
        <v>2.8</v>
      </c>
      <c r="AF32" s="140">
        <f>'Review 4'!W32</f>
        <v>2</v>
      </c>
      <c r="AG32" s="140">
        <f>'Review 4'!AC32</f>
        <v>1</v>
      </c>
      <c r="AH32" s="140">
        <f>'Review 4'!AI32</f>
        <v>0.5</v>
      </c>
      <c r="AI32" s="140"/>
      <c r="AJ32" s="140">
        <f>'Review 4'!AU32</f>
        <v>1.6666666666666667</v>
      </c>
      <c r="AK32" s="138"/>
      <c r="AL32" s="7"/>
      <c r="AM32" s="140">
        <f>'Reflection -1 '!Q32</f>
        <v>3.3333333333333335</v>
      </c>
      <c r="AN32" s="7"/>
      <c r="AO32" s="7"/>
      <c r="AP32" s="7"/>
      <c r="AQ32" s="7"/>
      <c r="AR32" s="7"/>
      <c r="AS32" s="138"/>
      <c r="AT32" s="7"/>
      <c r="AU32" s="140">
        <f>'Reflection -2'!Q32</f>
        <v>2.3333333333333335</v>
      </c>
      <c r="AV32" s="7"/>
      <c r="AW32" s="7"/>
      <c r="AX32" s="7"/>
      <c r="AY32" s="140"/>
      <c r="AZ32" s="7"/>
      <c r="BA32" s="138"/>
      <c r="BB32" s="140"/>
      <c r="BC32" s="140">
        <f>'Reflection -3'!Q32</f>
        <v>0</v>
      </c>
      <c r="BD32" s="140"/>
      <c r="BE32" s="140"/>
      <c r="BF32" s="140"/>
      <c r="BG32" s="140"/>
      <c r="BH32" s="140"/>
      <c r="BI32" s="138"/>
      <c r="BJ32" s="140"/>
      <c r="BK32" s="140">
        <f>'Reflection -3'!Q32</f>
        <v>0</v>
      </c>
      <c r="BL32" s="7"/>
      <c r="BM32" s="140"/>
      <c r="BN32" s="7"/>
      <c r="BO32" s="140"/>
      <c r="BP32" s="140"/>
      <c r="BQ32" s="138"/>
      <c r="BR32" s="140"/>
      <c r="BS32" s="140">
        <f>Capstone!Q33</f>
        <v>3</v>
      </c>
      <c r="BT32" s="140">
        <f>Capstone!W33</f>
        <v>3</v>
      </c>
      <c r="BU32" s="140">
        <f>Capstone!AC33</f>
        <v>3</v>
      </c>
      <c r="BV32" s="140">
        <f>Capstone!AI33</f>
        <v>3</v>
      </c>
      <c r="BW32" s="140">
        <f>Capstone!AO33</f>
        <v>3</v>
      </c>
      <c r="BX32" s="140">
        <f>Capstone!AU33</f>
        <v>3</v>
      </c>
      <c r="BY32" s="138"/>
      <c r="BZ32" s="140"/>
      <c r="CA3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1.5333333333333334</v>
      </c>
      <c r="CB32" s="140">
        <f>IFERROR(AVERAGE(Table110461117[[#This Row],[Column31]],Table110461117[[#This Row],[Column13]],Table110461117[[#This Row],[Column4]],Table110461117[[#This Row],[Column22]],),"A")</f>
        <v>0.6</v>
      </c>
      <c r="CC32" s="140">
        <f>IFERROR(AVERAGE(Table110461117[[#This Row],[Column5]],Table110461117[[#This Row],[Column14]],Table110461117[[#This Row],[Column23]],Table110461117[[#This Row],[Column32]]),"A")</f>
        <v>0.5</v>
      </c>
      <c r="CD32" s="140">
        <f>IFERROR(AVERAGE(Table110461117[[#This Row],[Column6]],Table110461117[[#This Row],[Column15]],Table110461117[[#This Row],[Column24]],Table110461117[[#This Row],[Column33]]),"A")</f>
        <v>0.375</v>
      </c>
      <c r="CE32" s="140"/>
      <c r="CF32" s="140">
        <f>IFERROR(AVERAGE(Table110461117[[#This Row],[Column26]],Table110461117[[#This Row],[Column35]],Table110461117[[#This Row],[Column17]],Table110461117[[#This Row],[Column8]]),"A")</f>
        <v>0.66666666666666674</v>
      </c>
      <c r="CG32" s="138"/>
      <c r="CH32" s="140">
        <f>IFERROR(AVERAGE('Review 1'!AX32,'Review 2'!AX32,'Review 3'!AX32,'Review 4'!AX32,'Reflection -1 '!AX32,'Reflection -2'!AX32,'Reflection -3'!AX32,'Reflection -4'!AX32),"A")</f>
        <v>2.125</v>
      </c>
      <c r="CI32" s="140">
        <f>IFERROR(AVERAGE('Review 1'!AY32,'Review 2'!AY32,'Review 3'!AY32,'Review 4'!AY32,'Reflection -1 '!AY32,'Reflection -2'!AY32,'Reflection -3'!AY32,'Reflection -4'!AY32,Capstone!AY33),"A")</f>
        <v>0.55555555555555558</v>
      </c>
      <c r="CJ32" s="140">
        <f>IFERROR(AVERAGE('Review 1'!AZ32,'Review 2'!AZ32,'Review 3'!AZ32,'Review 4'!AZ32,'Reflection -1 '!AZ32,'Reflection -2'!AZ32,'Reflection -3'!AZ32,'Reflection -4'!AZ32),"A")</f>
        <v>1.125</v>
      </c>
    </row>
    <row r="33" spans="1:88" s="122" customFormat="1" ht="23.1" customHeight="1" x14ac:dyDescent="0.3">
      <c r="A33" s="137">
        <v>31</v>
      </c>
      <c r="B33" s="62" t="s">
        <v>110</v>
      </c>
      <c r="C33" s="62" t="s">
        <v>111</v>
      </c>
      <c r="D33" s="62" t="s">
        <v>450</v>
      </c>
      <c r="E33" s="62" t="s">
        <v>35</v>
      </c>
      <c r="F33" s="139"/>
      <c r="G33" s="139">
        <f>'Review 1'!Q33</f>
        <v>0</v>
      </c>
      <c r="H33" s="139">
        <f>'Review 1'!W33</f>
        <v>0</v>
      </c>
      <c r="I33" s="139">
        <f>'Review 1'!AC33</f>
        <v>0</v>
      </c>
      <c r="J33" s="139">
        <f>'Review 1'!AI33</f>
        <v>0</v>
      </c>
      <c r="K33" s="139"/>
      <c r="L33" s="139">
        <f>'Review 1'!AU33</f>
        <v>0</v>
      </c>
      <c r="M33" s="138"/>
      <c r="N33" s="139"/>
      <c r="O33" s="139">
        <f>'Review 2'!Q33</f>
        <v>0</v>
      </c>
      <c r="P33" s="139">
        <f>'Review 2'!W33</f>
        <v>0</v>
      </c>
      <c r="Q33" s="139">
        <f>'Review 2'!AC33</f>
        <v>0</v>
      </c>
      <c r="R33" s="139">
        <f>'Review 2'!AI33</f>
        <v>0</v>
      </c>
      <c r="S33" s="139"/>
      <c r="T33" s="139">
        <f>'Review 2'!AU33</f>
        <v>0</v>
      </c>
      <c r="U33" s="138"/>
      <c r="V33" s="62"/>
      <c r="W33" s="139">
        <f>'Review 3'!Q33</f>
        <v>0.6</v>
      </c>
      <c r="X33" s="139">
        <f>'Review 3'!W33</f>
        <v>0</v>
      </c>
      <c r="Y33" s="139">
        <f>'Review 3'!AC33</f>
        <v>0</v>
      </c>
      <c r="Z33" s="139">
        <f>'Review 3'!AI33</f>
        <v>0</v>
      </c>
      <c r="AA33" s="62"/>
      <c r="AB33" s="139">
        <f>'Review 3'!AU33</f>
        <v>0</v>
      </c>
      <c r="AC33" s="138"/>
      <c r="AD33" s="62"/>
      <c r="AE33" s="139">
        <f>'Review 4'!Q33</f>
        <v>0</v>
      </c>
      <c r="AF33" s="139">
        <f>'Review 4'!W33</f>
        <v>0</v>
      </c>
      <c r="AG33" s="139">
        <f>'Review 4'!AC33</f>
        <v>0</v>
      </c>
      <c r="AH33" s="139">
        <f>'Review 4'!AI33</f>
        <v>0</v>
      </c>
      <c r="AI33" s="139"/>
      <c r="AJ33" s="139">
        <f>'Review 4'!AU33</f>
        <v>0</v>
      </c>
      <c r="AK33" s="138"/>
      <c r="AL33" s="62"/>
      <c r="AM33" s="139">
        <f>'Reflection -1 '!Q33</f>
        <v>0</v>
      </c>
      <c r="AN33" s="62"/>
      <c r="AO33" s="62"/>
      <c r="AP33" s="62"/>
      <c r="AQ33" s="62"/>
      <c r="AR33" s="62"/>
      <c r="AS33" s="138"/>
      <c r="AT33" s="62"/>
      <c r="AU33" s="139">
        <f>'Reflection -2'!Q33</f>
        <v>0</v>
      </c>
      <c r="AV33" s="62"/>
      <c r="AW33" s="62"/>
      <c r="AX33" s="62"/>
      <c r="AY33" s="139"/>
      <c r="AZ33" s="62"/>
      <c r="BA33" s="138"/>
      <c r="BB33" s="139"/>
      <c r="BC33" s="139">
        <f>'Reflection -3'!Q33</f>
        <v>2.6666666666666665</v>
      </c>
      <c r="BD33" s="139"/>
      <c r="BE33" s="139"/>
      <c r="BF33" s="139"/>
      <c r="BG33" s="139"/>
      <c r="BH33" s="139"/>
      <c r="BI33" s="138"/>
      <c r="BJ33" s="139"/>
      <c r="BK33" s="139">
        <f>'Reflection -3'!Q33</f>
        <v>2.6666666666666665</v>
      </c>
      <c r="BL33" s="62"/>
      <c r="BM33" s="139"/>
      <c r="BN33" s="62"/>
      <c r="BO33" s="139"/>
      <c r="BP33" s="139"/>
      <c r="BQ33" s="138"/>
      <c r="BR33" s="139"/>
      <c r="BS33" s="139">
        <f>Capstone!Q34</f>
        <v>2</v>
      </c>
      <c r="BT33" s="139">
        <f>Capstone!W34</f>
        <v>3</v>
      </c>
      <c r="BU33" s="139">
        <f>Capstone!AC34</f>
        <v>3</v>
      </c>
      <c r="BV33" s="139">
        <f>Capstone!AI34</f>
        <v>3</v>
      </c>
      <c r="BW33" s="139">
        <f>Capstone!AO34</f>
        <v>2</v>
      </c>
      <c r="BX33" s="139">
        <f>Capstone!AU34</f>
        <v>4</v>
      </c>
      <c r="BY33" s="138"/>
      <c r="BZ33" s="139"/>
      <c r="CA3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0.74166666666666659</v>
      </c>
      <c r="CB33" s="139">
        <f>IFERROR(AVERAGE(Table110461117[[#This Row],[Column31]],Table110461117[[#This Row],[Column13]],Table110461117[[#This Row],[Column4]],Table110461117[[#This Row],[Column22]],),"A")</f>
        <v>0</v>
      </c>
      <c r="CC33" s="139">
        <f>IFERROR(AVERAGE(Table110461117[[#This Row],[Column5]],Table110461117[[#This Row],[Column14]],Table110461117[[#This Row],[Column23]],Table110461117[[#This Row],[Column32]]),"A")</f>
        <v>0</v>
      </c>
      <c r="CD33" s="139">
        <f>IFERROR(AVERAGE(Table110461117[[#This Row],[Column6]],Table110461117[[#This Row],[Column15]],Table110461117[[#This Row],[Column24]],Table110461117[[#This Row],[Column33]]),"A")</f>
        <v>0</v>
      </c>
      <c r="CE33" s="139"/>
      <c r="CF33" s="139">
        <f>IFERROR(AVERAGE(Table110461117[[#This Row],[Column26]],Table110461117[[#This Row],[Column35]],Table110461117[[#This Row],[Column17]],Table110461117[[#This Row],[Column8]]),"A")</f>
        <v>0</v>
      </c>
      <c r="CG33" s="138"/>
      <c r="CH33" s="139">
        <f>IFERROR(AVERAGE('Review 1'!AX33,'Review 2'!AX33,'Review 3'!AX33,'Review 4'!AX33,'Reflection -1 '!AX33,'Reflection -2'!AX33,'Reflection -3'!AX33,'Reflection -4'!AX33),"A")</f>
        <v>0.625</v>
      </c>
      <c r="CI33" s="139">
        <f>IFERROR(AVERAGE('Review 1'!AY33,'Review 2'!AY33,'Review 3'!AY33,'Review 4'!AY33,'Reflection -1 '!AY33,'Reflection -2'!AY33,'Reflection -3'!AY33,'Reflection -4'!AY33,Capstone!AY34),"A")</f>
        <v>0.44444444444444442</v>
      </c>
      <c r="CJ33" s="139">
        <f>IFERROR(AVERAGE('Review 1'!AZ33,'Review 2'!AZ33,'Review 3'!AZ33,'Review 4'!AZ33,'Reflection -1 '!AZ33,'Reflection -2'!AZ33,'Reflection -3'!AZ33,'Reflection -4'!AZ33),"A")</f>
        <v>0.25</v>
      </c>
    </row>
    <row r="34" spans="1:88" s="122" customFormat="1" ht="23.1" customHeight="1" x14ac:dyDescent="0.3">
      <c r="A34" s="6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140"/>
      <c r="G34" s="140">
        <f>'Review 1'!Q34</f>
        <v>2.8</v>
      </c>
      <c r="H34" s="140">
        <f>'Review 1'!W34</f>
        <v>2.6666666666666665</v>
      </c>
      <c r="I34" s="140">
        <f>'Review 1'!AC34</f>
        <v>3</v>
      </c>
      <c r="J34" s="140">
        <f>'Review 1'!AI34</f>
        <v>3</v>
      </c>
      <c r="K34" s="140"/>
      <c r="L34" s="140">
        <f>'Review 1'!AU34</f>
        <v>2.6666666666666665</v>
      </c>
      <c r="M34" s="138"/>
      <c r="N34" s="140"/>
      <c r="O34" s="140">
        <f>'Review 2'!Q34</f>
        <v>2.6</v>
      </c>
      <c r="P34" s="140">
        <f>'Review 2'!W34</f>
        <v>2.6666666666666665</v>
      </c>
      <c r="Q34" s="140">
        <f>'Review 2'!AC34</f>
        <v>2.5</v>
      </c>
      <c r="R34" s="140">
        <f>'Review 2'!AI34</f>
        <v>2.5</v>
      </c>
      <c r="S34" s="140"/>
      <c r="T34" s="140">
        <f>'Review 2'!AU34</f>
        <v>2.6666666666666665</v>
      </c>
      <c r="U34" s="138"/>
      <c r="V34" s="7"/>
      <c r="W34" s="140">
        <f>'Review 3'!Q34</f>
        <v>2</v>
      </c>
      <c r="X34" s="140">
        <f>'Review 3'!W34</f>
        <v>0.66666666666666663</v>
      </c>
      <c r="Y34" s="140">
        <f>'Review 3'!AC34</f>
        <v>2.5</v>
      </c>
      <c r="Z34" s="140">
        <f>'Review 3'!AI34</f>
        <v>0</v>
      </c>
      <c r="AA34" s="7"/>
      <c r="AB34" s="140">
        <f>'Review 3'!AU34</f>
        <v>0</v>
      </c>
      <c r="AC34" s="138"/>
      <c r="AD34" s="7"/>
      <c r="AE34" s="140">
        <f>'Review 4'!Q34</f>
        <v>2.4</v>
      </c>
      <c r="AF34" s="140">
        <f>'Review 4'!W34</f>
        <v>3</v>
      </c>
      <c r="AG34" s="140">
        <f>'Review 4'!AC34</f>
        <v>2</v>
      </c>
      <c r="AH34" s="140">
        <f>'Review 4'!AI34</f>
        <v>5</v>
      </c>
      <c r="AI34" s="140"/>
      <c r="AJ34" s="140">
        <f>'Review 4'!AU34</f>
        <v>1.6666666666666667</v>
      </c>
      <c r="AK34" s="138"/>
      <c r="AL34" s="7"/>
      <c r="AM34" s="140">
        <f>'Reflection -1 '!Q34</f>
        <v>3.6666666666666665</v>
      </c>
      <c r="AN34" s="7"/>
      <c r="AO34" s="7"/>
      <c r="AP34" s="7"/>
      <c r="AQ34" s="7"/>
      <c r="AR34" s="7"/>
      <c r="AS34" s="138"/>
      <c r="AT34" s="7"/>
      <c r="AU34" s="140">
        <f>'Reflection -2'!Q34</f>
        <v>3</v>
      </c>
      <c r="AV34" s="7"/>
      <c r="AW34" s="7"/>
      <c r="AX34" s="7"/>
      <c r="AY34" s="140"/>
      <c r="AZ34" s="7"/>
      <c r="BA34" s="138"/>
      <c r="BB34" s="140"/>
      <c r="BC34" s="140">
        <f>'Reflection -3'!Q34</f>
        <v>3</v>
      </c>
      <c r="BD34" s="140"/>
      <c r="BE34" s="140"/>
      <c r="BF34" s="140"/>
      <c r="BG34" s="140"/>
      <c r="BH34" s="140"/>
      <c r="BI34" s="138"/>
      <c r="BJ34" s="140"/>
      <c r="BK34" s="140">
        <f>'Reflection -3'!Q34</f>
        <v>3</v>
      </c>
      <c r="BL34" s="7"/>
      <c r="BM34" s="140"/>
      <c r="BN34" s="7"/>
      <c r="BO34" s="140"/>
      <c r="BP34" s="140"/>
      <c r="BQ34" s="138"/>
      <c r="BR34" s="140"/>
      <c r="BS34" s="140">
        <f>Capstone!Q35</f>
        <v>5</v>
      </c>
      <c r="BT34" s="140">
        <f>Capstone!W35</f>
        <v>4</v>
      </c>
      <c r="BU34" s="140">
        <f>Capstone!AC35</f>
        <v>4</v>
      </c>
      <c r="BV34" s="140">
        <f>Capstone!AI35</f>
        <v>3</v>
      </c>
      <c r="BW34" s="140">
        <f>Capstone!AO35</f>
        <v>5</v>
      </c>
      <c r="BX34" s="140">
        <f>Capstone!AU35</f>
        <v>5</v>
      </c>
      <c r="BY34" s="138"/>
      <c r="BZ34" s="140"/>
      <c r="CA3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2.8083333333333331</v>
      </c>
      <c r="CB34" s="140">
        <f>IFERROR(AVERAGE(Table110461117[[#This Row],[Column31]],Table110461117[[#This Row],[Column13]],Table110461117[[#This Row],[Column4]],Table110461117[[#This Row],[Column22]],),"A")</f>
        <v>1.7999999999999996</v>
      </c>
      <c r="CC34" s="140">
        <f>IFERROR(AVERAGE(Table110461117[[#This Row],[Column5]],Table110461117[[#This Row],[Column14]],Table110461117[[#This Row],[Column23]],Table110461117[[#This Row],[Column32]]),"A")</f>
        <v>2.5</v>
      </c>
      <c r="CD34" s="140">
        <f>IFERROR(AVERAGE(Table110461117[[#This Row],[Column6]],Table110461117[[#This Row],[Column15]],Table110461117[[#This Row],[Column24]],Table110461117[[#This Row],[Column33]]),"A")</f>
        <v>2.625</v>
      </c>
      <c r="CE34" s="140"/>
      <c r="CF34" s="140">
        <f>IFERROR(AVERAGE(Table110461117[[#This Row],[Column26]],Table110461117[[#This Row],[Column35]],Table110461117[[#This Row],[Column17]],Table110461117[[#This Row],[Column8]]),"A")</f>
        <v>1.75</v>
      </c>
      <c r="CG34" s="138"/>
      <c r="CH34" s="140">
        <f>IFERROR(AVERAGE('Review 1'!AX34,'Review 2'!AX34,'Review 3'!AX34,'Review 4'!AX34,'Reflection -1 '!AX34,'Reflection -2'!AX34,'Reflection -3'!AX34,'Reflection -4'!AX34),"A")</f>
        <v>3.625</v>
      </c>
      <c r="CI34" s="140">
        <f>IFERROR(AVERAGE('Review 1'!AY34,'Review 2'!AY34,'Review 3'!AY34,'Review 4'!AY34,'Reflection -1 '!AY34,'Reflection -2'!AY34,'Reflection -3'!AY34,'Reflection -4'!AY34,Capstone!AY35),"A")</f>
        <v>1.6666666666666667</v>
      </c>
      <c r="CJ34" s="140">
        <f>IFERROR(AVERAGE('Review 1'!AZ34,'Review 2'!AZ34,'Review 3'!AZ34,'Review 4'!AZ34,'Reflection -1 '!AZ34,'Reflection -2'!AZ34,'Reflection -3'!AZ34,'Reflection -4'!AZ34),"A")</f>
        <v>2.5</v>
      </c>
    </row>
    <row r="35" spans="1:88" s="122" customFormat="1" ht="23.1" customHeight="1" x14ac:dyDescent="0.3">
      <c r="A35" s="137">
        <v>33</v>
      </c>
      <c r="B35" s="62" t="s">
        <v>211</v>
      </c>
      <c r="C35" s="62" t="s">
        <v>212</v>
      </c>
      <c r="D35" s="62" t="s">
        <v>542</v>
      </c>
      <c r="E35" s="62" t="s">
        <v>161</v>
      </c>
      <c r="F35" s="139"/>
      <c r="G35" s="139">
        <f>'Review 1'!Q35</f>
        <v>3.2</v>
      </c>
      <c r="H35" s="139">
        <f>'Review 1'!W35</f>
        <v>3.3333333333333335</v>
      </c>
      <c r="I35" s="139">
        <f>'Review 1'!AC35</f>
        <v>3</v>
      </c>
      <c r="J35" s="139">
        <f>'Review 1'!AI35</f>
        <v>3</v>
      </c>
      <c r="K35" s="139"/>
      <c r="L35" s="139">
        <f>'Review 1'!AU35</f>
        <v>3.3333333333333335</v>
      </c>
      <c r="M35" s="138"/>
      <c r="N35" s="139"/>
      <c r="O35" s="139">
        <f>'Review 2'!Q35</f>
        <v>3.4</v>
      </c>
      <c r="P35" s="139">
        <f>'Review 2'!W35</f>
        <v>3.3333333333333335</v>
      </c>
      <c r="Q35" s="139">
        <f>'Review 2'!AC35</f>
        <v>3.5</v>
      </c>
      <c r="R35" s="139">
        <f>'Review 2'!AI35</f>
        <v>3.5</v>
      </c>
      <c r="S35" s="139"/>
      <c r="T35" s="139">
        <f>'Review 2'!AU35</f>
        <v>3.3333333333333335</v>
      </c>
      <c r="U35" s="138"/>
      <c r="V35" s="62"/>
      <c r="W35" s="139">
        <f>'Review 3'!Q35</f>
        <v>2</v>
      </c>
      <c r="X35" s="139">
        <f>'Review 3'!W35</f>
        <v>3</v>
      </c>
      <c r="Y35" s="139">
        <f>'Review 3'!AC35</f>
        <v>3.5</v>
      </c>
      <c r="Z35" s="139">
        <f>'Review 3'!AI35</f>
        <v>3</v>
      </c>
      <c r="AA35" s="62"/>
      <c r="AB35" s="139">
        <f>'Review 3'!AU35</f>
        <v>3</v>
      </c>
      <c r="AC35" s="138"/>
      <c r="AD35" s="62"/>
      <c r="AE35" s="139">
        <f>'Review 4'!Q35</f>
        <v>2.4</v>
      </c>
      <c r="AF35" s="139">
        <f>'Review 4'!W35</f>
        <v>3</v>
      </c>
      <c r="AG35" s="139">
        <f>'Review 4'!AC35</f>
        <v>2</v>
      </c>
      <c r="AH35" s="139">
        <f>'Review 4'!AI35</f>
        <v>2</v>
      </c>
      <c r="AI35" s="139"/>
      <c r="AJ35" s="139">
        <f>'Review 4'!AU35</f>
        <v>3</v>
      </c>
      <c r="AK35" s="138"/>
      <c r="AL35" s="62"/>
      <c r="AM35" s="139">
        <f>'Reflection -1 '!Q35</f>
        <v>3</v>
      </c>
      <c r="AN35" s="62"/>
      <c r="AO35" s="62"/>
      <c r="AP35" s="62"/>
      <c r="AQ35" s="62"/>
      <c r="AR35" s="62"/>
      <c r="AS35" s="138"/>
      <c r="AT35" s="62"/>
      <c r="AU35" s="139">
        <f>'Reflection -2'!Q35</f>
        <v>2</v>
      </c>
      <c r="AV35" s="62"/>
      <c r="AW35" s="62"/>
      <c r="AX35" s="62"/>
      <c r="AY35" s="139"/>
      <c r="AZ35" s="62"/>
      <c r="BA35" s="138"/>
      <c r="BB35" s="139"/>
      <c r="BC35" s="139">
        <f>'Reflection -3'!Q35</f>
        <v>3.3333333333333335</v>
      </c>
      <c r="BD35" s="139"/>
      <c r="BE35" s="139"/>
      <c r="BF35" s="139"/>
      <c r="BG35" s="139"/>
      <c r="BH35" s="139"/>
      <c r="BI35" s="138"/>
      <c r="BJ35" s="139"/>
      <c r="BK35" s="139">
        <f>'Reflection -3'!Q35</f>
        <v>3.3333333333333335</v>
      </c>
      <c r="BL35" s="62"/>
      <c r="BM35" s="139"/>
      <c r="BN35" s="62"/>
      <c r="BO35" s="139"/>
      <c r="BP35" s="139"/>
      <c r="BQ35" s="138"/>
      <c r="BR35" s="139"/>
      <c r="BS35" s="139">
        <f>Capstone!Q36</f>
        <v>3.6666666666666665</v>
      </c>
      <c r="BT35" s="139">
        <f>Capstone!W36</f>
        <v>3.5</v>
      </c>
      <c r="BU35" s="139">
        <f>Capstone!AC36</f>
        <v>3.5</v>
      </c>
      <c r="BV35" s="139">
        <f>Capstone!AI36</f>
        <v>5</v>
      </c>
      <c r="BW35" s="139">
        <f>Capstone!AO36</f>
        <v>3</v>
      </c>
      <c r="BX35" s="139">
        <f>Capstone!AU36</f>
        <v>3</v>
      </c>
      <c r="BY35" s="138"/>
      <c r="BZ35" s="139"/>
      <c r="CA3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2.8333333333333335</v>
      </c>
      <c r="CB35" s="139">
        <f>IFERROR(AVERAGE(Table110461117[[#This Row],[Column31]],Table110461117[[#This Row],[Column13]],Table110461117[[#This Row],[Column4]],Table110461117[[#This Row],[Column22]],),"A")</f>
        <v>2.5333333333333337</v>
      </c>
      <c r="CC35" s="139">
        <f>IFERROR(AVERAGE(Table110461117[[#This Row],[Column5]],Table110461117[[#This Row],[Column14]],Table110461117[[#This Row],[Column23]],Table110461117[[#This Row],[Column32]]),"A")</f>
        <v>3</v>
      </c>
      <c r="CD35" s="139">
        <f>IFERROR(AVERAGE(Table110461117[[#This Row],[Column6]],Table110461117[[#This Row],[Column15]],Table110461117[[#This Row],[Column24]],Table110461117[[#This Row],[Column33]]),"A")</f>
        <v>2.875</v>
      </c>
      <c r="CE35" s="139"/>
      <c r="CF35" s="139">
        <f>IFERROR(AVERAGE(Table110461117[[#This Row],[Column26]],Table110461117[[#This Row],[Column35]],Table110461117[[#This Row],[Column17]],Table110461117[[#This Row],[Column8]]),"A")</f>
        <v>3.166666666666667</v>
      </c>
      <c r="CG35" s="138"/>
      <c r="CH35" s="139">
        <f>IFERROR(AVERAGE('Review 1'!AX35,'Review 2'!AX35,'Review 3'!AX35,'Review 4'!AX35,'Reflection -1 '!AX35,'Reflection -2'!AX35,'Reflection -3'!AX35,'Reflection -4'!AX35),"A")</f>
        <v>4</v>
      </c>
      <c r="CI35" s="139">
        <f>IFERROR(AVERAGE('Review 1'!AY35,'Review 2'!AY35,'Review 3'!AY35,'Review 4'!AY35,'Reflection -1 '!AY35,'Reflection -2'!AY35,'Reflection -3'!AY35,'Reflection -4'!AY35,Capstone!AY36),"A")</f>
        <v>1.1666666666666667</v>
      </c>
      <c r="CJ35" s="139">
        <f>IFERROR(AVERAGE('Review 1'!AZ35,'Review 2'!AZ35,'Review 3'!AZ35,'Review 4'!AZ35,'Reflection -1 '!AZ35,'Reflection -2'!AZ35,'Reflection -3'!AZ35,'Reflection -4'!AZ35),"A")</f>
        <v>2.375</v>
      </c>
    </row>
    <row r="36" spans="1:88" s="122" customFormat="1" ht="23.1" customHeight="1" x14ac:dyDescent="0.3">
      <c r="A36" s="6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140"/>
      <c r="G36" s="140">
        <f>'Review 1'!Q36</f>
        <v>3.8</v>
      </c>
      <c r="H36" s="140">
        <f>'Review 1'!W36</f>
        <v>3</v>
      </c>
      <c r="I36" s="140">
        <f>'Review 1'!AC36</f>
        <v>3</v>
      </c>
      <c r="J36" s="140">
        <f>'Review 1'!AI36</f>
        <v>2</v>
      </c>
      <c r="K36" s="140"/>
      <c r="L36" s="140">
        <f>'Review 1'!AU36</f>
        <v>1</v>
      </c>
      <c r="M36" s="138"/>
      <c r="N36" s="140"/>
      <c r="O36" s="140">
        <f>'Review 2'!Q36</f>
        <v>3.8</v>
      </c>
      <c r="P36" s="140">
        <f>'Review 2'!W36</f>
        <v>3</v>
      </c>
      <c r="Q36" s="140">
        <f>'Review 2'!AC36</f>
        <v>3</v>
      </c>
      <c r="R36" s="140">
        <f>'Review 2'!AI36</f>
        <v>2</v>
      </c>
      <c r="S36" s="140"/>
      <c r="T36" s="140">
        <f>'Review 2'!AU36</f>
        <v>1</v>
      </c>
      <c r="U36" s="138"/>
      <c r="V36" s="7"/>
      <c r="W36" s="140">
        <f>'Review 3'!Q36</f>
        <v>0.6</v>
      </c>
      <c r="X36" s="140">
        <f>'Review 3'!W36</f>
        <v>0</v>
      </c>
      <c r="Y36" s="140">
        <f>'Review 3'!AC36</f>
        <v>0</v>
      </c>
      <c r="Z36" s="140">
        <f>'Review 3'!AI36</f>
        <v>0</v>
      </c>
      <c r="AA36" s="7"/>
      <c r="AB36" s="140">
        <f>'Review 3'!AU36</f>
        <v>0</v>
      </c>
      <c r="AC36" s="138"/>
      <c r="AD36" s="7"/>
      <c r="AE36" s="140">
        <f>'Review 4'!Q36</f>
        <v>4</v>
      </c>
      <c r="AF36" s="140">
        <f>'Review 4'!W36</f>
        <v>4</v>
      </c>
      <c r="AG36" s="140">
        <f>'Review 4'!AC36</f>
        <v>3</v>
      </c>
      <c r="AH36" s="140">
        <f>'Review 4'!AI36</f>
        <v>2</v>
      </c>
      <c r="AI36" s="140"/>
      <c r="AJ36" s="140">
        <f>'Review 4'!AU36</f>
        <v>3.3333333333333335</v>
      </c>
      <c r="AK36" s="138"/>
      <c r="AL36" s="7"/>
      <c r="AM36" s="140">
        <f>'Reflection -1 '!Q36</f>
        <v>4</v>
      </c>
      <c r="AN36" s="7"/>
      <c r="AO36" s="7"/>
      <c r="AP36" s="7"/>
      <c r="AQ36" s="7"/>
      <c r="AR36" s="7"/>
      <c r="AS36" s="138"/>
      <c r="AT36" s="7"/>
      <c r="AU36" s="140">
        <f>'Reflection -2'!Q36</f>
        <v>4</v>
      </c>
      <c r="AV36" s="7"/>
      <c r="AW36" s="7"/>
      <c r="AX36" s="7"/>
      <c r="AY36" s="140"/>
      <c r="AZ36" s="7"/>
      <c r="BA36" s="138"/>
      <c r="BB36" s="140"/>
      <c r="BC36" s="140">
        <f>'Reflection -3'!Q36</f>
        <v>4</v>
      </c>
      <c r="BD36" s="140"/>
      <c r="BE36" s="140"/>
      <c r="BF36" s="140"/>
      <c r="BG36" s="140"/>
      <c r="BH36" s="140"/>
      <c r="BI36" s="138"/>
      <c r="BJ36" s="140"/>
      <c r="BK36" s="140">
        <f>'Reflection -3'!Q36</f>
        <v>4</v>
      </c>
      <c r="BL36" s="7"/>
      <c r="BM36" s="140"/>
      <c r="BN36" s="7"/>
      <c r="BO36" s="140"/>
      <c r="BP36" s="140"/>
      <c r="BQ36" s="138"/>
      <c r="BR36" s="140"/>
      <c r="BS36" s="140">
        <f>Capstone!Q37</f>
        <v>5</v>
      </c>
      <c r="BT36" s="140">
        <f>Capstone!W37</f>
        <v>5</v>
      </c>
      <c r="BU36" s="140">
        <f>Capstone!AC37</f>
        <v>5</v>
      </c>
      <c r="BV36" s="140">
        <f>Capstone!AI37</f>
        <v>5</v>
      </c>
      <c r="BW36" s="140">
        <f>Capstone!AO37</f>
        <v>5</v>
      </c>
      <c r="BX36" s="140">
        <f>Capstone!AU37</f>
        <v>5</v>
      </c>
      <c r="BY36" s="138"/>
      <c r="BZ36" s="140"/>
      <c r="CA3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3.5250000000000004</v>
      </c>
      <c r="CB36" s="140">
        <f>IFERROR(AVERAGE(Table110461117[[#This Row],[Column31]],Table110461117[[#This Row],[Column13]],Table110461117[[#This Row],[Column4]],Table110461117[[#This Row],[Column22]],),"A")</f>
        <v>2</v>
      </c>
      <c r="CC36" s="140">
        <f>IFERROR(AVERAGE(Table110461117[[#This Row],[Column5]],Table110461117[[#This Row],[Column14]],Table110461117[[#This Row],[Column23]],Table110461117[[#This Row],[Column32]]),"A")</f>
        <v>2.25</v>
      </c>
      <c r="CD36" s="140">
        <f>IFERROR(AVERAGE(Table110461117[[#This Row],[Column6]],Table110461117[[#This Row],[Column15]],Table110461117[[#This Row],[Column24]],Table110461117[[#This Row],[Column33]]),"A")</f>
        <v>1.5</v>
      </c>
      <c r="CE36" s="140"/>
      <c r="CF36" s="140">
        <f>IFERROR(AVERAGE(Table110461117[[#This Row],[Column26]],Table110461117[[#This Row],[Column35]],Table110461117[[#This Row],[Column17]],Table110461117[[#This Row],[Column8]]),"A")</f>
        <v>1.3333333333333335</v>
      </c>
      <c r="CG36" s="138"/>
      <c r="CH36" s="140">
        <f>IFERROR(AVERAGE('Review 1'!AX36,'Review 2'!AX36,'Review 3'!AX36,'Review 4'!AX36,'Reflection -1 '!AX36,'Reflection -2'!AX36,'Reflection -3'!AX36,'Reflection -4'!AX36),"A")</f>
        <v>2.625</v>
      </c>
      <c r="CI36" s="140">
        <f>IFERROR(AVERAGE('Review 1'!AY36,'Review 2'!AY36,'Review 3'!AY36,'Review 4'!AY36,'Reflection -1 '!AY36,'Reflection -2'!AY36,'Reflection -3'!AY36,'Reflection -4'!AY36,Capstone!AY37),"A")</f>
        <v>1.4444444444444444</v>
      </c>
      <c r="CJ36" s="140">
        <f>IFERROR(AVERAGE('Review 1'!AZ36,'Review 2'!AZ36,'Review 3'!AZ36,'Review 4'!AZ36,'Reflection -1 '!AZ36,'Reflection -2'!AZ36,'Reflection -3'!AZ36,'Reflection -4'!AZ36),"A")</f>
        <v>2.75</v>
      </c>
    </row>
    <row r="37" spans="1:88" s="122" customFormat="1" ht="23.1" customHeight="1" x14ac:dyDescent="0.3">
      <c r="A37" s="137">
        <v>35</v>
      </c>
      <c r="B37" s="62" t="s">
        <v>273</v>
      </c>
      <c r="C37" s="62" t="s">
        <v>274</v>
      </c>
      <c r="D37" s="62" t="s">
        <v>450</v>
      </c>
      <c r="E37" s="62" t="s">
        <v>161</v>
      </c>
      <c r="F37" s="139"/>
      <c r="G37" s="139">
        <f>'Review 1'!Q37</f>
        <v>2.2000000000000002</v>
      </c>
      <c r="H37" s="139">
        <f>'Review 1'!W37</f>
        <v>2</v>
      </c>
      <c r="I37" s="139">
        <f>'Review 1'!AC37</f>
        <v>2.5</v>
      </c>
      <c r="J37" s="139">
        <f>'Review 1'!AI37</f>
        <v>2.5</v>
      </c>
      <c r="K37" s="139"/>
      <c r="L37" s="139">
        <f>'Review 1'!AU37</f>
        <v>2.3333333333333335</v>
      </c>
      <c r="M37" s="138"/>
      <c r="N37" s="139"/>
      <c r="O37" s="139">
        <f>'Review 2'!Q37</f>
        <v>2.4</v>
      </c>
      <c r="P37" s="139">
        <f>'Review 2'!W37</f>
        <v>2</v>
      </c>
      <c r="Q37" s="139">
        <f>'Review 2'!AC37</f>
        <v>2</v>
      </c>
      <c r="R37" s="139">
        <f>'Review 2'!AI37</f>
        <v>2</v>
      </c>
      <c r="S37" s="139"/>
      <c r="T37" s="139">
        <f>'Review 2'!AU37</f>
        <v>2.3333333333333335</v>
      </c>
      <c r="U37" s="138"/>
      <c r="V37" s="62"/>
      <c r="W37" s="139">
        <f>'Review 3'!Q37</f>
        <v>2.8</v>
      </c>
      <c r="X37" s="139">
        <f>'Review 3'!W37</f>
        <v>3</v>
      </c>
      <c r="Y37" s="139">
        <f>'Review 3'!AC37</f>
        <v>2</v>
      </c>
      <c r="Z37" s="139">
        <f>'Review 3'!AI37</f>
        <v>3</v>
      </c>
      <c r="AA37" s="62"/>
      <c r="AB37" s="139">
        <f>'Review 3'!AU37</f>
        <v>3</v>
      </c>
      <c r="AC37" s="138"/>
      <c r="AD37" s="62"/>
      <c r="AE37" s="139">
        <f>'Review 4'!Q37</f>
        <v>3.2</v>
      </c>
      <c r="AF37" s="139">
        <f>'Review 4'!W37</f>
        <v>4</v>
      </c>
      <c r="AG37" s="139">
        <f>'Review 4'!AC37</f>
        <v>2</v>
      </c>
      <c r="AH37" s="139">
        <f>'Review 4'!AI37</f>
        <v>2</v>
      </c>
      <c r="AI37" s="139"/>
      <c r="AJ37" s="139">
        <f>'Review 4'!AU37</f>
        <v>4</v>
      </c>
      <c r="AK37" s="138"/>
      <c r="AL37" s="62"/>
      <c r="AM37" s="139">
        <f>'Reflection -1 '!Q37</f>
        <v>2.6666666666666665</v>
      </c>
      <c r="AN37" s="62"/>
      <c r="AO37" s="62"/>
      <c r="AP37" s="62"/>
      <c r="AQ37" s="62"/>
      <c r="AR37" s="62"/>
      <c r="AS37" s="138"/>
      <c r="AT37" s="62"/>
      <c r="AU37" s="139">
        <f>'Reflection -2'!Q37</f>
        <v>3</v>
      </c>
      <c r="AV37" s="62"/>
      <c r="AW37" s="62"/>
      <c r="AX37" s="62"/>
      <c r="AY37" s="139"/>
      <c r="AZ37" s="62"/>
      <c r="BA37" s="138"/>
      <c r="BB37" s="139"/>
      <c r="BC37" s="139">
        <f>'Reflection -3'!Q37</f>
        <v>3.6666666666666665</v>
      </c>
      <c r="BD37" s="139"/>
      <c r="BE37" s="139"/>
      <c r="BF37" s="139"/>
      <c r="BG37" s="139"/>
      <c r="BH37" s="139"/>
      <c r="BI37" s="138"/>
      <c r="BJ37" s="139"/>
      <c r="BK37" s="139">
        <f>'Reflection -3'!Q37</f>
        <v>3.6666666666666665</v>
      </c>
      <c r="BL37" s="62"/>
      <c r="BM37" s="139"/>
      <c r="BN37" s="62"/>
      <c r="BO37" s="139"/>
      <c r="BP37" s="139"/>
      <c r="BQ37" s="138"/>
      <c r="BR37" s="139"/>
      <c r="BS37" s="139">
        <f>Capstone!Q38</f>
        <v>3</v>
      </c>
      <c r="BT37" s="139">
        <f>Capstone!W38</f>
        <v>2</v>
      </c>
      <c r="BU37" s="139">
        <f>Capstone!AC38</f>
        <v>2</v>
      </c>
      <c r="BV37" s="139">
        <f>Capstone!AI38</f>
        <v>4</v>
      </c>
      <c r="BW37" s="139">
        <f>Capstone!AO38</f>
        <v>1</v>
      </c>
      <c r="BX37" s="139">
        <f>Capstone!AU38</f>
        <v>1</v>
      </c>
      <c r="BY37" s="138"/>
      <c r="BZ37" s="139"/>
      <c r="CA3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2.95</v>
      </c>
      <c r="CB37" s="139">
        <f>IFERROR(AVERAGE(Table110461117[[#This Row],[Column31]],Table110461117[[#This Row],[Column13]],Table110461117[[#This Row],[Column4]],Table110461117[[#This Row],[Column22]],),"A")</f>
        <v>2.2000000000000002</v>
      </c>
      <c r="CC37" s="139">
        <f>IFERROR(AVERAGE(Table110461117[[#This Row],[Column5]],Table110461117[[#This Row],[Column14]],Table110461117[[#This Row],[Column23]],Table110461117[[#This Row],[Column32]]),"A")</f>
        <v>2.125</v>
      </c>
      <c r="CD37" s="139">
        <f>IFERROR(AVERAGE(Table110461117[[#This Row],[Column6]],Table110461117[[#This Row],[Column15]],Table110461117[[#This Row],[Column24]],Table110461117[[#This Row],[Column33]]),"A")</f>
        <v>2.375</v>
      </c>
      <c r="CE37" s="139"/>
      <c r="CF37" s="139">
        <f>IFERROR(AVERAGE(Table110461117[[#This Row],[Column26]],Table110461117[[#This Row],[Column35]],Table110461117[[#This Row],[Column17]],Table110461117[[#This Row],[Column8]]),"A")</f>
        <v>2.916666666666667</v>
      </c>
      <c r="CG37" s="138"/>
      <c r="CH37" s="139">
        <f>IFERROR(AVERAGE('Review 1'!AX37,'Review 2'!AX37,'Review 3'!AX37,'Review 4'!AX37,'Reflection -1 '!AX37,'Reflection -2'!AX37,'Reflection -3'!AX37,'Reflection -4'!AX37),"A")</f>
        <v>3.5</v>
      </c>
      <c r="CI37" s="139">
        <f>IFERROR(AVERAGE('Review 1'!AY37,'Review 2'!AY37,'Review 3'!AY37,'Review 4'!AY37,'Reflection -1 '!AY37,'Reflection -2'!AY37,'Reflection -3'!AY37,'Reflection -4'!AY37,Capstone!AY38),"A")</f>
        <v>1.1111111111111112</v>
      </c>
      <c r="CJ37" s="139">
        <f>IFERROR(AVERAGE('Review 1'!AZ37,'Review 2'!AZ37,'Review 3'!AZ37,'Review 4'!AZ37,'Reflection -1 '!AZ37,'Reflection -2'!AZ37,'Reflection -3'!AZ37,'Reflection -4'!AZ37),"A")</f>
        <v>2</v>
      </c>
    </row>
    <row r="38" spans="1:88" s="122" customFormat="1" ht="23.1" customHeight="1" x14ac:dyDescent="0.3">
      <c r="A38" s="6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140"/>
      <c r="G38" s="140">
        <f>'Review 1'!Q38</f>
        <v>0</v>
      </c>
      <c r="H38" s="140">
        <f>'Review 1'!W38</f>
        <v>0</v>
      </c>
      <c r="I38" s="140">
        <f>'Review 1'!AC38</f>
        <v>0</v>
      </c>
      <c r="J38" s="140">
        <f>'Review 1'!AI38</f>
        <v>0</v>
      </c>
      <c r="K38" s="140"/>
      <c r="L38" s="140">
        <f>'Review 1'!AU38</f>
        <v>0</v>
      </c>
      <c r="M38" s="138"/>
      <c r="N38" s="140"/>
      <c r="O38" s="140">
        <f>'Review 2'!Q38</f>
        <v>2.4</v>
      </c>
      <c r="P38" s="140">
        <f>'Review 2'!W38</f>
        <v>2.3333333333333335</v>
      </c>
      <c r="Q38" s="140">
        <f>'Review 2'!AC38</f>
        <v>2</v>
      </c>
      <c r="R38" s="140">
        <f>'Review 2'!AI38</f>
        <v>3.5</v>
      </c>
      <c r="S38" s="140"/>
      <c r="T38" s="140">
        <f>'Review 2'!AU38</f>
        <v>3</v>
      </c>
      <c r="U38" s="138"/>
      <c r="V38" s="7"/>
      <c r="W38" s="140">
        <f>'Review 3'!Q38</f>
        <v>2.2000000000000002</v>
      </c>
      <c r="X38" s="140">
        <f>'Review 3'!W38</f>
        <v>0</v>
      </c>
      <c r="Y38" s="140">
        <f>'Review 3'!AC38</f>
        <v>0</v>
      </c>
      <c r="Z38" s="140">
        <f>'Review 3'!AI38</f>
        <v>0</v>
      </c>
      <c r="AA38" s="7"/>
      <c r="AB38" s="140">
        <f>'Review 3'!AU38</f>
        <v>0</v>
      </c>
      <c r="AC38" s="138"/>
      <c r="AD38" s="7"/>
      <c r="AE38" s="140">
        <f>'Review 4'!Q38</f>
        <v>2.4</v>
      </c>
      <c r="AF38" s="140">
        <f>'Review 4'!W38</f>
        <v>3</v>
      </c>
      <c r="AG38" s="140">
        <f>'Review 4'!AC38</f>
        <v>2.5</v>
      </c>
      <c r="AH38" s="140">
        <f>'Review 4'!AI38</f>
        <v>0.5</v>
      </c>
      <c r="AI38" s="140"/>
      <c r="AJ38" s="140">
        <f>'Review 4'!AU38</f>
        <v>1.6666666666666667</v>
      </c>
      <c r="AK38" s="138"/>
      <c r="AL38" s="7"/>
      <c r="AM38" s="140">
        <f>'Reflection -1 '!Q38</f>
        <v>2.3333333333333335</v>
      </c>
      <c r="AN38" s="7"/>
      <c r="AO38" s="7"/>
      <c r="AP38" s="7"/>
      <c r="AQ38" s="7"/>
      <c r="AR38" s="7"/>
      <c r="AS38" s="138"/>
      <c r="AT38" s="7"/>
      <c r="AU38" s="140">
        <f>'Reflection -2'!Q38</f>
        <v>2.6666666666666665</v>
      </c>
      <c r="AV38" s="7"/>
      <c r="AW38" s="7"/>
      <c r="AX38" s="7"/>
      <c r="AY38" s="140"/>
      <c r="AZ38" s="7"/>
      <c r="BA38" s="138"/>
      <c r="BB38" s="140"/>
      <c r="BC38" s="140">
        <f>'Reflection -3'!Q38</f>
        <v>1.6666666666666667</v>
      </c>
      <c r="BD38" s="140"/>
      <c r="BE38" s="140"/>
      <c r="BF38" s="140"/>
      <c r="BG38" s="140"/>
      <c r="BH38" s="140"/>
      <c r="BI38" s="138"/>
      <c r="BJ38" s="140"/>
      <c r="BK38" s="140">
        <f>'Reflection -3'!Q38</f>
        <v>1.6666666666666667</v>
      </c>
      <c r="BL38" s="7"/>
      <c r="BM38" s="140"/>
      <c r="BN38" s="7"/>
      <c r="BO38" s="140"/>
      <c r="BP38" s="140"/>
      <c r="BQ38" s="138"/>
      <c r="BR38" s="140"/>
      <c r="BS38" s="140">
        <f>Capstone!Q39</f>
        <v>3</v>
      </c>
      <c r="BT38" s="140">
        <f>Capstone!W39</f>
        <v>3</v>
      </c>
      <c r="BU38" s="140">
        <f>Capstone!AC39</f>
        <v>3</v>
      </c>
      <c r="BV38" s="140">
        <f>Capstone!AI39</f>
        <v>3</v>
      </c>
      <c r="BW38" s="140">
        <f>Capstone!AO39</f>
        <v>3</v>
      </c>
      <c r="BX38" s="140">
        <f>Capstone!AU39</f>
        <v>3</v>
      </c>
      <c r="BY38" s="138"/>
      <c r="BZ38" s="140"/>
      <c r="CA3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1.9166666666666665</v>
      </c>
      <c r="CB38" s="140">
        <f>IFERROR(AVERAGE(Table110461117[[#This Row],[Column31]],Table110461117[[#This Row],[Column13]],Table110461117[[#This Row],[Column4]],Table110461117[[#This Row],[Column22]],),"A")</f>
        <v>1.0666666666666669</v>
      </c>
      <c r="CC38" s="140">
        <f>IFERROR(AVERAGE(Table110461117[[#This Row],[Column5]],Table110461117[[#This Row],[Column14]],Table110461117[[#This Row],[Column23]],Table110461117[[#This Row],[Column32]]),"A")</f>
        <v>1.125</v>
      </c>
      <c r="CD38" s="140">
        <f>IFERROR(AVERAGE(Table110461117[[#This Row],[Column6]],Table110461117[[#This Row],[Column15]],Table110461117[[#This Row],[Column24]],Table110461117[[#This Row],[Column33]]),"A")</f>
        <v>1</v>
      </c>
      <c r="CE38" s="140"/>
      <c r="CF38" s="140">
        <f>IFERROR(AVERAGE(Table110461117[[#This Row],[Column26]],Table110461117[[#This Row],[Column35]],Table110461117[[#This Row],[Column17]],Table110461117[[#This Row],[Column8]]),"A")</f>
        <v>1.1666666666666667</v>
      </c>
      <c r="CG38" s="138"/>
      <c r="CH38" s="140">
        <f>IFERROR(AVERAGE('Review 1'!AX38,'Review 2'!AX38,'Review 3'!AX38,'Review 4'!AX38,'Reflection -1 '!AX38,'Reflection -2'!AX38,'Reflection -3'!AX38,'Reflection -4'!AX38),"A")</f>
        <v>3.125</v>
      </c>
      <c r="CI38" s="140">
        <f>IFERROR(AVERAGE('Review 1'!AY38,'Review 2'!AY38,'Review 3'!AY38,'Review 4'!AY38,'Reflection -1 '!AY38,'Reflection -2'!AY38,'Reflection -3'!AY38,'Reflection -4'!AY38,Capstone!AY39),"A")</f>
        <v>0.77777777777777779</v>
      </c>
      <c r="CJ38" s="140">
        <f>IFERROR(AVERAGE('Review 1'!AZ38,'Review 2'!AZ38,'Review 3'!AZ38,'Review 4'!AZ38,'Reflection -1 '!AZ38,'Reflection -2'!AZ38,'Reflection -3'!AZ38,'Reflection -4'!AZ38),"A")</f>
        <v>1.375</v>
      </c>
    </row>
    <row r="39" spans="1:88" s="122" customFormat="1" ht="23.1" customHeight="1" x14ac:dyDescent="0.3">
      <c r="A39" s="137">
        <v>37</v>
      </c>
      <c r="B39" s="62" t="s">
        <v>302</v>
      </c>
      <c r="C39" s="62" t="s">
        <v>303</v>
      </c>
      <c r="D39" s="62" t="s">
        <v>450</v>
      </c>
      <c r="E39" s="62" t="s">
        <v>493</v>
      </c>
      <c r="F39" s="139"/>
      <c r="G39" s="139">
        <f>'Review 1'!Q39</f>
        <v>2.2000000000000002</v>
      </c>
      <c r="H39" s="139">
        <f>'Review 1'!W39</f>
        <v>2.6666666666666665</v>
      </c>
      <c r="I39" s="139">
        <f>'Review 1'!AC39</f>
        <v>3</v>
      </c>
      <c r="J39" s="139">
        <f>'Review 1'!AI39</f>
        <v>3</v>
      </c>
      <c r="K39" s="139"/>
      <c r="L39" s="139">
        <f>'Review 1'!AU39</f>
        <v>3</v>
      </c>
      <c r="M39" s="138"/>
      <c r="N39" s="139"/>
      <c r="O39" s="139">
        <f>'Review 2'!Q39</f>
        <v>3.8</v>
      </c>
      <c r="P39" s="139">
        <f>'Review 2'!W39</f>
        <v>3</v>
      </c>
      <c r="Q39" s="139">
        <f>'Review 2'!AC39</f>
        <v>3</v>
      </c>
      <c r="R39" s="139">
        <f>'Review 2'!AI39</f>
        <v>1.5</v>
      </c>
      <c r="S39" s="139"/>
      <c r="T39" s="139">
        <f>'Review 2'!AU39</f>
        <v>2</v>
      </c>
      <c r="U39" s="138"/>
      <c r="V39" s="62"/>
      <c r="W39" s="139">
        <f>'Review 3'!Q39</f>
        <v>2.2000000000000002</v>
      </c>
      <c r="X39" s="139">
        <f>'Review 3'!W39</f>
        <v>2</v>
      </c>
      <c r="Y39" s="139">
        <f>'Review 3'!AC39</f>
        <v>2</v>
      </c>
      <c r="Z39" s="139">
        <f>'Review 3'!AI39</f>
        <v>2</v>
      </c>
      <c r="AA39" s="62"/>
      <c r="AB39" s="139">
        <f>'Review 3'!AU39</f>
        <v>2</v>
      </c>
      <c r="AC39" s="138"/>
      <c r="AD39" s="62"/>
      <c r="AE39" s="139">
        <f>'Review 4'!Q39</f>
        <v>3.8</v>
      </c>
      <c r="AF39" s="139">
        <f>'Review 4'!W39</f>
        <v>3</v>
      </c>
      <c r="AG39" s="139">
        <f>'Review 4'!AC39</f>
        <v>3</v>
      </c>
      <c r="AH39" s="139">
        <f>'Review 4'!AI39</f>
        <v>5</v>
      </c>
      <c r="AI39" s="139"/>
      <c r="AJ39" s="139">
        <f>'Review 4'!AU39</f>
        <v>3.6666666666666665</v>
      </c>
      <c r="AK39" s="138"/>
      <c r="AL39" s="62"/>
      <c r="AM39" s="139">
        <f>'Reflection -1 '!Q39</f>
        <v>2</v>
      </c>
      <c r="AN39" s="62"/>
      <c r="AO39" s="62"/>
      <c r="AP39" s="62"/>
      <c r="AQ39" s="62"/>
      <c r="AR39" s="62"/>
      <c r="AS39" s="138"/>
      <c r="AT39" s="62"/>
      <c r="AU39" s="139">
        <f>'Reflection -2'!Q39</f>
        <v>2</v>
      </c>
      <c r="AV39" s="62"/>
      <c r="AW39" s="62"/>
      <c r="AX39" s="62"/>
      <c r="AY39" s="139"/>
      <c r="AZ39" s="62"/>
      <c r="BA39" s="138"/>
      <c r="BB39" s="139"/>
      <c r="BC39" s="139">
        <f>'Reflection -3'!Q39</f>
        <v>2</v>
      </c>
      <c r="BD39" s="139"/>
      <c r="BE39" s="139"/>
      <c r="BF39" s="139"/>
      <c r="BG39" s="139"/>
      <c r="BH39" s="139"/>
      <c r="BI39" s="138"/>
      <c r="BJ39" s="139"/>
      <c r="BK39" s="139">
        <f>'Reflection -3'!Q39</f>
        <v>2</v>
      </c>
      <c r="BL39" s="62"/>
      <c r="BM39" s="139"/>
      <c r="BN39" s="62"/>
      <c r="BO39" s="139"/>
      <c r="BP39" s="139"/>
      <c r="BQ39" s="138"/>
      <c r="BR39" s="139"/>
      <c r="BS39" s="139">
        <f>Capstone!Q40</f>
        <v>4</v>
      </c>
      <c r="BT39" s="139">
        <f>Capstone!W40</f>
        <v>4</v>
      </c>
      <c r="BU39" s="139">
        <f>Capstone!AC40</f>
        <v>4</v>
      </c>
      <c r="BV39" s="139">
        <f>Capstone!AI40</f>
        <v>4</v>
      </c>
      <c r="BW39" s="139">
        <f>Capstone!AO40</f>
        <v>4</v>
      </c>
      <c r="BX39" s="139">
        <f>Capstone!AU40</f>
        <v>4</v>
      </c>
      <c r="BY39" s="138"/>
      <c r="BZ39" s="139"/>
      <c r="CA3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</v>
      </c>
      <c r="CB39" s="139">
        <f>IFERROR(AVERAGE(Table110461117[[#This Row],[Column31]],Table110461117[[#This Row],[Column13]],Table110461117[[#This Row],[Column4]],Table110461117[[#This Row],[Column22]],),"A")</f>
        <v>2.1333333333333333</v>
      </c>
      <c r="CC39" s="139">
        <f>IFERROR(AVERAGE(Table110461117[[#This Row],[Column5]],Table110461117[[#This Row],[Column14]],Table110461117[[#This Row],[Column23]],Table110461117[[#This Row],[Column32]]),"A")</f>
        <v>2.75</v>
      </c>
      <c r="CD39" s="139">
        <f>IFERROR(AVERAGE(Table110461117[[#This Row],[Column6]],Table110461117[[#This Row],[Column15]],Table110461117[[#This Row],[Column24]],Table110461117[[#This Row],[Column33]]),"A")</f>
        <v>2.875</v>
      </c>
      <c r="CE39" s="139"/>
      <c r="CF39" s="139">
        <f>IFERROR(AVERAGE(Table110461117[[#This Row],[Column26]],Table110461117[[#This Row],[Column35]],Table110461117[[#This Row],[Column17]],Table110461117[[#This Row],[Column8]]),"A")</f>
        <v>2.6666666666666665</v>
      </c>
      <c r="CG39" s="138"/>
      <c r="CH39" s="139">
        <f>IFERROR(AVERAGE('Review 1'!AX39,'Review 2'!AX39,'Review 3'!AX39,'Review 4'!AX39,'Reflection -1 '!AX39,'Reflection -2'!AX39,'Reflection -3'!AX39,'Reflection -4'!AX39),"A")</f>
        <v>2.5</v>
      </c>
      <c r="CI39" s="139">
        <f>IFERROR(AVERAGE('Review 1'!AY39,'Review 2'!AY39,'Review 3'!AY39,'Review 4'!AY39,'Reflection -1 '!AY39,'Reflection -2'!AY39,'Reflection -3'!AY39,'Reflection -4'!AY39,Capstone!AY40),"A")</f>
        <v>2.6666666666666665</v>
      </c>
      <c r="CJ39" s="139">
        <f>IFERROR(AVERAGE('Review 1'!AZ39,'Review 2'!AZ39,'Review 3'!AZ39,'Review 4'!AZ39,'Reflection -1 '!AZ39,'Reflection -2'!AZ39,'Reflection -3'!AZ39,'Reflection -4'!AZ39),"A")</f>
        <v>2.625</v>
      </c>
    </row>
    <row r="40" spans="1:88" s="122" customFormat="1" ht="23.1" customHeight="1" x14ac:dyDescent="0.3">
      <c r="A40" s="6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140"/>
      <c r="G40" s="140">
        <f>'Review 1'!Q40</f>
        <v>2.8</v>
      </c>
      <c r="H40" s="140">
        <f>'Review 1'!W40</f>
        <v>2.6666666666666665</v>
      </c>
      <c r="I40" s="140">
        <f>'Review 1'!AC40</f>
        <v>3</v>
      </c>
      <c r="J40" s="140">
        <f>'Review 1'!AI40</f>
        <v>3</v>
      </c>
      <c r="K40" s="140"/>
      <c r="L40" s="140">
        <f>'Review 1'!AU40</f>
        <v>2.6666666666666665</v>
      </c>
      <c r="M40" s="138"/>
      <c r="N40" s="140"/>
      <c r="O40" s="140">
        <f>'Review 2'!Q40</f>
        <v>2.6</v>
      </c>
      <c r="P40" s="140">
        <f>'Review 2'!W40</f>
        <v>2.6666666666666665</v>
      </c>
      <c r="Q40" s="140">
        <f>'Review 2'!AC40</f>
        <v>2.5</v>
      </c>
      <c r="R40" s="140">
        <f>'Review 2'!AI40</f>
        <v>2.5</v>
      </c>
      <c r="S40" s="140"/>
      <c r="T40" s="140">
        <f>'Review 2'!AU40</f>
        <v>2.6666666666666665</v>
      </c>
      <c r="U40" s="138"/>
      <c r="V40" s="7"/>
      <c r="W40" s="140">
        <f>'Review 3'!Q40</f>
        <v>3</v>
      </c>
      <c r="X40" s="140">
        <f>'Review 3'!W40</f>
        <v>2.6666666666666665</v>
      </c>
      <c r="Y40" s="140">
        <f>'Review 3'!AC40</f>
        <v>2.5</v>
      </c>
      <c r="Z40" s="140">
        <f>'Review 3'!AI40</f>
        <v>3</v>
      </c>
      <c r="AA40" s="7"/>
      <c r="AB40" s="140">
        <f>'Review 3'!AU40</f>
        <v>2.3333333333333335</v>
      </c>
      <c r="AC40" s="138"/>
      <c r="AD40" s="7"/>
      <c r="AE40" s="140">
        <f>'Review 4'!Q40</f>
        <v>4</v>
      </c>
      <c r="AF40" s="140">
        <f>'Review 4'!W40</f>
        <v>4</v>
      </c>
      <c r="AG40" s="140">
        <f>'Review 4'!AC40</f>
        <v>2.5</v>
      </c>
      <c r="AH40" s="140">
        <f>'Review 4'!AI40</f>
        <v>1</v>
      </c>
      <c r="AI40" s="140"/>
      <c r="AJ40" s="140">
        <f>'Review 4'!AU40</f>
        <v>3.6666666666666665</v>
      </c>
      <c r="AK40" s="138"/>
      <c r="AL40" s="7"/>
      <c r="AM40" s="140">
        <f>'Reflection -1 '!Q40</f>
        <v>1</v>
      </c>
      <c r="AN40" s="7"/>
      <c r="AO40" s="7"/>
      <c r="AP40" s="7"/>
      <c r="AQ40" s="7"/>
      <c r="AR40" s="7"/>
      <c r="AS40" s="138"/>
      <c r="AT40" s="7"/>
      <c r="AU40" s="140">
        <f>'Reflection -2'!Q40</f>
        <v>0</v>
      </c>
      <c r="AV40" s="7"/>
      <c r="AW40" s="7"/>
      <c r="AX40" s="7"/>
      <c r="AY40" s="140"/>
      <c r="AZ40" s="7"/>
      <c r="BA40" s="138"/>
      <c r="BB40" s="140"/>
      <c r="BC40" s="140">
        <f>'Reflection -3'!Q40</f>
        <v>0</v>
      </c>
      <c r="BD40" s="140"/>
      <c r="BE40" s="140"/>
      <c r="BF40" s="140"/>
      <c r="BG40" s="140"/>
      <c r="BH40" s="140"/>
      <c r="BI40" s="138"/>
      <c r="BJ40" s="140"/>
      <c r="BK40" s="140">
        <f>'Reflection -3'!Q40</f>
        <v>0</v>
      </c>
      <c r="BL40" s="7"/>
      <c r="BM40" s="140"/>
      <c r="BN40" s="7"/>
      <c r="BO40" s="140"/>
      <c r="BP40" s="140"/>
      <c r="BQ40" s="138"/>
      <c r="BR40" s="140"/>
      <c r="BS40" s="140">
        <f>Capstone!Q41</f>
        <v>5</v>
      </c>
      <c r="BT40" s="140">
        <f>Capstone!W41</f>
        <v>5</v>
      </c>
      <c r="BU40" s="140">
        <f>Capstone!AC41</f>
        <v>5</v>
      </c>
      <c r="BV40" s="140">
        <f>Capstone!AI41</f>
        <v>0</v>
      </c>
      <c r="BW40" s="140">
        <f>Capstone!AO41</f>
        <v>4</v>
      </c>
      <c r="BX40" s="140">
        <f>Capstone!AU41</f>
        <v>5</v>
      </c>
      <c r="BY40" s="138"/>
      <c r="BZ40" s="140"/>
      <c r="CA4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1.6749999999999998</v>
      </c>
      <c r="CB40" s="140">
        <f>IFERROR(AVERAGE(Table110461117[[#This Row],[Column31]],Table110461117[[#This Row],[Column13]],Table110461117[[#This Row],[Column4]],Table110461117[[#This Row],[Column22]],),"A")</f>
        <v>2.3999999999999995</v>
      </c>
      <c r="CC40" s="140">
        <f>IFERROR(AVERAGE(Table110461117[[#This Row],[Column5]],Table110461117[[#This Row],[Column14]],Table110461117[[#This Row],[Column23]],Table110461117[[#This Row],[Column32]]),"A")</f>
        <v>2.625</v>
      </c>
      <c r="CD40" s="140">
        <f>IFERROR(AVERAGE(Table110461117[[#This Row],[Column6]],Table110461117[[#This Row],[Column15]],Table110461117[[#This Row],[Column24]],Table110461117[[#This Row],[Column33]]),"A")</f>
        <v>2.375</v>
      </c>
      <c r="CE40" s="140"/>
      <c r="CF40" s="140">
        <f>IFERROR(AVERAGE(Table110461117[[#This Row],[Column26]],Table110461117[[#This Row],[Column35]],Table110461117[[#This Row],[Column17]],Table110461117[[#This Row],[Column8]]),"A")</f>
        <v>2.833333333333333</v>
      </c>
      <c r="CG40" s="138"/>
      <c r="CH40" s="140">
        <f>IFERROR(AVERAGE('Review 1'!AX40,'Review 2'!AX40,'Review 3'!AX40,'Review 4'!AX40,'Reflection -1 '!AX40,'Reflection -2'!AX40,'Reflection -3'!AX40,'Reflection -4'!AX40),"A")</f>
        <v>1</v>
      </c>
      <c r="CI40" s="140">
        <f>IFERROR(AVERAGE('Review 1'!AY40,'Review 2'!AY40,'Review 3'!AY40,'Review 4'!AY40,'Reflection -1 '!AY40,'Reflection -2'!AY40,'Reflection -3'!AY40,'Reflection -4'!AY40,Capstone!AY41),"A")</f>
        <v>1.2222222222222223</v>
      </c>
      <c r="CJ40" s="140">
        <f>IFERROR(AVERAGE('Review 1'!AZ40,'Review 2'!AZ40,'Review 3'!AZ40,'Review 4'!AZ40,'Reflection -1 '!AZ40,'Reflection -2'!AZ40,'Reflection -3'!AZ40,'Reflection -4'!AZ40),"A")</f>
        <v>0.75</v>
      </c>
    </row>
    <row r="41" spans="1:88" s="122" customFormat="1" ht="23.1" customHeight="1" x14ac:dyDescent="0.3">
      <c r="A41" s="137">
        <v>39</v>
      </c>
      <c r="B41" s="62" t="s">
        <v>304</v>
      </c>
      <c r="C41" s="62" t="s">
        <v>305</v>
      </c>
      <c r="D41" s="62" t="s">
        <v>542</v>
      </c>
      <c r="E41" s="62" t="s">
        <v>493</v>
      </c>
      <c r="F41" s="139"/>
      <c r="G41" s="139">
        <f>'Review 1'!Q41</f>
        <v>3.8</v>
      </c>
      <c r="H41" s="139">
        <f>'Review 1'!W41</f>
        <v>3</v>
      </c>
      <c r="I41" s="139">
        <f>'Review 1'!AC41</f>
        <v>3</v>
      </c>
      <c r="J41" s="139">
        <f>'Review 1'!AI41</f>
        <v>3</v>
      </c>
      <c r="K41" s="139"/>
      <c r="L41" s="139">
        <f>'Review 1'!AU41</f>
        <v>3</v>
      </c>
      <c r="M41" s="138"/>
      <c r="N41" s="139"/>
      <c r="O41" s="139">
        <f>'Review 2'!Q41</f>
        <v>3</v>
      </c>
      <c r="P41" s="139">
        <f>'Review 2'!W41</f>
        <v>2</v>
      </c>
      <c r="Q41" s="139">
        <f>'Review 2'!AC41</f>
        <v>2</v>
      </c>
      <c r="R41" s="139">
        <f>'Review 2'!AI41</f>
        <v>1</v>
      </c>
      <c r="S41" s="139"/>
      <c r="T41" s="139">
        <f>'Review 2'!AU41</f>
        <v>2</v>
      </c>
      <c r="U41" s="138"/>
      <c r="V41" s="62"/>
      <c r="W41" s="139">
        <f>'Review 3'!Q41</f>
        <v>2</v>
      </c>
      <c r="X41" s="139">
        <f>'Review 3'!W41</f>
        <v>2</v>
      </c>
      <c r="Y41" s="139">
        <f>'Review 3'!AC41</f>
        <v>2</v>
      </c>
      <c r="Z41" s="139">
        <f>'Review 3'!AI41</f>
        <v>2</v>
      </c>
      <c r="AA41" s="62"/>
      <c r="AB41" s="139">
        <f>'Review 3'!AU41</f>
        <v>2</v>
      </c>
      <c r="AC41" s="138"/>
      <c r="AD41" s="62"/>
      <c r="AE41" s="139">
        <f>'Review 4'!Q41</f>
        <v>3.4</v>
      </c>
      <c r="AF41" s="139">
        <f>'Review 4'!W41</f>
        <v>4.333333333333333</v>
      </c>
      <c r="AG41" s="139">
        <f>'Review 4'!AC41</f>
        <v>4</v>
      </c>
      <c r="AH41" s="139">
        <f>'Review 4'!AI41</f>
        <v>5</v>
      </c>
      <c r="AI41" s="139"/>
      <c r="AJ41" s="139">
        <f>'Review 4'!AU41</f>
        <v>5</v>
      </c>
      <c r="AK41" s="138"/>
      <c r="AL41" s="62"/>
      <c r="AM41" s="139">
        <f>'Reflection -1 '!Q41</f>
        <v>2.6666666666666665</v>
      </c>
      <c r="AN41" s="62"/>
      <c r="AO41" s="62"/>
      <c r="AP41" s="62"/>
      <c r="AQ41" s="62"/>
      <c r="AR41" s="62"/>
      <c r="AS41" s="138"/>
      <c r="AT41" s="62"/>
      <c r="AU41" s="139">
        <f>'Reflection -2'!Q41</f>
        <v>3.3333333333333335</v>
      </c>
      <c r="AV41" s="62"/>
      <c r="AW41" s="62"/>
      <c r="AX41" s="62"/>
      <c r="AY41" s="139"/>
      <c r="AZ41" s="62"/>
      <c r="BA41" s="138"/>
      <c r="BB41" s="139"/>
      <c r="BC41" s="139">
        <f>'Reflection -3'!Q41</f>
        <v>2.6666666666666665</v>
      </c>
      <c r="BD41" s="139"/>
      <c r="BE41" s="139"/>
      <c r="BF41" s="139"/>
      <c r="BG41" s="139"/>
      <c r="BH41" s="139"/>
      <c r="BI41" s="138"/>
      <c r="BJ41" s="139"/>
      <c r="BK41" s="139">
        <f>'Reflection -3'!Q41</f>
        <v>2.6666666666666665</v>
      </c>
      <c r="BL41" s="62"/>
      <c r="BM41" s="139"/>
      <c r="BN41" s="62"/>
      <c r="BO41" s="139"/>
      <c r="BP41" s="139"/>
      <c r="BQ41" s="138"/>
      <c r="BR41" s="139"/>
      <c r="BS41" s="139">
        <f>Capstone!Q42</f>
        <v>4.5</v>
      </c>
      <c r="BT41" s="139">
        <f>Capstone!W42</f>
        <v>4</v>
      </c>
      <c r="BU41" s="139">
        <f>Capstone!AC42</f>
        <v>4</v>
      </c>
      <c r="BV41" s="139">
        <f>Capstone!AI42</f>
        <v>4.5</v>
      </c>
      <c r="BW41" s="139">
        <f>Capstone!AO42</f>
        <v>4</v>
      </c>
      <c r="BX41" s="139">
        <f>Capstone!AU42</f>
        <v>5</v>
      </c>
      <c r="BY41" s="138"/>
      <c r="BZ41" s="139"/>
      <c r="CA4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2.9416666666666664</v>
      </c>
      <c r="CB41" s="139">
        <f>IFERROR(AVERAGE(Table110461117[[#This Row],[Column31]],Table110461117[[#This Row],[Column13]],Table110461117[[#This Row],[Column4]],Table110461117[[#This Row],[Column22]],),"A")</f>
        <v>2.2666666666666666</v>
      </c>
      <c r="CC41" s="139">
        <f>IFERROR(AVERAGE(Table110461117[[#This Row],[Column5]],Table110461117[[#This Row],[Column14]],Table110461117[[#This Row],[Column23]],Table110461117[[#This Row],[Column32]]),"A")</f>
        <v>2.75</v>
      </c>
      <c r="CD41" s="139">
        <f>IFERROR(AVERAGE(Table110461117[[#This Row],[Column6]],Table110461117[[#This Row],[Column15]],Table110461117[[#This Row],[Column24]],Table110461117[[#This Row],[Column33]]),"A")</f>
        <v>2.75</v>
      </c>
      <c r="CE41" s="139"/>
      <c r="CF41" s="139">
        <f>IFERROR(AVERAGE(Table110461117[[#This Row],[Column26]],Table110461117[[#This Row],[Column35]],Table110461117[[#This Row],[Column17]],Table110461117[[#This Row],[Column8]]),"A")</f>
        <v>3</v>
      </c>
      <c r="CG41" s="138"/>
      <c r="CH41" s="139">
        <f>IFERROR(AVERAGE('Review 1'!AX41,'Review 2'!AX41,'Review 3'!AX41,'Review 4'!AX41,'Reflection -1 '!AX41,'Reflection -2'!AX41,'Reflection -3'!AX41,'Reflection -4'!AX41),"A")</f>
        <v>4</v>
      </c>
      <c r="CI41" s="139">
        <f>IFERROR(AVERAGE('Review 1'!AY41,'Review 2'!AY41,'Review 3'!AY41,'Review 4'!AY41,'Reflection -1 '!AY41,'Reflection -2'!AY41,'Reflection -3'!AY41,'Reflection -4'!AY41,Capstone!AY42),"A")</f>
        <v>2.7777777777777777</v>
      </c>
      <c r="CJ41" s="139">
        <f>IFERROR(AVERAGE('Review 1'!AZ41,'Review 2'!AZ41,'Review 3'!AZ41,'Review 4'!AZ41,'Reflection -1 '!AZ41,'Reflection -2'!AZ41,'Reflection -3'!AZ41,'Reflection -4'!AZ41),"A")</f>
        <v>3.25</v>
      </c>
    </row>
    <row r="42" spans="1:88" s="122" customFormat="1" ht="23.1" customHeight="1" x14ac:dyDescent="0.3">
      <c r="A42" s="6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140"/>
      <c r="G42" s="140">
        <f>'Review 1'!Q42</f>
        <v>2.2000000000000002</v>
      </c>
      <c r="H42" s="140">
        <f>'Review 1'!W42</f>
        <v>1</v>
      </c>
      <c r="I42" s="140">
        <f>'Review 1'!AC42</f>
        <v>1</v>
      </c>
      <c r="J42" s="140">
        <f>'Review 1'!AI42</f>
        <v>1</v>
      </c>
      <c r="K42" s="140"/>
      <c r="L42" s="140">
        <f>'Review 1'!AU42</f>
        <v>1</v>
      </c>
      <c r="M42" s="138"/>
      <c r="N42" s="140"/>
      <c r="O42" s="140">
        <f>'Review 2'!Q42</f>
        <v>2.4</v>
      </c>
      <c r="P42" s="140">
        <f>'Review 2'!W42</f>
        <v>1</v>
      </c>
      <c r="Q42" s="140">
        <f>'Review 2'!AC42</f>
        <v>1</v>
      </c>
      <c r="R42" s="140">
        <f>'Review 2'!AI42</f>
        <v>1</v>
      </c>
      <c r="S42" s="140"/>
      <c r="T42" s="140">
        <f>'Review 2'!AU42</f>
        <v>2</v>
      </c>
      <c r="U42" s="138"/>
      <c r="V42" s="7"/>
      <c r="W42" s="140">
        <f>'Review 3'!Q42</f>
        <v>2.2000000000000002</v>
      </c>
      <c r="X42" s="140">
        <f>'Review 3'!W42</f>
        <v>0</v>
      </c>
      <c r="Y42" s="140">
        <f>'Review 3'!AC42</f>
        <v>0</v>
      </c>
      <c r="Z42" s="140">
        <f>'Review 3'!AI42</f>
        <v>0</v>
      </c>
      <c r="AA42" s="7"/>
      <c r="AB42" s="140">
        <f>'Review 3'!AU42</f>
        <v>0</v>
      </c>
      <c r="AC42" s="138"/>
      <c r="AD42" s="7"/>
      <c r="AE42" s="140">
        <f>'Review 4'!Q42</f>
        <v>0</v>
      </c>
      <c r="AF42" s="140">
        <f>'Review 4'!W42</f>
        <v>0</v>
      </c>
      <c r="AG42" s="140">
        <f>'Review 4'!AC42</f>
        <v>0</v>
      </c>
      <c r="AH42" s="140">
        <f>'Review 4'!AI42</f>
        <v>0</v>
      </c>
      <c r="AI42" s="140"/>
      <c r="AJ42" s="140">
        <f>'Review 4'!AU42</f>
        <v>0</v>
      </c>
      <c r="AK42" s="138"/>
      <c r="AL42" s="7"/>
      <c r="AM42" s="140">
        <f>'Reflection -1 '!Q42</f>
        <v>2.3333333333333335</v>
      </c>
      <c r="AN42" s="7"/>
      <c r="AO42" s="7"/>
      <c r="AP42" s="7"/>
      <c r="AQ42" s="7"/>
      <c r="AR42" s="7"/>
      <c r="AS42" s="138"/>
      <c r="AT42" s="7"/>
      <c r="AU42" s="140">
        <f>'Reflection -2'!Q42</f>
        <v>1</v>
      </c>
      <c r="AV42" s="7"/>
      <c r="AW42" s="7"/>
      <c r="AX42" s="7"/>
      <c r="AY42" s="140"/>
      <c r="AZ42" s="7"/>
      <c r="BA42" s="138"/>
      <c r="BB42" s="140"/>
      <c r="BC42" s="140">
        <f>'Reflection -3'!Q42</f>
        <v>4</v>
      </c>
      <c r="BD42" s="140"/>
      <c r="BE42" s="140"/>
      <c r="BF42" s="140"/>
      <c r="BG42" s="140"/>
      <c r="BH42" s="140"/>
      <c r="BI42" s="138"/>
      <c r="BJ42" s="140"/>
      <c r="BK42" s="140">
        <f>'Reflection -3'!Q42</f>
        <v>4</v>
      </c>
      <c r="BL42" s="7"/>
      <c r="BM42" s="140"/>
      <c r="BN42" s="7"/>
      <c r="BO42" s="140"/>
      <c r="BP42" s="140"/>
      <c r="BQ42" s="138"/>
      <c r="BR42" s="140"/>
      <c r="BS42" s="140">
        <f>Capstone!Q43</f>
        <v>2.6666666666666665</v>
      </c>
      <c r="BT42" s="140">
        <f>Capstone!W43</f>
        <v>3</v>
      </c>
      <c r="BU42" s="140">
        <f>Capstone!AC43</f>
        <v>3</v>
      </c>
      <c r="BV42" s="140">
        <f>Capstone!AI43</f>
        <v>3</v>
      </c>
      <c r="BW42" s="140">
        <f>Capstone!AO43</f>
        <v>2</v>
      </c>
      <c r="BX42" s="140">
        <f>Capstone!AU43</f>
        <v>3</v>
      </c>
      <c r="BY42" s="138"/>
      <c r="BZ42" s="140"/>
      <c r="CA4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2.2666666666666666</v>
      </c>
      <c r="CB42" s="140">
        <f>IFERROR(AVERAGE(Table110461117[[#This Row],[Column31]],Table110461117[[#This Row],[Column13]],Table110461117[[#This Row],[Column4]],Table110461117[[#This Row],[Column22]],),"A")</f>
        <v>0.4</v>
      </c>
      <c r="CC42" s="140">
        <f>IFERROR(AVERAGE(Table110461117[[#This Row],[Column5]],Table110461117[[#This Row],[Column14]],Table110461117[[#This Row],[Column23]],Table110461117[[#This Row],[Column32]]),"A")</f>
        <v>0.5</v>
      </c>
      <c r="CD42" s="140">
        <f>IFERROR(AVERAGE(Table110461117[[#This Row],[Column6]],Table110461117[[#This Row],[Column15]],Table110461117[[#This Row],[Column24]],Table110461117[[#This Row],[Column33]]),"A")</f>
        <v>0.5</v>
      </c>
      <c r="CE42" s="140"/>
      <c r="CF42" s="140">
        <f>IFERROR(AVERAGE(Table110461117[[#This Row],[Column26]],Table110461117[[#This Row],[Column35]],Table110461117[[#This Row],[Column17]],Table110461117[[#This Row],[Column8]]),"A")</f>
        <v>0.75</v>
      </c>
      <c r="CG42" s="138"/>
      <c r="CH42" s="140">
        <f>IFERROR(AVERAGE('Review 1'!AX42,'Review 2'!AX42,'Review 3'!AX42,'Review 4'!AX42,'Reflection -1 '!AX42,'Reflection -2'!AX42,'Reflection -3'!AX42,'Reflection -4'!AX42),"A")</f>
        <v>2.75</v>
      </c>
      <c r="CI42" s="140">
        <f>IFERROR(AVERAGE('Review 1'!AY42,'Review 2'!AY42,'Review 3'!AY42,'Review 4'!AY42,'Reflection -1 '!AY42,'Reflection -2'!AY42,'Reflection -3'!AY42,'Reflection -4'!AY42,Capstone!AY43),"A")</f>
        <v>0.66666666666666663</v>
      </c>
      <c r="CJ42" s="140">
        <f>IFERROR(AVERAGE('Review 1'!AZ42,'Review 2'!AZ42,'Review 3'!AZ42,'Review 4'!AZ42,'Reflection -1 '!AZ42,'Reflection -2'!AZ42,'Reflection -3'!AZ42,'Reflection -4'!AZ42),"A")</f>
        <v>1.375</v>
      </c>
    </row>
    <row r="43" spans="1:88" s="122" customFormat="1" ht="23.1" customHeight="1" x14ac:dyDescent="0.3">
      <c r="A43" s="137">
        <v>41</v>
      </c>
      <c r="B43" s="62" t="s">
        <v>306</v>
      </c>
      <c r="C43" s="62" t="s">
        <v>307</v>
      </c>
      <c r="D43" s="62" t="s">
        <v>542</v>
      </c>
      <c r="E43" s="62" t="s">
        <v>493</v>
      </c>
      <c r="F43" s="139"/>
      <c r="G43" s="139">
        <f>'Review 1'!Q43</f>
        <v>3</v>
      </c>
      <c r="H43" s="139">
        <f>'Review 1'!W43</f>
        <v>2</v>
      </c>
      <c r="I43" s="139">
        <f>'Review 1'!AC43</f>
        <v>2</v>
      </c>
      <c r="J43" s="139">
        <f>'Review 1'!AI43</f>
        <v>2.5</v>
      </c>
      <c r="K43" s="139"/>
      <c r="L43" s="139">
        <f>'Review 1'!AU43</f>
        <v>3</v>
      </c>
      <c r="M43" s="138"/>
      <c r="N43" s="139"/>
      <c r="O43" s="139">
        <f>'Review 2'!Q43</f>
        <v>2.8</v>
      </c>
      <c r="P43" s="139">
        <f>'Review 2'!W43</f>
        <v>2</v>
      </c>
      <c r="Q43" s="139">
        <f>'Review 2'!AC43</f>
        <v>2</v>
      </c>
      <c r="R43" s="139">
        <f>'Review 2'!AI43</f>
        <v>1</v>
      </c>
      <c r="S43" s="139"/>
      <c r="T43" s="139">
        <f>'Review 2'!AU43</f>
        <v>2</v>
      </c>
      <c r="U43" s="138"/>
      <c r="V43" s="62"/>
      <c r="W43" s="139">
        <f>'Review 3'!Q43</f>
        <v>2</v>
      </c>
      <c r="X43" s="139">
        <f>'Review 3'!W43</f>
        <v>0</v>
      </c>
      <c r="Y43" s="139">
        <f>'Review 3'!AC43</f>
        <v>0</v>
      </c>
      <c r="Z43" s="139">
        <f>'Review 3'!AI43</f>
        <v>0</v>
      </c>
      <c r="AA43" s="62"/>
      <c r="AB43" s="139">
        <f>'Review 3'!AU43</f>
        <v>0</v>
      </c>
      <c r="AC43" s="138"/>
      <c r="AD43" s="62"/>
      <c r="AE43" s="139">
        <f>'Review 4'!Q43</f>
        <v>3.8</v>
      </c>
      <c r="AF43" s="139">
        <f>'Review 4'!W43</f>
        <v>2</v>
      </c>
      <c r="AG43" s="139">
        <f>'Review 4'!AC43</f>
        <v>2</v>
      </c>
      <c r="AH43" s="139">
        <f>'Review 4'!AI43</f>
        <v>1</v>
      </c>
      <c r="AI43" s="139"/>
      <c r="AJ43" s="139">
        <f>'Review 4'!AU43</f>
        <v>1.6666666666666667</v>
      </c>
      <c r="AK43" s="138"/>
      <c r="AL43" s="62"/>
      <c r="AM43" s="139">
        <f>'Reflection -1 '!Q43</f>
        <v>2.3333333333333335</v>
      </c>
      <c r="AN43" s="62"/>
      <c r="AO43" s="62"/>
      <c r="AP43" s="62"/>
      <c r="AQ43" s="62"/>
      <c r="AR43" s="62"/>
      <c r="AS43" s="138"/>
      <c r="AT43" s="62"/>
      <c r="AU43" s="139">
        <f>'Reflection -2'!Q43</f>
        <v>2.6666666666666665</v>
      </c>
      <c r="AV43" s="62"/>
      <c r="AW43" s="62"/>
      <c r="AX43" s="62"/>
      <c r="AY43" s="139"/>
      <c r="AZ43" s="62"/>
      <c r="BA43" s="138"/>
      <c r="BB43" s="139"/>
      <c r="BC43" s="139">
        <f>'Reflection -3'!Q43</f>
        <v>2</v>
      </c>
      <c r="BD43" s="139"/>
      <c r="BE43" s="139"/>
      <c r="BF43" s="139"/>
      <c r="BG43" s="139"/>
      <c r="BH43" s="139"/>
      <c r="BI43" s="138"/>
      <c r="BJ43" s="139"/>
      <c r="BK43" s="139">
        <f>'Reflection -3'!Q43</f>
        <v>2</v>
      </c>
      <c r="BL43" s="62"/>
      <c r="BM43" s="139"/>
      <c r="BN43" s="62"/>
      <c r="BO43" s="139"/>
      <c r="BP43" s="139"/>
      <c r="BQ43" s="138"/>
      <c r="BR43" s="139"/>
      <c r="BS43" s="139">
        <f>Capstone!Q44</f>
        <v>4</v>
      </c>
      <c r="BT43" s="139">
        <f>Capstone!W44</f>
        <v>4</v>
      </c>
      <c r="BU43" s="139">
        <f>Capstone!AC44</f>
        <v>4</v>
      </c>
      <c r="BV43" s="139">
        <f>Capstone!AI44</f>
        <v>3</v>
      </c>
      <c r="BW43" s="139">
        <f>Capstone!AO44</f>
        <v>4</v>
      </c>
      <c r="BX43" s="139">
        <f>Capstone!AU44</f>
        <v>4</v>
      </c>
      <c r="BY43" s="138"/>
      <c r="BZ43" s="139"/>
      <c r="CA4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2.5750000000000002</v>
      </c>
      <c r="CB43" s="139">
        <f>IFERROR(AVERAGE(Table110461117[[#This Row],[Column31]],Table110461117[[#This Row],[Column13]],Table110461117[[#This Row],[Column4]],Table110461117[[#This Row],[Column22]],),"A")</f>
        <v>1.2</v>
      </c>
      <c r="CC43" s="139">
        <f>IFERROR(AVERAGE(Table110461117[[#This Row],[Column5]],Table110461117[[#This Row],[Column14]],Table110461117[[#This Row],[Column23]],Table110461117[[#This Row],[Column32]]),"A")</f>
        <v>1.5</v>
      </c>
      <c r="CD43" s="139">
        <f>IFERROR(AVERAGE(Table110461117[[#This Row],[Column6]],Table110461117[[#This Row],[Column15]],Table110461117[[#This Row],[Column24]],Table110461117[[#This Row],[Column33]]),"A")</f>
        <v>1.125</v>
      </c>
      <c r="CE43" s="139"/>
      <c r="CF43" s="139">
        <f>IFERROR(AVERAGE(Table110461117[[#This Row],[Column26]],Table110461117[[#This Row],[Column35]],Table110461117[[#This Row],[Column17]],Table110461117[[#This Row],[Column8]]),"A")</f>
        <v>1.6666666666666667</v>
      </c>
      <c r="CG43" s="138"/>
      <c r="CH43" s="139">
        <f>IFERROR(AVERAGE('Review 1'!AX43,'Review 2'!AX43,'Review 3'!AX43,'Review 4'!AX43,'Reflection -1 '!AX43,'Reflection -2'!AX43,'Reflection -3'!AX43,'Reflection -4'!AX43),"A")</f>
        <v>2.625</v>
      </c>
      <c r="CI43" s="139">
        <f>IFERROR(AVERAGE('Review 1'!AY43,'Review 2'!AY43,'Review 3'!AY43,'Review 4'!AY43,'Reflection -1 '!AY43,'Reflection -2'!AY43,'Reflection -3'!AY43,'Reflection -4'!AY43,Capstone!AY44),"A")</f>
        <v>2.2222222222222223</v>
      </c>
      <c r="CJ43" s="139">
        <f>IFERROR(AVERAGE('Review 1'!AZ43,'Review 2'!AZ43,'Review 3'!AZ43,'Review 4'!AZ43,'Reflection -1 '!AZ43,'Reflection -2'!AZ43,'Reflection -3'!AZ43,'Reflection -4'!AZ43),"A")</f>
        <v>2</v>
      </c>
    </row>
    <row r="44" spans="1:88" s="122" customFormat="1" ht="23.1" customHeight="1" x14ac:dyDescent="0.3">
      <c r="A44" s="6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140"/>
      <c r="G44" s="140">
        <f>'Review 1'!Q44</f>
        <v>2.4</v>
      </c>
      <c r="H44" s="140">
        <f>'Review 1'!W44</f>
        <v>2.3333333333333335</v>
      </c>
      <c r="I44" s="140">
        <f>'Review 1'!AC44</f>
        <v>2.5</v>
      </c>
      <c r="J44" s="140">
        <f>'Review 1'!AI44</f>
        <v>2.5</v>
      </c>
      <c r="K44" s="140"/>
      <c r="L44" s="140">
        <f>'Review 1'!AU44</f>
        <v>2.6666666666666665</v>
      </c>
      <c r="M44" s="138"/>
      <c r="N44" s="140"/>
      <c r="O44" s="140">
        <f>'Review 2'!Q44</f>
        <v>2.8</v>
      </c>
      <c r="P44" s="140">
        <f>'Review 2'!W44</f>
        <v>2.3333333333333335</v>
      </c>
      <c r="Q44" s="140">
        <f>'Review 2'!AC44</f>
        <v>2.5</v>
      </c>
      <c r="R44" s="140">
        <f>'Review 2'!AI44</f>
        <v>2.5</v>
      </c>
      <c r="S44" s="140"/>
      <c r="T44" s="140">
        <f>'Review 2'!AU44</f>
        <v>2.6666666666666665</v>
      </c>
      <c r="U44" s="138"/>
      <c r="V44" s="7"/>
      <c r="W44" s="140">
        <f>'Review 3'!Q44</f>
        <v>0</v>
      </c>
      <c r="X44" s="140">
        <f>'Review 3'!W44</f>
        <v>1.3333333333333333</v>
      </c>
      <c r="Y44" s="140">
        <f>'Review 3'!AC44</f>
        <v>2.5</v>
      </c>
      <c r="Z44" s="140">
        <f>'Review 3'!AI44</f>
        <v>2</v>
      </c>
      <c r="AA44" s="7"/>
      <c r="AB44" s="140">
        <f>'Review 3'!AU44</f>
        <v>0.66666666666666663</v>
      </c>
      <c r="AC44" s="138"/>
      <c r="AD44" s="7"/>
      <c r="AE44" s="140">
        <f>'Review 4'!Q44</f>
        <v>0</v>
      </c>
      <c r="AF44" s="140">
        <f>'Review 4'!W44</f>
        <v>0</v>
      </c>
      <c r="AG44" s="140">
        <f>'Review 4'!AC44</f>
        <v>0</v>
      </c>
      <c r="AH44" s="140">
        <f>'Review 4'!AI44</f>
        <v>0</v>
      </c>
      <c r="AI44" s="140"/>
      <c r="AJ44" s="140">
        <f>'Review 4'!AU44</f>
        <v>0</v>
      </c>
      <c r="AK44" s="138"/>
      <c r="AL44" s="7"/>
      <c r="AM44" s="140">
        <f>'Reflection -1 '!Q44</f>
        <v>2.3333333333333335</v>
      </c>
      <c r="AN44" s="7"/>
      <c r="AO44" s="7"/>
      <c r="AP44" s="7"/>
      <c r="AQ44" s="7"/>
      <c r="AR44" s="7"/>
      <c r="AS44" s="138"/>
      <c r="AT44" s="7"/>
      <c r="AU44" s="140">
        <f>'Reflection -2'!Q44</f>
        <v>1</v>
      </c>
      <c r="AV44" s="7"/>
      <c r="AW44" s="7"/>
      <c r="AX44" s="7"/>
      <c r="AY44" s="140"/>
      <c r="AZ44" s="7"/>
      <c r="BA44" s="138"/>
      <c r="BB44" s="140"/>
      <c r="BC44" s="140">
        <f>'Reflection -3'!Q44</f>
        <v>1.6666666666666667</v>
      </c>
      <c r="BD44" s="140"/>
      <c r="BE44" s="140"/>
      <c r="BF44" s="140"/>
      <c r="BG44" s="140"/>
      <c r="BH44" s="140"/>
      <c r="BI44" s="138"/>
      <c r="BJ44" s="140"/>
      <c r="BK44" s="140">
        <f>'Reflection -3'!Q44</f>
        <v>1.6666666666666667</v>
      </c>
      <c r="BL44" s="7"/>
      <c r="BM44" s="140"/>
      <c r="BN44" s="7"/>
      <c r="BO44" s="140"/>
      <c r="BP44" s="140"/>
      <c r="BQ44" s="138"/>
      <c r="BR44" s="140"/>
      <c r="BS44" s="140">
        <f>Capstone!Q45</f>
        <v>5</v>
      </c>
      <c r="BT44" s="140">
        <f>Capstone!W45</f>
        <v>5</v>
      </c>
      <c r="BU44" s="140">
        <f>Capstone!AC45</f>
        <v>5</v>
      </c>
      <c r="BV44" s="140">
        <f>Capstone!AI45</f>
        <v>0</v>
      </c>
      <c r="BW44" s="140">
        <f>Capstone!AO45</f>
        <v>5</v>
      </c>
      <c r="BX44" s="140">
        <f>Capstone!AU45</f>
        <v>5</v>
      </c>
      <c r="BY44" s="138"/>
      <c r="BZ44" s="140"/>
      <c r="CA4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1.4833333333333332</v>
      </c>
      <c r="CB44" s="140">
        <f>IFERROR(AVERAGE(Table110461117[[#This Row],[Column31]],Table110461117[[#This Row],[Column13]],Table110461117[[#This Row],[Column4]],Table110461117[[#This Row],[Column22]],),"A")</f>
        <v>1.2</v>
      </c>
      <c r="CC44" s="140">
        <f>IFERROR(AVERAGE(Table110461117[[#This Row],[Column5]],Table110461117[[#This Row],[Column14]],Table110461117[[#This Row],[Column23]],Table110461117[[#This Row],[Column32]]),"A")</f>
        <v>1.875</v>
      </c>
      <c r="CD44" s="140">
        <f>IFERROR(AVERAGE(Table110461117[[#This Row],[Column6]],Table110461117[[#This Row],[Column15]],Table110461117[[#This Row],[Column24]],Table110461117[[#This Row],[Column33]]),"A")</f>
        <v>1.75</v>
      </c>
      <c r="CE44" s="140"/>
      <c r="CF44" s="140">
        <f>IFERROR(AVERAGE(Table110461117[[#This Row],[Column26]],Table110461117[[#This Row],[Column35]],Table110461117[[#This Row],[Column17]],Table110461117[[#This Row],[Column8]]),"A")</f>
        <v>1.5</v>
      </c>
      <c r="CG44" s="138"/>
      <c r="CH44" s="140">
        <f>IFERROR(AVERAGE('Review 1'!AX44,'Review 2'!AX44,'Review 3'!AX44,'Review 4'!AX44,'Reflection -1 '!AX44,'Reflection -2'!AX44,'Reflection -3'!AX44,'Reflection -4'!AX44),"A")</f>
        <v>2.625</v>
      </c>
      <c r="CI44" s="140">
        <f>IFERROR(AVERAGE('Review 1'!AY44,'Review 2'!AY44,'Review 3'!AY44,'Review 4'!AY44,'Reflection -1 '!AY44,'Reflection -2'!AY44,'Reflection -3'!AY44,'Reflection -4'!AY44,Capstone!AY45),"A")</f>
        <v>1.1111111111111112</v>
      </c>
      <c r="CJ44" s="140">
        <f>IFERROR(AVERAGE('Review 1'!AZ44,'Review 2'!AZ44,'Review 3'!AZ44,'Review 4'!AZ44,'Reflection -1 '!AZ44,'Reflection -2'!AZ44,'Reflection -3'!AZ44,'Reflection -4'!AZ44),"A")</f>
        <v>1.125</v>
      </c>
    </row>
    <row r="45" spans="1:88" s="122" customFormat="1" ht="23.1" customHeight="1" x14ac:dyDescent="0.3">
      <c r="A45" s="137">
        <v>43</v>
      </c>
      <c r="B45" s="62" t="s">
        <v>114</v>
      </c>
      <c r="C45" s="62" t="s">
        <v>115</v>
      </c>
      <c r="D45" s="62" t="s">
        <v>450</v>
      </c>
      <c r="E45" s="62" t="s">
        <v>35</v>
      </c>
      <c r="F45" s="139"/>
      <c r="G45" s="139">
        <f>'Review 1'!Q45</f>
        <v>2.6</v>
      </c>
      <c r="H45" s="139">
        <f>'Review 1'!W45</f>
        <v>2</v>
      </c>
      <c r="I45" s="139">
        <f>'Review 1'!AC45</f>
        <v>1.5</v>
      </c>
      <c r="J45" s="139">
        <f>'Review 1'!AI45</f>
        <v>1.5</v>
      </c>
      <c r="K45" s="139"/>
      <c r="L45" s="139">
        <f>'Review 1'!AU45</f>
        <v>1</v>
      </c>
      <c r="M45" s="138"/>
      <c r="N45" s="139"/>
      <c r="O45" s="139">
        <f>'Review 2'!Q45</f>
        <v>2.6</v>
      </c>
      <c r="P45" s="139">
        <f>'Review 2'!W45</f>
        <v>2</v>
      </c>
      <c r="Q45" s="139">
        <f>'Review 2'!AC45</f>
        <v>1.5</v>
      </c>
      <c r="R45" s="139">
        <f>'Review 2'!AI45</f>
        <v>1.5</v>
      </c>
      <c r="S45" s="139"/>
      <c r="T45" s="139">
        <f>'Review 2'!AU45</f>
        <v>1</v>
      </c>
      <c r="U45" s="138"/>
      <c r="V45" s="62"/>
      <c r="W45" s="139">
        <f>'Review 3'!Q45</f>
        <v>2.2000000000000002</v>
      </c>
      <c r="X45" s="139">
        <f>'Review 3'!W45</f>
        <v>0</v>
      </c>
      <c r="Y45" s="139">
        <f>'Review 3'!AC45</f>
        <v>0</v>
      </c>
      <c r="Z45" s="139">
        <f>'Review 3'!AI45</f>
        <v>0</v>
      </c>
      <c r="AA45" s="62"/>
      <c r="AB45" s="139">
        <f>'Review 3'!AU45</f>
        <v>0</v>
      </c>
      <c r="AC45" s="138"/>
      <c r="AD45" s="62"/>
      <c r="AE45" s="139">
        <f>'Review 4'!Q45</f>
        <v>0</v>
      </c>
      <c r="AF45" s="139">
        <f>'Review 4'!W45</f>
        <v>0</v>
      </c>
      <c r="AG45" s="139">
        <f>'Review 4'!AC45</f>
        <v>0</v>
      </c>
      <c r="AH45" s="139">
        <f>'Review 4'!AI45</f>
        <v>0</v>
      </c>
      <c r="AI45" s="139"/>
      <c r="AJ45" s="139">
        <f>'Review 4'!AU45</f>
        <v>0</v>
      </c>
      <c r="AK45" s="138"/>
      <c r="AL45" s="62"/>
      <c r="AM45" s="139">
        <f>'Reflection -1 '!Q45</f>
        <v>3.6666666666666665</v>
      </c>
      <c r="AN45" s="62"/>
      <c r="AO45" s="62"/>
      <c r="AP45" s="62"/>
      <c r="AQ45" s="62"/>
      <c r="AR45" s="62"/>
      <c r="AS45" s="138"/>
      <c r="AT45" s="62"/>
      <c r="AU45" s="139">
        <f>'Reflection -2'!Q45</f>
        <v>3.3333333333333335</v>
      </c>
      <c r="AV45" s="62"/>
      <c r="AW45" s="62"/>
      <c r="AX45" s="62"/>
      <c r="AY45" s="139"/>
      <c r="AZ45" s="62"/>
      <c r="BA45" s="138"/>
      <c r="BB45" s="139"/>
      <c r="BC45" s="139">
        <f>'Reflection -3'!Q45</f>
        <v>3.3333333333333335</v>
      </c>
      <c r="BD45" s="139"/>
      <c r="BE45" s="139"/>
      <c r="BF45" s="139"/>
      <c r="BG45" s="139"/>
      <c r="BH45" s="139"/>
      <c r="BI45" s="138"/>
      <c r="BJ45" s="139"/>
      <c r="BK45" s="139">
        <f>'Reflection -3'!Q45</f>
        <v>3.3333333333333335</v>
      </c>
      <c r="BL45" s="62"/>
      <c r="BM45" s="139"/>
      <c r="BN45" s="62"/>
      <c r="BO45" s="139"/>
      <c r="BP45" s="139"/>
      <c r="BQ45" s="138"/>
      <c r="BR45" s="139"/>
      <c r="BS45" s="139">
        <f>Capstone!Q46</f>
        <v>4.666666666666667</v>
      </c>
      <c r="BT45" s="139">
        <f>Capstone!W46</f>
        <v>3</v>
      </c>
      <c r="BU45" s="139">
        <f>Capstone!AC46</f>
        <v>3</v>
      </c>
      <c r="BV45" s="139">
        <f>Capstone!AI46</f>
        <v>4</v>
      </c>
      <c r="BW45" s="139">
        <f>Capstone!AO46</f>
        <v>4</v>
      </c>
      <c r="BX45" s="139">
        <f>Capstone!AU46</f>
        <v>3</v>
      </c>
      <c r="BY45" s="138"/>
      <c r="BZ45" s="139"/>
      <c r="CA4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2.6333333333333333</v>
      </c>
      <c r="CB45" s="139">
        <f>IFERROR(AVERAGE(Table110461117[[#This Row],[Column31]],Table110461117[[#This Row],[Column13]],Table110461117[[#This Row],[Column4]],Table110461117[[#This Row],[Column22]],),"A")</f>
        <v>0.8</v>
      </c>
      <c r="CC45" s="139">
        <f>IFERROR(AVERAGE(Table110461117[[#This Row],[Column5]],Table110461117[[#This Row],[Column14]],Table110461117[[#This Row],[Column23]],Table110461117[[#This Row],[Column32]]),"A")</f>
        <v>0.75</v>
      </c>
      <c r="CD45" s="139">
        <f>IFERROR(AVERAGE(Table110461117[[#This Row],[Column6]],Table110461117[[#This Row],[Column15]],Table110461117[[#This Row],[Column24]],Table110461117[[#This Row],[Column33]]),"A")</f>
        <v>0.75</v>
      </c>
      <c r="CE45" s="139"/>
      <c r="CF45" s="139">
        <f>IFERROR(AVERAGE(Table110461117[[#This Row],[Column26]],Table110461117[[#This Row],[Column35]],Table110461117[[#This Row],[Column17]],Table110461117[[#This Row],[Column8]]),"A")</f>
        <v>0.5</v>
      </c>
      <c r="CG45" s="138"/>
      <c r="CH45" s="139">
        <f>IFERROR(AVERAGE('Review 1'!AX45,'Review 2'!AX45,'Review 3'!AX45,'Review 4'!AX45,'Reflection -1 '!AX45,'Reflection -2'!AX45,'Reflection -3'!AX45,'Reflection -4'!AX45),"A")</f>
        <v>2.75</v>
      </c>
      <c r="CI45" s="139">
        <f>IFERROR(AVERAGE('Review 1'!AY45,'Review 2'!AY45,'Review 3'!AY45,'Review 4'!AY45,'Reflection -1 '!AY45,'Reflection -2'!AY45,'Reflection -3'!AY45,'Reflection -4'!AY45,Capstone!AY46),"A")</f>
        <v>0.55555555555555558</v>
      </c>
      <c r="CJ45" s="139">
        <f>IFERROR(AVERAGE('Review 1'!AZ45,'Review 2'!AZ45,'Review 3'!AZ45,'Review 4'!AZ45,'Reflection -1 '!AZ45,'Reflection -2'!AZ45,'Reflection -3'!AZ45,'Reflection -4'!AZ45),"A")</f>
        <v>2.125</v>
      </c>
    </row>
    <row r="46" spans="1:88" s="122" customFormat="1" ht="23.1" customHeight="1" x14ac:dyDescent="0.3">
      <c r="A46" s="6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140"/>
      <c r="G46" s="140">
        <f>'Review 1'!Q46</f>
        <v>3.4</v>
      </c>
      <c r="H46" s="140">
        <f>'Review 1'!W46</f>
        <v>3</v>
      </c>
      <c r="I46" s="140">
        <f>'Review 1'!AC46</f>
        <v>3</v>
      </c>
      <c r="J46" s="140">
        <f>'Review 1'!AI46</f>
        <v>2.5</v>
      </c>
      <c r="K46" s="140"/>
      <c r="L46" s="140">
        <f>'Review 1'!AU46</f>
        <v>1</v>
      </c>
      <c r="M46" s="138"/>
      <c r="N46" s="140"/>
      <c r="O46" s="140">
        <f>'Review 2'!Q46</f>
        <v>3.4</v>
      </c>
      <c r="P46" s="140">
        <f>'Review 2'!W46</f>
        <v>3</v>
      </c>
      <c r="Q46" s="140">
        <f>'Review 2'!AC46</f>
        <v>3</v>
      </c>
      <c r="R46" s="140">
        <f>'Review 2'!AI46</f>
        <v>2.5</v>
      </c>
      <c r="S46" s="140"/>
      <c r="T46" s="140">
        <f>'Review 2'!AU46</f>
        <v>1</v>
      </c>
      <c r="U46" s="138"/>
      <c r="V46" s="7"/>
      <c r="W46" s="140">
        <f>'Review 3'!Q46</f>
        <v>0.6</v>
      </c>
      <c r="X46" s="140">
        <f>'Review 3'!W46</f>
        <v>0</v>
      </c>
      <c r="Y46" s="140">
        <f>'Review 3'!AC46</f>
        <v>0</v>
      </c>
      <c r="Z46" s="140">
        <f>'Review 3'!AI46</f>
        <v>0</v>
      </c>
      <c r="AA46" s="7"/>
      <c r="AB46" s="140">
        <f>'Review 3'!AU46</f>
        <v>0</v>
      </c>
      <c r="AC46" s="138"/>
      <c r="AD46" s="7"/>
      <c r="AE46" s="140">
        <f>'Review 4'!Q46</f>
        <v>3.2</v>
      </c>
      <c r="AF46" s="140">
        <f>'Review 4'!W46</f>
        <v>4</v>
      </c>
      <c r="AG46" s="140">
        <f>'Review 4'!AC46</f>
        <v>3.5</v>
      </c>
      <c r="AH46" s="140">
        <f>'Review 4'!AI46</f>
        <v>2.5</v>
      </c>
      <c r="AI46" s="140"/>
      <c r="AJ46" s="140">
        <f>'Review 4'!AU46</f>
        <v>4</v>
      </c>
      <c r="AK46" s="138"/>
      <c r="AL46" s="7"/>
      <c r="AM46" s="140">
        <f>'Reflection -1 '!Q46</f>
        <v>3.6666666666666665</v>
      </c>
      <c r="AN46" s="7"/>
      <c r="AO46" s="7"/>
      <c r="AP46" s="7"/>
      <c r="AQ46" s="7"/>
      <c r="AR46" s="7"/>
      <c r="AS46" s="138"/>
      <c r="AT46" s="7"/>
      <c r="AU46" s="140">
        <f>'Reflection -2'!Q46</f>
        <v>4</v>
      </c>
      <c r="AV46" s="7"/>
      <c r="AW46" s="7"/>
      <c r="AX46" s="7"/>
      <c r="AY46" s="140"/>
      <c r="AZ46" s="7"/>
      <c r="BA46" s="138"/>
      <c r="BB46" s="140"/>
      <c r="BC46" s="140">
        <f>'Reflection -3'!Q46</f>
        <v>0</v>
      </c>
      <c r="BD46" s="140"/>
      <c r="BE46" s="140"/>
      <c r="BF46" s="140"/>
      <c r="BG46" s="140"/>
      <c r="BH46" s="140"/>
      <c r="BI46" s="138"/>
      <c r="BJ46" s="140"/>
      <c r="BK46" s="140">
        <f>'Reflection -3'!Q46</f>
        <v>0</v>
      </c>
      <c r="BL46" s="7"/>
      <c r="BM46" s="140"/>
      <c r="BN46" s="7"/>
      <c r="BO46" s="140"/>
      <c r="BP46" s="140"/>
      <c r="BQ46" s="138"/>
      <c r="BR46" s="140"/>
      <c r="BS46" s="140">
        <f>Capstone!Q47</f>
        <v>4.666666666666667</v>
      </c>
      <c r="BT46" s="140">
        <f>Capstone!W47</f>
        <v>3</v>
      </c>
      <c r="BU46" s="140">
        <f>Capstone!AC47</f>
        <v>3</v>
      </c>
      <c r="BV46" s="140">
        <f>Capstone!AI47</f>
        <v>4</v>
      </c>
      <c r="BW46" s="140">
        <f>Capstone!AO47</f>
        <v>4</v>
      </c>
      <c r="BX46" s="140">
        <f>Capstone!AU47</f>
        <v>4</v>
      </c>
      <c r="BY46" s="138"/>
      <c r="BZ46" s="140"/>
      <c r="CA4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2.2833333333333337</v>
      </c>
      <c r="CB46" s="140">
        <f>IFERROR(AVERAGE(Table110461117[[#This Row],[Column31]],Table110461117[[#This Row],[Column13]],Table110461117[[#This Row],[Column4]],Table110461117[[#This Row],[Column22]],),"A")</f>
        <v>2</v>
      </c>
      <c r="CC46" s="140">
        <f>IFERROR(AVERAGE(Table110461117[[#This Row],[Column5]],Table110461117[[#This Row],[Column14]],Table110461117[[#This Row],[Column23]],Table110461117[[#This Row],[Column32]]),"A")</f>
        <v>2.375</v>
      </c>
      <c r="CD46" s="140">
        <f>IFERROR(AVERAGE(Table110461117[[#This Row],[Column6]],Table110461117[[#This Row],[Column15]],Table110461117[[#This Row],[Column24]],Table110461117[[#This Row],[Column33]]),"A")</f>
        <v>1.875</v>
      </c>
      <c r="CE46" s="140"/>
      <c r="CF46" s="140">
        <f>IFERROR(AVERAGE(Table110461117[[#This Row],[Column26]],Table110461117[[#This Row],[Column35]],Table110461117[[#This Row],[Column17]],Table110461117[[#This Row],[Column8]]),"A")</f>
        <v>1.5</v>
      </c>
      <c r="CG46" s="138"/>
      <c r="CH46" s="140">
        <f>IFERROR(AVERAGE('Review 1'!AX46,'Review 2'!AX46,'Review 3'!AX46,'Review 4'!AX46,'Reflection -1 '!AX46,'Reflection -2'!AX46,'Reflection -3'!AX46,'Reflection -4'!AX46),"A")</f>
        <v>3.75</v>
      </c>
      <c r="CI46" s="140">
        <f>IFERROR(AVERAGE('Review 1'!AY46,'Review 2'!AY46,'Review 3'!AY46,'Review 4'!AY46,'Reflection -1 '!AY46,'Reflection -2'!AY46,'Reflection -3'!AY46,'Reflection -4'!AY46,Capstone!AY47),"A")</f>
        <v>1.6666666666666667</v>
      </c>
      <c r="CJ46" s="140">
        <f>IFERROR(AVERAGE('Review 1'!AZ46,'Review 2'!AZ46,'Review 3'!AZ46,'Review 4'!AZ46,'Reflection -1 '!AZ46,'Reflection -2'!AZ46,'Reflection -3'!AZ46,'Reflection -4'!AZ46),"A")</f>
        <v>3.125</v>
      </c>
    </row>
    <row r="47" spans="1:88" s="122" customFormat="1" ht="23.1" customHeight="1" x14ac:dyDescent="0.3">
      <c r="A47" s="137">
        <v>45</v>
      </c>
      <c r="B47" s="62" t="s">
        <v>180</v>
      </c>
      <c r="C47" s="62" t="s">
        <v>181</v>
      </c>
      <c r="D47" s="62" t="s">
        <v>450</v>
      </c>
      <c r="E47" s="62" t="s">
        <v>161</v>
      </c>
      <c r="F47" s="139"/>
      <c r="G47" s="139">
        <f>'Review 1'!Q47</f>
        <v>2</v>
      </c>
      <c r="H47" s="139">
        <f>'Review 1'!W47</f>
        <v>2</v>
      </c>
      <c r="I47" s="139">
        <f>'Review 1'!AC47</f>
        <v>2</v>
      </c>
      <c r="J47" s="139">
        <f>'Review 1'!AI47</f>
        <v>2</v>
      </c>
      <c r="K47" s="139"/>
      <c r="L47" s="139">
        <f>'Review 1'!AU47</f>
        <v>2</v>
      </c>
      <c r="M47" s="138"/>
      <c r="N47" s="139"/>
      <c r="O47" s="139">
        <f>'Review 2'!Q47</f>
        <v>2</v>
      </c>
      <c r="P47" s="139">
        <f>'Review 2'!W47</f>
        <v>2</v>
      </c>
      <c r="Q47" s="139">
        <f>'Review 2'!AC47</f>
        <v>2</v>
      </c>
      <c r="R47" s="139">
        <f>'Review 2'!AI47</f>
        <v>2</v>
      </c>
      <c r="S47" s="139"/>
      <c r="T47" s="139">
        <f>'Review 2'!AU47</f>
        <v>2</v>
      </c>
      <c r="U47" s="138"/>
      <c r="V47" s="62"/>
      <c r="W47" s="139">
        <f>'Review 3'!Q47</f>
        <v>2.8</v>
      </c>
      <c r="X47" s="139">
        <f>'Review 3'!W47</f>
        <v>2.3333333333333335</v>
      </c>
      <c r="Y47" s="139">
        <f>'Review 3'!AC47</f>
        <v>2</v>
      </c>
      <c r="Z47" s="139">
        <f>'Review 3'!AI47</f>
        <v>2</v>
      </c>
      <c r="AA47" s="62"/>
      <c r="AB47" s="139">
        <f>'Review 3'!AU47</f>
        <v>2.3333333333333335</v>
      </c>
      <c r="AC47" s="138"/>
      <c r="AD47" s="62"/>
      <c r="AE47" s="139">
        <f>'Review 4'!Q47</f>
        <v>3.2</v>
      </c>
      <c r="AF47" s="139">
        <f>'Review 4'!W47</f>
        <v>3</v>
      </c>
      <c r="AG47" s="139">
        <f>'Review 4'!AC47</f>
        <v>1.5</v>
      </c>
      <c r="AH47" s="139">
        <f>'Review 4'!AI47</f>
        <v>2.5</v>
      </c>
      <c r="AI47" s="139"/>
      <c r="AJ47" s="139">
        <f>'Review 4'!AU47</f>
        <v>1.3333333333333333</v>
      </c>
      <c r="AK47" s="138"/>
      <c r="AL47" s="62"/>
      <c r="AM47" s="139">
        <f>'Reflection -1 '!Q47</f>
        <v>1</v>
      </c>
      <c r="AN47" s="62"/>
      <c r="AO47" s="62"/>
      <c r="AP47" s="62"/>
      <c r="AQ47" s="62"/>
      <c r="AR47" s="62"/>
      <c r="AS47" s="138"/>
      <c r="AT47" s="62"/>
      <c r="AU47" s="139">
        <f>'Reflection -2'!Q47</f>
        <v>2.6666666666666665</v>
      </c>
      <c r="AV47" s="62"/>
      <c r="AW47" s="62"/>
      <c r="AX47" s="62"/>
      <c r="AY47" s="139"/>
      <c r="AZ47" s="62"/>
      <c r="BA47" s="138"/>
      <c r="BB47" s="139"/>
      <c r="BC47" s="139">
        <f>'Reflection -3'!Q47</f>
        <v>1.6666666666666667</v>
      </c>
      <c r="BD47" s="139"/>
      <c r="BE47" s="139"/>
      <c r="BF47" s="139"/>
      <c r="BG47" s="139"/>
      <c r="BH47" s="139"/>
      <c r="BI47" s="138"/>
      <c r="BJ47" s="139"/>
      <c r="BK47" s="139">
        <f>'Reflection -3'!Q47</f>
        <v>1.6666666666666667</v>
      </c>
      <c r="BL47" s="62"/>
      <c r="BM47" s="139"/>
      <c r="BN47" s="62"/>
      <c r="BO47" s="139"/>
      <c r="BP47" s="139"/>
      <c r="BQ47" s="138"/>
      <c r="BR47" s="139"/>
      <c r="BS47" s="139">
        <f>Capstone!Q48</f>
        <v>2</v>
      </c>
      <c r="BT47" s="139">
        <f>Capstone!W48</f>
        <v>3</v>
      </c>
      <c r="BU47" s="139">
        <f>Capstone!AC48</f>
        <v>3</v>
      </c>
      <c r="BV47" s="139">
        <f>Capstone!AI48</f>
        <v>0</v>
      </c>
      <c r="BW47" s="139">
        <f>Capstone!AO48</f>
        <v>3</v>
      </c>
      <c r="BX47" s="139">
        <f>Capstone!AU48</f>
        <v>3</v>
      </c>
      <c r="BY47" s="138"/>
      <c r="BZ47" s="139"/>
      <c r="CA4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2.125</v>
      </c>
      <c r="CB47" s="139">
        <f>IFERROR(AVERAGE(Table110461117[[#This Row],[Column31]],Table110461117[[#This Row],[Column13]],Table110461117[[#This Row],[Column4]],Table110461117[[#This Row],[Column22]],),"A")</f>
        <v>1.8666666666666667</v>
      </c>
      <c r="CC47" s="139">
        <f>IFERROR(AVERAGE(Table110461117[[#This Row],[Column5]],Table110461117[[#This Row],[Column14]],Table110461117[[#This Row],[Column23]],Table110461117[[#This Row],[Column32]]),"A")</f>
        <v>1.875</v>
      </c>
      <c r="CD47" s="139">
        <f>IFERROR(AVERAGE(Table110461117[[#This Row],[Column6]],Table110461117[[#This Row],[Column15]],Table110461117[[#This Row],[Column24]],Table110461117[[#This Row],[Column33]]),"A")</f>
        <v>2.125</v>
      </c>
      <c r="CE47" s="139"/>
      <c r="CF47" s="139">
        <f>IFERROR(AVERAGE(Table110461117[[#This Row],[Column26]],Table110461117[[#This Row],[Column35]],Table110461117[[#This Row],[Column17]],Table110461117[[#This Row],[Column8]]),"A")</f>
        <v>1.9166666666666667</v>
      </c>
      <c r="CG47" s="138"/>
      <c r="CH47" s="139">
        <f>IFERROR(AVERAGE('Review 1'!AX47,'Review 2'!AX47,'Review 3'!AX47,'Review 4'!AX47,'Reflection -1 '!AX47,'Reflection -2'!AX47,'Reflection -3'!AX47,'Reflection -4'!AX47),"A")</f>
        <v>3.125</v>
      </c>
      <c r="CI47" s="139">
        <f>IFERROR(AVERAGE('Review 1'!AY47,'Review 2'!AY47,'Review 3'!AY47,'Review 4'!AY47,'Reflection -1 '!AY47,'Reflection -2'!AY47,'Reflection -3'!AY47,'Reflection -4'!AY47,Capstone!AY48),"A")</f>
        <v>1</v>
      </c>
      <c r="CJ47" s="139">
        <f>IFERROR(AVERAGE('Review 1'!AZ47,'Review 2'!AZ47,'Review 3'!AZ47,'Review 4'!AZ47,'Reflection -1 '!AZ47,'Reflection -2'!AZ47,'Reflection -3'!AZ47,'Reflection -4'!AZ47),"A")</f>
        <v>1.625</v>
      </c>
    </row>
    <row r="48" spans="1:88" s="122" customFormat="1" ht="23.1" customHeight="1" x14ac:dyDescent="0.3">
      <c r="A48" s="6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140"/>
      <c r="G48" s="140">
        <f>'Review 1'!Q48</f>
        <v>2.8</v>
      </c>
      <c r="H48" s="140">
        <f>'Review 1'!W48</f>
        <v>3</v>
      </c>
      <c r="I48" s="140">
        <f>'Review 1'!AC48</f>
        <v>3</v>
      </c>
      <c r="J48" s="140">
        <f>'Review 1'!AI48</f>
        <v>3</v>
      </c>
      <c r="K48" s="140"/>
      <c r="L48" s="140">
        <f>'Review 1'!AU48</f>
        <v>3</v>
      </c>
      <c r="M48" s="138"/>
      <c r="N48" s="140"/>
      <c r="O48" s="140">
        <f>'Review 2'!Q48</f>
        <v>2.8</v>
      </c>
      <c r="P48" s="140">
        <f>'Review 2'!W48</f>
        <v>2</v>
      </c>
      <c r="Q48" s="140">
        <f>'Review 2'!AC48</f>
        <v>2</v>
      </c>
      <c r="R48" s="140">
        <f>'Review 2'!AI48</f>
        <v>1</v>
      </c>
      <c r="S48" s="140"/>
      <c r="T48" s="140">
        <f>'Review 2'!AU48</f>
        <v>2</v>
      </c>
      <c r="U48" s="138"/>
      <c r="V48" s="7"/>
      <c r="W48" s="140">
        <f>'Review 3'!Q48</f>
        <v>3</v>
      </c>
      <c r="X48" s="140">
        <f>'Review 3'!W48</f>
        <v>2</v>
      </c>
      <c r="Y48" s="140">
        <f>'Review 3'!AC48</f>
        <v>2</v>
      </c>
      <c r="Z48" s="140">
        <f>'Review 3'!AI48</f>
        <v>2</v>
      </c>
      <c r="AA48" s="7"/>
      <c r="AB48" s="140">
        <f>'Review 3'!AU48</f>
        <v>2</v>
      </c>
      <c r="AC48" s="138"/>
      <c r="AD48" s="7"/>
      <c r="AE48" s="140">
        <f>'Review 4'!Q48</f>
        <v>2.4</v>
      </c>
      <c r="AF48" s="140">
        <f>'Review 4'!W48</f>
        <v>3</v>
      </c>
      <c r="AG48" s="140">
        <f>'Review 4'!AC48</f>
        <v>2</v>
      </c>
      <c r="AH48" s="140">
        <f>'Review 4'!AI48</f>
        <v>5</v>
      </c>
      <c r="AI48" s="140"/>
      <c r="AJ48" s="140">
        <f>'Review 4'!AU48</f>
        <v>1.6666666666666667</v>
      </c>
      <c r="AK48" s="138"/>
      <c r="AL48" s="7"/>
      <c r="AM48" s="140">
        <f>'Reflection -1 '!Q48</f>
        <v>3.6666666666666665</v>
      </c>
      <c r="AN48" s="7"/>
      <c r="AO48" s="7"/>
      <c r="AP48" s="7"/>
      <c r="AQ48" s="7"/>
      <c r="AR48" s="7"/>
      <c r="AS48" s="138"/>
      <c r="AT48" s="7"/>
      <c r="AU48" s="140">
        <f>'Reflection -2'!Q48</f>
        <v>3</v>
      </c>
      <c r="AV48" s="7"/>
      <c r="AW48" s="7"/>
      <c r="AX48" s="7"/>
      <c r="AY48" s="140"/>
      <c r="AZ48" s="7"/>
      <c r="BA48" s="138"/>
      <c r="BB48" s="140"/>
      <c r="BC48" s="140">
        <f>'Reflection -3'!Q48</f>
        <v>3</v>
      </c>
      <c r="BD48" s="140"/>
      <c r="BE48" s="140"/>
      <c r="BF48" s="140"/>
      <c r="BG48" s="140"/>
      <c r="BH48" s="140"/>
      <c r="BI48" s="138"/>
      <c r="BJ48" s="140"/>
      <c r="BK48" s="140">
        <f>'Reflection -3'!Q48</f>
        <v>3</v>
      </c>
      <c r="BL48" s="7"/>
      <c r="BM48" s="140"/>
      <c r="BN48" s="7"/>
      <c r="BO48" s="140"/>
      <c r="BP48" s="140"/>
      <c r="BQ48" s="138"/>
      <c r="BR48" s="140"/>
      <c r="BS48" s="140">
        <f>Capstone!Q49</f>
        <v>5</v>
      </c>
      <c r="BT48" s="140">
        <f>Capstone!W49</f>
        <v>5</v>
      </c>
      <c r="BU48" s="140">
        <f>Capstone!AC49</f>
        <v>5</v>
      </c>
      <c r="BV48" s="140">
        <f>Capstone!AI49</f>
        <v>5</v>
      </c>
      <c r="BW48" s="140">
        <f>Capstone!AO49</f>
        <v>4</v>
      </c>
      <c r="BX48" s="140">
        <f>Capstone!AU49</f>
        <v>3</v>
      </c>
      <c r="BY48" s="138"/>
      <c r="BZ48" s="140"/>
      <c r="CA4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2.9583333333333335</v>
      </c>
      <c r="CB48" s="140">
        <f>IFERROR(AVERAGE(Table110461117[[#This Row],[Column31]],Table110461117[[#This Row],[Column13]],Table110461117[[#This Row],[Column4]],Table110461117[[#This Row],[Column22]],),"A")</f>
        <v>2</v>
      </c>
      <c r="CC48" s="140">
        <f>IFERROR(AVERAGE(Table110461117[[#This Row],[Column5]],Table110461117[[#This Row],[Column14]],Table110461117[[#This Row],[Column23]],Table110461117[[#This Row],[Column32]]),"A")</f>
        <v>2.25</v>
      </c>
      <c r="CD48" s="140">
        <f>IFERROR(AVERAGE(Table110461117[[#This Row],[Column6]],Table110461117[[#This Row],[Column15]],Table110461117[[#This Row],[Column24]],Table110461117[[#This Row],[Column33]]),"A")</f>
        <v>2.75</v>
      </c>
      <c r="CE48" s="140"/>
      <c r="CF48" s="140">
        <f>IFERROR(AVERAGE(Table110461117[[#This Row],[Column26]],Table110461117[[#This Row],[Column35]],Table110461117[[#This Row],[Column17]],Table110461117[[#This Row],[Column8]]),"A")</f>
        <v>2.166666666666667</v>
      </c>
      <c r="CG48" s="138"/>
      <c r="CH48" s="140">
        <f>IFERROR(AVERAGE('Review 1'!AX48,'Review 2'!AX48,'Review 3'!AX48,'Review 4'!AX48,'Reflection -1 '!AX48,'Reflection -2'!AX48,'Reflection -3'!AX48,'Reflection -4'!AX48),"A")</f>
        <v>4</v>
      </c>
      <c r="CI48" s="140">
        <f>IFERROR(AVERAGE('Review 1'!AY48,'Review 2'!AY48,'Review 3'!AY48,'Review 4'!AY48,'Reflection -1 '!AY48,'Reflection -2'!AY48,'Reflection -3'!AY48,'Reflection -4'!AY48,Capstone!AY49),"A")</f>
        <v>2.6666666666666665</v>
      </c>
      <c r="CJ48" s="140">
        <f>IFERROR(AVERAGE('Review 1'!AZ48,'Review 2'!AZ48,'Review 3'!AZ48,'Review 4'!AZ48,'Reflection -1 '!AZ48,'Reflection -2'!AZ48,'Reflection -3'!AZ48,'Reflection -4'!AZ48),"A")</f>
        <v>2.875</v>
      </c>
    </row>
    <row r="49" spans="1:88" s="122" customFormat="1" ht="23.1" customHeight="1" x14ac:dyDescent="0.3">
      <c r="A49" s="137">
        <v>47</v>
      </c>
      <c r="B49" s="62" t="s">
        <v>118</v>
      </c>
      <c r="C49" s="62" t="s">
        <v>119</v>
      </c>
      <c r="D49" s="62" t="s">
        <v>450</v>
      </c>
      <c r="E49" s="62" t="s">
        <v>35</v>
      </c>
      <c r="F49" s="139"/>
      <c r="G49" s="139">
        <f>'Review 1'!Q49</f>
        <v>1.4</v>
      </c>
      <c r="H49" s="139">
        <f>'Review 1'!W49</f>
        <v>2</v>
      </c>
      <c r="I49" s="139">
        <f>'Review 1'!AC49</f>
        <v>2</v>
      </c>
      <c r="J49" s="139">
        <f>'Review 1'!AI49</f>
        <v>2</v>
      </c>
      <c r="K49" s="139"/>
      <c r="L49" s="139">
        <f>'Review 1'!AU49</f>
        <v>1</v>
      </c>
      <c r="M49" s="138"/>
      <c r="N49" s="139"/>
      <c r="O49" s="139">
        <f>'Review 2'!Q49</f>
        <v>1.4</v>
      </c>
      <c r="P49" s="139">
        <f>'Review 2'!W49</f>
        <v>2</v>
      </c>
      <c r="Q49" s="139">
        <f>'Review 2'!AC49</f>
        <v>2</v>
      </c>
      <c r="R49" s="139">
        <f>'Review 2'!AI49</f>
        <v>2</v>
      </c>
      <c r="S49" s="139"/>
      <c r="T49" s="139">
        <f>'Review 2'!AU49</f>
        <v>1</v>
      </c>
      <c r="U49" s="138"/>
      <c r="V49" s="62"/>
      <c r="W49" s="139">
        <f>'Review 3'!Q49</f>
        <v>0.6</v>
      </c>
      <c r="X49" s="139">
        <f>'Review 3'!W49</f>
        <v>0</v>
      </c>
      <c r="Y49" s="139">
        <f>'Review 3'!AC49</f>
        <v>0</v>
      </c>
      <c r="Z49" s="139">
        <f>'Review 3'!AI49</f>
        <v>0</v>
      </c>
      <c r="AA49" s="62"/>
      <c r="AB49" s="139">
        <f>'Review 3'!AU49</f>
        <v>0</v>
      </c>
      <c r="AC49" s="138"/>
      <c r="AD49" s="62"/>
      <c r="AE49" s="139">
        <f>'Review 4'!Q49</f>
        <v>0</v>
      </c>
      <c r="AF49" s="139">
        <f>'Review 4'!W49</f>
        <v>0</v>
      </c>
      <c r="AG49" s="139">
        <f>'Review 4'!AC49</f>
        <v>0</v>
      </c>
      <c r="AH49" s="139">
        <f>'Review 4'!AI49</f>
        <v>0</v>
      </c>
      <c r="AI49" s="139"/>
      <c r="AJ49" s="139">
        <f>'Review 4'!AU49</f>
        <v>0</v>
      </c>
      <c r="AK49" s="138"/>
      <c r="AL49" s="62"/>
      <c r="AM49" s="139">
        <f>'Reflection -1 '!Q49</f>
        <v>2.6666666666666665</v>
      </c>
      <c r="AN49" s="62"/>
      <c r="AO49" s="62"/>
      <c r="AP49" s="62"/>
      <c r="AQ49" s="62"/>
      <c r="AR49" s="62"/>
      <c r="AS49" s="138"/>
      <c r="AT49" s="62"/>
      <c r="AU49" s="139">
        <f>'Reflection -2'!Q49</f>
        <v>2.6666666666666665</v>
      </c>
      <c r="AV49" s="62"/>
      <c r="AW49" s="62"/>
      <c r="AX49" s="62"/>
      <c r="AY49" s="139"/>
      <c r="AZ49" s="62"/>
      <c r="BA49" s="138"/>
      <c r="BB49" s="139"/>
      <c r="BC49" s="139">
        <f>'Reflection -3'!Q49</f>
        <v>2.6666666666666665</v>
      </c>
      <c r="BD49" s="139"/>
      <c r="BE49" s="139"/>
      <c r="BF49" s="139"/>
      <c r="BG49" s="139"/>
      <c r="BH49" s="139"/>
      <c r="BI49" s="138"/>
      <c r="BJ49" s="139"/>
      <c r="BK49" s="139">
        <f>'Reflection -3'!Q49</f>
        <v>2.6666666666666665</v>
      </c>
      <c r="BL49" s="62"/>
      <c r="BM49" s="139"/>
      <c r="BN49" s="62"/>
      <c r="BO49" s="139"/>
      <c r="BP49" s="139"/>
      <c r="BQ49" s="138"/>
      <c r="BR49" s="139"/>
      <c r="BS49" s="139">
        <f>Capstone!Q50</f>
        <v>3</v>
      </c>
      <c r="BT49" s="139">
        <f>Capstone!W50</f>
        <v>3</v>
      </c>
      <c r="BU49" s="139">
        <f>Capstone!AC50</f>
        <v>3</v>
      </c>
      <c r="BV49" s="139">
        <f>Capstone!AI50</f>
        <v>2</v>
      </c>
      <c r="BW49" s="139">
        <f>Capstone!AO50</f>
        <v>3</v>
      </c>
      <c r="BX49" s="139">
        <f>Capstone!AU50</f>
        <v>3</v>
      </c>
      <c r="BY49" s="138"/>
      <c r="BZ49" s="139"/>
      <c r="CA4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1.7583333333333331</v>
      </c>
      <c r="CB49" s="139">
        <f>IFERROR(AVERAGE(Table110461117[[#This Row],[Column31]],Table110461117[[#This Row],[Column13]],Table110461117[[#This Row],[Column4]],Table110461117[[#This Row],[Column22]],),"A")</f>
        <v>0.8</v>
      </c>
      <c r="CC49" s="139">
        <f>IFERROR(AVERAGE(Table110461117[[#This Row],[Column5]],Table110461117[[#This Row],[Column14]],Table110461117[[#This Row],[Column23]],Table110461117[[#This Row],[Column32]]),"A")</f>
        <v>1</v>
      </c>
      <c r="CD49" s="139">
        <f>IFERROR(AVERAGE(Table110461117[[#This Row],[Column6]],Table110461117[[#This Row],[Column15]],Table110461117[[#This Row],[Column24]],Table110461117[[#This Row],[Column33]]),"A")</f>
        <v>1</v>
      </c>
      <c r="CE49" s="139"/>
      <c r="CF49" s="139">
        <f>IFERROR(AVERAGE(Table110461117[[#This Row],[Column26]],Table110461117[[#This Row],[Column35]],Table110461117[[#This Row],[Column17]],Table110461117[[#This Row],[Column8]]),"A")</f>
        <v>0.5</v>
      </c>
      <c r="CG49" s="138"/>
      <c r="CH49" s="139">
        <f>IFERROR(AVERAGE('Review 1'!AX49,'Review 2'!AX49,'Review 3'!AX49,'Review 4'!AX49,'Reflection -1 '!AX49,'Reflection -2'!AX49,'Reflection -3'!AX49,'Reflection -4'!AX49),"A")</f>
        <v>3.75</v>
      </c>
      <c r="CI49" s="139">
        <f>IFERROR(AVERAGE('Review 1'!AY49,'Review 2'!AY49,'Review 3'!AY49,'Review 4'!AY49,'Reflection -1 '!AY49,'Reflection -2'!AY49,'Reflection -3'!AY49,'Reflection -4'!AY49,Capstone!AY50),"A")</f>
        <v>1</v>
      </c>
      <c r="CJ49" s="139">
        <f>IFERROR(AVERAGE('Review 1'!AZ49,'Review 2'!AZ49,'Review 3'!AZ49,'Review 4'!AZ49,'Reflection -1 '!AZ49,'Reflection -2'!AZ49,'Reflection -3'!AZ49,'Reflection -4'!AZ49),"A")</f>
        <v>1.625</v>
      </c>
    </row>
    <row r="50" spans="1:88" s="122" customFormat="1" ht="23.1" customHeight="1" x14ac:dyDescent="0.3">
      <c r="A50" s="6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140"/>
      <c r="G50" s="140">
        <f>'Review 1'!Q50</f>
        <v>2</v>
      </c>
      <c r="H50" s="140">
        <f>'Review 1'!W50</f>
        <v>2</v>
      </c>
      <c r="I50" s="140">
        <f>'Review 1'!AC50</f>
        <v>2</v>
      </c>
      <c r="J50" s="140">
        <f>'Review 1'!AI50</f>
        <v>2</v>
      </c>
      <c r="K50" s="140"/>
      <c r="L50" s="140">
        <f>'Review 1'!AU50</f>
        <v>2</v>
      </c>
      <c r="M50" s="138"/>
      <c r="N50" s="140"/>
      <c r="O50" s="140">
        <f>'Review 2'!Q50</f>
        <v>2</v>
      </c>
      <c r="P50" s="140">
        <f>'Review 2'!W50</f>
        <v>2</v>
      </c>
      <c r="Q50" s="140">
        <f>'Review 2'!AC50</f>
        <v>2</v>
      </c>
      <c r="R50" s="140">
        <f>'Review 2'!AI50</f>
        <v>2</v>
      </c>
      <c r="S50" s="140"/>
      <c r="T50" s="140">
        <f>'Review 2'!AU50</f>
        <v>2</v>
      </c>
      <c r="U50" s="138"/>
      <c r="V50" s="7"/>
      <c r="W50" s="140">
        <f>'Review 3'!Q50</f>
        <v>1.8</v>
      </c>
      <c r="X50" s="140">
        <f>'Review 3'!W50</f>
        <v>3</v>
      </c>
      <c r="Y50" s="140">
        <f>'Review 3'!AC50</f>
        <v>2</v>
      </c>
      <c r="Z50" s="140">
        <f>'Review 3'!AI50</f>
        <v>3</v>
      </c>
      <c r="AA50" s="7"/>
      <c r="AB50" s="140">
        <f>'Review 3'!AU50</f>
        <v>2.6666666666666665</v>
      </c>
      <c r="AC50" s="138"/>
      <c r="AD50" s="7"/>
      <c r="AE50" s="140">
        <f>'Review 4'!Q50</f>
        <v>3.6</v>
      </c>
      <c r="AF50" s="140">
        <f>'Review 4'!W50</f>
        <v>2.3333333333333335</v>
      </c>
      <c r="AG50" s="140">
        <f>'Review 4'!AC50</f>
        <v>2</v>
      </c>
      <c r="AH50" s="140">
        <f>'Review 4'!AI50</f>
        <v>2</v>
      </c>
      <c r="AI50" s="140"/>
      <c r="AJ50" s="140">
        <f>'Review 4'!AU50</f>
        <v>2</v>
      </c>
      <c r="AK50" s="138"/>
      <c r="AL50" s="7"/>
      <c r="AM50" s="140">
        <f>'Reflection -1 '!Q50</f>
        <v>2.6666666666666665</v>
      </c>
      <c r="AN50" s="7"/>
      <c r="AO50" s="7"/>
      <c r="AP50" s="7"/>
      <c r="AQ50" s="7"/>
      <c r="AR50" s="7"/>
      <c r="AS50" s="138"/>
      <c r="AT50" s="7"/>
      <c r="AU50" s="140">
        <f>'Reflection -2'!Q50</f>
        <v>2.3333333333333335</v>
      </c>
      <c r="AV50" s="7"/>
      <c r="AW50" s="7"/>
      <c r="AX50" s="7"/>
      <c r="AY50" s="140"/>
      <c r="AZ50" s="7"/>
      <c r="BA50" s="138"/>
      <c r="BB50" s="140"/>
      <c r="BC50" s="140">
        <f>'Reflection -3'!Q50</f>
        <v>0</v>
      </c>
      <c r="BD50" s="140"/>
      <c r="BE50" s="140"/>
      <c r="BF50" s="140"/>
      <c r="BG50" s="140"/>
      <c r="BH50" s="140"/>
      <c r="BI50" s="138"/>
      <c r="BJ50" s="140"/>
      <c r="BK50" s="140">
        <f>'Reflection -3'!Q50</f>
        <v>0</v>
      </c>
      <c r="BL50" s="7"/>
      <c r="BM50" s="140"/>
      <c r="BN50" s="7"/>
      <c r="BO50" s="140"/>
      <c r="BP50" s="140"/>
      <c r="BQ50" s="138"/>
      <c r="BR50" s="140"/>
      <c r="BS50" s="140">
        <f>Capstone!Q51</f>
        <v>4</v>
      </c>
      <c r="BT50" s="140">
        <f>Capstone!W51</f>
        <v>4</v>
      </c>
      <c r="BU50" s="140">
        <f>Capstone!AC51</f>
        <v>4</v>
      </c>
      <c r="BV50" s="140">
        <f>Capstone!AI51</f>
        <v>4</v>
      </c>
      <c r="BW50" s="140">
        <f>Capstone!AO51</f>
        <v>4</v>
      </c>
      <c r="BX50" s="140">
        <f>Capstone!AU51</f>
        <v>5</v>
      </c>
      <c r="BY50" s="138"/>
      <c r="BZ50" s="140"/>
      <c r="CA5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</v>
      </c>
      <c r="CB50" s="140">
        <f>IFERROR(AVERAGE(Table110461117[[#This Row],[Column31]],Table110461117[[#This Row],[Column13]],Table110461117[[#This Row],[Column4]],Table110461117[[#This Row],[Column22]],),"A")</f>
        <v>1.8666666666666667</v>
      </c>
      <c r="CC50" s="140">
        <f>IFERROR(AVERAGE(Table110461117[[#This Row],[Column5]],Table110461117[[#This Row],[Column14]],Table110461117[[#This Row],[Column23]],Table110461117[[#This Row],[Column32]]),"A")</f>
        <v>2</v>
      </c>
      <c r="CD50" s="140">
        <f>IFERROR(AVERAGE(Table110461117[[#This Row],[Column6]],Table110461117[[#This Row],[Column15]],Table110461117[[#This Row],[Column24]],Table110461117[[#This Row],[Column33]]),"A")</f>
        <v>2.25</v>
      </c>
      <c r="CE50" s="140"/>
      <c r="CF50" s="140">
        <f>IFERROR(AVERAGE(Table110461117[[#This Row],[Column26]],Table110461117[[#This Row],[Column35]],Table110461117[[#This Row],[Column17]],Table110461117[[#This Row],[Column8]]),"A")</f>
        <v>2.1666666666666665</v>
      </c>
      <c r="CG50" s="138"/>
      <c r="CH50" s="140">
        <f>IFERROR(AVERAGE('Review 1'!AX50,'Review 2'!AX50,'Review 3'!AX50,'Review 4'!AX50,'Reflection -1 '!AX50,'Reflection -2'!AX50,'Reflection -3'!AX50,'Reflection -4'!AX50),"A")</f>
        <v>2.375</v>
      </c>
      <c r="CI50" s="140">
        <f>IFERROR(AVERAGE('Review 1'!AY50,'Review 2'!AY50,'Review 3'!AY50,'Review 4'!AY50,'Reflection -1 '!AY50,'Reflection -2'!AY50,'Reflection -3'!AY50,'Reflection -4'!AY50,Capstone!AY51),"A")</f>
        <v>1.2222222222222223</v>
      </c>
      <c r="CJ50" s="140">
        <f>IFERROR(AVERAGE('Review 1'!AZ50,'Review 2'!AZ50,'Review 3'!AZ50,'Review 4'!AZ50,'Reflection -1 '!AZ50,'Reflection -2'!AZ50,'Reflection -3'!AZ50,'Reflection -4'!AZ50),"A")</f>
        <v>1.125</v>
      </c>
    </row>
    <row r="51" spans="1:88" s="122" customFormat="1" ht="23.1" customHeight="1" x14ac:dyDescent="0.3">
      <c r="A51" s="137">
        <v>49</v>
      </c>
      <c r="B51" s="62" t="s">
        <v>310</v>
      </c>
      <c r="C51" s="62" t="s">
        <v>311</v>
      </c>
      <c r="D51" s="62" t="s">
        <v>450</v>
      </c>
      <c r="E51" s="62" t="s">
        <v>493</v>
      </c>
      <c r="F51" s="139"/>
      <c r="G51" s="139">
        <f>'Review 1'!Q51</f>
        <v>2.8</v>
      </c>
      <c r="H51" s="139">
        <f>'Review 1'!W51</f>
        <v>3</v>
      </c>
      <c r="I51" s="139">
        <f>'Review 1'!AC51</f>
        <v>3</v>
      </c>
      <c r="J51" s="139">
        <f>'Review 1'!AI51</f>
        <v>3</v>
      </c>
      <c r="K51" s="139"/>
      <c r="L51" s="139">
        <f>'Review 1'!AU51</f>
        <v>3</v>
      </c>
      <c r="M51" s="138"/>
      <c r="N51" s="139"/>
      <c r="O51" s="139">
        <f>'Review 2'!Q51</f>
        <v>2.8</v>
      </c>
      <c r="P51" s="139">
        <f>'Review 2'!W51</f>
        <v>3</v>
      </c>
      <c r="Q51" s="139">
        <f>'Review 2'!AC51</f>
        <v>3</v>
      </c>
      <c r="R51" s="139">
        <f>'Review 2'!AI51</f>
        <v>1.5</v>
      </c>
      <c r="S51" s="139"/>
      <c r="T51" s="139">
        <f>'Review 2'!AU51</f>
        <v>2.3333333333333335</v>
      </c>
      <c r="U51" s="138"/>
      <c r="V51" s="62"/>
      <c r="W51" s="139">
        <f>'Review 3'!Q51</f>
        <v>3</v>
      </c>
      <c r="X51" s="139">
        <f>'Review 3'!W51</f>
        <v>2</v>
      </c>
      <c r="Y51" s="139">
        <f>'Review 3'!AC51</f>
        <v>2</v>
      </c>
      <c r="Z51" s="139">
        <f>'Review 3'!AI51</f>
        <v>2</v>
      </c>
      <c r="AA51" s="62"/>
      <c r="AB51" s="139">
        <f>'Review 3'!AU51</f>
        <v>2</v>
      </c>
      <c r="AC51" s="138"/>
      <c r="AD51" s="62"/>
      <c r="AE51" s="139">
        <f>'Review 4'!Q51</f>
        <v>2.4</v>
      </c>
      <c r="AF51" s="139">
        <f>'Review 4'!W51</f>
        <v>3</v>
      </c>
      <c r="AG51" s="139">
        <f>'Review 4'!AC51</f>
        <v>2</v>
      </c>
      <c r="AH51" s="139">
        <f>'Review 4'!AI51</f>
        <v>2</v>
      </c>
      <c r="AI51" s="139"/>
      <c r="AJ51" s="139">
        <f>'Review 4'!AU51</f>
        <v>3</v>
      </c>
      <c r="AK51" s="138"/>
      <c r="AL51" s="62"/>
      <c r="AM51" s="139">
        <f>'Reflection -1 '!Q51</f>
        <v>3</v>
      </c>
      <c r="AN51" s="62"/>
      <c r="AO51" s="62"/>
      <c r="AP51" s="62"/>
      <c r="AQ51" s="62"/>
      <c r="AR51" s="62"/>
      <c r="AS51" s="138"/>
      <c r="AT51" s="62"/>
      <c r="AU51" s="139">
        <f>'Reflection -2'!Q51</f>
        <v>2</v>
      </c>
      <c r="AV51" s="62"/>
      <c r="AW51" s="62"/>
      <c r="AX51" s="62"/>
      <c r="AY51" s="139"/>
      <c r="AZ51" s="62"/>
      <c r="BA51" s="138"/>
      <c r="BB51" s="139"/>
      <c r="BC51" s="139">
        <f>'Reflection -3'!Q51</f>
        <v>3.3333333333333335</v>
      </c>
      <c r="BD51" s="139"/>
      <c r="BE51" s="139"/>
      <c r="BF51" s="139"/>
      <c r="BG51" s="139"/>
      <c r="BH51" s="139"/>
      <c r="BI51" s="138"/>
      <c r="BJ51" s="139"/>
      <c r="BK51" s="139">
        <f>'Reflection -3'!Q51</f>
        <v>3.3333333333333335</v>
      </c>
      <c r="BL51" s="62"/>
      <c r="BM51" s="139"/>
      <c r="BN51" s="62"/>
      <c r="BO51" s="139"/>
      <c r="BP51" s="139"/>
      <c r="BQ51" s="138"/>
      <c r="BR51" s="139"/>
      <c r="BS51" s="139">
        <f>Capstone!Q52</f>
        <v>5</v>
      </c>
      <c r="BT51" s="139">
        <f>Capstone!W52</f>
        <v>4</v>
      </c>
      <c r="BU51" s="139">
        <f>Capstone!AC52</f>
        <v>5</v>
      </c>
      <c r="BV51" s="139">
        <f>Capstone!AI52</f>
        <v>4</v>
      </c>
      <c r="BW51" s="139">
        <f>Capstone!AO52</f>
        <v>4</v>
      </c>
      <c r="BX51" s="139">
        <f>Capstone!AU52</f>
        <v>4</v>
      </c>
      <c r="BY51" s="138"/>
      <c r="BZ51" s="139"/>
      <c r="CA5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2.8333333333333335</v>
      </c>
      <c r="CB51" s="139">
        <f>IFERROR(AVERAGE(Table110461117[[#This Row],[Column31]],Table110461117[[#This Row],[Column13]],Table110461117[[#This Row],[Column4]],Table110461117[[#This Row],[Column22]],),"A")</f>
        <v>2.2000000000000002</v>
      </c>
      <c r="CC51" s="139">
        <f>IFERROR(AVERAGE(Table110461117[[#This Row],[Column5]],Table110461117[[#This Row],[Column14]],Table110461117[[#This Row],[Column23]],Table110461117[[#This Row],[Column32]]),"A")</f>
        <v>2.5</v>
      </c>
      <c r="CD51" s="139">
        <f>IFERROR(AVERAGE(Table110461117[[#This Row],[Column6]],Table110461117[[#This Row],[Column15]],Table110461117[[#This Row],[Column24]],Table110461117[[#This Row],[Column33]]),"A")</f>
        <v>2.125</v>
      </c>
      <c r="CE51" s="139"/>
      <c r="CF51" s="139">
        <f>IFERROR(AVERAGE(Table110461117[[#This Row],[Column26]],Table110461117[[#This Row],[Column35]],Table110461117[[#This Row],[Column17]],Table110461117[[#This Row],[Column8]]),"A")</f>
        <v>2.5833333333333335</v>
      </c>
      <c r="CG51" s="138"/>
      <c r="CH51" s="139">
        <f>IFERROR(AVERAGE('Review 1'!AX51,'Review 2'!AX51,'Review 3'!AX51,'Review 4'!AX51,'Reflection -1 '!AX51,'Reflection -2'!AX51,'Reflection -3'!AX51,'Reflection -4'!AX51),"A")</f>
        <v>3.75</v>
      </c>
      <c r="CI51" s="139">
        <f>IFERROR(AVERAGE('Review 1'!AY51,'Review 2'!AY51,'Review 3'!AY51,'Review 4'!AY51,'Reflection -1 '!AY51,'Reflection -2'!AY51,'Reflection -3'!AY51,'Reflection -4'!AY51,Capstone!AY52),"A")</f>
        <v>2.5555555555555554</v>
      </c>
      <c r="CJ51" s="139">
        <f>IFERROR(AVERAGE('Review 1'!AZ51,'Review 2'!AZ51,'Review 3'!AZ51,'Review 4'!AZ51,'Reflection -1 '!AZ51,'Reflection -2'!AZ51,'Reflection -3'!AZ51,'Reflection -4'!AZ51),"A")</f>
        <v>2.625</v>
      </c>
    </row>
    <row r="52" spans="1:88" s="122" customFormat="1" ht="23.1" customHeight="1" x14ac:dyDescent="0.3">
      <c r="A52" s="6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140"/>
      <c r="G52" s="140">
        <f>'Review 1'!Q52</f>
        <v>1</v>
      </c>
      <c r="H52" s="140">
        <f>'Review 1'!W52</f>
        <v>1</v>
      </c>
      <c r="I52" s="140">
        <f>'Review 1'!AC52</f>
        <v>1</v>
      </c>
      <c r="J52" s="140">
        <f>'Review 1'!AI52</f>
        <v>1</v>
      </c>
      <c r="K52" s="140"/>
      <c r="L52" s="140">
        <f>'Review 1'!AU52</f>
        <v>1</v>
      </c>
      <c r="M52" s="138"/>
      <c r="N52" s="140"/>
      <c r="O52" s="140">
        <f>'Review 2'!Q52</f>
        <v>1.4</v>
      </c>
      <c r="P52" s="140">
        <f>'Review 2'!W52</f>
        <v>1</v>
      </c>
      <c r="Q52" s="140">
        <f>'Review 2'!AC52</f>
        <v>1</v>
      </c>
      <c r="R52" s="140">
        <f>'Review 2'!AI52</f>
        <v>1</v>
      </c>
      <c r="S52" s="140"/>
      <c r="T52" s="140">
        <f>'Review 2'!AU52</f>
        <v>1</v>
      </c>
      <c r="U52" s="138"/>
      <c r="V52" s="7"/>
      <c r="W52" s="140">
        <f>'Review 3'!Q52</f>
        <v>0.6</v>
      </c>
      <c r="X52" s="140">
        <f>'Review 3'!W52</f>
        <v>0</v>
      </c>
      <c r="Y52" s="140">
        <f>'Review 3'!AC52</f>
        <v>0</v>
      </c>
      <c r="Z52" s="140">
        <f>'Review 3'!AI52</f>
        <v>0</v>
      </c>
      <c r="AA52" s="7"/>
      <c r="AB52" s="140">
        <f>'Review 3'!AU52</f>
        <v>0</v>
      </c>
      <c r="AC52" s="138"/>
      <c r="AD52" s="7"/>
      <c r="AE52" s="140">
        <f>'Review 4'!Q52</f>
        <v>2</v>
      </c>
      <c r="AF52" s="140">
        <f>'Review 4'!W52</f>
        <v>1</v>
      </c>
      <c r="AG52" s="140">
        <f>'Review 4'!AC52</f>
        <v>1</v>
      </c>
      <c r="AH52" s="140">
        <f>'Review 4'!AI52</f>
        <v>0.5</v>
      </c>
      <c r="AI52" s="140"/>
      <c r="AJ52" s="140">
        <f>'Review 4'!AU52</f>
        <v>1</v>
      </c>
      <c r="AK52" s="138"/>
      <c r="AL52" s="7"/>
      <c r="AM52" s="140">
        <f>'Reflection -1 '!Q52</f>
        <v>0</v>
      </c>
      <c r="AN52" s="7"/>
      <c r="AO52" s="7"/>
      <c r="AP52" s="7"/>
      <c r="AQ52" s="7"/>
      <c r="AR52" s="7"/>
      <c r="AS52" s="138"/>
      <c r="AT52" s="7"/>
      <c r="AU52" s="140">
        <f>'Reflection -2'!Q52</f>
        <v>2.6666666666666665</v>
      </c>
      <c r="AV52" s="7"/>
      <c r="AW52" s="7"/>
      <c r="AX52" s="7"/>
      <c r="AY52" s="140"/>
      <c r="AZ52" s="7"/>
      <c r="BA52" s="138"/>
      <c r="BB52" s="140"/>
      <c r="BC52" s="140">
        <f>'Reflection -3'!Q52</f>
        <v>0</v>
      </c>
      <c r="BD52" s="140"/>
      <c r="BE52" s="140"/>
      <c r="BF52" s="140"/>
      <c r="BG52" s="140"/>
      <c r="BH52" s="140"/>
      <c r="BI52" s="138"/>
      <c r="BJ52" s="140"/>
      <c r="BK52" s="140">
        <f>'Reflection -3'!Q52</f>
        <v>0</v>
      </c>
      <c r="BL52" s="7"/>
      <c r="BM52" s="140"/>
      <c r="BN52" s="7"/>
      <c r="BO52" s="140"/>
      <c r="BP52" s="140"/>
      <c r="BQ52" s="138"/>
      <c r="BR52" s="140"/>
      <c r="BS52" s="140">
        <f>Capstone!Q53</f>
        <v>2</v>
      </c>
      <c r="BT52" s="140">
        <f>Capstone!W53</f>
        <v>3</v>
      </c>
      <c r="BU52" s="140">
        <f>Capstone!AC53</f>
        <v>3</v>
      </c>
      <c r="BV52" s="140">
        <f>Capstone!AI53</f>
        <v>3</v>
      </c>
      <c r="BW52" s="140">
        <f>Capstone!AO53</f>
        <v>3</v>
      </c>
      <c r="BX52" s="140">
        <f>Capstone!AU53</f>
        <v>3</v>
      </c>
      <c r="BY52" s="138"/>
      <c r="BZ52" s="140"/>
      <c r="CA5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0.95833333333333326</v>
      </c>
      <c r="CB52" s="140">
        <f>IFERROR(AVERAGE(Table110461117[[#This Row],[Column31]],Table110461117[[#This Row],[Column13]],Table110461117[[#This Row],[Column4]],Table110461117[[#This Row],[Column22]],),"A")</f>
        <v>0.6</v>
      </c>
      <c r="CC52" s="140">
        <f>IFERROR(AVERAGE(Table110461117[[#This Row],[Column5]],Table110461117[[#This Row],[Column14]],Table110461117[[#This Row],[Column23]],Table110461117[[#This Row],[Column32]]),"A")</f>
        <v>0.75</v>
      </c>
      <c r="CD52" s="140">
        <f>IFERROR(AVERAGE(Table110461117[[#This Row],[Column6]],Table110461117[[#This Row],[Column15]],Table110461117[[#This Row],[Column24]],Table110461117[[#This Row],[Column33]]),"A")</f>
        <v>0.625</v>
      </c>
      <c r="CE52" s="140"/>
      <c r="CF52" s="140">
        <f>IFERROR(AVERAGE(Table110461117[[#This Row],[Column26]],Table110461117[[#This Row],[Column35]],Table110461117[[#This Row],[Column17]],Table110461117[[#This Row],[Column8]]),"A")</f>
        <v>0.75</v>
      </c>
      <c r="CG52" s="138"/>
      <c r="CH52" s="140">
        <f>IFERROR(AVERAGE('Review 1'!AX52,'Review 2'!AX52,'Review 3'!AX52,'Review 4'!AX52,'Reflection -1 '!AX52,'Reflection -2'!AX52,'Reflection -3'!AX52,'Reflection -4'!AX52),"A")</f>
        <v>1</v>
      </c>
      <c r="CI52" s="140">
        <f>IFERROR(AVERAGE('Review 1'!AY52,'Review 2'!AY52,'Review 3'!AY52,'Review 4'!AY52,'Reflection -1 '!AY52,'Reflection -2'!AY52,'Reflection -3'!AY52,'Reflection -4'!AY52,Capstone!AY53),"A")</f>
        <v>0.66666666666666663</v>
      </c>
      <c r="CJ52" s="140">
        <f>IFERROR(AVERAGE('Review 1'!AZ52,'Review 2'!AZ52,'Review 3'!AZ52,'Review 4'!AZ52,'Reflection -1 '!AZ52,'Reflection -2'!AZ52,'Reflection -3'!AZ52,'Reflection -4'!AZ52),"A")</f>
        <v>0.625</v>
      </c>
    </row>
    <row r="53" spans="1:88" s="122" customFormat="1" ht="23.1" customHeight="1" x14ac:dyDescent="0.3">
      <c r="A53" s="137">
        <v>51</v>
      </c>
      <c r="B53" s="62" t="s">
        <v>259</v>
      </c>
      <c r="C53" s="62" t="s">
        <v>260</v>
      </c>
      <c r="D53" s="62" t="s">
        <v>542</v>
      </c>
      <c r="E53" s="62" t="s">
        <v>161</v>
      </c>
      <c r="F53" s="139"/>
      <c r="G53" s="139">
        <f>'Review 1'!Q53</f>
        <v>2.8</v>
      </c>
      <c r="H53" s="139">
        <f>'Review 1'!W53</f>
        <v>2.6666666666666665</v>
      </c>
      <c r="I53" s="139">
        <f>'Review 1'!AC53</f>
        <v>3</v>
      </c>
      <c r="J53" s="139">
        <f>'Review 1'!AI53</f>
        <v>3</v>
      </c>
      <c r="K53" s="139"/>
      <c r="L53" s="139">
        <f>'Review 1'!AU53</f>
        <v>2.6666666666666665</v>
      </c>
      <c r="M53" s="138"/>
      <c r="N53" s="139"/>
      <c r="O53" s="139">
        <f>'Review 2'!Q53</f>
        <v>2.6</v>
      </c>
      <c r="P53" s="139">
        <f>'Review 2'!W53</f>
        <v>2.6666666666666665</v>
      </c>
      <c r="Q53" s="139">
        <f>'Review 2'!AC53</f>
        <v>2.5</v>
      </c>
      <c r="R53" s="139">
        <f>'Review 2'!AI53</f>
        <v>2.5</v>
      </c>
      <c r="S53" s="139"/>
      <c r="T53" s="139">
        <f>'Review 2'!AU53</f>
        <v>2.6666666666666665</v>
      </c>
      <c r="U53" s="138"/>
      <c r="V53" s="62"/>
      <c r="W53" s="139">
        <f>'Review 3'!Q53</f>
        <v>3</v>
      </c>
      <c r="X53" s="139">
        <f>'Review 3'!W53</f>
        <v>2.6666666666666665</v>
      </c>
      <c r="Y53" s="139">
        <f>'Review 3'!AC53</f>
        <v>2.5</v>
      </c>
      <c r="Z53" s="139">
        <f>'Review 3'!AI53</f>
        <v>3</v>
      </c>
      <c r="AA53" s="62"/>
      <c r="AB53" s="139">
        <f>'Review 3'!AU53</f>
        <v>2.3333333333333335</v>
      </c>
      <c r="AC53" s="138"/>
      <c r="AD53" s="62"/>
      <c r="AE53" s="139">
        <f>'Review 4'!Q53</f>
        <v>2.2000000000000002</v>
      </c>
      <c r="AF53" s="139">
        <f>'Review 4'!W53</f>
        <v>3.3333333333333335</v>
      </c>
      <c r="AG53" s="139">
        <f>'Review 4'!AC53</f>
        <v>2</v>
      </c>
      <c r="AH53" s="139">
        <f>'Review 4'!AI53</f>
        <v>1</v>
      </c>
      <c r="AI53" s="139"/>
      <c r="AJ53" s="139">
        <f>'Review 4'!AU53</f>
        <v>3.6666666666666665</v>
      </c>
      <c r="AK53" s="138"/>
      <c r="AL53" s="62"/>
      <c r="AM53" s="139">
        <f>'Reflection -1 '!Q53</f>
        <v>2.3333333333333335</v>
      </c>
      <c r="AN53" s="62"/>
      <c r="AO53" s="62"/>
      <c r="AP53" s="62"/>
      <c r="AQ53" s="62"/>
      <c r="AR53" s="62"/>
      <c r="AS53" s="138"/>
      <c r="AT53" s="62"/>
      <c r="AU53" s="139">
        <f>'Reflection -2'!Q53</f>
        <v>1</v>
      </c>
      <c r="AV53" s="62"/>
      <c r="AW53" s="62"/>
      <c r="AX53" s="62"/>
      <c r="AY53" s="139"/>
      <c r="AZ53" s="62"/>
      <c r="BA53" s="138"/>
      <c r="BB53" s="139"/>
      <c r="BC53" s="139">
        <f>'Reflection -3'!Q53</f>
        <v>1</v>
      </c>
      <c r="BD53" s="139"/>
      <c r="BE53" s="139"/>
      <c r="BF53" s="139"/>
      <c r="BG53" s="139"/>
      <c r="BH53" s="139"/>
      <c r="BI53" s="138"/>
      <c r="BJ53" s="139"/>
      <c r="BK53" s="139">
        <f>'Reflection -3'!Q53</f>
        <v>1</v>
      </c>
      <c r="BL53" s="62"/>
      <c r="BM53" s="139"/>
      <c r="BN53" s="62"/>
      <c r="BO53" s="139"/>
      <c r="BP53" s="139"/>
      <c r="BQ53" s="138"/>
      <c r="BR53" s="139"/>
      <c r="BS53" s="139">
        <f>Capstone!Q54</f>
        <v>5</v>
      </c>
      <c r="BT53" s="139">
        <f>Capstone!W54</f>
        <v>4</v>
      </c>
      <c r="BU53" s="139">
        <f>Capstone!AC54</f>
        <v>4</v>
      </c>
      <c r="BV53" s="139">
        <f>Capstone!AI54</f>
        <v>0</v>
      </c>
      <c r="BW53" s="139">
        <f>Capstone!AO54</f>
        <v>5</v>
      </c>
      <c r="BX53" s="139">
        <f>Capstone!AU54</f>
        <v>4</v>
      </c>
      <c r="BY53" s="138"/>
      <c r="BZ53" s="139"/>
      <c r="CA5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1.9916666666666667</v>
      </c>
      <c r="CB53" s="139">
        <f>IFERROR(AVERAGE(Table110461117[[#This Row],[Column31]],Table110461117[[#This Row],[Column13]],Table110461117[[#This Row],[Column4]],Table110461117[[#This Row],[Column22]],),"A")</f>
        <v>2.2666666666666666</v>
      </c>
      <c r="CC53" s="139">
        <f>IFERROR(AVERAGE(Table110461117[[#This Row],[Column5]],Table110461117[[#This Row],[Column14]],Table110461117[[#This Row],[Column23]],Table110461117[[#This Row],[Column32]]),"A")</f>
        <v>2.5</v>
      </c>
      <c r="CD53" s="139">
        <f>IFERROR(AVERAGE(Table110461117[[#This Row],[Column6]],Table110461117[[#This Row],[Column15]],Table110461117[[#This Row],[Column24]],Table110461117[[#This Row],[Column33]]),"A")</f>
        <v>2.375</v>
      </c>
      <c r="CE53" s="139"/>
      <c r="CF53" s="139">
        <f>IFERROR(AVERAGE(Table110461117[[#This Row],[Column26]],Table110461117[[#This Row],[Column35]],Table110461117[[#This Row],[Column17]],Table110461117[[#This Row],[Column8]]),"A")</f>
        <v>2.833333333333333</v>
      </c>
      <c r="CG53" s="138"/>
      <c r="CH53" s="139">
        <f>IFERROR(AVERAGE('Review 1'!AX53,'Review 2'!AX53,'Review 3'!AX53,'Review 4'!AX53,'Reflection -1 '!AX53,'Reflection -2'!AX53,'Reflection -3'!AX53,'Reflection -4'!AX53),"A")</f>
        <v>3.375</v>
      </c>
      <c r="CI53" s="139">
        <f>IFERROR(AVERAGE('Review 1'!AY53,'Review 2'!AY53,'Review 3'!AY53,'Review 4'!AY53,'Reflection -1 '!AY53,'Reflection -2'!AY53,'Reflection -3'!AY53,'Reflection -4'!AY53,Capstone!AY54),"A")</f>
        <v>1.3333333333333333</v>
      </c>
      <c r="CJ53" s="139">
        <f>IFERROR(AVERAGE('Review 1'!AZ53,'Review 2'!AZ53,'Review 3'!AZ53,'Review 4'!AZ53,'Reflection -1 '!AZ53,'Reflection -2'!AZ53,'Reflection -3'!AZ53,'Reflection -4'!AZ53),"A")</f>
        <v>1.25</v>
      </c>
    </row>
    <row r="54" spans="1:88" s="122" customFormat="1" ht="23.1" customHeight="1" x14ac:dyDescent="0.3">
      <c r="A54" s="6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140"/>
      <c r="G54" s="140">
        <f>'Review 1'!Q54</f>
        <v>2.6</v>
      </c>
      <c r="H54" s="140">
        <f>'Review 1'!W54</f>
        <v>2.6666666666666665</v>
      </c>
      <c r="I54" s="140">
        <f>'Review 1'!AC54</f>
        <v>2.5</v>
      </c>
      <c r="J54" s="140">
        <f>'Review 1'!AI54</f>
        <v>2.5</v>
      </c>
      <c r="K54" s="140"/>
      <c r="L54" s="140">
        <f>'Review 1'!AU54</f>
        <v>2.6666666666666665</v>
      </c>
      <c r="M54" s="138"/>
      <c r="N54" s="140"/>
      <c r="O54" s="140">
        <f>'Review 2'!Q54</f>
        <v>2.8</v>
      </c>
      <c r="P54" s="140">
        <f>'Review 2'!W54</f>
        <v>2.6666666666666665</v>
      </c>
      <c r="Q54" s="140">
        <f>'Review 2'!AC54</f>
        <v>2.5</v>
      </c>
      <c r="R54" s="140">
        <f>'Review 2'!AI54</f>
        <v>3</v>
      </c>
      <c r="S54" s="140"/>
      <c r="T54" s="140">
        <f>'Review 2'!AU54</f>
        <v>2.6666666666666665</v>
      </c>
      <c r="U54" s="138"/>
      <c r="V54" s="7"/>
      <c r="W54" s="140">
        <f>'Review 3'!Q54</f>
        <v>0.8</v>
      </c>
      <c r="X54" s="140">
        <f>'Review 3'!W54</f>
        <v>0</v>
      </c>
      <c r="Y54" s="140">
        <f>'Review 3'!AC54</f>
        <v>2.5</v>
      </c>
      <c r="Z54" s="140">
        <f>'Review 3'!AI54</f>
        <v>0</v>
      </c>
      <c r="AA54" s="7"/>
      <c r="AB54" s="140">
        <f>'Review 3'!AU54</f>
        <v>0</v>
      </c>
      <c r="AC54" s="138"/>
      <c r="AD54" s="7"/>
      <c r="AE54" s="140">
        <f>'Review 4'!Q54</f>
        <v>2.8</v>
      </c>
      <c r="AF54" s="140">
        <f>'Review 4'!W54</f>
        <v>2</v>
      </c>
      <c r="AG54" s="140">
        <f>'Review 4'!AC54</f>
        <v>1</v>
      </c>
      <c r="AH54" s="140">
        <f>'Review 4'!AI54</f>
        <v>1</v>
      </c>
      <c r="AI54" s="140"/>
      <c r="AJ54" s="140">
        <f>'Review 4'!AU54</f>
        <v>1.6666666666666667</v>
      </c>
      <c r="AK54" s="138"/>
      <c r="AL54" s="7"/>
      <c r="AM54" s="140">
        <f>'Reflection -1 '!Q54</f>
        <v>3.3333333333333335</v>
      </c>
      <c r="AN54" s="7"/>
      <c r="AO54" s="7"/>
      <c r="AP54" s="7"/>
      <c r="AQ54" s="7"/>
      <c r="AR54" s="7"/>
      <c r="AS54" s="138"/>
      <c r="AT54" s="7"/>
      <c r="AU54" s="140">
        <f>'Reflection -2'!Q54</f>
        <v>2.3333333333333335</v>
      </c>
      <c r="AV54" s="7"/>
      <c r="AW54" s="7"/>
      <c r="AX54" s="7"/>
      <c r="AY54" s="140"/>
      <c r="AZ54" s="7"/>
      <c r="BA54" s="138"/>
      <c r="BB54" s="140"/>
      <c r="BC54" s="140">
        <f>'Reflection -3'!Q54</f>
        <v>0</v>
      </c>
      <c r="BD54" s="140"/>
      <c r="BE54" s="140"/>
      <c r="BF54" s="140"/>
      <c r="BG54" s="140"/>
      <c r="BH54" s="140"/>
      <c r="BI54" s="138"/>
      <c r="BJ54" s="140"/>
      <c r="BK54" s="140">
        <f>'Reflection -3'!Q54</f>
        <v>0</v>
      </c>
      <c r="BL54" s="7"/>
      <c r="BM54" s="140"/>
      <c r="BN54" s="7"/>
      <c r="BO54" s="140"/>
      <c r="BP54" s="140"/>
      <c r="BQ54" s="138"/>
      <c r="BR54" s="140"/>
      <c r="BS54" s="140">
        <f>Capstone!Q55</f>
        <v>3</v>
      </c>
      <c r="BT54" s="140">
        <f>Capstone!W55</f>
        <v>4</v>
      </c>
      <c r="BU54" s="140">
        <f>Capstone!AC55</f>
        <v>4</v>
      </c>
      <c r="BV54" s="140">
        <f>Capstone!AI55</f>
        <v>0</v>
      </c>
      <c r="BW54" s="140">
        <f>Capstone!AO55</f>
        <v>3.5</v>
      </c>
      <c r="BX54" s="140">
        <f>Capstone!AU55</f>
        <v>3.5</v>
      </c>
      <c r="BY54" s="138"/>
      <c r="BZ54" s="140"/>
      <c r="CA5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1.8333333333333335</v>
      </c>
      <c r="CB54" s="140">
        <f>IFERROR(AVERAGE(Table110461117[[#This Row],[Column31]],Table110461117[[#This Row],[Column13]],Table110461117[[#This Row],[Column4]],Table110461117[[#This Row],[Column22]],),"A")</f>
        <v>1.4666666666666663</v>
      </c>
      <c r="CC54" s="140">
        <f>IFERROR(AVERAGE(Table110461117[[#This Row],[Column5]],Table110461117[[#This Row],[Column14]],Table110461117[[#This Row],[Column23]],Table110461117[[#This Row],[Column32]]),"A")</f>
        <v>2.125</v>
      </c>
      <c r="CD54" s="140">
        <f>IFERROR(AVERAGE(Table110461117[[#This Row],[Column6]],Table110461117[[#This Row],[Column15]],Table110461117[[#This Row],[Column24]],Table110461117[[#This Row],[Column33]]),"A")</f>
        <v>1.625</v>
      </c>
      <c r="CE54" s="140"/>
      <c r="CF54" s="140">
        <f>IFERROR(AVERAGE(Table110461117[[#This Row],[Column26]],Table110461117[[#This Row],[Column35]],Table110461117[[#This Row],[Column17]],Table110461117[[#This Row],[Column8]]),"A")</f>
        <v>1.75</v>
      </c>
      <c r="CG54" s="138"/>
      <c r="CH54" s="140">
        <f>IFERROR(AVERAGE('Review 1'!AX54,'Review 2'!AX54,'Review 3'!AX54,'Review 4'!AX54,'Reflection -1 '!AX54,'Reflection -2'!AX54,'Reflection -3'!AX54,'Reflection -4'!AX54),"A")</f>
        <v>2.75</v>
      </c>
      <c r="CI54" s="140">
        <f>IFERROR(AVERAGE('Review 1'!AY54,'Review 2'!AY54,'Review 3'!AY54,'Review 4'!AY54,'Reflection -1 '!AY54,'Reflection -2'!AY54,'Reflection -3'!AY54,'Reflection -4'!AY54,Capstone!AY55),"A")</f>
        <v>1.2222222222222223</v>
      </c>
      <c r="CJ54" s="140">
        <f>IFERROR(AVERAGE('Review 1'!AZ54,'Review 2'!AZ54,'Review 3'!AZ54,'Review 4'!AZ54,'Reflection -1 '!AZ54,'Reflection -2'!AZ54,'Reflection -3'!AZ54,'Reflection -4'!AZ54),"A")</f>
        <v>1.625</v>
      </c>
    </row>
    <row r="55" spans="1:88" s="122" customFormat="1" ht="23.1" customHeight="1" x14ac:dyDescent="0.3">
      <c r="A55" s="137">
        <v>53</v>
      </c>
      <c r="B55" s="62" t="s">
        <v>229</v>
      </c>
      <c r="C55" s="62" t="s">
        <v>230</v>
      </c>
      <c r="D55" s="62" t="s">
        <v>450</v>
      </c>
      <c r="E55" s="62" t="s">
        <v>161</v>
      </c>
      <c r="F55" s="139"/>
      <c r="G55" s="139">
        <f>'Review 1'!Q55</f>
        <v>2</v>
      </c>
      <c r="H55" s="139">
        <f>'Review 1'!W55</f>
        <v>2</v>
      </c>
      <c r="I55" s="139">
        <f>'Review 1'!AC55</f>
        <v>2</v>
      </c>
      <c r="J55" s="139">
        <f>'Review 1'!AI55</f>
        <v>2</v>
      </c>
      <c r="K55" s="139"/>
      <c r="L55" s="139">
        <f>'Review 1'!AU55</f>
        <v>2</v>
      </c>
      <c r="M55" s="138"/>
      <c r="N55" s="139"/>
      <c r="O55" s="139">
        <f>'Review 2'!Q55</f>
        <v>2</v>
      </c>
      <c r="P55" s="139">
        <f>'Review 2'!W55</f>
        <v>2</v>
      </c>
      <c r="Q55" s="139">
        <f>'Review 2'!AC55</f>
        <v>2</v>
      </c>
      <c r="R55" s="139">
        <f>'Review 2'!AI55</f>
        <v>2</v>
      </c>
      <c r="S55" s="139"/>
      <c r="T55" s="139">
        <f>'Review 2'!AU55</f>
        <v>2</v>
      </c>
      <c r="U55" s="138"/>
      <c r="V55" s="62"/>
      <c r="W55" s="139">
        <f>'Review 3'!Q55</f>
        <v>3</v>
      </c>
      <c r="X55" s="139">
        <f>'Review 3'!W55</f>
        <v>2.6666666666666665</v>
      </c>
      <c r="Y55" s="139">
        <f>'Review 3'!AC55</f>
        <v>2</v>
      </c>
      <c r="Z55" s="139">
        <f>'Review 3'!AI55</f>
        <v>3</v>
      </c>
      <c r="AA55" s="62"/>
      <c r="AB55" s="139">
        <f>'Review 3'!AU55</f>
        <v>2.6666666666666665</v>
      </c>
      <c r="AC55" s="138"/>
      <c r="AD55" s="62"/>
      <c r="AE55" s="139">
        <f>'Review 4'!Q55</f>
        <v>0</v>
      </c>
      <c r="AF55" s="139">
        <f>'Review 4'!W55</f>
        <v>0</v>
      </c>
      <c r="AG55" s="139">
        <f>'Review 4'!AC55</f>
        <v>0</v>
      </c>
      <c r="AH55" s="139">
        <f>'Review 4'!AI55</f>
        <v>0</v>
      </c>
      <c r="AI55" s="139"/>
      <c r="AJ55" s="139">
        <f>'Review 4'!AU55</f>
        <v>0</v>
      </c>
      <c r="AK55" s="138"/>
      <c r="AL55" s="62"/>
      <c r="AM55" s="139">
        <f>'Reflection -1 '!Q55</f>
        <v>0</v>
      </c>
      <c r="AN55" s="62"/>
      <c r="AO55" s="62"/>
      <c r="AP55" s="62"/>
      <c r="AQ55" s="62"/>
      <c r="AR55" s="62"/>
      <c r="AS55" s="138"/>
      <c r="AT55" s="62"/>
      <c r="AU55" s="139">
        <f>'Reflection -2'!Q55</f>
        <v>0</v>
      </c>
      <c r="AV55" s="62"/>
      <c r="AW55" s="62"/>
      <c r="AX55" s="62"/>
      <c r="AY55" s="139"/>
      <c r="AZ55" s="62"/>
      <c r="BA55" s="138"/>
      <c r="BB55" s="139"/>
      <c r="BC55" s="139">
        <f>'Reflection -3'!Q55</f>
        <v>2.6666666666666665</v>
      </c>
      <c r="BD55" s="139"/>
      <c r="BE55" s="139"/>
      <c r="BF55" s="139"/>
      <c r="BG55" s="139"/>
      <c r="BH55" s="139"/>
      <c r="BI55" s="138"/>
      <c r="BJ55" s="139"/>
      <c r="BK55" s="139">
        <f>'Reflection -3'!Q55</f>
        <v>2.6666666666666665</v>
      </c>
      <c r="BL55" s="62"/>
      <c r="BM55" s="139"/>
      <c r="BN55" s="62"/>
      <c r="BO55" s="139"/>
      <c r="BP55" s="139"/>
      <c r="BQ55" s="138"/>
      <c r="BR55" s="139"/>
      <c r="BS55" s="139">
        <f>Capstone!Q56</f>
        <v>3.1666666666666665</v>
      </c>
      <c r="BT55" s="139">
        <f>Capstone!W56</f>
        <v>4</v>
      </c>
      <c r="BU55" s="139">
        <f>Capstone!AC56</f>
        <v>4</v>
      </c>
      <c r="BV55" s="139">
        <f>Capstone!AI56</f>
        <v>0</v>
      </c>
      <c r="BW55" s="139">
        <f>Capstone!AO56</f>
        <v>3.5</v>
      </c>
      <c r="BX55" s="139">
        <f>Capstone!AU56</f>
        <v>4</v>
      </c>
      <c r="BY55" s="138"/>
      <c r="BZ55" s="139"/>
      <c r="CA5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1.5416666666666665</v>
      </c>
      <c r="CB55" s="139">
        <f>IFERROR(AVERAGE(Table110461117[[#This Row],[Column31]],Table110461117[[#This Row],[Column13]],Table110461117[[#This Row],[Column4]],Table110461117[[#This Row],[Column22]],),"A")</f>
        <v>1.3333333333333333</v>
      </c>
      <c r="CC55" s="139">
        <f>IFERROR(AVERAGE(Table110461117[[#This Row],[Column5]],Table110461117[[#This Row],[Column14]],Table110461117[[#This Row],[Column23]],Table110461117[[#This Row],[Column32]]),"A")</f>
        <v>1.5</v>
      </c>
      <c r="CD55" s="139">
        <f>IFERROR(AVERAGE(Table110461117[[#This Row],[Column6]],Table110461117[[#This Row],[Column15]],Table110461117[[#This Row],[Column24]],Table110461117[[#This Row],[Column33]]),"A")</f>
        <v>1.75</v>
      </c>
      <c r="CE55" s="139"/>
      <c r="CF55" s="139">
        <f>IFERROR(AVERAGE(Table110461117[[#This Row],[Column26]],Table110461117[[#This Row],[Column35]],Table110461117[[#This Row],[Column17]],Table110461117[[#This Row],[Column8]]),"A")</f>
        <v>1.6666666666666665</v>
      </c>
      <c r="CG55" s="138"/>
      <c r="CH55" s="139">
        <f>IFERROR(AVERAGE('Review 1'!AX55,'Review 2'!AX55,'Review 3'!AX55,'Review 4'!AX55,'Reflection -1 '!AX55,'Reflection -2'!AX55,'Reflection -3'!AX55,'Reflection -4'!AX55),"A")</f>
        <v>1.5</v>
      </c>
      <c r="CI55" s="139">
        <f>IFERROR(AVERAGE('Review 1'!AY55,'Review 2'!AY55,'Review 3'!AY55,'Review 4'!AY55,'Reflection -1 '!AY55,'Reflection -2'!AY55,'Reflection -3'!AY55,'Reflection -4'!AY55,Capstone!AY56),"A")</f>
        <v>0.88888888888888884</v>
      </c>
      <c r="CJ55" s="139">
        <f>IFERROR(AVERAGE('Review 1'!AZ55,'Review 2'!AZ55,'Review 3'!AZ55,'Review 4'!AZ55,'Reflection -1 '!AZ55,'Reflection -2'!AZ55,'Reflection -3'!AZ55,'Reflection -4'!AZ55),"A")</f>
        <v>0.625</v>
      </c>
    </row>
    <row r="56" spans="1:88" s="122" customFormat="1" ht="23.1" customHeight="1" x14ac:dyDescent="0.3">
      <c r="A56" s="6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140"/>
      <c r="G56" s="140">
        <f>'Review 1'!Q56</f>
        <v>3</v>
      </c>
      <c r="H56" s="140">
        <f>'Review 1'!W56</f>
        <v>2</v>
      </c>
      <c r="I56" s="140">
        <f>'Review 1'!AC56</f>
        <v>2.5</v>
      </c>
      <c r="J56" s="140">
        <f>'Review 1'!AI56</f>
        <v>3</v>
      </c>
      <c r="K56" s="140"/>
      <c r="L56" s="140">
        <f>'Review 1'!AU56</f>
        <v>3</v>
      </c>
      <c r="M56" s="138"/>
      <c r="N56" s="140"/>
      <c r="O56" s="140">
        <f>'Review 2'!Q56</f>
        <v>2.4</v>
      </c>
      <c r="P56" s="140">
        <f>'Review 2'!W56</f>
        <v>2</v>
      </c>
      <c r="Q56" s="140">
        <f>'Review 2'!AC56</f>
        <v>2</v>
      </c>
      <c r="R56" s="140">
        <f>'Review 2'!AI56</f>
        <v>1</v>
      </c>
      <c r="S56" s="140"/>
      <c r="T56" s="140">
        <f>'Review 2'!AU56</f>
        <v>2</v>
      </c>
      <c r="U56" s="138"/>
      <c r="V56" s="7"/>
      <c r="W56" s="140">
        <f>'Review 3'!Q56</f>
        <v>2.2000000000000002</v>
      </c>
      <c r="X56" s="140">
        <f>'Review 3'!W56</f>
        <v>0</v>
      </c>
      <c r="Y56" s="140">
        <f>'Review 3'!AC56</f>
        <v>0</v>
      </c>
      <c r="Z56" s="140">
        <f>'Review 3'!AI56</f>
        <v>0</v>
      </c>
      <c r="AA56" s="7"/>
      <c r="AB56" s="140">
        <f>'Review 3'!AU56</f>
        <v>0</v>
      </c>
      <c r="AC56" s="138"/>
      <c r="AD56" s="7"/>
      <c r="AE56" s="140">
        <f>'Review 4'!Q56</f>
        <v>3.2</v>
      </c>
      <c r="AF56" s="140">
        <f>'Review 4'!W56</f>
        <v>4</v>
      </c>
      <c r="AG56" s="140">
        <f>'Review 4'!AC56</f>
        <v>2</v>
      </c>
      <c r="AH56" s="140">
        <f>'Review 4'!AI56</f>
        <v>2</v>
      </c>
      <c r="AI56" s="140"/>
      <c r="AJ56" s="140">
        <f>'Review 4'!AU56</f>
        <v>4</v>
      </c>
      <c r="AK56" s="138"/>
      <c r="AL56" s="7"/>
      <c r="AM56" s="140">
        <f>'Reflection -1 '!Q56</f>
        <v>2.6666666666666665</v>
      </c>
      <c r="AN56" s="7"/>
      <c r="AO56" s="7"/>
      <c r="AP56" s="7"/>
      <c r="AQ56" s="7"/>
      <c r="AR56" s="7"/>
      <c r="AS56" s="138"/>
      <c r="AT56" s="7"/>
      <c r="AU56" s="140">
        <f>'Reflection -2'!Q56</f>
        <v>3</v>
      </c>
      <c r="AV56" s="7"/>
      <c r="AW56" s="7"/>
      <c r="AX56" s="7"/>
      <c r="AY56" s="140"/>
      <c r="AZ56" s="7"/>
      <c r="BA56" s="138"/>
      <c r="BB56" s="140"/>
      <c r="BC56" s="140">
        <f>'Reflection -3'!Q56</f>
        <v>3.6666666666666665</v>
      </c>
      <c r="BD56" s="140"/>
      <c r="BE56" s="140"/>
      <c r="BF56" s="140"/>
      <c r="BG56" s="140"/>
      <c r="BH56" s="140"/>
      <c r="BI56" s="138"/>
      <c r="BJ56" s="140"/>
      <c r="BK56" s="140">
        <f>'Reflection -3'!Q56</f>
        <v>3.6666666666666665</v>
      </c>
      <c r="BL56" s="7"/>
      <c r="BM56" s="140"/>
      <c r="BN56" s="7"/>
      <c r="BO56" s="140"/>
      <c r="BP56" s="140"/>
      <c r="BQ56" s="138"/>
      <c r="BR56" s="140"/>
      <c r="BS56" s="140">
        <f>Capstone!Q57</f>
        <v>4</v>
      </c>
      <c r="BT56" s="140">
        <f>Capstone!W57</f>
        <v>5</v>
      </c>
      <c r="BU56" s="140">
        <f>Capstone!AC57</f>
        <v>5</v>
      </c>
      <c r="BV56" s="140">
        <f>Capstone!AI57</f>
        <v>5</v>
      </c>
      <c r="BW56" s="140">
        <f>Capstone!AO57</f>
        <v>4</v>
      </c>
      <c r="BX56" s="140">
        <f>Capstone!AU57</f>
        <v>4</v>
      </c>
      <c r="BY56" s="138"/>
      <c r="BZ56" s="140"/>
      <c r="CA5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2.9750000000000001</v>
      </c>
      <c r="CB56" s="140">
        <f>IFERROR(AVERAGE(Table110461117[[#This Row],[Column31]],Table110461117[[#This Row],[Column13]],Table110461117[[#This Row],[Column4]],Table110461117[[#This Row],[Column22]],),"A")</f>
        <v>1.6</v>
      </c>
      <c r="CC56" s="140">
        <f>IFERROR(AVERAGE(Table110461117[[#This Row],[Column5]],Table110461117[[#This Row],[Column14]],Table110461117[[#This Row],[Column23]],Table110461117[[#This Row],[Column32]]),"A")</f>
        <v>1.625</v>
      </c>
      <c r="CD56" s="140">
        <f>IFERROR(AVERAGE(Table110461117[[#This Row],[Column6]],Table110461117[[#This Row],[Column15]],Table110461117[[#This Row],[Column24]],Table110461117[[#This Row],[Column33]]),"A")</f>
        <v>1.5</v>
      </c>
      <c r="CE56" s="140"/>
      <c r="CF56" s="140">
        <f>IFERROR(AVERAGE(Table110461117[[#This Row],[Column26]],Table110461117[[#This Row],[Column35]],Table110461117[[#This Row],[Column17]],Table110461117[[#This Row],[Column8]]),"A")</f>
        <v>2.25</v>
      </c>
      <c r="CG56" s="138"/>
      <c r="CH56" s="140">
        <f>IFERROR(AVERAGE('Review 1'!AX56,'Review 2'!AX56,'Review 3'!AX56,'Review 4'!AX56,'Reflection -1 '!AX56,'Reflection -2'!AX56,'Reflection -3'!AX56,'Reflection -4'!AX56),"A")</f>
        <v>3.25</v>
      </c>
      <c r="CI56" s="140">
        <f>IFERROR(AVERAGE('Review 1'!AY56,'Review 2'!AY56,'Review 3'!AY56,'Review 4'!AY56,'Reflection -1 '!AY56,'Reflection -2'!AY56,'Reflection -3'!AY56,'Reflection -4'!AY56,Capstone!AY57),"A")</f>
        <v>2</v>
      </c>
      <c r="CJ56" s="140">
        <f>IFERROR(AVERAGE('Review 1'!AZ56,'Review 2'!AZ56,'Review 3'!AZ56,'Review 4'!AZ56,'Reflection -1 '!AZ56,'Reflection -2'!AZ56,'Reflection -3'!AZ56,'Reflection -4'!AZ56),"A")</f>
        <v>2</v>
      </c>
    </row>
    <row r="57" spans="1:88" s="122" customFormat="1" ht="23.1" customHeight="1" x14ac:dyDescent="0.3">
      <c r="A57" s="137">
        <v>55</v>
      </c>
      <c r="B57" s="62" t="s">
        <v>247</v>
      </c>
      <c r="C57" s="62" t="s">
        <v>248</v>
      </c>
      <c r="D57" s="62" t="s">
        <v>450</v>
      </c>
      <c r="E57" s="62" t="s">
        <v>161</v>
      </c>
      <c r="F57" s="139"/>
      <c r="G57" s="139">
        <f>'Review 1'!Q57</f>
        <v>3</v>
      </c>
      <c r="H57" s="139">
        <f>'Review 1'!W57</f>
        <v>3</v>
      </c>
      <c r="I57" s="139">
        <f>'Review 1'!AC57</f>
        <v>3</v>
      </c>
      <c r="J57" s="139">
        <f>'Review 1'!AI57</f>
        <v>3</v>
      </c>
      <c r="K57" s="139"/>
      <c r="L57" s="139">
        <f>'Review 1'!AU57</f>
        <v>3</v>
      </c>
      <c r="M57" s="138"/>
      <c r="N57" s="139"/>
      <c r="O57" s="139">
        <f>'Review 2'!Q57</f>
        <v>3</v>
      </c>
      <c r="P57" s="139">
        <f>'Review 2'!W57</f>
        <v>3</v>
      </c>
      <c r="Q57" s="139">
        <f>'Review 2'!AC57</f>
        <v>3</v>
      </c>
      <c r="R57" s="139">
        <f>'Review 2'!AI57</f>
        <v>3</v>
      </c>
      <c r="S57" s="139"/>
      <c r="T57" s="139">
        <f>'Review 2'!AU57</f>
        <v>3</v>
      </c>
      <c r="U57" s="138"/>
      <c r="V57" s="62"/>
      <c r="W57" s="139">
        <f>'Review 3'!Q57</f>
        <v>3</v>
      </c>
      <c r="X57" s="139">
        <f>'Review 3'!W57</f>
        <v>2.3333333333333335</v>
      </c>
      <c r="Y57" s="139">
        <f>'Review 3'!AC57</f>
        <v>3</v>
      </c>
      <c r="Z57" s="139">
        <f>'Review 3'!AI57</f>
        <v>2</v>
      </c>
      <c r="AA57" s="62"/>
      <c r="AB57" s="139">
        <f>'Review 3'!AU57</f>
        <v>2.6666666666666665</v>
      </c>
      <c r="AC57" s="138"/>
      <c r="AD57" s="62"/>
      <c r="AE57" s="139">
        <f>'Review 4'!Q57</f>
        <v>4</v>
      </c>
      <c r="AF57" s="139">
        <f>'Review 4'!W57</f>
        <v>4</v>
      </c>
      <c r="AG57" s="139">
        <f>'Review 4'!AC57</f>
        <v>3</v>
      </c>
      <c r="AH57" s="139">
        <f>'Review 4'!AI57</f>
        <v>3</v>
      </c>
      <c r="AI57" s="139"/>
      <c r="AJ57" s="139">
        <f>'Review 4'!AU57</f>
        <v>4</v>
      </c>
      <c r="AK57" s="138"/>
      <c r="AL57" s="62"/>
      <c r="AM57" s="139">
        <f>'Reflection -1 '!Q57</f>
        <v>4</v>
      </c>
      <c r="AN57" s="62"/>
      <c r="AO57" s="62"/>
      <c r="AP57" s="62"/>
      <c r="AQ57" s="62"/>
      <c r="AR57" s="62"/>
      <c r="AS57" s="138"/>
      <c r="AT57" s="62"/>
      <c r="AU57" s="139">
        <f>'Reflection -2'!Q57</f>
        <v>4</v>
      </c>
      <c r="AV57" s="62"/>
      <c r="AW57" s="62"/>
      <c r="AX57" s="62"/>
      <c r="AY57" s="139"/>
      <c r="AZ57" s="62"/>
      <c r="BA57" s="138"/>
      <c r="BB57" s="139"/>
      <c r="BC57" s="139">
        <f>'Reflection -3'!Q57</f>
        <v>4</v>
      </c>
      <c r="BD57" s="139"/>
      <c r="BE57" s="139"/>
      <c r="BF57" s="139"/>
      <c r="BG57" s="139"/>
      <c r="BH57" s="139"/>
      <c r="BI57" s="138"/>
      <c r="BJ57" s="139"/>
      <c r="BK57" s="139">
        <f>'Reflection -3'!Q57</f>
        <v>4</v>
      </c>
      <c r="BL57" s="62"/>
      <c r="BM57" s="139"/>
      <c r="BN57" s="62"/>
      <c r="BO57" s="139"/>
      <c r="BP57" s="139"/>
      <c r="BQ57" s="138"/>
      <c r="BR57" s="139"/>
      <c r="BS57" s="139">
        <f>Capstone!Q58</f>
        <v>5</v>
      </c>
      <c r="BT57" s="139">
        <f>Capstone!W58</f>
        <v>5</v>
      </c>
      <c r="BU57" s="139">
        <f>Capstone!AC58</f>
        <v>5</v>
      </c>
      <c r="BV57" s="139">
        <f>Capstone!AI58</f>
        <v>4</v>
      </c>
      <c r="BW57" s="139">
        <f>Capstone!AO58</f>
        <v>5</v>
      </c>
      <c r="BX57" s="139">
        <f>Capstone!AU58</f>
        <v>5</v>
      </c>
      <c r="BY57" s="138"/>
      <c r="BZ57" s="139"/>
      <c r="CA5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3.625</v>
      </c>
      <c r="CB57" s="139">
        <f>IFERROR(AVERAGE(Table110461117[[#This Row],[Column31]],Table110461117[[#This Row],[Column13]],Table110461117[[#This Row],[Column4]],Table110461117[[#This Row],[Column22]],),"A")</f>
        <v>2.4666666666666668</v>
      </c>
      <c r="CC57" s="139">
        <f>IFERROR(AVERAGE(Table110461117[[#This Row],[Column5]],Table110461117[[#This Row],[Column14]],Table110461117[[#This Row],[Column23]],Table110461117[[#This Row],[Column32]]),"A")</f>
        <v>3</v>
      </c>
      <c r="CD57" s="139">
        <f>IFERROR(AVERAGE(Table110461117[[#This Row],[Column6]],Table110461117[[#This Row],[Column15]],Table110461117[[#This Row],[Column24]],Table110461117[[#This Row],[Column33]]),"A")</f>
        <v>2.75</v>
      </c>
      <c r="CE57" s="139"/>
      <c r="CF57" s="139">
        <f>IFERROR(AVERAGE(Table110461117[[#This Row],[Column26]],Table110461117[[#This Row],[Column35]],Table110461117[[#This Row],[Column17]],Table110461117[[#This Row],[Column8]]),"A")</f>
        <v>3.1666666666666665</v>
      </c>
      <c r="CG57" s="138"/>
      <c r="CH57" s="139">
        <f>IFERROR(AVERAGE('Review 1'!AX57,'Review 2'!AX57,'Review 3'!AX57,'Review 4'!AX57,'Reflection -1 '!AX57,'Reflection -2'!AX57,'Reflection -3'!AX57,'Reflection -4'!AX57),"A")</f>
        <v>3.25</v>
      </c>
      <c r="CI57" s="139">
        <f>IFERROR(AVERAGE('Review 1'!AY57,'Review 2'!AY57,'Review 3'!AY57,'Review 4'!AY57,'Reflection -1 '!AY57,'Reflection -2'!AY57,'Reflection -3'!AY57,'Reflection -4'!AY57,Capstone!AY58),"A")</f>
        <v>1.4444444444444444</v>
      </c>
      <c r="CJ57" s="139">
        <f>IFERROR(AVERAGE('Review 1'!AZ57,'Review 2'!AZ57,'Review 3'!AZ57,'Review 4'!AZ57,'Reflection -1 '!AZ57,'Reflection -2'!AZ57,'Reflection -3'!AZ57,'Reflection -4'!AZ57),"A")</f>
        <v>2.25</v>
      </c>
    </row>
    <row r="58" spans="1:88" s="122" customFormat="1" ht="23.1" customHeight="1" x14ac:dyDescent="0.3">
      <c r="A58" s="6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140"/>
      <c r="G58" s="140">
        <f>'Review 1'!Q58</f>
        <v>0</v>
      </c>
      <c r="H58" s="140">
        <f>'Review 1'!W58</f>
        <v>0</v>
      </c>
      <c r="I58" s="140">
        <f>'Review 1'!AC58</f>
        <v>0</v>
      </c>
      <c r="J58" s="140">
        <f>'Review 1'!AI58</f>
        <v>0</v>
      </c>
      <c r="K58" s="140"/>
      <c r="L58" s="140">
        <f>'Review 1'!AU58</f>
        <v>0</v>
      </c>
      <c r="M58" s="138"/>
      <c r="N58" s="140"/>
      <c r="O58" s="140">
        <f>'Review 2'!Q58</f>
        <v>2.8</v>
      </c>
      <c r="P58" s="140">
        <f>'Review 2'!W58</f>
        <v>2</v>
      </c>
      <c r="Q58" s="140">
        <f>'Review 2'!AC58</f>
        <v>2</v>
      </c>
      <c r="R58" s="140">
        <f>'Review 2'!AI58</f>
        <v>2</v>
      </c>
      <c r="S58" s="140"/>
      <c r="T58" s="140">
        <f>'Review 2'!AU58</f>
        <v>3</v>
      </c>
      <c r="U58" s="138"/>
      <c r="V58" s="7"/>
      <c r="W58" s="140">
        <f>'Review 3'!Q58</f>
        <v>2.8</v>
      </c>
      <c r="X58" s="140">
        <f>'Review 3'!W58</f>
        <v>0</v>
      </c>
      <c r="Y58" s="140">
        <f>'Review 3'!AC58</f>
        <v>0</v>
      </c>
      <c r="Z58" s="140">
        <f>'Review 3'!AI58</f>
        <v>0</v>
      </c>
      <c r="AA58" s="7"/>
      <c r="AB58" s="140">
        <f>'Review 3'!AU58</f>
        <v>0</v>
      </c>
      <c r="AC58" s="138"/>
      <c r="AD58" s="7"/>
      <c r="AE58" s="140">
        <f>'Review 4'!Q58</f>
        <v>2.4</v>
      </c>
      <c r="AF58" s="140">
        <f>'Review 4'!W58</f>
        <v>2</v>
      </c>
      <c r="AG58" s="140">
        <f>'Review 4'!AC58</f>
        <v>2</v>
      </c>
      <c r="AH58" s="140">
        <f>'Review 4'!AI58</f>
        <v>2</v>
      </c>
      <c r="AI58" s="140"/>
      <c r="AJ58" s="140">
        <f>'Review 4'!AU58</f>
        <v>3</v>
      </c>
      <c r="AK58" s="138"/>
      <c r="AL58" s="7"/>
      <c r="AM58" s="140">
        <f>'Reflection -1 '!Q58</f>
        <v>4.333333333333333</v>
      </c>
      <c r="AN58" s="7"/>
      <c r="AO58" s="7"/>
      <c r="AP58" s="7"/>
      <c r="AQ58" s="7"/>
      <c r="AR58" s="7"/>
      <c r="AS58" s="138"/>
      <c r="AT58" s="7"/>
      <c r="AU58" s="140">
        <f>'Reflection -2'!Q58</f>
        <v>4</v>
      </c>
      <c r="AV58" s="7"/>
      <c r="AW58" s="7"/>
      <c r="AX58" s="7"/>
      <c r="AY58" s="140"/>
      <c r="AZ58" s="7"/>
      <c r="BA58" s="138"/>
      <c r="BB58" s="140"/>
      <c r="BC58" s="140">
        <f>'Reflection -3'!Q58</f>
        <v>4.666666666666667</v>
      </c>
      <c r="BD58" s="140"/>
      <c r="BE58" s="140"/>
      <c r="BF58" s="140"/>
      <c r="BG58" s="140"/>
      <c r="BH58" s="140"/>
      <c r="BI58" s="138"/>
      <c r="BJ58" s="140"/>
      <c r="BK58" s="140">
        <f>'Reflection -3'!Q58</f>
        <v>4.666666666666667</v>
      </c>
      <c r="BL58" s="7"/>
      <c r="BM58" s="140"/>
      <c r="BN58" s="7"/>
      <c r="BO58" s="140"/>
      <c r="BP58" s="140"/>
      <c r="BQ58" s="138"/>
      <c r="BR58" s="140"/>
      <c r="BS58" s="140">
        <f>Capstone!Q59</f>
        <v>4</v>
      </c>
      <c r="BT58" s="140">
        <f>Capstone!W59</f>
        <v>2</v>
      </c>
      <c r="BU58" s="140">
        <f>Capstone!AC59</f>
        <v>2</v>
      </c>
      <c r="BV58" s="140">
        <f>Capstone!AI59</f>
        <v>3</v>
      </c>
      <c r="BW58" s="140">
        <f>Capstone!AO59</f>
        <v>4</v>
      </c>
      <c r="BX58" s="140">
        <f>Capstone!AU59</f>
        <v>2</v>
      </c>
      <c r="BY58" s="138"/>
      <c r="BZ58" s="140"/>
      <c r="CA5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3.2083333333333335</v>
      </c>
      <c r="CB58" s="140">
        <f>IFERROR(AVERAGE(Table110461117[[#This Row],[Column31]],Table110461117[[#This Row],[Column13]],Table110461117[[#This Row],[Column4]],Table110461117[[#This Row],[Column22]],),"A")</f>
        <v>0.8</v>
      </c>
      <c r="CC58" s="140">
        <f>IFERROR(AVERAGE(Table110461117[[#This Row],[Column5]],Table110461117[[#This Row],[Column14]],Table110461117[[#This Row],[Column23]],Table110461117[[#This Row],[Column32]]),"A")</f>
        <v>1</v>
      </c>
      <c r="CD58" s="140">
        <f>IFERROR(AVERAGE(Table110461117[[#This Row],[Column6]],Table110461117[[#This Row],[Column15]],Table110461117[[#This Row],[Column24]],Table110461117[[#This Row],[Column33]]),"A")</f>
        <v>1</v>
      </c>
      <c r="CE58" s="140"/>
      <c r="CF58" s="140">
        <f>IFERROR(AVERAGE(Table110461117[[#This Row],[Column26]],Table110461117[[#This Row],[Column35]],Table110461117[[#This Row],[Column17]],Table110461117[[#This Row],[Column8]]),"A")</f>
        <v>1.5</v>
      </c>
      <c r="CG58" s="138"/>
      <c r="CH58" s="140">
        <f>IFERROR(AVERAGE('Review 1'!AX58,'Review 2'!AX58,'Review 3'!AX58,'Review 4'!AX58,'Reflection -1 '!AX58,'Reflection -2'!AX58,'Reflection -3'!AX58,'Reflection -4'!AX58),"A")</f>
        <v>3</v>
      </c>
      <c r="CI58" s="140">
        <f>IFERROR(AVERAGE('Review 1'!AY58,'Review 2'!AY58,'Review 3'!AY58,'Review 4'!AY58,'Reflection -1 '!AY58,'Reflection -2'!AY58,'Reflection -3'!AY58,'Reflection -4'!AY58,Capstone!AY59),"A")</f>
        <v>1</v>
      </c>
      <c r="CJ58" s="140">
        <f>IFERROR(AVERAGE('Review 1'!AZ58,'Review 2'!AZ58,'Review 3'!AZ58,'Review 4'!AZ58,'Reflection -1 '!AZ58,'Reflection -2'!AZ58,'Reflection -3'!AZ58,'Reflection -4'!AZ58),"A")</f>
        <v>2.75</v>
      </c>
    </row>
    <row r="59" spans="1:88" s="122" customFormat="1" ht="23.1" customHeight="1" x14ac:dyDescent="0.3">
      <c r="A59" s="137">
        <v>57</v>
      </c>
      <c r="B59" s="62" t="s">
        <v>314</v>
      </c>
      <c r="C59" s="62" t="s">
        <v>315</v>
      </c>
      <c r="D59" s="62" t="s">
        <v>542</v>
      </c>
      <c r="E59" s="62" t="s">
        <v>493</v>
      </c>
      <c r="F59" s="139"/>
      <c r="G59" s="139">
        <f>'Review 1'!Q59</f>
        <v>2.2000000000000002</v>
      </c>
      <c r="H59" s="139">
        <f>'Review 1'!W59</f>
        <v>3</v>
      </c>
      <c r="I59" s="139">
        <f>'Review 1'!AC59</f>
        <v>3</v>
      </c>
      <c r="J59" s="139">
        <f>'Review 1'!AI59</f>
        <v>3</v>
      </c>
      <c r="K59" s="139"/>
      <c r="L59" s="139">
        <f>'Review 1'!AU59</f>
        <v>3</v>
      </c>
      <c r="M59" s="138"/>
      <c r="N59" s="139"/>
      <c r="O59" s="139">
        <f>'Review 2'!Q59</f>
        <v>2</v>
      </c>
      <c r="P59" s="139">
        <f>'Review 2'!W59</f>
        <v>2</v>
      </c>
      <c r="Q59" s="139">
        <f>'Review 2'!AC59</f>
        <v>2</v>
      </c>
      <c r="R59" s="139">
        <f>'Review 2'!AI59</f>
        <v>1</v>
      </c>
      <c r="S59" s="139"/>
      <c r="T59" s="139">
        <f>'Review 2'!AU59</f>
        <v>2</v>
      </c>
      <c r="U59" s="138"/>
      <c r="V59" s="62"/>
      <c r="W59" s="139">
        <f>'Review 3'!Q59</f>
        <v>3</v>
      </c>
      <c r="X59" s="139">
        <f>'Review 3'!W59</f>
        <v>0</v>
      </c>
      <c r="Y59" s="139">
        <f>'Review 3'!AC59</f>
        <v>0</v>
      </c>
      <c r="Z59" s="139">
        <f>'Review 3'!AI59</f>
        <v>0</v>
      </c>
      <c r="AA59" s="62"/>
      <c r="AB59" s="139">
        <f>'Review 3'!AU59</f>
        <v>0</v>
      </c>
      <c r="AC59" s="138"/>
      <c r="AD59" s="62"/>
      <c r="AE59" s="139">
        <f>'Review 4'!Q59</f>
        <v>4</v>
      </c>
      <c r="AF59" s="139">
        <f>'Review 4'!W59</f>
        <v>4</v>
      </c>
      <c r="AG59" s="139">
        <f>'Review 4'!AC59</f>
        <v>2.5</v>
      </c>
      <c r="AH59" s="139">
        <f>'Review 4'!AI59</f>
        <v>1</v>
      </c>
      <c r="AI59" s="139"/>
      <c r="AJ59" s="139">
        <f>'Review 4'!AU59</f>
        <v>3.6666666666666665</v>
      </c>
      <c r="AK59" s="138"/>
      <c r="AL59" s="62"/>
      <c r="AM59" s="139">
        <f>'Reflection -1 '!Q59</f>
        <v>1</v>
      </c>
      <c r="AN59" s="62"/>
      <c r="AO59" s="62"/>
      <c r="AP59" s="62"/>
      <c r="AQ59" s="62"/>
      <c r="AR59" s="62"/>
      <c r="AS59" s="138"/>
      <c r="AT59" s="62"/>
      <c r="AU59" s="139">
        <f>'Reflection -2'!Q59</f>
        <v>2</v>
      </c>
      <c r="AV59" s="62"/>
      <c r="AW59" s="62"/>
      <c r="AX59" s="62"/>
      <c r="AY59" s="139"/>
      <c r="AZ59" s="62"/>
      <c r="BA59" s="138"/>
      <c r="BB59" s="139"/>
      <c r="BC59" s="139">
        <f>'Reflection -3'!Q59</f>
        <v>2</v>
      </c>
      <c r="BD59" s="139"/>
      <c r="BE59" s="139"/>
      <c r="BF59" s="139"/>
      <c r="BG59" s="139"/>
      <c r="BH59" s="139"/>
      <c r="BI59" s="138"/>
      <c r="BJ59" s="139"/>
      <c r="BK59" s="139">
        <f>'Reflection -3'!Q59</f>
        <v>2</v>
      </c>
      <c r="BL59" s="62"/>
      <c r="BM59" s="139"/>
      <c r="BN59" s="62"/>
      <c r="BO59" s="139"/>
      <c r="BP59" s="139"/>
      <c r="BQ59" s="138"/>
      <c r="BR59" s="139"/>
      <c r="BS59" s="139">
        <f>Capstone!Q60</f>
        <v>3.3333333333333335</v>
      </c>
      <c r="BT59" s="139">
        <f>Capstone!W60</f>
        <v>3</v>
      </c>
      <c r="BU59" s="139">
        <f>Capstone!AC60</f>
        <v>3</v>
      </c>
      <c r="BV59" s="139">
        <f>Capstone!AI60</f>
        <v>3</v>
      </c>
      <c r="BW59" s="139">
        <f>Capstone!AO60</f>
        <v>5</v>
      </c>
      <c r="BX59" s="139">
        <f>Capstone!AU60</f>
        <v>5</v>
      </c>
      <c r="BY59" s="138"/>
      <c r="BZ59" s="139"/>
      <c r="CA5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2.2749999999999999</v>
      </c>
      <c r="CB59" s="139">
        <f>IFERROR(AVERAGE(Table110461117[[#This Row],[Column31]],Table110461117[[#This Row],[Column13]],Table110461117[[#This Row],[Column4]],Table110461117[[#This Row],[Column22]],),"A")</f>
        <v>1.8</v>
      </c>
      <c r="CC59" s="139">
        <f>IFERROR(AVERAGE(Table110461117[[#This Row],[Column5]],Table110461117[[#This Row],[Column14]],Table110461117[[#This Row],[Column23]],Table110461117[[#This Row],[Column32]]),"A")</f>
        <v>1.875</v>
      </c>
      <c r="CD59" s="139">
        <f>IFERROR(AVERAGE(Table110461117[[#This Row],[Column6]],Table110461117[[#This Row],[Column15]],Table110461117[[#This Row],[Column24]],Table110461117[[#This Row],[Column33]]),"A")</f>
        <v>1.25</v>
      </c>
      <c r="CE59" s="139"/>
      <c r="CF59" s="139">
        <f>IFERROR(AVERAGE(Table110461117[[#This Row],[Column26]],Table110461117[[#This Row],[Column35]],Table110461117[[#This Row],[Column17]],Table110461117[[#This Row],[Column8]]),"A")</f>
        <v>2.1666666666666665</v>
      </c>
      <c r="CG59" s="138"/>
      <c r="CH59" s="139">
        <f>IFERROR(AVERAGE('Review 1'!AX59,'Review 2'!AX59,'Review 3'!AX59,'Review 4'!AX59,'Reflection -1 '!AX59,'Reflection -2'!AX59,'Reflection -3'!AX59,'Reflection -4'!AX59),"A")</f>
        <v>1.625</v>
      </c>
      <c r="CI59" s="139">
        <f>IFERROR(AVERAGE('Review 1'!AY59,'Review 2'!AY59,'Review 3'!AY59,'Review 4'!AY59,'Reflection -1 '!AY59,'Reflection -2'!AY59,'Reflection -3'!AY59,'Reflection -4'!AY59,Capstone!AY60),"A")</f>
        <v>2.1111111111111112</v>
      </c>
      <c r="CJ59" s="139">
        <f>IFERROR(AVERAGE('Review 1'!AZ59,'Review 2'!AZ59,'Review 3'!AZ59,'Review 4'!AZ59,'Reflection -1 '!AZ59,'Reflection -2'!AZ59,'Reflection -3'!AZ59,'Reflection -4'!AZ59),"A")</f>
        <v>1.625</v>
      </c>
    </row>
    <row r="60" spans="1:88" s="122" customFormat="1" ht="23.1" customHeight="1" x14ac:dyDescent="0.3">
      <c r="A60" s="6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140"/>
      <c r="G60" s="140">
        <f>'Review 1'!Q60</f>
        <v>2.6</v>
      </c>
      <c r="H60" s="140">
        <f>'Review 1'!W60</f>
        <v>2</v>
      </c>
      <c r="I60" s="140">
        <f>'Review 1'!AC60</f>
        <v>2</v>
      </c>
      <c r="J60" s="140">
        <f>'Review 1'!AI60</f>
        <v>3</v>
      </c>
      <c r="K60" s="140"/>
      <c r="L60" s="140">
        <f>'Review 1'!AU60</f>
        <v>3</v>
      </c>
      <c r="M60" s="138"/>
      <c r="N60" s="140"/>
      <c r="O60" s="140">
        <f>'Review 2'!Q60</f>
        <v>2</v>
      </c>
      <c r="P60" s="140">
        <f>'Review 2'!W60</f>
        <v>2</v>
      </c>
      <c r="Q60" s="140">
        <f>'Review 2'!AC60</f>
        <v>2</v>
      </c>
      <c r="R60" s="140">
        <f>'Review 2'!AI60</f>
        <v>1</v>
      </c>
      <c r="S60" s="140"/>
      <c r="T60" s="140">
        <f>'Review 2'!AU60</f>
        <v>2</v>
      </c>
      <c r="U60" s="138"/>
      <c r="V60" s="7"/>
      <c r="W60" s="140">
        <f>'Review 3'!Q60</f>
        <v>1.4</v>
      </c>
      <c r="X60" s="140">
        <f>'Review 3'!W60</f>
        <v>2</v>
      </c>
      <c r="Y60" s="140">
        <f>'Review 3'!AC60</f>
        <v>2</v>
      </c>
      <c r="Z60" s="140">
        <f>'Review 3'!AI60</f>
        <v>2</v>
      </c>
      <c r="AA60" s="7"/>
      <c r="AB60" s="140">
        <f>'Review 3'!AU60</f>
        <v>2</v>
      </c>
      <c r="AC60" s="138"/>
      <c r="AD60" s="7"/>
      <c r="AE60" s="140">
        <f>'Review 4'!Q60</f>
        <v>2</v>
      </c>
      <c r="AF60" s="140">
        <f>'Review 4'!W60</f>
        <v>2</v>
      </c>
      <c r="AG60" s="140">
        <f>'Review 4'!AC60</f>
        <v>2</v>
      </c>
      <c r="AH60" s="140">
        <f>'Review 4'!AI60</f>
        <v>2</v>
      </c>
      <c r="AI60" s="140"/>
      <c r="AJ60" s="140">
        <f>'Review 4'!AU60</f>
        <v>2</v>
      </c>
      <c r="AK60" s="138"/>
      <c r="AL60" s="7"/>
      <c r="AM60" s="140">
        <f>'Reflection -1 '!Q60</f>
        <v>2.3333333333333335</v>
      </c>
      <c r="AN60" s="7"/>
      <c r="AO60" s="7"/>
      <c r="AP60" s="7"/>
      <c r="AQ60" s="7"/>
      <c r="AR60" s="7"/>
      <c r="AS60" s="138"/>
      <c r="AT60" s="7"/>
      <c r="AU60" s="140">
        <f>'Reflection -2'!Q60</f>
        <v>1</v>
      </c>
      <c r="AV60" s="7"/>
      <c r="AW60" s="7"/>
      <c r="AX60" s="7"/>
      <c r="AY60" s="140"/>
      <c r="AZ60" s="7"/>
      <c r="BA60" s="138"/>
      <c r="BB60" s="140"/>
      <c r="BC60" s="140">
        <f>'Reflection -3'!Q60</f>
        <v>1.6666666666666667</v>
      </c>
      <c r="BD60" s="140"/>
      <c r="BE60" s="140"/>
      <c r="BF60" s="140"/>
      <c r="BG60" s="140"/>
      <c r="BH60" s="140"/>
      <c r="BI60" s="138"/>
      <c r="BJ60" s="140"/>
      <c r="BK60" s="140">
        <f>'Reflection -3'!Q60</f>
        <v>1.6666666666666667</v>
      </c>
      <c r="BL60" s="7"/>
      <c r="BM60" s="140"/>
      <c r="BN60" s="7"/>
      <c r="BO60" s="140"/>
      <c r="BP60" s="140"/>
      <c r="BQ60" s="138"/>
      <c r="BR60" s="140"/>
      <c r="BS60" s="140">
        <f>Capstone!Q61</f>
        <v>3.3333333333333335</v>
      </c>
      <c r="BT60" s="140">
        <f>Capstone!W61</f>
        <v>4</v>
      </c>
      <c r="BU60" s="140">
        <f>Capstone!AC61</f>
        <v>4</v>
      </c>
      <c r="BV60" s="140">
        <f>Capstone!AI61</f>
        <v>5</v>
      </c>
      <c r="BW60" s="140">
        <f>Capstone!AO61</f>
        <v>4</v>
      </c>
      <c r="BX60" s="140">
        <f>Capstone!AU61</f>
        <v>5</v>
      </c>
      <c r="BY60" s="138"/>
      <c r="BZ60" s="140"/>
      <c r="CA6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1.8333333333333333</v>
      </c>
      <c r="CB60" s="140">
        <f>IFERROR(AVERAGE(Table110461117[[#This Row],[Column31]],Table110461117[[#This Row],[Column13]],Table110461117[[#This Row],[Column4]],Table110461117[[#This Row],[Column22]],),"A")</f>
        <v>1.6</v>
      </c>
      <c r="CC60" s="140">
        <f>IFERROR(AVERAGE(Table110461117[[#This Row],[Column5]],Table110461117[[#This Row],[Column14]],Table110461117[[#This Row],[Column23]],Table110461117[[#This Row],[Column32]]),"A")</f>
        <v>2</v>
      </c>
      <c r="CD60" s="140">
        <f>IFERROR(AVERAGE(Table110461117[[#This Row],[Column6]],Table110461117[[#This Row],[Column15]],Table110461117[[#This Row],[Column24]],Table110461117[[#This Row],[Column33]]),"A")</f>
        <v>2</v>
      </c>
      <c r="CE60" s="140"/>
      <c r="CF60" s="140">
        <f>IFERROR(AVERAGE(Table110461117[[#This Row],[Column26]],Table110461117[[#This Row],[Column35]],Table110461117[[#This Row],[Column17]],Table110461117[[#This Row],[Column8]]),"A")</f>
        <v>2.25</v>
      </c>
      <c r="CG60" s="138"/>
      <c r="CH60" s="140">
        <f>IFERROR(AVERAGE('Review 1'!AX60,'Review 2'!AX60,'Review 3'!AX60,'Review 4'!AX60,'Reflection -1 '!AX60,'Reflection -2'!AX60,'Reflection -3'!AX60,'Reflection -4'!AX60),"A")</f>
        <v>3.5</v>
      </c>
      <c r="CI60" s="140">
        <f>IFERROR(AVERAGE('Review 1'!AY60,'Review 2'!AY60,'Review 3'!AY60,'Review 4'!AY60,'Reflection -1 '!AY60,'Reflection -2'!AY60,'Reflection -3'!AY60,'Reflection -4'!AY60,Capstone!AY61),"A")</f>
        <v>2.3333333333333335</v>
      </c>
      <c r="CJ60" s="140">
        <f>IFERROR(AVERAGE('Review 1'!AZ60,'Review 2'!AZ60,'Review 3'!AZ60,'Review 4'!AZ60,'Reflection -1 '!AZ60,'Reflection -2'!AZ60,'Reflection -3'!AZ60,'Reflection -4'!AZ60),"A")</f>
        <v>1.875</v>
      </c>
    </row>
    <row r="61" spans="1:88" s="122" customFormat="1" ht="23.1" customHeight="1" x14ac:dyDescent="0.3">
      <c r="A61" s="137">
        <v>59</v>
      </c>
      <c r="B61" s="62" t="s">
        <v>126</v>
      </c>
      <c r="C61" s="62" t="s">
        <v>127</v>
      </c>
      <c r="D61" s="62" t="s">
        <v>450</v>
      </c>
      <c r="E61" s="62" t="s">
        <v>35</v>
      </c>
      <c r="F61" s="139"/>
      <c r="G61" s="139">
        <f>'Review 1'!Q61</f>
        <v>2.6</v>
      </c>
      <c r="H61" s="139">
        <f>'Review 1'!W61</f>
        <v>4</v>
      </c>
      <c r="I61" s="139">
        <f>'Review 1'!AC61</f>
        <v>3</v>
      </c>
      <c r="J61" s="139">
        <f>'Review 1'!AI61</f>
        <v>2</v>
      </c>
      <c r="K61" s="139"/>
      <c r="L61" s="139">
        <f>'Review 1'!AU61</f>
        <v>1</v>
      </c>
      <c r="M61" s="138"/>
      <c r="N61" s="139"/>
      <c r="O61" s="139">
        <f>'Review 2'!Q61</f>
        <v>2.8</v>
      </c>
      <c r="P61" s="139">
        <f>'Review 2'!W61</f>
        <v>2.6666666666666665</v>
      </c>
      <c r="Q61" s="139">
        <f>'Review 2'!AC61</f>
        <v>1.5</v>
      </c>
      <c r="R61" s="139">
        <f>'Review 2'!AI61</f>
        <v>3</v>
      </c>
      <c r="S61" s="139"/>
      <c r="T61" s="139">
        <f>'Review 2'!AU61</f>
        <v>2</v>
      </c>
      <c r="U61" s="138"/>
      <c r="V61" s="62"/>
      <c r="W61" s="139">
        <f>'Review 3'!Q61</f>
        <v>1.4</v>
      </c>
      <c r="X61" s="139">
        <f>'Review 3'!W61</f>
        <v>0</v>
      </c>
      <c r="Y61" s="139">
        <f>'Review 3'!AC61</f>
        <v>0</v>
      </c>
      <c r="Z61" s="139">
        <f>'Review 3'!AI61</f>
        <v>0</v>
      </c>
      <c r="AA61" s="62"/>
      <c r="AB61" s="139">
        <f>'Review 3'!AU61</f>
        <v>0</v>
      </c>
      <c r="AC61" s="138"/>
      <c r="AD61" s="62"/>
      <c r="AE61" s="139">
        <f>'Review 4'!Q61</f>
        <v>3</v>
      </c>
      <c r="AF61" s="139">
        <f>'Review 4'!W61</f>
        <v>4</v>
      </c>
      <c r="AG61" s="139">
        <f>'Review 4'!AC61</f>
        <v>2.5</v>
      </c>
      <c r="AH61" s="139">
        <f>'Review 4'!AI61</f>
        <v>1.5</v>
      </c>
      <c r="AI61" s="139"/>
      <c r="AJ61" s="139">
        <f>'Review 4'!AU61</f>
        <v>3.6666666666666665</v>
      </c>
      <c r="AK61" s="138"/>
      <c r="AL61" s="62"/>
      <c r="AM61" s="139">
        <f>'Reflection -1 '!Q61</f>
        <v>3</v>
      </c>
      <c r="AN61" s="62"/>
      <c r="AO61" s="62"/>
      <c r="AP61" s="62"/>
      <c r="AQ61" s="62"/>
      <c r="AR61" s="62"/>
      <c r="AS61" s="138"/>
      <c r="AT61" s="62"/>
      <c r="AU61" s="139">
        <f>'Reflection -2'!Q61</f>
        <v>2.3333333333333335</v>
      </c>
      <c r="AV61" s="62"/>
      <c r="AW61" s="62"/>
      <c r="AX61" s="62"/>
      <c r="AY61" s="139"/>
      <c r="AZ61" s="62"/>
      <c r="BA61" s="138"/>
      <c r="BB61" s="139"/>
      <c r="BC61" s="139">
        <f>'Reflection -3'!Q61</f>
        <v>3</v>
      </c>
      <c r="BD61" s="139"/>
      <c r="BE61" s="139"/>
      <c r="BF61" s="139"/>
      <c r="BG61" s="139"/>
      <c r="BH61" s="139"/>
      <c r="BI61" s="138"/>
      <c r="BJ61" s="139"/>
      <c r="BK61" s="139">
        <f>'Reflection -3'!Q61</f>
        <v>3</v>
      </c>
      <c r="BL61" s="62"/>
      <c r="BM61" s="139"/>
      <c r="BN61" s="62"/>
      <c r="BO61" s="139"/>
      <c r="BP61" s="139"/>
      <c r="BQ61" s="138"/>
      <c r="BR61" s="139"/>
      <c r="BS61" s="139">
        <f>Capstone!Q62</f>
        <v>5</v>
      </c>
      <c r="BT61" s="139">
        <f>Capstone!W62</f>
        <v>5</v>
      </c>
      <c r="BU61" s="139">
        <f>Capstone!AC62</f>
        <v>5</v>
      </c>
      <c r="BV61" s="139">
        <f>Capstone!AI62</f>
        <v>5</v>
      </c>
      <c r="BW61" s="139">
        <f>Capstone!AO62</f>
        <v>5</v>
      </c>
      <c r="BX61" s="139">
        <f>Capstone!AU62</f>
        <v>5</v>
      </c>
      <c r="BY61" s="138"/>
      <c r="BZ61" s="139"/>
      <c r="CA6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2.6416666666666662</v>
      </c>
      <c r="CB61" s="139">
        <f>IFERROR(AVERAGE(Table110461117[[#This Row],[Column31]],Table110461117[[#This Row],[Column13]],Table110461117[[#This Row],[Column4]],Table110461117[[#This Row],[Column22]],),"A")</f>
        <v>2.1333333333333333</v>
      </c>
      <c r="CC61" s="139">
        <f>IFERROR(AVERAGE(Table110461117[[#This Row],[Column5]],Table110461117[[#This Row],[Column14]],Table110461117[[#This Row],[Column23]],Table110461117[[#This Row],[Column32]]),"A")</f>
        <v>1.75</v>
      </c>
      <c r="CD61" s="139">
        <f>IFERROR(AVERAGE(Table110461117[[#This Row],[Column6]],Table110461117[[#This Row],[Column15]],Table110461117[[#This Row],[Column24]],Table110461117[[#This Row],[Column33]]),"A")</f>
        <v>1.625</v>
      </c>
      <c r="CE61" s="139"/>
      <c r="CF61" s="139">
        <f>IFERROR(AVERAGE(Table110461117[[#This Row],[Column26]],Table110461117[[#This Row],[Column35]],Table110461117[[#This Row],[Column17]],Table110461117[[#This Row],[Column8]]),"A")</f>
        <v>1.6666666666666665</v>
      </c>
      <c r="CG61" s="138"/>
      <c r="CH61" s="139">
        <f>IFERROR(AVERAGE('Review 1'!AX61,'Review 2'!AX61,'Review 3'!AX61,'Review 4'!AX61,'Reflection -1 '!AX61,'Reflection -2'!AX61,'Reflection -3'!AX61,'Reflection -4'!AX61),"A")</f>
        <v>3.25</v>
      </c>
      <c r="CI61" s="139">
        <f>IFERROR(AVERAGE('Review 1'!AY61,'Review 2'!AY61,'Review 3'!AY61,'Review 4'!AY61,'Reflection -1 '!AY61,'Reflection -2'!AY61,'Reflection -3'!AY61,'Reflection -4'!AY61,Capstone!AY62),"A")</f>
        <v>1.5555555555555556</v>
      </c>
      <c r="CJ61" s="139">
        <f>IFERROR(AVERAGE('Review 1'!AZ61,'Review 2'!AZ61,'Review 3'!AZ61,'Review 4'!AZ61,'Reflection -1 '!AZ61,'Reflection -2'!AZ61,'Reflection -3'!AZ61,'Reflection -4'!AZ61),"A")</f>
        <v>2.375</v>
      </c>
    </row>
    <row r="62" spans="1:88" s="122" customFormat="1" ht="23.1" customHeight="1" x14ac:dyDescent="0.3">
      <c r="A62" s="6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140"/>
      <c r="G62" s="140">
        <f>'Review 1'!Q62</f>
        <v>2.2000000000000002</v>
      </c>
      <c r="H62" s="140">
        <f>'Review 1'!W62</f>
        <v>1</v>
      </c>
      <c r="I62" s="140">
        <f>'Review 1'!AC62</f>
        <v>1</v>
      </c>
      <c r="J62" s="140">
        <f>'Review 1'!AI62</f>
        <v>1</v>
      </c>
      <c r="K62" s="140"/>
      <c r="L62" s="140">
        <f>'Review 1'!AU62</f>
        <v>1</v>
      </c>
      <c r="M62" s="138"/>
      <c r="N62" s="140"/>
      <c r="O62" s="140">
        <f>'Review 2'!Q62</f>
        <v>2.2000000000000002</v>
      </c>
      <c r="P62" s="140">
        <f>'Review 2'!W62</f>
        <v>1</v>
      </c>
      <c r="Q62" s="140">
        <f>'Review 2'!AC62</f>
        <v>1</v>
      </c>
      <c r="R62" s="140">
        <f>'Review 2'!AI62</f>
        <v>1</v>
      </c>
      <c r="S62" s="140"/>
      <c r="T62" s="140">
        <f>'Review 2'!AU62</f>
        <v>1</v>
      </c>
      <c r="U62" s="138"/>
      <c r="V62" s="7"/>
      <c r="W62" s="140">
        <f>'Review 3'!Q62</f>
        <v>2.4</v>
      </c>
      <c r="X62" s="140">
        <f>'Review 3'!W62</f>
        <v>0</v>
      </c>
      <c r="Y62" s="140">
        <f>'Review 3'!AC62</f>
        <v>0</v>
      </c>
      <c r="Z62" s="140">
        <f>'Review 3'!AI62</f>
        <v>0</v>
      </c>
      <c r="AA62" s="7"/>
      <c r="AB62" s="140">
        <f>'Review 3'!AU62</f>
        <v>0</v>
      </c>
      <c r="AC62" s="138"/>
      <c r="AD62" s="7"/>
      <c r="AE62" s="140">
        <f>'Review 4'!Q62</f>
        <v>2.2000000000000002</v>
      </c>
      <c r="AF62" s="140">
        <f>'Review 4'!W62</f>
        <v>4</v>
      </c>
      <c r="AG62" s="140">
        <f>'Review 4'!AC62</f>
        <v>3.5</v>
      </c>
      <c r="AH62" s="140">
        <f>'Review 4'!AI62</f>
        <v>2.5</v>
      </c>
      <c r="AI62" s="140"/>
      <c r="AJ62" s="140">
        <f>'Review 4'!AU62</f>
        <v>5</v>
      </c>
      <c r="AK62" s="138"/>
      <c r="AL62" s="7"/>
      <c r="AM62" s="140">
        <f>'Reflection -1 '!Q62</f>
        <v>3.3333333333333335</v>
      </c>
      <c r="AN62" s="7"/>
      <c r="AO62" s="7"/>
      <c r="AP62" s="7"/>
      <c r="AQ62" s="7"/>
      <c r="AR62" s="7"/>
      <c r="AS62" s="138"/>
      <c r="AT62" s="7"/>
      <c r="AU62" s="140">
        <f>'Reflection -2'!Q62</f>
        <v>0</v>
      </c>
      <c r="AV62" s="7"/>
      <c r="AW62" s="7"/>
      <c r="AX62" s="7"/>
      <c r="AY62" s="140"/>
      <c r="AZ62" s="7"/>
      <c r="BA62" s="138"/>
      <c r="BB62" s="140"/>
      <c r="BC62" s="140">
        <f>'Reflection -3'!Q62</f>
        <v>0</v>
      </c>
      <c r="BD62" s="140"/>
      <c r="BE62" s="140"/>
      <c r="BF62" s="140"/>
      <c r="BG62" s="140"/>
      <c r="BH62" s="140"/>
      <c r="BI62" s="138"/>
      <c r="BJ62" s="140"/>
      <c r="BK62" s="140">
        <f>'Reflection -3'!Q62</f>
        <v>0</v>
      </c>
      <c r="BL62" s="7"/>
      <c r="BM62" s="140"/>
      <c r="BN62" s="7"/>
      <c r="BO62" s="140"/>
      <c r="BP62" s="140"/>
      <c r="BQ62" s="138"/>
      <c r="BR62" s="140"/>
      <c r="BS62" s="140">
        <f>Capstone!Q63</f>
        <v>2.6666666666666665</v>
      </c>
      <c r="BT62" s="140">
        <f>Capstone!W63</f>
        <v>4</v>
      </c>
      <c r="BU62" s="140">
        <f>Capstone!AC63</f>
        <v>4</v>
      </c>
      <c r="BV62" s="140">
        <f>Capstone!AI63</f>
        <v>3</v>
      </c>
      <c r="BW62" s="140">
        <f>Capstone!AO63</f>
        <v>3</v>
      </c>
      <c r="BX62" s="140">
        <f>Capstone!AU63</f>
        <v>3</v>
      </c>
      <c r="BY62" s="138"/>
      <c r="BZ62" s="140"/>
      <c r="CA6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1.5416666666666667</v>
      </c>
      <c r="CB62" s="140">
        <f>IFERROR(AVERAGE(Table110461117[[#This Row],[Column31]],Table110461117[[#This Row],[Column13]],Table110461117[[#This Row],[Column4]],Table110461117[[#This Row],[Column22]],),"A")</f>
        <v>1.2</v>
      </c>
      <c r="CC62" s="140">
        <f>IFERROR(AVERAGE(Table110461117[[#This Row],[Column5]],Table110461117[[#This Row],[Column14]],Table110461117[[#This Row],[Column23]],Table110461117[[#This Row],[Column32]]),"A")</f>
        <v>1.375</v>
      </c>
      <c r="CD62" s="140">
        <f>IFERROR(AVERAGE(Table110461117[[#This Row],[Column6]],Table110461117[[#This Row],[Column15]],Table110461117[[#This Row],[Column24]],Table110461117[[#This Row],[Column33]]),"A")</f>
        <v>1.125</v>
      </c>
      <c r="CE62" s="140"/>
      <c r="CF62" s="140">
        <f>IFERROR(AVERAGE(Table110461117[[#This Row],[Column26]],Table110461117[[#This Row],[Column35]],Table110461117[[#This Row],[Column17]],Table110461117[[#This Row],[Column8]]),"A")</f>
        <v>1.75</v>
      </c>
      <c r="CG62" s="138"/>
      <c r="CH62" s="140">
        <f>IFERROR(AVERAGE('Review 1'!AX62,'Review 2'!AX62,'Review 3'!AX62,'Review 4'!AX62,'Reflection -1 '!AX62,'Reflection -2'!AX62,'Reflection -3'!AX62,'Reflection -4'!AX62),"A")</f>
        <v>1.5</v>
      </c>
      <c r="CI62" s="140">
        <f>IFERROR(AVERAGE('Review 1'!AY62,'Review 2'!AY62,'Review 3'!AY62,'Review 4'!AY62,'Reflection -1 '!AY62,'Reflection -2'!AY62,'Reflection -3'!AY62,'Reflection -4'!AY62,Capstone!AY63),"A")</f>
        <v>0.77777777777777779</v>
      </c>
      <c r="CJ62" s="140">
        <f>IFERROR(AVERAGE('Review 1'!AZ62,'Review 2'!AZ62,'Review 3'!AZ62,'Review 4'!AZ62,'Reflection -1 '!AZ62,'Reflection -2'!AZ62,'Reflection -3'!AZ62,'Reflection -4'!AZ62),"A")</f>
        <v>1.375</v>
      </c>
    </row>
    <row r="63" spans="1:88" s="122" customFormat="1" ht="23.1" customHeight="1" x14ac:dyDescent="0.3">
      <c r="A63" s="137">
        <v>61</v>
      </c>
      <c r="B63" s="62" t="s">
        <v>128</v>
      </c>
      <c r="C63" s="62" t="s">
        <v>129</v>
      </c>
      <c r="D63" s="62" t="s">
        <v>450</v>
      </c>
      <c r="E63" s="62" t="s">
        <v>35</v>
      </c>
      <c r="F63" s="139"/>
      <c r="G63" s="139">
        <f>'Review 1'!Q63</f>
        <v>1.6</v>
      </c>
      <c r="H63" s="139">
        <f>'Review 1'!W63</f>
        <v>1.3333333333333333</v>
      </c>
      <c r="I63" s="139">
        <f>'Review 1'!AC63</f>
        <v>2</v>
      </c>
      <c r="J63" s="139">
        <f>'Review 1'!AI63</f>
        <v>3</v>
      </c>
      <c r="K63" s="139"/>
      <c r="L63" s="139">
        <f>'Review 1'!AU63</f>
        <v>1</v>
      </c>
      <c r="M63" s="138"/>
      <c r="N63" s="139"/>
      <c r="O63" s="139">
        <f>'Review 2'!Q63</f>
        <v>2.4</v>
      </c>
      <c r="P63" s="139">
        <f>'Review 2'!W63</f>
        <v>3.6666666666666665</v>
      </c>
      <c r="Q63" s="139">
        <f>'Review 2'!AC63</f>
        <v>2.5</v>
      </c>
      <c r="R63" s="139">
        <f>'Review 2'!AI63</f>
        <v>3.5</v>
      </c>
      <c r="S63" s="139"/>
      <c r="T63" s="139">
        <f>'Review 2'!AU63</f>
        <v>2.6666666666666665</v>
      </c>
      <c r="U63" s="138"/>
      <c r="V63" s="62"/>
      <c r="W63" s="139">
        <f>'Review 3'!Q63</f>
        <v>2.2000000000000002</v>
      </c>
      <c r="X63" s="139">
        <f>'Review 3'!W63</f>
        <v>0</v>
      </c>
      <c r="Y63" s="139">
        <f>'Review 3'!AC63</f>
        <v>0</v>
      </c>
      <c r="Z63" s="139">
        <f>'Review 3'!AI63</f>
        <v>0</v>
      </c>
      <c r="AA63" s="62"/>
      <c r="AB63" s="139">
        <f>'Review 3'!AU63</f>
        <v>0</v>
      </c>
      <c r="AC63" s="138"/>
      <c r="AD63" s="62"/>
      <c r="AE63" s="139">
        <f>'Review 4'!Q63</f>
        <v>2</v>
      </c>
      <c r="AF63" s="139">
        <f>'Review 4'!W63</f>
        <v>2</v>
      </c>
      <c r="AG63" s="139">
        <f>'Review 4'!AC63</f>
        <v>2</v>
      </c>
      <c r="AH63" s="139">
        <f>'Review 4'!AI63</f>
        <v>2</v>
      </c>
      <c r="AI63" s="139"/>
      <c r="AJ63" s="139">
        <f>'Review 4'!AU63</f>
        <v>3.6666666666666665</v>
      </c>
      <c r="AK63" s="138"/>
      <c r="AL63" s="62"/>
      <c r="AM63" s="139">
        <f>'Reflection -1 '!Q63</f>
        <v>3.3333333333333335</v>
      </c>
      <c r="AN63" s="62"/>
      <c r="AO63" s="62"/>
      <c r="AP63" s="62"/>
      <c r="AQ63" s="62"/>
      <c r="AR63" s="62"/>
      <c r="AS63" s="138"/>
      <c r="AT63" s="62"/>
      <c r="AU63" s="139">
        <f>'Reflection -2'!Q63</f>
        <v>4</v>
      </c>
      <c r="AV63" s="62"/>
      <c r="AW63" s="62"/>
      <c r="AX63" s="62"/>
      <c r="AY63" s="139"/>
      <c r="AZ63" s="62"/>
      <c r="BA63" s="138"/>
      <c r="BB63" s="139"/>
      <c r="BC63" s="139">
        <f>'Reflection -3'!Q63</f>
        <v>2.6666666666666665</v>
      </c>
      <c r="BD63" s="139"/>
      <c r="BE63" s="139"/>
      <c r="BF63" s="139"/>
      <c r="BG63" s="139"/>
      <c r="BH63" s="139"/>
      <c r="BI63" s="138"/>
      <c r="BJ63" s="139"/>
      <c r="BK63" s="139">
        <f>'Reflection -3'!Q63</f>
        <v>2.6666666666666665</v>
      </c>
      <c r="BL63" s="62"/>
      <c r="BM63" s="139"/>
      <c r="BN63" s="62"/>
      <c r="BO63" s="139"/>
      <c r="BP63" s="139"/>
      <c r="BQ63" s="138"/>
      <c r="BR63" s="139"/>
      <c r="BS63" s="139">
        <f>Capstone!Q64</f>
        <v>3</v>
      </c>
      <c r="BT63" s="139">
        <f>Capstone!W64</f>
        <v>2</v>
      </c>
      <c r="BU63" s="139">
        <f>Capstone!AC64</f>
        <v>2</v>
      </c>
      <c r="BV63" s="139">
        <f>Capstone!AI64</f>
        <v>2</v>
      </c>
      <c r="BW63" s="139">
        <f>Capstone!AO64</f>
        <v>2</v>
      </c>
      <c r="BX63" s="139">
        <f>Capstone!AU64</f>
        <v>3</v>
      </c>
      <c r="BY63" s="138"/>
      <c r="BZ63" s="139"/>
      <c r="CA6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2.6083333333333329</v>
      </c>
      <c r="CB63" s="139">
        <f>IFERROR(AVERAGE(Table110461117[[#This Row],[Column31]],Table110461117[[#This Row],[Column13]],Table110461117[[#This Row],[Column4]],Table110461117[[#This Row],[Column22]],),"A")</f>
        <v>1.4</v>
      </c>
      <c r="CC63" s="139">
        <f>IFERROR(AVERAGE(Table110461117[[#This Row],[Column5]],Table110461117[[#This Row],[Column14]],Table110461117[[#This Row],[Column23]],Table110461117[[#This Row],[Column32]]),"A")</f>
        <v>1.625</v>
      </c>
      <c r="CD63" s="139">
        <f>IFERROR(AVERAGE(Table110461117[[#This Row],[Column6]],Table110461117[[#This Row],[Column15]],Table110461117[[#This Row],[Column24]],Table110461117[[#This Row],[Column33]]),"A")</f>
        <v>2.125</v>
      </c>
      <c r="CE63" s="139"/>
      <c r="CF63" s="139">
        <f>IFERROR(AVERAGE(Table110461117[[#This Row],[Column26]],Table110461117[[#This Row],[Column35]],Table110461117[[#This Row],[Column17]],Table110461117[[#This Row],[Column8]]),"A")</f>
        <v>1.8333333333333333</v>
      </c>
      <c r="CG63" s="138"/>
      <c r="CH63" s="139">
        <f>IFERROR(AVERAGE('Review 1'!AX63,'Review 2'!AX63,'Review 3'!AX63,'Review 4'!AX63,'Reflection -1 '!AX63,'Reflection -2'!AX63,'Reflection -3'!AX63,'Reflection -4'!AX63),"A")</f>
        <v>3.875</v>
      </c>
      <c r="CI63" s="139">
        <f>IFERROR(AVERAGE('Review 1'!AY63,'Review 2'!AY63,'Review 3'!AY63,'Review 4'!AY63,'Reflection -1 '!AY63,'Reflection -2'!AY63,'Reflection -3'!AY63,'Reflection -4'!AY63,Capstone!AY64),"A")</f>
        <v>1.1111111111111112</v>
      </c>
      <c r="CJ63" s="139">
        <f>IFERROR(AVERAGE('Review 1'!AZ63,'Review 2'!AZ63,'Review 3'!AZ63,'Review 4'!AZ63,'Reflection -1 '!AZ63,'Reflection -2'!AZ63,'Reflection -3'!AZ63,'Reflection -4'!AZ63),"A")</f>
        <v>2.625</v>
      </c>
    </row>
    <row r="64" spans="1:88" s="122" customFormat="1" ht="23.1" customHeight="1" x14ac:dyDescent="0.3">
      <c r="A64" s="6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140"/>
      <c r="G64" s="140">
        <f>'Review 1'!Q64</f>
        <v>3</v>
      </c>
      <c r="H64" s="140">
        <f>'Review 1'!W64</f>
        <v>3</v>
      </c>
      <c r="I64" s="140">
        <f>'Review 1'!AC64</f>
        <v>3</v>
      </c>
      <c r="J64" s="140">
        <f>'Review 1'!AI64</f>
        <v>3</v>
      </c>
      <c r="K64" s="140"/>
      <c r="L64" s="140">
        <f>'Review 1'!AU64</f>
        <v>3</v>
      </c>
      <c r="M64" s="138"/>
      <c r="N64" s="140"/>
      <c r="O64" s="140">
        <f>'Review 2'!Q64</f>
        <v>3</v>
      </c>
      <c r="P64" s="140">
        <f>'Review 2'!W64</f>
        <v>3</v>
      </c>
      <c r="Q64" s="140">
        <f>'Review 2'!AC64</f>
        <v>3</v>
      </c>
      <c r="R64" s="140">
        <f>'Review 2'!AI64</f>
        <v>3</v>
      </c>
      <c r="S64" s="140"/>
      <c r="T64" s="140">
        <f>'Review 2'!AU64</f>
        <v>3</v>
      </c>
      <c r="U64" s="138"/>
      <c r="V64" s="7"/>
      <c r="W64" s="140">
        <f>'Review 3'!Q64</f>
        <v>2.2000000000000002</v>
      </c>
      <c r="X64" s="140">
        <f>'Review 3'!W64</f>
        <v>3</v>
      </c>
      <c r="Y64" s="140">
        <f>'Review 3'!AC64</f>
        <v>3</v>
      </c>
      <c r="Z64" s="140">
        <f>'Review 3'!AI64</f>
        <v>3</v>
      </c>
      <c r="AA64" s="7"/>
      <c r="AB64" s="140">
        <f>'Review 3'!AU64</f>
        <v>3</v>
      </c>
      <c r="AC64" s="138"/>
      <c r="AD64" s="7"/>
      <c r="AE64" s="140">
        <f>'Review 4'!Q64</f>
        <v>2.4</v>
      </c>
      <c r="AF64" s="140">
        <f>'Review 4'!W64</f>
        <v>3</v>
      </c>
      <c r="AG64" s="140">
        <f>'Review 4'!AC64</f>
        <v>2.5</v>
      </c>
      <c r="AH64" s="140">
        <f>'Review 4'!AI64</f>
        <v>1</v>
      </c>
      <c r="AI64" s="140"/>
      <c r="AJ64" s="140">
        <f>'Review 4'!AU64</f>
        <v>2.3333333333333335</v>
      </c>
      <c r="AK64" s="138"/>
      <c r="AL64" s="7"/>
      <c r="AM64" s="140">
        <f>'Reflection -1 '!Q64</f>
        <v>2.3333333333333335</v>
      </c>
      <c r="AN64" s="7"/>
      <c r="AO64" s="7"/>
      <c r="AP64" s="7"/>
      <c r="AQ64" s="7"/>
      <c r="AR64" s="7"/>
      <c r="AS64" s="138"/>
      <c r="AT64" s="7"/>
      <c r="AU64" s="140">
        <f>'Reflection -2'!Q64</f>
        <v>2.6666666666666665</v>
      </c>
      <c r="AV64" s="7"/>
      <c r="AW64" s="7"/>
      <c r="AX64" s="7"/>
      <c r="AY64" s="140"/>
      <c r="AZ64" s="7"/>
      <c r="BA64" s="138"/>
      <c r="BB64" s="140"/>
      <c r="BC64" s="140">
        <f>'Reflection -3'!Q64</f>
        <v>1.6666666666666667</v>
      </c>
      <c r="BD64" s="140"/>
      <c r="BE64" s="140"/>
      <c r="BF64" s="140"/>
      <c r="BG64" s="140"/>
      <c r="BH64" s="140"/>
      <c r="BI64" s="138"/>
      <c r="BJ64" s="140"/>
      <c r="BK64" s="140">
        <f>'Reflection -3'!Q64</f>
        <v>1.6666666666666667</v>
      </c>
      <c r="BL64" s="7"/>
      <c r="BM64" s="140"/>
      <c r="BN64" s="7"/>
      <c r="BO64" s="140"/>
      <c r="BP64" s="140"/>
      <c r="BQ64" s="138"/>
      <c r="BR64" s="140"/>
      <c r="BS64" s="140">
        <f>Capstone!Q65</f>
        <v>4</v>
      </c>
      <c r="BT64" s="140">
        <f>Capstone!W65</f>
        <v>4</v>
      </c>
      <c r="BU64" s="140">
        <f>Capstone!AC65</f>
        <v>4</v>
      </c>
      <c r="BV64" s="140">
        <f>Capstone!AI65</f>
        <v>5</v>
      </c>
      <c r="BW64" s="140">
        <f>Capstone!AO65</f>
        <v>4</v>
      </c>
      <c r="BX64" s="140">
        <f>Capstone!AU65</f>
        <v>5</v>
      </c>
      <c r="BY64" s="138"/>
      <c r="BZ64" s="140"/>
      <c r="CA6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2.3666666666666667</v>
      </c>
      <c r="CB64" s="140">
        <f>IFERROR(AVERAGE(Table110461117[[#This Row],[Column31]],Table110461117[[#This Row],[Column13]],Table110461117[[#This Row],[Column4]],Table110461117[[#This Row],[Column22]],),"A")</f>
        <v>2.4</v>
      </c>
      <c r="CC64" s="140">
        <f>IFERROR(AVERAGE(Table110461117[[#This Row],[Column5]],Table110461117[[#This Row],[Column14]],Table110461117[[#This Row],[Column23]],Table110461117[[#This Row],[Column32]]),"A")</f>
        <v>2.875</v>
      </c>
      <c r="CD64" s="140">
        <f>IFERROR(AVERAGE(Table110461117[[#This Row],[Column6]],Table110461117[[#This Row],[Column15]],Table110461117[[#This Row],[Column24]],Table110461117[[#This Row],[Column33]]),"A")</f>
        <v>2.5</v>
      </c>
      <c r="CE64" s="140"/>
      <c r="CF64" s="140">
        <f>IFERROR(AVERAGE(Table110461117[[#This Row],[Column26]],Table110461117[[#This Row],[Column35]],Table110461117[[#This Row],[Column17]],Table110461117[[#This Row],[Column8]]),"A")</f>
        <v>2.8333333333333335</v>
      </c>
      <c r="CG64" s="138"/>
      <c r="CH64" s="140">
        <f>IFERROR(AVERAGE('Review 1'!AX64,'Review 2'!AX64,'Review 3'!AX64,'Review 4'!AX64,'Reflection -1 '!AX64,'Reflection -2'!AX64,'Reflection -3'!AX64,'Reflection -4'!AX64),"A")</f>
        <v>3.75</v>
      </c>
      <c r="CI64" s="140">
        <f>IFERROR(AVERAGE('Review 1'!AY64,'Review 2'!AY64,'Review 3'!AY64,'Review 4'!AY64,'Reflection -1 '!AY64,'Reflection -2'!AY64,'Reflection -3'!AY64,'Reflection -4'!AY64,Capstone!AY65),"A")</f>
        <v>1.2222222222222223</v>
      </c>
      <c r="CJ64" s="140">
        <f>IFERROR(AVERAGE('Review 1'!AZ64,'Review 2'!AZ64,'Review 3'!AZ64,'Review 4'!AZ64,'Reflection -1 '!AZ64,'Reflection -2'!AZ64,'Reflection -3'!AZ64,'Reflection -4'!AZ64),"A")</f>
        <v>1.75</v>
      </c>
    </row>
    <row r="65" spans="1:88" s="122" customFormat="1" ht="23.1" customHeight="1" x14ac:dyDescent="0.3">
      <c r="A65" s="137">
        <v>63</v>
      </c>
      <c r="B65" s="62" t="s">
        <v>60</v>
      </c>
      <c r="C65" s="62" t="s">
        <v>61</v>
      </c>
      <c r="D65" s="62" t="s">
        <v>450</v>
      </c>
      <c r="E65" s="62" t="s">
        <v>35</v>
      </c>
      <c r="F65" s="139"/>
      <c r="G65" s="139">
        <f>'Review 1'!Q65</f>
        <v>3.2</v>
      </c>
      <c r="H65" s="139">
        <f>'Review 1'!W65</f>
        <v>3</v>
      </c>
      <c r="I65" s="139">
        <f>'Review 1'!AC65</f>
        <v>3</v>
      </c>
      <c r="J65" s="139">
        <f>'Review 1'!AI65</f>
        <v>2.5</v>
      </c>
      <c r="K65" s="139"/>
      <c r="L65" s="139">
        <f>'Review 1'!AU65</f>
        <v>1</v>
      </c>
      <c r="M65" s="138"/>
      <c r="N65" s="139"/>
      <c r="O65" s="139">
        <f>'Review 2'!Q65</f>
        <v>3.2</v>
      </c>
      <c r="P65" s="139">
        <f>'Review 2'!W65</f>
        <v>3</v>
      </c>
      <c r="Q65" s="139">
        <f>'Review 2'!AC65</f>
        <v>3</v>
      </c>
      <c r="R65" s="139">
        <f>'Review 2'!AI65</f>
        <v>2.5</v>
      </c>
      <c r="S65" s="139"/>
      <c r="T65" s="139">
        <f>'Review 2'!AU65</f>
        <v>1</v>
      </c>
      <c r="U65" s="138"/>
      <c r="V65" s="62"/>
      <c r="W65" s="139">
        <f>'Review 3'!Q65</f>
        <v>0.6</v>
      </c>
      <c r="X65" s="139">
        <f>'Review 3'!W65</f>
        <v>0</v>
      </c>
      <c r="Y65" s="139">
        <f>'Review 3'!AC65</f>
        <v>0</v>
      </c>
      <c r="Z65" s="139">
        <f>'Review 3'!AI65</f>
        <v>0</v>
      </c>
      <c r="AA65" s="62"/>
      <c r="AB65" s="139">
        <f>'Review 3'!AU65</f>
        <v>0</v>
      </c>
      <c r="AC65" s="138"/>
      <c r="AD65" s="62"/>
      <c r="AE65" s="139">
        <f>'Review 4'!Q65</f>
        <v>3</v>
      </c>
      <c r="AF65" s="139">
        <f>'Review 4'!W65</f>
        <v>3</v>
      </c>
      <c r="AG65" s="139">
        <f>'Review 4'!AC65</f>
        <v>2</v>
      </c>
      <c r="AH65" s="139">
        <f>'Review 4'!AI65</f>
        <v>1</v>
      </c>
      <c r="AI65" s="139"/>
      <c r="AJ65" s="139">
        <f>'Review 4'!AU65</f>
        <v>2.6666666666666665</v>
      </c>
      <c r="AK65" s="138"/>
      <c r="AL65" s="62"/>
      <c r="AM65" s="139">
        <f>'Reflection -1 '!Q65</f>
        <v>3.3333333333333335</v>
      </c>
      <c r="AN65" s="62"/>
      <c r="AO65" s="62"/>
      <c r="AP65" s="62"/>
      <c r="AQ65" s="62"/>
      <c r="AR65" s="62"/>
      <c r="AS65" s="138"/>
      <c r="AT65" s="62"/>
      <c r="AU65" s="139">
        <f>'Reflection -2'!Q65</f>
        <v>3.6666666666666665</v>
      </c>
      <c r="AV65" s="62"/>
      <c r="AW65" s="62"/>
      <c r="AX65" s="62"/>
      <c r="AY65" s="139"/>
      <c r="AZ65" s="62"/>
      <c r="BA65" s="138"/>
      <c r="BB65" s="139"/>
      <c r="BC65" s="139">
        <f>'Reflection -3'!Q65</f>
        <v>0</v>
      </c>
      <c r="BD65" s="139"/>
      <c r="BE65" s="139"/>
      <c r="BF65" s="139"/>
      <c r="BG65" s="139"/>
      <c r="BH65" s="139"/>
      <c r="BI65" s="138"/>
      <c r="BJ65" s="139"/>
      <c r="BK65" s="139">
        <f>'Reflection -3'!Q65</f>
        <v>0</v>
      </c>
      <c r="BL65" s="62"/>
      <c r="BM65" s="139"/>
      <c r="BN65" s="62"/>
      <c r="BO65" s="139"/>
      <c r="BP65" s="139"/>
      <c r="BQ65" s="138"/>
      <c r="BR65" s="139"/>
      <c r="BS65" s="139">
        <f>Capstone!Q66</f>
        <v>3</v>
      </c>
      <c r="BT65" s="139">
        <f>Capstone!W66</f>
        <v>3</v>
      </c>
      <c r="BU65" s="139">
        <f>Capstone!AC66</f>
        <v>3</v>
      </c>
      <c r="BV65" s="139">
        <f>Capstone!AI66</f>
        <v>3</v>
      </c>
      <c r="BW65" s="139">
        <f>Capstone!AO66</f>
        <v>3</v>
      </c>
      <c r="BX65" s="139">
        <f>Capstone!AU66</f>
        <v>4</v>
      </c>
      <c r="BY65" s="138"/>
      <c r="BZ65" s="139"/>
      <c r="CA6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2.1250000000000004</v>
      </c>
      <c r="CB65" s="139">
        <f>IFERROR(AVERAGE(Table110461117[[#This Row],[Column31]],Table110461117[[#This Row],[Column13]],Table110461117[[#This Row],[Column4]],Table110461117[[#This Row],[Column22]],),"A")</f>
        <v>1.8</v>
      </c>
      <c r="CC65" s="139">
        <f>IFERROR(AVERAGE(Table110461117[[#This Row],[Column5]],Table110461117[[#This Row],[Column14]],Table110461117[[#This Row],[Column23]],Table110461117[[#This Row],[Column32]]),"A")</f>
        <v>2</v>
      </c>
      <c r="CD65" s="139">
        <f>IFERROR(AVERAGE(Table110461117[[#This Row],[Column6]],Table110461117[[#This Row],[Column15]],Table110461117[[#This Row],[Column24]],Table110461117[[#This Row],[Column33]]),"A")</f>
        <v>1.5</v>
      </c>
      <c r="CE65" s="139"/>
      <c r="CF65" s="139">
        <f>IFERROR(AVERAGE(Table110461117[[#This Row],[Column26]],Table110461117[[#This Row],[Column35]],Table110461117[[#This Row],[Column17]],Table110461117[[#This Row],[Column8]]),"A")</f>
        <v>1.1666666666666665</v>
      </c>
      <c r="CG65" s="138"/>
      <c r="CH65" s="139">
        <f>IFERROR(AVERAGE('Review 1'!AX65,'Review 2'!AX65,'Review 3'!AX65,'Review 4'!AX65,'Reflection -1 '!AX65,'Reflection -2'!AX65,'Reflection -3'!AX65,'Reflection -4'!AX65),"A")</f>
        <v>3.5</v>
      </c>
      <c r="CI65" s="139">
        <f>IFERROR(AVERAGE('Review 1'!AY65,'Review 2'!AY65,'Review 3'!AY65,'Review 4'!AY65,'Reflection -1 '!AY65,'Reflection -2'!AY65,'Reflection -3'!AY65,'Reflection -4'!AY65,Capstone!AY66),"A")</f>
        <v>1.1111111111111112</v>
      </c>
      <c r="CJ65" s="139">
        <f>IFERROR(AVERAGE('Review 1'!AZ65,'Review 2'!AZ65,'Review 3'!AZ65,'Review 4'!AZ65,'Reflection -1 '!AZ65,'Reflection -2'!AZ65,'Reflection -3'!AZ65,'Reflection -4'!AZ65),"A")</f>
        <v>2.125</v>
      </c>
    </row>
    <row r="66" spans="1:88" s="122" customFormat="1" ht="23.1" customHeight="1" x14ac:dyDescent="0.3">
      <c r="A66" s="6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140"/>
      <c r="G66" s="140">
        <f>'Review 1'!Q66</f>
        <v>2.8</v>
      </c>
      <c r="H66" s="140">
        <f>'Review 1'!W66</f>
        <v>2</v>
      </c>
      <c r="I66" s="140">
        <f>'Review 1'!AC66</f>
        <v>2</v>
      </c>
      <c r="J66" s="140">
        <f>'Review 1'!AI66</f>
        <v>3</v>
      </c>
      <c r="K66" s="140"/>
      <c r="L66" s="140">
        <f>'Review 1'!AU66</f>
        <v>3</v>
      </c>
      <c r="M66" s="138"/>
      <c r="N66" s="140"/>
      <c r="O66" s="140">
        <f>'Review 2'!Q66</f>
        <v>2.4</v>
      </c>
      <c r="P66" s="140">
        <f>'Review 2'!W66</f>
        <v>2</v>
      </c>
      <c r="Q66" s="140">
        <f>'Review 2'!AC66</f>
        <v>2</v>
      </c>
      <c r="R66" s="140">
        <f>'Review 2'!AI66</f>
        <v>1.5</v>
      </c>
      <c r="S66" s="140"/>
      <c r="T66" s="140">
        <f>'Review 2'!AU66</f>
        <v>2.3333333333333335</v>
      </c>
      <c r="U66" s="138"/>
      <c r="V66" s="7"/>
      <c r="W66" s="140">
        <f>'Review 3'!Q66</f>
        <v>1.4</v>
      </c>
      <c r="X66" s="140">
        <f>'Review 3'!W66</f>
        <v>0</v>
      </c>
      <c r="Y66" s="140">
        <f>'Review 3'!AC66</f>
        <v>0</v>
      </c>
      <c r="Z66" s="140">
        <f>'Review 3'!AI66</f>
        <v>0</v>
      </c>
      <c r="AA66" s="7"/>
      <c r="AB66" s="140">
        <f>'Review 3'!AU66</f>
        <v>0</v>
      </c>
      <c r="AC66" s="138"/>
      <c r="AD66" s="7"/>
      <c r="AE66" s="140">
        <f>'Review 4'!Q66</f>
        <v>3.2</v>
      </c>
      <c r="AF66" s="140">
        <f>'Review 4'!W66</f>
        <v>3</v>
      </c>
      <c r="AG66" s="140">
        <f>'Review 4'!AC66</f>
        <v>1.5</v>
      </c>
      <c r="AH66" s="140">
        <f>'Review 4'!AI66</f>
        <v>2.5</v>
      </c>
      <c r="AI66" s="140"/>
      <c r="AJ66" s="140">
        <f>'Review 4'!AU66</f>
        <v>1.3333333333333333</v>
      </c>
      <c r="AK66" s="138"/>
      <c r="AL66" s="7"/>
      <c r="AM66" s="140">
        <f>'Reflection -1 '!Q66</f>
        <v>1</v>
      </c>
      <c r="AN66" s="7"/>
      <c r="AO66" s="7"/>
      <c r="AP66" s="7"/>
      <c r="AQ66" s="7"/>
      <c r="AR66" s="7"/>
      <c r="AS66" s="138"/>
      <c r="AT66" s="7"/>
      <c r="AU66" s="140">
        <f>'Reflection -2'!Q66</f>
        <v>2.6666666666666665</v>
      </c>
      <c r="AV66" s="7"/>
      <c r="AW66" s="7"/>
      <c r="AX66" s="7"/>
      <c r="AY66" s="140"/>
      <c r="AZ66" s="7"/>
      <c r="BA66" s="138"/>
      <c r="BB66" s="140"/>
      <c r="BC66" s="140">
        <f>'Reflection -3'!Q66</f>
        <v>1.6666666666666667</v>
      </c>
      <c r="BD66" s="140"/>
      <c r="BE66" s="140"/>
      <c r="BF66" s="140"/>
      <c r="BG66" s="140"/>
      <c r="BH66" s="140"/>
      <c r="BI66" s="138"/>
      <c r="BJ66" s="140"/>
      <c r="BK66" s="140">
        <f>'Reflection -3'!Q66</f>
        <v>1.6666666666666667</v>
      </c>
      <c r="BL66" s="7"/>
      <c r="BM66" s="140"/>
      <c r="BN66" s="7"/>
      <c r="BO66" s="140"/>
      <c r="BP66" s="140"/>
      <c r="BQ66" s="138"/>
      <c r="BR66" s="140"/>
      <c r="BS66" s="140">
        <f>Capstone!Q67</f>
        <v>3.1666666666666665</v>
      </c>
      <c r="BT66" s="140">
        <f>Capstone!W67</f>
        <v>3</v>
      </c>
      <c r="BU66" s="140">
        <f>Capstone!AC67</f>
        <v>3</v>
      </c>
      <c r="BV66" s="140">
        <f>Capstone!AI67</f>
        <v>2.5</v>
      </c>
      <c r="BW66" s="140">
        <f>Capstone!AO67</f>
        <v>3</v>
      </c>
      <c r="BX66" s="140">
        <f>Capstone!AU67</f>
        <v>2.5</v>
      </c>
      <c r="BY66" s="138"/>
      <c r="BZ66" s="140"/>
      <c r="CA6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2.0999999999999996</v>
      </c>
      <c r="CB66" s="140">
        <f>IFERROR(AVERAGE(Table110461117[[#This Row],[Column31]],Table110461117[[#This Row],[Column13]],Table110461117[[#This Row],[Column4]],Table110461117[[#This Row],[Column22]],),"A")</f>
        <v>1.4</v>
      </c>
      <c r="CC66" s="140">
        <f>IFERROR(AVERAGE(Table110461117[[#This Row],[Column5]],Table110461117[[#This Row],[Column14]],Table110461117[[#This Row],[Column23]],Table110461117[[#This Row],[Column32]]),"A")</f>
        <v>1.375</v>
      </c>
      <c r="CD66" s="140">
        <f>IFERROR(AVERAGE(Table110461117[[#This Row],[Column6]],Table110461117[[#This Row],[Column15]],Table110461117[[#This Row],[Column24]],Table110461117[[#This Row],[Column33]]),"A")</f>
        <v>1.75</v>
      </c>
      <c r="CE66" s="140"/>
      <c r="CF66" s="140">
        <f>IFERROR(AVERAGE(Table110461117[[#This Row],[Column26]],Table110461117[[#This Row],[Column35]],Table110461117[[#This Row],[Column17]],Table110461117[[#This Row],[Column8]]),"A")</f>
        <v>1.6666666666666667</v>
      </c>
      <c r="CG66" s="138"/>
      <c r="CH66" s="140">
        <f>IFERROR(AVERAGE('Review 1'!AX66,'Review 2'!AX66,'Review 3'!AX66,'Review 4'!AX66,'Reflection -1 '!AX66,'Reflection -2'!AX66,'Reflection -3'!AX66,'Reflection -4'!AX66),"A")</f>
        <v>2.875</v>
      </c>
      <c r="CI66" s="140">
        <f>IFERROR(AVERAGE('Review 1'!AY66,'Review 2'!AY66,'Review 3'!AY66,'Review 4'!AY66,'Reflection -1 '!AY66,'Reflection -2'!AY66,'Reflection -3'!AY66,'Reflection -4'!AY66,Capstone!AY67),"A")</f>
        <v>2.2777777777777777</v>
      </c>
      <c r="CJ66" s="140">
        <f>IFERROR(AVERAGE('Review 1'!AZ66,'Review 2'!AZ66,'Review 3'!AZ66,'Review 4'!AZ66,'Reflection -1 '!AZ66,'Reflection -2'!AZ66,'Reflection -3'!AZ66,'Reflection -4'!AZ66),"A")</f>
        <v>1.75</v>
      </c>
    </row>
    <row r="67" spans="1:88" s="122" customFormat="1" ht="23.1" customHeight="1" x14ac:dyDescent="0.3">
      <c r="A67" s="137">
        <v>65</v>
      </c>
      <c r="B67" s="62" t="s">
        <v>91</v>
      </c>
      <c r="C67" s="62" t="s">
        <v>92</v>
      </c>
      <c r="D67" s="62" t="s">
        <v>450</v>
      </c>
      <c r="E67" s="62" t="s">
        <v>35</v>
      </c>
      <c r="F67" s="139"/>
      <c r="G67" s="139">
        <f>'Review 1'!Q67</f>
        <v>3</v>
      </c>
      <c r="H67" s="139">
        <f>'Review 1'!W67</f>
        <v>1</v>
      </c>
      <c r="I67" s="139">
        <f>'Review 1'!AC67</f>
        <v>1</v>
      </c>
      <c r="J67" s="139">
        <f>'Review 1'!AI67</f>
        <v>1</v>
      </c>
      <c r="K67" s="139"/>
      <c r="L67" s="139">
        <f>'Review 1'!AU67</f>
        <v>1</v>
      </c>
      <c r="M67" s="138"/>
      <c r="N67" s="139"/>
      <c r="O67" s="139">
        <f>'Review 2'!Q67</f>
        <v>3</v>
      </c>
      <c r="P67" s="139">
        <f>'Review 2'!W67</f>
        <v>1</v>
      </c>
      <c r="Q67" s="139">
        <f>'Review 2'!AC67</f>
        <v>1</v>
      </c>
      <c r="R67" s="139">
        <f>'Review 2'!AI67</f>
        <v>1</v>
      </c>
      <c r="S67" s="139"/>
      <c r="T67" s="139">
        <f>'Review 2'!AU67</f>
        <v>1</v>
      </c>
      <c r="U67" s="138"/>
      <c r="V67" s="62"/>
      <c r="W67" s="139">
        <f>'Review 3'!Q67</f>
        <v>2.8</v>
      </c>
      <c r="X67" s="139">
        <f>'Review 3'!W67</f>
        <v>0</v>
      </c>
      <c r="Y67" s="139">
        <f>'Review 3'!AC67</f>
        <v>0</v>
      </c>
      <c r="Z67" s="139">
        <f>'Review 3'!AI67</f>
        <v>0</v>
      </c>
      <c r="AA67" s="62"/>
      <c r="AB67" s="139">
        <f>'Review 3'!AU67</f>
        <v>0</v>
      </c>
      <c r="AC67" s="138"/>
      <c r="AD67" s="62"/>
      <c r="AE67" s="139">
        <f>'Review 4'!Q67</f>
        <v>3</v>
      </c>
      <c r="AF67" s="139">
        <f>'Review 4'!W67</f>
        <v>2.3333333333333335</v>
      </c>
      <c r="AG67" s="139">
        <f>'Review 4'!AC67</f>
        <v>2.5</v>
      </c>
      <c r="AH67" s="139">
        <f>'Review 4'!AI67</f>
        <v>1</v>
      </c>
      <c r="AI67" s="139"/>
      <c r="AJ67" s="139">
        <f>'Review 4'!AU67</f>
        <v>3</v>
      </c>
      <c r="AK67" s="138"/>
      <c r="AL67" s="62"/>
      <c r="AM67" s="139">
        <f>'Reflection -1 '!Q67</f>
        <v>3.3333333333333335</v>
      </c>
      <c r="AN67" s="62"/>
      <c r="AO67" s="62"/>
      <c r="AP67" s="62"/>
      <c r="AQ67" s="62"/>
      <c r="AR67" s="62"/>
      <c r="AS67" s="138"/>
      <c r="AT67" s="62"/>
      <c r="AU67" s="139">
        <f>'Reflection -2'!Q67</f>
        <v>3.3333333333333335</v>
      </c>
      <c r="AV67" s="62"/>
      <c r="AW67" s="62"/>
      <c r="AX67" s="62"/>
      <c r="AY67" s="139"/>
      <c r="AZ67" s="62"/>
      <c r="BA67" s="138"/>
      <c r="BB67" s="139"/>
      <c r="BC67" s="139">
        <f>'Reflection -3'!Q67</f>
        <v>3</v>
      </c>
      <c r="BD67" s="139"/>
      <c r="BE67" s="139"/>
      <c r="BF67" s="139"/>
      <c r="BG67" s="139"/>
      <c r="BH67" s="139"/>
      <c r="BI67" s="138"/>
      <c r="BJ67" s="139"/>
      <c r="BK67" s="139">
        <f>'Reflection -3'!Q67</f>
        <v>3</v>
      </c>
      <c r="BL67" s="62"/>
      <c r="BM67" s="139"/>
      <c r="BN67" s="62"/>
      <c r="BO67" s="139"/>
      <c r="BP67" s="139"/>
      <c r="BQ67" s="138"/>
      <c r="BR67" s="139"/>
      <c r="BS67" s="139">
        <f>Capstone!Q68</f>
        <v>3.6666666666666665</v>
      </c>
      <c r="BT67" s="139">
        <f>Capstone!W68</f>
        <v>3</v>
      </c>
      <c r="BU67" s="139">
        <f>Capstone!AC68</f>
        <v>3</v>
      </c>
      <c r="BV67" s="139">
        <f>Capstone!AI68</f>
        <v>3</v>
      </c>
      <c r="BW67" s="139">
        <f>Capstone!AO68</f>
        <v>4</v>
      </c>
      <c r="BX67" s="139">
        <f>Capstone!AU68</f>
        <v>4</v>
      </c>
      <c r="BY67" s="138"/>
      <c r="BZ67" s="139"/>
      <c r="CA6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3.0583333333333336</v>
      </c>
      <c r="CB67" s="139">
        <f>IFERROR(AVERAGE(Table110461117[[#This Row],[Column31]],Table110461117[[#This Row],[Column13]],Table110461117[[#This Row],[Column4]],Table110461117[[#This Row],[Column22]],),"A")</f>
        <v>0.86666666666666681</v>
      </c>
      <c r="CC67" s="139">
        <f>IFERROR(AVERAGE(Table110461117[[#This Row],[Column5]],Table110461117[[#This Row],[Column14]],Table110461117[[#This Row],[Column23]],Table110461117[[#This Row],[Column32]]),"A")</f>
        <v>1.125</v>
      </c>
      <c r="CD67" s="139">
        <f>IFERROR(AVERAGE(Table110461117[[#This Row],[Column6]],Table110461117[[#This Row],[Column15]],Table110461117[[#This Row],[Column24]],Table110461117[[#This Row],[Column33]]),"A")</f>
        <v>0.75</v>
      </c>
      <c r="CE67" s="139"/>
      <c r="CF67" s="139">
        <f>IFERROR(AVERAGE(Table110461117[[#This Row],[Column26]],Table110461117[[#This Row],[Column35]],Table110461117[[#This Row],[Column17]],Table110461117[[#This Row],[Column8]]),"A")</f>
        <v>1.25</v>
      </c>
      <c r="CG67" s="138"/>
      <c r="CH67" s="139">
        <f>IFERROR(AVERAGE('Review 1'!AX67,'Review 2'!AX67,'Review 3'!AX67,'Review 4'!AX67,'Reflection -1 '!AX67,'Reflection -2'!AX67,'Reflection -3'!AX67,'Reflection -4'!AX67),"A")</f>
        <v>2.5</v>
      </c>
      <c r="CI67" s="139">
        <f>IFERROR(AVERAGE('Review 1'!AY67,'Review 2'!AY67,'Review 3'!AY67,'Review 4'!AY67,'Reflection -1 '!AY67,'Reflection -2'!AY67,'Reflection -3'!AY67,'Reflection -4'!AY67,Capstone!AY68),"A")</f>
        <v>0.77777777777777779</v>
      </c>
      <c r="CJ67" s="139">
        <f>IFERROR(AVERAGE('Review 1'!AZ67,'Review 2'!AZ67,'Review 3'!AZ67,'Review 4'!AZ67,'Reflection -1 '!AZ67,'Reflection -2'!AZ67,'Reflection -3'!AZ67,'Reflection -4'!AZ67),"A")</f>
        <v>1.75</v>
      </c>
    </row>
    <row r="68" spans="1:88" s="122" customFormat="1" ht="23.1" customHeight="1" x14ac:dyDescent="0.3">
      <c r="A68" s="6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140"/>
      <c r="G68" s="140">
        <f>'Review 1'!Q68</f>
        <v>0</v>
      </c>
      <c r="H68" s="140">
        <f>'Review 1'!W68</f>
        <v>0</v>
      </c>
      <c r="I68" s="140">
        <f>'Review 1'!AC68</f>
        <v>0</v>
      </c>
      <c r="J68" s="140">
        <f>'Review 1'!AI68</f>
        <v>0</v>
      </c>
      <c r="K68" s="140"/>
      <c r="L68" s="140">
        <f>'Review 1'!AU68</f>
        <v>0</v>
      </c>
      <c r="M68" s="138"/>
      <c r="N68" s="140"/>
      <c r="O68" s="140">
        <f>'Review 2'!Q68</f>
        <v>0</v>
      </c>
      <c r="P68" s="140">
        <f>'Review 2'!W68</f>
        <v>0</v>
      </c>
      <c r="Q68" s="140">
        <f>'Review 2'!AC68</f>
        <v>0</v>
      </c>
      <c r="R68" s="140">
        <f>'Review 2'!AI68</f>
        <v>0</v>
      </c>
      <c r="S68" s="140"/>
      <c r="T68" s="140">
        <f>'Review 2'!AU68</f>
        <v>0</v>
      </c>
      <c r="U68" s="138"/>
      <c r="V68" s="7"/>
      <c r="W68" s="140">
        <f>'Review 3'!Q68</f>
        <v>2.2000000000000002</v>
      </c>
      <c r="X68" s="140">
        <f>'Review 3'!W68</f>
        <v>3</v>
      </c>
      <c r="Y68" s="140">
        <f>'Review 3'!AC68</f>
        <v>0</v>
      </c>
      <c r="Z68" s="140">
        <f>'Review 3'!AI68</f>
        <v>3</v>
      </c>
      <c r="AA68" s="7"/>
      <c r="AB68" s="140">
        <f>'Review 3'!AU68</f>
        <v>3.3333333333333335</v>
      </c>
      <c r="AC68" s="138"/>
      <c r="AD68" s="7"/>
      <c r="AE68" s="140">
        <f>'Review 4'!Q68</f>
        <v>0</v>
      </c>
      <c r="AF68" s="140">
        <f>'Review 4'!W68</f>
        <v>0</v>
      </c>
      <c r="AG68" s="140">
        <f>'Review 4'!AC68</f>
        <v>0</v>
      </c>
      <c r="AH68" s="140">
        <f>'Review 4'!AI68</f>
        <v>0</v>
      </c>
      <c r="AI68" s="140"/>
      <c r="AJ68" s="140">
        <f>'Review 4'!AU68</f>
        <v>0</v>
      </c>
      <c r="AK68" s="138"/>
      <c r="AL68" s="7"/>
      <c r="AM68" s="140">
        <f>'Reflection -1 '!Q68</f>
        <v>2.3333333333333335</v>
      </c>
      <c r="AN68" s="7"/>
      <c r="AO68" s="7"/>
      <c r="AP68" s="7"/>
      <c r="AQ68" s="7"/>
      <c r="AR68" s="7"/>
      <c r="AS68" s="138"/>
      <c r="AT68" s="7"/>
      <c r="AU68" s="140">
        <f>'Reflection -2'!Q68</f>
        <v>1</v>
      </c>
      <c r="AV68" s="7"/>
      <c r="AW68" s="7"/>
      <c r="AX68" s="7"/>
      <c r="AY68" s="140"/>
      <c r="AZ68" s="7"/>
      <c r="BA68" s="138"/>
      <c r="BB68" s="140"/>
      <c r="BC68" s="140">
        <f>'Reflection -3'!Q68</f>
        <v>4</v>
      </c>
      <c r="BD68" s="140"/>
      <c r="BE68" s="140"/>
      <c r="BF68" s="140"/>
      <c r="BG68" s="140"/>
      <c r="BH68" s="140"/>
      <c r="BI68" s="138"/>
      <c r="BJ68" s="140"/>
      <c r="BK68" s="140">
        <f>'Reflection -3'!Q68</f>
        <v>4</v>
      </c>
      <c r="BL68" s="7"/>
      <c r="BM68" s="140"/>
      <c r="BN68" s="7"/>
      <c r="BO68" s="140"/>
      <c r="BP68" s="140"/>
      <c r="BQ68" s="138"/>
      <c r="BR68" s="140"/>
      <c r="BS68" s="140" t="str">
        <f>Capstone!Q69</f>
        <v>0</v>
      </c>
      <c r="BT68" s="140" t="str">
        <f>Capstone!W69</f>
        <v>0</v>
      </c>
      <c r="BU68" s="140" t="str">
        <f>Capstone!AC69</f>
        <v>0</v>
      </c>
      <c r="BV68" s="140" t="str">
        <f>Capstone!AI69</f>
        <v>0</v>
      </c>
      <c r="BW68" s="140" t="str">
        <f>Capstone!AO69</f>
        <v>0</v>
      </c>
      <c r="BX68" s="140" t="str">
        <f>Capstone!AU69</f>
        <v>0</v>
      </c>
      <c r="BY68" s="138"/>
      <c r="BZ68" s="140"/>
      <c r="CA6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1.6916666666666669</v>
      </c>
      <c r="CB68" s="140">
        <f>IFERROR(AVERAGE(Table110461117[[#This Row],[Column31]],Table110461117[[#This Row],[Column13]],Table110461117[[#This Row],[Column4]],Table110461117[[#This Row],[Column22]],),"A")</f>
        <v>0.6</v>
      </c>
      <c r="CC68" s="140">
        <f>IFERROR(AVERAGE(Table110461117[[#This Row],[Column5]],Table110461117[[#This Row],[Column14]],Table110461117[[#This Row],[Column23]],Table110461117[[#This Row],[Column32]]),"A")</f>
        <v>0</v>
      </c>
      <c r="CD68" s="140">
        <f>IFERROR(AVERAGE(Table110461117[[#This Row],[Column6]],Table110461117[[#This Row],[Column15]],Table110461117[[#This Row],[Column24]],Table110461117[[#This Row],[Column33]]),"A")</f>
        <v>0.75</v>
      </c>
      <c r="CE68" s="140"/>
      <c r="CF68" s="140">
        <f>IFERROR(AVERAGE(Table110461117[[#This Row],[Column26]],Table110461117[[#This Row],[Column35]],Table110461117[[#This Row],[Column17]],Table110461117[[#This Row],[Column8]]),"A")</f>
        <v>0.83333333333333337</v>
      </c>
      <c r="CG68" s="138"/>
      <c r="CH68" s="140">
        <f>IFERROR(AVERAGE('Review 1'!AX68,'Review 2'!AX68,'Review 3'!AX68,'Review 4'!AX68,'Reflection -1 '!AX68,'Reflection -2'!AX68,'Reflection -3'!AX68,'Reflection -4'!AX68),"A")</f>
        <v>2.875</v>
      </c>
      <c r="CI68" s="140">
        <f>IFERROR(AVERAGE('Review 1'!AY68,'Review 2'!AY68,'Review 3'!AY68,'Review 4'!AY68,'Reflection -1 '!AY68,'Reflection -2'!AY68,'Reflection -3'!AY68,'Reflection -4'!AY68,Capstone!AY69),"A")</f>
        <v>0</v>
      </c>
      <c r="CJ68" s="140">
        <f>IFERROR(AVERAGE('Review 1'!AZ68,'Review 2'!AZ68,'Review 3'!AZ68,'Review 4'!AZ68,'Reflection -1 '!AZ68,'Reflection -2'!AZ68,'Reflection -3'!AZ68,'Reflection -4'!AZ68),"A")</f>
        <v>1.25</v>
      </c>
    </row>
    <row r="69" spans="1:88" s="122" customFormat="1" ht="23.1" customHeight="1" x14ac:dyDescent="0.3">
      <c r="A69" s="137">
        <v>67</v>
      </c>
      <c r="B69" s="62" t="s">
        <v>277</v>
      </c>
      <c r="C69" s="62" t="s">
        <v>278</v>
      </c>
      <c r="D69" s="62" t="s">
        <v>450</v>
      </c>
      <c r="E69" s="62" t="s">
        <v>161</v>
      </c>
      <c r="F69" s="139"/>
      <c r="G69" s="139">
        <f>'Review 1'!Q69</f>
        <v>1.2</v>
      </c>
      <c r="H69" s="139">
        <f>'Review 1'!W69</f>
        <v>1</v>
      </c>
      <c r="I69" s="139">
        <f>'Review 1'!AC69</f>
        <v>1.5</v>
      </c>
      <c r="J69" s="139">
        <f>'Review 1'!AI69</f>
        <v>1.5</v>
      </c>
      <c r="K69" s="139"/>
      <c r="L69" s="139">
        <f>'Review 1'!AU69</f>
        <v>1.3333333333333333</v>
      </c>
      <c r="M69" s="138"/>
      <c r="N69" s="139"/>
      <c r="O69" s="139">
        <f>'Review 2'!Q69</f>
        <v>1.4</v>
      </c>
      <c r="P69" s="139">
        <f>'Review 2'!W69</f>
        <v>1</v>
      </c>
      <c r="Q69" s="139">
        <f>'Review 2'!AC69</f>
        <v>1</v>
      </c>
      <c r="R69" s="139">
        <f>'Review 2'!AI69</f>
        <v>1</v>
      </c>
      <c r="S69" s="139"/>
      <c r="T69" s="139">
        <f>'Review 2'!AU69</f>
        <v>1.3333333333333333</v>
      </c>
      <c r="U69" s="138"/>
      <c r="V69" s="62"/>
      <c r="W69" s="139">
        <f>'Review 3'!Q69</f>
        <v>2</v>
      </c>
      <c r="X69" s="139">
        <f>'Review 3'!W69</f>
        <v>0</v>
      </c>
      <c r="Y69" s="139">
        <f>'Review 3'!AC69</f>
        <v>0</v>
      </c>
      <c r="Z69" s="139">
        <f>'Review 3'!AI69</f>
        <v>0</v>
      </c>
      <c r="AA69" s="62"/>
      <c r="AB69" s="139">
        <f>'Review 3'!AU69</f>
        <v>0</v>
      </c>
      <c r="AC69" s="138"/>
      <c r="AD69" s="62"/>
      <c r="AE69" s="139">
        <f>'Review 4'!Q69</f>
        <v>4</v>
      </c>
      <c r="AF69" s="139">
        <f>'Review 4'!W69</f>
        <v>4</v>
      </c>
      <c r="AG69" s="139">
        <f>'Review 4'!AC69</f>
        <v>2.5</v>
      </c>
      <c r="AH69" s="139">
        <f>'Review 4'!AI69</f>
        <v>2</v>
      </c>
      <c r="AI69" s="139"/>
      <c r="AJ69" s="139">
        <f>'Review 4'!AU69</f>
        <v>4</v>
      </c>
      <c r="AK69" s="138"/>
      <c r="AL69" s="62"/>
      <c r="AM69" s="139">
        <f>'Reflection -1 '!Q69</f>
        <v>3.6666666666666665</v>
      </c>
      <c r="AN69" s="62"/>
      <c r="AO69" s="62"/>
      <c r="AP69" s="62"/>
      <c r="AQ69" s="62"/>
      <c r="AR69" s="62"/>
      <c r="AS69" s="138"/>
      <c r="AT69" s="62"/>
      <c r="AU69" s="139">
        <f>'Reflection -2'!Q69</f>
        <v>4.333333333333333</v>
      </c>
      <c r="AV69" s="62"/>
      <c r="AW69" s="62"/>
      <c r="AX69" s="62"/>
      <c r="AY69" s="139"/>
      <c r="AZ69" s="62"/>
      <c r="BA69" s="138"/>
      <c r="BB69" s="139"/>
      <c r="BC69" s="139">
        <f>'Reflection -3'!Q69</f>
        <v>4</v>
      </c>
      <c r="BD69" s="139"/>
      <c r="BE69" s="139"/>
      <c r="BF69" s="139"/>
      <c r="BG69" s="139"/>
      <c r="BH69" s="139"/>
      <c r="BI69" s="138"/>
      <c r="BJ69" s="139"/>
      <c r="BK69" s="139">
        <f>'Reflection -3'!Q69</f>
        <v>4</v>
      </c>
      <c r="BL69" s="62"/>
      <c r="BM69" s="139"/>
      <c r="BN69" s="62"/>
      <c r="BO69" s="139"/>
      <c r="BP69" s="139"/>
      <c r="BQ69" s="138"/>
      <c r="BR69" s="139"/>
      <c r="BS69" s="139">
        <f>Capstone!Q70</f>
        <v>4</v>
      </c>
      <c r="BT69" s="139">
        <f>Capstone!W70</f>
        <v>3</v>
      </c>
      <c r="BU69" s="139">
        <f>Capstone!AC70</f>
        <v>3</v>
      </c>
      <c r="BV69" s="139">
        <f>Capstone!AI70</f>
        <v>3</v>
      </c>
      <c r="BW69" s="139">
        <f>Capstone!AO70</f>
        <v>4</v>
      </c>
      <c r="BX69" s="139">
        <f>Capstone!AU70</f>
        <v>5</v>
      </c>
      <c r="BY69" s="138"/>
      <c r="BZ69" s="139"/>
      <c r="CA6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3.0749999999999997</v>
      </c>
      <c r="CB69" s="139">
        <f>IFERROR(AVERAGE(Table110461117[[#This Row],[Column31]],Table110461117[[#This Row],[Column13]],Table110461117[[#This Row],[Column4]],Table110461117[[#This Row],[Column22]],),"A")</f>
        <v>1.2</v>
      </c>
      <c r="CC69" s="139">
        <f>IFERROR(AVERAGE(Table110461117[[#This Row],[Column5]],Table110461117[[#This Row],[Column14]],Table110461117[[#This Row],[Column23]],Table110461117[[#This Row],[Column32]]),"A")</f>
        <v>1.25</v>
      </c>
      <c r="CD69" s="139">
        <f>IFERROR(AVERAGE(Table110461117[[#This Row],[Column6]],Table110461117[[#This Row],[Column15]],Table110461117[[#This Row],[Column24]],Table110461117[[#This Row],[Column33]]),"A")</f>
        <v>1.125</v>
      </c>
      <c r="CE69" s="139"/>
      <c r="CF69" s="139">
        <f>IFERROR(AVERAGE(Table110461117[[#This Row],[Column26]],Table110461117[[#This Row],[Column35]],Table110461117[[#This Row],[Column17]],Table110461117[[#This Row],[Column8]]),"A")</f>
        <v>1.6666666666666665</v>
      </c>
      <c r="CG69" s="138"/>
      <c r="CH69" s="139">
        <f>IFERROR(AVERAGE('Review 1'!AX69,'Review 2'!AX69,'Review 3'!AX69,'Review 4'!AX69,'Reflection -1 '!AX69,'Reflection -2'!AX69,'Reflection -3'!AX69,'Reflection -4'!AX69),"A")</f>
        <v>2.875</v>
      </c>
      <c r="CI69" s="139">
        <f>IFERROR(AVERAGE('Review 1'!AY69,'Review 2'!AY69,'Review 3'!AY69,'Review 4'!AY69,'Reflection -1 '!AY69,'Reflection -2'!AY69,'Reflection -3'!AY69,'Reflection -4'!AY69,Capstone!AY70),"A")</f>
        <v>0.88888888888888884</v>
      </c>
      <c r="CJ69" s="139">
        <f>IFERROR(AVERAGE('Review 1'!AZ69,'Review 2'!AZ69,'Review 3'!AZ69,'Review 4'!AZ69,'Reflection -1 '!AZ69,'Reflection -2'!AZ69,'Reflection -3'!AZ69,'Reflection -4'!AZ69),"A")</f>
        <v>2.875</v>
      </c>
    </row>
    <row r="70" spans="1:88" s="122" customFormat="1" ht="23.1" customHeight="1" x14ac:dyDescent="0.3">
      <c r="A70" s="6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140"/>
      <c r="G70" s="140">
        <f>'Review 1'!Q70</f>
        <v>2</v>
      </c>
      <c r="H70" s="140">
        <f>'Review 1'!W70</f>
        <v>2</v>
      </c>
      <c r="I70" s="140">
        <f>'Review 1'!AC70</f>
        <v>2</v>
      </c>
      <c r="J70" s="140">
        <f>'Review 1'!AI70</f>
        <v>2</v>
      </c>
      <c r="K70" s="140"/>
      <c r="L70" s="140">
        <f>'Review 1'!AU70</f>
        <v>2</v>
      </c>
      <c r="M70" s="138"/>
      <c r="N70" s="140"/>
      <c r="O70" s="140">
        <f>'Review 2'!Q70</f>
        <v>2</v>
      </c>
      <c r="P70" s="140">
        <f>'Review 2'!W70</f>
        <v>2</v>
      </c>
      <c r="Q70" s="140">
        <f>'Review 2'!AC70</f>
        <v>2</v>
      </c>
      <c r="R70" s="140">
        <f>'Review 2'!AI70</f>
        <v>2</v>
      </c>
      <c r="S70" s="140"/>
      <c r="T70" s="140">
        <f>'Review 2'!AU70</f>
        <v>2</v>
      </c>
      <c r="U70" s="138"/>
      <c r="V70" s="7"/>
      <c r="W70" s="140">
        <f>'Review 3'!Q70</f>
        <v>1</v>
      </c>
      <c r="X70" s="140">
        <f>'Review 3'!W70</f>
        <v>3.3333333333333335</v>
      </c>
      <c r="Y70" s="140">
        <f>'Review 3'!AC70</f>
        <v>2</v>
      </c>
      <c r="Z70" s="140">
        <f>'Review 3'!AI70</f>
        <v>3</v>
      </c>
      <c r="AA70" s="7"/>
      <c r="AB70" s="140">
        <f>'Review 3'!AU70</f>
        <v>2.6666666666666665</v>
      </c>
      <c r="AC70" s="138"/>
      <c r="AD70" s="7"/>
      <c r="AE70" s="140">
        <f>'Review 4'!Q70</f>
        <v>0</v>
      </c>
      <c r="AF70" s="140">
        <f>'Review 4'!W70</f>
        <v>0</v>
      </c>
      <c r="AG70" s="140">
        <f>'Review 4'!AC70</f>
        <v>0</v>
      </c>
      <c r="AH70" s="140">
        <f>'Review 4'!AI70</f>
        <v>0</v>
      </c>
      <c r="AI70" s="140"/>
      <c r="AJ70" s="140">
        <f>'Review 4'!AU70</f>
        <v>0</v>
      </c>
      <c r="AK70" s="138"/>
      <c r="AL70" s="7"/>
      <c r="AM70" s="140">
        <f>'Reflection -1 '!Q70</f>
        <v>3.6666666666666665</v>
      </c>
      <c r="AN70" s="7"/>
      <c r="AO70" s="7"/>
      <c r="AP70" s="7"/>
      <c r="AQ70" s="7"/>
      <c r="AR70" s="7"/>
      <c r="AS70" s="138"/>
      <c r="AT70" s="7"/>
      <c r="AU70" s="140">
        <f>'Reflection -2'!Q70</f>
        <v>3.3333333333333335</v>
      </c>
      <c r="AV70" s="7"/>
      <c r="AW70" s="7"/>
      <c r="AX70" s="7"/>
      <c r="AY70" s="140"/>
      <c r="AZ70" s="7"/>
      <c r="BA70" s="138"/>
      <c r="BB70" s="140"/>
      <c r="BC70" s="140">
        <f>'Reflection -3'!Q70</f>
        <v>3.3333333333333335</v>
      </c>
      <c r="BD70" s="140"/>
      <c r="BE70" s="140"/>
      <c r="BF70" s="140"/>
      <c r="BG70" s="140"/>
      <c r="BH70" s="140"/>
      <c r="BI70" s="138"/>
      <c r="BJ70" s="140"/>
      <c r="BK70" s="140">
        <f>'Reflection -3'!Q70</f>
        <v>3.3333333333333335</v>
      </c>
      <c r="BL70" s="7"/>
      <c r="BM70" s="140"/>
      <c r="BN70" s="7"/>
      <c r="BO70" s="140"/>
      <c r="BP70" s="140"/>
      <c r="BQ70" s="138"/>
      <c r="BR70" s="140"/>
      <c r="BS70" s="140">
        <f>Capstone!Q71</f>
        <v>2.6666666666666665</v>
      </c>
      <c r="BT70" s="140">
        <f>Capstone!W71</f>
        <v>3</v>
      </c>
      <c r="BU70" s="140">
        <f>Capstone!AC71</f>
        <v>3</v>
      </c>
      <c r="BV70" s="140">
        <f>Capstone!AI71</f>
        <v>3</v>
      </c>
      <c r="BW70" s="140">
        <f>Capstone!AO71</f>
        <v>2</v>
      </c>
      <c r="BX70" s="140">
        <f>Capstone!AU71</f>
        <v>2</v>
      </c>
      <c r="BY70" s="138"/>
      <c r="BZ70" s="140"/>
      <c r="CA7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2.3333333333333335</v>
      </c>
      <c r="CB70" s="140">
        <f>IFERROR(AVERAGE(Table110461117[[#This Row],[Column31]],Table110461117[[#This Row],[Column13]],Table110461117[[#This Row],[Column4]],Table110461117[[#This Row],[Column22]],),"A")</f>
        <v>1.4666666666666668</v>
      </c>
      <c r="CC70" s="140">
        <f>IFERROR(AVERAGE(Table110461117[[#This Row],[Column5]],Table110461117[[#This Row],[Column14]],Table110461117[[#This Row],[Column23]],Table110461117[[#This Row],[Column32]]),"A")</f>
        <v>1.5</v>
      </c>
      <c r="CD70" s="140">
        <f>IFERROR(AVERAGE(Table110461117[[#This Row],[Column6]],Table110461117[[#This Row],[Column15]],Table110461117[[#This Row],[Column24]],Table110461117[[#This Row],[Column33]]),"A")</f>
        <v>1.75</v>
      </c>
      <c r="CE70" s="140"/>
      <c r="CF70" s="140">
        <f>IFERROR(AVERAGE(Table110461117[[#This Row],[Column26]],Table110461117[[#This Row],[Column35]],Table110461117[[#This Row],[Column17]],Table110461117[[#This Row],[Column8]]),"A")</f>
        <v>1.6666666666666665</v>
      </c>
      <c r="CG70" s="138"/>
      <c r="CH70" s="140">
        <f>IFERROR(AVERAGE('Review 1'!AX70,'Review 2'!AX70,'Review 3'!AX70,'Review 4'!AX70,'Reflection -1 '!AX70,'Reflection -2'!AX70,'Reflection -3'!AX70,'Reflection -4'!AX70),"A")</f>
        <v>3.375</v>
      </c>
      <c r="CI70" s="140">
        <f>IFERROR(AVERAGE('Review 1'!AY70,'Review 2'!AY70,'Review 3'!AY70,'Review 4'!AY70,'Reflection -1 '!AY70,'Reflection -2'!AY70,'Reflection -3'!AY70,'Reflection -4'!AY70,Capstone!AY71),"A")</f>
        <v>0.77777777777777779</v>
      </c>
      <c r="CJ70" s="140">
        <f>IFERROR(AVERAGE('Review 1'!AZ70,'Review 2'!AZ70,'Review 3'!AZ70,'Review 4'!AZ70,'Reflection -1 '!AZ70,'Reflection -2'!AZ70,'Reflection -3'!AZ70,'Reflection -4'!AZ70),"A")</f>
        <v>2</v>
      </c>
    </row>
    <row r="71" spans="1:88" s="122" customFormat="1" ht="23.1" customHeight="1" x14ac:dyDescent="0.3">
      <c r="A71" s="137">
        <v>69</v>
      </c>
      <c r="B71" s="62" t="s">
        <v>130</v>
      </c>
      <c r="C71" s="62" t="s">
        <v>131</v>
      </c>
      <c r="D71" s="62" t="s">
        <v>542</v>
      </c>
      <c r="E71" s="62" t="s">
        <v>35</v>
      </c>
      <c r="F71" s="139"/>
      <c r="G71" s="139">
        <f>'Review 1'!Q71</f>
        <v>0</v>
      </c>
      <c r="H71" s="139">
        <f>'Review 1'!W71</f>
        <v>0</v>
      </c>
      <c r="I71" s="139">
        <f>'Review 1'!AC71</f>
        <v>0</v>
      </c>
      <c r="J71" s="139">
        <f>'Review 1'!AI71</f>
        <v>0</v>
      </c>
      <c r="K71" s="139"/>
      <c r="L71" s="139">
        <f>'Review 1'!AU71</f>
        <v>0</v>
      </c>
      <c r="M71" s="138"/>
      <c r="N71" s="139"/>
      <c r="O71" s="139">
        <f>'Review 2'!Q71</f>
        <v>2.2000000000000002</v>
      </c>
      <c r="P71" s="139">
        <f>'Review 2'!W71</f>
        <v>1</v>
      </c>
      <c r="Q71" s="139">
        <f>'Review 2'!AC71</f>
        <v>1</v>
      </c>
      <c r="R71" s="139">
        <f>'Review 2'!AI71</f>
        <v>1</v>
      </c>
      <c r="S71" s="139"/>
      <c r="T71" s="139">
        <f>'Review 2'!AU71</f>
        <v>1</v>
      </c>
      <c r="U71" s="138"/>
      <c r="V71" s="62"/>
      <c r="W71" s="139">
        <f>'Review 3'!Q71</f>
        <v>0.6</v>
      </c>
      <c r="X71" s="139">
        <f>'Review 3'!W71</f>
        <v>0</v>
      </c>
      <c r="Y71" s="139">
        <f>'Review 3'!AC71</f>
        <v>0</v>
      </c>
      <c r="Z71" s="139">
        <f>'Review 3'!AI71</f>
        <v>0</v>
      </c>
      <c r="AA71" s="62"/>
      <c r="AB71" s="139">
        <f>'Review 3'!AU71</f>
        <v>0</v>
      </c>
      <c r="AC71" s="138"/>
      <c r="AD71" s="62"/>
      <c r="AE71" s="139">
        <f>'Review 4'!Q71</f>
        <v>0</v>
      </c>
      <c r="AF71" s="139">
        <f>'Review 4'!W71</f>
        <v>0</v>
      </c>
      <c r="AG71" s="139">
        <f>'Review 4'!AC71</f>
        <v>0</v>
      </c>
      <c r="AH71" s="139">
        <f>'Review 4'!AI71</f>
        <v>0</v>
      </c>
      <c r="AI71" s="139"/>
      <c r="AJ71" s="139">
        <f>'Review 4'!AU71</f>
        <v>0</v>
      </c>
      <c r="AK71" s="138"/>
      <c r="AL71" s="62"/>
      <c r="AM71" s="139">
        <f>'Reflection -1 '!Q71</f>
        <v>1.6666666666666667</v>
      </c>
      <c r="AN71" s="62"/>
      <c r="AO71" s="62"/>
      <c r="AP71" s="62"/>
      <c r="AQ71" s="62"/>
      <c r="AR71" s="62"/>
      <c r="AS71" s="138"/>
      <c r="AT71" s="62"/>
      <c r="AU71" s="139">
        <f>'Reflection -2'!Q71</f>
        <v>3</v>
      </c>
      <c r="AV71" s="62"/>
      <c r="AW71" s="62"/>
      <c r="AX71" s="62"/>
      <c r="AY71" s="139"/>
      <c r="AZ71" s="62"/>
      <c r="BA71" s="138"/>
      <c r="BB71" s="139"/>
      <c r="BC71" s="139">
        <f>'Reflection -3'!Q71</f>
        <v>2</v>
      </c>
      <c r="BD71" s="139"/>
      <c r="BE71" s="139"/>
      <c r="BF71" s="139"/>
      <c r="BG71" s="139"/>
      <c r="BH71" s="139"/>
      <c r="BI71" s="138"/>
      <c r="BJ71" s="139"/>
      <c r="BK71" s="139">
        <f>'Reflection -3'!Q71</f>
        <v>2</v>
      </c>
      <c r="BL71" s="62"/>
      <c r="BM71" s="139"/>
      <c r="BN71" s="62"/>
      <c r="BO71" s="139"/>
      <c r="BP71" s="139"/>
      <c r="BQ71" s="138"/>
      <c r="BR71" s="139"/>
      <c r="BS71" s="139">
        <f>Capstone!Q72</f>
        <v>5</v>
      </c>
      <c r="BT71" s="139">
        <f>Capstone!W72</f>
        <v>3</v>
      </c>
      <c r="BU71" s="139">
        <f>Capstone!AC72</f>
        <v>3</v>
      </c>
      <c r="BV71" s="139">
        <f>Capstone!AI72</f>
        <v>3</v>
      </c>
      <c r="BW71" s="139">
        <f>Capstone!AO72</f>
        <v>3</v>
      </c>
      <c r="BX71" s="139">
        <f>Capstone!AU72</f>
        <v>3</v>
      </c>
      <c r="BY71" s="138"/>
      <c r="BZ71" s="139"/>
      <c r="CA7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1.4333333333333333</v>
      </c>
      <c r="CB71" s="139">
        <f>IFERROR(AVERAGE(Table110461117[[#This Row],[Column31]],Table110461117[[#This Row],[Column13]],Table110461117[[#This Row],[Column4]],Table110461117[[#This Row],[Column22]],),"A")</f>
        <v>0.2</v>
      </c>
      <c r="CC71" s="139">
        <f>IFERROR(AVERAGE(Table110461117[[#This Row],[Column5]],Table110461117[[#This Row],[Column14]],Table110461117[[#This Row],[Column23]],Table110461117[[#This Row],[Column32]]),"A")</f>
        <v>0.25</v>
      </c>
      <c r="CD71" s="139">
        <f>IFERROR(AVERAGE(Table110461117[[#This Row],[Column6]],Table110461117[[#This Row],[Column15]],Table110461117[[#This Row],[Column24]],Table110461117[[#This Row],[Column33]]),"A")</f>
        <v>0.25</v>
      </c>
      <c r="CE71" s="139"/>
      <c r="CF71" s="139">
        <f>IFERROR(AVERAGE(Table110461117[[#This Row],[Column26]],Table110461117[[#This Row],[Column35]],Table110461117[[#This Row],[Column17]],Table110461117[[#This Row],[Column8]]),"A")</f>
        <v>0.25</v>
      </c>
      <c r="CG71" s="138"/>
      <c r="CH71" s="139">
        <f>IFERROR(AVERAGE('Review 1'!AX71,'Review 2'!AX71,'Review 3'!AX71,'Review 4'!AX71,'Reflection -1 '!AX71,'Reflection -2'!AX71,'Reflection -3'!AX71,'Reflection -4'!AX71),"A")</f>
        <v>2.625</v>
      </c>
      <c r="CI71" s="139">
        <f>IFERROR(AVERAGE('Review 1'!AY71,'Review 2'!AY71,'Review 3'!AY71,'Review 4'!AY71,'Reflection -1 '!AY71,'Reflection -2'!AY71,'Reflection -3'!AY71,'Reflection -4'!AY71,Capstone!AY72),"A")</f>
        <v>0.55555555555555558</v>
      </c>
      <c r="CJ71" s="139">
        <f>IFERROR(AVERAGE('Review 1'!AZ71,'Review 2'!AZ71,'Review 3'!AZ71,'Review 4'!AZ71,'Reflection -1 '!AZ71,'Reflection -2'!AZ71,'Reflection -3'!AZ71,'Reflection -4'!AZ71),"A")</f>
        <v>0.75</v>
      </c>
    </row>
    <row r="72" spans="1:88" s="122" customFormat="1" ht="23.1" customHeight="1" x14ac:dyDescent="0.3">
      <c r="A72" s="6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140"/>
      <c r="G72" s="140">
        <f>'Review 1'!Q72</f>
        <v>2.6</v>
      </c>
      <c r="H72" s="140">
        <f>'Review 1'!W72</f>
        <v>3</v>
      </c>
      <c r="I72" s="140">
        <f>'Review 1'!AC72</f>
        <v>3</v>
      </c>
      <c r="J72" s="140">
        <f>'Review 1'!AI72</f>
        <v>3</v>
      </c>
      <c r="K72" s="140"/>
      <c r="L72" s="140">
        <f>'Review 1'!AU72</f>
        <v>3</v>
      </c>
      <c r="M72" s="138"/>
      <c r="N72" s="140"/>
      <c r="O72" s="140">
        <f>'Review 2'!Q72</f>
        <v>2.6</v>
      </c>
      <c r="P72" s="140">
        <f>'Review 2'!W72</f>
        <v>2</v>
      </c>
      <c r="Q72" s="140">
        <f>'Review 2'!AC72</f>
        <v>2</v>
      </c>
      <c r="R72" s="140">
        <f>'Review 2'!AI72</f>
        <v>1</v>
      </c>
      <c r="S72" s="140"/>
      <c r="T72" s="140">
        <f>'Review 2'!AU72</f>
        <v>2</v>
      </c>
      <c r="U72" s="138"/>
      <c r="V72" s="7"/>
      <c r="W72" s="140">
        <f>'Review 3'!Q72</f>
        <v>2.2000000000000002</v>
      </c>
      <c r="X72" s="140">
        <f>'Review 3'!W72</f>
        <v>0</v>
      </c>
      <c r="Y72" s="140">
        <f>'Review 3'!AC72</f>
        <v>0</v>
      </c>
      <c r="Z72" s="140">
        <f>'Review 3'!AI72</f>
        <v>0</v>
      </c>
      <c r="AA72" s="7"/>
      <c r="AB72" s="140">
        <f>'Review 3'!AU72</f>
        <v>0</v>
      </c>
      <c r="AC72" s="138"/>
      <c r="AD72" s="7"/>
      <c r="AE72" s="140">
        <f>'Review 4'!Q72</f>
        <v>3.6</v>
      </c>
      <c r="AF72" s="140">
        <f>'Review 4'!W72</f>
        <v>2.3333333333333335</v>
      </c>
      <c r="AG72" s="140">
        <f>'Review 4'!AC72</f>
        <v>2</v>
      </c>
      <c r="AH72" s="140">
        <f>'Review 4'!AI72</f>
        <v>2</v>
      </c>
      <c r="AI72" s="140"/>
      <c r="AJ72" s="140">
        <f>'Review 4'!AU72</f>
        <v>2</v>
      </c>
      <c r="AK72" s="138"/>
      <c r="AL72" s="7"/>
      <c r="AM72" s="140">
        <f>'Reflection -1 '!Q72</f>
        <v>2.6666666666666665</v>
      </c>
      <c r="AN72" s="7"/>
      <c r="AO72" s="7"/>
      <c r="AP72" s="7"/>
      <c r="AQ72" s="7"/>
      <c r="AR72" s="7"/>
      <c r="AS72" s="138"/>
      <c r="AT72" s="7"/>
      <c r="AU72" s="140">
        <f>'Reflection -2'!Q72</f>
        <v>2.3333333333333335</v>
      </c>
      <c r="AV72" s="7"/>
      <c r="AW72" s="7"/>
      <c r="AX72" s="7"/>
      <c r="AY72" s="140"/>
      <c r="AZ72" s="7"/>
      <c r="BA72" s="138"/>
      <c r="BB72" s="140"/>
      <c r="BC72" s="140">
        <f>'Reflection -3'!Q72</f>
        <v>2</v>
      </c>
      <c r="BD72" s="140"/>
      <c r="BE72" s="140"/>
      <c r="BF72" s="140"/>
      <c r="BG72" s="140"/>
      <c r="BH72" s="140"/>
      <c r="BI72" s="138"/>
      <c r="BJ72" s="140"/>
      <c r="BK72" s="140">
        <f>'Reflection -3'!Q72</f>
        <v>2</v>
      </c>
      <c r="BL72" s="7"/>
      <c r="BM72" s="140"/>
      <c r="BN72" s="7"/>
      <c r="BO72" s="140"/>
      <c r="BP72" s="140"/>
      <c r="BQ72" s="138"/>
      <c r="BR72" s="140"/>
      <c r="BS72" s="140">
        <f>Capstone!Q73</f>
        <v>4.333333333333333</v>
      </c>
      <c r="BT72" s="140">
        <f>Capstone!W73</f>
        <v>5</v>
      </c>
      <c r="BU72" s="140">
        <f>Capstone!AC73</f>
        <v>5</v>
      </c>
      <c r="BV72" s="140">
        <f>Capstone!AI73</f>
        <v>3</v>
      </c>
      <c r="BW72" s="140">
        <f>Capstone!AO73</f>
        <v>5</v>
      </c>
      <c r="BX72" s="140">
        <f>Capstone!AU73</f>
        <v>5</v>
      </c>
      <c r="BY72" s="138"/>
      <c r="BZ72" s="140"/>
      <c r="CA7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2.4999999999999996</v>
      </c>
      <c r="CB72" s="140">
        <f>IFERROR(AVERAGE(Table110461117[[#This Row],[Column31]],Table110461117[[#This Row],[Column13]],Table110461117[[#This Row],[Column4]],Table110461117[[#This Row],[Column22]],),"A")</f>
        <v>1.4666666666666668</v>
      </c>
      <c r="CC72" s="140">
        <f>IFERROR(AVERAGE(Table110461117[[#This Row],[Column5]],Table110461117[[#This Row],[Column14]],Table110461117[[#This Row],[Column23]],Table110461117[[#This Row],[Column32]]),"A")</f>
        <v>1.75</v>
      </c>
      <c r="CD72" s="140">
        <f>IFERROR(AVERAGE(Table110461117[[#This Row],[Column6]],Table110461117[[#This Row],[Column15]],Table110461117[[#This Row],[Column24]],Table110461117[[#This Row],[Column33]]),"A")</f>
        <v>1.5</v>
      </c>
      <c r="CE72" s="140"/>
      <c r="CF72" s="140">
        <f>IFERROR(AVERAGE(Table110461117[[#This Row],[Column26]],Table110461117[[#This Row],[Column35]],Table110461117[[#This Row],[Column17]],Table110461117[[#This Row],[Column8]]),"A")</f>
        <v>1.75</v>
      </c>
      <c r="CG72" s="138"/>
      <c r="CH72" s="140">
        <f>IFERROR(AVERAGE('Review 1'!AX72,'Review 2'!AX72,'Review 3'!AX72,'Review 4'!AX72,'Reflection -1 '!AX72,'Reflection -2'!AX72,'Reflection -3'!AX72,'Reflection -4'!AX72),"A")</f>
        <v>2.625</v>
      </c>
      <c r="CI72" s="140">
        <f>IFERROR(AVERAGE('Review 1'!AY72,'Review 2'!AY72,'Review 3'!AY72,'Review 4'!AY72,'Reflection -1 '!AY72,'Reflection -2'!AY72,'Reflection -3'!AY72,'Reflection -4'!AY72,Capstone!AY73),"A")</f>
        <v>2.1111111111111112</v>
      </c>
      <c r="CJ72" s="140">
        <f>IFERROR(AVERAGE('Review 1'!AZ72,'Review 2'!AZ72,'Review 3'!AZ72,'Review 4'!AZ72,'Reflection -1 '!AZ72,'Reflection -2'!AZ72,'Reflection -3'!AZ72,'Reflection -4'!AZ72),"A")</f>
        <v>2</v>
      </c>
    </row>
    <row r="73" spans="1:88" s="122" customFormat="1" ht="23.1" customHeight="1" x14ac:dyDescent="0.3">
      <c r="A73" s="137">
        <v>71</v>
      </c>
      <c r="B73" s="62" t="s">
        <v>132</v>
      </c>
      <c r="C73" s="62" t="s">
        <v>133</v>
      </c>
      <c r="D73" s="62" t="s">
        <v>542</v>
      </c>
      <c r="E73" s="62" t="s">
        <v>35</v>
      </c>
      <c r="F73" s="139"/>
      <c r="G73" s="139">
        <f>'Review 1'!Q73</f>
        <v>2.8</v>
      </c>
      <c r="H73" s="139">
        <f>'Review 1'!W73</f>
        <v>3</v>
      </c>
      <c r="I73" s="139">
        <f>'Review 1'!AC73</f>
        <v>3</v>
      </c>
      <c r="J73" s="139">
        <f>'Review 1'!AI73</f>
        <v>3</v>
      </c>
      <c r="K73" s="139"/>
      <c r="L73" s="139">
        <f>'Review 1'!AU73</f>
        <v>1</v>
      </c>
      <c r="M73" s="138"/>
      <c r="N73" s="139"/>
      <c r="O73" s="139">
        <f>'Review 2'!Q73</f>
        <v>2.8</v>
      </c>
      <c r="P73" s="139">
        <f>'Review 2'!W73</f>
        <v>3</v>
      </c>
      <c r="Q73" s="139">
        <f>'Review 2'!AC73</f>
        <v>3</v>
      </c>
      <c r="R73" s="139">
        <f>'Review 2'!AI73</f>
        <v>3</v>
      </c>
      <c r="S73" s="139"/>
      <c r="T73" s="139">
        <f>'Review 2'!AU73</f>
        <v>1</v>
      </c>
      <c r="U73" s="138"/>
      <c r="V73" s="62"/>
      <c r="W73" s="139">
        <f>'Review 3'!Q73</f>
        <v>0.6</v>
      </c>
      <c r="X73" s="139">
        <f>'Review 3'!W73</f>
        <v>0</v>
      </c>
      <c r="Y73" s="139">
        <f>'Review 3'!AC73</f>
        <v>0</v>
      </c>
      <c r="Z73" s="139">
        <f>'Review 3'!AI73</f>
        <v>0</v>
      </c>
      <c r="AA73" s="62"/>
      <c r="AB73" s="139">
        <f>'Review 3'!AU73</f>
        <v>0</v>
      </c>
      <c r="AC73" s="138"/>
      <c r="AD73" s="62"/>
      <c r="AE73" s="139">
        <f>'Review 4'!Q73</f>
        <v>3.2</v>
      </c>
      <c r="AF73" s="139">
        <f>'Review 4'!W73</f>
        <v>4</v>
      </c>
      <c r="AG73" s="139">
        <f>'Review 4'!AC73</f>
        <v>3</v>
      </c>
      <c r="AH73" s="139">
        <f>'Review 4'!AI73</f>
        <v>2</v>
      </c>
      <c r="AI73" s="139"/>
      <c r="AJ73" s="139">
        <f>'Review 4'!AU73</f>
        <v>3</v>
      </c>
      <c r="AK73" s="138"/>
      <c r="AL73" s="62"/>
      <c r="AM73" s="139">
        <f>'Reflection -1 '!Q73</f>
        <v>3</v>
      </c>
      <c r="AN73" s="62"/>
      <c r="AO73" s="62"/>
      <c r="AP73" s="62"/>
      <c r="AQ73" s="62"/>
      <c r="AR73" s="62"/>
      <c r="AS73" s="138"/>
      <c r="AT73" s="62"/>
      <c r="AU73" s="139">
        <f>'Reflection -2'!Q73</f>
        <v>3.3333333333333335</v>
      </c>
      <c r="AV73" s="62"/>
      <c r="AW73" s="62"/>
      <c r="AX73" s="62"/>
      <c r="AY73" s="139"/>
      <c r="AZ73" s="62"/>
      <c r="BA73" s="138"/>
      <c r="BB73" s="139"/>
      <c r="BC73" s="139">
        <f>'Reflection -3'!Q73</f>
        <v>1</v>
      </c>
      <c r="BD73" s="139"/>
      <c r="BE73" s="139"/>
      <c r="BF73" s="139"/>
      <c r="BG73" s="139"/>
      <c r="BH73" s="139"/>
      <c r="BI73" s="138"/>
      <c r="BJ73" s="139"/>
      <c r="BK73" s="139">
        <f>'Reflection -3'!Q73</f>
        <v>1</v>
      </c>
      <c r="BL73" s="62"/>
      <c r="BM73" s="139"/>
      <c r="BN73" s="62"/>
      <c r="BO73" s="139"/>
      <c r="BP73" s="139"/>
      <c r="BQ73" s="138"/>
      <c r="BR73" s="139"/>
      <c r="BS73" s="139">
        <f>Capstone!Q74</f>
        <v>3</v>
      </c>
      <c r="BT73" s="139">
        <f>Capstone!W74</f>
        <v>4</v>
      </c>
      <c r="BU73" s="139">
        <f>Capstone!AC74</f>
        <v>4</v>
      </c>
      <c r="BV73" s="139">
        <f>Capstone!AI74</f>
        <v>3</v>
      </c>
      <c r="BW73" s="139">
        <f>Capstone!AO74</f>
        <v>3</v>
      </c>
      <c r="BX73" s="139">
        <f>Capstone!AU74</f>
        <v>4</v>
      </c>
      <c r="BY73" s="138"/>
      <c r="BZ73" s="139"/>
      <c r="CA7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2.2166666666666668</v>
      </c>
      <c r="CB73" s="139">
        <f>IFERROR(AVERAGE(Table110461117[[#This Row],[Column31]],Table110461117[[#This Row],[Column13]],Table110461117[[#This Row],[Column4]],Table110461117[[#This Row],[Column22]],),"A")</f>
        <v>2</v>
      </c>
      <c r="CC73" s="139">
        <f>IFERROR(AVERAGE(Table110461117[[#This Row],[Column5]],Table110461117[[#This Row],[Column14]],Table110461117[[#This Row],[Column23]],Table110461117[[#This Row],[Column32]]),"A")</f>
        <v>2.25</v>
      </c>
      <c r="CD73" s="139">
        <f>IFERROR(AVERAGE(Table110461117[[#This Row],[Column6]],Table110461117[[#This Row],[Column15]],Table110461117[[#This Row],[Column24]],Table110461117[[#This Row],[Column33]]),"A")</f>
        <v>2</v>
      </c>
      <c r="CE73" s="139"/>
      <c r="CF73" s="139">
        <f>IFERROR(AVERAGE(Table110461117[[#This Row],[Column26]],Table110461117[[#This Row],[Column35]],Table110461117[[#This Row],[Column17]],Table110461117[[#This Row],[Column8]]),"A")</f>
        <v>1.25</v>
      </c>
      <c r="CG73" s="138"/>
      <c r="CH73" s="139">
        <f>IFERROR(AVERAGE('Review 1'!AX73,'Review 2'!AX73,'Review 3'!AX73,'Review 4'!AX73,'Reflection -1 '!AX73,'Reflection -2'!AX73,'Reflection -3'!AX73,'Reflection -4'!AX73),"A")</f>
        <v>4.125</v>
      </c>
      <c r="CI73" s="139">
        <f>IFERROR(AVERAGE('Review 1'!AY73,'Review 2'!AY73,'Review 3'!AY73,'Review 4'!AY73,'Reflection -1 '!AY73,'Reflection -2'!AY73,'Reflection -3'!AY73,'Reflection -4'!AY73,Capstone!AY74),"A")</f>
        <v>1.5555555555555556</v>
      </c>
      <c r="CJ73" s="139">
        <f>IFERROR(AVERAGE('Review 1'!AZ73,'Review 2'!AZ73,'Review 3'!AZ73,'Review 4'!AZ73,'Reflection -1 '!AZ73,'Reflection -2'!AZ73,'Reflection -3'!AZ73,'Reflection -4'!AZ73),"A")</f>
        <v>2.625</v>
      </c>
    </row>
    <row r="74" spans="1:88" s="122" customFormat="1" ht="23.1" customHeight="1" x14ac:dyDescent="0.3">
      <c r="A74" s="6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140"/>
      <c r="G74" s="140">
        <f>'Review 1'!Q74</f>
        <v>1.4</v>
      </c>
      <c r="H74" s="140">
        <f>'Review 1'!W74</f>
        <v>1.3333333333333333</v>
      </c>
      <c r="I74" s="140">
        <f>'Review 1'!AC74</f>
        <v>1.5</v>
      </c>
      <c r="J74" s="140">
        <f>'Review 1'!AI74</f>
        <v>1.5</v>
      </c>
      <c r="K74" s="140"/>
      <c r="L74" s="140">
        <f>'Review 1'!AU74</f>
        <v>1.6666666666666667</v>
      </c>
      <c r="M74" s="138"/>
      <c r="N74" s="140"/>
      <c r="O74" s="140">
        <f>'Review 2'!Q74</f>
        <v>1.8</v>
      </c>
      <c r="P74" s="140">
        <f>'Review 2'!W74</f>
        <v>1.3333333333333333</v>
      </c>
      <c r="Q74" s="140">
        <f>'Review 2'!AC74</f>
        <v>1.5</v>
      </c>
      <c r="R74" s="140">
        <f>'Review 2'!AI74</f>
        <v>1.5</v>
      </c>
      <c r="S74" s="140"/>
      <c r="T74" s="140">
        <f>'Review 2'!AU74</f>
        <v>1.6666666666666667</v>
      </c>
      <c r="U74" s="138"/>
      <c r="V74" s="7"/>
      <c r="W74" s="140">
        <f>'Review 3'!Q74</f>
        <v>2</v>
      </c>
      <c r="X74" s="140">
        <f>'Review 3'!W74</f>
        <v>3</v>
      </c>
      <c r="Y74" s="140">
        <f>'Review 3'!AC74</f>
        <v>1.5</v>
      </c>
      <c r="Z74" s="140">
        <f>'Review 3'!AI74</f>
        <v>2.5</v>
      </c>
      <c r="AA74" s="7"/>
      <c r="AB74" s="140">
        <f>'Review 3'!AU74</f>
        <v>3</v>
      </c>
      <c r="AC74" s="138"/>
      <c r="AD74" s="7"/>
      <c r="AE74" s="140">
        <f>'Review 4'!Q74</f>
        <v>3.2</v>
      </c>
      <c r="AF74" s="140">
        <f>'Review 4'!W74</f>
        <v>4</v>
      </c>
      <c r="AG74" s="140">
        <f>'Review 4'!AC74</f>
        <v>3.5</v>
      </c>
      <c r="AH74" s="140">
        <f>'Review 4'!AI74</f>
        <v>5</v>
      </c>
      <c r="AI74" s="140"/>
      <c r="AJ74" s="140">
        <f>'Review 4'!AU74</f>
        <v>4</v>
      </c>
      <c r="AK74" s="138"/>
      <c r="AL74" s="7"/>
      <c r="AM74" s="140">
        <f>'Reflection -1 '!Q74</f>
        <v>3.6666666666666665</v>
      </c>
      <c r="AN74" s="7"/>
      <c r="AO74" s="7"/>
      <c r="AP74" s="7"/>
      <c r="AQ74" s="7"/>
      <c r="AR74" s="7"/>
      <c r="AS74" s="138"/>
      <c r="AT74" s="7"/>
      <c r="AU74" s="140">
        <f>'Reflection -2'!Q74</f>
        <v>4</v>
      </c>
      <c r="AV74" s="7"/>
      <c r="AW74" s="7"/>
      <c r="AX74" s="7"/>
      <c r="AY74" s="140"/>
      <c r="AZ74" s="7"/>
      <c r="BA74" s="138"/>
      <c r="BB74" s="140"/>
      <c r="BC74" s="140">
        <f>'Reflection -3'!Q74</f>
        <v>0</v>
      </c>
      <c r="BD74" s="140"/>
      <c r="BE74" s="140"/>
      <c r="BF74" s="140"/>
      <c r="BG74" s="140"/>
      <c r="BH74" s="140"/>
      <c r="BI74" s="138"/>
      <c r="BJ74" s="140"/>
      <c r="BK74" s="140">
        <f>'Reflection -3'!Q74</f>
        <v>0</v>
      </c>
      <c r="BL74" s="7"/>
      <c r="BM74" s="140"/>
      <c r="BN74" s="7"/>
      <c r="BO74" s="140"/>
      <c r="BP74" s="140"/>
      <c r="BQ74" s="138"/>
      <c r="BR74" s="140"/>
      <c r="BS74" s="140">
        <f>Capstone!Q75</f>
        <v>3</v>
      </c>
      <c r="BT74" s="140">
        <f>Capstone!W75</f>
        <v>4</v>
      </c>
      <c r="BU74" s="140">
        <f>Capstone!AC75</f>
        <v>4</v>
      </c>
      <c r="BV74" s="140">
        <f>Capstone!AI75</f>
        <v>0</v>
      </c>
      <c r="BW74" s="140">
        <f>Capstone!AO75</f>
        <v>3</v>
      </c>
      <c r="BX74" s="140">
        <f>Capstone!AU75</f>
        <v>4</v>
      </c>
      <c r="BY74" s="138"/>
      <c r="BZ74" s="140"/>
      <c r="CA7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2.0083333333333337</v>
      </c>
      <c r="CB74" s="140">
        <f>IFERROR(AVERAGE(Table110461117[[#This Row],[Column31]],Table110461117[[#This Row],[Column13]],Table110461117[[#This Row],[Column4]],Table110461117[[#This Row],[Column22]],),"A")</f>
        <v>1.9333333333333331</v>
      </c>
      <c r="CC74" s="140">
        <f>IFERROR(AVERAGE(Table110461117[[#This Row],[Column5]],Table110461117[[#This Row],[Column14]],Table110461117[[#This Row],[Column23]],Table110461117[[#This Row],[Column32]]),"A")</f>
        <v>2</v>
      </c>
      <c r="CD74" s="140">
        <f>IFERROR(AVERAGE(Table110461117[[#This Row],[Column6]],Table110461117[[#This Row],[Column15]],Table110461117[[#This Row],[Column24]],Table110461117[[#This Row],[Column33]]),"A")</f>
        <v>2.625</v>
      </c>
      <c r="CE74" s="140"/>
      <c r="CF74" s="140">
        <f>IFERROR(AVERAGE(Table110461117[[#This Row],[Column26]],Table110461117[[#This Row],[Column35]],Table110461117[[#This Row],[Column17]],Table110461117[[#This Row],[Column8]]),"A")</f>
        <v>2.583333333333333</v>
      </c>
      <c r="CG74" s="138"/>
      <c r="CH74" s="140">
        <f>IFERROR(AVERAGE('Review 1'!AX74,'Review 2'!AX74,'Review 3'!AX74,'Review 4'!AX74,'Reflection -1 '!AX74,'Reflection -2'!AX74,'Reflection -3'!AX74,'Reflection -4'!AX74),"A")</f>
        <v>3.375</v>
      </c>
      <c r="CI74" s="140">
        <f>IFERROR(AVERAGE('Review 1'!AY74,'Review 2'!AY74,'Review 3'!AY74,'Review 4'!AY74,'Reflection -1 '!AY74,'Reflection -2'!AY74,'Reflection -3'!AY74,'Reflection -4'!AY74,Capstone!AY75),"A")</f>
        <v>1.4444444444444444</v>
      </c>
      <c r="CJ74" s="140">
        <f>IFERROR(AVERAGE('Review 1'!AZ74,'Review 2'!AZ74,'Review 3'!AZ74,'Review 4'!AZ74,'Reflection -1 '!AZ74,'Reflection -2'!AZ74,'Reflection -3'!AZ74,'Reflection -4'!AZ74),"A")</f>
        <v>2.625</v>
      </c>
    </row>
    <row r="75" spans="1:88" s="122" customFormat="1" ht="23.1" customHeight="1" x14ac:dyDescent="0.3">
      <c r="A75" s="137">
        <v>73</v>
      </c>
      <c r="B75" s="62" t="s">
        <v>182</v>
      </c>
      <c r="C75" s="62" t="s">
        <v>183</v>
      </c>
      <c r="D75" s="62" t="s">
        <v>450</v>
      </c>
      <c r="E75" s="62" t="s">
        <v>161</v>
      </c>
      <c r="F75" s="139"/>
      <c r="G75" s="139">
        <f>'Review 1'!Q75</f>
        <v>2.8</v>
      </c>
      <c r="H75" s="139">
        <f>'Review 1'!W75</f>
        <v>2.6666666666666665</v>
      </c>
      <c r="I75" s="139">
        <f>'Review 1'!AC75</f>
        <v>3</v>
      </c>
      <c r="J75" s="139">
        <f>'Review 1'!AI75</f>
        <v>3</v>
      </c>
      <c r="K75" s="139"/>
      <c r="L75" s="139">
        <f>'Review 1'!AU75</f>
        <v>2.6666666666666665</v>
      </c>
      <c r="M75" s="138"/>
      <c r="N75" s="139"/>
      <c r="O75" s="139">
        <f>'Review 2'!Q75</f>
        <v>2.6</v>
      </c>
      <c r="P75" s="139">
        <f>'Review 2'!W75</f>
        <v>2.6666666666666665</v>
      </c>
      <c r="Q75" s="139">
        <f>'Review 2'!AC75</f>
        <v>2.5</v>
      </c>
      <c r="R75" s="139">
        <f>'Review 2'!AI75</f>
        <v>2.5</v>
      </c>
      <c r="S75" s="139"/>
      <c r="T75" s="139">
        <f>'Review 2'!AU75</f>
        <v>2.6666666666666665</v>
      </c>
      <c r="U75" s="138"/>
      <c r="V75" s="62"/>
      <c r="W75" s="139">
        <f>'Review 3'!Q75</f>
        <v>2.6</v>
      </c>
      <c r="X75" s="139">
        <f>'Review 3'!W75</f>
        <v>3</v>
      </c>
      <c r="Y75" s="139">
        <f>'Review 3'!AC75</f>
        <v>2.5</v>
      </c>
      <c r="Z75" s="139">
        <f>'Review 3'!AI75</f>
        <v>3</v>
      </c>
      <c r="AA75" s="62"/>
      <c r="AB75" s="139">
        <f>'Review 3'!AU75</f>
        <v>3.3333333333333335</v>
      </c>
      <c r="AC75" s="138"/>
      <c r="AD75" s="62"/>
      <c r="AE75" s="139">
        <f>'Review 4'!Q75</f>
        <v>0</v>
      </c>
      <c r="AF75" s="139">
        <f>'Review 4'!W75</f>
        <v>0</v>
      </c>
      <c r="AG75" s="139">
        <f>'Review 4'!AC75</f>
        <v>0</v>
      </c>
      <c r="AH75" s="139">
        <f>'Review 4'!AI75</f>
        <v>0</v>
      </c>
      <c r="AI75" s="139"/>
      <c r="AJ75" s="139">
        <f>'Review 4'!AU75</f>
        <v>0</v>
      </c>
      <c r="AK75" s="138"/>
      <c r="AL75" s="62"/>
      <c r="AM75" s="139">
        <f>'Reflection -1 '!Q75</f>
        <v>2.6666666666666665</v>
      </c>
      <c r="AN75" s="62"/>
      <c r="AO75" s="62"/>
      <c r="AP75" s="62"/>
      <c r="AQ75" s="62"/>
      <c r="AR75" s="62"/>
      <c r="AS75" s="138"/>
      <c r="AT75" s="62"/>
      <c r="AU75" s="139">
        <f>'Reflection -2'!Q75</f>
        <v>2.6666666666666665</v>
      </c>
      <c r="AV75" s="62"/>
      <c r="AW75" s="62"/>
      <c r="AX75" s="62"/>
      <c r="AY75" s="139"/>
      <c r="AZ75" s="62"/>
      <c r="BA75" s="138"/>
      <c r="BB75" s="139"/>
      <c r="BC75" s="139">
        <f>'Reflection -3'!Q75</f>
        <v>2.6666666666666665</v>
      </c>
      <c r="BD75" s="139"/>
      <c r="BE75" s="139"/>
      <c r="BF75" s="139"/>
      <c r="BG75" s="139"/>
      <c r="BH75" s="139"/>
      <c r="BI75" s="138"/>
      <c r="BJ75" s="139"/>
      <c r="BK75" s="139">
        <f>'Reflection -3'!Q75</f>
        <v>2.6666666666666665</v>
      </c>
      <c r="BL75" s="62"/>
      <c r="BM75" s="139"/>
      <c r="BN75" s="62"/>
      <c r="BO75" s="139"/>
      <c r="BP75" s="139"/>
      <c r="BQ75" s="138"/>
      <c r="BR75" s="139"/>
      <c r="BS75" s="139">
        <f>Capstone!Q76</f>
        <v>3.3333333333333335</v>
      </c>
      <c r="BT75" s="139">
        <f>Capstone!W76</f>
        <v>4</v>
      </c>
      <c r="BU75" s="139">
        <f>Capstone!AC76</f>
        <v>4</v>
      </c>
      <c r="BV75" s="139">
        <f>Capstone!AI76</f>
        <v>0</v>
      </c>
      <c r="BW75" s="139">
        <f>Capstone!AO76</f>
        <v>3.5</v>
      </c>
      <c r="BX75" s="139">
        <f>Capstone!AU76</f>
        <v>3</v>
      </c>
      <c r="BY75" s="138"/>
      <c r="BZ75" s="139"/>
      <c r="CA7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2.3333333333333335</v>
      </c>
      <c r="CB75" s="139">
        <f>IFERROR(AVERAGE(Table110461117[[#This Row],[Column31]],Table110461117[[#This Row],[Column13]],Table110461117[[#This Row],[Column4]],Table110461117[[#This Row],[Column22]],),"A")</f>
        <v>1.6666666666666665</v>
      </c>
      <c r="CC75" s="139">
        <f>IFERROR(AVERAGE(Table110461117[[#This Row],[Column5]],Table110461117[[#This Row],[Column14]],Table110461117[[#This Row],[Column23]],Table110461117[[#This Row],[Column32]]),"A")</f>
        <v>2</v>
      </c>
      <c r="CD75" s="139">
        <f>IFERROR(AVERAGE(Table110461117[[#This Row],[Column6]],Table110461117[[#This Row],[Column15]],Table110461117[[#This Row],[Column24]],Table110461117[[#This Row],[Column33]]),"A")</f>
        <v>2.125</v>
      </c>
      <c r="CE75" s="139"/>
      <c r="CF75" s="139">
        <f>IFERROR(AVERAGE(Table110461117[[#This Row],[Column26]],Table110461117[[#This Row],[Column35]],Table110461117[[#This Row],[Column17]],Table110461117[[#This Row],[Column8]]),"A")</f>
        <v>2.1666666666666665</v>
      </c>
      <c r="CG75" s="138"/>
      <c r="CH75" s="139">
        <f>IFERROR(AVERAGE('Review 1'!AX75,'Review 2'!AX75,'Review 3'!AX75,'Review 4'!AX75,'Reflection -1 '!AX75,'Reflection -2'!AX75,'Reflection -3'!AX75,'Reflection -4'!AX75),"A")</f>
        <v>3.375</v>
      </c>
      <c r="CI75" s="139">
        <f>IFERROR(AVERAGE('Review 1'!AY75,'Review 2'!AY75,'Review 3'!AY75,'Review 4'!AY75,'Reflection -1 '!AY75,'Reflection -2'!AY75,'Reflection -3'!AY75,'Reflection -4'!AY75,Capstone!AY76),"A")</f>
        <v>1.1111111111111112</v>
      </c>
      <c r="CJ75" s="139">
        <f>IFERROR(AVERAGE('Review 1'!AZ75,'Review 2'!AZ75,'Review 3'!AZ75,'Review 4'!AZ75,'Reflection -1 '!AZ75,'Reflection -2'!AZ75,'Reflection -3'!AZ75,'Reflection -4'!AZ75),"A")</f>
        <v>1.625</v>
      </c>
    </row>
    <row r="76" spans="1:88" s="122" customFormat="1" ht="23.1" customHeight="1" x14ac:dyDescent="0.3">
      <c r="A76" s="6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140"/>
      <c r="G76" s="140">
        <f>'Review 1'!Q76</f>
        <v>2.6</v>
      </c>
      <c r="H76" s="140">
        <f>'Review 1'!W76</f>
        <v>3</v>
      </c>
      <c r="I76" s="140">
        <f>'Review 1'!AC76</f>
        <v>3</v>
      </c>
      <c r="J76" s="140">
        <f>'Review 1'!AI76</f>
        <v>3</v>
      </c>
      <c r="K76" s="140"/>
      <c r="L76" s="140">
        <f>'Review 1'!AU76</f>
        <v>3</v>
      </c>
      <c r="M76" s="138"/>
      <c r="N76" s="140"/>
      <c r="O76" s="140">
        <f>'Review 2'!Q76</f>
        <v>2.4</v>
      </c>
      <c r="P76" s="140">
        <f>'Review 2'!W76</f>
        <v>2</v>
      </c>
      <c r="Q76" s="140">
        <f>'Review 2'!AC76</f>
        <v>2</v>
      </c>
      <c r="R76" s="140">
        <f>'Review 2'!AI76</f>
        <v>1</v>
      </c>
      <c r="S76" s="140"/>
      <c r="T76" s="140">
        <f>'Review 2'!AU76</f>
        <v>2</v>
      </c>
      <c r="U76" s="138"/>
      <c r="V76" s="7"/>
      <c r="W76" s="140">
        <f>'Review 3'!Q76</f>
        <v>2.2000000000000002</v>
      </c>
      <c r="X76" s="140">
        <f>'Review 3'!W76</f>
        <v>2</v>
      </c>
      <c r="Y76" s="140">
        <f>'Review 3'!AC76</f>
        <v>2</v>
      </c>
      <c r="Z76" s="140">
        <f>'Review 3'!AI76</f>
        <v>2</v>
      </c>
      <c r="AA76" s="7"/>
      <c r="AB76" s="140">
        <f>'Review 3'!AU76</f>
        <v>2</v>
      </c>
      <c r="AC76" s="138"/>
      <c r="AD76" s="7"/>
      <c r="AE76" s="140">
        <f>'Review 4'!Q76</f>
        <v>2.2000000000000002</v>
      </c>
      <c r="AF76" s="140">
        <f>'Review 4'!W76</f>
        <v>3.3333333333333335</v>
      </c>
      <c r="AG76" s="140">
        <f>'Review 4'!AC76</f>
        <v>2</v>
      </c>
      <c r="AH76" s="140">
        <f>'Review 4'!AI76</f>
        <v>1</v>
      </c>
      <c r="AI76" s="140"/>
      <c r="AJ76" s="140">
        <f>'Review 4'!AU76</f>
        <v>3.6666666666666665</v>
      </c>
      <c r="AK76" s="138"/>
      <c r="AL76" s="7"/>
      <c r="AM76" s="140">
        <f>'Reflection -1 '!Q76</f>
        <v>2.3333333333333335</v>
      </c>
      <c r="AN76" s="7"/>
      <c r="AO76" s="7"/>
      <c r="AP76" s="7"/>
      <c r="AQ76" s="7"/>
      <c r="AR76" s="7"/>
      <c r="AS76" s="138"/>
      <c r="AT76" s="7"/>
      <c r="AU76" s="140">
        <f>'Reflection -2'!Q76</f>
        <v>1</v>
      </c>
      <c r="AV76" s="7"/>
      <c r="AW76" s="7"/>
      <c r="AX76" s="7"/>
      <c r="AY76" s="140"/>
      <c r="AZ76" s="7"/>
      <c r="BA76" s="138"/>
      <c r="BB76" s="140"/>
      <c r="BC76" s="140">
        <f>'Reflection -3'!Q76</f>
        <v>1</v>
      </c>
      <c r="BD76" s="140"/>
      <c r="BE76" s="140"/>
      <c r="BF76" s="140"/>
      <c r="BG76" s="140"/>
      <c r="BH76" s="140"/>
      <c r="BI76" s="138"/>
      <c r="BJ76" s="140"/>
      <c r="BK76" s="140">
        <f>'Reflection -3'!Q76</f>
        <v>1</v>
      </c>
      <c r="BL76" s="7"/>
      <c r="BM76" s="140"/>
      <c r="BN76" s="7"/>
      <c r="BO76" s="140"/>
      <c r="BP76" s="140"/>
      <c r="BQ76" s="138"/>
      <c r="BR76" s="140"/>
      <c r="BS76" s="140">
        <f>Capstone!Q77</f>
        <v>4</v>
      </c>
      <c r="BT76" s="140">
        <f>Capstone!W77</f>
        <v>4</v>
      </c>
      <c r="BU76" s="140">
        <f>Capstone!AC77</f>
        <v>4</v>
      </c>
      <c r="BV76" s="140">
        <f>Capstone!AI77</f>
        <v>4</v>
      </c>
      <c r="BW76" s="140">
        <f>Capstone!AO77</f>
        <v>4</v>
      </c>
      <c r="BX76" s="140">
        <f>Capstone!AU77</f>
        <v>4</v>
      </c>
      <c r="BY76" s="138"/>
      <c r="BZ76" s="140"/>
      <c r="CA7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1.8416666666666668</v>
      </c>
      <c r="CB76" s="140">
        <f>IFERROR(AVERAGE(Table110461117[[#This Row],[Column31]],Table110461117[[#This Row],[Column13]],Table110461117[[#This Row],[Column4]],Table110461117[[#This Row],[Column22]],),"A")</f>
        <v>2.0666666666666669</v>
      </c>
      <c r="CC76" s="140">
        <f>IFERROR(AVERAGE(Table110461117[[#This Row],[Column5]],Table110461117[[#This Row],[Column14]],Table110461117[[#This Row],[Column23]],Table110461117[[#This Row],[Column32]]),"A")</f>
        <v>2.25</v>
      </c>
      <c r="CD76" s="140">
        <f>IFERROR(AVERAGE(Table110461117[[#This Row],[Column6]],Table110461117[[#This Row],[Column15]],Table110461117[[#This Row],[Column24]],Table110461117[[#This Row],[Column33]]),"A")</f>
        <v>1.75</v>
      </c>
      <c r="CE76" s="140"/>
      <c r="CF76" s="140">
        <f>IFERROR(AVERAGE(Table110461117[[#This Row],[Column26]],Table110461117[[#This Row],[Column35]],Table110461117[[#This Row],[Column17]],Table110461117[[#This Row],[Column8]]),"A")</f>
        <v>2.6666666666666665</v>
      </c>
      <c r="CG76" s="138"/>
      <c r="CH76" s="140">
        <f>IFERROR(AVERAGE('Review 1'!AX76,'Review 2'!AX76,'Review 3'!AX76,'Review 4'!AX76,'Reflection -1 '!AX76,'Reflection -2'!AX76,'Reflection -3'!AX76,'Reflection -4'!AX76),"A")</f>
        <v>3.5</v>
      </c>
      <c r="CI76" s="140">
        <f>IFERROR(AVERAGE('Review 1'!AY76,'Review 2'!AY76,'Review 3'!AY76,'Review 4'!AY76,'Reflection -1 '!AY76,'Reflection -2'!AY76,'Reflection -3'!AY76,'Reflection -4'!AY76,Capstone!AY77),"A")</f>
        <v>2.2222222222222223</v>
      </c>
      <c r="CJ76" s="140">
        <f>IFERROR(AVERAGE('Review 1'!AZ76,'Review 2'!AZ76,'Review 3'!AZ76,'Review 4'!AZ76,'Reflection -1 '!AZ76,'Reflection -2'!AZ76,'Reflection -3'!AZ76,'Reflection -4'!AZ76),"A")</f>
        <v>1.625</v>
      </c>
    </row>
    <row r="77" spans="1:88" s="122" customFormat="1" ht="23.1" customHeight="1" x14ac:dyDescent="0.3">
      <c r="A77" s="137">
        <v>75</v>
      </c>
      <c r="B77" s="62" t="s">
        <v>324</v>
      </c>
      <c r="C77" s="62" t="s">
        <v>325</v>
      </c>
      <c r="D77" s="62" t="s">
        <v>450</v>
      </c>
      <c r="E77" s="62" t="s">
        <v>493</v>
      </c>
      <c r="F77" s="139"/>
      <c r="G77" s="139">
        <f>'Review 1'!Q77</f>
        <v>3</v>
      </c>
      <c r="H77" s="139">
        <f>'Review 1'!W77</f>
        <v>2</v>
      </c>
      <c r="I77" s="139">
        <f>'Review 1'!AC77</f>
        <v>2</v>
      </c>
      <c r="J77" s="139">
        <f>'Review 1'!AI77</f>
        <v>3</v>
      </c>
      <c r="K77" s="139"/>
      <c r="L77" s="139">
        <f>'Review 1'!AU77</f>
        <v>3</v>
      </c>
      <c r="M77" s="138"/>
      <c r="N77" s="139"/>
      <c r="O77" s="139">
        <f>'Review 2'!Q77</f>
        <v>2</v>
      </c>
      <c r="P77" s="139">
        <f>'Review 2'!W77</f>
        <v>2</v>
      </c>
      <c r="Q77" s="139">
        <f>'Review 2'!AC77</f>
        <v>2</v>
      </c>
      <c r="R77" s="139">
        <f>'Review 2'!AI77</f>
        <v>1</v>
      </c>
      <c r="S77" s="139"/>
      <c r="T77" s="139">
        <f>'Review 2'!AU77</f>
        <v>2</v>
      </c>
      <c r="U77" s="138"/>
      <c r="V77" s="62"/>
      <c r="W77" s="139">
        <f>'Review 3'!Q77</f>
        <v>2.2000000000000002</v>
      </c>
      <c r="X77" s="139">
        <f>'Review 3'!W77</f>
        <v>0</v>
      </c>
      <c r="Y77" s="139">
        <f>'Review 3'!AC77</f>
        <v>0</v>
      </c>
      <c r="Z77" s="139">
        <f>'Review 3'!AI77</f>
        <v>0</v>
      </c>
      <c r="AA77" s="62"/>
      <c r="AB77" s="139">
        <f>'Review 3'!AU77</f>
        <v>0</v>
      </c>
      <c r="AC77" s="138"/>
      <c r="AD77" s="62"/>
      <c r="AE77" s="139">
        <f>'Review 4'!Q77</f>
        <v>2.8</v>
      </c>
      <c r="AF77" s="139">
        <f>'Review 4'!W77</f>
        <v>2</v>
      </c>
      <c r="AG77" s="139">
        <f>'Review 4'!AC77</f>
        <v>1</v>
      </c>
      <c r="AH77" s="139">
        <f>'Review 4'!AI77</f>
        <v>1</v>
      </c>
      <c r="AI77" s="139"/>
      <c r="AJ77" s="139">
        <f>'Review 4'!AU77</f>
        <v>1.6666666666666667</v>
      </c>
      <c r="AK77" s="138"/>
      <c r="AL77" s="62"/>
      <c r="AM77" s="139">
        <f>'Reflection -1 '!Q77</f>
        <v>3.3333333333333335</v>
      </c>
      <c r="AN77" s="62"/>
      <c r="AO77" s="62"/>
      <c r="AP77" s="62"/>
      <c r="AQ77" s="62"/>
      <c r="AR77" s="62"/>
      <c r="AS77" s="138"/>
      <c r="AT77" s="62"/>
      <c r="AU77" s="139">
        <f>'Reflection -2'!Q77</f>
        <v>2.3333333333333335</v>
      </c>
      <c r="AV77" s="62"/>
      <c r="AW77" s="62"/>
      <c r="AX77" s="62"/>
      <c r="AY77" s="139"/>
      <c r="AZ77" s="62"/>
      <c r="BA77" s="138"/>
      <c r="BB77" s="139"/>
      <c r="BC77" s="139">
        <f>'Reflection -3'!Q77</f>
        <v>2</v>
      </c>
      <c r="BD77" s="139"/>
      <c r="BE77" s="139"/>
      <c r="BF77" s="139"/>
      <c r="BG77" s="139"/>
      <c r="BH77" s="139"/>
      <c r="BI77" s="138"/>
      <c r="BJ77" s="139"/>
      <c r="BK77" s="139">
        <f>'Reflection -3'!Q77</f>
        <v>2</v>
      </c>
      <c r="BL77" s="62"/>
      <c r="BM77" s="139"/>
      <c r="BN77" s="62"/>
      <c r="BO77" s="139"/>
      <c r="BP77" s="139"/>
      <c r="BQ77" s="138"/>
      <c r="BR77" s="139"/>
      <c r="BS77" s="139">
        <f>Capstone!Q78</f>
        <v>2.6666666666666665</v>
      </c>
      <c r="BT77" s="139">
        <f>Capstone!W78</f>
        <v>3.5</v>
      </c>
      <c r="BU77" s="139">
        <f>Capstone!AC78</f>
        <v>3.5</v>
      </c>
      <c r="BV77" s="139">
        <f>Capstone!AI78</f>
        <v>3</v>
      </c>
      <c r="BW77" s="139">
        <f>Capstone!AO78</f>
        <v>4</v>
      </c>
      <c r="BX77" s="139">
        <f>Capstone!AU78</f>
        <v>3</v>
      </c>
      <c r="BY77" s="138"/>
      <c r="BZ77" s="139"/>
      <c r="CA7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2.458333333333333</v>
      </c>
      <c r="CB77" s="139">
        <f>IFERROR(AVERAGE(Table110461117[[#This Row],[Column31]],Table110461117[[#This Row],[Column13]],Table110461117[[#This Row],[Column4]],Table110461117[[#This Row],[Column22]],),"A")</f>
        <v>1.2</v>
      </c>
      <c r="CC77" s="139">
        <f>IFERROR(AVERAGE(Table110461117[[#This Row],[Column5]],Table110461117[[#This Row],[Column14]],Table110461117[[#This Row],[Column23]],Table110461117[[#This Row],[Column32]]),"A")</f>
        <v>1.25</v>
      </c>
      <c r="CD77" s="139">
        <f>IFERROR(AVERAGE(Table110461117[[#This Row],[Column6]],Table110461117[[#This Row],[Column15]],Table110461117[[#This Row],[Column24]],Table110461117[[#This Row],[Column33]]),"A")</f>
        <v>1.25</v>
      </c>
      <c r="CE77" s="139"/>
      <c r="CF77" s="139">
        <f>IFERROR(AVERAGE(Table110461117[[#This Row],[Column26]],Table110461117[[#This Row],[Column35]],Table110461117[[#This Row],[Column17]],Table110461117[[#This Row],[Column8]]),"A")</f>
        <v>1.6666666666666667</v>
      </c>
      <c r="CG77" s="138"/>
      <c r="CH77" s="139">
        <f>IFERROR(AVERAGE('Review 1'!AX77,'Review 2'!AX77,'Review 3'!AX77,'Review 4'!AX77,'Reflection -1 '!AX77,'Reflection -2'!AX77,'Reflection -3'!AX77,'Reflection -4'!AX77),"A")</f>
        <v>2.875</v>
      </c>
      <c r="CI77" s="139">
        <f>IFERROR(AVERAGE('Review 1'!AY77,'Review 2'!AY77,'Review 3'!AY77,'Review 4'!AY77,'Reflection -1 '!AY77,'Reflection -2'!AY77,'Reflection -3'!AY77,'Reflection -4'!AY77,Capstone!AY78),"A")</f>
        <v>1.9444444444444444</v>
      </c>
      <c r="CJ77" s="139">
        <f>IFERROR(AVERAGE('Review 1'!AZ77,'Review 2'!AZ77,'Review 3'!AZ77,'Review 4'!AZ77,'Reflection -1 '!AZ77,'Reflection -2'!AZ77,'Reflection -3'!AZ77,'Reflection -4'!AZ77),"A")</f>
        <v>1.875</v>
      </c>
    </row>
    <row r="78" spans="1:88" s="122" customFormat="1" ht="23.1" customHeight="1" x14ac:dyDescent="0.3">
      <c r="A78" s="6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140"/>
      <c r="G78" s="140">
        <f>'Review 1'!Q78</f>
        <v>2.8</v>
      </c>
      <c r="H78" s="140">
        <f>'Review 1'!W78</f>
        <v>3</v>
      </c>
      <c r="I78" s="140">
        <f>'Review 1'!AC78</f>
        <v>3</v>
      </c>
      <c r="J78" s="140">
        <f>'Review 1'!AI78</f>
        <v>3</v>
      </c>
      <c r="K78" s="140"/>
      <c r="L78" s="140">
        <f>'Review 1'!AU78</f>
        <v>3</v>
      </c>
      <c r="M78" s="138"/>
      <c r="N78" s="140"/>
      <c r="O78" s="140">
        <f>'Review 2'!Q78</f>
        <v>2.2000000000000002</v>
      </c>
      <c r="P78" s="140">
        <f>'Review 2'!W78</f>
        <v>2</v>
      </c>
      <c r="Q78" s="140">
        <f>'Review 2'!AC78</f>
        <v>2</v>
      </c>
      <c r="R78" s="140">
        <f>'Review 2'!AI78</f>
        <v>1</v>
      </c>
      <c r="S78" s="140"/>
      <c r="T78" s="140">
        <f>'Review 2'!AU78</f>
        <v>2</v>
      </c>
      <c r="U78" s="138"/>
      <c r="V78" s="7"/>
      <c r="W78" s="140">
        <f>'Review 3'!Q78</f>
        <v>2.2000000000000002</v>
      </c>
      <c r="X78" s="140">
        <f>'Review 3'!W78</f>
        <v>2</v>
      </c>
      <c r="Y78" s="140">
        <f>'Review 3'!AC78</f>
        <v>2</v>
      </c>
      <c r="Z78" s="140">
        <f>'Review 3'!AI78</f>
        <v>2</v>
      </c>
      <c r="AA78" s="7"/>
      <c r="AB78" s="140">
        <f>'Review 3'!AU78</f>
        <v>2</v>
      </c>
      <c r="AC78" s="138"/>
      <c r="AD78" s="7"/>
      <c r="AE78" s="140">
        <f>'Review 4'!Q78</f>
        <v>2</v>
      </c>
      <c r="AF78" s="140">
        <f>'Review 4'!W78</f>
        <v>2</v>
      </c>
      <c r="AG78" s="140">
        <f>'Review 4'!AC78</f>
        <v>2</v>
      </c>
      <c r="AH78" s="140">
        <f>'Review 4'!AI78</f>
        <v>2</v>
      </c>
      <c r="AI78" s="140"/>
      <c r="AJ78" s="140">
        <f>'Review 4'!AU78</f>
        <v>2</v>
      </c>
      <c r="AK78" s="138"/>
      <c r="AL78" s="7"/>
      <c r="AM78" s="140">
        <f>'Reflection -1 '!Q78</f>
        <v>2</v>
      </c>
      <c r="AN78" s="7"/>
      <c r="AO78" s="7"/>
      <c r="AP78" s="7"/>
      <c r="AQ78" s="7"/>
      <c r="AR78" s="7"/>
      <c r="AS78" s="138"/>
      <c r="AT78" s="7"/>
      <c r="AU78" s="140">
        <f>'Reflection -2'!Q78</f>
        <v>2</v>
      </c>
      <c r="AV78" s="7"/>
      <c r="AW78" s="7"/>
      <c r="AX78" s="7"/>
      <c r="AY78" s="140"/>
      <c r="AZ78" s="7"/>
      <c r="BA78" s="138"/>
      <c r="BB78" s="140"/>
      <c r="BC78" s="140">
        <f>'Reflection -3'!Q78</f>
        <v>2.6666666666666665</v>
      </c>
      <c r="BD78" s="140"/>
      <c r="BE78" s="140"/>
      <c r="BF78" s="140"/>
      <c r="BG78" s="140"/>
      <c r="BH78" s="140"/>
      <c r="BI78" s="138"/>
      <c r="BJ78" s="140"/>
      <c r="BK78" s="140">
        <f>'Reflection -3'!Q78</f>
        <v>2.6666666666666665</v>
      </c>
      <c r="BL78" s="7"/>
      <c r="BM78" s="140"/>
      <c r="BN78" s="7"/>
      <c r="BO78" s="140"/>
      <c r="BP78" s="140"/>
      <c r="BQ78" s="138"/>
      <c r="BR78" s="140"/>
      <c r="BS78" s="140">
        <f>Capstone!Q79</f>
        <v>4</v>
      </c>
      <c r="BT78" s="140">
        <f>Capstone!W79</f>
        <v>4</v>
      </c>
      <c r="BU78" s="140">
        <f>Capstone!AC79</f>
        <v>4</v>
      </c>
      <c r="BV78" s="140">
        <f>Capstone!AI79</f>
        <v>3.5</v>
      </c>
      <c r="BW78" s="140">
        <f>Capstone!AO79</f>
        <v>3.5</v>
      </c>
      <c r="BX78" s="140">
        <f>Capstone!AU79</f>
        <v>4</v>
      </c>
      <c r="BY78" s="138"/>
      <c r="BZ78" s="140"/>
      <c r="CA7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2.3166666666666669</v>
      </c>
      <c r="CB78" s="140">
        <f>IFERROR(AVERAGE(Table110461117[[#This Row],[Column31]],Table110461117[[#This Row],[Column13]],Table110461117[[#This Row],[Column4]],Table110461117[[#This Row],[Column22]],),"A")</f>
        <v>1.8</v>
      </c>
      <c r="CC78" s="140">
        <f>IFERROR(AVERAGE(Table110461117[[#This Row],[Column5]],Table110461117[[#This Row],[Column14]],Table110461117[[#This Row],[Column23]],Table110461117[[#This Row],[Column32]]),"A")</f>
        <v>2.25</v>
      </c>
      <c r="CD78" s="140">
        <f>IFERROR(AVERAGE(Table110461117[[#This Row],[Column6]],Table110461117[[#This Row],[Column15]],Table110461117[[#This Row],[Column24]],Table110461117[[#This Row],[Column33]]),"A")</f>
        <v>2</v>
      </c>
      <c r="CE78" s="140"/>
      <c r="CF78" s="140">
        <f>IFERROR(AVERAGE(Table110461117[[#This Row],[Column26]],Table110461117[[#This Row],[Column35]],Table110461117[[#This Row],[Column17]],Table110461117[[#This Row],[Column8]]),"A")</f>
        <v>2.25</v>
      </c>
      <c r="CG78" s="138"/>
      <c r="CH78" s="140">
        <f>IFERROR(AVERAGE('Review 1'!AX78,'Review 2'!AX78,'Review 3'!AX78,'Review 4'!AX78,'Reflection -1 '!AX78,'Reflection -2'!AX78,'Reflection -3'!AX78,'Reflection -4'!AX78),"A")</f>
        <v>2.5</v>
      </c>
      <c r="CI78" s="140">
        <f>IFERROR(AVERAGE('Review 1'!AY78,'Review 2'!AY78,'Review 3'!AY78,'Review 4'!AY78,'Reflection -1 '!AY78,'Reflection -2'!AY78,'Reflection -3'!AY78,'Reflection -4'!AY78,Capstone!AY79),"A")</f>
        <v>2.2777777777777777</v>
      </c>
      <c r="CJ78" s="140">
        <f>IFERROR(AVERAGE('Review 1'!AZ78,'Review 2'!AZ78,'Review 3'!AZ78,'Review 4'!AZ78,'Reflection -1 '!AZ78,'Reflection -2'!AZ78,'Reflection -3'!AZ78,'Reflection -4'!AZ78),"A")</f>
        <v>2.125</v>
      </c>
    </row>
    <row r="79" spans="1:88" s="122" customFormat="1" ht="23.1" customHeight="1" x14ac:dyDescent="0.3">
      <c r="A79" s="137">
        <v>77</v>
      </c>
      <c r="B79" s="62" t="s">
        <v>328</v>
      </c>
      <c r="C79" s="62" t="s">
        <v>329</v>
      </c>
      <c r="D79" s="62" t="s">
        <v>450</v>
      </c>
      <c r="E79" s="62" t="s">
        <v>493</v>
      </c>
      <c r="F79" s="139"/>
      <c r="G79" s="139">
        <f>'Review 1'!Q79</f>
        <v>2.4</v>
      </c>
      <c r="H79" s="139">
        <f>'Review 1'!W79</f>
        <v>3</v>
      </c>
      <c r="I79" s="139">
        <f>'Review 1'!AC79</f>
        <v>3</v>
      </c>
      <c r="J79" s="139">
        <f>'Review 1'!AI79</f>
        <v>3</v>
      </c>
      <c r="K79" s="139"/>
      <c r="L79" s="139">
        <f>'Review 1'!AU79</f>
        <v>3</v>
      </c>
      <c r="M79" s="138"/>
      <c r="N79" s="139"/>
      <c r="O79" s="139">
        <f>'Review 2'!Q79</f>
        <v>2.8</v>
      </c>
      <c r="P79" s="139">
        <f>'Review 2'!W79</f>
        <v>2</v>
      </c>
      <c r="Q79" s="139">
        <f>'Review 2'!AC79</f>
        <v>2</v>
      </c>
      <c r="R79" s="139">
        <f>'Review 2'!AI79</f>
        <v>1</v>
      </c>
      <c r="S79" s="139"/>
      <c r="T79" s="139">
        <f>'Review 2'!AU79</f>
        <v>2</v>
      </c>
      <c r="U79" s="138"/>
      <c r="V79" s="62"/>
      <c r="W79" s="139">
        <f>'Review 3'!Q79</f>
        <v>2.2000000000000002</v>
      </c>
      <c r="X79" s="139">
        <f>'Review 3'!W79</f>
        <v>2</v>
      </c>
      <c r="Y79" s="139">
        <f>'Review 3'!AC79</f>
        <v>2</v>
      </c>
      <c r="Z79" s="139">
        <f>'Review 3'!AI79</f>
        <v>2</v>
      </c>
      <c r="AA79" s="62"/>
      <c r="AB79" s="139">
        <f>'Review 3'!AU79</f>
        <v>2</v>
      </c>
      <c r="AC79" s="138"/>
      <c r="AD79" s="62"/>
      <c r="AE79" s="139">
        <f>'Review 4'!Q79</f>
        <v>4</v>
      </c>
      <c r="AF79" s="139">
        <f>'Review 4'!W79</f>
        <v>4</v>
      </c>
      <c r="AG79" s="139">
        <f>'Review 4'!AC79</f>
        <v>3</v>
      </c>
      <c r="AH79" s="139">
        <f>'Review 4'!AI79</f>
        <v>3</v>
      </c>
      <c r="AI79" s="139"/>
      <c r="AJ79" s="139">
        <f>'Review 4'!AU79</f>
        <v>4</v>
      </c>
      <c r="AK79" s="138"/>
      <c r="AL79" s="62"/>
      <c r="AM79" s="139">
        <f>'Reflection -1 '!Q79</f>
        <v>4</v>
      </c>
      <c r="AN79" s="62"/>
      <c r="AO79" s="62"/>
      <c r="AP79" s="62"/>
      <c r="AQ79" s="62"/>
      <c r="AR79" s="62"/>
      <c r="AS79" s="138"/>
      <c r="AT79" s="62"/>
      <c r="AU79" s="139">
        <f>'Reflection -2'!Q79</f>
        <v>4</v>
      </c>
      <c r="AV79" s="62"/>
      <c r="AW79" s="62"/>
      <c r="AX79" s="62"/>
      <c r="AY79" s="139"/>
      <c r="AZ79" s="62"/>
      <c r="BA79" s="138"/>
      <c r="BB79" s="139"/>
      <c r="BC79" s="139">
        <f>'Reflection -3'!Q79</f>
        <v>4</v>
      </c>
      <c r="BD79" s="139"/>
      <c r="BE79" s="139"/>
      <c r="BF79" s="139"/>
      <c r="BG79" s="139"/>
      <c r="BH79" s="139"/>
      <c r="BI79" s="138"/>
      <c r="BJ79" s="139"/>
      <c r="BK79" s="139">
        <f>'Reflection -3'!Q79</f>
        <v>4</v>
      </c>
      <c r="BL79" s="62"/>
      <c r="BM79" s="139"/>
      <c r="BN79" s="62"/>
      <c r="BO79" s="139"/>
      <c r="BP79" s="139"/>
      <c r="BQ79" s="138"/>
      <c r="BR79" s="139"/>
      <c r="BS79" s="139">
        <f>Capstone!Q80</f>
        <v>2.8333333333333335</v>
      </c>
      <c r="BT79" s="139">
        <f>Capstone!W80</f>
        <v>2.5</v>
      </c>
      <c r="BU79" s="139">
        <f>Capstone!AC80</f>
        <v>2.5</v>
      </c>
      <c r="BV79" s="139">
        <f>Capstone!AI80</f>
        <v>2.5</v>
      </c>
      <c r="BW79" s="139">
        <f>Capstone!AO80</f>
        <v>2.5</v>
      </c>
      <c r="BX79" s="139">
        <f>Capstone!AU80</f>
        <v>2.5</v>
      </c>
      <c r="BY79" s="138"/>
      <c r="BZ79" s="139"/>
      <c r="CA7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3.4249999999999998</v>
      </c>
      <c r="CB79" s="139">
        <f>IFERROR(AVERAGE(Table110461117[[#This Row],[Column31]],Table110461117[[#This Row],[Column13]],Table110461117[[#This Row],[Column4]],Table110461117[[#This Row],[Column22]],),"A")</f>
        <v>2.2000000000000002</v>
      </c>
      <c r="CC79" s="139">
        <f>IFERROR(AVERAGE(Table110461117[[#This Row],[Column5]],Table110461117[[#This Row],[Column14]],Table110461117[[#This Row],[Column23]],Table110461117[[#This Row],[Column32]]),"A")</f>
        <v>2.5</v>
      </c>
      <c r="CD79" s="139">
        <f>IFERROR(AVERAGE(Table110461117[[#This Row],[Column6]],Table110461117[[#This Row],[Column15]],Table110461117[[#This Row],[Column24]],Table110461117[[#This Row],[Column33]]),"A")</f>
        <v>2.25</v>
      </c>
      <c r="CE79" s="139"/>
      <c r="CF79" s="139">
        <f>IFERROR(AVERAGE(Table110461117[[#This Row],[Column26]],Table110461117[[#This Row],[Column35]],Table110461117[[#This Row],[Column17]],Table110461117[[#This Row],[Column8]]),"A")</f>
        <v>2.75</v>
      </c>
      <c r="CG79" s="138"/>
      <c r="CH79" s="139">
        <f>IFERROR(AVERAGE('Review 1'!AX79,'Review 2'!AX79,'Review 3'!AX79,'Review 4'!AX79,'Reflection -1 '!AX79,'Reflection -2'!AX79,'Reflection -3'!AX79,'Reflection -4'!AX79),"A")</f>
        <v>3.25</v>
      </c>
      <c r="CI79" s="139">
        <f>IFERROR(AVERAGE('Review 1'!AY79,'Review 2'!AY79,'Review 3'!AY79,'Review 4'!AY79,'Reflection -1 '!AY79,'Reflection -2'!AY79,'Reflection -3'!AY79,'Reflection -4'!AY79,Capstone!AY80),"A")</f>
        <v>2.2222222222222223</v>
      </c>
      <c r="CJ79" s="139">
        <f>IFERROR(AVERAGE('Review 1'!AZ79,'Review 2'!AZ79,'Review 3'!AZ79,'Review 4'!AZ79,'Reflection -1 '!AZ79,'Reflection -2'!AZ79,'Reflection -3'!AZ79,'Reflection -4'!AZ79),"A")</f>
        <v>3</v>
      </c>
    </row>
    <row r="80" spans="1:88" s="122" customFormat="1" ht="23.1" customHeight="1" x14ac:dyDescent="0.3">
      <c r="A80" s="6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140"/>
      <c r="G80" s="140">
        <f>'Review 1'!Q80</f>
        <v>3</v>
      </c>
      <c r="H80" s="140">
        <f>'Review 1'!W80</f>
        <v>2</v>
      </c>
      <c r="I80" s="140">
        <f>'Review 1'!AC80</f>
        <v>2</v>
      </c>
      <c r="J80" s="140">
        <f>'Review 1'!AI80</f>
        <v>2</v>
      </c>
      <c r="K80" s="140"/>
      <c r="L80" s="140">
        <f>'Review 1'!AU80</f>
        <v>3</v>
      </c>
      <c r="M80" s="138"/>
      <c r="N80" s="140"/>
      <c r="O80" s="140">
        <f>'Review 2'!Q80</f>
        <v>2</v>
      </c>
      <c r="P80" s="140">
        <f>'Review 2'!W80</f>
        <v>2</v>
      </c>
      <c r="Q80" s="140">
        <f>'Review 2'!AC80</f>
        <v>2</v>
      </c>
      <c r="R80" s="140">
        <f>'Review 2'!AI80</f>
        <v>1</v>
      </c>
      <c r="S80" s="140"/>
      <c r="T80" s="140">
        <f>'Review 2'!AU80</f>
        <v>2</v>
      </c>
      <c r="U80" s="138"/>
      <c r="V80" s="7"/>
      <c r="W80" s="140">
        <f>'Review 3'!Q80</f>
        <v>2.2000000000000002</v>
      </c>
      <c r="X80" s="140">
        <f>'Review 3'!W80</f>
        <v>0</v>
      </c>
      <c r="Y80" s="140">
        <f>'Review 3'!AC80</f>
        <v>0</v>
      </c>
      <c r="Z80" s="140">
        <f>'Review 3'!AI80</f>
        <v>0</v>
      </c>
      <c r="AA80" s="7"/>
      <c r="AB80" s="140">
        <f>'Review 3'!AU80</f>
        <v>0</v>
      </c>
      <c r="AC80" s="138"/>
      <c r="AD80" s="7"/>
      <c r="AE80" s="140">
        <f>'Review 4'!Q80</f>
        <v>2.4</v>
      </c>
      <c r="AF80" s="140">
        <f>'Review 4'!W80</f>
        <v>3</v>
      </c>
      <c r="AG80" s="140">
        <f>'Review 4'!AC80</f>
        <v>2.5</v>
      </c>
      <c r="AH80" s="140">
        <f>'Review 4'!AI80</f>
        <v>1</v>
      </c>
      <c r="AI80" s="140"/>
      <c r="AJ80" s="140">
        <f>'Review 4'!AU80</f>
        <v>2.3333333333333335</v>
      </c>
      <c r="AK80" s="138"/>
      <c r="AL80" s="7"/>
      <c r="AM80" s="140">
        <f>'Reflection -1 '!Q80</f>
        <v>2.3333333333333335</v>
      </c>
      <c r="AN80" s="7"/>
      <c r="AO80" s="7"/>
      <c r="AP80" s="7"/>
      <c r="AQ80" s="7"/>
      <c r="AR80" s="7"/>
      <c r="AS80" s="138"/>
      <c r="AT80" s="7"/>
      <c r="AU80" s="140">
        <f>'Reflection -2'!Q80</f>
        <v>2.6666666666666665</v>
      </c>
      <c r="AV80" s="7"/>
      <c r="AW80" s="7"/>
      <c r="AX80" s="7"/>
      <c r="AY80" s="140"/>
      <c r="AZ80" s="7"/>
      <c r="BA80" s="138"/>
      <c r="BB80" s="140"/>
      <c r="BC80" s="140">
        <f>'Reflection -3'!Q80</f>
        <v>1.6666666666666667</v>
      </c>
      <c r="BD80" s="140"/>
      <c r="BE80" s="140"/>
      <c r="BF80" s="140"/>
      <c r="BG80" s="140"/>
      <c r="BH80" s="140"/>
      <c r="BI80" s="138"/>
      <c r="BJ80" s="140"/>
      <c r="BK80" s="140">
        <f>'Reflection -3'!Q80</f>
        <v>1.6666666666666667</v>
      </c>
      <c r="BL80" s="7"/>
      <c r="BM80" s="140"/>
      <c r="BN80" s="7"/>
      <c r="BO80" s="140"/>
      <c r="BP80" s="140"/>
      <c r="BQ80" s="138"/>
      <c r="BR80" s="140"/>
      <c r="BS80" s="140">
        <f>Capstone!Q81</f>
        <v>3.3333333333333335</v>
      </c>
      <c r="BT80" s="140">
        <f>Capstone!W81</f>
        <v>3</v>
      </c>
      <c r="BU80" s="140">
        <f>Capstone!AC81</f>
        <v>3</v>
      </c>
      <c r="BV80" s="140">
        <f>Capstone!AI81</f>
        <v>4</v>
      </c>
      <c r="BW80" s="140">
        <f>Capstone!AO81</f>
        <v>3</v>
      </c>
      <c r="BX80" s="140">
        <f>Capstone!AU81</f>
        <v>4</v>
      </c>
      <c r="BY80" s="138"/>
      <c r="BZ80" s="140"/>
      <c r="CA8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2.2416666666666667</v>
      </c>
      <c r="CB80" s="140">
        <f>IFERROR(AVERAGE(Table110461117[[#This Row],[Column31]],Table110461117[[#This Row],[Column13]],Table110461117[[#This Row],[Column4]],Table110461117[[#This Row],[Column22]],),"A")</f>
        <v>1.4</v>
      </c>
      <c r="CC80" s="140">
        <f>IFERROR(AVERAGE(Table110461117[[#This Row],[Column5]],Table110461117[[#This Row],[Column14]],Table110461117[[#This Row],[Column23]],Table110461117[[#This Row],[Column32]]),"A")</f>
        <v>1.625</v>
      </c>
      <c r="CD80" s="140">
        <f>IFERROR(AVERAGE(Table110461117[[#This Row],[Column6]],Table110461117[[#This Row],[Column15]],Table110461117[[#This Row],[Column24]],Table110461117[[#This Row],[Column33]]),"A")</f>
        <v>1</v>
      </c>
      <c r="CE80" s="140"/>
      <c r="CF80" s="140">
        <f>IFERROR(AVERAGE(Table110461117[[#This Row],[Column26]],Table110461117[[#This Row],[Column35]],Table110461117[[#This Row],[Column17]],Table110461117[[#This Row],[Column8]]),"A")</f>
        <v>1.8333333333333335</v>
      </c>
      <c r="CG80" s="138"/>
      <c r="CH80" s="140">
        <f>IFERROR(AVERAGE('Review 1'!AX80,'Review 2'!AX80,'Review 3'!AX80,'Review 4'!AX80,'Reflection -1 '!AX80,'Reflection -2'!AX80,'Reflection -3'!AX80,'Reflection -4'!AX80),"A")</f>
        <v>3.5</v>
      </c>
      <c r="CI80" s="140">
        <f>IFERROR(AVERAGE('Review 1'!AY80,'Review 2'!AY80,'Review 3'!AY80,'Review 4'!AY80,'Reflection -1 '!AY80,'Reflection -2'!AY80,'Reflection -3'!AY80,'Reflection -4'!AY80,Capstone!AY81),"A")</f>
        <v>2.1111111111111112</v>
      </c>
      <c r="CJ80" s="140">
        <f>IFERROR(AVERAGE('Review 1'!AZ80,'Review 2'!AZ80,'Review 3'!AZ80,'Review 4'!AZ80,'Reflection -1 '!AZ80,'Reflection -2'!AZ80,'Reflection -3'!AZ80,'Reflection -4'!AZ80),"A")</f>
        <v>1.625</v>
      </c>
    </row>
    <row r="81" spans="1:88" s="122" customFormat="1" ht="23.1" customHeight="1" x14ac:dyDescent="0.3">
      <c r="A81" s="137">
        <v>79</v>
      </c>
      <c r="B81" s="62" t="s">
        <v>199</v>
      </c>
      <c r="C81" s="62" t="s">
        <v>200</v>
      </c>
      <c r="D81" s="62" t="s">
        <v>450</v>
      </c>
      <c r="E81" s="62" t="s">
        <v>161</v>
      </c>
      <c r="F81" s="139"/>
      <c r="G81" s="139">
        <f>'Review 1'!Q81</f>
        <v>2.2000000000000002</v>
      </c>
      <c r="H81" s="139">
        <f>'Review 1'!W81</f>
        <v>2.3333333333333335</v>
      </c>
      <c r="I81" s="139">
        <f>'Review 1'!AC81</f>
        <v>2</v>
      </c>
      <c r="J81" s="139">
        <f>'Review 1'!AI81</f>
        <v>2</v>
      </c>
      <c r="K81" s="139"/>
      <c r="L81" s="139">
        <f>'Review 1'!AU81</f>
        <v>2.3333333333333335</v>
      </c>
      <c r="M81" s="138"/>
      <c r="N81" s="139"/>
      <c r="O81" s="139">
        <f>'Review 2'!Q81</f>
        <v>2.4</v>
      </c>
      <c r="P81" s="139">
        <f>'Review 2'!W81</f>
        <v>2.3333333333333335</v>
      </c>
      <c r="Q81" s="139">
        <f>'Review 2'!AC81</f>
        <v>2.5</v>
      </c>
      <c r="R81" s="139">
        <f>'Review 2'!AI81</f>
        <v>2.5</v>
      </c>
      <c r="S81" s="139"/>
      <c r="T81" s="139">
        <f>'Review 2'!AU81</f>
        <v>2.3333333333333335</v>
      </c>
      <c r="U81" s="138"/>
      <c r="V81" s="62"/>
      <c r="W81" s="139">
        <f>'Review 3'!Q81</f>
        <v>2.4</v>
      </c>
      <c r="X81" s="139">
        <f>'Review 3'!W81</f>
        <v>2.3333333333333335</v>
      </c>
      <c r="Y81" s="139">
        <f>'Review 3'!AC81</f>
        <v>2.5</v>
      </c>
      <c r="Z81" s="139">
        <f>'Review 3'!AI81</f>
        <v>2</v>
      </c>
      <c r="AA81" s="62"/>
      <c r="AB81" s="139">
        <f>'Review 3'!AU81</f>
        <v>2.6666666666666665</v>
      </c>
      <c r="AC81" s="138"/>
      <c r="AD81" s="62"/>
      <c r="AE81" s="139">
        <f>'Review 4'!Q81</f>
        <v>2</v>
      </c>
      <c r="AF81" s="139">
        <f>'Review 4'!W81</f>
        <v>1</v>
      </c>
      <c r="AG81" s="139">
        <f>'Review 4'!AC81</f>
        <v>1</v>
      </c>
      <c r="AH81" s="139">
        <f>'Review 4'!AI81</f>
        <v>1</v>
      </c>
      <c r="AI81" s="139"/>
      <c r="AJ81" s="139">
        <f>'Review 4'!AU81</f>
        <v>1</v>
      </c>
      <c r="AK81" s="138"/>
      <c r="AL81" s="62"/>
      <c r="AM81" s="139">
        <f>'Reflection -1 '!Q81</f>
        <v>0</v>
      </c>
      <c r="AN81" s="62"/>
      <c r="AO81" s="62"/>
      <c r="AP81" s="62"/>
      <c r="AQ81" s="62"/>
      <c r="AR81" s="62"/>
      <c r="AS81" s="138"/>
      <c r="AT81" s="62"/>
      <c r="AU81" s="139">
        <f>'Reflection -2'!Q81</f>
        <v>2.6666666666666665</v>
      </c>
      <c r="AV81" s="62"/>
      <c r="AW81" s="62"/>
      <c r="AX81" s="62"/>
      <c r="AY81" s="139"/>
      <c r="AZ81" s="62"/>
      <c r="BA81" s="138"/>
      <c r="BB81" s="139"/>
      <c r="BC81" s="139">
        <f>'Reflection -3'!Q81</f>
        <v>0</v>
      </c>
      <c r="BD81" s="139"/>
      <c r="BE81" s="139"/>
      <c r="BF81" s="139"/>
      <c r="BG81" s="139"/>
      <c r="BH81" s="139"/>
      <c r="BI81" s="138"/>
      <c r="BJ81" s="139"/>
      <c r="BK81" s="139">
        <f>'Reflection -3'!Q81</f>
        <v>0</v>
      </c>
      <c r="BL81" s="62"/>
      <c r="BM81" s="139"/>
      <c r="BN81" s="62"/>
      <c r="BO81" s="139"/>
      <c r="BP81" s="139"/>
      <c r="BQ81" s="138"/>
      <c r="BR81" s="139"/>
      <c r="BS81" s="139">
        <f>Capstone!Q82</f>
        <v>3</v>
      </c>
      <c r="BT81" s="139">
        <f>Capstone!W82</f>
        <v>5</v>
      </c>
      <c r="BU81" s="139">
        <f>Capstone!AC82</f>
        <v>5</v>
      </c>
      <c r="BV81" s="139">
        <f>Capstone!AI82</f>
        <v>4</v>
      </c>
      <c r="BW81" s="139">
        <f>Capstone!AO82</f>
        <v>5</v>
      </c>
      <c r="BX81" s="139">
        <f>Capstone!AU82</f>
        <v>5</v>
      </c>
      <c r="BY81" s="138"/>
      <c r="BZ81" s="139"/>
      <c r="CA8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1.4583333333333335</v>
      </c>
      <c r="CB81" s="139">
        <f>IFERROR(AVERAGE(Table110461117[[#This Row],[Column31]],Table110461117[[#This Row],[Column13]],Table110461117[[#This Row],[Column4]],Table110461117[[#This Row],[Column22]],),"A")</f>
        <v>1.6</v>
      </c>
      <c r="CC81" s="139">
        <f>IFERROR(AVERAGE(Table110461117[[#This Row],[Column5]],Table110461117[[#This Row],[Column14]],Table110461117[[#This Row],[Column23]],Table110461117[[#This Row],[Column32]]),"A")</f>
        <v>2</v>
      </c>
      <c r="CD81" s="139">
        <f>IFERROR(AVERAGE(Table110461117[[#This Row],[Column6]],Table110461117[[#This Row],[Column15]],Table110461117[[#This Row],[Column24]],Table110461117[[#This Row],[Column33]]),"A")</f>
        <v>1.875</v>
      </c>
      <c r="CE81" s="139"/>
      <c r="CF81" s="139">
        <f>IFERROR(AVERAGE(Table110461117[[#This Row],[Column26]],Table110461117[[#This Row],[Column35]],Table110461117[[#This Row],[Column17]],Table110461117[[#This Row],[Column8]]),"A")</f>
        <v>2.0833333333333335</v>
      </c>
      <c r="CG81" s="138"/>
      <c r="CH81" s="139">
        <f>IFERROR(AVERAGE('Review 1'!AX81,'Review 2'!AX81,'Review 3'!AX81,'Review 4'!AX81,'Reflection -1 '!AX81,'Reflection -2'!AX81,'Reflection -3'!AX81,'Reflection -4'!AX81),"A")</f>
        <v>1.875</v>
      </c>
      <c r="CI81" s="139">
        <f>IFERROR(AVERAGE('Review 1'!AY81,'Review 2'!AY81,'Review 3'!AY81,'Review 4'!AY81,'Reflection -1 '!AY81,'Reflection -2'!AY81,'Reflection -3'!AY81,'Reflection -4'!AY81,Capstone!AY82),"A")</f>
        <v>1</v>
      </c>
      <c r="CJ81" s="139">
        <f>IFERROR(AVERAGE('Review 1'!AZ81,'Review 2'!AZ81,'Review 3'!AZ81,'Review 4'!AZ81,'Reflection -1 '!AZ81,'Reflection -2'!AZ81,'Reflection -3'!AZ81,'Reflection -4'!AZ81),"A")</f>
        <v>1</v>
      </c>
    </row>
    <row r="82" spans="1:88" s="122" customFormat="1" ht="23.1" customHeight="1" x14ac:dyDescent="0.3">
      <c r="A82" s="6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140"/>
      <c r="G82" s="140">
        <f>'Review 1'!Q82</f>
        <v>3</v>
      </c>
      <c r="H82" s="140">
        <f>'Review 1'!W82</f>
        <v>3</v>
      </c>
      <c r="I82" s="140">
        <f>'Review 1'!AC82</f>
        <v>3</v>
      </c>
      <c r="J82" s="140">
        <f>'Review 1'!AI82</f>
        <v>3</v>
      </c>
      <c r="K82" s="140"/>
      <c r="L82" s="140">
        <f>'Review 1'!AU82</f>
        <v>3</v>
      </c>
      <c r="M82" s="138"/>
      <c r="N82" s="140"/>
      <c r="O82" s="140">
        <f>'Review 2'!Q82</f>
        <v>2.2000000000000002</v>
      </c>
      <c r="P82" s="140">
        <f>'Review 2'!W82</f>
        <v>2</v>
      </c>
      <c r="Q82" s="140">
        <f>'Review 2'!AC82</f>
        <v>2</v>
      </c>
      <c r="R82" s="140">
        <f>'Review 2'!AI82</f>
        <v>1</v>
      </c>
      <c r="S82" s="140"/>
      <c r="T82" s="140">
        <f>'Review 2'!AU82</f>
        <v>2</v>
      </c>
      <c r="U82" s="138"/>
      <c r="V82" s="7"/>
      <c r="W82" s="140">
        <f>'Review 3'!Q82</f>
        <v>2.2000000000000002</v>
      </c>
      <c r="X82" s="140">
        <f>'Review 3'!W82</f>
        <v>0</v>
      </c>
      <c r="Y82" s="140">
        <f>'Review 3'!AC82</f>
        <v>0</v>
      </c>
      <c r="Z82" s="140">
        <f>'Review 3'!AI82</f>
        <v>0</v>
      </c>
      <c r="AA82" s="7"/>
      <c r="AB82" s="140">
        <f>'Review 3'!AU82</f>
        <v>0</v>
      </c>
      <c r="AC82" s="138"/>
      <c r="AD82" s="7"/>
      <c r="AE82" s="140">
        <f>'Review 4'!Q82</f>
        <v>0</v>
      </c>
      <c r="AF82" s="140">
        <f>'Review 4'!W82</f>
        <v>0</v>
      </c>
      <c r="AG82" s="140">
        <f>'Review 4'!AC82</f>
        <v>0</v>
      </c>
      <c r="AH82" s="140">
        <f>'Review 4'!AI82</f>
        <v>0</v>
      </c>
      <c r="AI82" s="140"/>
      <c r="AJ82" s="140">
        <f>'Review 4'!AU82</f>
        <v>0</v>
      </c>
      <c r="AK82" s="138"/>
      <c r="AL82" s="7"/>
      <c r="AM82" s="140">
        <f>'Reflection -1 '!Q82</f>
        <v>2.3333333333333335</v>
      </c>
      <c r="AN82" s="7"/>
      <c r="AO82" s="7"/>
      <c r="AP82" s="7"/>
      <c r="AQ82" s="7"/>
      <c r="AR82" s="7"/>
      <c r="AS82" s="138"/>
      <c r="AT82" s="7"/>
      <c r="AU82" s="140">
        <f>'Reflection -2'!Q82</f>
        <v>1</v>
      </c>
      <c r="AV82" s="7"/>
      <c r="AW82" s="7"/>
      <c r="AX82" s="7"/>
      <c r="AY82" s="140"/>
      <c r="AZ82" s="7"/>
      <c r="BA82" s="138"/>
      <c r="BB82" s="140"/>
      <c r="BC82" s="140">
        <f>'Reflection -3'!Q82</f>
        <v>4</v>
      </c>
      <c r="BD82" s="140"/>
      <c r="BE82" s="140"/>
      <c r="BF82" s="140"/>
      <c r="BG82" s="140"/>
      <c r="BH82" s="140"/>
      <c r="BI82" s="138"/>
      <c r="BJ82" s="140"/>
      <c r="BK82" s="140">
        <f>'Reflection -3'!Q82</f>
        <v>4</v>
      </c>
      <c r="BL82" s="7"/>
      <c r="BM82" s="140"/>
      <c r="BN82" s="7"/>
      <c r="BO82" s="140"/>
      <c r="BP82" s="140"/>
      <c r="BQ82" s="138"/>
      <c r="BR82" s="140"/>
      <c r="BS82" s="140">
        <f>Capstone!Q83</f>
        <v>3.1666666666666665</v>
      </c>
      <c r="BT82" s="140">
        <f>Capstone!W83</f>
        <v>3</v>
      </c>
      <c r="BU82" s="140">
        <f>Capstone!AC83</f>
        <v>3</v>
      </c>
      <c r="BV82" s="140">
        <f>Capstone!AI83</f>
        <v>3</v>
      </c>
      <c r="BW82" s="140">
        <f>Capstone!AO83</f>
        <v>2</v>
      </c>
      <c r="BX82" s="140">
        <f>Capstone!AU83</f>
        <v>2.5</v>
      </c>
      <c r="BY82" s="138"/>
      <c r="BZ82" s="140"/>
      <c r="CA8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2.3416666666666668</v>
      </c>
      <c r="CB82" s="140">
        <f>IFERROR(AVERAGE(Table110461117[[#This Row],[Column31]],Table110461117[[#This Row],[Column13]],Table110461117[[#This Row],[Column4]],Table110461117[[#This Row],[Column22]],),"A")</f>
        <v>1</v>
      </c>
      <c r="CC82" s="140">
        <f>IFERROR(AVERAGE(Table110461117[[#This Row],[Column5]],Table110461117[[#This Row],[Column14]],Table110461117[[#This Row],[Column23]],Table110461117[[#This Row],[Column32]]),"A")</f>
        <v>1.25</v>
      </c>
      <c r="CD82" s="140">
        <f>IFERROR(AVERAGE(Table110461117[[#This Row],[Column6]],Table110461117[[#This Row],[Column15]],Table110461117[[#This Row],[Column24]],Table110461117[[#This Row],[Column33]]),"A")</f>
        <v>1</v>
      </c>
      <c r="CE82" s="140"/>
      <c r="CF82" s="140">
        <f>IFERROR(AVERAGE(Table110461117[[#This Row],[Column26]],Table110461117[[#This Row],[Column35]],Table110461117[[#This Row],[Column17]],Table110461117[[#This Row],[Column8]]),"A")</f>
        <v>1.25</v>
      </c>
      <c r="CG82" s="138"/>
      <c r="CH82" s="140">
        <f>IFERROR(AVERAGE('Review 1'!AX82,'Review 2'!AX82,'Review 3'!AX82,'Review 4'!AX82,'Reflection -1 '!AX82,'Reflection -2'!AX82,'Reflection -3'!AX82,'Reflection -4'!AX82),"A")</f>
        <v>3.125</v>
      </c>
      <c r="CI82" s="140">
        <f>IFERROR(AVERAGE('Review 1'!AY82,'Review 2'!AY82,'Review 3'!AY82,'Review 4'!AY82,'Reflection -1 '!AY82,'Reflection -2'!AY82,'Reflection -3'!AY82,'Reflection -4'!AY82,Capstone!AY83),"A")</f>
        <v>1.7777777777777777</v>
      </c>
      <c r="CJ82" s="140">
        <f>IFERROR(AVERAGE('Review 1'!AZ82,'Review 2'!AZ82,'Review 3'!AZ82,'Review 4'!AZ82,'Reflection -1 '!AZ82,'Reflection -2'!AZ82,'Reflection -3'!AZ82,'Reflection -4'!AZ82),"A")</f>
        <v>1.75</v>
      </c>
    </row>
    <row r="83" spans="1:88" s="122" customFormat="1" ht="23.1" customHeight="1" x14ac:dyDescent="0.3">
      <c r="A83" s="137">
        <v>81</v>
      </c>
      <c r="B83" s="62" t="s">
        <v>334</v>
      </c>
      <c r="C83" s="62" t="s">
        <v>335</v>
      </c>
      <c r="D83" s="62" t="s">
        <v>542</v>
      </c>
      <c r="E83" s="62" t="s">
        <v>493</v>
      </c>
      <c r="F83" s="139"/>
      <c r="G83" s="139">
        <f>'Review 1'!Q83</f>
        <v>2.4</v>
      </c>
      <c r="H83" s="139">
        <f>'Review 1'!W83</f>
        <v>3</v>
      </c>
      <c r="I83" s="139">
        <f>'Review 1'!AC83</f>
        <v>2.5</v>
      </c>
      <c r="J83" s="139">
        <f>'Review 1'!AI83</f>
        <v>3</v>
      </c>
      <c r="K83" s="139"/>
      <c r="L83" s="139">
        <f>'Review 1'!AU83</f>
        <v>3</v>
      </c>
      <c r="M83" s="138"/>
      <c r="N83" s="139"/>
      <c r="O83" s="139">
        <f>'Review 2'!Q83</f>
        <v>2.2000000000000002</v>
      </c>
      <c r="P83" s="139">
        <f>'Review 2'!W83</f>
        <v>2</v>
      </c>
      <c r="Q83" s="139">
        <f>'Review 2'!AC83</f>
        <v>2</v>
      </c>
      <c r="R83" s="139">
        <f>'Review 2'!AI83</f>
        <v>1</v>
      </c>
      <c r="S83" s="139"/>
      <c r="T83" s="139">
        <f>'Review 2'!AU83</f>
        <v>2</v>
      </c>
      <c r="U83" s="138"/>
      <c r="V83" s="62"/>
      <c r="W83" s="139">
        <f>'Review 3'!Q83</f>
        <v>2.2000000000000002</v>
      </c>
      <c r="X83" s="139">
        <f>'Review 3'!W83</f>
        <v>2</v>
      </c>
      <c r="Y83" s="139">
        <f>'Review 3'!AC83</f>
        <v>2</v>
      </c>
      <c r="Z83" s="139">
        <f>'Review 3'!AI83</f>
        <v>2</v>
      </c>
      <c r="AA83" s="62"/>
      <c r="AB83" s="139">
        <f>'Review 3'!AU83</f>
        <v>2</v>
      </c>
      <c r="AC83" s="138"/>
      <c r="AD83" s="62"/>
      <c r="AE83" s="139">
        <f>'Review 4'!Q83</f>
        <v>4</v>
      </c>
      <c r="AF83" s="139">
        <f>'Review 4'!W83</f>
        <v>4</v>
      </c>
      <c r="AG83" s="139">
        <f>'Review 4'!AC83</f>
        <v>2.5</v>
      </c>
      <c r="AH83" s="139">
        <f>'Review 4'!AI83</f>
        <v>2</v>
      </c>
      <c r="AI83" s="139"/>
      <c r="AJ83" s="139">
        <f>'Review 4'!AU83</f>
        <v>4</v>
      </c>
      <c r="AK83" s="138"/>
      <c r="AL83" s="62"/>
      <c r="AM83" s="139">
        <f>'Reflection -1 '!Q83</f>
        <v>3.6666666666666665</v>
      </c>
      <c r="AN83" s="62"/>
      <c r="AO83" s="62"/>
      <c r="AP83" s="62"/>
      <c r="AQ83" s="62"/>
      <c r="AR83" s="62"/>
      <c r="AS83" s="138"/>
      <c r="AT83" s="62"/>
      <c r="AU83" s="139">
        <f>'Reflection -2'!Q83</f>
        <v>4.333333333333333</v>
      </c>
      <c r="AV83" s="62"/>
      <c r="AW83" s="62"/>
      <c r="AX83" s="62"/>
      <c r="AY83" s="139"/>
      <c r="AZ83" s="62"/>
      <c r="BA83" s="138"/>
      <c r="BB83" s="139"/>
      <c r="BC83" s="139">
        <f>'Reflection -3'!Q83</f>
        <v>4</v>
      </c>
      <c r="BD83" s="139"/>
      <c r="BE83" s="139"/>
      <c r="BF83" s="139"/>
      <c r="BG83" s="139"/>
      <c r="BH83" s="139"/>
      <c r="BI83" s="138"/>
      <c r="BJ83" s="139"/>
      <c r="BK83" s="139">
        <f>'Reflection -3'!Q83</f>
        <v>4</v>
      </c>
      <c r="BL83" s="62"/>
      <c r="BM83" s="139"/>
      <c r="BN83" s="62"/>
      <c r="BO83" s="139"/>
      <c r="BP83" s="139"/>
      <c r="BQ83" s="138"/>
      <c r="BR83" s="139"/>
      <c r="BS83" s="139">
        <f>Capstone!Q84</f>
        <v>4.333333333333333</v>
      </c>
      <c r="BT83" s="139">
        <f>Capstone!W84</f>
        <v>3.5</v>
      </c>
      <c r="BU83" s="139">
        <f>Capstone!AC84</f>
        <v>3.5</v>
      </c>
      <c r="BV83" s="139">
        <f>Capstone!AI84</f>
        <v>4</v>
      </c>
      <c r="BW83" s="139">
        <f>Capstone!AO84</f>
        <v>4</v>
      </c>
      <c r="BX83" s="139">
        <f>Capstone!AU84</f>
        <v>3.5</v>
      </c>
      <c r="BY83" s="138"/>
      <c r="BZ83" s="139"/>
      <c r="CA8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3.3499999999999996</v>
      </c>
      <c r="CB83" s="139">
        <f>IFERROR(AVERAGE(Table110461117[[#This Row],[Column31]],Table110461117[[#This Row],[Column13]],Table110461117[[#This Row],[Column4]],Table110461117[[#This Row],[Column22]],),"A")</f>
        <v>2.2000000000000002</v>
      </c>
      <c r="CC83" s="139">
        <f>IFERROR(AVERAGE(Table110461117[[#This Row],[Column5]],Table110461117[[#This Row],[Column14]],Table110461117[[#This Row],[Column23]],Table110461117[[#This Row],[Column32]]),"A")</f>
        <v>2.25</v>
      </c>
      <c r="CD83" s="139">
        <f>IFERROR(AVERAGE(Table110461117[[#This Row],[Column6]],Table110461117[[#This Row],[Column15]],Table110461117[[#This Row],[Column24]],Table110461117[[#This Row],[Column33]]),"A")</f>
        <v>2</v>
      </c>
      <c r="CE83" s="139"/>
      <c r="CF83" s="139">
        <f>IFERROR(AVERAGE(Table110461117[[#This Row],[Column26]],Table110461117[[#This Row],[Column35]],Table110461117[[#This Row],[Column17]],Table110461117[[#This Row],[Column8]]),"A")</f>
        <v>2.75</v>
      </c>
      <c r="CG83" s="138"/>
      <c r="CH83" s="139">
        <f>IFERROR(AVERAGE('Review 1'!AX83,'Review 2'!AX83,'Review 3'!AX83,'Review 4'!AX83,'Reflection -1 '!AX83,'Reflection -2'!AX83,'Reflection -3'!AX83,'Reflection -4'!AX83),"A")</f>
        <v>3.75</v>
      </c>
      <c r="CI83" s="139">
        <f>IFERROR(AVERAGE('Review 1'!AY83,'Review 2'!AY83,'Review 3'!AY83,'Review 4'!AY83,'Reflection -1 '!AY83,'Reflection -2'!AY83,'Reflection -3'!AY83,'Reflection -4'!AY83,Capstone!AY84),"A")</f>
        <v>2.3333333333333335</v>
      </c>
      <c r="CJ83" s="139">
        <f>IFERROR(AVERAGE('Review 1'!AZ83,'Review 2'!AZ83,'Review 3'!AZ83,'Review 4'!AZ83,'Reflection -1 '!AZ83,'Reflection -2'!AZ83,'Reflection -3'!AZ83,'Reflection -4'!AZ83),"A")</f>
        <v>3.25</v>
      </c>
    </row>
    <row r="84" spans="1:88" s="122" customFormat="1" ht="23.1" customHeight="1" x14ac:dyDescent="0.3">
      <c r="A84" s="6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140"/>
      <c r="G84" s="140">
        <f>'Review 1'!Q84</f>
        <v>0</v>
      </c>
      <c r="H84" s="140">
        <f>'Review 1'!W84</f>
        <v>0</v>
      </c>
      <c r="I84" s="140">
        <f>'Review 1'!AC84</f>
        <v>0</v>
      </c>
      <c r="J84" s="140">
        <f>'Review 1'!AI84</f>
        <v>0</v>
      </c>
      <c r="K84" s="140"/>
      <c r="L84" s="140">
        <f>'Review 1'!AU84</f>
        <v>0</v>
      </c>
      <c r="M84" s="138"/>
      <c r="N84" s="140"/>
      <c r="O84" s="140">
        <f>'Review 2'!Q84</f>
        <v>3.8</v>
      </c>
      <c r="P84" s="140">
        <f>'Review 2'!W84</f>
        <v>3.3333333333333335</v>
      </c>
      <c r="Q84" s="140">
        <f>'Review 2'!AC84</f>
        <v>3.5</v>
      </c>
      <c r="R84" s="140">
        <f>'Review 2'!AI84</f>
        <v>1.5</v>
      </c>
      <c r="S84" s="140"/>
      <c r="T84" s="140">
        <f>'Review 2'!AU84</f>
        <v>2</v>
      </c>
      <c r="U84" s="138"/>
      <c r="V84" s="7"/>
      <c r="W84" s="140">
        <f>'Review 3'!Q84</f>
        <v>3</v>
      </c>
      <c r="X84" s="140">
        <f>'Review 3'!W84</f>
        <v>0</v>
      </c>
      <c r="Y84" s="140">
        <f>'Review 3'!AC84</f>
        <v>0</v>
      </c>
      <c r="Z84" s="140">
        <f>'Review 3'!AI84</f>
        <v>0</v>
      </c>
      <c r="AA84" s="7"/>
      <c r="AB84" s="140">
        <f>'Review 3'!AU84</f>
        <v>0</v>
      </c>
      <c r="AC84" s="138"/>
      <c r="AD84" s="7"/>
      <c r="AE84" s="140">
        <f>'Review 4'!Q84</f>
        <v>4</v>
      </c>
      <c r="AF84" s="140">
        <f>'Review 4'!W84</f>
        <v>4</v>
      </c>
      <c r="AG84" s="140">
        <f>'Review 4'!AC84</f>
        <v>3.5</v>
      </c>
      <c r="AH84" s="140">
        <f>'Review 4'!AI84</f>
        <v>1</v>
      </c>
      <c r="AI84" s="140"/>
      <c r="AJ84" s="140">
        <f>'Review 4'!AU84</f>
        <v>3.3333333333333335</v>
      </c>
      <c r="AK84" s="138"/>
      <c r="AL84" s="7"/>
      <c r="AM84" s="140">
        <f>'Reflection -1 '!Q84</f>
        <v>2.6666666666666665</v>
      </c>
      <c r="AN84" s="7"/>
      <c r="AO84" s="7"/>
      <c r="AP84" s="7"/>
      <c r="AQ84" s="7"/>
      <c r="AR84" s="7"/>
      <c r="AS84" s="138"/>
      <c r="AT84" s="7"/>
      <c r="AU84" s="140">
        <f>'Reflection -2'!Q84</f>
        <v>0</v>
      </c>
      <c r="AV84" s="7"/>
      <c r="AW84" s="7"/>
      <c r="AX84" s="7"/>
      <c r="AY84" s="140"/>
      <c r="AZ84" s="7"/>
      <c r="BA84" s="138"/>
      <c r="BB84" s="140"/>
      <c r="BC84" s="140">
        <f>'Reflection -3'!Q84</f>
        <v>0</v>
      </c>
      <c r="BD84" s="140"/>
      <c r="BE84" s="140"/>
      <c r="BF84" s="140"/>
      <c r="BG84" s="140"/>
      <c r="BH84" s="140"/>
      <c r="BI84" s="138"/>
      <c r="BJ84" s="140"/>
      <c r="BK84" s="140">
        <f>'Reflection -3'!Q84</f>
        <v>0</v>
      </c>
      <c r="BL84" s="7"/>
      <c r="BM84" s="140"/>
      <c r="BN84" s="7"/>
      <c r="BO84" s="140"/>
      <c r="BP84" s="140"/>
      <c r="BQ84" s="138"/>
      <c r="BR84" s="140"/>
      <c r="BS84" s="140">
        <f>Capstone!Q85</f>
        <v>5</v>
      </c>
      <c r="BT84" s="140">
        <f>Capstone!W85</f>
        <v>5</v>
      </c>
      <c r="BU84" s="140">
        <f>Capstone!AC85</f>
        <v>5</v>
      </c>
      <c r="BV84" s="140">
        <f>Capstone!AI85</f>
        <v>5</v>
      </c>
      <c r="BW84" s="140">
        <f>Capstone!AO85</f>
        <v>5</v>
      </c>
      <c r="BX84" s="140">
        <f>Capstone!AU85</f>
        <v>5</v>
      </c>
      <c r="BY84" s="138"/>
      <c r="BZ84" s="140"/>
      <c r="CA8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1.6833333333333331</v>
      </c>
      <c r="CB84" s="140">
        <f>IFERROR(AVERAGE(Table110461117[[#This Row],[Column31]],Table110461117[[#This Row],[Column13]],Table110461117[[#This Row],[Column4]],Table110461117[[#This Row],[Column22]],),"A")</f>
        <v>1.4666666666666668</v>
      </c>
      <c r="CC84" s="140">
        <f>IFERROR(AVERAGE(Table110461117[[#This Row],[Column5]],Table110461117[[#This Row],[Column14]],Table110461117[[#This Row],[Column23]],Table110461117[[#This Row],[Column32]]),"A")</f>
        <v>1.75</v>
      </c>
      <c r="CD84" s="140">
        <f>IFERROR(AVERAGE(Table110461117[[#This Row],[Column6]],Table110461117[[#This Row],[Column15]],Table110461117[[#This Row],[Column24]],Table110461117[[#This Row],[Column33]]),"A")</f>
        <v>0.625</v>
      </c>
      <c r="CE84" s="140"/>
      <c r="CF84" s="140">
        <f>IFERROR(AVERAGE(Table110461117[[#This Row],[Column26]],Table110461117[[#This Row],[Column35]],Table110461117[[#This Row],[Column17]],Table110461117[[#This Row],[Column8]]),"A")</f>
        <v>1.3333333333333335</v>
      </c>
      <c r="CG84" s="138"/>
      <c r="CH84" s="140">
        <f>IFERROR(AVERAGE('Review 1'!AX84,'Review 2'!AX84,'Review 3'!AX84,'Review 4'!AX84,'Reflection -1 '!AX84,'Reflection -2'!AX84,'Reflection -3'!AX84,'Reflection -4'!AX84),"A")</f>
        <v>2.625</v>
      </c>
      <c r="CI84" s="140">
        <f>IFERROR(AVERAGE('Review 1'!AY84,'Review 2'!AY84,'Review 3'!AY84,'Review 4'!AY84,'Reflection -1 '!AY84,'Reflection -2'!AY84,'Reflection -3'!AY84,'Reflection -4'!AY84,Capstone!AY85),"A")</f>
        <v>1.1111111111111112</v>
      </c>
      <c r="CJ84" s="140">
        <f>IFERROR(AVERAGE('Review 1'!AZ84,'Review 2'!AZ84,'Review 3'!AZ84,'Review 4'!AZ84,'Reflection -1 '!AZ84,'Reflection -2'!AZ84,'Reflection -3'!AZ84,'Reflection -4'!AZ84),"A")</f>
        <v>2</v>
      </c>
    </row>
    <row r="85" spans="1:88" s="122" customFormat="1" ht="23.1" customHeight="1" x14ac:dyDescent="0.3">
      <c r="A85" s="137">
        <v>83</v>
      </c>
      <c r="B85" s="62" t="s">
        <v>70</v>
      </c>
      <c r="C85" s="62" t="s">
        <v>71</v>
      </c>
      <c r="D85" s="62" t="s">
        <v>450</v>
      </c>
      <c r="E85" s="62" t="s">
        <v>35</v>
      </c>
      <c r="F85" s="139"/>
      <c r="G85" s="139">
        <f>'Review 1'!Q85</f>
        <v>3</v>
      </c>
      <c r="H85" s="139">
        <f>'Review 1'!W85</f>
        <v>2</v>
      </c>
      <c r="I85" s="139">
        <f>'Review 1'!AC85</f>
        <v>2</v>
      </c>
      <c r="J85" s="139">
        <f>'Review 1'!AI85</f>
        <v>1.5</v>
      </c>
      <c r="K85" s="139"/>
      <c r="L85" s="139">
        <f>'Review 1'!AU85</f>
        <v>1</v>
      </c>
      <c r="M85" s="138"/>
      <c r="N85" s="139"/>
      <c r="O85" s="139">
        <f>'Review 2'!Q85</f>
        <v>3</v>
      </c>
      <c r="P85" s="139">
        <f>'Review 2'!W85</f>
        <v>2</v>
      </c>
      <c r="Q85" s="139">
        <f>'Review 2'!AC85</f>
        <v>2</v>
      </c>
      <c r="R85" s="139">
        <f>'Review 2'!AI85</f>
        <v>1.5</v>
      </c>
      <c r="S85" s="139"/>
      <c r="T85" s="139">
        <f>'Review 2'!AU85</f>
        <v>1</v>
      </c>
      <c r="U85" s="138"/>
      <c r="V85" s="62"/>
      <c r="W85" s="139">
        <f>'Review 3'!Q85</f>
        <v>2.2000000000000002</v>
      </c>
      <c r="X85" s="139">
        <f>'Review 3'!W85</f>
        <v>0</v>
      </c>
      <c r="Y85" s="139">
        <f>'Review 3'!AC85</f>
        <v>0</v>
      </c>
      <c r="Z85" s="139">
        <f>'Review 3'!AI85</f>
        <v>0</v>
      </c>
      <c r="AA85" s="62"/>
      <c r="AB85" s="139">
        <f>'Review 3'!AU85</f>
        <v>0</v>
      </c>
      <c r="AC85" s="138"/>
      <c r="AD85" s="62"/>
      <c r="AE85" s="139">
        <f>'Review 4'!Q85</f>
        <v>0</v>
      </c>
      <c r="AF85" s="139">
        <f>'Review 4'!W85</f>
        <v>0</v>
      </c>
      <c r="AG85" s="139">
        <f>'Review 4'!AC85</f>
        <v>0</v>
      </c>
      <c r="AH85" s="139">
        <f>'Review 4'!AI85</f>
        <v>0</v>
      </c>
      <c r="AI85" s="139"/>
      <c r="AJ85" s="139">
        <f>'Review 4'!AU85</f>
        <v>0</v>
      </c>
      <c r="AK85" s="138"/>
      <c r="AL85" s="62"/>
      <c r="AM85" s="139">
        <f>'Reflection -1 '!Q85</f>
        <v>2</v>
      </c>
      <c r="AN85" s="62"/>
      <c r="AO85" s="62"/>
      <c r="AP85" s="62"/>
      <c r="AQ85" s="62"/>
      <c r="AR85" s="62"/>
      <c r="AS85" s="138"/>
      <c r="AT85" s="62"/>
      <c r="AU85" s="139">
        <f>'Reflection -2'!Q85</f>
        <v>3</v>
      </c>
      <c r="AV85" s="62"/>
      <c r="AW85" s="62"/>
      <c r="AX85" s="62"/>
      <c r="AY85" s="139"/>
      <c r="AZ85" s="62"/>
      <c r="BA85" s="138"/>
      <c r="BB85" s="139"/>
      <c r="BC85" s="139">
        <f>'Reflection -3'!Q85</f>
        <v>2</v>
      </c>
      <c r="BD85" s="139"/>
      <c r="BE85" s="139"/>
      <c r="BF85" s="139"/>
      <c r="BG85" s="139"/>
      <c r="BH85" s="139"/>
      <c r="BI85" s="138"/>
      <c r="BJ85" s="139"/>
      <c r="BK85" s="139">
        <f>'Reflection -3'!Q85</f>
        <v>2</v>
      </c>
      <c r="BL85" s="62"/>
      <c r="BM85" s="139"/>
      <c r="BN85" s="62"/>
      <c r="BO85" s="139"/>
      <c r="BP85" s="139"/>
      <c r="BQ85" s="138"/>
      <c r="BR85" s="139"/>
      <c r="BS85" s="139">
        <f>Capstone!Q86</f>
        <v>4</v>
      </c>
      <c r="BT85" s="139">
        <f>Capstone!W86</f>
        <v>4</v>
      </c>
      <c r="BU85" s="139">
        <f>Capstone!AC86</f>
        <v>4</v>
      </c>
      <c r="BV85" s="139">
        <f>Capstone!AI86</f>
        <v>3</v>
      </c>
      <c r="BW85" s="139">
        <f>Capstone!AO86</f>
        <v>3</v>
      </c>
      <c r="BX85" s="139">
        <f>Capstone!AU86</f>
        <v>3</v>
      </c>
      <c r="BY85" s="138"/>
      <c r="BZ85" s="139"/>
      <c r="CA8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2.15</v>
      </c>
      <c r="CB85" s="139">
        <f>IFERROR(AVERAGE(Table110461117[[#This Row],[Column31]],Table110461117[[#This Row],[Column13]],Table110461117[[#This Row],[Column4]],Table110461117[[#This Row],[Column22]],),"A")</f>
        <v>0.8</v>
      </c>
      <c r="CC85" s="139">
        <f>IFERROR(AVERAGE(Table110461117[[#This Row],[Column5]],Table110461117[[#This Row],[Column14]],Table110461117[[#This Row],[Column23]],Table110461117[[#This Row],[Column32]]),"A")</f>
        <v>1</v>
      </c>
      <c r="CD85" s="139">
        <f>IFERROR(AVERAGE(Table110461117[[#This Row],[Column6]],Table110461117[[#This Row],[Column15]],Table110461117[[#This Row],[Column24]],Table110461117[[#This Row],[Column33]]),"A")</f>
        <v>0.75</v>
      </c>
      <c r="CE85" s="139"/>
      <c r="CF85" s="139">
        <f>IFERROR(AVERAGE(Table110461117[[#This Row],[Column26]],Table110461117[[#This Row],[Column35]],Table110461117[[#This Row],[Column17]],Table110461117[[#This Row],[Column8]]),"A")</f>
        <v>0.5</v>
      </c>
      <c r="CG85" s="138"/>
      <c r="CH85" s="139">
        <f>IFERROR(AVERAGE('Review 1'!AX85,'Review 2'!AX85,'Review 3'!AX85,'Review 4'!AX85,'Reflection -1 '!AX85,'Reflection -2'!AX85,'Reflection -3'!AX85,'Reflection -4'!AX85),"A")</f>
        <v>2.625</v>
      </c>
      <c r="CI85" s="139">
        <f>IFERROR(AVERAGE('Review 1'!AY85,'Review 2'!AY85,'Review 3'!AY85,'Review 4'!AY85,'Reflection -1 '!AY85,'Reflection -2'!AY85,'Reflection -3'!AY85,'Reflection -4'!AY85,Capstone!AY86),"A")</f>
        <v>1</v>
      </c>
      <c r="CJ85" s="139">
        <f>IFERROR(AVERAGE('Review 1'!AZ85,'Review 2'!AZ85,'Review 3'!AZ85,'Review 4'!AZ85,'Reflection -1 '!AZ85,'Reflection -2'!AZ85,'Reflection -3'!AZ85,'Reflection -4'!AZ85),"A")</f>
        <v>1.875</v>
      </c>
    </row>
    <row r="86" spans="1:88" s="122" customFormat="1" ht="23.1" customHeight="1" x14ac:dyDescent="0.3">
      <c r="A86" s="6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140"/>
      <c r="G86" s="140">
        <f>'Review 1'!Q86</f>
        <v>3</v>
      </c>
      <c r="H86" s="140">
        <f>'Review 1'!W86</f>
        <v>3</v>
      </c>
      <c r="I86" s="140">
        <f>'Review 1'!AC86</f>
        <v>3</v>
      </c>
      <c r="J86" s="140">
        <f>'Review 1'!AI86</f>
        <v>3</v>
      </c>
      <c r="K86" s="140"/>
      <c r="L86" s="140">
        <f>'Review 1'!AU86</f>
        <v>3</v>
      </c>
      <c r="M86" s="138"/>
      <c r="N86" s="140"/>
      <c r="O86" s="140">
        <f>'Review 2'!Q86</f>
        <v>2.2000000000000002</v>
      </c>
      <c r="P86" s="140">
        <f>'Review 2'!W86</f>
        <v>2</v>
      </c>
      <c r="Q86" s="140">
        <f>'Review 2'!AC86</f>
        <v>2</v>
      </c>
      <c r="R86" s="140">
        <f>'Review 2'!AI86</f>
        <v>1</v>
      </c>
      <c r="S86" s="140"/>
      <c r="T86" s="140">
        <f>'Review 2'!AU86</f>
        <v>2</v>
      </c>
      <c r="U86" s="138"/>
      <c r="V86" s="7"/>
      <c r="W86" s="140">
        <f>'Review 3'!Q86</f>
        <v>2.8</v>
      </c>
      <c r="X86" s="140">
        <f>'Review 3'!W86</f>
        <v>0</v>
      </c>
      <c r="Y86" s="140">
        <f>'Review 3'!AC86</f>
        <v>0</v>
      </c>
      <c r="Z86" s="140">
        <f>'Review 3'!AI86</f>
        <v>0</v>
      </c>
      <c r="AA86" s="7"/>
      <c r="AB86" s="140">
        <f>'Review 3'!AU86</f>
        <v>0</v>
      </c>
      <c r="AC86" s="138"/>
      <c r="AD86" s="7"/>
      <c r="AE86" s="140">
        <f>'Review 4'!Q86</f>
        <v>2.6</v>
      </c>
      <c r="AF86" s="140">
        <f>'Review 4'!W86</f>
        <v>3</v>
      </c>
      <c r="AG86" s="140">
        <f>'Review 4'!AC86</f>
        <v>2.5</v>
      </c>
      <c r="AH86" s="140">
        <f>'Review 4'!AI86</f>
        <v>3</v>
      </c>
      <c r="AI86" s="140"/>
      <c r="AJ86" s="140">
        <f>'Review 4'!AU86</f>
        <v>3</v>
      </c>
      <c r="AK86" s="138"/>
      <c r="AL86" s="7"/>
      <c r="AM86" s="140">
        <f>'Reflection -1 '!Q86</f>
        <v>3.6666666666666665</v>
      </c>
      <c r="AN86" s="7"/>
      <c r="AO86" s="7"/>
      <c r="AP86" s="7"/>
      <c r="AQ86" s="7"/>
      <c r="AR86" s="7"/>
      <c r="AS86" s="138"/>
      <c r="AT86" s="7"/>
      <c r="AU86" s="140">
        <f>'Reflection -2'!Q86</f>
        <v>3.3333333333333335</v>
      </c>
      <c r="AV86" s="7"/>
      <c r="AW86" s="7"/>
      <c r="AX86" s="7"/>
      <c r="AY86" s="140"/>
      <c r="AZ86" s="7"/>
      <c r="BA86" s="138"/>
      <c r="BB86" s="140"/>
      <c r="BC86" s="140">
        <f>'Reflection -3'!Q86</f>
        <v>3.3333333333333335</v>
      </c>
      <c r="BD86" s="140"/>
      <c r="BE86" s="140"/>
      <c r="BF86" s="140"/>
      <c r="BG86" s="140"/>
      <c r="BH86" s="140"/>
      <c r="BI86" s="138"/>
      <c r="BJ86" s="140"/>
      <c r="BK86" s="140">
        <f>'Reflection -3'!Q86</f>
        <v>3.3333333333333335</v>
      </c>
      <c r="BL86" s="7"/>
      <c r="BM86" s="140"/>
      <c r="BN86" s="7"/>
      <c r="BO86" s="140"/>
      <c r="BP86" s="140"/>
      <c r="BQ86" s="138"/>
      <c r="BR86" s="140"/>
      <c r="BS86" s="140">
        <f>Capstone!Q87</f>
        <v>3.8333333333333335</v>
      </c>
      <c r="BT86" s="140">
        <f>Capstone!W87</f>
        <v>4</v>
      </c>
      <c r="BU86" s="140">
        <f>Capstone!AC87</f>
        <v>4</v>
      </c>
      <c r="BV86" s="140">
        <f>Capstone!AI87</f>
        <v>4</v>
      </c>
      <c r="BW86" s="140">
        <f>Capstone!AO87</f>
        <v>3.5</v>
      </c>
      <c r="BX86" s="140">
        <f>Capstone!AU87</f>
        <v>4</v>
      </c>
      <c r="BY86" s="138"/>
      <c r="BZ86" s="140"/>
      <c r="CA8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3.0333333333333332</v>
      </c>
      <c r="CB86" s="140">
        <f>IFERROR(AVERAGE(Table110461117[[#This Row],[Column31]],Table110461117[[#This Row],[Column13]],Table110461117[[#This Row],[Column4]],Table110461117[[#This Row],[Column22]],),"A")</f>
        <v>1.6</v>
      </c>
      <c r="CC86" s="140">
        <f>IFERROR(AVERAGE(Table110461117[[#This Row],[Column5]],Table110461117[[#This Row],[Column14]],Table110461117[[#This Row],[Column23]],Table110461117[[#This Row],[Column32]]),"A")</f>
        <v>1.875</v>
      </c>
      <c r="CD86" s="140">
        <f>IFERROR(AVERAGE(Table110461117[[#This Row],[Column6]],Table110461117[[#This Row],[Column15]],Table110461117[[#This Row],[Column24]],Table110461117[[#This Row],[Column33]]),"A")</f>
        <v>1.75</v>
      </c>
      <c r="CE86" s="140"/>
      <c r="CF86" s="140">
        <f>IFERROR(AVERAGE(Table110461117[[#This Row],[Column26]],Table110461117[[#This Row],[Column35]],Table110461117[[#This Row],[Column17]],Table110461117[[#This Row],[Column8]]),"A")</f>
        <v>2</v>
      </c>
      <c r="CG86" s="138"/>
      <c r="CH86" s="140">
        <f>IFERROR(AVERAGE('Review 1'!AX86,'Review 2'!AX86,'Review 3'!AX86,'Review 4'!AX86,'Reflection -1 '!AX86,'Reflection -2'!AX86,'Reflection -3'!AX86,'Reflection -4'!AX86),"A")</f>
        <v>3.5</v>
      </c>
      <c r="CI86" s="140">
        <f>IFERROR(AVERAGE('Review 1'!AY86,'Review 2'!AY86,'Review 3'!AY86,'Review 4'!AY86,'Reflection -1 '!AY86,'Reflection -2'!AY86,'Reflection -3'!AY86,'Reflection -4'!AY86,Capstone!AY87),"A")</f>
        <v>2.5555555555555554</v>
      </c>
      <c r="CJ86" s="140">
        <f>IFERROR(AVERAGE('Review 1'!AZ86,'Review 2'!AZ86,'Review 3'!AZ86,'Review 4'!AZ86,'Reflection -1 '!AZ86,'Reflection -2'!AZ86,'Reflection -3'!AZ86,'Reflection -4'!AZ86),"A")</f>
        <v>2.75</v>
      </c>
    </row>
    <row r="87" spans="1:88" s="122" customFormat="1" ht="23.1" customHeight="1" x14ac:dyDescent="0.3">
      <c r="A87" s="137">
        <v>85</v>
      </c>
      <c r="B87" s="62" t="s">
        <v>134</v>
      </c>
      <c r="C87" s="62" t="s">
        <v>135</v>
      </c>
      <c r="D87" s="62" t="s">
        <v>450</v>
      </c>
      <c r="E87" s="62" t="s">
        <v>35</v>
      </c>
      <c r="F87" s="139"/>
      <c r="G87" s="139">
        <f>'Review 1'!Q87</f>
        <v>0</v>
      </c>
      <c r="H87" s="139">
        <f>'Review 1'!W87</f>
        <v>0</v>
      </c>
      <c r="I87" s="139">
        <f>'Review 1'!AC87</f>
        <v>0</v>
      </c>
      <c r="J87" s="139">
        <f>'Review 1'!AI87</f>
        <v>0</v>
      </c>
      <c r="K87" s="139"/>
      <c r="L87" s="139">
        <f>'Review 1'!AU87</f>
        <v>0</v>
      </c>
      <c r="M87" s="138"/>
      <c r="N87" s="139"/>
      <c r="O87" s="139">
        <f>'Review 2'!Q87</f>
        <v>1.4</v>
      </c>
      <c r="P87" s="139">
        <f>'Review 2'!W87</f>
        <v>1</v>
      </c>
      <c r="Q87" s="139">
        <f>'Review 2'!AC87</f>
        <v>1</v>
      </c>
      <c r="R87" s="139">
        <f>'Review 2'!AI87</f>
        <v>1</v>
      </c>
      <c r="S87" s="139"/>
      <c r="T87" s="139">
        <f>'Review 2'!AU87</f>
        <v>1</v>
      </c>
      <c r="U87" s="138"/>
      <c r="V87" s="62"/>
      <c r="W87" s="139">
        <f>'Review 3'!Q87</f>
        <v>0.6</v>
      </c>
      <c r="X87" s="139">
        <f>'Review 3'!W87</f>
        <v>0</v>
      </c>
      <c r="Y87" s="139">
        <f>'Review 3'!AC87</f>
        <v>0</v>
      </c>
      <c r="Z87" s="139">
        <f>'Review 3'!AI87</f>
        <v>0</v>
      </c>
      <c r="AA87" s="62"/>
      <c r="AB87" s="139">
        <f>'Review 3'!AU87</f>
        <v>0</v>
      </c>
      <c r="AC87" s="138"/>
      <c r="AD87" s="62"/>
      <c r="AE87" s="139">
        <f>'Review 4'!Q87</f>
        <v>2.4</v>
      </c>
      <c r="AF87" s="139">
        <f>'Review 4'!W87</f>
        <v>3</v>
      </c>
      <c r="AG87" s="139">
        <f>'Review 4'!AC87</f>
        <v>2</v>
      </c>
      <c r="AH87" s="139">
        <f>'Review 4'!AI87</f>
        <v>1.5</v>
      </c>
      <c r="AI87" s="139"/>
      <c r="AJ87" s="139">
        <f>'Review 4'!AU87</f>
        <v>3</v>
      </c>
      <c r="AK87" s="138"/>
      <c r="AL87" s="62"/>
      <c r="AM87" s="139">
        <f>'Reflection -1 '!Q87</f>
        <v>3.3333333333333335</v>
      </c>
      <c r="AN87" s="62"/>
      <c r="AO87" s="62"/>
      <c r="AP87" s="62"/>
      <c r="AQ87" s="62"/>
      <c r="AR87" s="62"/>
      <c r="AS87" s="138"/>
      <c r="AT87" s="62"/>
      <c r="AU87" s="139">
        <f>'Reflection -2'!Q87</f>
        <v>0</v>
      </c>
      <c r="AV87" s="62"/>
      <c r="AW87" s="62"/>
      <c r="AX87" s="62"/>
      <c r="AY87" s="139"/>
      <c r="AZ87" s="62"/>
      <c r="BA87" s="138"/>
      <c r="BB87" s="139"/>
      <c r="BC87" s="139">
        <f>'Reflection -3'!Q87</f>
        <v>0</v>
      </c>
      <c r="BD87" s="139"/>
      <c r="BE87" s="139"/>
      <c r="BF87" s="139"/>
      <c r="BG87" s="139"/>
      <c r="BH87" s="139"/>
      <c r="BI87" s="138"/>
      <c r="BJ87" s="139"/>
      <c r="BK87" s="139">
        <f>'Reflection -3'!Q87</f>
        <v>0</v>
      </c>
      <c r="BL87" s="62"/>
      <c r="BM87" s="139"/>
      <c r="BN87" s="62"/>
      <c r="BO87" s="139"/>
      <c r="BP87" s="139"/>
      <c r="BQ87" s="138"/>
      <c r="BR87" s="139"/>
      <c r="BS87" s="139">
        <f>Capstone!Q88</f>
        <v>4.666666666666667</v>
      </c>
      <c r="BT87" s="139">
        <f>Capstone!W88</f>
        <v>4</v>
      </c>
      <c r="BU87" s="139">
        <f>Capstone!AC88</f>
        <v>4</v>
      </c>
      <c r="BV87" s="139">
        <f>Capstone!AI88</f>
        <v>4</v>
      </c>
      <c r="BW87" s="139">
        <f>Capstone!AO88</f>
        <v>5</v>
      </c>
      <c r="BX87" s="139">
        <f>Capstone!AU88</f>
        <v>3</v>
      </c>
      <c r="BY87" s="138"/>
      <c r="BZ87" s="139"/>
      <c r="CA8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0.96666666666666656</v>
      </c>
      <c r="CB87" s="139">
        <f>IFERROR(AVERAGE(Table110461117[[#This Row],[Column31]],Table110461117[[#This Row],[Column13]],Table110461117[[#This Row],[Column4]],Table110461117[[#This Row],[Column22]],),"A")</f>
        <v>0.8</v>
      </c>
      <c r="CC87" s="139">
        <f>IFERROR(AVERAGE(Table110461117[[#This Row],[Column5]],Table110461117[[#This Row],[Column14]],Table110461117[[#This Row],[Column23]],Table110461117[[#This Row],[Column32]]),"A")</f>
        <v>0.75</v>
      </c>
      <c r="CD87" s="139">
        <f>IFERROR(AVERAGE(Table110461117[[#This Row],[Column6]],Table110461117[[#This Row],[Column15]],Table110461117[[#This Row],[Column24]],Table110461117[[#This Row],[Column33]]),"A")</f>
        <v>0.625</v>
      </c>
      <c r="CE87" s="139"/>
      <c r="CF87" s="139">
        <f>IFERROR(AVERAGE(Table110461117[[#This Row],[Column26]],Table110461117[[#This Row],[Column35]],Table110461117[[#This Row],[Column17]],Table110461117[[#This Row],[Column8]]),"A")</f>
        <v>1</v>
      </c>
      <c r="CG87" s="138"/>
      <c r="CH87" s="139">
        <f>IFERROR(AVERAGE('Review 1'!AX87,'Review 2'!AX87,'Review 3'!AX87,'Review 4'!AX87,'Reflection -1 '!AX87,'Reflection -2'!AX87,'Reflection -3'!AX87,'Reflection -4'!AX87),"A")</f>
        <v>1</v>
      </c>
      <c r="CI87" s="139">
        <f>IFERROR(AVERAGE('Review 1'!AY87,'Review 2'!AY87,'Review 3'!AY87,'Review 4'!AY87,'Reflection -1 '!AY87,'Reflection -2'!AY87,'Reflection -3'!AY87,'Reflection -4'!AY87,Capstone!AY88),"A")</f>
        <v>0.77777777777777779</v>
      </c>
      <c r="CJ87" s="139">
        <f>IFERROR(AVERAGE('Review 1'!AZ87,'Review 2'!AZ87,'Review 3'!AZ87,'Review 4'!AZ87,'Reflection -1 '!AZ87,'Reflection -2'!AZ87,'Reflection -3'!AZ87,'Reflection -4'!AZ87),"A")</f>
        <v>0.875</v>
      </c>
    </row>
    <row r="88" spans="1:88" s="122" customFormat="1" ht="23.1" customHeight="1" x14ac:dyDescent="0.3">
      <c r="A88" s="6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140"/>
      <c r="G88" s="140">
        <f>'Review 1'!Q88</f>
        <v>3</v>
      </c>
      <c r="H88" s="140">
        <f>'Review 1'!W88</f>
        <v>3</v>
      </c>
      <c r="I88" s="140">
        <f>'Review 1'!AC88</f>
        <v>3</v>
      </c>
      <c r="J88" s="140">
        <f>'Review 1'!AI88</f>
        <v>3</v>
      </c>
      <c r="K88" s="140"/>
      <c r="L88" s="140">
        <f>'Review 1'!AU88</f>
        <v>3</v>
      </c>
      <c r="M88" s="138"/>
      <c r="N88" s="140"/>
      <c r="O88" s="140">
        <f>'Review 2'!Q88</f>
        <v>3</v>
      </c>
      <c r="P88" s="140">
        <f>'Review 2'!W88</f>
        <v>3</v>
      </c>
      <c r="Q88" s="140">
        <f>'Review 2'!AC88</f>
        <v>3</v>
      </c>
      <c r="R88" s="140">
        <f>'Review 2'!AI88</f>
        <v>3</v>
      </c>
      <c r="S88" s="140"/>
      <c r="T88" s="140">
        <f>'Review 2'!AU88</f>
        <v>3</v>
      </c>
      <c r="U88" s="138"/>
      <c r="V88" s="7"/>
      <c r="W88" s="140">
        <f>'Review 3'!Q88</f>
        <v>2.4</v>
      </c>
      <c r="X88" s="140">
        <f>'Review 3'!W88</f>
        <v>2.3333333333333335</v>
      </c>
      <c r="Y88" s="140">
        <f>'Review 3'!AC88</f>
        <v>3</v>
      </c>
      <c r="Z88" s="140">
        <f>'Review 3'!AI88</f>
        <v>2</v>
      </c>
      <c r="AA88" s="7"/>
      <c r="AB88" s="140">
        <f>'Review 3'!AU88</f>
        <v>2.3333333333333335</v>
      </c>
      <c r="AC88" s="138"/>
      <c r="AD88" s="7"/>
      <c r="AE88" s="140">
        <f>'Review 4'!Q88</f>
        <v>2.2000000000000002</v>
      </c>
      <c r="AF88" s="140">
        <f>'Review 4'!W88</f>
        <v>3</v>
      </c>
      <c r="AG88" s="140">
        <f>'Review 4'!AC88</f>
        <v>2.5</v>
      </c>
      <c r="AH88" s="140">
        <f>'Review 4'!AI88</f>
        <v>2</v>
      </c>
      <c r="AI88" s="140"/>
      <c r="AJ88" s="140">
        <f>'Review 4'!AU88</f>
        <v>3.6666666666666665</v>
      </c>
      <c r="AK88" s="138"/>
      <c r="AL88" s="7"/>
      <c r="AM88" s="140">
        <f>'Reflection -1 '!Q88</f>
        <v>2.3333333333333335</v>
      </c>
      <c r="AN88" s="7"/>
      <c r="AO88" s="7"/>
      <c r="AP88" s="7"/>
      <c r="AQ88" s="7"/>
      <c r="AR88" s="7"/>
      <c r="AS88" s="138"/>
      <c r="AT88" s="7"/>
      <c r="AU88" s="140">
        <f>'Reflection -2'!Q88</f>
        <v>3</v>
      </c>
      <c r="AV88" s="7"/>
      <c r="AW88" s="7"/>
      <c r="AX88" s="7"/>
      <c r="AY88" s="140"/>
      <c r="AZ88" s="7"/>
      <c r="BA88" s="138"/>
      <c r="BB88" s="140"/>
      <c r="BC88" s="140">
        <f>'Reflection -3'!Q88</f>
        <v>3</v>
      </c>
      <c r="BD88" s="140"/>
      <c r="BE88" s="140"/>
      <c r="BF88" s="140"/>
      <c r="BG88" s="140"/>
      <c r="BH88" s="140"/>
      <c r="BI88" s="138"/>
      <c r="BJ88" s="140"/>
      <c r="BK88" s="140">
        <f>'Reflection -3'!Q88</f>
        <v>3</v>
      </c>
      <c r="BL88" s="7"/>
      <c r="BM88" s="140"/>
      <c r="BN88" s="7"/>
      <c r="BO88" s="140"/>
      <c r="BP88" s="140"/>
      <c r="BQ88" s="138"/>
      <c r="BR88" s="140"/>
      <c r="BS88" s="140">
        <f>Capstone!Q89</f>
        <v>3.6666666666666665</v>
      </c>
      <c r="BT88" s="140">
        <f>Capstone!W89</f>
        <v>4</v>
      </c>
      <c r="BU88" s="140">
        <f>Capstone!AC89</f>
        <v>4</v>
      </c>
      <c r="BV88" s="140">
        <f>Capstone!AI89</f>
        <v>0</v>
      </c>
      <c r="BW88" s="140">
        <f>Capstone!AO89</f>
        <v>3</v>
      </c>
      <c r="BX88" s="140">
        <f>Capstone!AU89</f>
        <v>3</v>
      </c>
      <c r="BY88" s="138"/>
      <c r="BZ88" s="140"/>
      <c r="CA8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2.7416666666666667</v>
      </c>
      <c r="CB88" s="140">
        <f>IFERROR(AVERAGE(Table110461117[[#This Row],[Column31]],Table110461117[[#This Row],[Column13]],Table110461117[[#This Row],[Column4]],Table110461117[[#This Row],[Column22]],),"A")</f>
        <v>2.2666666666666666</v>
      </c>
      <c r="CC88" s="140">
        <f>IFERROR(AVERAGE(Table110461117[[#This Row],[Column5]],Table110461117[[#This Row],[Column14]],Table110461117[[#This Row],[Column23]],Table110461117[[#This Row],[Column32]]),"A")</f>
        <v>2.875</v>
      </c>
      <c r="CD88" s="140">
        <f>IFERROR(AVERAGE(Table110461117[[#This Row],[Column6]],Table110461117[[#This Row],[Column15]],Table110461117[[#This Row],[Column24]],Table110461117[[#This Row],[Column33]]),"A")</f>
        <v>2.5</v>
      </c>
      <c r="CE88" s="140"/>
      <c r="CF88" s="140">
        <f>IFERROR(AVERAGE(Table110461117[[#This Row],[Column26]],Table110461117[[#This Row],[Column35]],Table110461117[[#This Row],[Column17]],Table110461117[[#This Row],[Column8]]),"A")</f>
        <v>3</v>
      </c>
      <c r="CG88" s="138"/>
      <c r="CH88" s="140">
        <f>IFERROR(AVERAGE('Review 1'!AX88,'Review 2'!AX88,'Review 3'!AX88,'Review 4'!AX88,'Reflection -1 '!AX88,'Reflection -2'!AX88,'Reflection -3'!AX88,'Reflection -4'!AX88),"A")</f>
        <v>3.125</v>
      </c>
      <c r="CI88" s="140">
        <f>IFERROR(AVERAGE('Review 1'!AY88,'Review 2'!AY88,'Review 3'!AY88,'Review 4'!AY88,'Reflection -1 '!AY88,'Reflection -2'!AY88,'Reflection -3'!AY88,'Reflection -4'!AY88,Capstone!AY89),"A")</f>
        <v>1.3333333333333333</v>
      </c>
      <c r="CJ88" s="140">
        <f>IFERROR(AVERAGE('Review 1'!AZ88,'Review 2'!AZ88,'Review 3'!AZ88,'Review 4'!AZ88,'Reflection -1 '!AZ88,'Reflection -2'!AZ88,'Reflection -3'!AZ88,'Reflection -4'!AZ88),"A")</f>
        <v>2</v>
      </c>
    </row>
    <row r="89" spans="1:88" s="122" customFormat="1" ht="23.1" customHeight="1" x14ac:dyDescent="0.3">
      <c r="A89" s="137">
        <v>87</v>
      </c>
      <c r="B89" s="62" t="s">
        <v>338</v>
      </c>
      <c r="C89" s="62" t="s">
        <v>339</v>
      </c>
      <c r="D89" s="62" t="s">
        <v>542</v>
      </c>
      <c r="E89" s="62" t="s">
        <v>493</v>
      </c>
      <c r="F89" s="139"/>
      <c r="G89" s="139">
        <f>'Review 1'!Q89</f>
        <v>2.8</v>
      </c>
      <c r="H89" s="139">
        <f>'Review 1'!W89</f>
        <v>3</v>
      </c>
      <c r="I89" s="139">
        <f>'Review 1'!AC89</f>
        <v>2.5</v>
      </c>
      <c r="J89" s="139">
        <f>'Review 1'!AI89</f>
        <v>3</v>
      </c>
      <c r="K89" s="139"/>
      <c r="L89" s="139">
        <f>'Review 1'!AU89</f>
        <v>3</v>
      </c>
      <c r="M89" s="138"/>
      <c r="N89" s="139"/>
      <c r="O89" s="139">
        <f>'Review 2'!Q89</f>
        <v>2.2000000000000002</v>
      </c>
      <c r="P89" s="139">
        <f>'Review 2'!W89</f>
        <v>2</v>
      </c>
      <c r="Q89" s="139">
        <f>'Review 2'!AC89</f>
        <v>2</v>
      </c>
      <c r="R89" s="139">
        <f>'Review 2'!AI89</f>
        <v>1</v>
      </c>
      <c r="S89" s="139"/>
      <c r="T89" s="139">
        <f>'Review 2'!AU89</f>
        <v>2</v>
      </c>
      <c r="U89" s="138"/>
      <c r="V89" s="62"/>
      <c r="W89" s="139">
        <f>'Review 3'!Q89</f>
        <v>2.4</v>
      </c>
      <c r="X89" s="139">
        <f>'Review 3'!W89</f>
        <v>2</v>
      </c>
      <c r="Y89" s="139">
        <f>'Review 3'!AC89</f>
        <v>2</v>
      </c>
      <c r="Z89" s="139">
        <f>'Review 3'!AI89</f>
        <v>2</v>
      </c>
      <c r="AA89" s="62"/>
      <c r="AB89" s="139">
        <f>'Review 3'!AU89</f>
        <v>2</v>
      </c>
      <c r="AC89" s="138"/>
      <c r="AD89" s="62"/>
      <c r="AE89" s="139">
        <f>'Review 4'!Q89</f>
        <v>3.2</v>
      </c>
      <c r="AF89" s="139">
        <f>'Review 4'!W89</f>
        <v>4</v>
      </c>
      <c r="AG89" s="139">
        <f>'Review 4'!AC89</f>
        <v>3.5</v>
      </c>
      <c r="AH89" s="139">
        <f>'Review 4'!AI89</f>
        <v>5</v>
      </c>
      <c r="AI89" s="139"/>
      <c r="AJ89" s="139">
        <f>'Review 4'!AU89</f>
        <v>4</v>
      </c>
      <c r="AK89" s="138"/>
      <c r="AL89" s="62"/>
      <c r="AM89" s="139">
        <f>'Reflection -1 '!Q89</f>
        <v>3.6666666666666665</v>
      </c>
      <c r="AN89" s="62"/>
      <c r="AO89" s="62"/>
      <c r="AP89" s="62"/>
      <c r="AQ89" s="62"/>
      <c r="AR89" s="62"/>
      <c r="AS89" s="138"/>
      <c r="AT89" s="62"/>
      <c r="AU89" s="139">
        <f>'Reflection -2'!Q89</f>
        <v>4</v>
      </c>
      <c r="AV89" s="62"/>
      <c r="AW89" s="62"/>
      <c r="AX89" s="62"/>
      <c r="AY89" s="139"/>
      <c r="AZ89" s="62"/>
      <c r="BA89" s="138"/>
      <c r="BB89" s="139"/>
      <c r="BC89" s="139">
        <f>'Reflection -3'!Q89</f>
        <v>2</v>
      </c>
      <c r="BD89" s="139"/>
      <c r="BE89" s="139"/>
      <c r="BF89" s="139"/>
      <c r="BG89" s="139"/>
      <c r="BH89" s="139"/>
      <c r="BI89" s="138"/>
      <c r="BJ89" s="139"/>
      <c r="BK89" s="139">
        <f>'Reflection -3'!Q89</f>
        <v>2</v>
      </c>
      <c r="BL89" s="62"/>
      <c r="BM89" s="139"/>
      <c r="BN89" s="62"/>
      <c r="BO89" s="139"/>
      <c r="BP89" s="139"/>
      <c r="BQ89" s="138"/>
      <c r="BR89" s="139"/>
      <c r="BS89" s="139">
        <f>Capstone!Q90</f>
        <v>3.3333333333333335</v>
      </c>
      <c r="BT89" s="139">
        <f>Capstone!W90</f>
        <v>4</v>
      </c>
      <c r="BU89" s="139">
        <f>Capstone!AC90</f>
        <v>4</v>
      </c>
      <c r="BV89" s="139">
        <f>Capstone!AI90</f>
        <v>3</v>
      </c>
      <c r="BW89" s="139">
        <f>Capstone!AO90</f>
        <v>4</v>
      </c>
      <c r="BX89" s="139">
        <f>Capstone!AU90</f>
        <v>3</v>
      </c>
      <c r="BY89" s="138"/>
      <c r="BZ89" s="139"/>
      <c r="CA8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2.7833333333333332</v>
      </c>
      <c r="CB89" s="139">
        <f>IFERROR(AVERAGE(Table110461117[[#This Row],[Column31]],Table110461117[[#This Row],[Column13]],Table110461117[[#This Row],[Column4]],Table110461117[[#This Row],[Column22]],),"A")</f>
        <v>2.2000000000000002</v>
      </c>
      <c r="CC89" s="139">
        <f>IFERROR(AVERAGE(Table110461117[[#This Row],[Column5]],Table110461117[[#This Row],[Column14]],Table110461117[[#This Row],[Column23]],Table110461117[[#This Row],[Column32]]),"A")</f>
        <v>2.5</v>
      </c>
      <c r="CD89" s="139">
        <f>IFERROR(AVERAGE(Table110461117[[#This Row],[Column6]],Table110461117[[#This Row],[Column15]],Table110461117[[#This Row],[Column24]],Table110461117[[#This Row],[Column33]]),"A")</f>
        <v>2.75</v>
      </c>
      <c r="CE89" s="139"/>
      <c r="CF89" s="139">
        <f>IFERROR(AVERAGE(Table110461117[[#This Row],[Column26]],Table110461117[[#This Row],[Column35]],Table110461117[[#This Row],[Column17]],Table110461117[[#This Row],[Column8]]),"A")</f>
        <v>2.75</v>
      </c>
      <c r="CG89" s="138"/>
      <c r="CH89" s="139">
        <f>IFERROR(AVERAGE('Review 1'!AX89,'Review 2'!AX89,'Review 3'!AX89,'Review 4'!AX89,'Reflection -1 '!AX89,'Reflection -2'!AX89,'Reflection -3'!AX89,'Reflection -4'!AX89),"A")</f>
        <v>3.625</v>
      </c>
      <c r="CI89" s="139">
        <f>IFERROR(AVERAGE('Review 1'!AY89,'Review 2'!AY89,'Review 3'!AY89,'Review 4'!AY89,'Reflection -1 '!AY89,'Reflection -2'!AY89,'Reflection -3'!AY89,'Reflection -4'!AY89,Capstone!AY90),"A")</f>
        <v>2.6666666666666665</v>
      </c>
      <c r="CJ89" s="139">
        <f>IFERROR(AVERAGE('Review 1'!AZ89,'Review 2'!AZ89,'Review 3'!AZ89,'Review 4'!AZ89,'Reflection -1 '!AZ89,'Reflection -2'!AZ89,'Reflection -3'!AZ89,'Reflection -4'!AZ89),"A")</f>
        <v>3.5</v>
      </c>
    </row>
    <row r="90" spans="1:88" s="122" customFormat="1" ht="23.1" customHeight="1" x14ac:dyDescent="0.3">
      <c r="A90" s="6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140"/>
      <c r="G90" s="140">
        <f>'Review 1'!Q90</f>
        <v>2.8</v>
      </c>
      <c r="H90" s="140">
        <f>'Review 1'!W90</f>
        <v>1</v>
      </c>
      <c r="I90" s="140">
        <f>'Review 1'!AC90</f>
        <v>1</v>
      </c>
      <c r="J90" s="140">
        <f>'Review 1'!AI90</f>
        <v>1</v>
      </c>
      <c r="K90" s="140"/>
      <c r="L90" s="140">
        <f>'Review 1'!AU90</f>
        <v>1</v>
      </c>
      <c r="M90" s="138"/>
      <c r="N90" s="140"/>
      <c r="O90" s="140">
        <f>'Review 2'!Q90</f>
        <v>2.8</v>
      </c>
      <c r="P90" s="140">
        <f>'Review 2'!W90</f>
        <v>1</v>
      </c>
      <c r="Q90" s="140">
        <f>'Review 2'!AC90</f>
        <v>1</v>
      </c>
      <c r="R90" s="140">
        <f>'Review 2'!AI90</f>
        <v>1</v>
      </c>
      <c r="S90" s="140"/>
      <c r="T90" s="140">
        <f>'Review 2'!AU90</f>
        <v>1</v>
      </c>
      <c r="U90" s="138"/>
      <c r="V90" s="7"/>
      <c r="W90" s="140">
        <f>'Review 3'!Q90</f>
        <v>0.6</v>
      </c>
      <c r="X90" s="140">
        <f>'Review 3'!W90</f>
        <v>0</v>
      </c>
      <c r="Y90" s="140">
        <f>'Review 3'!AC90</f>
        <v>0</v>
      </c>
      <c r="Z90" s="140">
        <f>'Review 3'!AI90</f>
        <v>0</v>
      </c>
      <c r="AA90" s="7"/>
      <c r="AB90" s="140">
        <f>'Review 3'!AU90</f>
        <v>0</v>
      </c>
      <c r="AC90" s="138"/>
      <c r="AD90" s="7"/>
      <c r="AE90" s="140">
        <f>'Review 4'!Q90</f>
        <v>0</v>
      </c>
      <c r="AF90" s="140">
        <f>'Review 4'!W90</f>
        <v>0</v>
      </c>
      <c r="AG90" s="140">
        <f>'Review 4'!AC90</f>
        <v>0</v>
      </c>
      <c r="AH90" s="140">
        <f>'Review 4'!AI90</f>
        <v>0</v>
      </c>
      <c r="AI90" s="140"/>
      <c r="AJ90" s="140">
        <f>'Review 4'!AU90</f>
        <v>0</v>
      </c>
      <c r="AK90" s="138"/>
      <c r="AL90" s="7"/>
      <c r="AM90" s="140">
        <f>'Reflection -1 '!Q90</f>
        <v>4</v>
      </c>
      <c r="AN90" s="7"/>
      <c r="AO90" s="7"/>
      <c r="AP90" s="7"/>
      <c r="AQ90" s="7"/>
      <c r="AR90" s="7"/>
      <c r="AS90" s="138"/>
      <c r="AT90" s="7"/>
      <c r="AU90" s="140">
        <f>'Reflection -2'!Q90</f>
        <v>4</v>
      </c>
      <c r="AV90" s="7"/>
      <c r="AW90" s="7"/>
      <c r="AX90" s="7"/>
      <c r="AY90" s="140"/>
      <c r="AZ90" s="7"/>
      <c r="BA90" s="138"/>
      <c r="BB90" s="140"/>
      <c r="BC90" s="140">
        <f>'Reflection -3'!Q90</f>
        <v>0</v>
      </c>
      <c r="BD90" s="140"/>
      <c r="BE90" s="140"/>
      <c r="BF90" s="140"/>
      <c r="BG90" s="140"/>
      <c r="BH90" s="140"/>
      <c r="BI90" s="138"/>
      <c r="BJ90" s="140"/>
      <c r="BK90" s="140">
        <f>'Reflection -3'!Q90</f>
        <v>0</v>
      </c>
      <c r="BL90" s="7"/>
      <c r="BM90" s="140"/>
      <c r="BN90" s="7"/>
      <c r="BO90" s="140"/>
      <c r="BP90" s="140"/>
      <c r="BQ90" s="138"/>
      <c r="BR90" s="140"/>
      <c r="BS90" s="140">
        <f>Capstone!Q91</f>
        <v>4</v>
      </c>
      <c r="BT90" s="140">
        <f>Capstone!W91</f>
        <v>5</v>
      </c>
      <c r="BU90" s="140">
        <f>Capstone!AC91</f>
        <v>5</v>
      </c>
      <c r="BV90" s="140">
        <f>Capstone!AI91</f>
        <v>4</v>
      </c>
      <c r="BW90" s="140">
        <f>Capstone!AO91</f>
        <v>5</v>
      </c>
      <c r="BX90" s="140">
        <f>Capstone!AU91</f>
        <v>5</v>
      </c>
      <c r="BY90" s="138"/>
      <c r="BZ90" s="140"/>
      <c r="CA9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1.7749999999999999</v>
      </c>
      <c r="CB90" s="140">
        <f>IFERROR(AVERAGE(Table110461117[[#This Row],[Column31]],Table110461117[[#This Row],[Column13]],Table110461117[[#This Row],[Column4]],Table110461117[[#This Row],[Column22]],),"A")</f>
        <v>0.4</v>
      </c>
      <c r="CC90" s="140">
        <f>IFERROR(AVERAGE(Table110461117[[#This Row],[Column5]],Table110461117[[#This Row],[Column14]],Table110461117[[#This Row],[Column23]],Table110461117[[#This Row],[Column32]]),"A")</f>
        <v>0.5</v>
      </c>
      <c r="CD90" s="140">
        <f>IFERROR(AVERAGE(Table110461117[[#This Row],[Column6]],Table110461117[[#This Row],[Column15]],Table110461117[[#This Row],[Column24]],Table110461117[[#This Row],[Column33]]),"A")</f>
        <v>0.5</v>
      </c>
      <c r="CE90" s="140"/>
      <c r="CF90" s="140">
        <f>IFERROR(AVERAGE(Table110461117[[#This Row],[Column26]],Table110461117[[#This Row],[Column35]],Table110461117[[#This Row],[Column17]],Table110461117[[#This Row],[Column8]]),"A")</f>
        <v>0.5</v>
      </c>
      <c r="CG90" s="138"/>
      <c r="CH90" s="140">
        <f>IFERROR(AVERAGE('Review 1'!AX90,'Review 2'!AX90,'Review 3'!AX90,'Review 4'!AX90,'Reflection -1 '!AX90,'Reflection -2'!AX90,'Reflection -3'!AX90,'Reflection -4'!AX90),"A")</f>
        <v>2.125</v>
      </c>
      <c r="CI90" s="140">
        <f>IFERROR(AVERAGE('Review 1'!AY90,'Review 2'!AY90,'Review 3'!AY90,'Review 4'!AY90,'Reflection -1 '!AY90,'Reflection -2'!AY90,'Reflection -3'!AY90,'Reflection -4'!AY90,Capstone!AY91),"A")</f>
        <v>0.66666666666666663</v>
      </c>
      <c r="CJ90" s="140">
        <f>IFERROR(AVERAGE('Review 1'!AZ90,'Review 2'!AZ90,'Review 3'!AZ90,'Review 4'!AZ90,'Reflection -1 '!AZ90,'Reflection -2'!AZ90,'Reflection -3'!AZ90,'Reflection -4'!AZ90),"A")</f>
        <v>1.625</v>
      </c>
    </row>
    <row r="91" spans="1:88" s="122" customFormat="1" ht="23.1" customHeight="1" x14ac:dyDescent="0.3">
      <c r="A91" s="137">
        <v>89</v>
      </c>
      <c r="B91" s="62" t="s">
        <v>62</v>
      </c>
      <c r="C91" s="62" t="s">
        <v>63</v>
      </c>
      <c r="D91" s="62" t="s">
        <v>542</v>
      </c>
      <c r="E91" s="62" t="s">
        <v>35</v>
      </c>
      <c r="F91" s="139"/>
      <c r="G91" s="139">
        <f>'Review 1'!Q91</f>
        <v>0</v>
      </c>
      <c r="H91" s="139">
        <f>'Review 1'!W91</f>
        <v>0</v>
      </c>
      <c r="I91" s="139">
        <f>'Review 1'!AC91</f>
        <v>0</v>
      </c>
      <c r="J91" s="139">
        <f>'Review 1'!AI91</f>
        <v>0</v>
      </c>
      <c r="K91" s="139"/>
      <c r="L91" s="139">
        <f>'Review 1'!AU91</f>
        <v>0</v>
      </c>
      <c r="M91" s="138"/>
      <c r="N91" s="139"/>
      <c r="O91" s="139">
        <f>'Review 2'!Q91</f>
        <v>3.4</v>
      </c>
      <c r="P91" s="139">
        <f>'Review 2'!W91</f>
        <v>3</v>
      </c>
      <c r="Q91" s="139">
        <f>'Review 2'!AC91</f>
        <v>2</v>
      </c>
      <c r="R91" s="139">
        <f>'Review 2'!AI91</f>
        <v>1</v>
      </c>
      <c r="S91" s="139"/>
      <c r="T91" s="139">
        <f>'Review 2'!AU91</f>
        <v>3</v>
      </c>
      <c r="U91" s="138"/>
      <c r="V91" s="62"/>
      <c r="W91" s="139">
        <f>'Review 3'!Q91</f>
        <v>0.6</v>
      </c>
      <c r="X91" s="139">
        <f>'Review 3'!W91</f>
        <v>0</v>
      </c>
      <c r="Y91" s="139">
        <f>'Review 3'!AC91</f>
        <v>0</v>
      </c>
      <c r="Z91" s="139">
        <f>'Review 3'!AI91</f>
        <v>0</v>
      </c>
      <c r="AA91" s="62"/>
      <c r="AB91" s="139">
        <f>'Review 3'!AU91</f>
        <v>0</v>
      </c>
      <c r="AC91" s="138"/>
      <c r="AD91" s="62"/>
      <c r="AE91" s="139">
        <f>'Review 4'!Q91</f>
        <v>3.8</v>
      </c>
      <c r="AF91" s="139">
        <f>'Review 4'!W91</f>
        <v>4</v>
      </c>
      <c r="AG91" s="139">
        <f>'Review 4'!AC91</f>
        <v>3</v>
      </c>
      <c r="AH91" s="139">
        <f>'Review 4'!AI91</f>
        <v>2</v>
      </c>
      <c r="AI91" s="139"/>
      <c r="AJ91" s="139">
        <f>'Review 4'!AU91</f>
        <v>2</v>
      </c>
      <c r="AK91" s="138"/>
      <c r="AL91" s="62"/>
      <c r="AM91" s="139">
        <f>'Reflection -1 '!Q91</f>
        <v>2.3333333333333335</v>
      </c>
      <c r="AN91" s="62"/>
      <c r="AO91" s="62"/>
      <c r="AP91" s="62"/>
      <c r="AQ91" s="62"/>
      <c r="AR91" s="62"/>
      <c r="AS91" s="138"/>
      <c r="AT91" s="62"/>
      <c r="AU91" s="139">
        <f>'Reflection -2'!Q91</f>
        <v>3.6666666666666665</v>
      </c>
      <c r="AV91" s="62"/>
      <c r="AW91" s="62"/>
      <c r="AX91" s="62"/>
      <c r="AY91" s="139"/>
      <c r="AZ91" s="62"/>
      <c r="BA91" s="138"/>
      <c r="BB91" s="139"/>
      <c r="BC91" s="139">
        <f>'Reflection -3'!Q91</f>
        <v>3</v>
      </c>
      <c r="BD91" s="139"/>
      <c r="BE91" s="139"/>
      <c r="BF91" s="139"/>
      <c r="BG91" s="139"/>
      <c r="BH91" s="139"/>
      <c r="BI91" s="138"/>
      <c r="BJ91" s="139"/>
      <c r="BK91" s="139">
        <f>'Reflection -3'!Q91</f>
        <v>3</v>
      </c>
      <c r="BL91" s="62"/>
      <c r="BM91" s="139"/>
      <c r="BN91" s="62"/>
      <c r="BO91" s="139"/>
      <c r="BP91" s="139"/>
      <c r="BQ91" s="138"/>
      <c r="BR91" s="139"/>
      <c r="BS91" s="139">
        <f>Capstone!Q92</f>
        <v>3</v>
      </c>
      <c r="BT91" s="139">
        <f>Capstone!W92</f>
        <v>4</v>
      </c>
      <c r="BU91" s="139">
        <f>Capstone!AC92</f>
        <v>4</v>
      </c>
      <c r="BV91" s="139">
        <f>Capstone!AI92</f>
        <v>4</v>
      </c>
      <c r="BW91" s="139">
        <f>Capstone!AO92</f>
        <v>4</v>
      </c>
      <c r="BX91" s="139">
        <f>Capstone!AU92</f>
        <v>4</v>
      </c>
      <c r="BY91" s="138"/>
      <c r="BZ91" s="139"/>
      <c r="CA9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2.4750000000000001</v>
      </c>
      <c r="CB91" s="139">
        <f>IFERROR(AVERAGE(Table110461117[[#This Row],[Column31]],Table110461117[[#This Row],[Column13]],Table110461117[[#This Row],[Column4]],Table110461117[[#This Row],[Column22]],),"A")</f>
        <v>1.4</v>
      </c>
      <c r="CC91" s="139">
        <f>IFERROR(AVERAGE(Table110461117[[#This Row],[Column5]],Table110461117[[#This Row],[Column14]],Table110461117[[#This Row],[Column23]],Table110461117[[#This Row],[Column32]]),"A")</f>
        <v>1.25</v>
      </c>
      <c r="CD91" s="139">
        <f>IFERROR(AVERAGE(Table110461117[[#This Row],[Column6]],Table110461117[[#This Row],[Column15]],Table110461117[[#This Row],[Column24]],Table110461117[[#This Row],[Column33]]),"A")</f>
        <v>0.75</v>
      </c>
      <c r="CE91" s="139"/>
      <c r="CF91" s="139">
        <f>IFERROR(AVERAGE(Table110461117[[#This Row],[Column26]],Table110461117[[#This Row],[Column35]],Table110461117[[#This Row],[Column17]],Table110461117[[#This Row],[Column8]]),"A")</f>
        <v>1.25</v>
      </c>
      <c r="CG91" s="138"/>
      <c r="CH91" s="139">
        <f>IFERROR(AVERAGE('Review 1'!AX91,'Review 2'!AX91,'Review 3'!AX91,'Review 4'!AX91,'Reflection -1 '!AX91,'Reflection -2'!AX91,'Reflection -3'!AX91,'Reflection -4'!AX91),"A")</f>
        <v>2.5</v>
      </c>
      <c r="CI91" s="139">
        <f>IFERROR(AVERAGE('Review 1'!AY91,'Review 2'!AY91,'Review 3'!AY91,'Review 4'!AY91,'Reflection -1 '!AY91,'Reflection -2'!AY91,'Reflection -3'!AY91,'Reflection -4'!AY91,Capstone!AY92),"A")</f>
        <v>0.66666666666666663</v>
      </c>
      <c r="CJ91" s="139">
        <f>IFERROR(AVERAGE('Review 1'!AZ91,'Review 2'!AZ91,'Review 3'!AZ91,'Review 4'!AZ91,'Reflection -1 '!AZ91,'Reflection -2'!AZ91,'Reflection -3'!AZ91,'Reflection -4'!AZ91),"A")</f>
        <v>1.875</v>
      </c>
    </row>
    <row r="92" spans="1:88" s="122" customFormat="1" ht="23.1" customHeight="1" x14ac:dyDescent="0.3">
      <c r="A92" s="6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140"/>
      <c r="G92" s="140">
        <f>'Review 1'!Q92</f>
        <v>2.8</v>
      </c>
      <c r="H92" s="140">
        <f>'Review 1'!W92</f>
        <v>3</v>
      </c>
      <c r="I92" s="140">
        <f>'Review 1'!AC92</f>
        <v>2.5</v>
      </c>
      <c r="J92" s="140">
        <f>'Review 1'!AI92</f>
        <v>1.5</v>
      </c>
      <c r="K92" s="140"/>
      <c r="L92" s="140">
        <f>'Review 1'!AU92</f>
        <v>1</v>
      </c>
      <c r="M92" s="138"/>
      <c r="N92" s="140"/>
      <c r="O92" s="140">
        <f>'Review 2'!Q92</f>
        <v>2.8</v>
      </c>
      <c r="P92" s="140">
        <f>'Review 2'!W92</f>
        <v>3</v>
      </c>
      <c r="Q92" s="140">
        <f>'Review 2'!AC92</f>
        <v>2.5</v>
      </c>
      <c r="R92" s="140">
        <f>'Review 2'!AI92</f>
        <v>1.5</v>
      </c>
      <c r="S92" s="140"/>
      <c r="T92" s="140">
        <f>'Review 2'!AU92</f>
        <v>1</v>
      </c>
      <c r="U92" s="138"/>
      <c r="V92" s="7"/>
      <c r="W92" s="140">
        <f>'Review 3'!Q92</f>
        <v>1.4</v>
      </c>
      <c r="X92" s="140">
        <f>'Review 3'!W92</f>
        <v>0</v>
      </c>
      <c r="Y92" s="140">
        <f>'Review 3'!AC92</f>
        <v>0</v>
      </c>
      <c r="Z92" s="140">
        <f>'Review 3'!AI92</f>
        <v>0</v>
      </c>
      <c r="AA92" s="7"/>
      <c r="AB92" s="140">
        <f>'Review 3'!AU92</f>
        <v>0</v>
      </c>
      <c r="AC92" s="138"/>
      <c r="AD92" s="7"/>
      <c r="AE92" s="140">
        <f>'Review 4'!Q92</f>
        <v>2.4</v>
      </c>
      <c r="AF92" s="140">
        <f>'Review 4'!W92</f>
        <v>2.3333333333333335</v>
      </c>
      <c r="AG92" s="140">
        <f>'Review 4'!AC92</f>
        <v>2</v>
      </c>
      <c r="AH92" s="140">
        <f>'Review 4'!AI92</f>
        <v>1</v>
      </c>
      <c r="AI92" s="140"/>
      <c r="AJ92" s="140">
        <f>'Review 4'!AU92</f>
        <v>2.6666666666666665</v>
      </c>
      <c r="AK92" s="138"/>
      <c r="AL92" s="7"/>
      <c r="AM92" s="140">
        <f>'Reflection -1 '!Q92</f>
        <v>3.3333333333333335</v>
      </c>
      <c r="AN92" s="7"/>
      <c r="AO92" s="7"/>
      <c r="AP92" s="7"/>
      <c r="AQ92" s="7"/>
      <c r="AR92" s="7"/>
      <c r="AS92" s="138"/>
      <c r="AT92" s="7"/>
      <c r="AU92" s="140">
        <f>'Reflection -2'!Q92</f>
        <v>0</v>
      </c>
      <c r="AV92" s="7"/>
      <c r="AW92" s="7"/>
      <c r="AX92" s="7"/>
      <c r="AY92" s="140"/>
      <c r="AZ92" s="7"/>
      <c r="BA92" s="138"/>
      <c r="BB92" s="140"/>
      <c r="BC92" s="140">
        <f>'Reflection -3'!Q92</f>
        <v>0</v>
      </c>
      <c r="BD92" s="140"/>
      <c r="BE92" s="140"/>
      <c r="BF92" s="140"/>
      <c r="BG92" s="140"/>
      <c r="BH92" s="140"/>
      <c r="BI92" s="138"/>
      <c r="BJ92" s="140"/>
      <c r="BK92" s="140">
        <f>'Reflection -3'!Q92</f>
        <v>0</v>
      </c>
      <c r="BL92" s="7"/>
      <c r="BM92" s="140"/>
      <c r="BN92" s="7"/>
      <c r="BO92" s="140"/>
      <c r="BP92" s="140"/>
      <c r="BQ92" s="138"/>
      <c r="BR92" s="140"/>
      <c r="BS92" s="140">
        <f>Capstone!Q93</f>
        <v>3.6666666666666665</v>
      </c>
      <c r="BT92" s="140">
        <f>Capstone!W93</f>
        <v>4</v>
      </c>
      <c r="BU92" s="140">
        <f>Capstone!AC93</f>
        <v>4</v>
      </c>
      <c r="BV92" s="140">
        <f>Capstone!AI93</f>
        <v>3</v>
      </c>
      <c r="BW92" s="140">
        <f>Capstone!AO93</f>
        <v>3</v>
      </c>
      <c r="BX92" s="140">
        <f>Capstone!AU93</f>
        <v>3</v>
      </c>
      <c r="BY92" s="138"/>
      <c r="BZ92" s="140"/>
      <c r="CA9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1.5916666666666666</v>
      </c>
      <c r="CB92" s="140">
        <f>IFERROR(AVERAGE(Table110461117[[#This Row],[Column31]],Table110461117[[#This Row],[Column13]],Table110461117[[#This Row],[Column4]],Table110461117[[#This Row],[Column22]],),"A")</f>
        <v>1.6666666666666667</v>
      </c>
      <c r="CC92" s="140">
        <f>IFERROR(AVERAGE(Table110461117[[#This Row],[Column5]],Table110461117[[#This Row],[Column14]],Table110461117[[#This Row],[Column23]],Table110461117[[#This Row],[Column32]]),"A")</f>
        <v>1.75</v>
      </c>
      <c r="CD92" s="140">
        <f>IFERROR(AVERAGE(Table110461117[[#This Row],[Column6]],Table110461117[[#This Row],[Column15]],Table110461117[[#This Row],[Column24]],Table110461117[[#This Row],[Column33]]),"A")</f>
        <v>1</v>
      </c>
      <c r="CE92" s="140"/>
      <c r="CF92" s="140">
        <f>IFERROR(AVERAGE(Table110461117[[#This Row],[Column26]],Table110461117[[#This Row],[Column35]],Table110461117[[#This Row],[Column17]],Table110461117[[#This Row],[Column8]]),"A")</f>
        <v>1.1666666666666665</v>
      </c>
      <c r="CG92" s="138"/>
      <c r="CH92" s="140">
        <f>IFERROR(AVERAGE('Review 1'!AX92,'Review 2'!AX92,'Review 3'!AX92,'Review 4'!AX92,'Reflection -1 '!AX92,'Reflection -2'!AX92,'Reflection -3'!AX92,'Reflection -4'!AX92),"A")</f>
        <v>1.125</v>
      </c>
      <c r="CI92" s="140">
        <f>IFERROR(AVERAGE('Review 1'!AY92,'Review 2'!AY92,'Review 3'!AY92,'Review 4'!AY92,'Reflection -1 '!AY92,'Reflection -2'!AY92,'Reflection -3'!AY92,'Reflection -4'!AY92,Capstone!AY93),"A")</f>
        <v>1.2222222222222223</v>
      </c>
      <c r="CJ92" s="140">
        <f>IFERROR(AVERAGE('Review 1'!AZ92,'Review 2'!AZ92,'Review 3'!AZ92,'Review 4'!AZ92,'Reflection -1 '!AZ92,'Reflection -2'!AZ92,'Reflection -3'!AZ92,'Reflection -4'!AZ92),"A")</f>
        <v>1.375</v>
      </c>
    </row>
    <row r="93" spans="1:88" s="122" customFormat="1" ht="23.1" customHeight="1" x14ac:dyDescent="0.3">
      <c r="A93" s="137">
        <v>91</v>
      </c>
      <c r="B93" s="62" t="s">
        <v>138</v>
      </c>
      <c r="C93" s="62" t="s">
        <v>139</v>
      </c>
      <c r="D93" s="62" t="s">
        <v>450</v>
      </c>
      <c r="E93" s="62" t="s">
        <v>35</v>
      </c>
      <c r="F93" s="139"/>
      <c r="G93" s="139">
        <f>'Review 1'!Q93</f>
        <v>0</v>
      </c>
      <c r="H93" s="139">
        <f>'Review 1'!W93</f>
        <v>0</v>
      </c>
      <c r="I93" s="139">
        <f>'Review 1'!AC93</f>
        <v>0</v>
      </c>
      <c r="J93" s="139">
        <f>'Review 1'!AI93</f>
        <v>0</v>
      </c>
      <c r="K93" s="139"/>
      <c r="L93" s="139">
        <f>'Review 1'!AU93</f>
        <v>0</v>
      </c>
      <c r="M93" s="138"/>
      <c r="N93" s="139"/>
      <c r="O93" s="139">
        <f>'Review 2'!Q93</f>
        <v>2.2000000000000002</v>
      </c>
      <c r="P93" s="139">
        <f>'Review 2'!W93</f>
        <v>3</v>
      </c>
      <c r="Q93" s="139">
        <f>'Review 2'!AC93</f>
        <v>3</v>
      </c>
      <c r="R93" s="139">
        <f>'Review 2'!AI93</f>
        <v>4</v>
      </c>
      <c r="S93" s="139"/>
      <c r="T93" s="139">
        <f>'Review 2'!AU93</f>
        <v>4</v>
      </c>
      <c r="U93" s="138"/>
      <c r="V93" s="62"/>
      <c r="W93" s="139">
        <f>'Review 3'!Q93</f>
        <v>0.6</v>
      </c>
      <c r="X93" s="139">
        <f>'Review 3'!W93</f>
        <v>0</v>
      </c>
      <c r="Y93" s="139">
        <f>'Review 3'!AC93</f>
        <v>0</v>
      </c>
      <c r="Z93" s="139">
        <f>'Review 3'!AI93</f>
        <v>0</v>
      </c>
      <c r="AA93" s="62"/>
      <c r="AB93" s="139">
        <f>'Review 3'!AU93</f>
        <v>0</v>
      </c>
      <c r="AC93" s="138"/>
      <c r="AD93" s="62"/>
      <c r="AE93" s="139">
        <f>'Review 4'!Q93</f>
        <v>2.8</v>
      </c>
      <c r="AF93" s="139">
        <f>'Review 4'!W93</f>
        <v>3.6666666666666665</v>
      </c>
      <c r="AG93" s="139">
        <f>'Review 4'!AC93</f>
        <v>4</v>
      </c>
      <c r="AH93" s="139">
        <f>'Review 4'!AI93</f>
        <v>2.5</v>
      </c>
      <c r="AI93" s="139"/>
      <c r="AJ93" s="139">
        <f>'Review 4'!AU93</f>
        <v>4.333333333333333</v>
      </c>
      <c r="AK93" s="138"/>
      <c r="AL93" s="62"/>
      <c r="AM93" s="139">
        <f>'Reflection -1 '!Q93</f>
        <v>2.6666666666666665</v>
      </c>
      <c r="AN93" s="62"/>
      <c r="AO93" s="62"/>
      <c r="AP93" s="62"/>
      <c r="AQ93" s="62"/>
      <c r="AR93" s="62"/>
      <c r="AS93" s="138"/>
      <c r="AT93" s="62"/>
      <c r="AU93" s="139">
        <f>'Reflection -2'!Q93</f>
        <v>0</v>
      </c>
      <c r="AV93" s="62"/>
      <c r="AW93" s="62"/>
      <c r="AX93" s="62"/>
      <c r="AY93" s="139"/>
      <c r="AZ93" s="62"/>
      <c r="BA93" s="138"/>
      <c r="BB93" s="139"/>
      <c r="BC93" s="139">
        <f>'Reflection -3'!Q93</f>
        <v>0</v>
      </c>
      <c r="BD93" s="139"/>
      <c r="BE93" s="139"/>
      <c r="BF93" s="139"/>
      <c r="BG93" s="139"/>
      <c r="BH93" s="139"/>
      <c r="BI93" s="138"/>
      <c r="BJ93" s="139"/>
      <c r="BK93" s="139">
        <f>'Reflection -3'!Q93</f>
        <v>0</v>
      </c>
      <c r="BL93" s="62"/>
      <c r="BM93" s="139"/>
      <c r="BN93" s="62"/>
      <c r="BO93" s="139"/>
      <c r="BP93" s="139"/>
      <c r="BQ93" s="138"/>
      <c r="BR93" s="139"/>
      <c r="BS93" s="139">
        <f>Capstone!Q94</f>
        <v>5</v>
      </c>
      <c r="BT93" s="139">
        <f>Capstone!W94</f>
        <v>5</v>
      </c>
      <c r="BU93" s="139">
        <f>Capstone!AC94</f>
        <v>5</v>
      </c>
      <c r="BV93" s="139">
        <f>Capstone!AI94</f>
        <v>5</v>
      </c>
      <c r="BW93" s="139">
        <f>Capstone!AO94</f>
        <v>5</v>
      </c>
      <c r="BX93" s="139">
        <f>Capstone!AU94</f>
        <v>5</v>
      </c>
      <c r="BY93" s="138"/>
      <c r="BZ93" s="139"/>
      <c r="CA9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1.0333333333333334</v>
      </c>
      <c r="CB93" s="139">
        <f>IFERROR(AVERAGE(Table110461117[[#This Row],[Column31]],Table110461117[[#This Row],[Column13]],Table110461117[[#This Row],[Column4]],Table110461117[[#This Row],[Column22]],),"A")</f>
        <v>1.3333333333333333</v>
      </c>
      <c r="CC93" s="139">
        <f>IFERROR(AVERAGE(Table110461117[[#This Row],[Column5]],Table110461117[[#This Row],[Column14]],Table110461117[[#This Row],[Column23]],Table110461117[[#This Row],[Column32]]),"A")</f>
        <v>1.75</v>
      </c>
      <c r="CD93" s="139">
        <f>IFERROR(AVERAGE(Table110461117[[#This Row],[Column6]],Table110461117[[#This Row],[Column15]],Table110461117[[#This Row],[Column24]],Table110461117[[#This Row],[Column33]]),"A")</f>
        <v>1.625</v>
      </c>
      <c r="CE93" s="139"/>
      <c r="CF93" s="139">
        <f>IFERROR(AVERAGE(Table110461117[[#This Row],[Column26]],Table110461117[[#This Row],[Column35]],Table110461117[[#This Row],[Column17]],Table110461117[[#This Row],[Column8]]),"A")</f>
        <v>2.083333333333333</v>
      </c>
      <c r="CG93" s="138"/>
      <c r="CH93" s="139">
        <f>IFERROR(AVERAGE('Review 1'!AX93,'Review 2'!AX93,'Review 3'!AX93,'Review 4'!AX93,'Reflection -1 '!AX93,'Reflection -2'!AX93,'Reflection -3'!AX93,'Reflection -4'!AX93),"A")</f>
        <v>1.75</v>
      </c>
      <c r="CI93" s="139">
        <f>IFERROR(AVERAGE('Review 1'!AY93,'Review 2'!AY93,'Review 3'!AY93,'Review 4'!AY93,'Reflection -1 '!AY93,'Reflection -2'!AY93,'Reflection -3'!AY93,'Reflection -4'!AY93,Capstone!AY94),"A")</f>
        <v>1.4444444444444444</v>
      </c>
      <c r="CJ93" s="139">
        <f>IFERROR(AVERAGE('Review 1'!AZ93,'Review 2'!AZ93,'Review 3'!AZ93,'Review 4'!AZ93,'Reflection -1 '!AZ93,'Reflection -2'!AZ93,'Reflection -3'!AZ93,'Reflection -4'!AZ93),"A")</f>
        <v>1.25</v>
      </c>
    </row>
    <row r="94" spans="1:88" s="122" customFormat="1" ht="23.1" customHeight="1" x14ac:dyDescent="0.3">
      <c r="A94" s="6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140"/>
      <c r="G94" s="140">
        <f>'Review 1'!Q94</f>
        <v>3</v>
      </c>
      <c r="H94" s="140">
        <f>'Review 1'!W94</f>
        <v>3</v>
      </c>
      <c r="I94" s="140">
        <f>'Review 1'!AC94</f>
        <v>3</v>
      </c>
      <c r="J94" s="140">
        <f>'Review 1'!AI94</f>
        <v>3</v>
      </c>
      <c r="K94" s="140"/>
      <c r="L94" s="140">
        <f>'Review 1'!AU94</f>
        <v>3</v>
      </c>
      <c r="M94" s="138"/>
      <c r="N94" s="140"/>
      <c r="O94" s="140">
        <f>'Review 2'!Q94</f>
        <v>3</v>
      </c>
      <c r="P94" s="140">
        <f>'Review 2'!W94</f>
        <v>3</v>
      </c>
      <c r="Q94" s="140">
        <f>'Review 2'!AC94</f>
        <v>3</v>
      </c>
      <c r="R94" s="140">
        <f>'Review 2'!AI94</f>
        <v>3</v>
      </c>
      <c r="S94" s="140"/>
      <c r="T94" s="140">
        <f>'Review 2'!AU94</f>
        <v>3</v>
      </c>
      <c r="U94" s="138"/>
      <c r="V94" s="7"/>
      <c r="W94" s="140">
        <f>'Review 3'!Q94</f>
        <v>3</v>
      </c>
      <c r="X94" s="140">
        <f>'Review 3'!W94</f>
        <v>3</v>
      </c>
      <c r="Y94" s="140">
        <f>'Review 3'!AC94</f>
        <v>3</v>
      </c>
      <c r="Z94" s="140">
        <f>'Review 3'!AI94</f>
        <v>2.5</v>
      </c>
      <c r="AA94" s="7"/>
      <c r="AB94" s="140">
        <f>'Review 3'!AU94</f>
        <v>3</v>
      </c>
      <c r="AC94" s="138"/>
      <c r="AD94" s="7"/>
      <c r="AE94" s="140">
        <f>'Review 4'!Q94</f>
        <v>2.4</v>
      </c>
      <c r="AF94" s="140">
        <f>'Review 4'!W94</f>
        <v>2</v>
      </c>
      <c r="AG94" s="140">
        <f>'Review 4'!AC94</f>
        <v>2</v>
      </c>
      <c r="AH94" s="140">
        <f>'Review 4'!AI94</f>
        <v>4</v>
      </c>
      <c r="AI94" s="140"/>
      <c r="AJ94" s="140">
        <f>'Review 4'!AU94</f>
        <v>2.3333333333333335</v>
      </c>
      <c r="AK94" s="138"/>
      <c r="AL94" s="7"/>
      <c r="AM94" s="140">
        <f>'Reflection -1 '!Q94</f>
        <v>4.333333333333333</v>
      </c>
      <c r="AN94" s="7"/>
      <c r="AO94" s="7"/>
      <c r="AP94" s="7"/>
      <c r="AQ94" s="7"/>
      <c r="AR94" s="7"/>
      <c r="AS94" s="138"/>
      <c r="AT94" s="7"/>
      <c r="AU94" s="140">
        <f>'Reflection -2'!Q94</f>
        <v>4</v>
      </c>
      <c r="AV94" s="7"/>
      <c r="AW94" s="7"/>
      <c r="AX94" s="7"/>
      <c r="AY94" s="140"/>
      <c r="AZ94" s="7"/>
      <c r="BA94" s="138"/>
      <c r="BB94" s="140"/>
      <c r="BC94" s="140">
        <f>'Reflection -3'!Q94</f>
        <v>4.666666666666667</v>
      </c>
      <c r="BD94" s="140"/>
      <c r="BE94" s="140"/>
      <c r="BF94" s="140"/>
      <c r="BG94" s="140"/>
      <c r="BH94" s="140"/>
      <c r="BI94" s="138"/>
      <c r="BJ94" s="140"/>
      <c r="BK94" s="140">
        <f>'Reflection -3'!Q94</f>
        <v>4.666666666666667</v>
      </c>
      <c r="BL94" s="7"/>
      <c r="BM94" s="140"/>
      <c r="BN94" s="7"/>
      <c r="BO94" s="140"/>
      <c r="BP94" s="140"/>
      <c r="BQ94" s="138"/>
      <c r="BR94" s="140"/>
      <c r="BS94" s="140">
        <f>Capstone!Q95</f>
        <v>2</v>
      </c>
      <c r="BT94" s="140">
        <f>Capstone!W95</f>
        <v>3</v>
      </c>
      <c r="BU94" s="140">
        <f>Capstone!AC95</f>
        <v>3</v>
      </c>
      <c r="BV94" s="140">
        <f>Capstone!AI95</f>
        <v>0</v>
      </c>
      <c r="BW94" s="140">
        <f>Capstone!AO95</f>
        <v>3</v>
      </c>
      <c r="BX94" s="140">
        <f>Capstone!AU95</f>
        <v>3</v>
      </c>
      <c r="BY94" s="138"/>
      <c r="BZ94" s="140"/>
      <c r="CA9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3.6333333333333333</v>
      </c>
      <c r="CB94" s="140">
        <f>IFERROR(AVERAGE(Table110461117[[#This Row],[Column31]],Table110461117[[#This Row],[Column13]],Table110461117[[#This Row],[Column4]],Table110461117[[#This Row],[Column22]],),"A")</f>
        <v>2.2000000000000002</v>
      </c>
      <c r="CC94" s="140">
        <f>IFERROR(AVERAGE(Table110461117[[#This Row],[Column5]],Table110461117[[#This Row],[Column14]],Table110461117[[#This Row],[Column23]],Table110461117[[#This Row],[Column32]]),"A")</f>
        <v>2.75</v>
      </c>
      <c r="CD94" s="140">
        <f>IFERROR(AVERAGE(Table110461117[[#This Row],[Column6]],Table110461117[[#This Row],[Column15]],Table110461117[[#This Row],[Column24]],Table110461117[[#This Row],[Column33]]),"A")</f>
        <v>3.125</v>
      </c>
      <c r="CE94" s="140"/>
      <c r="CF94" s="140">
        <f>IFERROR(AVERAGE(Table110461117[[#This Row],[Column26]],Table110461117[[#This Row],[Column35]],Table110461117[[#This Row],[Column17]],Table110461117[[#This Row],[Column8]]),"A")</f>
        <v>2.8333333333333335</v>
      </c>
      <c r="CG94" s="138"/>
      <c r="CH94" s="140">
        <f>IFERROR(AVERAGE('Review 1'!AX94,'Review 2'!AX94,'Review 3'!AX94,'Review 4'!AX94,'Reflection -1 '!AX94,'Reflection -2'!AX94,'Reflection -3'!AX94,'Reflection -4'!AX94),"A")</f>
        <v>4</v>
      </c>
      <c r="CI94" s="140">
        <f>IFERROR(AVERAGE('Review 1'!AY94,'Review 2'!AY94,'Review 3'!AY94,'Review 4'!AY94,'Reflection -1 '!AY94,'Reflection -2'!AY94,'Reflection -3'!AY94,'Reflection -4'!AY94,Capstone!AY95),"A")</f>
        <v>1.3333333333333333</v>
      </c>
      <c r="CJ94" s="140">
        <f>IFERROR(AVERAGE('Review 1'!AZ94,'Review 2'!AZ94,'Review 3'!AZ94,'Review 4'!AZ94,'Reflection -1 '!AZ94,'Reflection -2'!AZ94,'Reflection -3'!AZ94,'Reflection -4'!AZ94),"A")</f>
        <v>3</v>
      </c>
    </row>
    <row r="95" spans="1:88" s="122" customFormat="1" ht="23.1" customHeight="1" x14ac:dyDescent="0.3">
      <c r="A95" s="137">
        <v>93</v>
      </c>
      <c r="B95" s="62" t="s">
        <v>340</v>
      </c>
      <c r="C95" s="62" t="s">
        <v>341</v>
      </c>
      <c r="D95" s="62" t="s">
        <v>542</v>
      </c>
      <c r="E95" s="62" t="s">
        <v>493</v>
      </c>
      <c r="F95" s="139"/>
      <c r="G95" s="139">
        <f>'Review 1'!Q95</f>
        <v>3</v>
      </c>
      <c r="H95" s="139">
        <f>'Review 1'!W95</f>
        <v>3</v>
      </c>
      <c r="I95" s="139">
        <f>'Review 1'!AC95</f>
        <v>3</v>
      </c>
      <c r="J95" s="139">
        <f>'Review 1'!AI95</f>
        <v>2.5</v>
      </c>
      <c r="K95" s="139"/>
      <c r="L95" s="139">
        <f>'Review 1'!AU95</f>
        <v>3</v>
      </c>
      <c r="M95" s="138"/>
      <c r="N95" s="139"/>
      <c r="O95" s="139">
        <f>'Review 2'!Q95</f>
        <v>2.2000000000000002</v>
      </c>
      <c r="P95" s="139">
        <f>'Review 2'!W95</f>
        <v>3</v>
      </c>
      <c r="Q95" s="139">
        <f>'Review 2'!AC95</f>
        <v>2.5</v>
      </c>
      <c r="R95" s="139">
        <f>'Review 2'!AI95</f>
        <v>1.5</v>
      </c>
      <c r="S95" s="139"/>
      <c r="T95" s="139">
        <f>'Review 2'!AU95</f>
        <v>2.3333333333333335</v>
      </c>
      <c r="U95" s="138"/>
      <c r="V95" s="62"/>
      <c r="W95" s="139">
        <f>'Review 3'!Q95</f>
        <v>2.4</v>
      </c>
      <c r="X95" s="139">
        <f>'Review 3'!W95</f>
        <v>0</v>
      </c>
      <c r="Y95" s="139">
        <f>'Review 3'!AC95</f>
        <v>0</v>
      </c>
      <c r="Z95" s="139">
        <f>'Review 3'!AI95</f>
        <v>0</v>
      </c>
      <c r="AA95" s="62"/>
      <c r="AB95" s="139">
        <f>'Review 3'!AU95</f>
        <v>0</v>
      </c>
      <c r="AC95" s="138"/>
      <c r="AD95" s="62"/>
      <c r="AE95" s="139">
        <f>'Review 4'!Q95</f>
        <v>2.6</v>
      </c>
      <c r="AF95" s="139">
        <f>'Review 4'!W95</f>
        <v>3</v>
      </c>
      <c r="AG95" s="139">
        <f>'Review 4'!AC95</f>
        <v>2.5</v>
      </c>
      <c r="AH95" s="139">
        <f>'Review 4'!AI95</f>
        <v>3</v>
      </c>
      <c r="AI95" s="139"/>
      <c r="AJ95" s="139">
        <f>'Review 4'!AU95</f>
        <v>3</v>
      </c>
      <c r="AK95" s="138"/>
      <c r="AL95" s="62"/>
      <c r="AM95" s="139">
        <f>'Reflection -1 '!Q95</f>
        <v>2.6666666666666665</v>
      </c>
      <c r="AN95" s="62"/>
      <c r="AO95" s="62"/>
      <c r="AP95" s="62"/>
      <c r="AQ95" s="62"/>
      <c r="AR95" s="62"/>
      <c r="AS95" s="138"/>
      <c r="AT95" s="62"/>
      <c r="AU95" s="139">
        <f>'Reflection -2'!Q95</f>
        <v>2.6666666666666665</v>
      </c>
      <c r="AV95" s="62"/>
      <c r="AW95" s="62"/>
      <c r="AX95" s="62"/>
      <c r="AY95" s="139"/>
      <c r="AZ95" s="62"/>
      <c r="BA95" s="138"/>
      <c r="BB95" s="139"/>
      <c r="BC95" s="139">
        <f>'Reflection -3'!Q95</f>
        <v>2.6666666666666665</v>
      </c>
      <c r="BD95" s="139"/>
      <c r="BE95" s="139"/>
      <c r="BF95" s="139"/>
      <c r="BG95" s="139"/>
      <c r="BH95" s="139"/>
      <c r="BI95" s="138"/>
      <c r="BJ95" s="139"/>
      <c r="BK95" s="139">
        <f>'Reflection -3'!Q95</f>
        <v>2.6666666666666665</v>
      </c>
      <c r="BL95" s="62"/>
      <c r="BM95" s="139"/>
      <c r="BN95" s="62"/>
      <c r="BO95" s="139"/>
      <c r="BP95" s="139"/>
      <c r="BQ95" s="138"/>
      <c r="BR95" s="139"/>
      <c r="BS95" s="139">
        <f>Capstone!Q96</f>
        <v>4</v>
      </c>
      <c r="BT95" s="139">
        <f>Capstone!W96</f>
        <v>3</v>
      </c>
      <c r="BU95" s="139">
        <f>Capstone!AC96</f>
        <v>3</v>
      </c>
      <c r="BV95" s="139">
        <f>Capstone!AI96</f>
        <v>3</v>
      </c>
      <c r="BW95" s="139">
        <f>Capstone!AO96</f>
        <v>3</v>
      </c>
      <c r="BX95" s="139">
        <f>Capstone!AU96</f>
        <v>4</v>
      </c>
      <c r="BY95" s="138"/>
      <c r="BZ95" s="139"/>
      <c r="CA9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2.6083333333333329</v>
      </c>
      <c r="CB95" s="139">
        <f>IFERROR(AVERAGE(Table110461117[[#This Row],[Column31]],Table110461117[[#This Row],[Column13]],Table110461117[[#This Row],[Column4]],Table110461117[[#This Row],[Column22]],),"A")</f>
        <v>1.8</v>
      </c>
      <c r="CC95" s="139">
        <f>IFERROR(AVERAGE(Table110461117[[#This Row],[Column5]],Table110461117[[#This Row],[Column14]],Table110461117[[#This Row],[Column23]],Table110461117[[#This Row],[Column32]]),"A")</f>
        <v>2</v>
      </c>
      <c r="CD95" s="139">
        <f>IFERROR(AVERAGE(Table110461117[[#This Row],[Column6]],Table110461117[[#This Row],[Column15]],Table110461117[[#This Row],[Column24]],Table110461117[[#This Row],[Column33]]),"A")</f>
        <v>1.75</v>
      </c>
      <c r="CE95" s="139"/>
      <c r="CF95" s="139">
        <f>IFERROR(AVERAGE(Table110461117[[#This Row],[Column26]],Table110461117[[#This Row],[Column35]],Table110461117[[#This Row],[Column17]],Table110461117[[#This Row],[Column8]]),"A")</f>
        <v>2.0833333333333335</v>
      </c>
      <c r="CG95" s="138"/>
      <c r="CH95" s="139">
        <f>IFERROR(AVERAGE('Review 1'!AX95,'Review 2'!AX95,'Review 3'!AX95,'Review 4'!AX95,'Reflection -1 '!AX95,'Reflection -2'!AX95,'Reflection -3'!AX95,'Reflection -4'!AX95),"A")</f>
        <v>3.75</v>
      </c>
      <c r="CI95" s="139">
        <f>IFERROR(AVERAGE('Review 1'!AY95,'Review 2'!AY95,'Review 3'!AY95,'Review 4'!AY95,'Reflection -1 '!AY95,'Reflection -2'!AY95,'Reflection -3'!AY95,'Reflection -4'!AY95,Capstone!AY96),"A")</f>
        <v>2.5555555555555554</v>
      </c>
      <c r="CJ95" s="139">
        <f>IFERROR(AVERAGE('Review 1'!AZ95,'Review 2'!AZ95,'Review 3'!AZ95,'Review 4'!AZ95,'Reflection -1 '!AZ95,'Reflection -2'!AZ95,'Reflection -3'!AZ95,'Reflection -4'!AZ95),"A")</f>
        <v>2.375</v>
      </c>
    </row>
    <row r="96" spans="1:88" s="122" customFormat="1" ht="23.1" customHeight="1" x14ac:dyDescent="0.3">
      <c r="A96" s="6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140"/>
      <c r="G96" s="140">
        <f>'Review 1'!Q96</f>
        <v>2.2000000000000002</v>
      </c>
      <c r="H96" s="140">
        <f>'Review 1'!W96</f>
        <v>3</v>
      </c>
      <c r="I96" s="140">
        <f>'Review 1'!AC96</f>
        <v>3</v>
      </c>
      <c r="J96" s="140">
        <f>'Review 1'!AI96</f>
        <v>4</v>
      </c>
      <c r="K96" s="140"/>
      <c r="L96" s="140">
        <f>'Review 1'!AU96</f>
        <v>1</v>
      </c>
      <c r="M96" s="138"/>
      <c r="N96" s="140"/>
      <c r="O96" s="140">
        <f>'Review 2'!Q96</f>
        <v>2.2000000000000002</v>
      </c>
      <c r="P96" s="140">
        <f>'Review 2'!W96</f>
        <v>3</v>
      </c>
      <c r="Q96" s="140">
        <f>'Review 2'!AC96</f>
        <v>3</v>
      </c>
      <c r="R96" s="140">
        <f>'Review 2'!AI96</f>
        <v>4</v>
      </c>
      <c r="S96" s="140"/>
      <c r="T96" s="140">
        <f>'Review 2'!AU96</f>
        <v>1</v>
      </c>
      <c r="U96" s="138"/>
      <c r="V96" s="7"/>
      <c r="W96" s="140">
        <f>'Review 3'!Q96</f>
        <v>2.2000000000000002</v>
      </c>
      <c r="X96" s="140">
        <f>'Review 3'!W96</f>
        <v>0</v>
      </c>
      <c r="Y96" s="140">
        <f>'Review 3'!AC96</f>
        <v>0</v>
      </c>
      <c r="Z96" s="140">
        <f>'Review 3'!AI96</f>
        <v>0</v>
      </c>
      <c r="AA96" s="7"/>
      <c r="AB96" s="140">
        <f>'Review 3'!AU96</f>
        <v>0</v>
      </c>
      <c r="AC96" s="138"/>
      <c r="AD96" s="7"/>
      <c r="AE96" s="140">
        <f>'Review 4'!Q96</f>
        <v>2.4</v>
      </c>
      <c r="AF96" s="140">
        <f>'Review 4'!W96</f>
        <v>4</v>
      </c>
      <c r="AG96" s="140">
        <f>'Review 4'!AC96</f>
        <v>3.5</v>
      </c>
      <c r="AH96" s="140">
        <f>'Review 4'!AI96</f>
        <v>2.5</v>
      </c>
      <c r="AI96" s="140"/>
      <c r="AJ96" s="140">
        <f>'Review 4'!AU96</f>
        <v>3.6666666666666665</v>
      </c>
      <c r="AK96" s="138"/>
      <c r="AL96" s="7"/>
      <c r="AM96" s="140">
        <f>'Reflection -1 '!Q96</f>
        <v>4</v>
      </c>
      <c r="AN96" s="7"/>
      <c r="AO96" s="7"/>
      <c r="AP96" s="7"/>
      <c r="AQ96" s="7"/>
      <c r="AR96" s="7"/>
      <c r="AS96" s="138"/>
      <c r="AT96" s="7"/>
      <c r="AU96" s="140">
        <f>'Reflection -2'!Q96</f>
        <v>3</v>
      </c>
      <c r="AV96" s="7"/>
      <c r="AW96" s="7"/>
      <c r="AX96" s="7"/>
      <c r="AY96" s="140"/>
      <c r="AZ96" s="7"/>
      <c r="BA96" s="138"/>
      <c r="BB96" s="140"/>
      <c r="BC96" s="140">
        <f>'Reflection -3'!Q96</f>
        <v>2.6666666666666665</v>
      </c>
      <c r="BD96" s="140"/>
      <c r="BE96" s="140"/>
      <c r="BF96" s="140"/>
      <c r="BG96" s="140"/>
      <c r="BH96" s="140"/>
      <c r="BI96" s="138"/>
      <c r="BJ96" s="140"/>
      <c r="BK96" s="140">
        <f>'Reflection -3'!Q96</f>
        <v>2.6666666666666665</v>
      </c>
      <c r="BL96" s="7"/>
      <c r="BM96" s="140"/>
      <c r="BN96" s="7"/>
      <c r="BO96" s="140"/>
      <c r="BP96" s="140"/>
      <c r="BQ96" s="138"/>
      <c r="BR96" s="140"/>
      <c r="BS96" s="140">
        <f>Capstone!Q97</f>
        <v>3.3333333333333335</v>
      </c>
      <c r="BT96" s="140">
        <f>Capstone!W97</f>
        <v>4</v>
      </c>
      <c r="BU96" s="140">
        <f>Capstone!AC97</f>
        <v>4</v>
      </c>
      <c r="BV96" s="140">
        <f>Capstone!AI97</f>
        <v>4</v>
      </c>
      <c r="BW96" s="140">
        <f>Capstone!AO97</f>
        <v>4</v>
      </c>
      <c r="BX96" s="140">
        <f>Capstone!AU97</f>
        <v>4</v>
      </c>
      <c r="BY96" s="138"/>
      <c r="BZ96" s="140"/>
      <c r="CA9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2.6666666666666665</v>
      </c>
      <c r="CB96" s="140">
        <f>IFERROR(AVERAGE(Table110461117[[#This Row],[Column31]],Table110461117[[#This Row],[Column13]],Table110461117[[#This Row],[Column4]],Table110461117[[#This Row],[Column22]],),"A")</f>
        <v>2</v>
      </c>
      <c r="CC96" s="140">
        <f>IFERROR(AVERAGE(Table110461117[[#This Row],[Column5]],Table110461117[[#This Row],[Column14]],Table110461117[[#This Row],[Column23]],Table110461117[[#This Row],[Column32]]),"A")</f>
        <v>2.375</v>
      </c>
      <c r="CD96" s="140">
        <f>IFERROR(AVERAGE(Table110461117[[#This Row],[Column6]],Table110461117[[#This Row],[Column15]],Table110461117[[#This Row],[Column24]],Table110461117[[#This Row],[Column33]]),"A")</f>
        <v>2.625</v>
      </c>
      <c r="CE96" s="140"/>
      <c r="CF96" s="140">
        <f>IFERROR(AVERAGE(Table110461117[[#This Row],[Column26]],Table110461117[[#This Row],[Column35]],Table110461117[[#This Row],[Column17]],Table110461117[[#This Row],[Column8]]),"A")</f>
        <v>1.4166666666666665</v>
      </c>
      <c r="CG96" s="138"/>
      <c r="CH96" s="140">
        <f>IFERROR(AVERAGE('Review 1'!AX96,'Review 2'!AX96,'Review 3'!AX96,'Review 4'!AX96,'Reflection -1 '!AX96,'Reflection -2'!AX96,'Reflection -3'!AX96,'Reflection -4'!AX96),"A")</f>
        <v>4.25</v>
      </c>
      <c r="CI96" s="140">
        <f>IFERROR(AVERAGE('Review 1'!AY96,'Review 2'!AY96,'Review 3'!AY96,'Review 4'!AY96,'Reflection -1 '!AY96,'Reflection -2'!AY96,'Reflection -3'!AY96,'Reflection -4'!AY96,Capstone!AY97),"A")</f>
        <v>1.8888888888888888</v>
      </c>
      <c r="CJ96" s="140">
        <f>IFERROR(AVERAGE('Review 1'!AZ96,'Review 2'!AZ96,'Review 3'!AZ96,'Review 4'!AZ96,'Reflection -1 '!AZ96,'Reflection -2'!AZ96,'Reflection -3'!AZ96,'Reflection -4'!AZ96),"A")</f>
        <v>2.875</v>
      </c>
    </row>
    <row r="97" spans="1:88" s="122" customFormat="1" ht="23.1" customHeight="1" x14ac:dyDescent="0.3">
      <c r="A97" s="137">
        <v>95</v>
      </c>
      <c r="B97" s="62" t="s">
        <v>249</v>
      </c>
      <c r="C97" s="62" t="s">
        <v>250</v>
      </c>
      <c r="D97" s="62" t="s">
        <v>450</v>
      </c>
      <c r="E97" s="62" t="s">
        <v>161</v>
      </c>
      <c r="F97" s="139"/>
      <c r="G97" s="139">
        <f>'Review 1'!Q97</f>
        <v>3.6</v>
      </c>
      <c r="H97" s="139">
        <f>'Review 1'!W97</f>
        <v>3.6666666666666665</v>
      </c>
      <c r="I97" s="139">
        <f>'Review 1'!AC97</f>
        <v>3.5</v>
      </c>
      <c r="J97" s="139">
        <f>'Review 1'!AI97</f>
        <v>3.5</v>
      </c>
      <c r="K97" s="139"/>
      <c r="L97" s="139">
        <f>'Review 1'!AU97</f>
        <v>3.3333333333333335</v>
      </c>
      <c r="M97" s="138"/>
      <c r="N97" s="139"/>
      <c r="O97" s="139">
        <f>'Review 2'!Q97</f>
        <v>3.2</v>
      </c>
      <c r="P97" s="139">
        <f>'Review 2'!W97</f>
        <v>3.6666666666666665</v>
      </c>
      <c r="Q97" s="139">
        <f>'Review 2'!AC97</f>
        <v>3.5</v>
      </c>
      <c r="R97" s="139">
        <f>'Review 2'!AI97</f>
        <v>3.5</v>
      </c>
      <c r="S97" s="139"/>
      <c r="T97" s="139">
        <f>'Review 2'!AU97</f>
        <v>3.3333333333333335</v>
      </c>
      <c r="U97" s="138"/>
      <c r="V97" s="62"/>
      <c r="W97" s="139">
        <f>'Review 3'!Q97</f>
        <v>1</v>
      </c>
      <c r="X97" s="139">
        <f>'Review 3'!W97</f>
        <v>2.6666666666666665</v>
      </c>
      <c r="Y97" s="139">
        <f>'Review 3'!AC97</f>
        <v>3.5</v>
      </c>
      <c r="Z97" s="139">
        <f>'Review 3'!AI97</f>
        <v>3</v>
      </c>
      <c r="AA97" s="62"/>
      <c r="AB97" s="139">
        <f>'Review 3'!AU97</f>
        <v>3</v>
      </c>
      <c r="AC97" s="138"/>
      <c r="AD97" s="62"/>
      <c r="AE97" s="139">
        <f>'Review 4'!Q97</f>
        <v>3</v>
      </c>
      <c r="AF97" s="139">
        <f>'Review 4'!W97</f>
        <v>4</v>
      </c>
      <c r="AG97" s="139">
        <f>'Review 4'!AC97</f>
        <v>2.5</v>
      </c>
      <c r="AH97" s="139">
        <f>'Review 4'!AI97</f>
        <v>3</v>
      </c>
      <c r="AI97" s="139"/>
      <c r="AJ97" s="139">
        <f>'Review 4'!AU97</f>
        <v>4</v>
      </c>
      <c r="AK97" s="138"/>
      <c r="AL97" s="62"/>
      <c r="AM97" s="139">
        <f>'Reflection -1 '!Q97</f>
        <v>3</v>
      </c>
      <c r="AN97" s="62"/>
      <c r="AO97" s="62"/>
      <c r="AP97" s="62"/>
      <c r="AQ97" s="62"/>
      <c r="AR97" s="62"/>
      <c r="AS97" s="138"/>
      <c r="AT97" s="62"/>
      <c r="AU97" s="139">
        <f>'Reflection -2'!Q97</f>
        <v>2.3333333333333335</v>
      </c>
      <c r="AV97" s="62"/>
      <c r="AW97" s="62"/>
      <c r="AX97" s="62"/>
      <c r="AY97" s="139"/>
      <c r="AZ97" s="62"/>
      <c r="BA97" s="138"/>
      <c r="BB97" s="139"/>
      <c r="BC97" s="139">
        <f>'Reflection -3'!Q97</f>
        <v>3</v>
      </c>
      <c r="BD97" s="139"/>
      <c r="BE97" s="139"/>
      <c r="BF97" s="139"/>
      <c r="BG97" s="139"/>
      <c r="BH97" s="139"/>
      <c r="BI97" s="138"/>
      <c r="BJ97" s="139"/>
      <c r="BK97" s="139">
        <f>'Reflection -3'!Q97</f>
        <v>3</v>
      </c>
      <c r="BL97" s="62"/>
      <c r="BM97" s="139"/>
      <c r="BN97" s="62"/>
      <c r="BO97" s="139"/>
      <c r="BP97" s="139"/>
      <c r="BQ97" s="138"/>
      <c r="BR97" s="139"/>
      <c r="BS97" s="139">
        <f>Capstone!Q98</f>
        <v>4</v>
      </c>
      <c r="BT97" s="139">
        <f>Capstone!W98</f>
        <v>3.5</v>
      </c>
      <c r="BU97" s="139">
        <f>Capstone!AC98</f>
        <v>3.5</v>
      </c>
      <c r="BV97" s="139">
        <f>Capstone!AI98</f>
        <v>4</v>
      </c>
      <c r="BW97" s="139">
        <f>Capstone!AO98</f>
        <v>4</v>
      </c>
      <c r="BX97" s="139">
        <f>Capstone!AU98</f>
        <v>3</v>
      </c>
      <c r="BY97" s="138"/>
      <c r="BZ97" s="139"/>
      <c r="CA9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2.7666666666666662</v>
      </c>
      <c r="CB97" s="139">
        <f>IFERROR(AVERAGE(Table110461117[[#This Row],[Column31]],Table110461117[[#This Row],[Column13]],Table110461117[[#This Row],[Column4]],Table110461117[[#This Row],[Column22]],),"A")</f>
        <v>2.8</v>
      </c>
      <c r="CC97" s="139">
        <f>IFERROR(AVERAGE(Table110461117[[#This Row],[Column5]],Table110461117[[#This Row],[Column14]],Table110461117[[#This Row],[Column23]],Table110461117[[#This Row],[Column32]]),"A")</f>
        <v>3.25</v>
      </c>
      <c r="CD97" s="139">
        <f>IFERROR(AVERAGE(Table110461117[[#This Row],[Column6]],Table110461117[[#This Row],[Column15]],Table110461117[[#This Row],[Column24]],Table110461117[[#This Row],[Column33]]),"A")</f>
        <v>3.25</v>
      </c>
      <c r="CE97" s="139"/>
      <c r="CF97" s="139">
        <f>IFERROR(AVERAGE(Table110461117[[#This Row],[Column26]],Table110461117[[#This Row],[Column35]],Table110461117[[#This Row],[Column17]],Table110461117[[#This Row],[Column8]]),"A")</f>
        <v>3.416666666666667</v>
      </c>
      <c r="CG97" s="138"/>
      <c r="CH97" s="139">
        <f>IFERROR(AVERAGE('Review 1'!AX97,'Review 2'!AX97,'Review 3'!AX97,'Review 4'!AX97,'Reflection -1 '!AX97,'Reflection -2'!AX97,'Reflection -3'!AX97,'Reflection -4'!AX97),"A")</f>
        <v>3.25</v>
      </c>
      <c r="CI97" s="139">
        <f>IFERROR(AVERAGE('Review 1'!AY97,'Review 2'!AY97,'Review 3'!AY97,'Review 4'!AY97,'Reflection -1 '!AY97,'Reflection -2'!AY97,'Reflection -3'!AY97,'Reflection -4'!AY97,Capstone!AY98),"A")</f>
        <v>1.3888888888888888</v>
      </c>
      <c r="CJ97" s="139">
        <f>IFERROR(AVERAGE('Review 1'!AZ97,'Review 2'!AZ97,'Review 3'!AZ97,'Review 4'!AZ97,'Reflection -1 '!AZ97,'Reflection -2'!AZ97,'Reflection -3'!AZ97,'Reflection -4'!AZ97),"A")</f>
        <v>2</v>
      </c>
    </row>
    <row r="98" spans="1:88" s="122" customFormat="1" ht="23.1" customHeight="1" x14ac:dyDescent="0.3">
      <c r="A98" s="6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140"/>
      <c r="G98" s="140">
        <f>'Review 1'!Q98</f>
        <v>3.4</v>
      </c>
      <c r="H98" s="140">
        <f>'Review 1'!W98</f>
        <v>3</v>
      </c>
      <c r="I98" s="140">
        <f>'Review 1'!AC98</f>
        <v>3</v>
      </c>
      <c r="J98" s="140">
        <f>'Review 1'!AI98</f>
        <v>2.5</v>
      </c>
      <c r="K98" s="140"/>
      <c r="L98" s="140">
        <f>'Review 1'!AU98</f>
        <v>3</v>
      </c>
      <c r="M98" s="138"/>
      <c r="N98" s="140"/>
      <c r="O98" s="140">
        <f>'Review 2'!Q98</f>
        <v>2.2000000000000002</v>
      </c>
      <c r="P98" s="140">
        <f>'Review 2'!W98</f>
        <v>2</v>
      </c>
      <c r="Q98" s="140">
        <f>'Review 2'!AC98</f>
        <v>2</v>
      </c>
      <c r="R98" s="140">
        <f>'Review 2'!AI98</f>
        <v>1</v>
      </c>
      <c r="S98" s="140"/>
      <c r="T98" s="140">
        <f>'Review 2'!AU98</f>
        <v>2</v>
      </c>
      <c r="U98" s="138"/>
      <c r="V98" s="7"/>
      <c r="W98" s="140">
        <f>'Review 3'!Q98</f>
        <v>2.2000000000000002</v>
      </c>
      <c r="X98" s="140">
        <f>'Review 3'!W98</f>
        <v>0</v>
      </c>
      <c r="Y98" s="140">
        <f>'Review 3'!AC98</f>
        <v>0</v>
      </c>
      <c r="Z98" s="140">
        <f>'Review 3'!AI98</f>
        <v>0</v>
      </c>
      <c r="AA98" s="7"/>
      <c r="AB98" s="140">
        <f>'Review 3'!AU98</f>
        <v>0</v>
      </c>
      <c r="AC98" s="138"/>
      <c r="AD98" s="7"/>
      <c r="AE98" s="140">
        <f>'Review 4'!Q98</f>
        <v>2</v>
      </c>
      <c r="AF98" s="140">
        <f>'Review 4'!W98</f>
        <v>1</v>
      </c>
      <c r="AG98" s="140">
        <f>'Review 4'!AC98</f>
        <v>1</v>
      </c>
      <c r="AH98" s="140">
        <f>'Review 4'!AI98</f>
        <v>1</v>
      </c>
      <c r="AI98" s="140"/>
      <c r="AJ98" s="140">
        <f>'Review 4'!AU98</f>
        <v>1</v>
      </c>
      <c r="AK98" s="138"/>
      <c r="AL98" s="7"/>
      <c r="AM98" s="140">
        <f>'Reflection -1 '!Q98</f>
        <v>2</v>
      </c>
      <c r="AN98" s="7"/>
      <c r="AO98" s="7"/>
      <c r="AP98" s="7"/>
      <c r="AQ98" s="7"/>
      <c r="AR98" s="7"/>
      <c r="AS98" s="138"/>
      <c r="AT98" s="7"/>
      <c r="AU98" s="140">
        <f>'Reflection -2'!Q98</f>
        <v>2.6666666666666665</v>
      </c>
      <c r="AV98" s="7"/>
      <c r="AW98" s="7"/>
      <c r="AX98" s="7"/>
      <c r="AY98" s="140"/>
      <c r="AZ98" s="7"/>
      <c r="BA98" s="138"/>
      <c r="BB98" s="140"/>
      <c r="BC98" s="140">
        <f>'Reflection -3'!Q98</f>
        <v>2</v>
      </c>
      <c r="BD98" s="140"/>
      <c r="BE98" s="140"/>
      <c r="BF98" s="140"/>
      <c r="BG98" s="140"/>
      <c r="BH98" s="140"/>
      <c r="BI98" s="138"/>
      <c r="BJ98" s="140"/>
      <c r="BK98" s="140">
        <f>'Reflection -3'!Q98</f>
        <v>2</v>
      </c>
      <c r="BL98" s="7"/>
      <c r="BM98" s="140"/>
      <c r="BN98" s="7"/>
      <c r="BO98" s="140"/>
      <c r="BP98" s="140"/>
      <c r="BQ98" s="138"/>
      <c r="BR98" s="140"/>
      <c r="BS98" s="140">
        <f>Capstone!Q99</f>
        <v>3</v>
      </c>
      <c r="BT98" s="140">
        <f>Capstone!W99</f>
        <v>4</v>
      </c>
      <c r="BU98" s="140">
        <f>Capstone!AC99</f>
        <v>4</v>
      </c>
      <c r="BV98" s="140">
        <f>Capstone!AI99</f>
        <v>3</v>
      </c>
      <c r="BW98" s="140">
        <f>Capstone!AO99</f>
        <v>2</v>
      </c>
      <c r="BX98" s="140">
        <f>Capstone!AU99</f>
        <v>3</v>
      </c>
      <c r="BY98" s="138"/>
      <c r="BZ98" s="140"/>
      <c r="CA9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2.3083333333333331</v>
      </c>
      <c r="CB98" s="140">
        <f>IFERROR(AVERAGE(Table110461117[[#This Row],[Column31]],Table110461117[[#This Row],[Column13]],Table110461117[[#This Row],[Column4]],Table110461117[[#This Row],[Column22]],),"A")</f>
        <v>1.2</v>
      </c>
      <c r="CC98" s="140">
        <f>IFERROR(AVERAGE(Table110461117[[#This Row],[Column5]],Table110461117[[#This Row],[Column14]],Table110461117[[#This Row],[Column23]],Table110461117[[#This Row],[Column32]]),"A")</f>
        <v>1.5</v>
      </c>
      <c r="CD98" s="140">
        <f>IFERROR(AVERAGE(Table110461117[[#This Row],[Column6]],Table110461117[[#This Row],[Column15]],Table110461117[[#This Row],[Column24]],Table110461117[[#This Row],[Column33]]),"A")</f>
        <v>1.125</v>
      </c>
      <c r="CE98" s="140"/>
      <c r="CF98" s="140">
        <f>IFERROR(AVERAGE(Table110461117[[#This Row],[Column26]],Table110461117[[#This Row],[Column35]],Table110461117[[#This Row],[Column17]],Table110461117[[#This Row],[Column8]]),"A")</f>
        <v>1.5</v>
      </c>
      <c r="CG98" s="138"/>
      <c r="CH98" s="140">
        <f>IFERROR(AVERAGE('Review 1'!AX98,'Review 2'!AX98,'Review 3'!AX98,'Review 4'!AX98,'Reflection -1 '!AX98,'Reflection -2'!AX98,'Reflection -3'!AX98,'Reflection -4'!AX98),"A")</f>
        <v>2.375</v>
      </c>
      <c r="CI98" s="140">
        <f>IFERROR(AVERAGE('Review 1'!AY98,'Review 2'!AY98,'Review 3'!AY98,'Review 4'!AY98,'Reflection -1 '!AY98,'Reflection -2'!AY98,'Reflection -3'!AY98,'Reflection -4'!AY98,Capstone!AY99),"A")</f>
        <v>2</v>
      </c>
      <c r="CJ98" s="140">
        <f>IFERROR(AVERAGE('Review 1'!AZ98,'Review 2'!AZ98,'Review 3'!AZ98,'Review 4'!AZ98,'Reflection -1 '!AZ98,'Reflection -2'!AZ98,'Reflection -3'!AZ98,'Reflection -4'!AZ98),"A")</f>
        <v>1.75</v>
      </c>
    </row>
    <row r="99" spans="1:88" s="122" customFormat="1" ht="23.1" customHeight="1" x14ac:dyDescent="0.3">
      <c r="A99" s="137">
        <v>97</v>
      </c>
      <c r="B99" s="62" t="s">
        <v>184</v>
      </c>
      <c r="C99" s="62" t="s">
        <v>185</v>
      </c>
      <c r="D99" s="62" t="s">
        <v>542</v>
      </c>
      <c r="E99" s="62" t="s">
        <v>161</v>
      </c>
      <c r="F99" s="139"/>
      <c r="G99" s="139">
        <f>'Review 1'!Q99</f>
        <v>4</v>
      </c>
      <c r="H99" s="139">
        <f>'Review 1'!W99</f>
        <v>4</v>
      </c>
      <c r="I99" s="139">
        <f>'Review 1'!AC99</f>
        <v>4</v>
      </c>
      <c r="J99" s="139">
        <f>'Review 1'!AI99</f>
        <v>4</v>
      </c>
      <c r="K99" s="139"/>
      <c r="L99" s="139">
        <f>'Review 1'!AU99</f>
        <v>4</v>
      </c>
      <c r="M99" s="138"/>
      <c r="N99" s="139"/>
      <c r="O99" s="139">
        <f>'Review 2'!Q99</f>
        <v>4</v>
      </c>
      <c r="P99" s="139">
        <f>'Review 2'!W99</f>
        <v>4</v>
      </c>
      <c r="Q99" s="139">
        <f>'Review 2'!AC99</f>
        <v>4</v>
      </c>
      <c r="R99" s="139">
        <f>'Review 2'!AI99</f>
        <v>4</v>
      </c>
      <c r="S99" s="139"/>
      <c r="T99" s="139">
        <f>'Review 2'!AU99</f>
        <v>4</v>
      </c>
      <c r="U99" s="138"/>
      <c r="V99" s="62"/>
      <c r="W99" s="139">
        <f>'Review 3'!Q99</f>
        <v>3</v>
      </c>
      <c r="X99" s="139">
        <f>'Review 3'!W99</f>
        <v>2</v>
      </c>
      <c r="Y99" s="139">
        <f>'Review 3'!AC99</f>
        <v>4</v>
      </c>
      <c r="Z99" s="139">
        <f>'Review 3'!AI99</f>
        <v>2</v>
      </c>
      <c r="AA99" s="62"/>
      <c r="AB99" s="139">
        <f>'Review 3'!AU99</f>
        <v>2.3333333333333335</v>
      </c>
      <c r="AC99" s="138"/>
      <c r="AD99" s="62"/>
      <c r="AE99" s="139">
        <f>'Review 4'!Q99</f>
        <v>2.2000000000000002</v>
      </c>
      <c r="AF99" s="139">
        <f>'Review 4'!W99</f>
        <v>4</v>
      </c>
      <c r="AG99" s="139">
        <f>'Review 4'!AC99</f>
        <v>3.5</v>
      </c>
      <c r="AH99" s="139">
        <f>'Review 4'!AI99</f>
        <v>5</v>
      </c>
      <c r="AI99" s="139"/>
      <c r="AJ99" s="139">
        <f>'Review 4'!AU99</f>
        <v>5</v>
      </c>
      <c r="AK99" s="138"/>
      <c r="AL99" s="62"/>
      <c r="AM99" s="139">
        <f>'Reflection -1 '!Q99</f>
        <v>3.3333333333333335</v>
      </c>
      <c r="AN99" s="62"/>
      <c r="AO99" s="62"/>
      <c r="AP99" s="62"/>
      <c r="AQ99" s="62"/>
      <c r="AR99" s="62"/>
      <c r="AS99" s="138"/>
      <c r="AT99" s="62"/>
      <c r="AU99" s="139">
        <f>'Reflection -2'!Q99</f>
        <v>0</v>
      </c>
      <c r="AV99" s="62"/>
      <c r="AW99" s="62"/>
      <c r="AX99" s="62"/>
      <c r="AY99" s="139"/>
      <c r="AZ99" s="62"/>
      <c r="BA99" s="138"/>
      <c r="BB99" s="139"/>
      <c r="BC99" s="139">
        <f>'Reflection -3'!Q99</f>
        <v>0</v>
      </c>
      <c r="BD99" s="139"/>
      <c r="BE99" s="139"/>
      <c r="BF99" s="139"/>
      <c r="BG99" s="139"/>
      <c r="BH99" s="139"/>
      <c r="BI99" s="138"/>
      <c r="BJ99" s="139"/>
      <c r="BK99" s="139">
        <f>'Reflection -3'!Q99</f>
        <v>0</v>
      </c>
      <c r="BL99" s="62"/>
      <c r="BM99" s="139"/>
      <c r="BN99" s="62"/>
      <c r="BO99" s="139"/>
      <c r="BP99" s="139"/>
      <c r="BQ99" s="138"/>
      <c r="BR99" s="139"/>
      <c r="BS99" s="139">
        <f>Capstone!Q100</f>
        <v>3.8333333333333335</v>
      </c>
      <c r="BT99" s="139">
        <f>Capstone!W100</f>
        <v>4</v>
      </c>
      <c r="BU99" s="139">
        <f>Capstone!AC100</f>
        <v>4</v>
      </c>
      <c r="BV99" s="139">
        <f>Capstone!AI100</f>
        <v>0</v>
      </c>
      <c r="BW99" s="139">
        <f>Capstone!AO100</f>
        <v>4</v>
      </c>
      <c r="BX99" s="139">
        <f>Capstone!AU100</f>
        <v>4</v>
      </c>
      <c r="BY99" s="138"/>
      <c r="BZ99" s="139"/>
      <c r="CA9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2.0666666666666664</v>
      </c>
      <c r="CB99" s="139">
        <f>IFERROR(AVERAGE(Table110461117[[#This Row],[Column31]],Table110461117[[#This Row],[Column13]],Table110461117[[#This Row],[Column4]],Table110461117[[#This Row],[Column22]],),"A")</f>
        <v>2.8</v>
      </c>
      <c r="CC99" s="139">
        <f>IFERROR(AVERAGE(Table110461117[[#This Row],[Column5]],Table110461117[[#This Row],[Column14]],Table110461117[[#This Row],[Column23]],Table110461117[[#This Row],[Column32]]),"A")</f>
        <v>3.875</v>
      </c>
      <c r="CD99" s="139">
        <f>IFERROR(AVERAGE(Table110461117[[#This Row],[Column6]],Table110461117[[#This Row],[Column15]],Table110461117[[#This Row],[Column24]],Table110461117[[#This Row],[Column33]]),"A")</f>
        <v>3.75</v>
      </c>
      <c r="CE99" s="139"/>
      <c r="CF99" s="139">
        <f>IFERROR(AVERAGE(Table110461117[[#This Row],[Column26]],Table110461117[[#This Row],[Column35]],Table110461117[[#This Row],[Column17]],Table110461117[[#This Row],[Column8]]),"A")</f>
        <v>3.8333333333333335</v>
      </c>
      <c r="CG99" s="138"/>
      <c r="CH99" s="139">
        <f>IFERROR(AVERAGE('Review 1'!AX99,'Review 2'!AX99,'Review 3'!AX99,'Review 4'!AX99,'Reflection -1 '!AX99,'Reflection -2'!AX99,'Reflection -3'!AX99,'Reflection -4'!AX99),"A")</f>
        <v>2.125</v>
      </c>
      <c r="CI99" s="139">
        <f>IFERROR(AVERAGE('Review 1'!AY99,'Review 2'!AY99,'Review 3'!AY99,'Review 4'!AY99,'Reflection -1 '!AY99,'Reflection -2'!AY99,'Reflection -3'!AY99,'Reflection -4'!AY99,Capstone!AY100),"A")</f>
        <v>1.8888888888888888</v>
      </c>
      <c r="CJ99" s="139">
        <f>IFERROR(AVERAGE('Review 1'!AZ99,'Review 2'!AZ99,'Review 3'!AZ99,'Review 4'!AZ99,'Reflection -1 '!AZ99,'Reflection -2'!AZ99,'Reflection -3'!AZ99,'Reflection -4'!AZ99),"A")</f>
        <v>2</v>
      </c>
    </row>
    <row r="100" spans="1:88" s="122" customFormat="1" ht="23.1" customHeight="1" x14ac:dyDescent="0.3">
      <c r="A100" s="6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140"/>
      <c r="G100" s="140">
        <f>'Review 1'!Q100</f>
        <v>2.8</v>
      </c>
      <c r="H100" s="140">
        <f>'Review 1'!W100</f>
        <v>3</v>
      </c>
      <c r="I100" s="140">
        <f>'Review 1'!AC100</f>
        <v>2.5</v>
      </c>
      <c r="J100" s="140">
        <f>'Review 1'!AI100</f>
        <v>2.5</v>
      </c>
      <c r="K100" s="140"/>
      <c r="L100" s="140">
        <f>'Review 1'!AU100</f>
        <v>3</v>
      </c>
      <c r="M100" s="138"/>
      <c r="N100" s="140"/>
      <c r="O100" s="140">
        <f>'Review 2'!Q100</f>
        <v>2.8</v>
      </c>
      <c r="P100" s="140">
        <f>'Review 2'!W100</f>
        <v>3</v>
      </c>
      <c r="Q100" s="140">
        <f>'Review 2'!AC100</f>
        <v>2.5</v>
      </c>
      <c r="R100" s="140">
        <f>'Review 2'!AI100</f>
        <v>1</v>
      </c>
      <c r="S100" s="140"/>
      <c r="T100" s="140">
        <f>'Review 2'!AU100</f>
        <v>2</v>
      </c>
      <c r="U100" s="138"/>
      <c r="V100" s="7"/>
      <c r="W100" s="140">
        <f>'Review 3'!Q100</f>
        <v>2.2000000000000002</v>
      </c>
      <c r="X100" s="140">
        <f>'Review 3'!W100</f>
        <v>0</v>
      </c>
      <c r="Y100" s="140">
        <f>'Review 3'!AC100</f>
        <v>0</v>
      </c>
      <c r="Z100" s="140">
        <f>'Review 3'!AI100</f>
        <v>0</v>
      </c>
      <c r="AA100" s="7"/>
      <c r="AB100" s="140">
        <f>'Review 3'!AU100</f>
        <v>0</v>
      </c>
      <c r="AC100" s="138"/>
      <c r="AD100" s="7"/>
      <c r="AE100" s="140">
        <f>'Review 4'!Q100</f>
        <v>2.2000000000000002</v>
      </c>
      <c r="AF100" s="140">
        <f>'Review 4'!W100</f>
        <v>3</v>
      </c>
      <c r="AG100" s="140">
        <f>'Review 4'!AC100</f>
        <v>2.5</v>
      </c>
      <c r="AH100" s="140">
        <f>'Review 4'!AI100</f>
        <v>2</v>
      </c>
      <c r="AI100" s="140"/>
      <c r="AJ100" s="140">
        <f>'Review 4'!AU100</f>
        <v>3.6666666666666665</v>
      </c>
      <c r="AK100" s="138"/>
      <c r="AL100" s="7"/>
      <c r="AM100" s="140">
        <f>'Reflection -1 '!Q100</f>
        <v>2.3333333333333335</v>
      </c>
      <c r="AN100" s="7"/>
      <c r="AO100" s="7"/>
      <c r="AP100" s="7"/>
      <c r="AQ100" s="7"/>
      <c r="AR100" s="7"/>
      <c r="AS100" s="138"/>
      <c r="AT100" s="7"/>
      <c r="AU100" s="140">
        <f>'Reflection -2'!Q100</f>
        <v>3</v>
      </c>
      <c r="AV100" s="7"/>
      <c r="AW100" s="7"/>
      <c r="AX100" s="7"/>
      <c r="AY100" s="140"/>
      <c r="AZ100" s="7"/>
      <c r="BA100" s="138"/>
      <c r="BB100" s="140"/>
      <c r="BC100" s="140">
        <f>'Reflection -3'!Q100</f>
        <v>3</v>
      </c>
      <c r="BD100" s="140"/>
      <c r="BE100" s="140"/>
      <c r="BF100" s="140"/>
      <c r="BG100" s="140"/>
      <c r="BH100" s="140"/>
      <c r="BI100" s="138"/>
      <c r="BJ100" s="140"/>
      <c r="BK100" s="140">
        <f>'Reflection -3'!Q100</f>
        <v>3</v>
      </c>
      <c r="BL100" s="7"/>
      <c r="BM100" s="140"/>
      <c r="BN100" s="7"/>
      <c r="BO100" s="140"/>
      <c r="BP100" s="140"/>
      <c r="BQ100" s="138"/>
      <c r="BR100" s="140"/>
      <c r="BS100" s="140">
        <f>Capstone!Q101</f>
        <v>4.333333333333333</v>
      </c>
      <c r="BT100" s="140">
        <f>Capstone!W101</f>
        <v>4</v>
      </c>
      <c r="BU100" s="140">
        <f>Capstone!AC101</f>
        <v>4</v>
      </c>
      <c r="BV100" s="140">
        <f>Capstone!AI101</f>
        <v>4</v>
      </c>
      <c r="BW100" s="140">
        <f>Capstone!AO101</f>
        <v>4</v>
      </c>
      <c r="BX100" s="140">
        <f>Capstone!AU101</f>
        <v>4</v>
      </c>
      <c r="BY100" s="138"/>
      <c r="BZ100" s="140"/>
      <c r="CA10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2.6666666666666665</v>
      </c>
      <c r="CB100" s="140">
        <f>IFERROR(AVERAGE(Table110461117[[#This Row],[Column31]],Table110461117[[#This Row],[Column13]],Table110461117[[#This Row],[Column4]],Table110461117[[#This Row],[Column22]],),"A")</f>
        <v>1.8</v>
      </c>
      <c r="CC100" s="140">
        <f>IFERROR(AVERAGE(Table110461117[[#This Row],[Column5]],Table110461117[[#This Row],[Column14]],Table110461117[[#This Row],[Column23]],Table110461117[[#This Row],[Column32]]),"A")</f>
        <v>1.875</v>
      </c>
      <c r="CD100" s="140">
        <f>IFERROR(AVERAGE(Table110461117[[#This Row],[Column6]],Table110461117[[#This Row],[Column15]],Table110461117[[#This Row],[Column24]],Table110461117[[#This Row],[Column33]]),"A")</f>
        <v>1.375</v>
      </c>
      <c r="CE100" s="140"/>
      <c r="CF100" s="140">
        <f>IFERROR(AVERAGE(Table110461117[[#This Row],[Column26]],Table110461117[[#This Row],[Column35]],Table110461117[[#This Row],[Column17]],Table110461117[[#This Row],[Column8]]),"A")</f>
        <v>2.1666666666666665</v>
      </c>
      <c r="CG100" s="138"/>
      <c r="CH100" s="140">
        <f>IFERROR(AVERAGE('Review 1'!AX100,'Review 2'!AX100,'Review 3'!AX100,'Review 4'!AX100,'Reflection -1 '!AX100,'Reflection -2'!AX100,'Reflection -3'!AX100,'Reflection -4'!AX100),"A")</f>
        <v>3</v>
      </c>
      <c r="CI100" s="140">
        <f>IFERROR(AVERAGE('Review 1'!AY100,'Review 2'!AY100,'Review 3'!AY100,'Review 4'!AY100,'Reflection -1 '!AY100,'Reflection -2'!AY100,'Reflection -3'!AY100,'Reflection -4'!AY100,Capstone!AY101),"A")</f>
        <v>2</v>
      </c>
      <c r="CJ100" s="140">
        <f>IFERROR(AVERAGE('Review 1'!AZ100,'Review 2'!AZ100,'Review 3'!AZ100,'Review 4'!AZ100,'Reflection -1 '!AZ100,'Reflection -2'!AZ100,'Reflection -3'!AZ100,'Reflection -4'!AZ100),"A")</f>
        <v>2.125</v>
      </c>
    </row>
    <row r="101" spans="1:88" s="122" customFormat="1" ht="23.1" customHeight="1" x14ac:dyDescent="0.3">
      <c r="A101" s="137">
        <v>99</v>
      </c>
      <c r="B101" s="62" t="s">
        <v>263</v>
      </c>
      <c r="C101" s="62" t="s">
        <v>264</v>
      </c>
      <c r="D101" s="62" t="s">
        <v>450</v>
      </c>
      <c r="E101" s="62" t="s">
        <v>161</v>
      </c>
      <c r="F101" s="139"/>
      <c r="G101" s="139">
        <f>'Review 1'!Q101</f>
        <v>1.4</v>
      </c>
      <c r="H101" s="139">
        <f>'Review 1'!W101</f>
        <v>1.6666666666666667</v>
      </c>
      <c r="I101" s="139">
        <f>'Review 1'!AC101</f>
        <v>1</v>
      </c>
      <c r="J101" s="139">
        <f>'Review 1'!AI101</f>
        <v>1</v>
      </c>
      <c r="K101" s="139"/>
      <c r="L101" s="139">
        <f>'Review 1'!AU101</f>
        <v>1.3333333333333333</v>
      </c>
      <c r="M101" s="138"/>
      <c r="N101" s="139"/>
      <c r="O101" s="139">
        <f>'Review 2'!Q101</f>
        <v>1.4</v>
      </c>
      <c r="P101" s="139">
        <f>'Review 2'!W101</f>
        <v>1.6666666666666667</v>
      </c>
      <c r="Q101" s="139">
        <f>'Review 2'!AC101</f>
        <v>1.5</v>
      </c>
      <c r="R101" s="139">
        <f>'Review 2'!AI101</f>
        <v>2</v>
      </c>
      <c r="S101" s="139"/>
      <c r="T101" s="139">
        <f>'Review 2'!AU101</f>
        <v>1.3333333333333333</v>
      </c>
      <c r="U101" s="138"/>
      <c r="V101" s="62"/>
      <c r="W101" s="139">
        <f>'Review 3'!Q101</f>
        <v>0</v>
      </c>
      <c r="X101" s="139">
        <f>'Review 3'!W101</f>
        <v>0</v>
      </c>
      <c r="Y101" s="139">
        <f>'Review 3'!AC101</f>
        <v>0</v>
      </c>
      <c r="Z101" s="139">
        <f>'Review 3'!AI101</f>
        <v>0</v>
      </c>
      <c r="AA101" s="62"/>
      <c r="AB101" s="139">
        <f>'Review 3'!AU101</f>
        <v>0</v>
      </c>
      <c r="AC101" s="138"/>
      <c r="AD101" s="62"/>
      <c r="AE101" s="139">
        <f>'Review 4'!Q101</f>
        <v>2</v>
      </c>
      <c r="AF101" s="139">
        <f>'Review 4'!W101</f>
        <v>2</v>
      </c>
      <c r="AG101" s="139">
        <f>'Review 4'!AC101</f>
        <v>2</v>
      </c>
      <c r="AH101" s="139">
        <f>'Review 4'!AI101</f>
        <v>4</v>
      </c>
      <c r="AI101" s="139"/>
      <c r="AJ101" s="139">
        <f>'Review 4'!AU101</f>
        <v>3</v>
      </c>
      <c r="AK101" s="138"/>
      <c r="AL101" s="62"/>
      <c r="AM101" s="139">
        <f>'Reflection -1 '!Q101</f>
        <v>3.3333333333333335</v>
      </c>
      <c r="AN101" s="62"/>
      <c r="AO101" s="62"/>
      <c r="AP101" s="62"/>
      <c r="AQ101" s="62"/>
      <c r="AR101" s="62"/>
      <c r="AS101" s="138"/>
      <c r="AT101" s="62"/>
      <c r="AU101" s="139">
        <f>'Reflection -2'!Q101</f>
        <v>4</v>
      </c>
      <c r="AV101" s="62"/>
      <c r="AW101" s="62"/>
      <c r="AX101" s="62"/>
      <c r="AY101" s="139"/>
      <c r="AZ101" s="62"/>
      <c r="BA101" s="138"/>
      <c r="BB101" s="139"/>
      <c r="BC101" s="139">
        <f>'Reflection -3'!Q101</f>
        <v>2.6666666666666665</v>
      </c>
      <c r="BD101" s="139"/>
      <c r="BE101" s="139"/>
      <c r="BF101" s="139"/>
      <c r="BG101" s="139"/>
      <c r="BH101" s="139"/>
      <c r="BI101" s="138"/>
      <c r="BJ101" s="139"/>
      <c r="BK101" s="139">
        <f>'Reflection -3'!Q101</f>
        <v>2.6666666666666665</v>
      </c>
      <c r="BL101" s="62"/>
      <c r="BM101" s="139"/>
      <c r="BN101" s="62"/>
      <c r="BO101" s="139"/>
      <c r="BP101" s="139"/>
      <c r="BQ101" s="138"/>
      <c r="BR101" s="139"/>
      <c r="BS101" s="139">
        <f>Capstone!Q102</f>
        <v>2</v>
      </c>
      <c r="BT101" s="139">
        <f>Capstone!W102</f>
        <v>3</v>
      </c>
      <c r="BU101" s="139">
        <f>Capstone!AC102</f>
        <v>3</v>
      </c>
      <c r="BV101" s="139">
        <f>Capstone!AI102</f>
        <v>0</v>
      </c>
      <c r="BW101" s="139">
        <f>Capstone!AO102</f>
        <v>3</v>
      </c>
      <c r="BX101" s="139">
        <f>Capstone!AU102</f>
        <v>2</v>
      </c>
      <c r="BY101" s="138"/>
      <c r="BZ101" s="139"/>
      <c r="CA10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2.1833333333333336</v>
      </c>
      <c r="CB101" s="139">
        <f>IFERROR(AVERAGE(Table110461117[[#This Row],[Column31]],Table110461117[[#This Row],[Column13]],Table110461117[[#This Row],[Column4]],Table110461117[[#This Row],[Column22]],),"A")</f>
        <v>1.0666666666666669</v>
      </c>
      <c r="CC101" s="139">
        <f>IFERROR(AVERAGE(Table110461117[[#This Row],[Column5]],Table110461117[[#This Row],[Column14]],Table110461117[[#This Row],[Column23]],Table110461117[[#This Row],[Column32]]),"A")</f>
        <v>1.125</v>
      </c>
      <c r="CD101" s="139">
        <f>IFERROR(AVERAGE(Table110461117[[#This Row],[Column6]],Table110461117[[#This Row],[Column15]],Table110461117[[#This Row],[Column24]],Table110461117[[#This Row],[Column33]]),"A")</f>
        <v>1.75</v>
      </c>
      <c r="CE101" s="139"/>
      <c r="CF101" s="139">
        <f>IFERROR(AVERAGE(Table110461117[[#This Row],[Column26]],Table110461117[[#This Row],[Column35]],Table110461117[[#This Row],[Column17]],Table110461117[[#This Row],[Column8]]),"A")</f>
        <v>1.4166666666666665</v>
      </c>
      <c r="CG101" s="138"/>
      <c r="CH101" s="139">
        <f>IFERROR(AVERAGE('Review 1'!AX101,'Review 2'!AX101,'Review 3'!AX101,'Review 4'!AX101,'Reflection -1 '!AX101,'Reflection -2'!AX101,'Reflection -3'!AX101,'Reflection -4'!AX101),"A")</f>
        <v>3.25</v>
      </c>
      <c r="CI101" s="139">
        <f>IFERROR(AVERAGE('Review 1'!AY101,'Review 2'!AY101,'Review 3'!AY101,'Review 4'!AY101,'Reflection -1 '!AY101,'Reflection -2'!AY101,'Reflection -3'!AY101,'Reflection -4'!AY101,Capstone!AY102),"A")</f>
        <v>0.77777777777777779</v>
      </c>
      <c r="CJ101" s="139">
        <f>IFERROR(AVERAGE('Review 1'!AZ101,'Review 2'!AZ101,'Review 3'!AZ101,'Review 4'!AZ101,'Reflection -1 '!AZ101,'Reflection -2'!AZ101,'Reflection -3'!AZ101,'Reflection -4'!AZ101),"A")</f>
        <v>2.125</v>
      </c>
    </row>
    <row r="102" spans="1:88" s="122" customFormat="1" ht="23.1" customHeight="1" x14ac:dyDescent="0.3">
      <c r="A102" s="6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140"/>
      <c r="G102" s="140">
        <f>'Review 1'!Q102</f>
        <v>1.8</v>
      </c>
      <c r="H102" s="140">
        <f>'Review 1'!W102</f>
        <v>2</v>
      </c>
      <c r="I102" s="140">
        <f>'Review 1'!AC102</f>
        <v>1.5</v>
      </c>
      <c r="J102" s="140">
        <f>'Review 1'!AI102</f>
        <v>1</v>
      </c>
      <c r="K102" s="140"/>
      <c r="L102" s="140">
        <f>'Review 1'!AU102</f>
        <v>1</v>
      </c>
      <c r="M102" s="138"/>
      <c r="N102" s="140"/>
      <c r="O102" s="140">
        <f>'Review 2'!Q102</f>
        <v>1.8</v>
      </c>
      <c r="P102" s="140">
        <f>'Review 2'!W102</f>
        <v>2</v>
      </c>
      <c r="Q102" s="140">
        <f>'Review 2'!AC102</f>
        <v>1.5</v>
      </c>
      <c r="R102" s="140">
        <f>'Review 2'!AI102</f>
        <v>1</v>
      </c>
      <c r="S102" s="140"/>
      <c r="T102" s="140">
        <f>'Review 2'!AU102</f>
        <v>1</v>
      </c>
      <c r="U102" s="138"/>
      <c r="V102" s="7"/>
      <c r="W102" s="140">
        <f>'Review 3'!Q102</f>
        <v>0.6</v>
      </c>
      <c r="X102" s="140">
        <f>'Review 3'!W102</f>
        <v>0</v>
      </c>
      <c r="Y102" s="140">
        <f>'Review 3'!AC102</f>
        <v>0</v>
      </c>
      <c r="Z102" s="140">
        <f>'Review 3'!AI102</f>
        <v>0</v>
      </c>
      <c r="AA102" s="7"/>
      <c r="AB102" s="140">
        <f>'Review 3'!AU102</f>
        <v>0</v>
      </c>
      <c r="AC102" s="138"/>
      <c r="AD102" s="7"/>
      <c r="AE102" s="140">
        <f>'Review 4'!Q102</f>
        <v>2.2000000000000002</v>
      </c>
      <c r="AF102" s="140">
        <f>'Review 4'!W102</f>
        <v>3</v>
      </c>
      <c r="AG102" s="140">
        <f>'Review 4'!AC102</f>
        <v>2.5</v>
      </c>
      <c r="AH102" s="140">
        <f>'Review 4'!AI102</f>
        <v>2.5</v>
      </c>
      <c r="AI102" s="140"/>
      <c r="AJ102" s="140">
        <f>'Review 4'!AU102</f>
        <v>4</v>
      </c>
      <c r="AK102" s="138"/>
      <c r="AL102" s="7"/>
      <c r="AM102" s="140">
        <f>'Reflection -1 '!Q102</f>
        <v>0</v>
      </c>
      <c r="AN102" s="7"/>
      <c r="AO102" s="7"/>
      <c r="AP102" s="7"/>
      <c r="AQ102" s="7"/>
      <c r="AR102" s="7"/>
      <c r="AS102" s="138"/>
      <c r="AT102" s="7"/>
      <c r="AU102" s="140">
        <f>'Reflection -2'!Q102</f>
        <v>3.3333333333333335</v>
      </c>
      <c r="AV102" s="7"/>
      <c r="AW102" s="7"/>
      <c r="AX102" s="7"/>
      <c r="AY102" s="140"/>
      <c r="AZ102" s="7"/>
      <c r="BA102" s="138"/>
      <c r="BB102" s="140"/>
      <c r="BC102" s="140">
        <f>'Reflection -3'!Q102</f>
        <v>0</v>
      </c>
      <c r="BD102" s="140"/>
      <c r="BE102" s="140"/>
      <c r="BF102" s="140"/>
      <c r="BG102" s="140"/>
      <c r="BH102" s="140"/>
      <c r="BI102" s="138"/>
      <c r="BJ102" s="140"/>
      <c r="BK102" s="140">
        <f>'Reflection -3'!Q102</f>
        <v>0</v>
      </c>
      <c r="BL102" s="7"/>
      <c r="BM102" s="140"/>
      <c r="BN102" s="7"/>
      <c r="BO102" s="140"/>
      <c r="BP102" s="140"/>
      <c r="BQ102" s="138"/>
      <c r="BR102" s="140"/>
      <c r="BS102" s="140">
        <f>Capstone!Q103</f>
        <v>4.333333333333333</v>
      </c>
      <c r="BT102" s="140">
        <f>Capstone!W103</f>
        <v>4</v>
      </c>
      <c r="BU102" s="140">
        <f>Capstone!AC103</f>
        <v>4</v>
      </c>
      <c r="BV102" s="140">
        <f>Capstone!AI103</f>
        <v>3</v>
      </c>
      <c r="BW102" s="140">
        <f>Capstone!AO103</f>
        <v>3</v>
      </c>
      <c r="BX102" s="140">
        <f>Capstone!AU103</f>
        <v>3</v>
      </c>
      <c r="BY102" s="138"/>
      <c r="BZ102" s="140"/>
      <c r="CA10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1.2166666666666666</v>
      </c>
      <c r="CB102" s="140">
        <f>IFERROR(AVERAGE(Table110461117[[#This Row],[Column31]],Table110461117[[#This Row],[Column13]],Table110461117[[#This Row],[Column4]],Table110461117[[#This Row],[Column22]],),"A")</f>
        <v>1.4</v>
      </c>
      <c r="CC102" s="140">
        <f>IFERROR(AVERAGE(Table110461117[[#This Row],[Column5]],Table110461117[[#This Row],[Column14]],Table110461117[[#This Row],[Column23]],Table110461117[[#This Row],[Column32]]),"A")</f>
        <v>1.375</v>
      </c>
      <c r="CD102" s="140">
        <f>IFERROR(AVERAGE(Table110461117[[#This Row],[Column6]],Table110461117[[#This Row],[Column15]],Table110461117[[#This Row],[Column24]],Table110461117[[#This Row],[Column33]]),"A")</f>
        <v>1.125</v>
      </c>
      <c r="CE102" s="140"/>
      <c r="CF102" s="140">
        <f>IFERROR(AVERAGE(Table110461117[[#This Row],[Column26]],Table110461117[[#This Row],[Column35]],Table110461117[[#This Row],[Column17]],Table110461117[[#This Row],[Column8]]),"A")</f>
        <v>1.5</v>
      </c>
      <c r="CG102" s="138"/>
      <c r="CH102" s="140">
        <f>IFERROR(AVERAGE('Review 1'!AX102,'Review 2'!AX102,'Review 3'!AX102,'Review 4'!AX102,'Reflection -1 '!AX102,'Reflection -2'!AX102,'Reflection -3'!AX102,'Reflection -4'!AX102),"A")</f>
        <v>1.875</v>
      </c>
      <c r="CI102" s="140">
        <f>IFERROR(AVERAGE('Review 1'!AY102,'Review 2'!AY102,'Review 3'!AY102,'Review 4'!AY102,'Reflection -1 '!AY102,'Reflection -2'!AY102,'Reflection -3'!AY102,'Reflection -4'!AY102,Capstone!AY103),"A")</f>
        <v>1.4444444444444444</v>
      </c>
      <c r="CJ102" s="140">
        <f>IFERROR(AVERAGE('Review 1'!AZ102,'Review 2'!AZ102,'Review 3'!AZ102,'Review 4'!AZ102,'Reflection -1 '!AZ102,'Reflection -2'!AZ102,'Reflection -3'!AZ102,'Reflection -4'!AZ102),"A")</f>
        <v>1.625</v>
      </c>
    </row>
    <row r="103" spans="1:88" s="122" customFormat="1" ht="23.1" customHeight="1" x14ac:dyDescent="0.3">
      <c r="A103" s="137">
        <v>101</v>
      </c>
      <c r="B103" s="62" t="s">
        <v>346</v>
      </c>
      <c r="C103" s="62" t="s">
        <v>347</v>
      </c>
      <c r="D103" s="62" t="s">
        <v>450</v>
      </c>
      <c r="E103" s="62" t="s">
        <v>493</v>
      </c>
      <c r="F103" s="139"/>
      <c r="G103" s="139">
        <f>'Review 1'!Q103</f>
        <v>3</v>
      </c>
      <c r="H103" s="139">
        <f>'Review 1'!W103</f>
        <v>3</v>
      </c>
      <c r="I103" s="139">
        <f>'Review 1'!AC103</f>
        <v>3</v>
      </c>
      <c r="J103" s="139">
        <f>'Review 1'!AI103</f>
        <v>3</v>
      </c>
      <c r="K103" s="139"/>
      <c r="L103" s="139">
        <f>'Review 1'!AU103</f>
        <v>3</v>
      </c>
      <c r="M103" s="138"/>
      <c r="N103" s="139"/>
      <c r="O103" s="139">
        <f>'Review 2'!Q103</f>
        <v>3</v>
      </c>
      <c r="P103" s="139">
        <f>'Review 2'!W103</f>
        <v>3</v>
      </c>
      <c r="Q103" s="139">
        <f>'Review 2'!AC103</f>
        <v>3</v>
      </c>
      <c r="R103" s="139">
        <f>'Review 2'!AI103</f>
        <v>1</v>
      </c>
      <c r="S103" s="139"/>
      <c r="T103" s="139">
        <f>'Review 2'!AU103</f>
        <v>2.3333333333333335</v>
      </c>
      <c r="U103" s="138"/>
      <c r="V103" s="62"/>
      <c r="W103" s="139">
        <f>'Review 3'!Q103</f>
        <v>2.8</v>
      </c>
      <c r="X103" s="139">
        <f>'Review 3'!W103</f>
        <v>2</v>
      </c>
      <c r="Y103" s="139">
        <f>'Review 3'!AC103</f>
        <v>2</v>
      </c>
      <c r="Z103" s="139">
        <f>'Review 3'!AI103</f>
        <v>2</v>
      </c>
      <c r="AA103" s="62"/>
      <c r="AB103" s="139">
        <f>'Review 3'!AU103</f>
        <v>2</v>
      </c>
      <c r="AC103" s="138"/>
      <c r="AD103" s="62"/>
      <c r="AE103" s="139">
        <f>'Review 4'!Q103</f>
        <v>2.4</v>
      </c>
      <c r="AF103" s="139">
        <f>'Review 4'!W103</f>
        <v>2</v>
      </c>
      <c r="AG103" s="139">
        <f>'Review 4'!AC103</f>
        <v>2</v>
      </c>
      <c r="AH103" s="139">
        <f>'Review 4'!AI103</f>
        <v>4</v>
      </c>
      <c r="AI103" s="139"/>
      <c r="AJ103" s="139">
        <f>'Review 4'!AU103</f>
        <v>2.3333333333333335</v>
      </c>
      <c r="AK103" s="138"/>
      <c r="AL103" s="62"/>
      <c r="AM103" s="139">
        <f>'Reflection -1 '!Q103</f>
        <v>4.333333333333333</v>
      </c>
      <c r="AN103" s="62"/>
      <c r="AO103" s="62"/>
      <c r="AP103" s="62"/>
      <c r="AQ103" s="62"/>
      <c r="AR103" s="62"/>
      <c r="AS103" s="138"/>
      <c r="AT103" s="62"/>
      <c r="AU103" s="139">
        <f>'Reflection -2'!Q103</f>
        <v>4</v>
      </c>
      <c r="AV103" s="62"/>
      <c r="AW103" s="62"/>
      <c r="AX103" s="62"/>
      <c r="AY103" s="139"/>
      <c r="AZ103" s="62"/>
      <c r="BA103" s="138"/>
      <c r="BB103" s="139"/>
      <c r="BC103" s="139">
        <f>'Reflection -3'!Q103</f>
        <v>4.666666666666667</v>
      </c>
      <c r="BD103" s="139"/>
      <c r="BE103" s="139"/>
      <c r="BF103" s="139"/>
      <c r="BG103" s="139"/>
      <c r="BH103" s="139"/>
      <c r="BI103" s="138"/>
      <c r="BJ103" s="139"/>
      <c r="BK103" s="139">
        <f>'Reflection -3'!Q103</f>
        <v>4.666666666666667</v>
      </c>
      <c r="BL103" s="62"/>
      <c r="BM103" s="139"/>
      <c r="BN103" s="62"/>
      <c r="BO103" s="139"/>
      <c r="BP103" s="139"/>
      <c r="BQ103" s="138"/>
      <c r="BR103" s="139"/>
      <c r="BS103" s="139">
        <f>Capstone!Q104</f>
        <v>3</v>
      </c>
      <c r="BT103" s="139">
        <f>Capstone!W104</f>
        <v>4</v>
      </c>
      <c r="BU103" s="139">
        <f>Capstone!AC104</f>
        <v>4</v>
      </c>
      <c r="BV103" s="139">
        <f>Capstone!AI104</f>
        <v>3</v>
      </c>
      <c r="BW103" s="139">
        <f>Capstone!AO104</f>
        <v>4</v>
      </c>
      <c r="BX103" s="139">
        <f>Capstone!AU104</f>
        <v>4</v>
      </c>
      <c r="BY103" s="138"/>
      <c r="BZ103" s="139"/>
      <c r="CA10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3.6083333333333334</v>
      </c>
      <c r="CB103" s="139">
        <f>IFERROR(AVERAGE(Table110461117[[#This Row],[Column31]],Table110461117[[#This Row],[Column13]],Table110461117[[#This Row],[Column4]],Table110461117[[#This Row],[Column22]],),"A")</f>
        <v>2</v>
      </c>
      <c r="CC103" s="139">
        <f>IFERROR(AVERAGE(Table110461117[[#This Row],[Column5]],Table110461117[[#This Row],[Column14]],Table110461117[[#This Row],[Column23]],Table110461117[[#This Row],[Column32]]),"A")</f>
        <v>2.5</v>
      </c>
      <c r="CD103" s="139">
        <f>IFERROR(AVERAGE(Table110461117[[#This Row],[Column6]],Table110461117[[#This Row],[Column15]],Table110461117[[#This Row],[Column24]],Table110461117[[#This Row],[Column33]]),"A")</f>
        <v>2.5</v>
      </c>
      <c r="CE103" s="139"/>
      <c r="CF103" s="139">
        <f>IFERROR(AVERAGE(Table110461117[[#This Row],[Column26]],Table110461117[[#This Row],[Column35]],Table110461117[[#This Row],[Column17]],Table110461117[[#This Row],[Column8]]),"A")</f>
        <v>2.416666666666667</v>
      </c>
      <c r="CG103" s="138"/>
      <c r="CH103" s="139">
        <f>IFERROR(AVERAGE('Review 1'!AX103,'Review 2'!AX103,'Review 3'!AX103,'Review 4'!AX103,'Reflection -1 '!AX103,'Reflection -2'!AX103,'Reflection -3'!AX103,'Reflection -4'!AX103),"A")</f>
        <v>3.75</v>
      </c>
      <c r="CI103" s="139">
        <f>IFERROR(AVERAGE('Review 1'!AY103,'Review 2'!AY103,'Review 3'!AY103,'Review 4'!AY103,'Reflection -1 '!AY103,'Reflection -2'!AY103,'Reflection -3'!AY103,'Reflection -4'!AY103,Capstone!AY104),"A")</f>
        <v>2.7777777777777777</v>
      </c>
      <c r="CJ103" s="139">
        <f>IFERROR(AVERAGE('Review 1'!AZ103,'Review 2'!AZ103,'Review 3'!AZ103,'Review 4'!AZ103,'Reflection -1 '!AZ103,'Reflection -2'!AZ103,'Reflection -3'!AZ103,'Reflection -4'!AZ103),"A")</f>
        <v>3.375</v>
      </c>
    </row>
    <row r="104" spans="1:88" s="122" customFormat="1" ht="23.1" customHeight="1" x14ac:dyDescent="0.3">
      <c r="A104" s="6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140"/>
      <c r="G104" s="140">
        <f>'Review 1'!Q104</f>
        <v>2.8</v>
      </c>
      <c r="H104" s="140">
        <f>'Review 1'!W104</f>
        <v>2</v>
      </c>
      <c r="I104" s="140">
        <f>'Review 1'!AC104</f>
        <v>3</v>
      </c>
      <c r="J104" s="140">
        <f>'Review 1'!AI104</f>
        <v>3</v>
      </c>
      <c r="K104" s="140"/>
      <c r="L104" s="140">
        <f>'Review 1'!AU104</f>
        <v>3</v>
      </c>
      <c r="M104" s="138"/>
      <c r="N104" s="140"/>
      <c r="O104" s="140">
        <f>'Review 2'!Q104</f>
        <v>3.4</v>
      </c>
      <c r="P104" s="140">
        <f>'Review 2'!W104</f>
        <v>3</v>
      </c>
      <c r="Q104" s="140">
        <f>'Review 2'!AC104</f>
        <v>3</v>
      </c>
      <c r="R104" s="140">
        <f>'Review 2'!AI104</f>
        <v>1</v>
      </c>
      <c r="S104" s="140"/>
      <c r="T104" s="140">
        <f>'Review 2'!AU104</f>
        <v>2.3333333333333335</v>
      </c>
      <c r="U104" s="138"/>
      <c r="V104" s="7"/>
      <c r="W104" s="140">
        <f>'Review 3'!Q104</f>
        <v>2.2000000000000002</v>
      </c>
      <c r="X104" s="140">
        <f>'Review 3'!W104</f>
        <v>0</v>
      </c>
      <c r="Y104" s="140">
        <f>'Review 3'!AC104</f>
        <v>0</v>
      </c>
      <c r="Z104" s="140">
        <f>'Review 3'!AI104</f>
        <v>0</v>
      </c>
      <c r="AA104" s="7"/>
      <c r="AB104" s="140">
        <f>'Review 3'!AU104</f>
        <v>0</v>
      </c>
      <c r="AC104" s="138"/>
      <c r="AD104" s="7"/>
      <c r="AE104" s="140">
        <f>'Review 4'!Q104</f>
        <v>3</v>
      </c>
      <c r="AF104" s="140">
        <f>'Review 4'!W104</f>
        <v>4</v>
      </c>
      <c r="AG104" s="140">
        <f>'Review 4'!AC104</f>
        <v>2.5</v>
      </c>
      <c r="AH104" s="140">
        <f>'Review 4'!AI104</f>
        <v>3</v>
      </c>
      <c r="AI104" s="140"/>
      <c r="AJ104" s="140">
        <f>'Review 4'!AU104</f>
        <v>4</v>
      </c>
      <c r="AK104" s="138"/>
      <c r="AL104" s="7"/>
      <c r="AM104" s="140">
        <f>'Reflection -1 '!Q104</f>
        <v>3</v>
      </c>
      <c r="AN104" s="7"/>
      <c r="AO104" s="7"/>
      <c r="AP104" s="7"/>
      <c r="AQ104" s="7"/>
      <c r="AR104" s="7"/>
      <c r="AS104" s="138"/>
      <c r="AT104" s="7"/>
      <c r="AU104" s="140">
        <f>'Reflection -2'!Q104</f>
        <v>2.3333333333333335</v>
      </c>
      <c r="AV104" s="7"/>
      <c r="AW104" s="7"/>
      <c r="AX104" s="7"/>
      <c r="AY104" s="140"/>
      <c r="AZ104" s="7"/>
      <c r="BA104" s="138"/>
      <c r="BB104" s="140"/>
      <c r="BC104" s="140">
        <f>'Reflection -3'!Q104</f>
        <v>3</v>
      </c>
      <c r="BD104" s="140"/>
      <c r="BE104" s="140"/>
      <c r="BF104" s="140"/>
      <c r="BG104" s="140"/>
      <c r="BH104" s="140"/>
      <c r="BI104" s="138"/>
      <c r="BJ104" s="140"/>
      <c r="BK104" s="140">
        <f>'Reflection -3'!Q104</f>
        <v>3</v>
      </c>
      <c r="BL104" s="7"/>
      <c r="BM104" s="140"/>
      <c r="BN104" s="7"/>
      <c r="BO104" s="140"/>
      <c r="BP104" s="140"/>
      <c r="BQ104" s="138"/>
      <c r="BR104" s="140"/>
      <c r="BS104" s="140" t="str">
        <f>Capstone!Q105</f>
        <v>0</v>
      </c>
      <c r="BT104" s="140" t="str">
        <f>Capstone!W105</f>
        <v>0</v>
      </c>
      <c r="BU104" s="140" t="str">
        <f>Capstone!AC105</f>
        <v>0</v>
      </c>
      <c r="BV104" s="140" t="str">
        <f>Capstone!AI105</f>
        <v>0</v>
      </c>
      <c r="BW104" s="140" t="str">
        <f>Capstone!AO105</f>
        <v>0</v>
      </c>
      <c r="BX104" s="140" t="str">
        <f>Capstone!AU105</f>
        <v>0</v>
      </c>
      <c r="BY104" s="138"/>
      <c r="BZ104" s="140"/>
      <c r="CA10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2.8416666666666663</v>
      </c>
      <c r="CB104" s="140">
        <f>IFERROR(AVERAGE(Table110461117[[#This Row],[Column31]],Table110461117[[#This Row],[Column13]],Table110461117[[#This Row],[Column4]],Table110461117[[#This Row],[Column22]],),"A")</f>
        <v>1.8</v>
      </c>
      <c r="CC104" s="140">
        <f>IFERROR(AVERAGE(Table110461117[[#This Row],[Column5]],Table110461117[[#This Row],[Column14]],Table110461117[[#This Row],[Column23]],Table110461117[[#This Row],[Column32]]),"A")</f>
        <v>2.125</v>
      </c>
      <c r="CD104" s="140">
        <f>IFERROR(AVERAGE(Table110461117[[#This Row],[Column6]],Table110461117[[#This Row],[Column15]],Table110461117[[#This Row],[Column24]],Table110461117[[#This Row],[Column33]]),"A")</f>
        <v>1.75</v>
      </c>
      <c r="CE104" s="140"/>
      <c r="CF104" s="140">
        <f>IFERROR(AVERAGE(Table110461117[[#This Row],[Column26]],Table110461117[[#This Row],[Column35]],Table110461117[[#This Row],[Column17]],Table110461117[[#This Row],[Column8]]),"A")</f>
        <v>2.3333333333333335</v>
      </c>
      <c r="CG104" s="138"/>
      <c r="CH104" s="140">
        <f>IFERROR(AVERAGE('Review 1'!AX104,'Review 2'!AX104,'Review 3'!AX104,'Review 4'!AX104,'Reflection -1 '!AX104,'Reflection -2'!AX104,'Reflection -3'!AX104,'Reflection -4'!AX104),"A")</f>
        <v>3.125</v>
      </c>
      <c r="CI104" s="140">
        <f>IFERROR(AVERAGE('Review 1'!AY104,'Review 2'!AY104,'Review 3'!AY104,'Review 4'!AY104,'Reflection -1 '!AY104,'Reflection -2'!AY104,'Reflection -3'!AY104,'Reflection -4'!AY104,Capstone!AY105),"A")</f>
        <v>2.375</v>
      </c>
      <c r="CJ104" s="140">
        <f>IFERROR(AVERAGE('Review 1'!AZ104,'Review 2'!AZ104,'Review 3'!AZ104,'Review 4'!AZ104,'Reflection -1 '!AZ104,'Reflection -2'!AZ104,'Reflection -3'!AZ104,'Reflection -4'!AZ104),"A")</f>
        <v>2.375</v>
      </c>
    </row>
    <row r="105" spans="1:88" s="122" customFormat="1" ht="23.1" customHeight="1" x14ac:dyDescent="0.3">
      <c r="A105" s="137">
        <v>103</v>
      </c>
      <c r="B105" s="62" t="s">
        <v>142</v>
      </c>
      <c r="C105" s="62" t="s">
        <v>143</v>
      </c>
      <c r="D105" s="62" t="s">
        <v>542</v>
      </c>
      <c r="E105" s="62" t="s">
        <v>35</v>
      </c>
      <c r="F105" s="139"/>
      <c r="G105" s="139">
        <f>'Review 1'!Q105</f>
        <v>2.2000000000000002</v>
      </c>
      <c r="H105" s="139">
        <f>'Review 1'!W105</f>
        <v>1</v>
      </c>
      <c r="I105" s="139">
        <f>'Review 1'!AC105</f>
        <v>1</v>
      </c>
      <c r="J105" s="139">
        <f>'Review 1'!AI105</f>
        <v>1</v>
      </c>
      <c r="K105" s="139"/>
      <c r="L105" s="139">
        <f>'Review 1'!AU105</f>
        <v>1</v>
      </c>
      <c r="M105" s="138"/>
      <c r="N105" s="139"/>
      <c r="O105" s="139">
        <f>'Review 2'!Q105</f>
        <v>2.2000000000000002</v>
      </c>
      <c r="P105" s="139">
        <f>'Review 2'!W105</f>
        <v>1</v>
      </c>
      <c r="Q105" s="139">
        <f>'Review 2'!AC105</f>
        <v>1</v>
      </c>
      <c r="R105" s="139">
        <f>'Review 2'!AI105</f>
        <v>1</v>
      </c>
      <c r="S105" s="139"/>
      <c r="T105" s="139">
        <f>'Review 2'!AU105</f>
        <v>1</v>
      </c>
      <c r="U105" s="138"/>
      <c r="V105" s="62"/>
      <c r="W105" s="139">
        <f>'Review 3'!Q105</f>
        <v>2.2000000000000002</v>
      </c>
      <c r="X105" s="139">
        <f>'Review 3'!W105</f>
        <v>0</v>
      </c>
      <c r="Y105" s="139">
        <f>'Review 3'!AC105</f>
        <v>0</v>
      </c>
      <c r="Z105" s="139">
        <f>'Review 3'!AI105</f>
        <v>0</v>
      </c>
      <c r="AA105" s="62"/>
      <c r="AB105" s="139">
        <f>'Review 3'!AU105</f>
        <v>0</v>
      </c>
      <c r="AC105" s="138"/>
      <c r="AD105" s="62"/>
      <c r="AE105" s="139">
        <f>'Review 4'!Q105</f>
        <v>2.4</v>
      </c>
      <c r="AF105" s="139">
        <f>'Review 4'!W105</f>
        <v>3</v>
      </c>
      <c r="AG105" s="139">
        <f>'Review 4'!AC105</f>
        <v>2.5</v>
      </c>
      <c r="AH105" s="139">
        <f>'Review 4'!AI105</f>
        <v>2.5</v>
      </c>
      <c r="AI105" s="139"/>
      <c r="AJ105" s="139">
        <f>'Review 4'!AU105</f>
        <v>3</v>
      </c>
      <c r="AK105" s="138"/>
      <c r="AL105" s="62"/>
      <c r="AM105" s="139">
        <f>'Reflection -1 '!Q105</f>
        <v>3.3333333333333335</v>
      </c>
      <c r="AN105" s="62"/>
      <c r="AO105" s="62"/>
      <c r="AP105" s="62"/>
      <c r="AQ105" s="62"/>
      <c r="AR105" s="62"/>
      <c r="AS105" s="138"/>
      <c r="AT105" s="62"/>
      <c r="AU105" s="139">
        <f>'Reflection -2'!Q105</f>
        <v>2.6666666666666665</v>
      </c>
      <c r="AV105" s="62"/>
      <c r="AW105" s="62"/>
      <c r="AX105" s="62"/>
      <c r="AY105" s="139"/>
      <c r="AZ105" s="62"/>
      <c r="BA105" s="138"/>
      <c r="BB105" s="139"/>
      <c r="BC105" s="139">
        <f>'Reflection -3'!Q105</f>
        <v>2.6666666666666665</v>
      </c>
      <c r="BD105" s="139"/>
      <c r="BE105" s="139"/>
      <c r="BF105" s="139"/>
      <c r="BG105" s="139"/>
      <c r="BH105" s="139"/>
      <c r="BI105" s="138"/>
      <c r="BJ105" s="139"/>
      <c r="BK105" s="139">
        <f>'Reflection -3'!Q105</f>
        <v>2.6666666666666665</v>
      </c>
      <c r="BL105" s="62"/>
      <c r="BM105" s="139"/>
      <c r="BN105" s="62"/>
      <c r="BO105" s="139"/>
      <c r="BP105" s="139"/>
      <c r="BQ105" s="138"/>
      <c r="BR105" s="139"/>
      <c r="BS105" s="139">
        <f>Capstone!Q106</f>
        <v>5</v>
      </c>
      <c r="BT105" s="139">
        <f>Capstone!W106</f>
        <v>5</v>
      </c>
      <c r="BU105" s="139">
        <f>Capstone!AC106</f>
        <v>5</v>
      </c>
      <c r="BV105" s="139">
        <f>Capstone!AI106</f>
        <v>4</v>
      </c>
      <c r="BW105" s="139">
        <f>Capstone!AO106</f>
        <v>4</v>
      </c>
      <c r="BX105" s="139">
        <f>Capstone!AU106</f>
        <v>5</v>
      </c>
      <c r="BY105" s="138"/>
      <c r="BZ105" s="139"/>
      <c r="CA10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2.5416666666666665</v>
      </c>
      <c r="CB105" s="139">
        <f>IFERROR(AVERAGE(Table110461117[[#This Row],[Column31]],Table110461117[[#This Row],[Column13]],Table110461117[[#This Row],[Column4]],Table110461117[[#This Row],[Column22]],),"A")</f>
        <v>1</v>
      </c>
      <c r="CC105" s="139">
        <f>IFERROR(AVERAGE(Table110461117[[#This Row],[Column5]],Table110461117[[#This Row],[Column14]],Table110461117[[#This Row],[Column23]],Table110461117[[#This Row],[Column32]]),"A")</f>
        <v>1.125</v>
      </c>
      <c r="CD105" s="139">
        <f>IFERROR(AVERAGE(Table110461117[[#This Row],[Column6]],Table110461117[[#This Row],[Column15]],Table110461117[[#This Row],[Column24]],Table110461117[[#This Row],[Column33]]),"A")</f>
        <v>1.125</v>
      </c>
      <c r="CE105" s="139"/>
      <c r="CF105" s="139">
        <f>IFERROR(AVERAGE(Table110461117[[#This Row],[Column26]],Table110461117[[#This Row],[Column35]],Table110461117[[#This Row],[Column17]],Table110461117[[#This Row],[Column8]]),"A")</f>
        <v>1.25</v>
      </c>
      <c r="CG105" s="138"/>
      <c r="CH105" s="139">
        <f>IFERROR(AVERAGE('Review 1'!AX105,'Review 2'!AX105,'Review 3'!AX105,'Review 4'!AX105,'Reflection -1 '!AX105,'Reflection -2'!AX105,'Reflection -3'!AX105,'Reflection -4'!AX105),"A")</f>
        <v>2.375</v>
      </c>
      <c r="CI105" s="139">
        <f>IFERROR(AVERAGE('Review 1'!AY105,'Review 2'!AY105,'Review 3'!AY105,'Review 4'!AY105,'Reflection -1 '!AY105,'Reflection -2'!AY105,'Reflection -3'!AY105,'Reflection -4'!AY105,Capstone!AY106),"A")</f>
        <v>1.3333333333333333</v>
      </c>
      <c r="CJ105" s="139">
        <f>IFERROR(AVERAGE('Review 1'!AZ105,'Review 2'!AZ105,'Review 3'!AZ105,'Review 4'!AZ105,'Reflection -1 '!AZ105,'Reflection -2'!AZ105,'Reflection -3'!AZ105,'Reflection -4'!AZ105),"A")</f>
        <v>1.625</v>
      </c>
    </row>
    <row r="106" spans="1:88" s="122" customFormat="1" ht="23.1" customHeight="1" x14ac:dyDescent="0.3">
      <c r="A106" s="6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140"/>
      <c r="G106" s="140">
        <f>'Review 1'!Q106</f>
        <v>0</v>
      </c>
      <c r="H106" s="140">
        <f>'Review 1'!W106</f>
        <v>0</v>
      </c>
      <c r="I106" s="140">
        <f>'Review 1'!AC106</f>
        <v>0</v>
      </c>
      <c r="J106" s="140">
        <f>'Review 1'!AI106</f>
        <v>0</v>
      </c>
      <c r="K106" s="140"/>
      <c r="L106" s="140">
        <f>'Review 1'!AU106</f>
        <v>0</v>
      </c>
      <c r="M106" s="138"/>
      <c r="N106" s="140"/>
      <c r="O106" s="140">
        <f>'Review 2'!Q106</f>
        <v>3.6</v>
      </c>
      <c r="P106" s="140">
        <f>'Review 2'!W106</f>
        <v>3.6666666666666665</v>
      </c>
      <c r="Q106" s="140">
        <f>'Review 2'!AC106</f>
        <v>2.5</v>
      </c>
      <c r="R106" s="140">
        <f>'Review 2'!AI106</f>
        <v>3</v>
      </c>
      <c r="S106" s="140"/>
      <c r="T106" s="140">
        <f>'Review 2'!AU106</f>
        <v>1</v>
      </c>
      <c r="U106" s="138"/>
      <c r="V106" s="7"/>
      <c r="W106" s="140">
        <f>'Review 3'!Q106</f>
        <v>3.8</v>
      </c>
      <c r="X106" s="140">
        <f>'Review 3'!W106</f>
        <v>0</v>
      </c>
      <c r="Y106" s="140">
        <f>'Review 3'!AC106</f>
        <v>0</v>
      </c>
      <c r="Z106" s="140">
        <f>'Review 3'!AI106</f>
        <v>0</v>
      </c>
      <c r="AA106" s="7"/>
      <c r="AB106" s="140">
        <f>'Review 3'!AU106</f>
        <v>0</v>
      </c>
      <c r="AC106" s="138"/>
      <c r="AD106" s="7"/>
      <c r="AE106" s="140">
        <f>'Review 4'!Q106</f>
        <v>4</v>
      </c>
      <c r="AF106" s="140">
        <f>'Review 4'!W106</f>
        <v>2.3333333333333335</v>
      </c>
      <c r="AG106" s="140">
        <f>'Review 4'!AC106</f>
        <v>1.5</v>
      </c>
      <c r="AH106" s="140">
        <f>'Review 4'!AI106</f>
        <v>1</v>
      </c>
      <c r="AI106" s="140"/>
      <c r="AJ106" s="140">
        <f>'Review 4'!AU106</f>
        <v>1.3333333333333333</v>
      </c>
      <c r="AK106" s="138"/>
      <c r="AL106" s="7"/>
      <c r="AM106" s="140">
        <f>'Reflection -1 '!Q106</f>
        <v>3</v>
      </c>
      <c r="AN106" s="7"/>
      <c r="AO106" s="7"/>
      <c r="AP106" s="7"/>
      <c r="AQ106" s="7"/>
      <c r="AR106" s="7"/>
      <c r="AS106" s="138"/>
      <c r="AT106" s="7"/>
      <c r="AU106" s="140">
        <f>'Reflection -2'!Q106</f>
        <v>1</v>
      </c>
      <c r="AV106" s="7"/>
      <c r="AW106" s="7"/>
      <c r="AX106" s="7"/>
      <c r="AY106" s="140"/>
      <c r="AZ106" s="7"/>
      <c r="BA106" s="138"/>
      <c r="BB106" s="140"/>
      <c r="BC106" s="140">
        <f>'Reflection -3'!Q106</f>
        <v>0</v>
      </c>
      <c r="BD106" s="140"/>
      <c r="BE106" s="140"/>
      <c r="BF106" s="140"/>
      <c r="BG106" s="140"/>
      <c r="BH106" s="140"/>
      <c r="BI106" s="138"/>
      <c r="BJ106" s="140"/>
      <c r="BK106" s="140">
        <f>'Reflection -3'!Q106</f>
        <v>0</v>
      </c>
      <c r="BL106" s="7"/>
      <c r="BM106" s="140"/>
      <c r="BN106" s="7"/>
      <c r="BO106" s="140"/>
      <c r="BP106" s="140"/>
      <c r="BQ106" s="138"/>
      <c r="BR106" s="140"/>
      <c r="BS106" s="140">
        <f>Capstone!Q107</f>
        <v>3.6666666666666665</v>
      </c>
      <c r="BT106" s="140">
        <f>Capstone!W107</f>
        <v>3</v>
      </c>
      <c r="BU106" s="140">
        <f>Capstone!AC107</f>
        <v>3</v>
      </c>
      <c r="BV106" s="140">
        <f>Capstone!AI107</f>
        <v>3</v>
      </c>
      <c r="BW106" s="140">
        <f>Capstone!AO107</f>
        <v>3</v>
      </c>
      <c r="BX106" s="140">
        <f>Capstone!AU107</f>
        <v>4</v>
      </c>
      <c r="BY106" s="138"/>
      <c r="BZ106" s="140"/>
      <c r="CA10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1.9249999999999998</v>
      </c>
      <c r="CB106" s="140">
        <f>IFERROR(AVERAGE(Table110461117[[#This Row],[Column31]],Table110461117[[#This Row],[Column13]],Table110461117[[#This Row],[Column4]],Table110461117[[#This Row],[Column22]],),"A")</f>
        <v>1.2</v>
      </c>
      <c r="CC106" s="140">
        <f>IFERROR(AVERAGE(Table110461117[[#This Row],[Column5]],Table110461117[[#This Row],[Column14]],Table110461117[[#This Row],[Column23]],Table110461117[[#This Row],[Column32]]),"A")</f>
        <v>1</v>
      </c>
      <c r="CD106" s="140">
        <f>IFERROR(AVERAGE(Table110461117[[#This Row],[Column6]],Table110461117[[#This Row],[Column15]],Table110461117[[#This Row],[Column24]],Table110461117[[#This Row],[Column33]]),"A")</f>
        <v>1</v>
      </c>
      <c r="CE106" s="140"/>
      <c r="CF106" s="140">
        <f>IFERROR(AVERAGE(Table110461117[[#This Row],[Column26]],Table110461117[[#This Row],[Column35]],Table110461117[[#This Row],[Column17]],Table110461117[[#This Row],[Column8]]),"A")</f>
        <v>0.58333333333333326</v>
      </c>
      <c r="CG106" s="138"/>
      <c r="CH106" s="140">
        <f>IFERROR(AVERAGE('Review 1'!AX106,'Review 2'!AX106,'Review 3'!AX106,'Review 4'!AX106,'Reflection -1 '!AX106,'Reflection -2'!AX106,'Reflection -3'!AX106,'Reflection -4'!AX106),"A")</f>
        <v>1.75</v>
      </c>
      <c r="CI106" s="140">
        <f>IFERROR(AVERAGE('Review 1'!AY106,'Review 2'!AY106,'Review 3'!AY106,'Review 4'!AY106,'Reflection -1 '!AY106,'Reflection -2'!AY106,'Reflection -3'!AY106,'Reflection -4'!AY106,Capstone!AY107),"A")</f>
        <v>0.77777777777777779</v>
      </c>
      <c r="CJ106" s="140">
        <f>IFERROR(AVERAGE('Review 1'!AZ106,'Review 2'!AZ106,'Review 3'!AZ106,'Review 4'!AZ106,'Reflection -1 '!AZ106,'Reflection -2'!AZ106,'Reflection -3'!AZ106,'Reflection -4'!AZ106),"A")</f>
        <v>0.875</v>
      </c>
    </row>
    <row r="107" spans="1:88" s="122" customFormat="1" ht="23.1" customHeight="1" x14ac:dyDescent="0.3">
      <c r="A107" s="137">
        <v>105</v>
      </c>
      <c r="B107" s="62" t="s">
        <v>144</v>
      </c>
      <c r="C107" s="62" t="s">
        <v>145</v>
      </c>
      <c r="D107" s="62" t="s">
        <v>542</v>
      </c>
      <c r="E107" s="62" t="s">
        <v>35</v>
      </c>
      <c r="F107" s="139"/>
      <c r="G107" s="139">
        <f>'Review 1'!Q107</f>
        <v>0</v>
      </c>
      <c r="H107" s="139">
        <f>'Review 1'!W107</f>
        <v>0</v>
      </c>
      <c r="I107" s="139">
        <f>'Review 1'!AC107</f>
        <v>0</v>
      </c>
      <c r="J107" s="139">
        <f>'Review 1'!AI107</f>
        <v>0</v>
      </c>
      <c r="K107" s="139"/>
      <c r="L107" s="139">
        <f>'Review 1'!AU107</f>
        <v>0</v>
      </c>
      <c r="M107" s="138"/>
      <c r="N107" s="139"/>
      <c r="O107" s="139">
        <f>'Review 2'!Q107</f>
        <v>2.6</v>
      </c>
      <c r="P107" s="139">
        <f>'Review 2'!W107</f>
        <v>3.6666666666666665</v>
      </c>
      <c r="Q107" s="139">
        <f>'Review 2'!AC107</f>
        <v>4.5</v>
      </c>
      <c r="R107" s="139">
        <f>'Review 2'!AI107</f>
        <v>4</v>
      </c>
      <c r="S107" s="139"/>
      <c r="T107" s="139">
        <f>'Review 2'!AU107</f>
        <v>4.666666666666667</v>
      </c>
      <c r="U107" s="138"/>
      <c r="V107" s="62"/>
      <c r="W107" s="139">
        <f>'Review 3'!Q107</f>
        <v>2.8</v>
      </c>
      <c r="X107" s="139">
        <f>'Review 3'!W107</f>
        <v>0</v>
      </c>
      <c r="Y107" s="139">
        <f>'Review 3'!AC107</f>
        <v>0</v>
      </c>
      <c r="Z107" s="139">
        <f>'Review 3'!AI107</f>
        <v>0</v>
      </c>
      <c r="AA107" s="62"/>
      <c r="AB107" s="139">
        <f>'Review 3'!AU107</f>
        <v>0</v>
      </c>
      <c r="AC107" s="138"/>
      <c r="AD107" s="62"/>
      <c r="AE107" s="139">
        <f>'Review 4'!Q107</f>
        <v>2.8</v>
      </c>
      <c r="AF107" s="139">
        <f>'Review 4'!W107</f>
        <v>3</v>
      </c>
      <c r="AG107" s="139">
        <f>'Review 4'!AC107</f>
        <v>4.5</v>
      </c>
      <c r="AH107" s="139">
        <f>'Review 4'!AI107</f>
        <v>2.5</v>
      </c>
      <c r="AI107" s="139"/>
      <c r="AJ107" s="139">
        <f>'Review 4'!AU107</f>
        <v>4.333333333333333</v>
      </c>
      <c r="AK107" s="138"/>
      <c r="AL107" s="62"/>
      <c r="AM107" s="139">
        <f>'Reflection -1 '!Q107</f>
        <v>3.6666666666666665</v>
      </c>
      <c r="AN107" s="62"/>
      <c r="AO107" s="62"/>
      <c r="AP107" s="62"/>
      <c r="AQ107" s="62"/>
      <c r="AR107" s="62"/>
      <c r="AS107" s="138"/>
      <c r="AT107" s="62"/>
      <c r="AU107" s="139">
        <f>'Reflection -2'!Q107</f>
        <v>4</v>
      </c>
      <c r="AV107" s="62"/>
      <c r="AW107" s="62"/>
      <c r="AX107" s="62"/>
      <c r="AY107" s="139"/>
      <c r="AZ107" s="62"/>
      <c r="BA107" s="138"/>
      <c r="BB107" s="139"/>
      <c r="BC107" s="139">
        <f>'Reflection -3'!Q107</f>
        <v>4</v>
      </c>
      <c r="BD107" s="139"/>
      <c r="BE107" s="139"/>
      <c r="BF107" s="139"/>
      <c r="BG107" s="139"/>
      <c r="BH107" s="139"/>
      <c r="BI107" s="138"/>
      <c r="BJ107" s="139"/>
      <c r="BK107" s="139">
        <f>'Reflection -3'!Q107</f>
        <v>4</v>
      </c>
      <c r="BL107" s="62"/>
      <c r="BM107" s="139"/>
      <c r="BN107" s="62"/>
      <c r="BO107" s="139"/>
      <c r="BP107" s="139"/>
      <c r="BQ107" s="138"/>
      <c r="BR107" s="139"/>
      <c r="BS107" s="139">
        <f>Capstone!Q108</f>
        <v>4</v>
      </c>
      <c r="BT107" s="139">
        <f>Capstone!W108</f>
        <v>4</v>
      </c>
      <c r="BU107" s="139">
        <f>Capstone!AC108</f>
        <v>4</v>
      </c>
      <c r="BV107" s="139">
        <f>Capstone!AI108</f>
        <v>5</v>
      </c>
      <c r="BW107" s="139">
        <f>Capstone!AO108</f>
        <v>4</v>
      </c>
      <c r="BX107" s="139">
        <f>Capstone!AU108</f>
        <v>4</v>
      </c>
      <c r="BY107" s="138"/>
      <c r="BZ107" s="139"/>
      <c r="CA10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2.9833333333333329</v>
      </c>
      <c r="CB107" s="139">
        <f>IFERROR(AVERAGE(Table110461117[[#This Row],[Column31]],Table110461117[[#This Row],[Column13]],Table110461117[[#This Row],[Column4]],Table110461117[[#This Row],[Column22]],),"A")</f>
        <v>1.3333333333333333</v>
      </c>
      <c r="CC107" s="139">
        <f>IFERROR(AVERAGE(Table110461117[[#This Row],[Column5]],Table110461117[[#This Row],[Column14]],Table110461117[[#This Row],[Column23]],Table110461117[[#This Row],[Column32]]),"A")</f>
        <v>2.25</v>
      </c>
      <c r="CD107" s="139">
        <f>IFERROR(AVERAGE(Table110461117[[#This Row],[Column6]],Table110461117[[#This Row],[Column15]],Table110461117[[#This Row],[Column24]],Table110461117[[#This Row],[Column33]]),"A")</f>
        <v>1.625</v>
      </c>
      <c r="CE107" s="139"/>
      <c r="CF107" s="139">
        <f>IFERROR(AVERAGE(Table110461117[[#This Row],[Column26]],Table110461117[[#This Row],[Column35]],Table110461117[[#This Row],[Column17]],Table110461117[[#This Row],[Column8]]),"A")</f>
        <v>2.25</v>
      </c>
      <c r="CG107" s="138"/>
      <c r="CH107" s="139">
        <f>IFERROR(AVERAGE('Review 1'!AX107,'Review 2'!AX107,'Review 3'!AX107,'Review 4'!AX107,'Reflection -1 '!AX107,'Reflection -2'!AX107,'Reflection -3'!AX107,'Reflection -4'!AX107),"A")</f>
        <v>3.75</v>
      </c>
      <c r="CI107" s="139">
        <f>IFERROR(AVERAGE('Review 1'!AY107,'Review 2'!AY107,'Review 3'!AY107,'Review 4'!AY107,'Reflection -1 '!AY107,'Reflection -2'!AY107,'Reflection -3'!AY107,'Reflection -4'!AY107,Capstone!AY108),"A")</f>
        <v>1.4444444444444444</v>
      </c>
      <c r="CJ107" s="139">
        <f>IFERROR(AVERAGE('Review 1'!AZ107,'Review 2'!AZ107,'Review 3'!AZ107,'Review 4'!AZ107,'Reflection -1 '!AZ107,'Reflection -2'!AZ107,'Reflection -3'!AZ107,'Reflection -4'!AZ107),"A")</f>
        <v>3.375</v>
      </c>
    </row>
    <row r="108" spans="1:88" s="122" customFormat="1" ht="23.1" customHeight="1" x14ac:dyDescent="0.3">
      <c r="A108" s="6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140"/>
      <c r="G108" s="140">
        <f>'Review 1'!Q108</f>
        <v>3.2</v>
      </c>
      <c r="H108" s="140">
        <f>'Review 1'!W108</f>
        <v>3</v>
      </c>
      <c r="I108" s="140">
        <f>'Review 1'!AC108</f>
        <v>3</v>
      </c>
      <c r="J108" s="140">
        <f>'Review 1'!AI108</f>
        <v>2.5</v>
      </c>
      <c r="K108" s="140"/>
      <c r="L108" s="140">
        <f>'Review 1'!AU108</f>
        <v>3</v>
      </c>
      <c r="M108" s="138"/>
      <c r="N108" s="140"/>
      <c r="O108" s="140">
        <f>'Review 2'!Q108</f>
        <v>2.8</v>
      </c>
      <c r="P108" s="140">
        <f>'Review 2'!W108</f>
        <v>3</v>
      </c>
      <c r="Q108" s="140">
        <f>'Review 2'!AC108</f>
        <v>2.5</v>
      </c>
      <c r="R108" s="140">
        <f>'Review 2'!AI108</f>
        <v>1</v>
      </c>
      <c r="S108" s="140"/>
      <c r="T108" s="140">
        <f>'Review 2'!AU108</f>
        <v>2</v>
      </c>
      <c r="U108" s="138"/>
      <c r="V108" s="7"/>
      <c r="W108" s="140">
        <f>'Review 3'!Q108</f>
        <v>2.2000000000000002</v>
      </c>
      <c r="X108" s="140">
        <f>'Review 3'!W108</f>
        <v>2</v>
      </c>
      <c r="Y108" s="140">
        <f>'Review 3'!AC108</f>
        <v>2</v>
      </c>
      <c r="Z108" s="140">
        <f>'Review 3'!AI108</f>
        <v>2</v>
      </c>
      <c r="AA108" s="7"/>
      <c r="AB108" s="140">
        <f>'Review 3'!AU108</f>
        <v>2</v>
      </c>
      <c r="AC108" s="138"/>
      <c r="AD108" s="7"/>
      <c r="AE108" s="140">
        <f>'Review 4'!Q108</f>
        <v>2.2000000000000002</v>
      </c>
      <c r="AF108" s="140">
        <f>'Review 4'!W108</f>
        <v>4</v>
      </c>
      <c r="AG108" s="140">
        <f>'Review 4'!AC108</f>
        <v>3.5</v>
      </c>
      <c r="AH108" s="140">
        <f>'Review 4'!AI108</f>
        <v>5</v>
      </c>
      <c r="AI108" s="140"/>
      <c r="AJ108" s="140">
        <f>'Review 4'!AU108</f>
        <v>5</v>
      </c>
      <c r="AK108" s="138"/>
      <c r="AL108" s="7"/>
      <c r="AM108" s="140">
        <f>'Reflection -1 '!Q108</f>
        <v>3.3333333333333335</v>
      </c>
      <c r="AN108" s="7"/>
      <c r="AO108" s="7"/>
      <c r="AP108" s="7"/>
      <c r="AQ108" s="7"/>
      <c r="AR108" s="7"/>
      <c r="AS108" s="138"/>
      <c r="AT108" s="7"/>
      <c r="AU108" s="140">
        <f>'Reflection -2'!Q108</f>
        <v>2</v>
      </c>
      <c r="AV108" s="7"/>
      <c r="AW108" s="7"/>
      <c r="AX108" s="7"/>
      <c r="AY108" s="140"/>
      <c r="AZ108" s="7"/>
      <c r="BA108" s="138"/>
      <c r="BB108" s="140"/>
      <c r="BC108" s="140">
        <f>'Reflection -3'!Q108</f>
        <v>2</v>
      </c>
      <c r="BD108" s="140"/>
      <c r="BE108" s="140"/>
      <c r="BF108" s="140"/>
      <c r="BG108" s="140"/>
      <c r="BH108" s="140"/>
      <c r="BI108" s="138"/>
      <c r="BJ108" s="140"/>
      <c r="BK108" s="140">
        <f>'Reflection -3'!Q108</f>
        <v>2</v>
      </c>
      <c r="BL108" s="7"/>
      <c r="BM108" s="140"/>
      <c r="BN108" s="7"/>
      <c r="BO108" s="140"/>
      <c r="BP108" s="140"/>
      <c r="BQ108" s="138"/>
      <c r="BR108" s="140"/>
      <c r="BS108" s="140">
        <f>Capstone!Q109</f>
        <v>3.3333333333333335</v>
      </c>
      <c r="BT108" s="140">
        <f>Capstone!W109</f>
        <v>2.5</v>
      </c>
      <c r="BU108" s="140">
        <f>Capstone!AC109</f>
        <v>2.5</v>
      </c>
      <c r="BV108" s="140">
        <f>Capstone!AI109</f>
        <v>3</v>
      </c>
      <c r="BW108" s="140">
        <f>Capstone!AO109</f>
        <v>2.5</v>
      </c>
      <c r="BX108" s="140">
        <f>Capstone!AU109</f>
        <v>2.5</v>
      </c>
      <c r="BY108" s="138"/>
      <c r="BZ108" s="140"/>
      <c r="CA10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2.4666666666666668</v>
      </c>
      <c r="CB108" s="140">
        <f>IFERROR(AVERAGE(Table110461117[[#This Row],[Column31]],Table110461117[[#This Row],[Column13]],Table110461117[[#This Row],[Column4]],Table110461117[[#This Row],[Column22]],),"A")</f>
        <v>2.4</v>
      </c>
      <c r="CC108" s="140">
        <f>IFERROR(AVERAGE(Table110461117[[#This Row],[Column5]],Table110461117[[#This Row],[Column14]],Table110461117[[#This Row],[Column23]],Table110461117[[#This Row],[Column32]]),"A")</f>
        <v>2.75</v>
      </c>
      <c r="CD108" s="140">
        <f>IFERROR(AVERAGE(Table110461117[[#This Row],[Column6]],Table110461117[[#This Row],[Column15]],Table110461117[[#This Row],[Column24]],Table110461117[[#This Row],[Column33]]),"A")</f>
        <v>2.625</v>
      </c>
      <c r="CE108" s="140"/>
      <c r="CF108" s="140">
        <f>IFERROR(AVERAGE(Table110461117[[#This Row],[Column26]],Table110461117[[#This Row],[Column35]],Table110461117[[#This Row],[Column17]],Table110461117[[#This Row],[Column8]]),"A")</f>
        <v>3</v>
      </c>
      <c r="CG108" s="138"/>
      <c r="CH108" s="140">
        <f>IFERROR(AVERAGE('Review 1'!AX108,'Review 2'!AX108,'Review 3'!AX108,'Review 4'!AX108,'Reflection -1 '!AX108,'Reflection -2'!AX108,'Reflection -3'!AX108,'Reflection -4'!AX108),"A")</f>
        <v>2.75</v>
      </c>
      <c r="CI108" s="140">
        <f>IFERROR(AVERAGE('Review 1'!AY108,'Review 2'!AY108,'Review 3'!AY108,'Review 4'!AY108,'Reflection -1 '!AY108,'Reflection -2'!AY108,'Reflection -3'!AY108,'Reflection -4'!AY108,Capstone!AY109),"A")</f>
        <v>2.5</v>
      </c>
      <c r="CJ108" s="140">
        <f>IFERROR(AVERAGE('Review 1'!AZ108,'Review 2'!AZ108,'Review 3'!AZ108,'Review 4'!AZ108,'Reflection -1 '!AZ108,'Reflection -2'!AZ108,'Reflection -3'!AZ108,'Reflection -4'!AZ108),"A")</f>
        <v>2.875</v>
      </c>
    </row>
    <row r="109" spans="1:88" s="122" customFormat="1" ht="23.1" customHeight="1" x14ac:dyDescent="0.3">
      <c r="A109" s="137">
        <v>107</v>
      </c>
      <c r="B109" s="62" t="s">
        <v>352</v>
      </c>
      <c r="C109" s="62" t="s">
        <v>353</v>
      </c>
      <c r="D109" s="62" t="s">
        <v>542</v>
      </c>
      <c r="E109" s="62" t="s">
        <v>493</v>
      </c>
      <c r="F109" s="139"/>
      <c r="G109" s="139">
        <f>'Review 1'!Q109</f>
        <v>3</v>
      </c>
      <c r="H109" s="139">
        <f>'Review 1'!W109</f>
        <v>3</v>
      </c>
      <c r="I109" s="139">
        <f>'Review 1'!AC109</f>
        <v>3</v>
      </c>
      <c r="J109" s="139">
        <f>'Review 1'!AI109</f>
        <v>3</v>
      </c>
      <c r="K109" s="139"/>
      <c r="L109" s="139">
        <f>'Review 1'!AU109</f>
        <v>3</v>
      </c>
      <c r="M109" s="138"/>
      <c r="N109" s="139"/>
      <c r="O109" s="139">
        <f>'Review 2'!Q109</f>
        <v>3</v>
      </c>
      <c r="P109" s="139">
        <f>'Review 2'!W109</f>
        <v>2</v>
      </c>
      <c r="Q109" s="139">
        <f>'Review 2'!AC109</f>
        <v>2</v>
      </c>
      <c r="R109" s="139">
        <f>'Review 2'!AI109</f>
        <v>1</v>
      </c>
      <c r="S109" s="139"/>
      <c r="T109" s="139">
        <f>'Review 2'!AU109</f>
        <v>2</v>
      </c>
      <c r="U109" s="138"/>
      <c r="V109" s="62"/>
      <c r="W109" s="139">
        <f>'Review 3'!Q109</f>
        <v>2</v>
      </c>
      <c r="X109" s="139">
        <f>'Review 3'!W109</f>
        <v>2</v>
      </c>
      <c r="Y109" s="139">
        <f>'Review 3'!AC109</f>
        <v>2</v>
      </c>
      <c r="Z109" s="139">
        <f>'Review 3'!AI109</f>
        <v>2</v>
      </c>
      <c r="AA109" s="62"/>
      <c r="AB109" s="139">
        <f>'Review 3'!AU109</f>
        <v>2</v>
      </c>
      <c r="AC109" s="138"/>
      <c r="AD109" s="62"/>
      <c r="AE109" s="139">
        <f>'Review 4'!Q109</f>
        <v>2</v>
      </c>
      <c r="AF109" s="139">
        <f>'Review 4'!W109</f>
        <v>2</v>
      </c>
      <c r="AG109" s="139">
        <f>'Review 4'!AC109</f>
        <v>2</v>
      </c>
      <c r="AH109" s="139">
        <f>'Review 4'!AI109</f>
        <v>4</v>
      </c>
      <c r="AI109" s="139"/>
      <c r="AJ109" s="139">
        <f>'Review 4'!AU109</f>
        <v>3</v>
      </c>
      <c r="AK109" s="138"/>
      <c r="AL109" s="62"/>
      <c r="AM109" s="139">
        <f>'Reflection -1 '!Q109</f>
        <v>3.3333333333333335</v>
      </c>
      <c r="AN109" s="62"/>
      <c r="AO109" s="62"/>
      <c r="AP109" s="62"/>
      <c r="AQ109" s="62"/>
      <c r="AR109" s="62"/>
      <c r="AS109" s="138"/>
      <c r="AT109" s="62"/>
      <c r="AU109" s="139">
        <f>'Reflection -2'!Q109</f>
        <v>4</v>
      </c>
      <c r="AV109" s="62"/>
      <c r="AW109" s="62"/>
      <c r="AX109" s="62"/>
      <c r="AY109" s="139"/>
      <c r="AZ109" s="62"/>
      <c r="BA109" s="138"/>
      <c r="BB109" s="139"/>
      <c r="BC109" s="139">
        <f>'Reflection -3'!Q109</f>
        <v>2.6666666666666665</v>
      </c>
      <c r="BD109" s="139"/>
      <c r="BE109" s="139"/>
      <c r="BF109" s="139"/>
      <c r="BG109" s="139"/>
      <c r="BH109" s="139"/>
      <c r="BI109" s="138"/>
      <c r="BJ109" s="139"/>
      <c r="BK109" s="139">
        <f>'Reflection -3'!Q109</f>
        <v>2.6666666666666665</v>
      </c>
      <c r="BL109" s="62"/>
      <c r="BM109" s="139"/>
      <c r="BN109" s="62"/>
      <c r="BO109" s="139"/>
      <c r="BP109" s="139"/>
      <c r="BQ109" s="138"/>
      <c r="BR109" s="139"/>
      <c r="BS109" s="139">
        <f>Capstone!Q110</f>
        <v>5</v>
      </c>
      <c r="BT109" s="139">
        <f>Capstone!W110</f>
        <v>5</v>
      </c>
      <c r="BU109" s="139">
        <f>Capstone!AC110</f>
        <v>5</v>
      </c>
      <c r="BV109" s="139">
        <f>Capstone!AI110</f>
        <v>4</v>
      </c>
      <c r="BW109" s="139">
        <f>Capstone!AO110</f>
        <v>5</v>
      </c>
      <c r="BX109" s="139">
        <f>Capstone!AU110</f>
        <v>4</v>
      </c>
      <c r="BY109" s="138"/>
      <c r="BZ109" s="139"/>
      <c r="CA10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2.8333333333333335</v>
      </c>
      <c r="CB109" s="139">
        <f>IFERROR(AVERAGE(Table110461117[[#This Row],[Column31]],Table110461117[[#This Row],[Column13]],Table110461117[[#This Row],[Column4]],Table110461117[[#This Row],[Column22]],),"A")</f>
        <v>1.8</v>
      </c>
      <c r="CC109" s="139">
        <f>IFERROR(AVERAGE(Table110461117[[#This Row],[Column5]],Table110461117[[#This Row],[Column14]],Table110461117[[#This Row],[Column23]],Table110461117[[#This Row],[Column32]]),"A")</f>
        <v>2.25</v>
      </c>
      <c r="CD109" s="139">
        <f>IFERROR(AVERAGE(Table110461117[[#This Row],[Column6]],Table110461117[[#This Row],[Column15]],Table110461117[[#This Row],[Column24]],Table110461117[[#This Row],[Column33]]),"A")</f>
        <v>2.5</v>
      </c>
      <c r="CE109" s="139"/>
      <c r="CF109" s="139">
        <f>IFERROR(AVERAGE(Table110461117[[#This Row],[Column26]],Table110461117[[#This Row],[Column35]],Table110461117[[#This Row],[Column17]],Table110461117[[#This Row],[Column8]]),"A")</f>
        <v>2.5</v>
      </c>
      <c r="CG109" s="138"/>
      <c r="CH109" s="139">
        <f>IFERROR(AVERAGE('Review 1'!AX109,'Review 2'!AX109,'Review 3'!AX109,'Review 4'!AX109,'Reflection -1 '!AX109,'Reflection -2'!AX109,'Reflection -3'!AX109,'Reflection -4'!AX109),"A")</f>
        <v>3.625</v>
      </c>
      <c r="CI109" s="139">
        <f>IFERROR(AVERAGE('Review 1'!AY109,'Review 2'!AY109,'Review 3'!AY109,'Review 4'!AY109,'Reflection -1 '!AY109,'Reflection -2'!AY109,'Reflection -3'!AY109,'Reflection -4'!AY109,Capstone!AY110),"A")</f>
        <v>2.4444444444444446</v>
      </c>
      <c r="CJ109" s="139">
        <f>IFERROR(AVERAGE('Review 1'!AZ109,'Review 2'!AZ109,'Review 3'!AZ109,'Review 4'!AZ109,'Reflection -1 '!AZ109,'Reflection -2'!AZ109,'Reflection -3'!AZ109,'Reflection -4'!AZ109),"A")</f>
        <v>2.75</v>
      </c>
    </row>
    <row r="110" spans="1:88" s="122" customFormat="1" ht="23.1" customHeight="1" x14ac:dyDescent="0.3">
      <c r="A110" s="6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140"/>
      <c r="G110" s="140">
        <f>'Review 1'!Q110</f>
        <v>2.8</v>
      </c>
      <c r="H110" s="140">
        <f>'Review 1'!W110</f>
        <v>2.6666666666666665</v>
      </c>
      <c r="I110" s="140">
        <f>'Review 1'!AC110</f>
        <v>3</v>
      </c>
      <c r="J110" s="140">
        <f>'Review 1'!AI110</f>
        <v>3</v>
      </c>
      <c r="K110" s="140"/>
      <c r="L110" s="140">
        <f>'Review 1'!AU110</f>
        <v>2.6666666666666665</v>
      </c>
      <c r="M110" s="138"/>
      <c r="N110" s="140"/>
      <c r="O110" s="140">
        <f>'Review 2'!Q110</f>
        <v>2.6</v>
      </c>
      <c r="P110" s="140">
        <f>'Review 2'!W110</f>
        <v>2.6666666666666665</v>
      </c>
      <c r="Q110" s="140">
        <f>'Review 2'!AC110</f>
        <v>2.5</v>
      </c>
      <c r="R110" s="140">
        <f>'Review 2'!AI110</f>
        <v>2.5</v>
      </c>
      <c r="S110" s="140"/>
      <c r="T110" s="140">
        <f>'Review 2'!AU110</f>
        <v>2.6666666666666665</v>
      </c>
      <c r="U110" s="138"/>
      <c r="V110" s="7"/>
      <c r="W110" s="140">
        <f>'Review 3'!Q110</f>
        <v>1</v>
      </c>
      <c r="X110" s="140">
        <f>'Review 3'!W110</f>
        <v>0</v>
      </c>
      <c r="Y110" s="140">
        <f>'Review 3'!AC110</f>
        <v>2.5</v>
      </c>
      <c r="Z110" s="140">
        <f>'Review 3'!AI110</f>
        <v>0</v>
      </c>
      <c r="AA110" s="7"/>
      <c r="AB110" s="140">
        <f>'Review 3'!AU110</f>
        <v>0</v>
      </c>
      <c r="AC110" s="138"/>
      <c r="AD110" s="7"/>
      <c r="AE110" s="140">
        <f>'Review 4'!Q110</f>
        <v>3</v>
      </c>
      <c r="AF110" s="140">
        <f>'Review 4'!W110</f>
        <v>3</v>
      </c>
      <c r="AG110" s="140">
        <f>'Review 4'!AC110</f>
        <v>2</v>
      </c>
      <c r="AH110" s="140">
        <f>'Review 4'!AI110</f>
        <v>2</v>
      </c>
      <c r="AI110" s="140"/>
      <c r="AJ110" s="140">
        <f>'Review 4'!AU110</f>
        <v>3</v>
      </c>
      <c r="AK110" s="138"/>
      <c r="AL110" s="7"/>
      <c r="AM110" s="140">
        <f>'Reflection -1 '!Q110</f>
        <v>3.3333333333333335</v>
      </c>
      <c r="AN110" s="7"/>
      <c r="AO110" s="7"/>
      <c r="AP110" s="7"/>
      <c r="AQ110" s="7"/>
      <c r="AR110" s="7"/>
      <c r="AS110" s="138"/>
      <c r="AT110" s="7"/>
      <c r="AU110" s="140">
        <f>'Reflection -2'!Q110</f>
        <v>3.6666666666666665</v>
      </c>
      <c r="AV110" s="7"/>
      <c r="AW110" s="7"/>
      <c r="AX110" s="7"/>
      <c r="AY110" s="140"/>
      <c r="AZ110" s="7"/>
      <c r="BA110" s="138"/>
      <c r="BB110" s="140"/>
      <c r="BC110" s="140">
        <f>'Reflection -3'!Q110</f>
        <v>0</v>
      </c>
      <c r="BD110" s="140"/>
      <c r="BE110" s="140"/>
      <c r="BF110" s="140"/>
      <c r="BG110" s="140"/>
      <c r="BH110" s="140"/>
      <c r="BI110" s="138"/>
      <c r="BJ110" s="140"/>
      <c r="BK110" s="140">
        <f>'Reflection -3'!Q110</f>
        <v>0</v>
      </c>
      <c r="BL110" s="7"/>
      <c r="BM110" s="140"/>
      <c r="BN110" s="7"/>
      <c r="BO110" s="140"/>
      <c r="BP110" s="140"/>
      <c r="BQ110" s="138"/>
      <c r="BR110" s="140"/>
      <c r="BS110" s="140">
        <f>Capstone!Q111</f>
        <v>3.3333333333333335</v>
      </c>
      <c r="BT110" s="140">
        <f>Capstone!W111</f>
        <v>3.5</v>
      </c>
      <c r="BU110" s="140">
        <f>Capstone!AC111</f>
        <v>3.5</v>
      </c>
      <c r="BV110" s="140">
        <f>Capstone!AI111</f>
        <v>0</v>
      </c>
      <c r="BW110" s="140">
        <f>Capstone!AO111</f>
        <v>3.5</v>
      </c>
      <c r="BX110" s="140">
        <f>Capstone!AU111</f>
        <v>4</v>
      </c>
      <c r="BY110" s="138"/>
      <c r="BZ110" s="140"/>
      <c r="CA11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2.0499999999999998</v>
      </c>
      <c r="CB110" s="140">
        <f>IFERROR(AVERAGE(Table110461117[[#This Row],[Column31]],Table110461117[[#This Row],[Column13]],Table110461117[[#This Row],[Column4]],Table110461117[[#This Row],[Column22]],),"A")</f>
        <v>1.6666666666666665</v>
      </c>
      <c r="CC110" s="140">
        <f>IFERROR(AVERAGE(Table110461117[[#This Row],[Column5]],Table110461117[[#This Row],[Column14]],Table110461117[[#This Row],[Column23]],Table110461117[[#This Row],[Column32]]),"A")</f>
        <v>2.5</v>
      </c>
      <c r="CD110" s="140">
        <f>IFERROR(AVERAGE(Table110461117[[#This Row],[Column6]],Table110461117[[#This Row],[Column15]],Table110461117[[#This Row],[Column24]],Table110461117[[#This Row],[Column33]]),"A")</f>
        <v>1.875</v>
      </c>
      <c r="CE110" s="140"/>
      <c r="CF110" s="140">
        <f>IFERROR(AVERAGE(Table110461117[[#This Row],[Column26]],Table110461117[[#This Row],[Column35]],Table110461117[[#This Row],[Column17]],Table110461117[[#This Row],[Column8]]),"A")</f>
        <v>2.083333333333333</v>
      </c>
      <c r="CG110" s="138"/>
      <c r="CH110" s="140">
        <f>IFERROR(AVERAGE('Review 1'!AX110,'Review 2'!AX110,'Review 3'!AX110,'Review 4'!AX110,'Reflection -1 '!AX110,'Reflection -2'!AX110,'Reflection -3'!AX110,'Reflection -4'!AX110),"A")</f>
        <v>2.5</v>
      </c>
      <c r="CI110" s="140">
        <f>IFERROR(AVERAGE('Review 1'!AY110,'Review 2'!AY110,'Review 3'!AY110,'Review 4'!AY110,'Reflection -1 '!AY110,'Reflection -2'!AY110,'Reflection -3'!AY110,'Reflection -4'!AY110,Capstone!AY111),"A")</f>
        <v>1.2222222222222223</v>
      </c>
      <c r="CJ110" s="140">
        <f>IFERROR(AVERAGE('Review 1'!AZ110,'Review 2'!AZ110,'Review 3'!AZ110,'Review 4'!AZ110,'Reflection -1 '!AZ110,'Reflection -2'!AZ110,'Reflection -3'!AZ110,'Reflection -4'!AZ110),"A")</f>
        <v>2</v>
      </c>
    </row>
    <row r="111" spans="1:88" s="122" customFormat="1" ht="23.1" customHeight="1" x14ac:dyDescent="0.3">
      <c r="A111" s="137">
        <v>109</v>
      </c>
      <c r="B111" s="62" t="s">
        <v>168</v>
      </c>
      <c r="C111" s="62" t="s">
        <v>169</v>
      </c>
      <c r="D111" s="62" t="s">
        <v>450</v>
      </c>
      <c r="E111" s="62" t="s">
        <v>161</v>
      </c>
      <c r="F111" s="139"/>
      <c r="G111" s="139">
        <f>'Review 1'!Q111</f>
        <v>3</v>
      </c>
      <c r="H111" s="139">
        <f>'Review 1'!W111</f>
        <v>3</v>
      </c>
      <c r="I111" s="139">
        <f>'Review 1'!AC111</f>
        <v>3</v>
      </c>
      <c r="J111" s="139">
        <f>'Review 1'!AI111</f>
        <v>3</v>
      </c>
      <c r="K111" s="139"/>
      <c r="L111" s="139">
        <f>'Review 1'!AU111</f>
        <v>3</v>
      </c>
      <c r="M111" s="138"/>
      <c r="N111" s="139"/>
      <c r="O111" s="139">
        <f>'Review 2'!Q111</f>
        <v>3</v>
      </c>
      <c r="P111" s="139">
        <f>'Review 2'!W111</f>
        <v>3</v>
      </c>
      <c r="Q111" s="139">
        <f>'Review 2'!AC111</f>
        <v>3</v>
      </c>
      <c r="R111" s="139">
        <f>'Review 2'!AI111</f>
        <v>3</v>
      </c>
      <c r="S111" s="139"/>
      <c r="T111" s="139">
        <f>'Review 2'!AU111</f>
        <v>3</v>
      </c>
      <c r="U111" s="138"/>
      <c r="V111" s="62"/>
      <c r="W111" s="139">
        <f>'Review 3'!Q111</f>
        <v>2.8</v>
      </c>
      <c r="X111" s="139">
        <f>'Review 3'!W111</f>
        <v>0</v>
      </c>
      <c r="Y111" s="139">
        <f>'Review 3'!AC111</f>
        <v>3</v>
      </c>
      <c r="Z111" s="139">
        <f>'Review 3'!AI111</f>
        <v>0</v>
      </c>
      <c r="AA111" s="62"/>
      <c r="AB111" s="139">
        <f>'Review 3'!AU111</f>
        <v>0</v>
      </c>
      <c r="AC111" s="138"/>
      <c r="AD111" s="62"/>
      <c r="AE111" s="139">
        <f>'Review 4'!Q111</f>
        <v>3</v>
      </c>
      <c r="AF111" s="139">
        <f>'Review 4'!W111</f>
        <v>2.3333333333333335</v>
      </c>
      <c r="AG111" s="139">
        <f>'Review 4'!AC111</f>
        <v>2.5</v>
      </c>
      <c r="AH111" s="139">
        <f>'Review 4'!AI111</f>
        <v>2</v>
      </c>
      <c r="AI111" s="139"/>
      <c r="AJ111" s="139">
        <f>'Review 4'!AU111</f>
        <v>3.3333333333333335</v>
      </c>
      <c r="AK111" s="138"/>
      <c r="AL111" s="62"/>
      <c r="AM111" s="139">
        <f>'Reflection -1 '!Q111</f>
        <v>3.3333333333333335</v>
      </c>
      <c r="AN111" s="62"/>
      <c r="AO111" s="62"/>
      <c r="AP111" s="62"/>
      <c r="AQ111" s="62"/>
      <c r="AR111" s="62"/>
      <c r="AS111" s="138"/>
      <c r="AT111" s="62"/>
      <c r="AU111" s="139">
        <f>'Reflection -2'!Q111</f>
        <v>3.3333333333333335</v>
      </c>
      <c r="AV111" s="62"/>
      <c r="AW111" s="62"/>
      <c r="AX111" s="62"/>
      <c r="AY111" s="139"/>
      <c r="AZ111" s="62"/>
      <c r="BA111" s="138"/>
      <c r="BB111" s="139"/>
      <c r="BC111" s="139">
        <f>'Reflection -3'!Q111</f>
        <v>3</v>
      </c>
      <c r="BD111" s="139"/>
      <c r="BE111" s="139"/>
      <c r="BF111" s="139"/>
      <c r="BG111" s="139"/>
      <c r="BH111" s="139"/>
      <c r="BI111" s="138"/>
      <c r="BJ111" s="139"/>
      <c r="BK111" s="139">
        <f>'Reflection -3'!Q111</f>
        <v>3</v>
      </c>
      <c r="BL111" s="62"/>
      <c r="BM111" s="139"/>
      <c r="BN111" s="62"/>
      <c r="BO111" s="139"/>
      <c r="BP111" s="139"/>
      <c r="BQ111" s="138"/>
      <c r="BR111" s="139"/>
      <c r="BS111" s="139">
        <f>Capstone!Q112</f>
        <v>5</v>
      </c>
      <c r="BT111" s="139">
        <f>Capstone!W112</f>
        <v>3</v>
      </c>
      <c r="BU111" s="139">
        <f>Capstone!AC112</f>
        <v>3</v>
      </c>
      <c r="BV111" s="139">
        <f>Capstone!AI112</f>
        <v>4</v>
      </c>
      <c r="BW111" s="139">
        <f>Capstone!AO112</f>
        <v>5</v>
      </c>
      <c r="BX111" s="139">
        <f>Capstone!AU112</f>
        <v>5</v>
      </c>
      <c r="BY111" s="138"/>
      <c r="BZ111" s="139"/>
      <c r="CA11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3.0583333333333336</v>
      </c>
      <c r="CB111" s="139">
        <f>IFERROR(AVERAGE(Table110461117[[#This Row],[Column31]],Table110461117[[#This Row],[Column13]],Table110461117[[#This Row],[Column4]],Table110461117[[#This Row],[Column22]],),"A")</f>
        <v>1.6666666666666667</v>
      </c>
      <c r="CC111" s="139">
        <f>IFERROR(AVERAGE(Table110461117[[#This Row],[Column5]],Table110461117[[#This Row],[Column14]],Table110461117[[#This Row],[Column23]],Table110461117[[#This Row],[Column32]]),"A")</f>
        <v>2.875</v>
      </c>
      <c r="CD111" s="139">
        <f>IFERROR(AVERAGE(Table110461117[[#This Row],[Column6]],Table110461117[[#This Row],[Column15]],Table110461117[[#This Row],[Column24]],Table110461117[[#This Row],[Column33]]),"A")</f>
        <v>2</v>
      </c>
      <c r="CE111" s="139"/>
      <c r="CF111" s="139">
        <f>IFERROR(AVERAGE(Table110461117[[#This Row],[Column26]],Table110461117[[#This Row],[Column35]],Table110461117[[#This Row],[Column17]],Table110461117[[#This Row],[Column8]]),"A")</f>
        <v>2.3333333333333335</v>
      </c>
      <c r="CG111" s="138"/>
      <c r="CH111" s="139">
        <f>IFERROR(AVERAGE('Review 1'!AX111,'Review 2'!AX111,'Review 3'!AX111,'Review 4'!AX111,'Reflection -1 '!AX111,'Reflection -2'!AX111,'Reflection -3'!AX111,'Reflection -4'!AX111),"A")</f>
        <v>2.875</v>
      </c>
      <c r="CI111" s="139">
        <f>IFERROR(AVERAGE('Review 1'!AY111,'Review 2'!AY111,'Review 3'!AY111,'Review 4'!AY111,'Reflection -1 '!AY111,'Reflection -2'!AY111,'Reflection -3'!AY111,'Reflection -4'!AY111,Capstone!AY112),"A")</f>
        <v>1.2222222222222223</v>
      </c>
      <c r="CJ111" s="139">
        <f>IFERROR(AVERAGE('Review 1'!AZ111,'Review 2'!AZ111,'Review 3'!AZ111,'Review 4'!AZ111,'Reflection -1 '!AZ111,'Reflection -2'!AZ111,'Reflection -3'!AZ111,'Reflection -4'!AZ111),"A")</f>
        <v>2.375</v>
      </c>
    </row>
    <row r="112" spans="1:88" s="122" customFormat="1" ht="23.1" customHeight="1" x14ac:dyDescent="0.3">
      <c r="A112" s="6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140"/>
      <c r="G112" s="140">
        <f>'Review 1'!Q112</f>
        <v>2.4</v>
      </c>
      <c r="H112" s="140">
        <f>'Review 1'!W112</f>
        <v>2.3333333333333335</v>
      </c>
      <c r="I112" s="140">
        <f>'Review 1'!AC112</f>
        <v>2.5</v>
      </c>
      <c r="J112" s="140">
        <f>'Review 1'!AI112</f>
        <v>2.5</v>
      </c>
      <c r="K112" s="140"/>
      <c r="L112" s="140">
        <f>'Review 1'!AU112</f>
        <v>2.3333333333333335</v>
      </c>
      <c r="M112" s="138"/>
      <c r="N112" s="140"/>
      <c r="O112" s="140">
        <f>'Review 2'!Q112</f>
        <v>2.4</v>
      </c>
      <c r="P112" s="140">
        <f>'Review 2'!W112</f>
        <v>2.3333333333333335</v>
      </c>
      <c r="Q112" s="140">
        <f>'Review 2'!AC112</f>
        <v>2.5</v>
      </c>
      <c r="R112" s="140">
        <f>'Review 2'!AI112</f>
        <v>2</v>
      </c>
      <c r="S112" s="140"/>
      <c r="T112" s="140">
        <f>'Review 2'!AU112</f>
        <v>2.3333333333333335</v>
      </c>
      <c r="U112" s="138"/>
      <c r="V112" s="7"/>
      <c r="W112" s="140">
        <f>'Review 3'!Q112</f>
        <v>3</v>
      </c>
      <c r="X112" s="140">
        <f>'Review 3'!W112</f>
        <v>2.3333333333333335</v>
      </c>
      <c r="Y112" s="140">
        <f>'Review 3'!AC112</f>
        <v>2.5</v>
      </c>
      <c r="Z112" s="140">
        <f>'Review 3'!AI112</f>
        <v>2.5</v>
      </c>
      <c r="AA112" s="7"/>
      <c r="AB112" s="140">
        <f>'Review 3'!AU112</f>
        <v>2.6666666666666665</v>
      </c>
      <c r="AC112" s="138"/>
      <c r="AD112" s="7"/>
      <c r="AE112" s="140">
        <f>'Review 4'!Q112</f>
        <v>0</v>
      </c>
      <c r="AF112" s="140">
        <f>'Review 4'!W112</f>
        <v>0</v>
      </c>
      <c r="AG112" s="140">
        <f>'Review 4'!AC112</f>
        <v>0</v>
      </c>
      <c r="AH112" s="140">
        <f>'Review 4'!AI112</f>
        <v>0</v>
      </c>
      <c r="AI112" s="140"/>
      <c r="AJ112" s="140">
        <f>'Review 4'!AU112</f>
        <v>0</v>
      </c>
      <c r="AK112" s="138"/>
      <c r="AL112" s="7"/>
      <c r="AM112" s="140">
        <f>'Reflection -1 '!Q112</f>
        <v>1.6666666666666667</v>
      </c>
      <c r="AN112" s="7"/>
      <c r="AO112" s="7"/>
      <c r="AP112" s="7"/>
      <c r="AQ112" s="7"/>
      <c r="AR112" s="7"/>
      <c r="AS112" s="138"/>
      <c r="AT112" s="7"/>
      <c r="AU112" s="140">
        <f>'Reflection -2'!Q112</f>
        <v>3</v>
      </c>
      <c r="AV112" s="7"/>
      <c r="AW112" s="7"/>
      <c r="AX112" s="7"/>
      <c r="AY112" s="140"/>
      <c r="AZ112" s="7"/>
      <c r="BA112" s="138"/>
      <c r="BB112" s="140"/>
      <c r="BC112" s="140">
        <f>'Reflection -3'!Q112</f>
        <v>2</v>
      </c>
      <c r="BD112" s="140"/>
      <c r="BE112" s="140"/>
      <c r="BF112" s="140"/>
      <c r="BG112" s="140"/>
      <c r="BH112" s="140"/>
      <c r="BI112" s="138"/>
      <c r="BJ112" s="140"/>
      <c r="BK112" s="140">
        <f>'Reflection -3'!Q112</f>
        <v>2</v>
      </c>
      <c r="BL112" s="7"/>
      <c r="BM112" s="140"/>
      <c r="BN112" s="7"/>
      <c r="BO112" s="140"/>
      <c r="BP112" s="140"/>
      <c r="BQ112" s="138"/>
      <c r="BR112" s="140"/>
      <c r="BS112" s="140">
        <f>Capstone!Q113</f>
        <v>5</v>
      </c>
      <c r="BT112" s="140">
        <f>Capstone!W113</f>
        <v>5</v>
      </c>
      <c r="BU112" s="140">
        <f>Capstone!AC113</f>
        <v>5</v>
      </c>
      <c r="BV112" s="140">
        <f>Capstone!AI113</f>
        <v>3</v>
      </c>
      <c r="BW112" s="140">
        <f>Capstone!AO113</f>
        <v>5</v>
      </c>
      <c r="BX112" s="140">
        <f>Capstone!AU113</f>
        <v>5</v>
      </c>
      <c r="BY112" s="138"/>
      <c r="BZ112" s="140"/>
      <c r="CA11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2.0583333333333336</v>
      </c>
      <c r="CB112" s="140">
        <f>IFERROR(AVERAGE(Table110461117[[#This Row],[Column31]],Table110461117[[#This Row],[Column13]],Table110461117[[#This Row],[Column4]],Table110461117[[#This Row],[Column22]],),"A")</f>
        <v>1.4</v>
      </c>
      <c r="CC112" s="140">
        <f>IFERROR(AVERAGE(Table110461117[[#This Row],[Column5]],Table110461117[[#This Row],[Column14]],Table110461117[[#This Row],[Column23]],Table110461117[[#This Row],[Column32]]),"A")</f>
        <v>1.875</v>
      </c>
      <c r="CD112" s="140">
        <f>IFERROR(AVERAGE(Table110461117[[#This Row],[Column6]],Table110461117[[#This Row],[Column15]],Table110461117[[#This Row],[Column24]],Table110461117[[#This Row],[Column33]]),"A")</f>
        <v>1.75</v>
      </c>
      <c r="CE112" s="140"/>
      <c r="CF112" s="140">
        <f>IFERROR(AVERAGE(Table110461117[[#This Row],[Column26]],Table110461117[[#This Row],[Column35]],Table110461117[[#This Row],[Column17]],Table110461117[[#This Row],[Column8]]),"A")</f>
        <v>1.8333333333333335</v>
      </c>
      <c r="CG112" s="138"/>
      <c r="CH112" s="140">
        <f>IFERROR(AVERAGE('Review 1'!AX112,'Review 2'!AX112,'Review 3'!AX112,'Review 4'!AX112,'Reflection -1 '!AX112,'Reflection -2'!AX112,'Reflection -3'!AX112,'Reflection -4'!AX112),"A")</f>
        <v>3.375</v>
      </c>
      <c r="CI112" s="140">
        <f>IFERROR(AVERAGE('Review 1'!AY112,'Review 2'!AY112,'Review 3'!AY112,'Review 4'!AY112,'Reflection -1 '!AY112,'Reflection -2'!AY112,'Reflection -3'!AY112,'Reflection -4'!AY112,Capstone!AY113),"A")</f>
        <v>1.2222222222222223</v>
      </c>
      <c r="CJ112" s="140">
        <f>IFERROR(AVERAGE('Review 1'!AZ112,'Review 2'!AZ112,'Review 3'!AZ112,'Review 4'!AZ112,'Reflection -1 '!AZ112,'Reflection -2'!AZ112,'Reflection -3'!AZ112,'Reflection -4'!AZ112),"A")</f>
        <v>1.375</v>
      </c>
    </row>
    <row r="113" spans="1:88" s="122" customFormat="1" ht="23.1" customHeight="1" x14ac:dyDescent="0.3">
      <c r="A113" s="137">
        <v>111</v>
      </c>
      <c r="B113" s="62" t="s">
        <v>233</v>
      </c>
      <c r="C113" s="62" t="s">
        <v>234</v>
      </c>
      <c r="D113" s="62" t="s">
        <v>450</v>
      </c>
      <c r="E113" s="62" t="s">
        <v>161</v>
      </c>
      <c r="F113" s="139"/>
      <c r="G113" s="139">
        <f>'Review 1'!Q113</f>
        <v>1</v>
      </c>
      <c r="H113" s="139">
        <f>'Review 1'!W113</f>
        <v>1</v>
      </c>
      <c r="I113" s="139">
        <f>'Review 1'!AC113</f>
        <v>1</v>
      </c>
      <c r="J113" s="139">
        <f>'Review 1'!AI113</f>
        <v>1</v>
      </c>
      <c r="K113" s="139"/>
      <c r="L113" s="139">
        <f>'Review 1'!AU113</f>
        <v>1</v>
      </c>
      <c r="M113" s="138"/>
      <c r="N113" s="139"/>
      <c r="O113" s="139">
        <f>'Review 2'!Q113</f>
        <v>1</v>
      </c>
      <c r="P113" s="139">
        <f>'Review 2'!W113</f>
        <v>1</v>
      </c>
      <c r="Q113" s="139">
        <f>'Review 2'!AC113</f>
        <v>1</v>
      </c>
      <c r="R113" s="139">
        <f>'Review 2'!AI113</f>
        <v>1</v>
      </c>
      <c r="S113" s="139"/>
      <c r="T113" s="139">
        <f>'Review 2'!AU113</f>
        <v>1</v>
      </c>
      <c r="U113" s="138"/>
      <c r="V113" s="62"/>
      <c r="W113" s="139">
        <f>'Review 3'!Q113</f>
        <v>1</v>
      </c>
      <c r="X113" s="139">
        <f>'Review 3'!W113</f>
        <v>0</v>
      </c>
      <c r="Y113" s="139">
        <f>'Review 3'!AC113</f>
        <v>1</v>
      </c>
      <c r="Z113" s="139">
        <f>'Review 3'!AI113</f>
        <v>0</v>
      </c>
      <c r="AA113" s="62"/>
      <c r="AB113" s="139">
        <f>'Review 3'!AU113</f>
        <v>0</v>
      </c>
      <c r="AC113" s="138"/>
      <c r="AD113" s="62"/>
      <c r="AE113" s="139">
        <f>'Review 4'!Q113</f>
        <v>3.2</v>
      </c>
      <c r="AF113" s="139">
        <f>'Review 4'!W113</f>
        <v>4</v>
      </c>
      <c r="AG113" s="139">
        <f>'Review 4'!AC113</f>
        <v>3</v>
      </c>
      <c r="AH113" s="139">
        <f>'Review 4'!AI113</f>
        <v>4</v>
      </c>
      <c r="AI113" s="139"/>
      <c r="AJ113" s="139">
        <f>'Review 4'!AU113</f>
        <v>2.6666666666666665</v>
      </c>
      <c r="AK113" s="138"/>
      <c r="AL113" s="62"/>
      <c r="AM113" s="139">
        <f>'Reflection -1 '!Q113</f>
        <v>3</v>
      </c>
      <c r="AN113" s="62"/>
      <c r="AO113" s="62"/>
      <c r="AP113" s="62"/>
      <c r="AQ113" s="62"/>
      <c r="AR113" s="62"/>
      <c r="AS113" s="138"/>
      <c r="AT113" s="62"/>
      <c r="AU113" s="139">
        <f>'Reflection -2'!Q113</f>
        <v>3.3333333333333335</v>
      </c>
      <c r="AV113" s="62"/>
      <c r="AW113" s="62"/>
      <c r="AX113" s="62"/>
      <c r="AY113" s="139"/>
      <c r="AZ113" s="62"/>
      <c r="BA113" s="138"/>
      <c r="BB113" s="139"/>
      <c r="BC113" s="139">
        <f>'Reflection -3'!Q113</f>
        <v>1</v>
      </c>
      <c r="BD113" s="139"/>
      <c r="BE113" s="139"/>
      <c r="BF113" s="139"/>
      <c r="BG113" s="139"/>
      <c r="BH113" s="139"/>
      <c r="BI113" s="138"/>
      <c r="BJ113" s="139"/>
      <c r="BK113" s="139">
        <f>'Reflection -3'!Q113</f>
        <v>1</v>
      </c>
      <c r="BL113" s="62"/>
      <c r="BM113" s="139"/>
      <c r="BN113" s="62"/>
      <c r="BO113" s="139"/>
      <c r="BP113" s="139"/>
      <c r="BQ113" s="138"/>
      <c r="BR113" s="139"/>
      <c r="BS113" s="139">
        <f>Capstone!Q114</f>
        <v>0</v>
      </c>
      <c r="BT113" s="139">
        <f>Capstone!W114</f>
        <v>0</v>
      </c>
      <c r="BU113" s="139">
        <f>Capstone!AC114</f>
        <v>0</v>
      </c>
      <c r="BV113" s="139">
        <f>Capstone!AI114</f>
        <v>5</v>
      </c>
      <c r="BW113" s="139">
        <f>Capstone!AO114</f>
        <v>0</v>
      </c>
      <c r="BX113" s="139">
        <f>Capstone!AU114</f>
        <v>0</v>
      </c>
      <c r="BY113" s="138"/>
      <c r="BZ113" s="139"/>
      <c r="CA11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1.8166666666666667</v>
      </c>
      <c r="CB113" s="139">
        <f>IFERROR(AVERAGE(Table110461117[[#This Row],[Column31]],Table110461117[[#This Row],[Column13]],Table110461117[[#This Row],[Column4]],Table110461117[[#This Row],[Column22]],),"A")</f>
        <v>1.2</v>
      </c>
      <c r="CC113" s="139">
        <f>IFERROR(AVERAGE(Table110461117[[#This Row],[Column5]],Table110461117[[#This Row],[Column14]],Table110461117[[#This Row],[Column23]],Table110461117[[#This Row],[Column32]]),"A")</f>
        <v>1.5</v>
      </c>
      <c r="CD113" s="139">
        <f>IFERROR(AVERAGE(Table110461117[[#This Row],[Column6]],Table110461117[[#This Row],[Column15]],Table110461117[[#This Row],[Column24]],Table110461117[[#This Row],[Column33]]),"A")</f>
        <v>1.5</v>
      </c>
      <c r="CE113" s="139"/>
      <c r="CF113" s="139">
        <f>IFERROR(AVERAGE(Table110461117[[#This Row],[Column26]],Table110461117[[#This Row],[Column35]],Table110461117[[#This Row],[Column17]],Table110461117[[#This Row],[Column8]]),"A")</f>
        <v>1.1666666666666665</v>
      </c>
      <c r="CG113" s="138"/>
      <c r="CH113" s="139">
        <f>IFERROR(AVERAGE('Review 1'!AX113,'Review 2'!AX113,'Review 3'!AX113,'Review 4'!AX113,'Reflection -1 '!AX113,'Reflection -2'!AX113,'Reflection -3'!AX113,'Reflection -4'!AX113),"A")</f>
        <v>3.25</v>
      </c>
      <c r="CI113" s="139">
        <f>IFERROR(AVERAGE('Review 1'!AY113,'Review 2'!AY113,'Review 3'!AY113,'Review 4'!AY113,'Reflection -1 '!AY113,'Reflection -2'!AY113,'Reflection -3'!AY113,'Reflection -4'!AY113,Capstone!AY114),"A")</f>
        <v>0.66666666666666663</v>
      </c>
      <c r="CJ113" s="139">
        <f>IFERROR(AVERAGE('Review 1'!AZ113,'Review 2'!AZ113,'Review 3'!AZ113,'Review 4'!AZ113,'Reflection -1 '!AZ113,'Reflection -2'!AZ113,'Reflection -3'!AZ113,'Reflection -4'!AZ113),"A")</f>
        <v>2.125</v>
      </c>
    </row>
    <row r="114" spans="1:88" s="122" customFormat="1" ht="23.1" customHeight="1" x14ac:dyDescent="0.3">
      <c r="A114" s="6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140"/>
      <c r="G114" s="140">
        <f>'Review 1'!Q114</f>
        <v>2.2000000000000002</v>
      </c>
      <c r="H114" s="140">
        <f>'Review 1'!W114</f>
        <v>2</v>
      </c>
      <c r="I114" s="140">
        <f>'Review 1'!AC114</f>
        <v>2</v>
      </c>
      <c r="J114" s="140">
        <f>'Review 1'!AI114</f>
        <v>3</v>
      </c>
      <c r="K114" s="140"/>
      <c r="L114" s="140">
        <f>'Review 1'!AU114</f>
        <v>1</v>
      </c>
      <c r="M114" s="138"/>
      <c r="N114" s="140"/>
      <c r="O114" s="140">
        <f>'Review 2'!Q114</f>
        <v>2.2000000000000002</v>
      </c>
      <c r="P114" s="140">
        <f>'Review 2'!W114</f>
        <v>2</v>
      </c>
      <c r="Q114" s="140">
        <f>'Review 2'!AC114</f>
        <v>2</v>
      </c>
      <c r="R114" s="140">
        <f>'Review 2'!AI114</f>
        <v>3</v>
      </c>
      <c r="S114" s="140"/>
      <c r="T114" s="140">
        <f>'Review 2'!AU114</f>
        <v>1</v>
      </c>
      <c r="U114" s="138"/>
      <c r="V114" s="7"/>
      <c r="W114" s="140">
        <f>'Review 3'!Q114</f>
        <v>2.6</v>
      </c>
      <c r="X114" s="140">
        <f>'Review 3'!W114</f>
        <v>0</v>
      </c>
      <c r="Y114" s="140">
        <f>'Review 3'!AC114</f>
        <v>0</v>
      </c>
      <c r="Z114" s="140">
        <f>'Review 3'!AI114</f>
        <v>0</v>
      </c>
      <c r="AA114" s="7"/>
      <c r="AB114" s="140">
        <f>'Review 3'!AU114</f>
        <v>0</v>
      </c>
      <c r="AC114" s="138"/>
      <c r="AD114" s="7"/>
      <c r="AE114" s="140">
        <f>'Review 4'!Q114</f>
        <v>3</v>
      </c>
      <c r="AF114" s="140">
        <f>'Review 4'!W114</f>
        <v>2</v>
      </c>
      <c r="AG114" s="140">
        <f>'Review 4'!AC114</f>
        <v>2</v>
      </c>
      <c r="AH114" s="140">
        <f>'Review 4'!AI114</f>
        <v>0.5</v>
      </c>
      <c r="AI114" s="140"/>
      <c r="AJ114" s="140">
        <f>'Review 4'!AU114</f>
        <v>1.3333333333333333</v>
      </c>
      <c r="AK114" s="138"/>
      <c r="AL114" s="7"/>
      <c r="AM114" s="140">
        <f>'Reflection -1 '!Q114</f>
        <v>3</v>
      </c>
      <c r="AN114" s="7"/>
      <c r="AO114" s="7"/>
      <c r="AP114" s="7"/>
      <c r="AQ114" s="7"/>
      <c r="AR114" s="7"/>
      <c r="AS114" s="138"/>
      <c r="AT114" s="7"/>
      <c r="AU114" s="140">
        <f>'Reflection -2'!Q114</f>
        <v>4</v>
      </c>
      <c r="AV114" s="7"/>
      <c r="AW114" s="7"/>
      <c r="AX114" s="7"/>
      <c r="AY114" s="140"/>
      <c r="AZ114" s="7"/>
      <c r="BA114" s="138"/>
      <c r="BB114" s="140"/>
      <c r="BC114" s="140">
        <f>'Reflection -3'!Q114</f>
        <v>3.6666666666666665</v>
      </c>
      <c r="BD114" s="140"/>
      <c r="BE114" s="140"/>
      <c r="BF114" s="140"/>
      <c r="BG114" s="140"/>
      <c r="BH114" s="140"/>
      <c r="BI114" s="138"/>
      <c r="BJ114" s="140"/>
      <c r="BK114" s="140">
        <f>'Reflection -3'!Q114</f>
        <v>3.6666666666666665</v>
      </c>
      <c r="BL114" s="7"/>
      <c r="BM114" s="140"/>
      <c r="BN114" s="7"/>
      <c r="BO114" s="140"/>
      <c r="BP114" s="140"/>
      <c r="BQ114" s="138"/>
      <c r="BR114" s="140"/>
      <c r="BS114" s="140">
        <f>Capstone!Q115</f>
        <v>2.3333333333333335</v>
      </c>
      <c r="BT114" s="140">
        <f>Capstone!W115</f>
        <v>4</v>
      </c>
      <c r="BU114" s="140">
        <f>Capstone!AC115</f>
        <v>4</v>
      </c>
      <c r="BV114" s="140">
        <f>Capstone!AI115</f>
        <v>3</v>
      </c>
      <c r="BW114" s="140">
        <f>Capstone!AO115</f>
        <v>3</v>
      </c>
      <c r="BX114" s="140">
        <f>Capstone!AU115</f>
        <v>3</v>
      </c>
      <c r="BY114" s="138"/>
      <c r="BZ114" s="140"/>
      <c r="CA11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3.041666666666667</v>
      </c>
      <c r="CB114" s="140">
        <f>IFERROR(AVERAGE(Table110461117[[#This Row],[Column31]],Table110461117[[#This Row],[Column13]],Table110461117[[#This Row],[Column4]],Table110461117[[#This Row],[Column22]],),"A")</f>
        <v>1.2</v>
      </c>
      <c r="CC114" s="140">
        <f>IFERROR(AVERAGE(Table110461117[[#This Row],[Column5]],Table110461117[[#This Row],[Column14]],Table110461117[[#This Row],[Column23]],Table110461117[[#This Row],[Column32]]),"A")</f>
        <v>1.5</v>
      </c>
      <c r="CD114" s="140">
        <f>IFERROR(AVERAGE(Table110461117[[#This Row],[Column6]],Table110461117[[#This Row],[Column15]],Table110461117[[#This Row],[Column24]],Table110461117[[#This Row],[Column33]]),"A")</f>
        <v>1.625</v>
      </c>
      <c r="CE114" s="140"/>
      <c r="CF114" s="140">
        <f>IFERROR(AVERAGE(Table110461117[[#This Row],[Column26]],Table110461117[[#This Row],[Column35]],Table110461117[[#This Row],[Column17]],Table110461117[[#This Row],[Column8]]),"A")</f>
        <v>0.83333333333333326</v>
      </c>
      <c r="CG114" s="138"/>
      <c r="CH114" s="140">
        <f>IFERROR(AVERAGE('Review 1'!AX114,'Review 2'!AX114,'Review 3'!AX114,'Review 4'!AX114,'Reflection -1 '!AX114,'Reflection -2'!AX114,'Reflection -3'!AX114,'Reflection -4'!AX114),"A")</f>
        <v>4.125</v>
      </c>
      <c r="CI114" s="140">
        <f>IFERROR(AVERAGE('Review 1'!AY114,'Review 2'!AY114,'Review 3'!AY114,'Review 4'!AY114,'Reflection -1 '!AY114,'Reflection -2'!AY114,'Reflection -3'!AY114,'Reflection -4'!AY114,Capstone!AY115),"A")</f>
        <v>1.2222222222222223</v>
      </c>
      <c r="CJ114" s="140">
        <f>IFERROR(AVERAGE('Review 1'!AZ114,'Review 2'!AZ114,'Review 3'!AZ114,'Review 4'!AZ114,'Reflection -1 '!AZ114,'Reflection -2'!AZ114,'Reflection -3'!AZ114,'Reflection -4'!AZ114),"A")</f>
        <v>2.25</v>
      </c>
    </row>
    <row r="115" spans="1:88" s="122" customFormat="1" ht="23.1" customHeight="1" x14ac:dyDescent="0.3">
      <c r="A115" s="137">
        <v>113</v>
      </c>
      <c r="B115" s="62" t="s">
        <v>201</v>
      </c>
      <c r="C115" s="62" t="s">
        <v>202</v>
      </c>
      <c r="D115" s="62" t="s">
        <v>450</v>
      </c>
      <c r="E115" s="62" t="s">
        <v>161</v>
      </c>
      <c r="F115" s="139"/>
      <c r="G115" s="139">
        <f>'Review 1'!Q115</f>
        <v>2.2000000000000002</v>
      </c>
      <c r="H115" s="139">
        <f>'Review 1'!W115</f>
        <v>2.3333333333333335</v>
      </c>
      <c r="I115" s="139">
        <f>'Review 1'!AC115</f>
        <v>2</v>
      </c>
      <c r="J115" s="139">
        <f>'Review 1'!AI115</f>
        <v>2</v>
      </c>
      <c r="K115" s="139"/>
      <c r="L115" s="139">
        <f>'Review 1'!AU115</f>
        <v>2.3333333333333335</v>
      </c>
      <c r="M115" s="138"/>
      <c r="N115" s="139"/>
      <c r="O115" s="139">
        <f>'Review 2'!Q115</f>
        <v>2.4</v>
      </c>
      <c r="P115" s="139">
        <f>'Review 2'!W115</f>
        <v>2.3333333333333335</v>
      </c>
      <c r="Q115" s="139">
        <f>'Review 2'!AC115</f>
        <v>2.5</v>
      </c>
      <c r="R115" s="139">
        <f>'Review 2'!AI115</f>
        <v>2.5</v>
      </c>
      <c r="S115" s="139"/>
      <c r="T115" s="139">
        <f>'Review 2'!AU115</f>
        <v>2.3333333333333335</v>
      </c>
      <c r="U115" s="138"/>
      <c r="V115" s="62"/>
      <c r="W115" s="139">
        <f>'Review 3'!Q115</f>
        <v>2</v>
      </c>
      <c r="X115" s="139">
        <f>'Review 3'!W115</f>
        <v>2.6666666666666665</v>
      </c>
      <c r="Y115" s="139">
        <f>'Review 3'!AC115</f>
        <v>2.5</v>
      </c>
      <c r="Z115" s="139">
        <f>'Review 3'!AI115</f>
        <v>3</v>
      </c>
      <c r="AA115" s="62"/>
      <c r="AB115" s="139">
        <f>'Review 3'!AU115</f>
        <v>2.6666666666666665</v>
      </c>
      <c r="AC115" s="138"/>
      <c r="AD115" s="62"/>
      <c r="AE115" s="139">
        <f>'Review 4'!Q115</f>
        <v>1</v>
      </c>
      <c r="AF115" s="139">
        <f>'Review 4'!W115</f>
        <v>1</v>
      </c>
      <c r="AG115" s="139">
        <f>'Review 4'!AC115</f>
        <v>1</v>
      </c>
      <c r="AH115" s="139">
        <f>'Review 4'!AI115</f>
        <v>1</v>
      </c>
      <c r="AI115" s="139"/>
      <c r="AJ115" s="139">
        <f>'Review 4'!AU115</f>
        <v>1</v>
      </c>
      <c r="AK115" s="138"/>
      <c r="AL115" s="62"/>
      <c r="AM115" s="139">
        <f>'Reflection -1 '!Q115</f>
        <v>0</v>
      </c>
      <c r="AN115" s="62"/>
      <c r="AO115" s="62"/>
      <c r="AP115" s="62"/>
      <c r="AQ115" s="62"/>
      <c r="AR115" s="62"/>
      <c r="AS115" s="138"/>
      <c r="AT115" s="62"/>
      <c r="AU115" s="139">
        <f>'Reflection -2'!Q115</f>
        <v>3.6666666666666665</v>
      </c>
      <c r="AV115" s="62"/>
      <c r="AW115" s="62"/>
      <c r="AX115" s="62"/>
      <c r="AY115" s="139"/>
      <c r="AZ115" s="62"/>
      <c r="BA115" s="138"/>
      <c r="BB115" s="139"/>
      <c r="BC115" s="139">
        <f>'Reflection -3'!Q115</f>
        <v>0</v>
      </c>
      <c r="BD115" s="139"/>
      <c r="BE115" s="139"/>
      <c r="BF115" s="139"/>
      <c r="BG115" s="139"/>
      <c r="BH115" s="139"/>
      <c r="BI115" s="138"/>
      <c r="BJ115" s="139"/>
      <c r="BK115" s="139">
        <f>'Reflection -3'!Q115</f>
        <v>0</v>
      </c>
      <c r="BL115" s="62"/>
      <c r="BM115" s="139"/>
      <c r="BN115" s="62"/>
      <c r="BO115" s="139"/>
      <c r="BP115" s="139"/>
      <c r="BQ115" s="138"/>
      <c r="BR115" s="139"/>
      <c r="BS115" s="139">
        <f>Capstone!Q116</f>
        <v>4.333333333333333</v>
      </c>
      <c r="BT115" s="139">
        <f>Capstone!W116</f>
        <v>5</v>
      </c>
      <c r="BU115" s="139">
        <f>Capstone!AC116</f>
        <v>5</v>
      </c>
      <c r="BV115" s="139">
        <f>Capstone!AI116</f>
        <v>0</v>
      </c>
      <c r="BW115" s="139">
        <f>Capstone!AO116</f>
        <v>4</v>
      </c>
      <c r="BX115" s="139">
        <f>Capstone!AU116</f>
        <v>5</v>
      </c>
      <c r="BY115" s="138"/>
      <c r="BZ115" s="139"/>
      <c r="CA11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1.4083333333333332</v>
      </c>
      <c r="CB115" s="139">
        <f>IFERROR(AVERAGE(Table110461117[[#This Row],[Column31]],Table110461117[[#This Row],[Column13]],Table110461117[[#This Row],[Column4]],Table110461117[[#This Row],[Column22]],),"A")</f>
        <v>1.6666666666666667</v>
      </c>
      <c r="CC115" s="139">
        <f>IFERROR(AVERAGE(Table110461117[[#This Row],[Column5]],Table110461117[[#This Row],[Column14]],Table110461117[[#This Row],[Column23]],Table110461117[[#This Row],[Column32]]),"A")</f>
        <v>2</v>
      </c>
      <c r="CD115" s="139">
        <f>IFERROR(AVERAGE(Table110461117[[#This Row],[Column6]],Table110461117[[#This Row],[Column15]],Table110461117[[#This Row],[Column24]],Table110461117[[#This Row],[Column33]]),"A")</f>
        <v>2.125</v>
      </c>
      <c r="CE115" s="139"/>
      <c r="CF115" s="139">
        <f>IFERROR(AVERAGE(Table110461117[[#This Row],[Column26]],Table110461117[[#This Row],[Column35]],Table110461117[[#This Row],[Column17]],Table110461117[[#This Row],[Column8]]),"A")</f>
        <v>2.0833333333333335</v>
      </c>
      <c r="CG115" s="138"/>
      <c r="CH115" s="139">
        <f>IFERROR(AVERAGE('Review 1'!AX115,'Review 2'!AX115,'Review 3'!AX115,'Review 4'!AX115,'Reflection -1 '!AX115,'Reflection -2'!AX115,'Reflection -3'!AX115,'Reflection -4'!AX115),"A")</f>
        <v>1.875</v>
      </c>
      <c r="CI115" s="139">
        <f>IFERROR(AVERAGE('Review 1'!AY115,'Review 2'!AY115,'Review 3'!AY115,'Review 4'!AY115,'Reflection -1 '!AY115,'Reflection -2'!AY115,'Reflection -3'!AY115,'Reflection -4'!AY115,Capstone!AY116),"A")</f>
        <v>1</v>
      </c>
      <c r="CJ115" s="139">
        <f>IFERROR(AVERAGE('Review 1'!AZ115,'Review 2'!AZ115,'Review 3'!AZ115,'Review 4'!AZ115,'Reflection -1 '!AZ115,'Reflection -2'!AZ115,'Reflection -3'!AZ115,'Reflection -4'!AZ115),"A")</f>
        <v>1.25</v>
      </c>
    </row>
    <row r="116" spans="1:88" s="122" customFormat="1" ht="23.1" customHeight="1" x14ac:dyDescent="0.3">
      <c r="A116" s="6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140"/>
      <c r="G116" s="140">
        <f>'Review 1'!Q116</f>
        <v>2</v>
      </c>
      <c r="H116" s="140">
        <f>'Review 1'!W116</f>
        <v>2</v>
      </c>
      <c r="I116" s="140">
        <f>'Review 1'!AC116</f>
        <v>2</v>
      </c>
      <c r="J116" s="140">
        <f>'Review 1'!AI116</f>
        <v>2</v>
      </c>
      <c r="K116" s="140"/>
      <c r="L116" s="140">
        <f>'Review 1'!AU116</f>
        <v>2</v>
      </c>
      <c r="M116" s="138"/>
      <c r="N116" s="140"/>
      <c r="O116" s="140">
        <f>'Review 2'!Q116</f>
        <v>2</v>
      </c>
      <c r="P116" s="140">
        <f>'Review 2'!W116</f>
        <v>2</v>
      </c>
      <c r="Q116" s="140">
        <f>'Review 2'!AC116</f>
        <v>2</v>
      </c>
      <c r="R116" s="140">
        <f>'Review 2'!AI116</f>
        <v>2</v>
      </c>
      <c r="S116" s="140"/>
      <c r="T116" s="140">
        <f>'Review 2'!AU116</f>
        <v>2</v>
      </c>
      <c r="U116" s="138"/>
      <c r="V116" s="7"/>
      <c r="W116" s="140">
        <f>'Review 3'!Q116</f>
        <v>1</v>
      </c>
      <c r="X116" s="140">
        <f>'Review 3'!W116</f>
        <v>0</v>
      </c>
      <c r="Y116" s="140">
        <f>'Review 3'!AC116</f>
        <v>2</v>
      </c>
      <c r="Z116" s="140">
        <f>'Review 3'!AI116</f>
        <v>0</v>
      </c>
      <c r="AA116" s="7"/>
      <c r="AB116" s="140">
        <f>'Review 3'!AU116</f>
        <v>0</v>
      </c>
      <c r="AC116" s="138"/>
      <c r="AD116" s="7"/>
      <c r="AE116" s="140">
        <f>'Review 4'!Q116</f>
        <v>4</v>
      </c>
      <c r="AF116" s="140">
        <f>'Review 4'!W116</f>
        <v>4</v>
      </c>
      <c r="AG116" s="140">
        <f>'Review 4'!AC116</f>
        <v>3.5</v>
      </c>
      <c r="AH116" s="140">
        <f>'Review 4'!AI116</f>
        <v>2</v>
      </c>
      <c r="AI116" s="140"/>
      <c r="AJ116" s="140">
        <f>'Review 4'!AU116</f>
        <v>4</v>
      </c>
      <c r="AK116" s="138"/>
      <c r="AL116" s="7"/>
      <c r="AM116" s="140">
        <f>'Reflection -1 '!Q116</f>
        <v>2.6666666666666665</v>
      </c>
      <c r="AN116" s="7"/>
      <c r="AO116" s="7"/>
      <c r="AP116" s="7"/>
      <c r="AQ116" s="7"/>
      <c r="AR116" s="7"/>
      <c r="AS116" s="138"/>
      <c r="AT116" s="7"/>
      <c r="AU116" s="140">
        <f>'Reflection -2'!Q116</f>
        <v>0</v>
      </c>
      <c r="AV116" s="7"/>
      <c r="AW116" s="7"/>
      <c r="AX116" s="7"/>
      <c r="AY116" s="140"/>
      <c r="AZ116" s="7"/>
      <c r="BA116" s="138"/>
      <c r="BB116" s="140"/>
      <c r="BC116" s="140">
        <f>'Reflection -3'!Q116</f>
        <v>0</v>
      </c>
      <c r="BD116" s="140"/>
      <c r="BE116" s="140"/>
      <c r="BF116" s="140"/>
      <c r="BG116" s="140"/>
      <c r="BH116" s="140"/>
      <c r="BI116" s="138"/>
      <c r="BJ116" s="140"/>
      <c r="BK116" s="140">
        <f>'Reflection -3'!Q116</f>
        <v>0</v>
      </c>
      <c r="BL116" s="7"/>
      <c r="BM116" s="140"/>
      <c r="BN116" s="7"/>
      <c r="BO116" s="140"/>
      <c r="BP116" s="140"/>
      <c r="BQ116" s="138"/>
      <c r="BR116" s="140"/>
      <c r="BS116" s="140">
        <f>Capstone!Q117</f>
        <v>3.3333333333333335</v>
      </c>
      <c r="BT116" s="140">
        <f>Capstone!W117</f>
        <v>4</v>
      </c>
      <c r="BU116" s="140">
        <f>Capstone!AC117</f>
        <v>4</v>
      </c>
      <c r="BV116" s="140">
        <f>Capstone!AI117</f>
        <v>4</v>
      </c>
      <c r="BW116" s="140">
        <f>Capstone!AO117</f>
        <v>3</v>
      </c>
      <c r="BX116" s="140">
        <f>Capstone!AU117</f>
        <v>3</v>
      </c>
      <c r="BY116" s="138"/>
      <c r="BZ116" s="140"/>
      <c r="CA11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1.4583333333333333</v>
      </c>
      <c r="CB116" s="140">
        <f>IFERROR(AVERAGE(Table110461117[[#This Row],[Column31]],Table110461117[[#This Row],[Column13]],Table110461117[[#This Row],[Column4]],Table110461117[[#This Row],[Column22]],),"A")</f>
        <v>1.6</v>
      </c>
      <c r="CC116" s="140">
        <f>IFERROR(AVERAGE(Table110461117[[#This Row],[Column5]],Table110461117[[#This Row],[Column14]],Table110461117[[#This Row],[Column23]],Table110461117[[#This Row],[Column32]]),"A")</f>
        <v>2.375</v>
      </c>
      <c r="CD116" s="140">
        <f>IFERROR(AVERAGE(Table110461117[[#This Row],[Column6]],Table110461117[[#This Row],[Column15]],Table110461117[[#This Row],[Column24]],Table110461117[[#This Row],[Column33]]),"A")</f>
        <v>1.5</v>
      </c>
      <c r="CE116" s="140"/>
      <c r="CF116" s="140">
        <f>IFERROR(AVERAGE(Table110461117[[#This Row],[Column26]],Table110461117[[#This Row],[Column35]],Table110461117[[#This Row],[Column17]],Table110461117[[#This Row],[Column8]]),"A")</f>
        <v>2</v>
      </c>
      <c r="CG116" s="138"/>
      <c r="CH116" s="140">
        <f>IFERROR(AVERAGE('Review 1'!AX116,'Review 2'!AX116,'Review 3'!AX116,'Review 4'!AX116,'Reflection -1 '!AX116,'Reflection -2'!AX116,'Reflection -3'!AX116,'Reflection -4'!AX116),"A")</f>
        <v>2.625</v>
      </c>
      <c r="CI116" s="140">
        <f>IFERROR(AVERAGE('Review 1'!AY116,'Review 2'!AY116,'Review 3'!AY116,'Review 4'!AY116,'Reflection -1 '!AY116,'Reflection -2'!AY116,'Reflection -3'!AY116,'Reflection -4'!AY116,Capstone!AY117),"A")</f>
        <v>1.2222222222222223</v>
      </c>
      <c r="CJ116" s="140">
        <f>IFERROR(AVERAGE('Review 1'!AZ116,'Review 2'!AZ116,'Review 3'!AZ116,'Review 4'!AZ116,'Reflection -1 '!AZ116,'Reflection -2'!AZ116,'Reflection -3'!AZ116,'Reflection -4'!AZ116),"A")</f>
        <v>2</v>
      </c>
    </row>
    <row r="117" spans="1:88" s="122" customFormat="1" ht="23.1" customHeight="1" x14ac:dyDescent="0.3">
      <c r="A117" s="137">
        <v>115</v>
      </c>
      <c r="B117" s="62" t="s">
        <v>235</v>
      </c>
      <c r="C117" s="62" t="s">
        <v>236</v>
      </c>
      <c r="D117" s="62" t="s">
        <v>450</v>
      </c>
      <c r="E117" s="62" t="s">
        <v>161</v>
      </c>
      <c r="F117" s="139"/>
      <c r="G117" s="139">
        <f>'Review 1'!Q117</f>
        <v>2</v>
      </c>
      <c r="H117" s="139">
        <f>'Review 1'!W117</f>
        <v>2</v>
      </c>
      <c r="I117" s="139">
        <f>'Review 1'!AC117</f>
        <v>2</v>
      </c>
      <c r="J117" s="139">
        <f>'Review 1'!AI117</f>
        <v>2</v>
      </c>
      <c r="K117" s="139"/>
      <c r="L117" s="139">
        <f>'Review 1'!AU117</f>
        <v>2</v>
      </c>
      <c r="M117" s="138"/>
      <c r="N117" s="139"/>
      <c r="O117" s="139">
        <f>'Review 2'!Q117</f>
        <v>2</v>
      </c>
      <c r="P117" s="139">
        <f>'Review 2'!W117</f>
        <v>2</v>
      </c>
      <c r="Q117" s="139">
        <f>'Review 2'!AC117</f>
        <v>2</v>
      </c>
      <c r="R117" s="139">
        <f>'Review 2'!AI117</f>
        <v>2</v>
      </c>
      <c r="S117" s="139"/>
      <c r="T117" s="139">
        <f>'Review 2'!AU117</f>
        <v>2</v>
      </c>
      <c r="U117" s="138"/>
      <c r="V117" s="62"/>
      <c r="W117" s="139">
        <f>'Review 3'!Q117</f>
        <v>1.6</v>
      </c>
      <c r="X117" s="139">
        <f>'Review 3'!W117</f>
        <v>0</v>
      </c>
      <c r="Y117" s="139">
        <f>'Review 3'!AC117</f>
        <v>2</v>
      </c>
      <c r="Z117" s="139">
        <f>'Review 3'!AI117</f>
        <v>0</v>
      </c>
      <c r="AA117" s="62"/>
      <c r="AB117" s="139">
        <f>'Review 3'!AU117</f>
        <v>0</v>
      </c>
      <c r="AC117" s="138"/>
      <c r="AD117" s="62"/>
      <c r="AE117" s="139">
        <f>'Review 4'!Q117</f>
        <v>0</v>
      </c>
      <c r="AF117" s="139">
        <f>'Review 4'!W117</f>
        <v>0</v>
      </c>
      <c r="AG117" s="139">
        <f>'Review 4'!AC117</f>
        <v>0</v>
      </c>
      <c r="AH117" s="139">
        <f>'Review 4'!AI117</f>
        <v>0</v>
      </c>
      <c r="AI117" s="139"/>
      <c r="AJ117" s="139">
        <f>'Review 4'!AU117</f>
        <v>0</v>
      </c>
      <c r="AK117" s="138"/>
      <c r="AL117" s="62"/>
      <c r="AM117" s="139">
        <f>'Reflection -1 '!Q117</f>
        <v>2</v>
      </c>
      <c r="AN117" s="62"/>
      <c r="AO117" s="62"/>
      <c r="AP117" s="62"/>
      <c r="AQ117" s="62"/>
      <c r="AR117" s="62"/>
      <c r="AS117" s="138"/>
      <c r="AT117" s="62"/>
      <c r="AU117" s="139">
        <f>'Reflection -2'!Q117</f>
        <v>3</v>
      </c>
      <c r="AV117" s="62"/>
      <c r="AW117" s="62"/>
      <c r="AX117" s="62"/>
      <c r="AY117" s="139"/>
      <c r="AZ117" s="62"/>
      <c r="BA117" s="138"/>
      <c r="BB117" s="139"/>
      <c r="BC117" s="139">
        <f>'Reflection -3'!Q117</f>
        <v>2</v>
      </c>
      <c r="BD117" s="139"/>
      <c r="BE117" s="139"/>
      <c r="BF117" s="139"/>
      <c r="BG117" s="139"/>
      <c r="BH117" s="139"/>
      <c r="BI117" s="138"/>
      <c r="BJ117" s="139"/>
      <c r="BK117" s="139">
        <f>'Reflection -3'!Q117</f>
        <v>2</v>
      </c>
      <c r="BL117" s="62"/>
      <c r="BM117" s="139"/>
      <c r="BN117" s="62"/>
      <c r="BO117" s="139"/>
      <c r="BP117" s="139"/>
      <c r="BQ117" s="138"/>
      <c r="BR117" s="139"/>
      <c r="BS117" s="139">
        <f>Capstone!Q118</f>
        <v>3</v>
      </c>
      <c r="BT117" s="139">
        <f>Capstone!W118</f>
        <v>3</v>
      </c>
      <c r="BU117" s="139">
        <f>Capstone!AC118</f>
        <v>3</v>
      </c>
      <c r="BV117" s="139">
        <f>Capstone!AI118</f>
        <v>4</v>
      </c>
      <c r="BW117" s="139">
        <f>Capstone!AO118</f>
        <v>3</v>
      </c>
      <c r="BX117" s="139">
        <f>Capstone!AU118</f>
        <v>3</v>
      </c>
      <c r="BY117" s="138"/>
      <c r="BZ117" s="139"/>
      <c r="CA11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1.825</v>
      </c>
      <c r="CB117" s="139">
        <f>IFERROR(AVERAGE(Table110461117[[#This Row],[Column31]],Table110461117[[#This Row],[Column13]],Table110461117[[#This Row],[Column4]],Table110461117[[#This Row],[Column22]],),"A")</f>
        <v>0.8</v>
      </c>
      <c r="CC117" s="139">
        <f>IFERROR(AVERAGE(Table110461117[[#This Row],[Column5]],Table110461117[[#This Row],[Column14]],Table110461117[[#This Row],[Column23]],Table110461117[[#This Row],[Column32]]),"A")</f>
        <v>1.5</v>
      </c>
      <c r="CD117" s="139">
        <f>IFERROR(AVERAGE(Table110461117[[#This Row],[Column6]],Table110461117[[#This Row],[Column15]],Table110461117[[#This Row],[Column24]],Table110461117[[#This Row],[Column33]]),"A")</f>
        <v>1</v>
      </c>
      <c r="CE117" s="139"/>
      <c r="CF117" s="139">
        <f>IFERROR(AVERAGE(Table110461117[[#This Row],[Column26]],Table110461117[[#This Row],[Column35]],Table110461117[[#This Row],[Column17]],Table110461117[[#This Row],[Column8]]),"A")</f>
        <v>1</v>
      </c>
      <c r="CG117" s="138"/>
      <c r="CH117" s="139">
        <f>IFERROR(AVERAGE('Review 1'!AX117,'Review 2'!AX117,'Review 3'!AX117,'Review 4'!AX117,'Reflection -1 '!AX117,'Reflection -2'!AX117,'Reflection -3'!AX117,'Reflection -4'!AX117),"A")</f>
        <v>2.375</v>
      </c>
      <c r="CI117" s="139">
        <f>IFERROR(AVERAGE('Review 1'!AY117,'Review 2'!AY117,'Review 3'!AY117,'Review 4'!AY117,'Reflection -1 '!AY117,'Reflection -2'!AY117,'Reflection -3'!AY117,'Reflection -4'!AY117,Capstone!AY118),"A")</f>
        <v>0.77777777777777779</v>
      </c>
      <c r="CJ117" s="139">
        <f>IFERROR(AVERAGE('Review 1'!AZ117,'Review 2'!AZ117,'Review 3'!AZ117,'Review 4'!AZ117,'Reflection -1 '!AZ117,'Reflection -2'!AZ117,'Reflection -3'!AZ117,'Reflection -4'!AZ117),"A")</f>
        <v>1.25</v>
      </c>
    </row>
    <row r="118" spans="1:88" s="122" customFormat="1" ht="23.1" customHeight="1" x14ac:dyDescent="0.3">
      <c r="A118" s="6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140"/>
      <c r="G118" s="140">
        <f>'Review 1'!Q118</f>
        <v>2.6</v>
      </c>
      <c r="H118" s="140">
        <f>'Review 1'!W118</f>
        <v>2</v>
      </c>
      <c r="I118" s="140">
        <f>'Review 1'!AC118</f>
        <v>2.5</v>
      </c>
      <c r="J118" s="140">
        <f>'Review 1'!AI118</f>
        <v>2.5</v>
      </c>
      <c r="K118" s="140"/>
      <c r="L118" s="140">
        <f>'Review 1'!AU118</f>
        <v>3</v>
      </c>
      <c r="M118" s="138"/>
      <c r="N118" s="140"/>
      <c r="O118" s="140">
        <f>'Review 2'!Q118</f>
        <v>2.8</v>
      </c>
      <c r="P118" s="140">
        <f>'Review 2'!W118</f>
        <v>2</v>
      </c>
      <c r="Q118" s="140">
        <f>'Review 2'!AC118</f>
        <v>2</v>
      </c>
      <c r="R118" s="140">
        <f>'Review 2'!AI118</f>
        <v>1</v>
      </c>
      <c r="S118" s="140"/>
      <c r="T118" s="140">
        <f>'Review 2'!AU118</f>
        <v>2</v>
      </c>
      <c r="U118" s="138"/>
      <c r="V118" s="7"/>
      <c r="W118" s="140">
        <f>'Review 3'!Q118</f>
        <v>2</v>
      </c>
      <c r="X118" s="140">
        <f>'Review 3'!W118</f>
        <v>0</v>
      </c>
      <c r="Y118" s="140">
        <f>'Review 3'!AC118</f>
        <v>0</v>
      </c>
      <c r="Z118" s="140">
        <f>'Review 3'!AI118</f>
        <v>0</v>
      </c>
      <c r="AA118" s="7"/>
      <c r="AB118" s="140">
        <f>'Review 3'!AU118</f>
        <v>0</v>
      </c>
      <c r="AC118" s="138"/>
      <c r="AD118" s="7"/>
      <c r="AE118" s="140">
        <f>'Review 4'!Q118</f>
        <v>3</v>
      </c>
      <c r="AF118" s="140">
        <f>'Review 4'!W118</f>
        <v>3</v>
      </c>
      <c r="AG118" s="140">
        <f>'Review 4'!AC118</f>
        <v>2</v>
      </c>
      <c r="AH118" s="140">
        <f>'Review 4'!AI118</f>
        <v>2</v>
      </c>
      <c r="AI118" s="140"/>
      <c r="AJ118" s="140">
        <f>'Review 4'!AU118</f>
        <v>3</v>
      </c>
      <c r="AK118" s="138"/>
      <c r="AL118" s="7"/>
      <c r="AM118" s="140">
        <f>'Reflection -1 '!Q118</f>
        <v>3.3333333333333335</v>
      </c>
      <c r="AN118" s="7"/>
      <c r="AO118" s="7"/>
      <c r="AP118" s="7"/>
      <c r="AQ118" s="7"/>
      <c r="AR118" s="7"/>
      <c r="AS118" s="138"/>
      <c r="AT118" s="7"/>
      <c r="AU118" s="140">
        <f>'Reflection -2'!Q118</f>
        <v>3.6666666666666665</v>
      </c>
      <c r="AV118" s="7"/>
      <c r="AW118" s="7"/>
      <c r="AX118" s="7"/>
      <c r="AY118" s="140"/>
      <c r="AZ118" s="7"/>
      <c r="BA118" s="138"/>
      <c r="BB118" s="140"/>
      <c r="BC118" s="140">
        <f>'Reflection -3'!Q118</f>
        <v>2</v>
      </c>
      <c r="BD118" s="140"/>
      <c r="BE118" s="140"/>
      <c r="BF118" s="140"/>
      <c r="BG118" s="140"/>
      <c r="BH118" s="140"/>
      <c r="BI118" s="138"/>
      <c r="BJ118" s="140"/>
      <c r="BK118" s="140">
        <f>'Reflection -3'!Q118</f>
        <v>2</v>
      </c>
      <c r="BL118" s="7"/>
      <c r="BM118" s="140"/>
      <c r="BN118" s="7"/>
      <c r="BO118" s="140"/>
      <c r="BP118" s="140"/>
      <c r="BQ118" s="138"/>
      <c r="BR118" s="140"/>
      <c r="BS118" s="140">
        <f>Capstone!Q119</f>
        <v>5</v>
      </c>
      <c r="BT118" s="140">
        <f>Capstone!W119</f>
        <v>5</v>
      </c>
      <c r="BU118" s="140">
        <f>Capstone!AC119</f>
        <v>5</v>
      </c>
      <c r="BV118" s="140">
        <f>Capstone!AI119</f>
        <v>5</v>
      </c>
      <c r="BW118" s="140">
        <f>Capstone!AO119</f>
        <v>4</v>
      </c>
      <c r="BX118" s="140">
        <f>Capstone!AU119</f>
        <v>4</v>
      </c>
      <c r="BY118" s="138"/>
      <c r="BZ118" s="140"/>
      <c r="CA11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2.6749999999999998</v>
      </c>
      <c r="CB118" s="140">
        <f>IFERROR(AVERAGE(Table110461117[[#This Row],[Column31]],Table110461117[[#This Row],[Column13]],Table110461117[[#This Row],[Column4]],Table110461117[[#This Row],[Column22]],),"A")</f>
        <v>1.4</v>
      </c>
      <c r="CC118" s="140">
        <f>IFERROR(AVERAGE(Table110461117[[#This Row],[Column5]],Table110461117[[#This Row],[Column14]],Table110461117[[#This Row],[Column23]],Table110461117[[#This Row],[Column32]]),"A")</f>
        <v>1.625</v>
      </c>
      <c r="CD118" s="140">
        <f>IFERROR(AVERAGE(Table110461117[[#This Row],[Column6]],Table110461117[[#This Row],[Column15]],Table110461117[[#This Row],[Column24]],Table110461117[[#This Row],[Column33]]),"A")</f>
        <v>1.375</v>
      </c>
      <c r="CE118" s="140"/>
      <c r="CF118" s="140">
        <f>IFERROR(AVERAGE(Table110461117[[#This Row],[Column26]],Table110461117[[#This Row],[Column35]],Table110461117[[#This Row],[Column17]],Table110461117[[#This Row],[Column8]]),"A")</f>
        <v>2</v>
      </c>
      <c r="CG118" s="138"/>
      <c r="CH118" s="140">
        <f>IFERROR(AVERAGE('Review 1'!AX118,'Review 2'!AX118,'Review 3'!AX118,'Review 4'!AX118,'Reflection -1 '!AX118,'Reflection -2'!AX118,'Reflection -3'!AX118,'Reflection -4'!AX118),"A")</f>
        <v>2.875</v>
      </c>
      <c r="CI118" s="140">
        <f>IFERROR(AVERAGE('Review 1'!AY118,'Review 2'!AY118,'Review 3'!AY118,'Review 4'!AY118,'Reflection -1 '!AY118,'Reflection -2'!AY118,'Reflection -3'!AY118,'Reflection -4'!AY118,Capstone!AY119),"A")</f>
        <v>2.1111111111111112</v>
      </c>
      <c r="CJ118" s="140">
        <f>IFERROR(AVERAGE('Review 1'!AZ118,'Review 2'!AZ118,'Review 3'!AZ118,'Review 4'!AZ118,'Reflection -1 '!AZ118,'Reflection -2'!AZ118,'Reflection -3'!AZ118,'Reflection -4'!AZ118),"A")</f>
        <v>2.125</v>
      </c>
    </row>
    <row r="119" spans="1:88" s="122" customFormat="1" ht="23.1" customHeight="1" x14ac:dyDescent="0.3">
      <c r="A119" s="137">
        <v>117</v>
      </c>
      <c r="B119" s="62" t="s">
        <v>203</v>
      </c>
      <c r="C119" s="62" t="s">
        <v>204</v>
      </c>
      <c r="D119" s="62" t="s">
        <v>542</v>
      </c>
      <c r="E119" s="62" t="s">
        <v>161</v>
      </c>
      <c r="F119" s="139"/>
      <c r="G119" s="139">
        <f>'Review 1'!Q119</f>
        <v>3.6</v>
      </c>
      <c r="H119" s="139">
        <f>'Review 1'!W119</f>
        <v>3.6666666666666665</v>
      </c>
      <c r="I119" s="139">
        <f>'Review 1'!AC119</f>
        <v>3.5</v>
      </c>
      <c r="J119" s="139">
        <f>'Review 1'!AI119</f>
        <v>3.5</v>
      </c>
      <c r="K119" s="139"/>
      <c r="L119" s="139">
        <f>'Review 1'!AU119</f>
        <v>3.3333333333333335</v>
      </c>
      <c r="M119" s="138"/>
      <c r="N119" s="139"/>
      <c r="O119" s="139">
        <f>'Review 2'!Q119</f>
        <v>3.2</v>
      </c>
      <c r="P119" s="139">
        <f>'Review 2'!W119</f>
        <v>3.6666666666666665</v>
      </c>
      <c r="Q119" s="139">
        <f>'Review 2'!AC119</f>
        <v>3.5</v>
      </c>
      <c r="R119" s="139">
        <f>'Review 2'!AI119</f>
        <v>3.5</v>
      </c>
      <c r="S119" s="139"/>
      <c r="T119" s="139">
        <f>'Review 2'!AU119</f>
        <v>3.3333333333333335</v>
      </c>
      <c r="U119" s="138"/>
      <c r="V119" s="62"/>
      <c r="W119" s="139">
        <f>'Review 3'!Q119</f>
        <v>1</v>
      </c>
      <c r="X119" s="139">
        <f>'Review 3'!W119</f>
        <v>0</v>
      </c>
      <c r="Y119" s="139">
        <f>'Review 3'!AC119</f>
        <v>3.5</v>
      </c>
      <c r="Z119" s="139">
        <f>'Review 3'!AI119</f>
        <v>0</v>
      </c>
      <c r="AA119" s="62"/>
      <c r="AB119" s="139">
        <f>'Review 3'!AU119</f>
        <v>0</v>
      </c>
      <c r="AC119" s="138"/>
      <c r="AD119" s="62"/>
      <c r="AE119" s="139">
        <f>'Review 4'!Q119</f>
        <v>2.4</v>
      </c>
      <c r="AF119" s="139">
        <f>'Review 4'!W119</f>
        <v>3</v>
      </c>
      <c r="AG119" s="139">
        <f>'Review 4'!AC119</f>
        <v>2</v>
      </c>
      <c r="AH119" s="139">
        <f>'Review 4'!AI119</f>
        <v>3</v>
      </c>
      <c r="AI119" s="139"/>
      <c r="AJ119" s="139">
        <f>'Review 4'!AU119</f>
        <v>3</v>
      </c>
      <c r="AK119" s="138"/>
      <c r="AL119" s="62"/>
      <c r="AM119" s="139">
        <f>'Reflection -1 '!Q119</f>
        <v>3.3333333333333335</v>
      </c>
      <c r="AN119" s="62"/>
      <c r="AO119" s="62"/>
      <c r="AP119" s="62"/>
      <c r="AQ119" s="62"/>
      <c r="AR119" s="62"/>
      <c r="AS119" s="138"/>
      <c r="AT119" s="62"/>
      <c r="AU119" s="139">
        <f>'Reflection -2'!Q119</f>
        <v>0</v>
      </c>
      <c r="AV119" s="62"/>
      <c r="AW119" s="62"/>
      <c r="AX119" s="62"/>
      <c r="AY119" s="139"/>
      <c r="AZ119" s="62"/>
      <c r="BA119" s="138"/>
      <c r="BB119" s="139"/>
      <c r="BC119" s="139">
        <f>'Reflection -3'!Q119</f>
        <v>0</v>
      </c>
      <c r="BD119" s="139"/>
      <c r="BE119" s="139"/>
      <c r="BF119" s="139"/>
      <c r="BG119" s="139"/>
      <c r="BH119" s="139"/>
      <c r="BI119" s="138"/>
      <c r="BJ119" s="139"/>
      <c r="BK119" s="139">
        <f>'Reflection -3'!Q119</f>
        <v>0</v>
      </c>
      <c r="BL119" s="62"/>
      <c r="BM119" s="139"/>
      <c r="BN119" s="62"/>
      <c r="BO119" s="139"/>
      <c r="BP119" s="139"/>
      <c r="BQ119" s="138"/>
      <c r="BR119" s="139"/>
      <c r="BS119" s="139">
        <f>Capstone!Q120</f>
        <v>4.666666666666667</v>
      </c>
      <c r="BT119" s="139">
        <f>Capstone!W120</f>
        <v>4</v>
      </c>
      <c r="BU119" s="139">
        <f>Capstone!AC120</f>
        <v>4</v>
      </c>
      <c r="BV119" s="139">
        <f>Capstone!AI120</f>
        <v>0</v>
      </c>
      <c r="BW119" s="139">
        <f>Capstone!AO120</f>
        <v>4</v>
      </c>
      <c r="BX119" s="139">
        <f>Capstone!AU120</f>
        <v>5</v>
      </c>
      <c r="BY119" s="138"/>
      <c r="BZ119" s="139"/>
      <c r="CA11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1.6916666666666667</v>
      </c>
      <c r="CB119" s="139">
        <f>IFERROR(AVERAGE(Table110461117[[#This Row],[Column31]],Table110461117[[#This Row],[Column13]],Table110461117[[#This Row],[Column4]],Table110461117[[#This Row],[Column22]],),"A")</f>
        <v>2.0666666666666664</v>
      </c>
      <c r="CC119" s="139">
        <f>IFERROR(AVERAGE(Table110461117[[#This Row],[Column5]],Table110461117[[#This Row],[Column14]],Table110461117[[#This Row],[Column23]],Table110461117[[#This Row],[Column32]]),"A")</f>
        <v>3.125</v>
      </c>
      <c r="CD119" s="139">
        <f>IFERROR(AVERAGE(Table110461117[[#This Row],[Column6]],Table110461117[[#This Row],[Column15]],Table110461117[[#This Row],[Column24]],Table110461117[[#This Row],[Column33]]),"A")</f>
        <v>2.5</v>
      </c>
      <c r="CE119" s="139"/>
      <c r="CF119" s="139">
        <f>IFERROR(AVERAGE(Table110461117[[#This Row],[Column26]],Table110461117[[#This Row],[Column35]],Table110461117[[#This Row],[Column17]],Table110461117[[#This Row],[Column8]]),"A")</f>
        <v>2.416666666666667</v>
      </c>
      <c r="CG119" s="138"/>
      <c r="CH119" s="139">
        <f>IFERROR(AVERAGE('Review 1'!AX119,'Review 2'!AX119,'Review 3'!AX119,'Review 4'!AX119,'Reflection -1 '!AX119,'Reflection -2'!AX119,'Reflection -3'!AX119,'Reflection -4'!AX119),"A")</f>
        <v>1.5</v>
      </c>
      <c r="CI119" s="139">
        <f>IFERROR(AVERAGE('Review 1'!AY119,'Review 2'!AY119,'Review 3'!AY119,'Review 4'!AY119,'Reflection -1 '!AY119,'Reflection -2'!AY119,'Reflection -3'!AY119,'Reflection -4'!AY119,Capstone!AY120),"A")</f>
        <v>1.3333333333333333</v>
      </c>
      <c r="CJ119" s="139">
        <f>IFERROR(AVERAGE('Review 1'!AZ119,'Review 2'!AZ119,'Review 3'!AZ119,'Review 4'!AZ119,'Reflection -1 '!AZ119,'Reflection -2'!AZ119,'Reflection -3'!AZ119,'Reflection -4'!AZ119),"A")</f>
        <v>1.25</v>
      </c>
    </row>
    <row r="120" spans="1:88" s="122" customFormat="1" ht="23.1" customHeight="1" x14ac:dyDescent="0.3">
      <c r="A120" s="6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140"/>
      <c r="G120" s="140">
        <f>'Review 1'!Q120</f>
        <v>3.8</v>
      </c>
      <c r="H120" s="140">
        <f>'Review 1'!W120</f>
        <v>4</v>
      </c>
      <c r="I120" s="140">
        <f>'Review 1'!AC120</f>
        <v>4</v>
      </c>
      <c r="J120" s="140">
        <f>'Review 1'!AI120</f>
        <v>3.5</v>
      </c>
      <c r="K120" s="140"/>
      <c r="L120" s="140">
        <f>'Review 1'!AU120</f>
        <v>3</v>
      </c>
      <c r="M120" s="138"/>
      <c r="N120" s="140"/>
      <c r="O120" s="140">
        <f>'Review 2'!Q120</f>
        <v>3.2</v>
      </c>
      <c r="P120" s="140">
        <f>'Review 2'!W120</f>
        <v>3</v>
      </c>
      <c r="Q120" s="140">
        <f>'Review 2'!AC120</f>
        <v>3</v>
      </c>
      <c r="R120" s="140">
        <f>'Review 2'!AI120</f>
        <v>1</v>
      </c>
      <c r="S120" s="140"/>
      <c r="T120" s="140">
        <f>'Review 2'!AU120</f>
        <v>2.3333333333333335</v>
      </c>
      <c r="U120" s="138"/>
      <c r="V120" s="7"/>
      <c r="W120" s="140">
        <f>'Review 3'!Q120</f>
        <v>2</v>
      </c>
      <c r="X120" s="140">
        <f>'Review 3'!W120</f>
        <v>0</v>
      </c>
      <c r="Y120" s="140">
        <f>'Review 3'!AC120</f>
        <v>0</v>
      </c>
      <c r="Z120" s="140">
        <f>'Review 3'!AI120</f>
        <v>0</v>
      </c>
      <c r="AA120" s="7"/>
      <c r="AB120" s="140">
        <f>'Review 3'!AU120</f>
        <v>0</v>
      </c>
      <c r="AC120" s="138"/>
      <c r="AD120" s="7"/>
      <c r="AE120" s="140">
        <f>'Review 4'!Q120</f>
        <v>3</v>
      </c>
      <c r="AF120" s="140">
        <f>'Review 4'!W120</f>
        <v>2.3333333333333335</v>
      </c>
      <c r="AG120" s="140">
        <f>'Review 4'!AC120</f>
        <v>2.5</v>
      </c>
      <c r="AH120" s="140">
        <f>'Review 4'!AI120</f>
        <v>2</v>
      </c>
      <c r="AI120" s="140"/>
      <c r="AJ120" s="140">
        <f>'Review 4'!AU120</f>
        <v>3.3333333333333335</v>
      </c>
      <c r="AK120" s="138"/>
      <c r="AL120" s="7"/>
      <c r="AM120" s="140">
        <f>'Reflection -1 '!Q120</f>
        <v>3.3333333333333335</v>
      </c>
      <c r="AN120" s="7"/>
      <c r="AO120" s="7"/>
      <c r="AP120" s="7"/>
      <c r="AQ120" s="7"/>
      <c r="AR120" s="7"/>
      <c r="AS120" s="138"/>
      <c r="AT120" s="7"/>
      <c r="AU120" s="140">
        <f>'Reflection -2'!Q120</f>
        <v>3.3333333333333335</v>
      </c>
      <c r="AV120" s="7"/>
      <c r="AW120" s="7"/>
      <c r="AX120" s="7"/>
      <c r="AY120" s="140"/>
      <c r="AZ120" s="7"/>
      <c r="BA120" s="138"/>
      <c r="BB120" s="140"/>
      <c r="BC120" s="140">
        <f>'Reflection -3'!Q120</f>
        <v>3</v>
      </c>
      <c r="BD120" s="140"/>
      <c r="BE120" s="140"/>
      <c r="BF120" s="140"/>
      <c r="BG120" s="140"/>
      <c r="BH120" s="140"/>
      <c r="BI120" s="138"/>
      <c r="BJ120" s="140"/>
      <c r="BK120" s="140">
        <f>'Reflection -3'!Q120</f>
        <v>3</v>
      </c>
      <c r="BL120" s="7"/>
      <c r="BM120" s="140"/>
      <c r="BN120" s="7"/>
      <c r="BO120" s="140"/>
      <c r="BP120" s="140"/>
      <c r="BQ120" s="138"/>
      <c r="BR120" s="140"/>
      <c r="BS120" s="140">
        <f>Capstone!Q121</f>
        <v>2.5</v>
      </c>
      <c r="BT120" s="140">
        <f>Capstone!W121</f>
        <v>2</v>
      </c>
      <c r="BU120" s="140">
        <f>Capstone!AC121</f>
        <v>2</v>
      </c>
      <c r="BV120" s="140">
        <f>Capstone!AI121</f>
        <v>2</v>
      </c>
      <c r="BW120" s="140">
        <f>Capstone!AO121</f>
        <v>2.5</v>
      </c>
      <c r="BX120" s="140">
        <f>Capstone!AU121</f>
        <v>2</v>
      </c>
      <c r="BY120" s="138"/>
      <c r="BZ120" s="140"/>
      <c r="CA12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3.0833333333333335</v>
      </c>
      <c r="CB120" s="140">
        <f>IFERROR(AVERAGE(Table110461117[[#This Row],[Column31]],Table110461117[[#This Row],[Column13]],Table110461117[[#This Row],[Column4]],Table110461117[[#This Row],[Column22]],),"A")</f>
        <v>1.8666666666666667</v>
      </c>
      <c r="CC120" s="140">
        <f>IFERROR(AVERAGE(Table110461117[[#This Row],[Column5]],Table110461117[[#This Row],[Column14]],Table110461117[[#This Row],[Column23]],Table110461117[[#This Row],[Column32]]),"A")</f>
        <v>2.375</v>
      </c>
      <c r="CD120" s="140">
        <f>IFERROR(AVERAGE(Table110461117[[#This Row],[Column6]],Table110461117[[#This Row],[Column15]],Table110461117[[#This Row],[Column24]],Table110461117[[#This Row],[Column33]]),"A")</f>
        <v>1.625</v>
      </c>
      <c r="CE120" s="140"/>
      <c r="CF120" s="140">
        <f>IFERROR(AVERAGE(Table110461117[[#This Row],[Column26]],Table110461117[[#This Row],[Column35]],Table110461117[[#This Row],[Column17]],Table110461117[[#This Row],[Column8]]),"A")</f>
        <v>2.166666666666667</v>
      </c>
      <c r="CG120" s="138"/>
      <c r="CH120" s="140">
        <f>IFERROR(AVERAGE('Review 1'!AX120,'Review 2'!AX120,'Review 3'!AX120,'Review 4'!AX120,'Reflection -1 '!AX120,'Reflection -2'!AX120,'Reflection -3'!AX120,'Reflection -4'!AX120),"A")</f>
        <v>3</v>
      </c>
      <c r="CI120" s="140">
        <f>IFERROR(AVERAGE('Review 1'!AY120,'Review 2'!AY120,'Review 3'!AY120,'Review 4'!AY120,'Reflection -1 '!AY120,'Reflection -2'!AY120,'Reflection -3'!AY120,'Reflection -4'!AY120,Capstone!AY121),"A")</f>
        <v>2.2222222222222223</v>
      </c>
      <c r="CJ120" s="140">
        <f>IFERROR(AVERAGE('Review 1'!AZ120,'Review 2'!AZ120,'Review 3'!AZ120,'Review 4'!AZ120,'Reflection -1 '!AZ120,'Reflection -2'!AZ120,'Reflection -3'!AZ120,'Reflection -4'!AZ120),"A")</f>
        <v>2.625</v>
      </c>
    </row>
    <row r="121" spans="1:88" s="122" customFormat="1" ht="23.1" customHeight="1" x14ac:dyDescent="0.3">
      <c r="A121" s="137">
        <v>119</v>
      </c>
      <c r="B121" s="62" t="s">
        <v>358</v>
      </c>
      <c r="C121" s="62" t="s">
        <v>359</v>
      </c>
      <c r="D121" s="62" t="s">
        <v>542</v>
      </c>
      <c r="E121" s="62" t="s">
        <v>493</v>
      </c>
      <c r="F121" s="139"/>
      <c r="G121" s="139">
        <f>'Review 1'!Q121</f>
        <v>3.8</v>
      </c>
      <c r="H121" s="139">
        <f>'Review 1'!W121</f>
        <v>4</v>
      </c>
      <c r="I121" s="139">
        <f>'Review 1'!AC121</f>
        <v>3.5</v>
      </c>
      <c r="J121" s="139">
        <f>'Review 1'!AI121</f>
        <v>3</v>
      </c>
      <c r="K121" s="139"/>
      <c r="L121" s="139">
        <f>'Review 1'!AU121</f>
        <v>3</v>
      </c>
      <c r="M121" s="138"/>
      <c r="N121" s="139"/>
      <c r="O121" s="139">
        <f>'Review 2'!Q121</f>
        <v>2.2000000000000002</v>
      </c>
      <c r="P121" s="139">
        <f>'Review 2'!W121</f>
        <v>2</v>
      </c>
      <c r="Q121" s="139">
        <f>'Review 2'!AC121</f>
        <v>2</v>
      </c>
      <c r="R121" s="139">
        <f>'Review 2'!AI121</f>
        <v>1</v>
      </c>
      <c r="S121" s="139"/>
      <c r="T121" s="139">
        <f>'Review 2'!AU121</f>
        <v>2</v>
      </c>
      <c r="U121" s="138"/>
      <c r="V121" s="62"/>
      <c r="W121" s="139">
        <f>'Review 3'!Q121</f>
        <v>2</v>
      </c>
      <c r="X121" s="139">
        <f>'Review 3'!W121</f>
        <v>2</v>
      </c>
      <c r="Y121" s="139">
        <f>'Review 3'!AC121</f>
        <v>2</v>
      </c>
      <c r="Z121" s="139">
        <f>'Review 3'!AI121</f>
        <v>2</v>
      </c>
      <c r="AA121" s="62"/>
      <c r="AB121" s="139">
        <f>'Review 3'!AU121</f>
        <v>2</v>
      </c>
      <c r="AC121" s="138"/>
      <c r="AD121" s="62"/>
      <c r="AE121" s="139">
        <f>'Review 4'!Q121</f>
        <v>2</v>
      </c>
      <c r="AF121" s="139">
        <f>'Review 4'!W121</f>
        <v>2</v>
      </c>
      <c r="AG121" s="139">
        <f>'Review 4'!AC121</f>
        <v>2</v>
      </c>
      <c r="AH121" s="139">
        <f>'Review 4'!AI121</f>
        <v>2</v>
      </c>
      <c r="AI121" s="139"/>
      <c r="AJ121" s="139">
        <f>'Review 4'!AU121</f>
        <v>2</v>
      </c>
      <c r="AK121" s="138"/>
      <c r="AL121" s="62"/>
      <c r="AM121" s="139">
        <f>'Reflection -1 '!Q121</f>
        <v>1.6666666666666667</v>
      </c>
      <c r="AN121" s="62"/>
      <c r="AO121" s="62"/>
      <c r="AP121" s="62"/>
      <c r="AQ121" s="62"/>
      <c r="AR121" s="62"/>
      <c r="AS121" s="138"/>
      <c r="AT121" s="62"/>
      <c r="AU121" s="139">
        <f>'Reflection -2'!Q121</f>
        <v>3</v>
      </c>
      <c r="AV121" s="62"/>
      <c r="AW121" s="62"/>
      <c r="AX121" s="62"/>
      <c r="AY121" s="139"/>
      <c r="AZ121" s="62"/>
      <c r="BA121" s="138"/>
      <c r="BB121" s="139"/>
      <c r="BC121" s="139">
        <f>'Reflection -3'!Q121</f>
        <v>2</v>
      </c>
      <c r="BD121" s="139"/>
      <c r="BE121" s="139"/>
      <c r="BF121" s="139"/>
      <c r="BG121" s="139"/>
      <c r="BH121" s="139"/>
      <c r="BI121" s="138"/>
      <c r="BJ121" s="139"/>
      <c r="BK121" s="139">
        <f>'Reflection -3'!Q121</f>
        <v>2</v>
      </c>
      <c r="BL121" s="62"/>
      <c r="BM121" s="139"/>
      <c r="BN121" s="62"/>
      <c r="BO121" s="139"/>
      <c r="BP121" s="139"/>
      <c r="BQ121" s="138"/>
      <c r="BR121" s="139"/>
      <c r="BS121" s="139">
        <f>Capstone!Q122</f>
        <v>3.6666666666666665</v>
      </c>
      <c r="BT121" s="139">
        <f>Capstone!W122</f>
        <v>2.5</v>
      </c>
      <c r="BU121" s="139">
        <f>Capstone!AC122</f>
        <v>2.5</v>
      </c>
      <c r="BV121" s="139">
        <f>Capstone!AI122</f>
        <v>3</v>
      </c>
      <c r="BW121" s="139">
        <f>Capstone!AO122</f>
        <v>3</v>
      </c>
      <c r="BX121" s="139">
        <f>Capstone!AU122</f>
        <v>3</v>
      </c>
      <c r="BY121" s="138"/>
      <c r="BZ121" s="139"/>
      <c r="CA12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2.3333333333333335</v>
      </c>
      <c r="CB121" s="139">
        <f>IFERROR(AVERAGE(Table110461117[[#This Row],[Column31]],Table110461117[[#This Row],[Column13]],Table110461117[[#This Row],[Column4]],Table110461117[[#This Row],[Column22]],),"A")</f>
        <v>2</v>
      </c>
      <c r="CC121" s="139">
        <f>IFERROR(AVERAGE(Table110461117[[#This Row],[Column5]],Table110461117[[#This Row],[Column14]],Table110461117[[#This Row],[Column23]],Table110461117[[#This Row],[Column32]]),"A")</f>
        <v>2.375</v>
      </c>
      <c r="CD121" s="139">
        <f>IFERROR(AVERAGE(Table110461117[[#This Row],[Column6]],Table110461117[[#This Row],[Column15]],Table110461117[[#This Row],[Column24]],Table110461117[[#This Row],[Column33]]),"A")</f>
        <v>2</v>
      </c>
      <c r="CE121" s="139"/>
      <c r="CF121" s="139">
        <f>IFERROR(AVERAGE(Table110461117[[#This Row],[Column26]],Table110461117[[#This Row],[Column35]],Table110461117[[#This Row],[Column17]],Table110461117[[#This Row],[Column8]]),"A")</f>
        <v>2.25</v>
      </c>
      <c r="CG121" s="138"/>
      <c r="CH121" s="139">
        <f>IFERROR(AVERAGE('Review 1'!AX121,'Review 2'!AX121,'Review 3'!AX121,'Review 4'!AX121,'Reflection -1 '!AX121,'Reflection -2'!AX121,'Reflection -3'!AX121,'Reflection -4'!AX121),"A")</f>
        <v>3.625</v>
      </c>
      <c r="CI121" s="139">
        <f>IFERROR(AVERAGE('Review 1'!AY121,'Review 2'!AY121,'Review 3'!AY121,'Review 4'!AY121,'Reflection -1 '!AY121,'Reflection -2'!AY121,'Reflection -3'!AY121,'Reflection -4'!AY121,Capstone!AY122),"A")</f>
        <v>2.1666666666666665</v>
      </c>
      <c r="CJ121" s="139">
        <f>IFERROR(AVERAGE('Review 1'!AZ121,'Review 2'!AZ121,'Review 3'!AZ121,'Review 4'!AZ121,'Reflection -1 '!AZ121,'Reflection -2'!AZ121,'Reflection -3'!AZ121,'Reflection -4'!AZ121),"A")</f>
        <v>1.875</v>
      </c>
    </row>
    <row r="122" spans="1:88" s="122" customFormat="1" ht="23.1" customHeight="1" x14ac:dyDescent="0.3">
      <c r="A122" s="6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140"/>
      <c r="G122" s="140">
        <f>'Review 1'!Q122</f>
        <v>1.8</v>
      </c>
      <c r="H122" s="140">
        <f>'Review 1'!W122</f>
        <v>1</v>
      </c>
      <c r="I122" s="140">
        <f>'Review 1'!AC122</f>
        <v>1</v>
      </c>
      <c r="J122" s="140">
        <f>'Review 1'!AI122</f>
        <v>1</v>
      </c>
      <c r="K122" s="140"/>
      <c r="L122" s="140">
        <f>'Review 1'!AU122</f>
        <v>1</v>
      </c>
      <c r="M122" s="138"/>
      <c r="N122" s="140"/>
      <c r="O122" s="140">
        <f>'Review 2'!Q122</f>
        <v>1.8</v>
      </c>
      <c r="P122" s="140">
        <f>'Review 2'!W122</f>
        <v>1</v>
      </c>
      <c r="Q122" s="140">
        <f>'Review 2'!AC122</f>
        <v>1</v>
      </c>
      <c r="R122" s="140">
        <f>'Review 2'!AI122</f>
        <v>1</v>
      </c>
      <c r="S122" s="140"/>
      <c r="T122" s="140">
        <f>'Review 2'!AU122</f>
        <v>1</v>
      </c>
      <c r="U122" s="138"/>
      <c r="V122" s="7"/>
      <c r="W122" s="140">
        <f>'Review 3'!Q122</f>
        <v>1.4</v>
      </c>
      <c r="X122" s="140">
        <f>'Review 3'!W122</f>
        <v>0</v>
      </c>
      <c r="Y122" s="140">
        <f>'Review 3'!AC122</f>
        <v>0</v>
      </c>
      <c r="Z122" s="140">
        <f>'Review 3'!AI122</f>
        <v>0</v>
      </c>
      <c r="AA122" s="7"/>
      <c r="AB122" s="140">
        <f>'Review 3'!AU122</f>
        <v>0</v>
      </c>
      <c r="AC122" s="138"/>
      <c r="AD122" s="7"/>
      <c r="AE122" s="140">
        <f>'Review 4'!Q122</f>
        <v>3</v>
      </c>
      <c r="AF122" s="140">
        <f>'Review 4'!W122</f>
        <v>2</v>
      </c>
      <c r="AG122" s="140">
        <f>'Review 4'!AC122</f>
        <v>1</v>
      </c>
      <c r="AH122" s="140">
        <f>'Review 4'!AI122</f>
        <v>0.5</v>
      </c>
      <c r="AI122" s="140"/>
      <c r="AJ122" s="140">
        <f>'Review 4'!AU122</f>
        <v>1</v>
      </c>
      <c r="AK122" s="138"/>
      <c r="AL122" s="7"/>
      <c r="AM122" s="140">
        <f>'Reflection -1 '!Q122</f>
        <v>2.6666666666666665</v>
      </c>
      <c r="AN122" s="7"/>
      <c r="AO122" s="7"/>
      <c r="AP122" s="7"/>
      <c r="AQ122" s="7"/>
      <c r="AR122" s="7"/>
      <c r="AS122" s="138"/>
      <c r="AT122" s="7"/>
      <c r="AU122" s="140">
        <f>'Reflection -2'!Q122</f>
        <v>0</v>
      </c>
      <c r="AV122" s="7"/>
      <c r="AW122" s="7"/>
      <c r="AX122" s="7"/>
      <c r="AY122" s="140"/>
      <c r="AZ122" s="7"/>
      <c r="BA122" s="138"/>
      <c r="BB122" s="140"/>
      <c r="BC122" s="140">
        <f>'Reflection -3'!Q122</f>
        <v>0</v>
      </c>
      <c r="BD122" s="140"/>
      <c r="BE122" s="140"/>
      <c r="BF122" s="140"/>
      <c r="BG122" s="140"/>
      <c r="BH122" s="140"/>
      <c r="BI122" s="138"/>
      <c r="BJ122" s="140"/>
      <c r="BK122" s="140">
        <f>'Reflection -3'!Q122</f>
        <v>0</v>
      </c>
      <c r="BL122" s="7"/>
      <c r="BM122" s="140"/>
      <c r="BN122" s="7"/>
      <c r="BO122" s="140"/>
      <c r="BP122" s="140"/>
      <c r="BQ122" s="138"/>
      <c r="BR122" s="140"/>
      <c r="BS122" s="140">
        <f>Capstone!Q123</f>
        <v>5</v>
      </c>
      <c r="BT122" s="140">
        <f>Capstone!W123</f>
        <v>4</v>
      </c>
      <c r="BU122" s="140">
        <f>Capstone!AC123</f>
        <v>4</v>
      </c>
      <c r="BV122" s="140">
        <f>Capstone!AI123</f>
        <v>3</v>
      </c>
      <c r="BW122" s="140">
        <f>Capstone!AO123</f>
        <v>3</v>
      </c>
      <c r="BX122" s="140">
        <f>Capstone!AU123</f>
        <v>3</v>
      </c>
      <c r="BY122" s="138"/>
      <c r="BZ122" s="140"/>
      <c r="CA12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1.3333333333333333</v>
      </c>
      <c r="CB122" s="140">
        <f>IFERROR(AVERAGE(Table110461117[[#This Row],[Column31]],Table110461117[[#This Row],[Column13]],Table110461117[[#This Row],[Column4]],Table110461117[[#This Row],[Column22]],),"A")</f>
        <v>0.8</v>
      </c>
      <c r="CC122" s="140">
        <f>IFERROR(AVERAGE(Table110461117[[#This Row],[Column5]],Table110461117[[#This Row],[Column14]],Table110461117[[#This Row],[Column23]],Table110461117[[#This Row],[Column32]]),"A")</f>
        <v>0.75</v>
      </c>
      <c r="CD122" s="140">
        <f>IFERROR(AVERAGE(Table110461117[[#This Row],[Column6]],Table110461117[[#This Row],[Column15]],Table110461117[[#This Row],[Column24]],Table110461117[[#This Row],[Column33]]),"A")</f>
        <v>0.625</v>
      </c>
      <c r="CE122" s="140"/>
      <c r="CF122" s="140">
        <f>IFERROR(AVERAGE(Table110461117[[#This Row],[Column26]],Table110461117[[#This Row],[Column35]],Table110461117[[#This Row],[Column17]],Table110461117[[#This Row],[Column8]]),"A")</f>
        <v>0.75</v>
      </c>
      <c r="CG122" s="138"/>
      <c r="CH122" s="140">
        <f>IFERROR(AVERAGE('Review 1'!AX122,'Review 2'!AX122,'Review 3'!AX122,'Review 4'!AX122,'Reflection -1 '!AX122,'Reflection -2'!AX122,'Reflection -3'!AX122,'Reflection -4'!AX122),"A")</f>
        <v>1</v>
      </c>
      <c r="CI122" s="140">
        <f>IFERROR(AVERAGE('Review 1'!AY122,'Review 2'!AY122,'Review 3'!AY122,'Review 4'!AY122,'Reflection -1 '!AY122,'Reflection -2'!AY122,'Reflection -3'!AY122,'Reflection -4'!AY122,Capstone!AY123),"A")</f>
        <v>0.66666666666666663</v>
      </c>
      <c r="CJ122" s="140">
        <f>IFERROR(AVERAGE('Review 1'!AZ122,'Review 2'!AZ122,'Review 3'!AZ122,'Review 4'!AZ122,'Reflection -1 '!AZ122,'Reflection -2'!AZ122,'Reflection -3'!AZ122,'Reflection -4'!AZ122),"A")</f>
        <v>0.625</v>
      </c>
    </row>
    <row r="123" spans="1:88" s="122" customFormat="1" ht="23.1" customHeight="1" x14ac:dyDescent="0.3">
      <c r="A123" s="137">
        <v>121</v>
      </c>
      <c r="B123" s="62" t="s">
        <v>360</v>
      </c>
      <c r="C123" s="62" t="s">
        <v>361</v>
      </c>
      <c r="D123" s="62" t="s">
        <v>450</v>
      </c>
      <c r="E123" s="62" t="s">
        <v>493</v>
      </c>
      <c r="F123" s="139"/>
      <c r="G123" s="139">
        <f>'Review 1'!Q123</f>
        <v>2.2000000000000002</v>
      </c>
      <c r="H123" s="139">
        <f>'Review 1'!W123</f>
        <v>3</v>
      </c>
      <c r="I123" s="139">
        <f>'Review 1'!AC123</f>
        <v>3</v>
      </c>
      <c r="J123" s="139">
        <f>'Review 1'!AI123</f>
        <v>4</v>
      </c>
      <c r="K123" s="139"/>
      <c r="L123" s="139">
        <f>'Review 1'!AU123</f>
        <v>3</v>
      </c>
      <c r="M123" s="138"/>
      <c r="N123" s="139"/>
      <c r="O123" s="139">
        <f>'Review 2'!Q123</f>
        <v>2.6</v>
      </c>
      <c r="P123" s="139">
        <f>'Review 2'!W123</f>
        <v>2</v>
      </c>
      <c r="Q123" s="139">
        <f>'Review 2'!AC123</f>
        <v>2</v>
      </c>
      <c r="R123" s="139">
        <f>'Review 2'!AI123</f>
        <v>1</v>
      </c>
      <c r="S123" s="139"/>
      <c r="T123" s="139">
        <f>'Review 2'!AU123</f>
        <v>2</v>
      </c>
      <c r="U123" s="138"/>
      <c r="V123" s="62"/>
      <c r="W123" s="139">
        <f>'Review 3'!Q123</f>
        <v>2</v>
      </c>
      <c r="X123" s="139">
        <f>'Review 3'!W123</f>
        <v>0</v>
      </c>
      <c r="Y123" s="139">
        <f>'Review 3'!AC123</f>
        <v>0</v>
      </c>
      <c r="Z123" s="139">
        <f>'Review 3'!AI123</f>
        <v>0</v>
      </c>
      <c r="AA123" s="62"/>
      <c r="AB123" s="139">
        <f>'Review 3'!AU123</f>
        <v>0</v>
      </c>
      <c r="AC123" s="138"/>
      <c r="AD123" s="62"/>
      <c r="AE123" s="139">
        <f>'Review 4'!Q123</f>
        <v>3.2</v>
      </c>
      <c r="AF123" s="139">
        <f>'Review 4'!W123</f>
        <v>4</v>
      </c>
      <c r="AG123" s="139">
        <f>'Review 4'!AC123</f>
        <v>3</v>
      </c>
      <c r="AH123" s="139">
        <f>'Review 4'!AI123</f>
        <v>4</v>
      </c>
      <c r="AI123" s="139"/>
      <c r="AJ123" s="139">
        <f>'Review 4'!AU123</f>
        <v>2.6666666666666665</v>
      </c>
      <c r="AK123" s="138"/>
      <c r="AL123" s="62"/>
      <c r="AM123" s="139">
        <f>'Reflection -1 '!Q123</f>
        <v>3</v>
      </c>
      <c r="AN123" s="62"/>
      <c r="AO123" s="62"/>
      <c r="AP123" s="62"/>
      <c r="AQ123" s="62"/>
      <c r="AR123" s="62"/>
      <c r="AS123" s="138"/>
      <c r="AT123" s="62"/>
      <c r="AU123" s="139">
        <f>'Reflection -2'!Q123</f>
        <v>3.3333333333333335</v>
      </c>
      <c r="AV123" s="62"/>
      <c r="AW123" s="62"/>
      <c r="AX123" s="62"/>
      <c r="AY123" s="139"/>
      <c r="AZ123" s="62"/>
      <c r="BA123" s="138"/>
      <c r="BB123" s="139"/>
      <c r="BC123" s="139">
        <f>'Reflection -3'!Q123</f>
        <v>1</v>
      </c>
      <c r="BD123" s="139"/>
      <c r="BE123" s="139"/>
      <c r="BF123" s="139"/>
      <c r="BG123" s="139"/>
      <c r="BH123" s="139"/>
      <c r="BI123" s="138"/>
      <c r="BJ123" s="139"/>
      <c r="BK123" s="139">
        <f>'Reflection -3'!Q123</f>
        <v>1</v>
      </c>
      <c r="BL123" s="62"/>
      <c r="BM123" s="139"/>
      <c r="BN123" s="62"/>
      <c r="BO123" s="139"/>
      <c r="BP123" s="139"/>
      <c r="BQ123" s="138"/>
      <c r="BR123" s="139"/>
      <c r="BS123" s="139">
        <f>Capstone!Q124</f>
        <v>3.3333333333333335</v>
      </c>
      <c r="BT123" s="139">
        <f>Capstone!W124</f>
        <v>4</v>
      </c>
      <c r="BU123" s="139">
        <f>Capstone!AC124</f>
        <v>4</v>
      </c>
      <c r="BV123" s="139">
        <f>Capstone!AI124</f>
        <v>4</v>
      </c>
      <c r="BW123" s="139">
        <f>Capstone!AO124</f>
        <v>3</v>
      </c>
      <c r="BX123" s="139">
        <f>Capstone!AU124</f>
        <v>3</v>
      </c>
      <c r="BY123" s="138"/>
      <c r="BZ123" s="139"/>
      <c r="CA12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2.2916666666666665</v>
      </c>
      <c r="CB123" s="139">
        <f>IFERROR(AVERAGE(Table110461117[[#This Row],[Column31]],Table110461117[[#This Row],[Column13]],Table110461117[[#This Row],[Column4]],Table110461117[[#This Row],[Column22]],),"A")</f>
        <v>1.8</v>
      </c>
      <c r="CC123" s="139">
        <f>IFERROR(AVERAGE(Table110461117[[#This Row],[Column5]],Table110461117[[#This Row],[Column14]],Table110461117[[#This Row],[Column23]],Table110461117[[#This Row],[Column32]]),"A")</f>
        <v>2</v>
      </c>
      <c r="CD123" s="139">
        <f>IFERROR(AVERAGE(Table110461117[[#This Row],[Column6]],Table110461117[[#This Row],[Column15]],Table110461117[[#This Row],[Column24]],Table110461117[[#This Row],[Column33]]),"A")</f>
        <v>2.25</v>
      </c>
      <c r="CE123" s="139"/>
      <c r="CF123" s="139">
        <f>IFERROR(AVERAGE(Table110461117[[#This Row],[Column26]],Table110461117[[#This Row],[Column35]],Table110461117[[#This Row],[Column17]],Table110461117[[#This Row],[Column8]]),"A")</f>
        <v>1.9166666666666665</v>
      </c>
      <c r="CG123" s="138"/>
      <c r="CH123" s="139">
        <f>IFERROR(AVERAGE('Review 1'!AX123,'Review 2'!AX123,'Review 3'!AX123,'Review 4'!AX123,'Reflection -1 '!AX123,'Reflection -2'!AX123,'Reflection -3'!AX123,'Reflection -4'!AX123),"A")</f>
        <v>3.875</v>
      </c>
      <c r="CI123" s="139">
        <f>IFERROR(AVERAGE('Review 1'!AY123,'Review 2'!AY123,'Review 3'!AY123,'Review 4'!AY123,'Reflection -1 '!AY123,'Reflection -2'!AY123,'Reflection -3'!AY123,'Reflection -4'!AY123,Capstone!AY124),"A")</f>
        <v>2.5555555555555554</v>
      </c>
      <c r="CJ123" s="139">
        <f>IFERROR(AVERAGE('Review 1'!AZ123,'Review 2'!AZ123,'Review 3'!AZ123,'Review 4'!AZ123,'Reflection -1 '!AZ123,'Reflection -2'!AZ123,'Reflection -3'!AZ123,'Reflection -4'!AZ123),"A")</f>
        <v>2.25</v>
      </c>
    </row>
    <row r="124" spans="1:88" s="122" customFormat="1" ht="23.1" customHeight="1" x14ac:dyDescent="0.3">
      <c r="A124" s="6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140"/>
      <c r="G124" s="140">
        <f>'Review 1'!Q124</f>
        <v>3</v>
      </c>
      <c r="H124" s="140">
        <f>'Review 1'!W124</f>
        <v>4</v>
      </c>
      <c r="I124" s="140">
        <f>'Review 1'!AC124</f>
        <v>3</v>
      </c>
      <c r="J124" s="140">
        <f>'Review 1'!AI124</f>
        <v>4</v>
      </c>
      <c r="K124" s="140"/>
      <c r="L124" s="140">
        <f>'Review 1'!AU124</f>
        <v>3</v>
      </c>
      <c r="M124" s="138"/>
      <c r="N124" s="140"/>
      <c r="O124" s="140">
        <f>'Review 2'!Q124</f>
        <v>3.8</v>
      </c>
      <c r="P124" s="140">
        <f>'Review 2'!W124</f>
        <v>4</v>
      </c>
      <c r="Q124" s="140">
        <f>'Review 2'!AC124</f>
        <v>4</v>
      </c>
      <c r="R124" s="140">
        <f>'Review 2'!AI124</f>
        <v>2</v>
      </c>
      <c r="S124" s="140"/>
      <c r="T124" s="140">
        <f>'Review 2'!AU124</f>
        <v>2</v>
      </c>
      <c r="U124" s="138"/>
      <c r="V124" s="7"/>
      <c r="W124" s="140">
        <f>'Review 3'!Q124</f>
        <v>2</v>
      </c>
      <c r="X124" s="140">
        <f>'Review 3'!W124</f>
        <v>2</v>
      </c>
      <c r="Y124" s="140">
        <f>'Review 3'!AC124</f>
        <v>2</v>
      </c>
      <c r="Z124" s="140">
        <f>'Review 3'!AI124</f>
        <v>2</v>
      </c>
      <c r="AA124" s="7"/>
      <c r="AB124" s="140">
        <f>'Review 3'!AU124</f>
        <v>2</v>
      </c>
      <c r="AC124" s="138"/>
      <c r="AD124" s="7"/>
      <c r="AE124" s="140">
        <f>'Review 4'!Q124</f>
        <v>1</v>
      </c>
      <c r="AF124" s="140">
        <f>'Review 4'!W124</f>
        <v>1</v>
      </c>
      <c r="AG124" s="140">
        <f>'Review 4'!AC124</f>
        <v>1</v>
      </c>
      <c r="AH124" s="140">
        <f>'Review 4'!AI124</f>
        <v>1</v>
      </c>
      <c r="AI124" s="140"/>
      <c r="AJ124" s="140">
        <f>'Review 4'!AU124</f>
        <v>1</v>
      </c>
      <c r="AK124" s="138"/>
      <c r="AL124" s="7"/>
      <c r="AM124" s="140">
        <f>'Reflection -1 '!Q124</f>
        <v>2</v>
      </c>
      <c r="AN124" s="7"/>
      <c r="AO124" s="7"/>
      <c r="AP124" s="7"/>
      <c r="AQ124" s="7"/>
      <c r="AR124" s="7"/>
      <c r="AS124" s="138"/>
      <c r="AT124" s="7"/>
      <c r="AU124" s="140">
        <f>'Reflection -2'!Q124</f>
        <v>3.6666666666666665</v>
      </c>
      <c r="AV124" s="7"/>
      <c r="AW124" s="7"/>
      <c r="AX124" s="7"/>
      <c r="AY124" s="140"/>
      <c r="AZ124" s="7"/>
      <c r="BA124" s="138"/>
      <c r="BB124" s="140"/>
      <c r="BC124" s="140">
        <f>'Reflection -3'!Q124</f>
        <v>2</v>
      </c>
      <c r="BD124" s="140"/>
      <c r="BE124" s="140"/>
      <c r="BF124" s="140"/>
      <c r="BG124" s="140"/>
      <c r="BH124" s="140"/>
      <c r="BI124" s="138"/>
      <c r="BJ124" s="140"/>
      <c r="BK124" s="140">
        <f>'Reflection -3'!Q124</f>
        <v>2</v>
      </c>
      <c r="BL124" s="7"/>
      <c r="BM124" s="140"/>
      <c r="BN124" s="7"/>
      <c r="BO124" s="140"/>
      <c r="BP124" s="140"/>
      <c r="BQ124" s="138"/>
      <c r="BR124" s="140"/>
      <c r="BS124" s="140">
        <f>Capstone!Q125</f>
        <v>3.5</v>
      </c>
      <c r="BT124" s="140">
        <f>Capstone!W125</f>
        <v>2.5</v>
      </c>
      <c r="BU124" s="140">
        <f>Capstone!AC125</f>
        <v>2.5</v>
      </c>
      <c r="BV124" s="140">
        <f>Capstone!AI125</f>
        <v>3</v>
      </c>
      <c r="BW124" s="140">
        <f>Capstone!AO125</f>
        <v>3.5</v>
      </c>
      <c r="BX124" s="140">
        <f>Capstone!AU125</f>
        <v>3</v>
      </c>
      <c r="BY124" s="138"/>
      <c r="BZ124" s="140"/>
      <c r="CA12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2.4333333333333336</v>
      </c>
      <c r="CB124" s="140">
        <f>IFERROR(AVERAGE(Table110461117[[#This Row],[Column31]],Table110461117[[#This Row],[Column13]],Table110461117[[#This Row],[Column4]],Table110461117[[#This Row],[Column22]],),"A")</f>
        <v>2.2000000000000002</v>
      </c>
      <c r="CC124" s="140">
        <f>IFERROR(AVERAGE(Table110461117[[#This Row],[Column5]],Table110461117[[#This Row],[Column14]],Table110461117[[#This Row],[Column23]],Table110461117[[#This Row],[Column32]]),"A")</f>
        <v>2.5</v>
      </c>
      <c r="CD124" s="140">
        <f>IFERROR(AVERAGE(Table110461117[[#This Row],[Column6]],Table110461117[[#This Row],[Column15]],Table110461117[[#This Row],[Column24]],Table110461117[[#This Row],[Column33]]),"A")</f>
        <v>2.25</v>
      </c>
      <c r="CE124" s="140"/>
      <c r="CF124" s="140">
        <f>IFERROR(AVERAGE(Table110461117[[#This Row],[Column26]],Table110461117[[#This Row],[Column35]],Table110461117[[#This Row],[Column17]],Table110461117[[#This Row],[Column8]]),"A")</f>
        <v>2</v>
      </c>
      <c r="CG124" s="138"/>
      <c r="CH124" s="140">
        <f>IFERROR(AVERAGE('Review 1'!AX124,'Review 2'!AX124,'Review 3'!AX124,'Review 4'!AX124,'Reflection -1 '!AX124,'Reflection -2'!AX124,'Reflection -3'!AX124,'Reflection -4'!AX124),"A")</f>
        <v>2.625</v>
      </c>
      <c r="CI124" s="140">
        <f>IFERROR(AVERAGE('Review 1'!AY124,'Review 2'!AY124,'Review 3'!AY124,'Review 4'!AY124,'Reflection -1 '!AY124,'Reflection -2'!AY124,'Reflection -3'!AY124,'Reflection -4'!AY124,Capstone!AY125),"A")</f>
        <v>2.1666666666666665</v>
      </c>
      <c r="CJ124" s="140">
        <f>IFERROR(AVERAGE('Review 1'!AZ124,'Review 2'!AZ124,'Review 3'!AZ124,'Review 4'!AZ124,'Reflection -1 '!AZ124,'Reflection -2'!AZ124,'Reflection -3'!AZ124,'Reflection -4'!AZ124),"A")</f>
        <v>2.25</v>
      </c>
    </row>
    <row r="125" spans="1:88" s="122" customFormat="1" ht="23.1" customHeight="1" x14ac:dyDescent="0.3">
      <c r="A125" s="137">
        <v>123</v>
      </c>
      <c r="B125" s="62" t="s">
        <v>364</v>
      </c>
      <c r="C125" s="62" t="s">
        <v>365</v>
      </c>
      <c r="D125" s="62" t="s">
        <v>450</v>
      </c>
      <c r="E125" s="62" t="s">
        <v>493</v>
      </c>
      <c r="F125" s="139"/>
      <c r="G125" s="139">
        <f>'Review 1'!Q125</f>
        <v>2.2000000000000002</v>
      </c>
      <c r="H125" s="139">
        <f>'Review 1'!W125</f>
        <v>3</v>
      </c>
      <c r="I125" s="139">
        <f>'Review 1'!AC125</f>
        <v>3</v>
      </c>
      <c r="J125" s="139">
        <f>'Review 1'!AI125</f>
        <v>3</v>
      </c>
      <c r="K125" s="139"/>
      <c r="L125" s="139">
        <f>'Review 1'!AU125</f>
        <v>3</v>
      </c>
      <c r="M125" s="138"/>
      <c r="N125" s="139"/>
      <c r="O125" s="139">
        <f>'Review 2'!Q125</f>
        <v>3.8</v>
      </c>
      <c r="P125" s="139">
        <f>'Review 2'!W125</f>
        <v>4</v>
      </c>
      <c r="Q125" s="139">
        <f>'Review 2'!AC125</f>
        <v>3.5</v>
      </c>
      <c r="R125" s="139">
        <f>'Review 2'!AI125</f>
        <v>2</v>
      </c>
      <c r="S125" s="139"/>
      <c r="T125" s="139">
        <f>'Review 2'!AU125</f>
        <v>2</v>
      </c>
      <c r="U125" s="138"/>
      <c r="V125" s="62"/>
      <c r="W125" s="139">
        <f>'Review 3'!Q125</f>
        <v>2</v>
      </c>
      <c r="X125" s="139">
        <f>'Review 3'!W125</f>
        <v>0</v>
      </c>
      <c r="Y125" s="139">
        <f>'Review 3'!AC125</f>
        <v>0</v>
      </c>
      <c r="Z125" s="139">
        <f>'Review 3'!AI125</f>
        <v>0</v>
      </c>
      <c r="AA125" s="62"/>
      <c r="AB125" s="139">
        <f>'Review 3'!AU125</f>
        <v>0</v>
      </c>
      <c r="AC125" s="138"/>
      <c r="AD125" s="62"/>
      <c r="AE125" s="139">
        <f>'Review 4'!Q125</f>
        <v>4</v>
      </c>
      <c r="AF125" s="139">
        <f>'Review 4'!W125</f>
        <v>4</v>
      </c>
      <c r="AG125" s="139">
        <f>'Review 4'!AC125</f>
        <v>3.5</v>
      </c>
      <c r="AH125" s="139">
        <f>'Review 4'!AI125</f>
        <v>2</v>
      </c>
      <c r="AI125" s="139"/>
      <c r="AJ125" s="139">
        <f>'Review 4'!AU125</f>
        <v>4</v>
      </c>
      <c r="AK125" s="138"/>
      <c r="AL125" s="62"/>
      <c r="AM125" s="139">
        <f>'Reflection -1 '!Q125</f>
        <v>2.6666666666666665</v>
      </c>
      <c r="AN125" s="62"/>
      <c r="AO125" s="62"/>
      <c r="AP125" s="62"/>
      <c r="AQ125" s="62"/>
      <c r="AR125" s="62"/>
      <c r="AS125" s="138"/>
      <c r="AT125" s="62"/>
      <c r="AU125" s="139">
        <f>'Reflection -2'!Q125</f>
        <v>2</v>
      </c>
      <c r="AV125" s="62"/>
      <c r="AW125" s="62"/>
      <c r="AX125" s="62"/>
      <c r="AY125" s="139"/>
      <c r="AZ125" s="62"/>
      <c r="BA125" s="138"/>
      <c r="BB125" s="139"/>
      <c r="BC125" s="139">
        <f>'Reflection -3'!Q125</f>
        <v>2</v>
      </c>
      <c r="BD125" s="139"/>
      <c r="BE125" s="139"/>
      <c r="BF125" s="139"/>
      <c r="BG125" s="139"/>
      <c r="BH125" s="139"/>
      <c r="BI125" s="138"/>
      <c r="BJ125" s="139"/>
      <c r="BK125" s="139">
        <f>'Reflection -3'!Q125</f>
        <v>2</v>
      </c>
      <c r="BL125" s="62"/>
      <c r="BM125" s="139"/>
      <c r="BN125" s="62"/>
      <c r="BO125" s="139"/>
      <c r="BP125" s="139"/>
      <c r="BQ125" s="138"/>
      <c r="BR125" s="139"/>
      <c r="BS125" s="139">
        <f>Capstone!Q126</f>
        <v>4.833333333333333</v>
      </c>
      <c r="BT125" s="139">
        <f>Capstone!W126</f>
        <v>4.5</v>
      </c>
      <c r="BU125" s="139">
        <f>Capstone!AC126</f>
        <v>4.5</v>
      </c>
      <c r="BV125" s="139">
        <f>Capstone!AI126</f>
        <v>4</v>
      </c>
      <c r="BW125" s="139">
        <f>Capstone!AO126</f>
        <v>4.5</v>
      </c>
      <c r="BX125" s="139">
        <f>Capstone!AU126</f>
        <v>4</v>
      </c>
      <c r="BY125" s="138"/>
      <c r="BZ125" s="139"/>
      <c r="CA12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2.583333333333333</v>
      </c>
      <c r="CB125" s="139">
        <f>IFERROR(AVERAGE(Table110461117[[#This Row],[Column31]],Table110461117[[#This Row],[Column13]],Table110461117[[#This Row],[Column4]],Table110461117[[#This Row],[Column22]],),"A")</f>
        <v>2.2000000000000002</v>
      </c>
      <c r="CC125" s="139">
        <f>IFERROR(AVERAGE(Table110461117[[#This Row],[Column5]],Table110461117[[#This Row],[Column14]],Table110461117[[#This Row],[Column23]],Table110461117[[#This Row],[Column32]]),"A")</f>
        <v>2.5</v>
      </c>
      <c r="CD125" s="139">
        <f>IFERROR(AVERAGE(Table110461117[[#This Row],[Column6]],Table110461117[[#This Row],[Column15]],Table110461117[[#This Row],[Column24]],Table110461117[[#This Row],[Column33]]),"A")</f>
        <v>1.75</v>
      </c>
      <c r="CE125" s="139"/>
      <c r="CF125" s="139">
        <f>IFERROR(AVERAGE(Table110461117[[#This Row],[Column26]],Table110461117[[#This Row],[Column35]],Table110461117[[#This Row],[Column17]],Table110461117[[#This Row],[Column8]]),"A")</f>
        <v>2.25</v>
      </c>
      <c r="CG125" s="138"/>
      <c r="CH125" s="139">
        <f>IFERROR(AVERAGE('Review 1'!AX125,'Review 2'!AX125,'Review 3'!AX125,'Review 4'!AX125,'Reflection -1 '!AX125,'Reflection -2'!AX125,'Reflection -3'!AX125,'Reflection -4'!AX125),"A")</f>
        <v>3</v>
      </c>
      <c r="CI125" s="139">
        <f>IFERROR(AVERAGE('Review 1'!AY125,'Review 2'!AY125,'Review 3'!AY125,'Review 4'!AY125,'Reflection -1 '!AY125,'Reflection -2'!AY125,'Reflection -3'!AY125,'Reflection -4'!AY125,Capstone!AY126),"A")</f>
        <v>2.2222222222222223</v>
      </c>
      <c r="CJ125" s="139">
        <f>IFERROR(AVERAGE('Review 1'!AZ125,'Review 2'!AZ125,'Review 3'!AZ125,'Review 4'!AZ125,'Reflection -1 '!AZ125,'Reflection -2'!AZ125,'Reflection -3'!AZ125,'Reflection -4'!AZ125),"A")</f>
        <v>2.5</v>
      </c>
    </row>
    <row r="126" spans="1:88" s="122" customFormat="1" ht="23.1" customHeight="1" x14ac:dyDescent="0.3">
      <c r="A126" s="6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140"/>
      <c r="G126" s="140">
        <f>'Review 1'!Q126</f>
        <v>0</v>
      </c>
      <c r="H126" s="140">
        <f>'Review 1'!W126</f>
        <v>0</v>
      </c>
      <c r="I126" s="140">
        <f>'Review 1'!AC126</f>
        <v>0</v>
      </c>
      <c r="J126" s="140">
        <f>'Review 1'!AI126</f>
        <v>0</v>
      </c>
      <c r="K126" s="140"/>
      <c r="L126" s="140">
        <f>'Review 1'!AU126</f>
        <v>0</v>
      </c>
      <c r="M126" s="138"/>
      <c r="N126" s="140"/>
      <c r="O126" s="140">
        <f>'Review 2'!Q126</f>
        <v>2.2000000000000002</v>
      </c>
      <c r="P126" s="140">
        <f>'Review 2'!W126</f>
        <v>3.6666666666666665</v>
      </c>
      <c r="Q126" s="140">
        <f>'Review 2'!AC126</f>
        <v>2.5</v>
      </c>
      <c r="R126" s="140">
        <f>'Review 2'!AI126</f>
        <v>3</v>
      </c>
      <c r="S126" s="140"/>
      <c r="T126" s="140">
        <f>'Review 2'!AU126</f>
        <v>4</v>
      </c>
      <c r="U126" s="138"/>
      <c r="V126" s="7"/>
      <c r="W126" s="140">
        <f>'Review 3'!Q126</f>
        <v>2.4</v>
      </c>
      <c r="X126" s="140">
        <f>'Review 3'!W126</f>
        <v>0</v>
      </c>
      <c r="Y126" s="140">
        <f>'Review 3'!AC126</f>
        <v>0</v>
      </c>
      <c r="Z126" s="140">
        <f>'Review 3'!AI126</f>
        <v>0</v>
      </c>
      <c r="AA126" s="7"/>
      <c r="AB126" s="140">
        <f>'Review 3'!AU126</f>
        <v>0</v>
      </c>
      <c r="AC126" s="138"/>
      <c r="AD126" s="7"/>
      <c r="AE126" s="140">
        <f>'Review 4'!Q126</f>
        <v>2.6</v>
      </c>
      <c r="AF126" s="140">
        <f>'Review 4'!W126</f>
        <v>3.6666666666666665</v>
      </c>
      <c r="AG126" s="140">
        <f>'Review 4'!AC126</f>
        <v>4</v>
      </c>
      <c r="AH126" s="140">
        <f>'Review 4'!AI126</f>
        <v>2.5</v>
      </c>
      <c r="AI126" s="140"/>
      <c r="AJ126" s="140">
        <f>'Review 4'!AU126</f>
        <v>5</v>
      </c>
      <c r="AK126" s="138"/>
      <c r="AL126" s="7"/>
      <c r="AM126" s="140">
        <f>'Reflection -1 '!Q126</f>
        <v>3</v>
      </c>
      <c r="AN126" s="7"/>
      <c r="AO126" s="7"/>
      <c r="AP126" s="7"/>
      <c r="AQ126" s="7"/>
      <c r="AR126" s="7"/>
      <c r="AS126" s="138"/>
      <c r="AT126" s="7"/>
      <c r="AU126" s="140">
        <f>'Reflection -2'!Q126</f>
        <v>4</v>
      </c>
      <c r="AV126" s="7"/>
      <c r="AW126" s="7"/>
      <c r="AX126" s="7"/>
      <c r="AY126" s="140"/>
      <c r="AZ126" s="7"/>
      <c r="BA126" s="138"/>
      <c r="BB126" s="140"/>
      <c r="BC126" s="140">
        <f>'Reflection -3'!Q126</f>
        <v>1.6666666666666667</v>
      </c>
      <c r="BD126" s="140"/>
      <c r="BE126" s="140"/>
      <c r="BF126" s="140"/>
      <c r="BG126" s="140"/>
      <c r="BH126" s="140"/>
      <c r="BI126" s="138"/>
      <c r="BJ126" s="140"/>
      <c r="BK126" s="140">
        <f>'Reflection -3'!Q126</f>
        <v>1.6666666666666667</v>
      </c>
      <c r="BL126" s="7"/>
      <c r="BM126" s="140"/>
      <c r="BN126" s="7"/>
      <c r="BO126" s="140"/>
      <c r="BP126" s="140"/>
      <c r="BQ126" s="138"/>
      <c r="BR126" s="140"/>
      <c r="BS126" s="140">
        <f>Capstone!Q127</f>
        <v>3</v>
      </c>
      <c r="BT126" s="140">
        <f>Capstone!W127</f>
        <v>4</v>
      </c>
      <c r="BU126" s="140">
        <f>Capstone!AC127</f>
        <v>4</v>
      </c>
      <c r="BV126" s="140">
        <f>Capstone!AI127</f>
        <v>4</v>
      </c>
      <c r="BW126" s="140">
        <f>Capstone!AO127</f>
        <v>3</v>
      </c>
      <c r="BX126" s="140">
        <f>Capstone!AU127</f>
        <v>4</v>
      </c>
      <c r="BY126" s="138"/>
      <c r="BZ126" s="140"/>
      <c r="CA12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2.1916666666666669</v>
      </c>
      <c r="CB126" s="140">
        <f>IFERROR(AVERAGE(Table110461117[[#This Row],[Column31]],Table110461117[[#This Row],[Column13]],Table110461117[[#This Row],[Column4]],Table110461117[[#This Row],[Column22]],),"A")</f>
        <v>1.4666666666666666</v>
      </c>
      <c r="CC126" s="140">
        <f>IFERROR(AVERAGE(Table110461117[[#This Row],[Column5]],Table110461117[[#This Row],[Column14]],Table110461117[[#This Row],[Column23]],Table110461117[[#This Row],[Column32]]),"A")</f>
        <v>1.625</v>
      </c>
      <c r="CD126" s="140">
        <f>IFERROR(AVERAGE(Table110461117[[#This Row],[Column6]],Table110461117[[#This Row],[Column15]],Table110461117[[#This Row],[Column24]],Table110461117[[#This Row],[Column33]]),"A")</f>
        <v>1.375</v>
      </c>
      <c r="CE126" s="140"/>
      <c r="CF126" s="140">
        <f>IFERROR(AVERAGE(Table110461117[[#This Row],[Column26]],Table110461117[[#This Row],[Column35]],Table110461117[[#This Row],[Column17]],Table110461117[[#This Row],[Column8]]),"A")</f>
        <v>2.25</v>
      </c>
      <c r="CG126" s="138"/>
      <c r="CH126" s="140">
        <f>IFERROR(AVERAGE('Review 1'!AX126,'Review 2'!AX126,'Review 3'!AX126,'Review 4'!AX126,'Reflection -1 '!AX126,'Reflection -2'!AX126,'Reflection -3'!AX126,'Reflection -4'!AX126),"A")</f>
        <v>2.75</v>
      </c>
      <c r="CI126" s="140">
        <f>IFERROR(AVERAGE('Review 1'!AY126,'Review 2'!AY126,'Review 3'!AY126,'Review 4'!AY126,'Reflection -1 '!AY126,'Reflection -2'!AY126,'Reflection -3'!AY126,'Reflection -4'!AY126,Capstone!AY127),"A")</f>
        <v>1.3333333333333333</v>
      </c>
      <c r="CJ126" s="140">
        <f>IFERROR(AVERAGE('Review 1'!AZ126,'Review 2'!AZ126,'Review 3'!AZ126,'Review 4'!AZ126,'Reflection -1 '!AZ126,'Reflection -2'!AZ126,'Reflection -3'!AZ126,'Reflection -4'!AZ126),"A")</f>
        <v>2</v>
      </c>
    </row>
    <row r="127" spans="1:88" s="122" customFormat="1" ht="23.1" customHeight="1" x14ac:dyDescent="0.3">
      <c r="A127" s="137">
        <v>125</v>
      </c>
      <c r="B127" s="62" t="s">
        <v>219</v>
      </c>
      <c r="C127" s="62" t="s">
        <v>220</v>
      </c>
      <c r="D127" s="62" t="s">
        <v>542</v>
      </c>
      <c r="E127" s="62" t="s">
        <v>161</v>
      </c>
      <c r="F127" s="139"/>
      <c r="G127" s="139">
        <f>'Review 1'!Q127</f>
        <v>4</v>
      </c>
      <c r="H127" s="139">
        <f>'Review 1'!W127</f>
        <v>4</v>
      </c>
      <c r="I127" s="139">
        <f>'Review 1'!AC127</f>
        <v>4</v>
      </c>
      <c r="J127" s="139">
        <f>'Review 1'!AI127</f>
        <v>4</v>
      </c>
      <c r="K127" s="139"/>
      <c r="L127" s="139">
        <f>'Review 1'!AU127</f>
        <v>4</v>
      </c>
      <c r="M127" s="138"/>
      <c r="N127" s="139"/>
      <c r="O127" s="139">
        <f>'Review 2'!Q127</f>
        <v>4</v>
      </c>
      <c r="P127" s="139">
        <f>'Review 2'!W127</f>
        <v>4</v>
      </c>
      <c r="Q127" s="139">
        <f>'Review 2'!AC127</f>
        <v>4</v>
      </c>
      <c r="R127" s="139">
        <f>'Review 2'!AI127</f>
        <v>4</v>
      </c>
      <c r="S127" s="139"/>
      <c r="T127" s="139">
        <f>'Review 2'!AU127</f>
        <v>4</v>
      </c>
      <c r="U127" s="138"/>
      <c r="V127" s="62"/>
      <c r="W127" s="139">
        <f>'Review 3'!Q127</f>
        <v>3</v>
      </c>
      <c r="X127" s="139">
        <f>'Review 3'!W127</f>
        <v>3</v>
      </c>
      <c r="Y127" s="139">
        <f>'Review 3'!AC127</f>
        <v>4</v>
      </c>
      <c r="Z127" s="139">
        <f>'Review 3'!AI127</f>
        <v>3</v>
      </c>
      <c r="AA127" s="62"/>
      <c r="AB127" s="139">
        <f>'Review 3'!AU127</f>
        <v>3</v>
      </c>
      <c r="AC127" s="138"/>
      <c r="AD127" s="62"/>
      <c r="AE127" s="139">
        <f>'Review 4'!Q127</f>
        <v>0</v>
      </c>
      <c r="AF127" s="139">
        <f>'Review 4'!W127</f>
        <v>0</v>
      </c>
      <c r="AG127" s="139">
        <f>'Review 4'!AC127</f>
        <v>0</v>
      </c>
      <c r="AH127" s="139">
        <f>'Review 4'!AI127</f>
        <v>0</v>
      </c>
      <c r="AI127" s="139"/>
      <c r="AJ127" s="139">
        <f>'Review 4'!AU127</f>
        <v>0</v>
      </c>
      <c r="AK127" s="138"/>
      <c r="AL127" s="62"/>
      <c r="AM127" s="139">
        <f>'Reflection -1 '!Q127</f>
        <v>4</v>
      </c>
      <c r="AN127" s="62"/>
      <c r="AO127" s="62"/>
      <c r="AP127" s="62"/>
      <c r="AQ127" s="62"/>
      <c r="AR127" s="62"/>
      <c r="AS127" s="138"/>
      <c r="AT127" s="62"/>
      <c r="AU127" s="139">
        <f>'Reflection -2'!Q127</f>
        <v>4</v>
      </c>
      <c r="AV127" s="62"/>
      <c r="AW127" s="62"/>
      <c r="AX127" s="62"/>
      <c r="AY127" s="139"/>
      <c r="AZ127" s="62"/>
      <c r="BA127" s="138"/>
      <c r="BB127" s="139"/>
      <c r="BC127" s="139">
        <f>'Reflection -3'!Q127</f>
        <v>0</v>
      </c>
      <c r="BD127" s="139"/>
      <c r="BE127" s="139"/>
      <c r="BF127" s="139"/>
      <c r="BG127" s="139"/>
      <c r="BH127" s="139"/>
      <c r="BI127" s="138"/>
      <c r="BJ127" s="139"/>
      <c r="BK127" s="139">
        <f>'Reflection -3'!Q127</f>
        <v>0</v>
      </c>
      <c r="BL127" s="62"/>
      <c r="BM127" s="139"/>
      <c r="BN127" s="62"/>
      <c r="BO127" s="139"/>
      <c r="BP127" s="139"/>
      <c r="BQ127" s="138"/>
      <c r="BR127" s="139"/>
      <c r="BS127" s="139">
        <f>Capstone!Q128</f>
        <v>4.166666666666667</v>
      </c>
      <c r="BT127" s="139">
        <f>Capstone!W128</f>
        <v>4</v>
      </c>
      <c r="BU127" s="139">
        <f>Capstone!AC128</f>
        <v>4</v>
      </c>
      <c r="BV127" s="139">
        <f>Capstone!AI128</f>
        <v>0</v>
      </c>
      <c r="BW127" s="139">
        <f>Capstone!AO128</f>
        <v>4</v>
      </c>
      <c r="BX127" s="139">
        <f>Capstone!AU128</f>
        <v>4</v>
      </c>
      <c r="BY127" s="138"/>
      <c r="BZ127" s="139"/>
      <c r="CA12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2.375</v>
      </c>
      <c r="CB127" s="139">
        <f>IFERROR(AVERAGE(Table110461117[[#This Row],[Column31]],Table110461117[[#This Row],[Column13]],Table110461117[[#This Row],[Column4]],Table110461117[[#This Row],[Column22]],),"A")</f>
        <v>2.2000000000000002</v>
      </c>
      <c r="CC127" s="139">
        <f>IFERROR(AVERAGE(Table110461117[[#This Row],[Column5]],Table110461117[[#This Row],[Column14]],Table110461117[[#This Row],[Column23]],Table110461117[[#This Row],[Column32]]),"A")</f>
        <v>3</v>
      </c>
      <c r="CD127" s="139">
        <f>IFERROR(AVERAGE(Table110461117[[#This Row],[Column6]],Table110461117[[#This Row],[Column15]],Table110461117[[#This Row],[Column24]],Table110461117[[#This Row],[Column33]]),"A")</f>
        <v>2.75</v>
      </c>
      <c r="CE127" s="139"/>
      <c r="CF127" s="139">
        <f>IFERROR(AVERAGE(Table110461117[[#This Row],[Column26]],Table110461117[[#This Row],[Column35]],Table110461117[[#This Row],[Column17]],Table110461117[[#This Row],[Column8]]),"A")</f>
        <v>2.75</v>
      </c>
      <c r="CG127" s="138"/>
      <c r="CH127" s="139">
        <f>IFERROR(AVERAGE('Review 1'!AX127,'Review 2'!AX127,'Review 3'!AX127,'Review 4'!AX127,'Reflection -1 '!AX127,'Reflection -2'!AX127,'Reflection -3'!AX127,'Reflection -4'!AX127),"A")</f>
        <v>3.25</v>
      </c>
      <c r="CI127" s="139">
        <f>IFERROR(AVERAGE('Review 1'!AY127,'Review 2'!AY127,'Review 3'!AY127,'Review 4'!AY127,'Reflection -1 '!AY127,'Reflection -2'!AY127,'Reflection -3'!AY127,'Reflection -4'!AY127,Capstone!AY128),"A")</f>
        <v>1.4444444444444444</v>
      </c>
      <c r="CJ127" s="139">
        <f>IFERROR(AVERAGE('Review 1'!AZ127,'Review 2'!AZ127,'Review 3'!AZ127,'Review 4'!AZ127,'Reflection -1 '!AZ127,'Reflection -2'!AZ127,'Reflection -3'!AZ127,'Reflection -4'!AZ127),"A")</f>
        <v>1.875</v>
      </c>
    </row>
    <row r="128" spans="1:88" s="122" customFormat="1" ht="23.1" customHeight="1" x14ac:dyDescent="0.3">
      <c r="A128" s="6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140"/>
      <c r="G128" s="140">
        <f>'Review 1'!Q128</f>
        <v>2.8</v>
      </c>
      <c r="H128" s="140">
        <f>'Review 1'!W128</f>
        <v>2.6666666666666665</v>
      </c>
      <c r="I128" s="140">
        <f>'Review 1'!AC128</f>
        <v>3</v>
      </c>
      <c r="J128" s="140">
        <f>'Review 1'!AI128</f>
        <v>3</v>
      </c>
      <c r="K128" s="140"/>
      <c r="L128" s="140">
        <f>'Review 1'!AU128</f>
        <v>2.6666666666666665</v>
      </c>
      <c r="M128" s="138"/>
      <c r="N128" s="140"/>
      <c r="O128" s="140">
        <f>'Review 2'!Q128</f>
        <v>2.6</v>
      </c>
      <c r="P128" s="140">
        <f>'Review 2'!W128</f>
        <v>2.6666666666666665</v>
      </c>
      <c r="Q128" s="140">
        <f>'Review 2'!AC128</f>
        <v>2.5</v>
      </c>
      <c r="R128" s="140">
        <f>'Review 2'!AI128</f>
        <v>2.5</v>
      </c>
      <c r="S128" s="140"/>
      <c r="T128" s="140">
        <f>'Review 2'!AU128</f>
        <v>2.6666666666666665</v>
      </c>
      <c r="U128" s="138"/>
      <c r="V128" s="7"/>
      <c r="W128" s="140">
        <f>'Review 3'!Q128</f>
        <v>1</v>
      </c>
      <c r="X128" s="140">
        <f>'Review 3'!W128</f>
        <v>0</v>
      </c>
      <c r="Y128" s="140">
        <f>'Review 3'!AC128</f>
        <v>2.5</v>
      </c>
      <c r="Z128" s="140">
        <f>'Review 3'!AI128</f>
        <v>0</v>
      </c>
      <c r="AA128" s="7"/>
      <c r="AB128" s="140">
        <f>'Review 3'!AU128</f>
        <v>0</v>
      </c>
      <c r="AC128" s="138"/>
      <c r="AD128" s="7"/>
      <c r="AE128" s="140">
        <f>'Review 4'!Q128</f>
        <v>3.8</v>
      </c>
      <c r="AF128" s="140">
        <f>'Review 4'!W128</f>
        <v>4</v>
      </c>
      <c r="AG128" s="140">
        <f>'Review 4'!AC128</f>
        <v>3</v>
      </c>
      <c r="AH128" s="140">
        <f>'Review 4'!AI128</f>
        <v>3</v>
      </c>
      <c r="AI128" s="140"/>
      <c r="AJ128" s="140">
        <f>'Review 4'!AU128</f>
        <v>2</v>
      </c>
      <c r="AK128" s="138"/>
      <c r="AL128" s="7"/>
      <c r="AM128" s="140">
        <f>'Reflection -1 '!Q128</f>
        <v>2.3333333333333335</v>
      </c>
      <c r="AN128" s="7"/>
      <c r="AO128" s="7"/>
      <c r="AP128" s="7"/>
      <c r="AQ128" s="7"/>
      <c r="AR128" s="7"/>
      <c r="AS128" s="138"/>
      <c r="AT128" s="7"/>
      <c r="AU128" s="140">
        <f>'Reflection -2'!Q128</f>
        <v>3.6666666666666665</v>
      </c>
      <c r="AV128" s="7"/>
      <c r="AW128" s="7"/>
      <c r="AX128" s="7"/>
      <c r="AY128" s="140"/>
      <c r="AZ128" s="7"/>
      <c r="BA128" s="138"/>
      <c r="BB128" s="140"/>
      <c r="BC128" s="140">
        <f>'Reflection -3'!Q128</f>
        <v>3</v>
      </c>
      <c r="BD128" s="140"/>
      <c r="BE128" s="140"/>
      <c r="BF128" s="140"/>
      <c r="BG128" s="140"/>
      <c r="BH128" s="140"/>
      <c r="BI128" s="138"/>
      <c r="BJ128" s="140"/>
      <c r="BK128" s="140">
        <f>'Reflection -3'!Q128</f>
        <v>3</v>
      </c>
      <c r="BL128" s="7"/>
      <c r="BM128" s="140"/>
      <c r="BN128" s="7"/>
      <c r="BO128" s="140"/>
      <c r="BP128" s="140"/>
      <c r="BQ128" s="138"/>
      <c r="BR128" s="140"/>
      <c r="BS128" s="140">
        <f>Capstone!Q129</f>
        <v>3.6666666666666665</v>
      </c>
      <c r="BT128" s="140">
        <f>Capstone!W129</f>
        <v>4</v>
      </c>
      <c r="BU128" s="140">
        <f>Capstone!AC129</f>
        <v>4</v>
      </c>
      <c r="BV128" s="140">
        <f>Capstone!AI129</f>
        <v>0</v>
      </c>
      <c r="BW128" s="140">
        <f>Capstone!AO129</f>
        <v>3</v>
      </c>
      <c r="BX128" s="140">
        <f>Capstone!AU129</f>
        <v>3</v>
      </c>
      <c r="BY128" s="138"/>
      <c r="BZ128" s="140"/>
      <c r="CA12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2.7749999999999999</v>
      </c>
      <c r="CB128" s="140">
        <f>IFERROR(AVERAGE(Table110461117[[#This Row],[Column31]],Table110461117[[#This Row],[Column13]],Table110461117[[#This Row],[Column4]],Table110461117[[#This Row],[Column22]],),"A")</f>
        <v>1.8666666666666665</v>
      </c>
      <c r="CC128" s="140">
        <f>IFERROR(AVERAGE(Table110461117[[#This Row],[Column5]],Table110461117[[#This Row],[Column14]],Table110461117[[#This Row],[Column23]],Table110461117[[#This Row],[Column32]]),"A")</f>
        <v>2.75</v>
      </c>
      <c r="CD128" s="140">
        <f>IFERROR(AVERAGE(Table110461117[[#This Row],[Column6]],Table110461117[[#This Row],[Column15]],Table110461117[[#This Row],[Column24]],Table110461117[[#This Row],[Column33]]),"A")</f>
        <v>2.125</v>
      </c>
      <c r="CE128" s="140"/>
      <c r="CF128" s="140">
        <f>IFERROR(AVERAGE(Table110461117[[#This Row],[Column26]],Table110461117[[#This Row],[Column35]],Table110461117[[#This Row],[Column17]],Table110461117[[#This Row],[Column8]]),"A")</f>
        <v>1.833333333333333</v>
      </c>
      <c r="CG128" s="138"/>
      <c r="CH128" s="140">
        <f>IFERROR(AVERAGE('Review 1'!AX128,'Review 2'!AX128,'Review 3'!AX128,'Review 4'!AX128,'Reflection -1 '!AX128,'Reflection -2'!AX128,'Reflection -3'!AX128,'Reflection -4'!AX128),"A")</f>
        <v>2.875</v>
      </c>
      <c r="CI128" s="140">
        <f>IFERROR(AVERAGE('Review 1'!AY128,'Review 2'!AY128,'Review 3'!AY128,'Review 4'!AY128,'Reflection -1 '!AY128,'Reflection -2'!AY128,'Reflection -3'!AY128,'Reflection -4'!AY128,Capstone!AY129),"A")</f>
        <v>1.3333333333333333</v>
      </c>
      <c r="CJ128" s="140">
        <f>IFERROR(AVERAGE('Review 1'!AZ128,'Review 2'!AZ128,'Review 3'!AZ128,'Review 4'!AZ128,'Reflection -1 '!AZ128,'Reflection -2'!AZ128,'Reflection -3'!AZ128,'Reflection -4'!AZ128),"A")</f>
        <v>1.875</v>
      </c>
    </row>
    <row r="129" spans="1:88" s="122" customFormat="1" ht="23.1" customHeight="1" x14ac:dyDescent="0.3">
      <c r="A129" s="137">
        <v>127</v>
      </c>
      <c r="B129" s="62" t="s">
        <v>366</v>
      </c>
      <c r="C129" s="62" t="s">
        <v>367</v>
      </c>
      <c r="D129" s="62" t="s">
        <v>542</v>
      </c>
      <c r="E129" s="62" t="s">
        <v>493</v>
      </c>
      <c r="F129" s="139"/>
      <c r="G129" s="139">
        <f>'Review 1'!Q129</f>
        <v>2.8</v>
      </c>
      <c r="H129" s="139">
        <f>'Review 1'!W129</f>
        <v>3</v>
      </c>
      <c r="I129" s="139">
        <f>'Review 1'!AC129</f>
        <v>3</v>
      </c>
      <c r="J129" s="139">
        <f>'Review 1'!AI129</f>
        <v>3</v>
      </c>
      <c r="K129" s="139"/>
      <c r="L129" s="139">
        <f>'Review 1'!AU129</f>
        <v>3</v>
      </c>
      <c r="M129" s="138"/>
      <c r="N129" s="139"/>
      <c r="O129" s="139">
        <f>'Review 2'!Q129</f>
        <v>2.2000000000000002</v>
      </c>
      <c r="P129" s="139">
        <f>'Review 2'!W129</f>
        <v>3</v>
      </c>
      <c r="Q129" s="139">
        <f>'Review 2'!AC129</f>
        <v>3</v>
      </c>
      <c r="R129" s="139">
        <f>'Review 2'!AI129</f>
        <v>2</v>
      </c>
      <c r="S129" s="139"/>
      <c r="T129" s="139">
        <f>'Review 2'!AU129</f>
        <v>2.6666666666666665</v>
      </c>
      <c r="U129" s="138"/>
      <c r="V129" s="62"/>
      <c r="W129" s="139">
        <f>'Review 3'!Q129</f>
        <v>2</v>
      </c>
      <c r="X129" s="139">
        <f>'Review 3'!W129</f>
        <v>0</v>
      </c>
      <c r="Y129" s="139">
        <f>'Review 3'!AC129</f>
        <v>0</v>
      </c>
      <c r="Z129" s="139">
        <f>'Review 3'!AI129</f>
        <v>0</v>
      </c>
      <c r="AA129" s="62"/>
      <c r="AB129" s="139">
        <f>'Review 3'!AU129</f>
        <v>0</v>
      </c>
      <c r="AC129" s="138"/>
      <c r="AD129" s="62"/>
      <c r="AE129" s="139">
        <f>'Review 4'!Q129</f>
        <v>2.6</v>
      </c>
      <c r="AF129" s="139">
        <f>'Review 4'!W129</f>
        <v>3</v>
      </c>
      <c r="AG129" s="139">
        <f>'Review 4'!AC129</f>
        <v>2.5</v>
      </c>
      <c r="AH129" s="139">
        <f>'Review 4'!AI129</f>
        <v>3</v>
      </c>
      <c r="AI129" s="139"/>
      <c r="AJ129" s="139">
        <f>'Review 4'!AU129</f>
        <v>3</v>
      </c>
      <c r="AK129" s="138"/>
      <c r="AL129" s="62"/>
      <c r="AM129" s="139">
        <f>'Reflection -1 '!Q129</f>
        <v>2</v>
      </c>
      <c r="AN129" s="62"/>
      <c r="AO129" s="62"/>
      <c r="AP129" s="62"/>
      <c r="AQ129" s="62"/>
      <c r="AR129" s="62"/>
      <c r="AS129" s="138"/>
      <c r="AT129" s="62"/>
      <c r="AU129" s="139">
        <f>'Reflection -2'!Q129</f>
        <v>3</v>
      </c>
      <c r="AV129" s="62"/>
      <c r="AW129" s="62"/>
      <c r="AX129" s="62"/>
      <c r="AY129" s="139"/>
      <c r="AZ129" s="62"/>
      <c r="BA129" s="138"/>
      <c r="BB129" s="139"/>
      <c r="BC129" s="139">
        <f>'Reflection -3'!Q129</f>
        <v>2</v>
      </c>
      <c r="BD129" s="139"/>
      <c r="BE129" s="139"/>
      <c r="BF129" s="139"/>
      <c r="BG129" s="139"/>
      <c r="BH129" s="139"/>
      <c r="BI129" s="138"/>
      <c r="BJ129" s="139"/>
      <c r="BK129" s="139">
        <f>'Reflection -3'!Q129</f>
        <v>2</v>
      </c>
      <c r="BL129" s="62"/>
      <c r="BM129" s="139"/>
      <c r="BN129" s="62"/>
      <c r="BO129" s="139"/>
      <c r="BP129" s="139"/>
      <c r="BQ129" s="138"/>
      <c r="BR129" s="139"/>
      <c r="BS129" s="139">
        <f>Capstone!Q130</f>
        <v>4.333333333333333</v>
      </c>
      <c r="BT129" s="139">
        <f>Capstone!W130</f>
        <v>4</v>
      </c>
      <c r="BU129" s="139">
        <f>Capstone!AC130</f>
        <v>4</v>
      </c>
      <c r="BV129" s="139">
        <f>Capstone!AI130</f>
        <v>5</v>
      </c>
      <c r="BW129" s="139">
        <f>Capstone!AO130</f>
        <v>4</v>
      </c>
      <c r="BX129" s="139">
        <f>Capstone!AU130</f>
        <v>5</v>
      </c>
      <c r="BY129" s="138"/>
      <c r="BZ129" s="139"/>
      <c r="CA12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2.3250000000000002</v>
      </c>
      <c r="CB129" s="139">
        <f>IFERROR(AVERAGE(Table110461117[[#This Row],[Column31]],Table110461117[[#This Row],[Column13]],Table110461117[[#This Row],[Column4]],Table110461117[[#This Row],[Column22]],),"A")</f>
        <v>1.8</v>
      </c>
      <c r="CC129" s="139">
        <f>IFERROR(AVERAGE(Table110461117[[#This Row],[Column5]],Table110461117[[#This Row],[Column14]],Table110461117[[#This Row],[Column23]],Table110461117[[#This Row],[Column32]]),"A")</f>
        <v>2.125</v>
      </c>
      <c r="CD129" s="139">
        <f>IFERROR(AVERAGE(Table110461117[[#This Row],[Column6]],Table110461117[[#This Row],[Column15]],Table110461117[[#This Row],[Column24]],Table110461117[[#This Row],[Column33]]),"A")</f>
        <v>2</v>
      </c>
      <c r="CE129" s="139"/>
      <c r="CF129" s="139">
        <f>IFERROR(AVERAGE(Table110461117[[#This Row],[Column26]],Table110461117[[#This Row],[Column35]],Table110461117[[#This Row],[Column17]],Table110461117[[#This Row],[Column8]]),"A")</f>
        <v>2.1666666666666665</v>
      </c>
      <c r="CG129" s="138"/>
      <c r="CH129" s="139">
        <f>IFERROR(AVERAGE('Review 1'!AX129,'Review 2'!AX129,'Review 3'!AX129,'Review 4'!AX129,'Reflection -1 '!AX129,'Reflection -2'!AX129,'Reflection -3'!AX129,'Reflection -4'!AX129),"A")</f>
        <v>3.125</v>
      </c>
      <c r="CI129" s="139">
        <f>IFERROR(AVERAGE('Review 1'!AY129,'Review 2'!AY129,'Review 3'!AY129,'Review 4'!AY129,'Reflection -1 '!AY129,'Reflection -2'!AY129,'Reflection -3'!AY129,'Reflection -4'!AY129,Capstone!AY130),"A")</f>
        <v>2.6666666666666665</v>
      </c>
      <c r="CJ129" s="139">
        <f>IFERROR(AVERAGE('Review 1'!AZ129,'Review 2'!AZ129,'Review 3'!AZ129,'Review 4'!AZ129,'Reflection -1 '!AZ129,'Reflection -2'!AZ129,'Reflection -3'!AZ129,'Reflection -4'!AZ129),"A")</f>
        <v>2.375</v>
      </c>
    </row>
    <row r="130" spans="1:88" s="122" customFormat="1" ht="23.1" customHeight="1" x14ac:dyDescent="0.3">
      <c r="A130" s="6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140"/>
      <c r="G130" s="140">
        <f>'Review 1'!Q130</f>
        <v>3</v>
      </c>
      <c r="H130" s="140">
        <f>'Review 1'!W130</f>
        <v>2</v>
      </c>
      <c r="I130" s="140">
        <f>'Review 1'!AC130</f>
        <v>2</v>
      </c>
      <c r="J130" s="140">
        <f>'Review 1'!AI130</f>
        <v>2</v>
      </c>
      <c r="K130" s="140"/>
      <c r="L130" s="140">
        <f>'Review 1'!AU130</f>
        <v>3</v>
      </c>
      <c r="M130" s="138"/>
      <c r="N130" s="140"/>
      <c r="O130" s="140">
        <f>'Review 2'!Q130</f>
        <v>3</v>
      </c>
      <c r="P130" s="140">
        <f>'Review 2'!W130</f>
        <v>4</v>
      </c>
      <c r="Q130" s="140">
        <f>'Review 2'!AC130</f>
        <v>3</v>
      </c>
      <c r="R130" s="140">
        <f>'Review 2'!AI130</f>
        <v>2</v>
      </c>
      <c r="S130" s="140"/>
      <c r="T130" s="140">
        <f>'Review 2'!AU130</f>
        <v>2.6666666666666665</v>
      </c>
      <c r="U130" s="138"/>
      <c r="V130" s="7"/>
      <c r="W130" s="140">
        <f>'Review 3'!Q130</f>
        <v>2</v>
      </c>
      <c r="X130" s="140">
        <f>'Review 3'!W130</f>
        <v>0</v>
      </c>
      <c r="Y130" s="140">
        <f>'Review 3'!AC130</f>
        <v>0</v>
      </c>
      <c r="Z130" s="140">
        <f>'Review 3'!AI130</f>
        <v>0</v>
      </c>
      <c r="AA130" s="7"/>
      <c r="AB130" s="140">
        <f>'Review 3'!AU130</f>
        <v>0</v>
      </c>
      <c r="AC130" s="138"/>
      <c r="AD130" s="7"/>
      <c r="AE130" s="140">
        <f>'Review 4'!Q130</f>
        <v>2.4</v>
      </c>
      <c r="AF130" s="140">
        <f>'Review 4'!W130</f>
        <v>3</v>
      </c>
      <c r="AG130" s="140">
        <f>'Review 4'!AC130</f>
        <v>2</v>
      </c>
      <c r="AH130" s="140">
        <f>'Review 4'!AI130</f>
        <v>3</v>
      </c>
      <c r="AI130" s="140"/>
      <c r="AJ130" s="140">
        <f>'Review 4'!AU130</f>
        <v>3</v>
      </c>
      <c r="AK130" s="138"/>
      <c r="AL130" s="7"/>
      <c r="AM130" s="140">
        <f>'Reflection -1 '!Q130</f>
        <v>3.3333333333333335</v>
      </c>
      <c r="AN130" s="7"/>
      <c r="AO130" s="7"/>
      <c r="AP130" s="7"/>
      <c r="AQ130" s="7"/>
      <c r="AR130" s="7"/>
      <c r="AS130" s="138"/>
      <c r="AT130" s="7"/>
      <c r="AU130" s="140">
        <f>'Reflection -2'!Q130</f>
        <v>2</v>
      </c>
      <c r="AV130" s="7"/>
      <c r="AW130" s="7"/>
      <c r="AX130" s="7"/>
      <c r="AY130" s="140"/>
      <c r="AZ130" s="7"/>
      <c r="BA130" s="138"/>
      <c r="BB130" s="140"/>
      <c r="BC130" s="140">
        <f>'Reflection -3'!Q130</f>
        <v>2</v>
      </c>
      <c r="BD130" s="140"/>
      <c r="BE130" s="140"/>
      <c r="BF130" s="140"/>
      <c r="BG130" s="140"/>
      <c r="BH130" s="140"/>
      <c r="BI130" s="138"/>
      <c r="BJ130" s="140"/>
      <c r="BK130" s="140">
        <f>'Reflection -3'!Q130</f>
        <v>2</v>
      </c>
      <c r="BL130" s="7"/>
      <c r="BM130" s="140"/>
      <c r="BN130" s="7"/>
      <c r="BO130" s="140"/>
      <c r="BP130" s="140"/>
      <c r="BQ130" s="138"/>
      <c r="BR130" s="140"/>
      <c r="BS130" s="140">
        <f>Capstone!Q131</f>
        <v>3</v>
      </c>
      <c r="BT130" s="140">
        <f>Capstone!W131</f>
        <v>3</v>
      </c>
      <c r="BU130" s="140">
        <f>Capstone!AC131</f>
        <v>3</v>
      </c>
      <c r="BV130" s="140">
        <f>Capstone!AI131</f>
        <v>3</v>
      </c>
      <c r="BW130" s="140">
        <f>Capstone!AO131</f>
        <v>3</v>
      </c>
      <c r="BX130" s="140">
        <f>Capstone!AU131</f>
        <v>3</v>
      </c>
      <c r="BY130" s="138"/>
      <c r="BZ130" s="140"/>
      <c r="CA13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2.4666666666666668</v>
      </c>
      <c r="CB130" s="140">
        <f>IFERROR(AVERAGE(Table110461117[[#This Row],[Column31]],Table110461117[[#This Row],[Column13]],Table110461117[[#This Row],[Column4]],Table110461117[[#This Row],[Column22]],),"A")</f>
        <v>1.8</v>
      </c>
      <c r="CC130" s="140">
        <f>IFERROR(AVERAGE(Table110461117[[#This Row],[Column5]],Table110461117[[#This Row],[Column14]],Table110461117[[#This Row],[Column23]],Table110461117[[#This Row],[Column32]]),"A")</f>
        <v>1.75</v>
      </c>
      <c r="CD130" s="140">
        <f>IFERROR(AVERAGE(Table110461117[[#This Row],[Column6]],Table110461117[[#This Row],[Column15]],Table110461117[[#This Row],[Column24]],Table110461117[[#This Row],[Column33]]),"A")</f>
        <v>1.75</v>
      </c>
      <c r="CE130" s="140"/>
      <c r="CF130" s="140">
        <f>IFERROR(AVERAGE(Table110461117[[#This Row],[Column26]],Table110461117[[#This Row],[Column35]],Table110461117[[#This Row],[Column17]],Table110461117[[#This Row],[Column8]]),"A")</f>
        <v>2.1666666666666665</v>
      </c>
      <c r="CG130" s="138"/>
      <c r="CH130" s="140">
        <f>IFERROR(AVERAGE('Review 1'!AX130,'Review 2'!AX130,'Review 3'!AX130,'Review 4'!AX130,'Reflection -1 '!AX130,'Reflection -2'!AX130,'Reflection -3'!AX130,'Reflection -4'!AX130),"A")</f>
        <v>2.125</v>
      </c>
      <c r="CI130" s="140">
        <f>IFERROR(AVERAGE('Review 1'!AY130,'Review 2'!AY130,'Review 3'!AY130,'Review 4'!AY130,'Reflection -1 '!AY130,'Reflection -2'!AY130,'Reflection -3'!AY130,'Reflection -4'!AY130,Capstone!AY131),"A")</f>
        <v>2.4444444444444446</v>
      </c>
      <c r="CJ130" s="140">
        <f>IFERROR(AVERAGE('Review 1'!AZ130,'Review 2'!AZ130,'Review 3'!AZ130,'Review 4'!AZ130,'Reflection -1 '!AZ130,'Reflection -2'!AZ130,'Reflection -3'!AZ130,'Reflection -4'!AZ130),"A")</f>
        <v>2.375</v>
      </c>
    </row>
    <row r="131" spans="1:88" s="122" customFormat="1" ht="23.1" customHeight="1" x14ac:dyDescent="0.3">
      <c r="A131" s="137">
        <v>129</v>
      </c>
      <c r="B131" s="62" t="s">
        <v>251</v>
      </c>
      <c r="C131" s="62" t="s">
        <v>252</v>
      </c>
      <c r="D131" s="62" t="s">
        <v>542</v>
      </c>
      <c r="E131" s="62" t="s">
        <v>161</v>
      </c>
      <c r="F131" s="139"/>
      <c r="G131" s="139">
        <f>'Review 1'!Q131</f>
        <v>2</v>
      </c>
      <c r="H131" s="139">
        <f>'Review 1'!W131</f>
        <v>2</v>
      </c>
      <c r="I131" s="139">
        <f>'Review 1'!AC131</f>
        <v>2</v>
      </c>
      <c r="J131" s="139">
        <f>'Review 1'!AI131</f>
        <v>2</v>
      </c>
      <c r="K131" s="139"/>
      <c r="L131" s="139">
        <f>'Review 1'!AU131</f>
        <v>2</v>
      </c>
      <c r="M131" s="138"/>
      <c r="N131" s="139"/>
      <c r="O131" s="139">
        <f>'Review 2'!Q131</f>
        <v>2</v>
      </c>
      <c r="P131" s="139">
        <f>'Review 2'!W131</f>
        <v>2</v>
      </c>
      <c r="Q131" s="139">
        <f>'Review 2'!AC131</f>
        <v>2</v>
      </c>
      <c r="R131" s="139">
        <f>'Review 2'!AI131</f>
        <v>2</v>
      </c>
      <c r="S131" s="139"/>
      <c r="T131" s="139">
        <f>'Review 2'!AU131</f>
        <v>2</v>
      </c>
      <c r="U131" s="138"/>
      <c r="V131" s="62"/>
      <c r="W131" s="139">
        <f>'Review 3'!Q131</f>
        <v>2.2000000000000002</v>
      </c>
      <c r="X131" s="139">
        <f>'Review 3'!W131</f>
        <v>0</v>
      </c>
      <c r="Y131" s="139">
        <f>'Review 3'!AC131</f>
        <v>2</v>
      </c>
      <c r="Z131" s="139">
        <f>'Review 3'!AI131</f>
        <v>0</v>
      </c>
      <c r="AA131" s="62"/>
      <c r="AB131" s="139">
        <f>'Review 3'!AU131</f>
        <v>0</v>
      </c>
      <c r="AC131" s="138"/>
      <c r="AD131" s="62"/>
      <c r="AE131" s="139">
        <f>'Review 4'!Q131</f>
        <v>2.4</v>
      </c>
      <c r="AF131" s="139">
        <f>'Review 4'!W131</f>
        <v>2.3333333333333335</v>
      </c>
      <c r="AG131" s="139">
        <f>'Review 4'!AC131</f>
        <v>2</v>
      </c>
      <c r="AH131" s="139">
        <f>'Review 4'!AI131</f>
        <v>1.5</v>
      </c>
      <c r="AI131" s="139"/>
      <c r="AJ131" s="139">
        <f>'Review 4'!AU131</f>
        <v>3</v>
      </c>
      <c r="AK131" s="138"/>
      <c r="AL131" s="62"/>
      <c r="AM131" s="139">
        <f>'Reflection -1 '!Q131</f>
        <v>3.3333333333333335</v>
      </c>
      <c r="AN131" s="62"/>
      <c r="AO131" s="62"/>
      <c r="AP131" s="62"/>
      <c r="AQ131" s="62"/>
      <c r="AR131" s="62"/>
      <c r="AS131" s="138"/>
      <c r="AT131" s="62"/>
      <c r="AU131" s="139">
        <f>'Reflection -2'!Q131</f>
        <v>0</v>
      </c>
      <c r="AV131" s="62"/>
      <c r="AW131" s="62"/>
      <c r="AX131" s="62"/>
      <c r="AY131" s="139"/>
      <c r="AZ131" s="62"/>
      <c r="BA131" s="138"/>
      <c r="BB131" s="139"/>
      <c r="BC131" s="139">
        <f>'Reflection -3'!Q131</f>
        <v>0</v>
      </c>
      <c r="BD131" s="139"/>
      <c r="BE131" s="139"/>
      <c r="BF131" s="139"/>
      <c r="BG131" s="139"/>
      <c r="BH131" s="139"/>
      <c r="BI131" s="138"/>
      <c r="BJ131" s="139"/>
      <c r="BK131" s="139">
        <f>'Reflection -3'!Q131</f>
        <v>0</v>
      </c>
      <c r="BL131" s="62"/>
      <c r="BM131" s="139"/>
      <c r="BN131" s="62"/>
      <c r="BO131" s="139"/>
      <c r="BP131" s="139"/>
      <c r="BQ131" s="138"/>
      <c r="BR131" s="139"/>
      <c r="BS131" s="139">
        <f>Capstone!Q132</f>
        <v>2.6666666666666665</v>
      </c>
      <c r="BT131" s="139">
        <f>Capstone!W132</f>
        <v>3</v>
      </c>
      <c r="BU131" s="139">
        <f>Capstone!AC132</f>
        <v>3</v>
      </c>
      <c r="BV131" s="139">
        <f>Capstone!AI132</f>
        <v>0</v>
      </c>
      <c r="BW131" s="139">
        <f>Capstone!AO132</f>
        <v>5</v>
      </c>
      <c r="BX131" s="139">
        <f>Capstone!AU132</f>
        <v>3</v>
      </c>
      <c r="BY131" s="138"/>
      <c r="BZ131" s="139"/>
      <c r="CA13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1.4916666666666667</v>
      </c>
      <c r="CB131" s="139">
        <f>IFERROR(AVERAGE(Table110461117[[#This Row],[Column31]],Table110461117[[#This Row],[Column13]],Table110461117[[#This Row],[Column4]],Table110461117[[#This Row],[Column22]],),"A")</f>
        <v>1.2666666666666668</v>
      </c>
      <c r="CC131" s="139">
        <f>IFERROR(AVERAGE(Table110461117[[#This Row],[Column5]],Table110461117[[#This Row],[Column14]],Table110461117[[#This Row],[Column23]],Table110461117[[#This Row],[Column32]]),"A")</f>
        <v>2</v>
      </c>
      <c r="CD131" s="139">
        <f>IFERROR(AVERAGE(Table110461117[[#This Row],[Column6]],Table110461117[[#This Row],[Column15]],Table110461117[[#This Row],[Column24]],Table110461117[[#This Row],[Column33]]),"A")</f>
        <v>1.375</v>
      </c>
      <c r="CE131" s="139"/>
      <c r="CF131" s="139">
        <f>IFERROR(AVERAGE(Table110461117[[#This Row],[Column26]],Table110461117[[#This Row],[Column35]],Table110461117[[#This Row],[Column17]],Table110461117[[#This Row],[Column8]]),"A")</f>
        <v>1.75</v>
      </c>
      <c r="CG131" s="138"/>
      <c r="CH131" s="139">
        <f>IFERROR(AVERAGE('Review 1'!AX131,'Review 2'!AX131,'Review 3'!AX131,'Review 4'!AX131,'Reflection -1 '!AX131,'Reflection -2'!AX131,'Reflection -3'!AX131,'Reflection -4'!AX131),"A")</f>
        <v>1.25</v>
      </c>
      <c r="CI131" s="139">
        <f>IFERROR(AVERAGE('Review 1'!AY131,'Review 2'!AY131,'Review 3'!AY131,'Review 4'!AY131,'Reflection -1 '!AY131,'Reflection -2'!AY131,'Reflection -3'!AY131,'Reflection -4'!AY131,Capstone!AY132),"A")</f>
        <v>0.88888888888888884</v>
      </c>
      <c r="CJ131" s="139">
        <f>IFERROR(AVERAGE('Review 1'!AZ131,'Review 2'!AZ131,'Review 3'!AZ131,'Review 4'!AZ131,'Reflection -1 '!AZ131,'Reflection -2'!AZ131,'Reflection -3'!AZ131,'Reflection -4'!AZ131),"A")</f>
        <v>0.875</v>
      </c>
    </row>
    <row r="132" spans="1:88" s="122" customFormat="1" ht="23.1" customHeight="1" x14ac:dyDescent="0.3">
      <c r="A132" s="6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140"/>
      <c r="G132" s="140">
        <f>'Review 1'!Q132</f>
        <v>0</v>
      </c>
      <c r="H132" s="140">
        <f>'Review 1'!W132</f>
        <v>0</v>
      </c>
      <c r="I132" s="140">
        <f>'Review 1'!AC132</f>
        <v>0</v>
      </c>
      <c r="J132" s="140">
        <f>'Review 1'!AI132</f>
        <v>0</v>
      </c>
      <c r="K132" s="140"/>
      <c r="L132" s="140">
        <f>'Review 1'!AU132</f>
        <v>0</v>
      </c>
      <c r="M132" s="138"/>
      <c r="N132" s="140"/>
      <c r="O132" s="140">
        <f>'Review 2'!Q132</f>
        <v>0</v>
      </c>
      <c r="P132" s="140">
        <f>'Review 2'!W132</f>
        <v>0</v>
      </c>
      <c r="Q132" s="140">
        <f>'Review 2'!AC132</f>
        <v>0</v>
      </c>
      <c r="R132" s="140">
        <f>'Review 2'!AI132</f>
        <v>0</v>
      </c>
      <c r="S132" s="140"/>
      <c r="T132" s="140">
        <f>'Review 2'!AU132</f>
        <v>0</v>
      </c>
      <c r="U132" s="138"/>
      <c r="V132" s="7"/>
      <c r="W132" s="140">
        <f>'Review 3'!Q132</f>
        <v>3</v>
      </c>
      <c r="X132" s="140">
        <f>'Review 3'!W132</f>
        <v>0</v>
      </c>
      <c r="Y132" s="140">
        <f>'Review 3'!AC132</f>
        <v>0</v>
      </c>
      <c r="Z132" s="140">
        <f>'Review 3'!AI132</f>
        <v>0</v>
      </c>
      <c r="AA132" s="7"/>
      <c r="AB132" s="140">
        <f>'Review 3'!AU132</f>
        <v>0</v>
      </c>
      <c r="AC132" s="138"/>
      <c r="AD132" s="7"/>
      <c r="AE132" s="140">
        <f>'Review 4'!Q132</f>
        <v>2.8</v>
      </c>
      <c r="AF132" s="140">
        <f>'Review 4'!W132</f>
        <v>3.3333333333333335</v>
      </c>
      <c r="AG132" s="140">
        <f>'Review 4'!AC132</f>
        <v>2</v>
      </c>
      <c r="AH132" s="140">
        <f>'Review 4'!AI132</f>
        <v>1</v>
      </c>
      <c r="AI132" s="140"/>
      <c r="AJ132" s="140">
        <f>'Review 4'!AU132</f>
        <v>2.3333333333333335</v>
      </c>
      <c r="AK132" s="138"/>
      <c r="AL132" s="7"/>
      <c r="AM132" s="140">
        <f>'Reflection -1 '!Q132</f>
        <v>2</v>
      </c>
      <c r="AN132" s="7"/>
      <c r="AO132" s="7"/>
      <c r="AP132" s="7"/>
      <c r="AQ132" s="7"/>
      <c r="AR132" s="7"/>
      <c r="AS132" s="138"/>
      <c r="AT132" s="7"/>
      <c r="AU132" s="140">
        <f>'Reflection -2'!Q132</f>
        <v>0</v>
      </c>
      <c r="AV132" s="7"/>
      <c r="AW132" s="7"/>
      <c r="AX132" s="7"/>
      <c r="AY132" s="140"/>
      <c r="AZ132" s="7"/>
      <c r="BA132" s="138"/>
      <c r="BB132" s="140"/>
      <c r="BC132" s="140">
        <f>'Reflection -3'!Q132</f>
        <v>0</v>
      </c>
      <c r="BD132" s="140"/>
      <c r="BE132" s="140"/>
      <c r="BF132" s="140"/>
      <c r="BG132" s="140"/>
      <c r="BH132" s="140"/>
      <c r="BI132" s="138"/>
      <c r="BJ132" s="140"/>
      <c r="BK132" s="140">
        <f>'Reflection -3'!Q132</f>
        <v>0</v>
      </c>
      <c r="BL132" s="7"/>
      <c r="BM132" s="140"/>
      <c r="BN132" s="7"/>
      <c r="BO132" s="140"/>
      <c r="BP132" s="140"/>
      <c r="BQ132" s="138"/>
      <c r="BR132" s="140"/>
      <c r="BS132" s="140">
        <f>Capstone!Q133</f>
        <v>3.6666666666666665</v>
      </c>
      <c r="BT132" s="140">
        <f>Capstone!W133</f>
        <v>4</v>
      </c>
      <c r="BU132" s="140">
        <f>Capstone!AC133</f>
        <v>4</v>
      </c>
      <c r="BV132" s="140">
        <f>Capstone!AI133</f>
        <v>3</v>
      </c>
      <c r="BW132" s="140">
        <f>Capstone!AO133</f>
        <v>5</v>
      </c>
      <c r="BX132" s="140">
        <f>Capstone!AU133</f>
        <v>4</v>
      </c>
      <c r="BY132" s="138"/>
      <c r="BZ132" s="140"/>
      <c r="CA13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0.97499999999999998</v>
      </c>
      <c r="CB132" s="140">
        <f>IFERROR(AVERAGE(Table110461117[[#This Row],[Column31]],Table110461117[[#This Row],[Column13]],Table110461117[[#This Row],[Column4]],Table110461117[[#This Row],[Column22]],),"A")</f>
        <v>0.66666666666666674</v>
      </c>
      <c r="CC132" s="140">
        <f>IFERROR(AVERAGE(Table110461117[[#This Row],[Column5]],Table110461117[[#This Row],[Column14]],Table110461117[[#This Row],[Column23]],Table110461117[[#This Row],[Column32]]),"A")</f>
        <v>0.5</v>
      </c>
      <c r="CD132" s="140">
        <f>IFERROR(AVERAGE(Table110461117[[#This Row],[Column6]],Table110461117[[#This Row],[Column15]],Table110461117[[#This Row],[Column24]],Table110461117[[#This Row],[Column33]]),"A")</f>
        <v>0.25</v>
      </c>
      <c r="CE132" s="140"/>
      <c r="CF132" s="140">
        <f>IFERROR(AVERAGE(Table110461117[[#This Row],[Column26]],Table110461117[[#This Row],[Column35]],Table110461117[[#This Row],[Column17]],Table110461117[[#This Row],[Column8]]),"A")</f>
        <v>0.58333333333333337</v>
      </c>
      <c r="CG132" s="138"/>
      <c r="CH132" s="140">
        <f>IFERROR(AVERAGE('Review 1'!AX132,'Review 2'!AX132,'Review 3'!AX132,'Review 4'!AX132,'Reflection -1 '!AX132,'Reflection -2'!AX132,'Reflection -3'!AX132,'Reflection -4'!AX132),"A")</f>
        <v>0.875</v>
      </c>
      <c r="CI132" s="140">
        <f>IFERROR(AVERAGE('Review 1'!AY132,'Review 2'!AY132,'Review 3'!AY132,'Review 4'!AY132,'Reflection -1 '!AY132,'Reflection -2'!AY132,'Reflection -3'!AY132,'Reflection -4'!AY132,Capstone!AY133),"A")</f>
        <v>0.55555555555555558</v>
      </c>
      <c r="CJ132" s="140">
        <f>IFERROR(AVERAGE('Review 1'!AZ132,'Review 2'!AZ132,'Review 3'!AZ132,'Review 4'!AZ132,'Reflection -1 '!AZ132,'Reflection -2'!AZ132,'Reflection -3'!AZ132,'Reflection -4'!AZ132),"A")</f>
        <v>0.5</v>
      </c>
    </row>
    <row r="133" spans="1:88" s="122" customFormat="1" ht="23.1" customHeight="1" x14ac:dyDescent="0.3">
      <c r="A133" s="137">
        <v>131</v>
      </c>
      <c r="B133" s="62" t="s">
        <v>265</v>
      </c>
      <c r="C133" s="62" t="s">
        <v>266</v>
      </c>
      <c r="D133" s="62" t="s">
        <v>542</v>
      </c>
      <c r="E133" s="62" t="s">
        <v>161</v>
      </c>
      <c r="F133" s="139"/>
      <c r="G133" s="139">
        <f>'Review 1'!Q133</f>
        <v>4</v>
      </c>
      <c r="H133" s="139">
        <f>'Review 1'!W133</f>
        <v>4</v>
      </c>
      <c r="I133" s="139">
        <f>'Review 1'!AC133</f>
        <v>4</v>
      </c>
      <c r="J133" s="139">
        <f>'Review 1'!AI133</f>
        <v>4</v>
      </c>
      <c r="K133" s="139"/>
      <c r="L133" s="139">
        <f>'Review 1'!AU133</f>
        <v>4</v>
      </c>
      <c r="M133" s="138"/>
      <c r="N133" s="139"/>
      <c r="O133" s="139">
        <f>'Review 2'!Q133</f>
        <v>4</v>
      </c>
      <c r="P133" s="139">
        <f>'Review 2'!W133</f>
        <v>4</v>
      </c>
      <c r="Q133" s="139">
        <f>'Review 2'!AC133</f>
        <v>4</v>
      </c>
      <c r="R133" s="139">
        <f>'Review 2'!AI133</f>
        <v>4</v>
      </c>
      <c r="S133" s="139"/>
      <c r="T133" s="139">
        <f>'Review 2'!AU133</f>
        <v>4</v>
      </c>
      <c r="U133" s="138"/>
      <c r="V133" s="62"/>
      <c r="W133" s="139">
        <f>'Review 3'!Q133</f>
        <v>3</v>
      </c>
      <c r="X133" s="139">
        <f>'Review 3'!W133</f>
        <v>3</v>
      </c>
      <c r="Y133" s="139">
        <f>'Review 3'!AC133</f>
        <v>4</v>
      </c>
      <c r="Z133" s="139">
        <f>'Review 3'!AI133</f>
        <v>3.5</v>
      </c>
      <c r="AA133" s="62"/>
      <c r="AB133" s="139">
        <f>'Review 3'!AU133</f>
        <v>3.3333333333333335</v>
      </c>
      <c r="AC133" s="138"/>
      <c r="AD133" s="62"/>
      <c r="AE133" s="139">
        <f>'Review 4'!Q133</f>
        <v>2.8</v>
      </c>
      <c r="AF133" s="139">
        <f>'Review 4'!W133</f>
        <v>3.6666666666666665</v>
      </c>
      <c r="AG133" s="139">
        <f>'Review 4'!AC133</f>
        <v>4</v>
      </c>
      <c r="AH133" s="139">
        <f>'Review 4'!AI133</f>
        <v>5</v>
      </c>
      <c r="AI133" s="139"/>
      <c r="AJ133" s="139">
        <f>'Review 4'!AU133</f>
        <v>4.333333333333333</v>
      </c>
      <c r="AK133" s="138"/>
      <c r="AL133" s="62"/>
      <c r="AM133" s="139">
        <f>'Reflection -1 '!Q133</f>
        <v>2.6666666666666665</v>
      </c>
      <c r="AN133" s="62"/>
      <c r="AO133" s="62"/>
      <c r="AP133" s="62"/>
      <c r="AQ133" s="62"/>
      <c r="AR133" s="62"/>
      <c r="AS133" s="138"/>
      <c r="AT133" s="62"/>
      <c r="AU133" s="139">
        <f>'Reflection -2'!Q133</f>
        <v>0</v>
      </c>
      <c r="AV133" s="62"/>
      <c r="AW133" s="62"/>
      <c r="AX133" s="62"/>
      <c r="AY133" s="139"/>
      <c r="AZ133" s="62"/>
      <c r="BA133" s="138"/>
      <c r="BB133" s="139"/>
      <c r="BC133" s="139">
        <f>'Reflection -3'!Q133</f>
        <v>0</v>
      </c>
      <c r="BD133" s="139"/>
      <c r="BE133" s="139"/>
      <c r="BF133" s="139"/>
      <c r="BG133" s="139"/>
      <c r="BH133" s="139"/>
      <c r="BI133" s="138"/>
      <c r="BJ133" s="139"/>
      <c r="BK133" s="139">
        <f>'Reflection -3'!Q133</f>
        <v>0</v>
      </c>
      <c r="BL133" s="62"/>
      <c r="BM133" s="139"/>
      <c r="BN133" s="62"/>
      <c r="BO133" s="139"/>
      <c r="BP133" s="139"/>
      <c r="BQ133" s="138"/>
      <c r="BR133" s="139"/>
      <c r="BS133" s="139">
        <f>Capstone!Q134</f>
        <v>4</v>
      </c>
      <c r="BT133" s="139">
        <f>Capstone!W134</f>
        <v>4</v>
      </c>
      <c r="BU133" s="139">
        <f>Capstone!AC134</f>
        <v>4</v>
      </c>
      <c r="BV133" s="139">
        <f>Capstone!AI134</f>
        <v>0</v>
      </c>
      <c r="BW133" s="139">
        <f>Capstone!AO134</f>
        <v>3.5</v>
      </c>
      <c r="BX133" s="139">
        <f>Capstone!AU134</f>
        <v>4</v>
      </c>
      <c r="BY133" s="138"/>
      <c r="BZ133" s="139"/>
      <c r="CA13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2.0583333333333336</v>
      </c>
      <c r="CB133" s="139">
        <f>IFERROR(AVERAGE(Table110461117[[#This Row],[Column31]],Table110461117[[#This Row],[Column13]],Table110461117[[#This Row],[Column4]],Table110461117[[#This Row],[Column22]],),"A")</f>
        <v>2.9333333333333331</v>
      </c>
      <c r="CC133" s="139">
        <f>IFERROR(AVERAGE(Table110461117[[#This Row],[Column5]],Table110461117[[#This Row],[Column14]],Table110461117[[#This Row],[Column23]],Table110461117[[#This Row],[Column32]]),"A")</f>
        <v>4</v>
      </c>
      <c r="CD133" s="139">
        <f>IFERROR(AVERAGE(Table110461117[[#This Row],[Column6]],Table110461117[[#This Row],[Column15]],Table110461117[[#This Row],[Column24]],Table110461117[[#This Row],[Column33]]),"A")</f>
        <v>4.125</v>
      </c>
      <c r="CE133" s="139"/>
      <c r="CF133" s="139">
        <f>IFERROR(AVERAGE(Table110461117[[#This Row],[Column26]],Table110461117[[#This Row],[Column35]],Table110461117[[#This Row],[Column17]],Table110461117[[#This Row],[Column8]]),"A")</f>
        <v>3.9166666666666665</v>
      </c>
      <c r="CG133" s="138"/>
      <c r="CH133" s="139">
        <f>IFERROR(AVERAGE('Review 1'!AX133,'Review 2'!AX133,'Review 3'!AX133,'Review 4'!AX133,'Reflection -1 '!AX133,'Reflection -2'!AX133,'Reflection -3'!AX133,'Reflection -4'!AX133),"A")</f>
        <v>2.625</v>
      </c>
      <c r="CI133" s="139">
        <f>IFERROR(AVERAGE('Review 1'!AY133,'Review 2'!AY133,'Review 3'!AY133,'Review 4'!AY133,'Reflection -1 '!AY133,'Reflection -2'!AY133,'Reflection -3'!AY133,'Reflection -4'!AY133,Capstone!AY134),"A")</f>
        <v>1.8888888888888888</v>
      </c>
      <c r="CJ133" s="139">
        <f>IFERROR(AVERAGE('Review 1'!AZ133,'Review 2'!AZ133,'Review 3'!AZ133,'Review 4'!AZ133,'Reflection -1 '!AZ133,'Reflection -2'!AZ133,'Reflection -3'!AZ133,'Reflection -4'!AZ133),"A")</f>
        <v>1.375</v>
      </c>
    </row>
    <row r="134" spans="1:88" s="122" customFormat="1" ht="23.1" customHeight="1" x14ac:dyDescent="0.3">
      <c r="A134" s="6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140"/>
      <c r="G134" s="140">
        <f>'Review 1'!Q134</f>
        <v>2.8</v>
      </c>
      <c r="H134" s="140">
        <f>'Review 1'!W134</f>
        <v>1</v>
      </c>
      <c r="I134" s="140">
        <f>'Review 1'!AC134</f>
        <v>1</v>
      </c>
      <c r="J134" s="140">
        <f>'Review 1'!AI134</f>
        <v>1</v>
      </c>
      <c r="K134" s="140"/>
      <c r="L134" s="140">
        <f>'Review 1'!AU134</f>
        <v>1</v>
      </c>
      <c r="M134" s="138"/>
      <c r="N134" s="140"/>
      <c r="O134" s="140">
        <f>'Review 2'!Q134</f>
        <v>2.8</v>
      </c>
      <c r="P134" s="140">
        <f>'Review 2'!W134</f>
        <v>1</v>
      </c>
      <c r="Q134" s="140">
        <f>'Review 2'!AC134</f>
        <v>1</v>
      </c>
      <c r="R134" s="140">
        <f>'Review 2'!AI134</f>
        <v>1</v>
      </c>
      <c r="S134" s="140"/>
      <c r="T134" s="140">
        <f>'Review 2'!AU134</f>
        <v>1</v>
      </c>
      <c r="U134" s="138"/>
      <c r="V134" s="7"/>
      <c r="W134" s="140">
        <f>'Review 3'!Q134</f>
        <v>2.8</v>
      </c>
      <c r="X134" s="140">
        <f>'Review 3'!W134</f>
        <v>0</v>
      </c>
      <c r="Y134" s="140">
        <f>'Review 3'!AC134</f>
        <v>0</v>
      </c>
      <c r="Z134" s="140">
        <f>'Review 3'!AI134</f>
        <v>0</v>
      </c>
      <c r="AA134" s="7"/>
      <c r="AB134" s="140">
        <f>'Review 3'!AU134</f>
        <v>0</v>
      </c>
      <c r="AC134" s="138"/>
      <c r="AD134" s="7"/>
      <c r="AE134" s="140">
        <f>'Review 4'!Q134</f>
        <v>2.6</v>
      </c>
      <c r="AF134" s="140">
        <f>'Review 4'!W134</f>
        <v>3</v>
      </c>
      <c r="AG134" s="140">
        <f>'Review 4'!AC134</f>
        <v>1.5</v>
      </c>
      <c r="AH134" s="140">
        <f>'Review 4'!AI134</f>
        <v>0.5</v>
      </c>
      <c r="AI134" s="140"/>
      <c r="AJ134" s="140">
        <f>'Review 4'!AU134</f>
        <v>2</v>
      </c>
      <c r="AK134" s="138"/>
      <c r="AL134" s="7"/>
      <c r="AM134" s="140">
        <f>'Reflection -1 '!Q134</f>
        <v>3</v>
      </c>
      <c r="AN134" s="7"/>
      <c r="AO134" s="7"/>
      <c r="AP134" s="7"/>
      <c r="AQ134" s="7"/>
      <c r="AR134" s="7"/>
      <c r="AS134" s="138"/>
      <c r="AT134" s="7"/>
      <c r="AU134" s="140">
        <f>'Reflection -2'!Q134</f>
        <v>3</v>
      </c>
      <c r="AV134" s="7"/>
      <c r="AW134" s="7"/>
      <c r="AX134" s="7"/>
      <c r="AY134" s="140"/>
      <c r="AZ134" s="7"/>
      <c r="BA134" s="138"/>
      <c r="BB134" s="140"/>
      <c r="BC134" s="140">
        <f>'Reflection -3'!Q134</f>
        <v>3.6666666666666665</v>
      </c>
      <c r="BD134" s="140"/>
      <c r="BE134" s="140"/>
      <c r="BF134" s="140"/>
      <c r="BG134" s="140"/>
      <c r="BH134" s="140"/>
      <c r="BI134" s="138"/>
      <c r="BJ134" s="140"/>
      <c r="BK134" s="140">
        <f>'Reflection -3'!Q134</f>
        <v>3.6666666666666665</v>
      </c>
      <c r="BL134" s="7"/>
      <c r="BM134" s="140"/>
      <c r="BN134" s="7"/>
      <c r="BO134" s="140"/>
      <c r="BP134" s="140"/>
      <c r="BQ134" s="138"/>
      <c r="BR134" s="140"/>
      <c r="BS134" s="140">
        <f>Capstone!Q135</f>
        <v>3</v>
      </c>
      <c r="BT134" s="140">
        <f>Capstone!W135</f>
        <v>3</v>
      </c>
      <c r="BU134" s="140">
        <f>Capstone!AC135</f>
        <v>3</v>
      </c>
      <c r="BV134" s="140">
        <f>Capstone!AI135</f>
        <v>3</v>
      </c>
      <c r="BW134" s="140">
        <f>Capstone!AO135</f>
        <v>3</v>
      </c>
      <c r="BX134" s="140">
        <f>Capstone!AU135</f>
        <v>3</v>
      </c>
      <c r="BY134" s="138"/>
      <c r="BZ134" s="140"/>
      <c r="CA13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3.041666666666667</v>
      </c>
      <c r="CB134" s="140">
        <f>IFERROR(AVERAGE(Table110461117[[#This Row],[Column31]],Table110461117[[#This Row],[Column13]],Table110461117[[#This Row],[Column4]],Table110461117[[#This Row],[Column22]],),"A")</f>
        <v>1</v>
      </c>
      <c r="CC134" s="140">
        <f>IFERROR(AVERAGE(Table110461117[[#This Row],[Column5]],Table110461117[[#This Row],[Column14]],Table110461117[[#This Row],[Column23]],Table110461117[[#This Row],[Column32]]),"A")</f>
        <v>0.875</v>
      </c>
      <c r="CD134" s="140">
        <f>IFERROR(AVERAGE(Table110461117[[#This Row],[Column6]],Table110461117[[#This Row],[Column15]],Table110461117[[#This Row],[Column24]],Table110461117[[#This Row],[Column33]]),"A")</f>
        <v>0.625</v>
      </c>
      <c r="CE134" s="140"/>
      <c r="CF134" s="140">
        <f>IFERROR(AVERAGE(Table110461117[[#This Row],[Column26]],Table110461117[[#This Row],[Column35]],Table110461117[[#This Row],[Column17]],Table110461117[[#This Row],[Column8]]),"A")</f>
        <v>1</v>
      </c>
      <c r="CG134" s="138"/>
      <c r="CH134" s="140">
        <f>IFERROR(AVERAGE('Review 1'!AX134,'Review 2'!AX134,'Review 3'!AX134,'Review 4'!AX134,'Reflection -1 '!AX134,'Reflection -2'!AX134,'Reflection -3'!AX134,'Reflection -4'!AX134),"A")</f>
        <v>3</v>
      </c>
      <c r="CI134" s="140">
        <f>IFERROR(AVERAGE('Review 1'!AY134,'Review 2'!AY134,'Review 3'!AY134,'Review 4'!AY134,'Reflection -1 '!AY134,'Reflection -2'!AY134,'Reflection -3'!AY134,'Reflection -4'!AY134,Capstone!AY135),"A")</f>
        <v>0.66666666666666663</v>
      </c>
      <c r="CJ134" s="140">
        <f>IFERROR(AVERAGE('Review 1'!AZ134,'Review 2'!AZ134,'Review 3'!AZ134,'Review 4'!AZ134,'Reflection -1 '!AZ134,'Reflection -2'!AZ134,'Reflection -3'!AZ134,'Reflection -4'!AZ134),"A")</f>
        <v>1.75</v>
      </c>
    </row>
    <row r="135" spans="1:88" s="122" customFormat="1" ht="23.1" customHeight="1" x14ac:dyDescent="0.3">
      <c r="A135" s="137">
        <v>133</v>
      </c>
      <c r="B135" s="62" t="s">
        <v>85</v>
      </c>
      <c r="C135" s="62" t="s">
        <v>86</v>
      </c>
      <c r="D135" s="62" t="s">
        <v>450</v>
      </c>
      <c r="E135" s="62" t="s">
        <v>35</v>
      </c>
      <c r="F135" s="139"/>
      <c r="G135" s="139">
        <f>'Review 1'!Q135</f>
        <v>2</v>
      </c>
      <c r="H135" s="139">
        <f>'Review 1'!W135</f>
        <v>1</v>
      </c>
      <c r="I135" s="139">
        <f>'Review 1'!AC135</f>
        <v>1</v>
      </c>
      <c r="J135" s="139">
        <f>'Review 1'!AI135</f>
        <v>1</v>
      </c>
      <c r="K135" s="139"/>
      <c r="L135" s="139">
        <f>'Review 1'!AU135</f>
        <v>1</v>
      </c>
      <c r="M135" s="138"/>
      <c r="N135" s="139"/>
      <c r="O135" s="139">
        <f>'Review 2'!Q135</f>
        <v>2</v>
      </c>
      <c r="P135" s="139">
        <f>'Review 2'!W135</f>
        <v>1</v>
      </c>
      <c r="Q135" s="139">
        <f>'Review 2'!AC135</f>
        <v>1</v>
      </c>
      <c r="R135" s="139">
        <f>'Review 2'!AI135</f>
        <v>1</v>
      </c>
      <c r="S135" s="139"/>
      <c r="T135" s="139">
        <f>'Review 2'!AU135</f>
        <v>1</v>
      </c>
      <c r="U135" s="138"/>
      <c r="V135" s="62"/>
      <c r="W135" s="139">
        <f>'Review 3'!Q135</f>
        <v>0.6</v>
      </c>
      <c r="X135" s="139">
        <f>'Review 3'!W135</f>
        <v>0</v>
      </c>
      <c r="Y135" s="139">
        <f>'Review 3'!AC135</f>
        <v>0</v>
      </c>
      <c r="Z135" s="139">
        <f>'Review 3'!AI135</f>
        <v>0</v>
      </c>
      <c r="AA135" s="62"/>
      <c r="AB135" s="139">
        <f>'Review 3'!AU135</f>
        <v>0</v>
      </c>
      <c r="AC135" s="138"/>
      <c r="AD135" s="62"/>
      <c r="AE135" s="139">
        <f>'Review 4'!Q135</f>
        <v>1</v>
      </c>
      <c r="AF135" s="139">
        <f>'Review 4'!W135</f>
        <v>1</v>
      </c>
      <c r="AG135" s="139">
        <f>'Review 4'!AC135</f>
        <v>1</v>
      </c>
      <c r="AH135" s="139">
        <f>'Review 4'!AI135</f>
        <v>0.5</v>
      </c>
      <c r="AI135" s="139"/>
      <c r="AJ135" s="139">
        <f>'Review 4'!AU135</f>
        <v>1</v>
      </c>
      <c r="AK135" s="138"/>
      <c r="AL135" s="62"/>
      <c r="AM135" s="139">
        <f>'Reflection -1 '!Q135</f>
        <v>3</v>
      </c>
      <c r="AN135" s="62"/>
      <c r="AO135" s="62"/>
      <c r="AP135" s="62"/>
      <c r="AQ135" s="62"/>
      <c r="AR135" s="62"/>
      <c r="AS135" s="138"/>
      <c r="AT135" s="62"/>
      <c r="AU135" s="139">
        <f>'Reflection -2'!Q135</f>
        <v>3.6666666666666665</v>
      </c>
      <c r="AV135" s="62"/>
      <c r="AW135" s="62"/>
      <c r="AX135" s="62"/>
      <c r="AY135" s="139"/>
      <c r="AZ135" s="62"/>
      <c r="BA135" s="138"/>
      <c r="BB135" s="139"/>
      <c r="BC135" s="139">
        <f>'Reflection -3'!Q135</f>
        <v>4</v>
      </c>
      <c r="BD135" s="139"/>
      <c r="BE135" s="139"/>
      <c r="BF135" s="139"/>
      <c r="BG135" s="139"/>
      <c r="BH135" s="139"/>
      <c r="BI135" s="138"/>
      <c r="BJ135" s="139"/>
      <c r="BK135" s="139">
        <f>'Reflection -3'!Q135</f>
        <v>4</v>
      </c>
      <c r="BL135" s="62"/>
      <c r="BM135" s="139"/>
      <c r="BN135" s="62"/>
      <c r="BO135" s="139"/>
      <c r="BP135" s="139"/>
      <c r="BQ135" s="138"/>
      <c r="BR135" s="139"/>
      <c r="BS135" s="139">
        <f>Capstone!Q136</f>
        <v>2</v>
      </c>
      <c r="BT135" s="139">
        <f>Capstone!W136</f>
        <v>3</v>
      </c>
      <c r="BU135" s="139">
        <f>Capstone!AC136</f>
        <v>3</v>
      </c>
      <c r="BV135" s="139">
        <f>Capstone!AI136</f>
        <v>3</v>
      </c>
      <c r="BW135" s="139">
        <f>Capstone!AO136</f>
        <v>3</v>
      </c>
      <c r="BX135" s="139">
        <f>Capstone!AU136</f>
        <v>4</v>
      </c>
      <c r="BY135" s="138"/>
      <c r="BZ135" s="139"/>
      <c r="CA13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2.5333333333333337</v>
      </c>
      <c r="CB135" s="139">
        <f>IFERROR(AVERAGE(Table110461117[[#This Row],[Column31]],Table110461117[[#This Row],[Column13]],Table110461117[[#This Row],[Column4]],Table110461117[[#This Row],[Column22]],),"A")</f>
        <v>0.6</v>
      </c>
      <c r="CC135" s="139">
        <f>IFERROR(AVERAGE(Table110461117[[#This Row],[Column5]],Table110461117[[#This Row],[Column14]],Table110461117[[#This Row],[Column23]],Table110461117[[#This Row],[Column32]]),"A")</f>
        <v>0.75</v>
      </c>
      <c r="CD135" s="139">
        <f>IFERROR(AVERAGE(Table110461117[[#This Row],[Column6]],Table110461117[[#This Row],[Column15]],Table110461117[[#This Row],[Column24]],Table110461117[[#This Row],[Column33]]),"A")</f>
        <v>0.625</v>
      </c>
      <c r="CE135" s="139"/>
      <c r="CF135" s="139">
        <f>IFERROR(AVERAGE(Table110461117[[#This Row],[Column26]],Table110461117[[#This Row],[Column35]],Table110461117[[#This Row],[Column17]],Table110461117[[#This Row],[Column8]]),"A")</f>
        <v>0.75</v>
      </c>
      <c r="CG135" s="138"/>
      <c r="CH135" s="139">
        <f>IFERROR(AVERAGE('Review 1'!AX135,'Review 2'!AX135,'Review 3'!AX135,'Review 4'!AX135,'Reflection -1 '!AX135,'Reflection -2'!AX135,'Reflection -3'!AX135,'Reflection -4'!AX135),"A")</f>
        <v>2.875</v>
      </c>
      <c r="CI135" s="139">
        <f>IFERROR(AVERAGE('Review 1'!AY135,'Review 2'!AY135,'Review 3'!AY135,'Review 4'!AY135,'Reflection -1 '!AY135,'Reflection -2'!AY135,'Reflection -3'!AY135,'Reflection -4'!AY135,Capstone!AY136),"A")</f>
        <v>0.66666666666666663</v>
      </c>
      <c r="CJ135" s="139">
        <f>IFERROR(AVERAGE('Review 1'!AZ135,'Review 2'!AZ135,'Review 3'!AZ135,'Review 4'!AZ135,'Reflection -1 '!AZ135,'Reflection -2'!AZ135,'Reflection -3'!AZ135,'Reflection -4'!AZ135),"A")</f>
        <v>2.25</v>
      </c>
    </row>
    <row r="136" spans="1:88" s="122" customFormat="1" ht="23.1" customHeight="1" x14ac:dyDescent="0.3">
      <c r="A136" s="6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140"/>
      <c r="G136" s="140">
        <f>'Review 1'!Q136</f>
        <v>1.4</v>
      </c>
      <c r="H136" s="140">
        <f>'Review 1'!W136</f>
        <v>1.3333333333333333</v>
      </c>
      <c r="I136" s="140">
        <f>'Review 1'!AC136</f>
        <v>1.5</v>
      </c>
      <c r="J136" s="140">
        <f>'Review 1'!AI136</f>
        <v>1.5</v>
      </c>
      <c r="K136" s="140"/>
      <c r="L136" s="140">
        <f>'Review 1'!AU136</f>
        <v>1.6666666666666667</v>
      </c>
      <c r="M136" s="138"/>
      <c r="N136" s="140"/>
      <c r="O136" s="140">
        <f>'Review 2'!Q136</f>
        <v>1.8</v>
      </c>
      <c r="P136" s="140">
        <f>'Review 2'!W136</f>
        <v>1.3333333333333333</v>
      </c>
      <c r="Q136" s="140">
        <f>'Review 2'!AC136</f>
        <v>1.5</v>
      </c>
      <c r="R136" s="140">
        <f>'Review 2'!AI136</f>
        <v>1.5</v>
      </c>
      <c r="S136" s="140"/>
      <c r="T136" s="140">
        <f>'Review 2'!AU136</f>
        <v>1.6666666666666667</v>
      </c>
      <c r="U136" s="138"/>
      <c r="V136" s="7"/>
      <c r="W136" s="140">
        <f>'Review 3'!Q136</f>
        <v>0</v>
      </c>
      <c r="X136" s="140">
        <f>'Review 3'!W136</f>
        <v>0</v>
      </c>
      <c r="Y136" s="140">
        <f>'Review 3'!AC136</f>
        <v>0</v>
      </c>
      <c r="Z136" s="140">
        <f>'Review 3'!AI136</f>
        <v>2.5</v>
      </c>
      <c r="AA136" s="7"/>
      <c r="AB136" s="140">
        <f>'Review 3'!AU136</f>
        <v>2.6666666666666665</v>
      </c>
      <c r="AC136" s="138"/>
      <c r="AD136" s="7"/>
      <c r="AE136" s="140">
        <f>'Review 4'!Q136</f>
        <v>4</v>
      </c>
      <c r="AF136" s="140">
        <f>'Review 4'!W136</f>
        <v>2.3333333333333335</v>
      </c>
      <c r="AG136" s="140">
        <f>'Review 4'!AC136</f>
        <v>1.5</v>
      </c>
      <c r="AH136" s="140">
        <f>'Review 4'!AI136</f>
        <v>2</v>
      </c>
      <c r="AI136" s="140"/>
      <c r="AJ136" s="140">
        <f>'Review 4'!AU136</f>
        <v>1</v>
      </c>
      <c r="AK136" s="138"/>
      <c r="AL136" s="7"/>
      <c r="AM136" s="140">
        <f>'Reflection -1 '!Q136</f>
        <v>3</v>
      </c>
      <c r="AN136" s="7"/>
      <c r="AO136" s="7"/>
      <c r="AP136" s="7"/>
      <c r="AQ136" s="7"/>
      <c r="AR136" s="7"/>
      <c r="AS136" s="138"/>
      <c r="AT136" s="7"/>
      <c r="AU136" s="140">
        <f>'Reflection -2'!Q136</f>
        <v>1</v>
      </c>
      <c r="AV136" s="7"/>
      <c r="AW136" s="7"/>
      <c r="AX136" s="7"/>
      <c r="AY136" s="140"/>
      <c r="AZ136" s="7"/>
      <c r="BA136" s="138"/>
      <c r="BB136" s="140"/>
      <c r="BC136" s="140">
        <f>'Reflection -3'!Q136</f>
        <v>0</v>
      </c>
      <c r="BD136" s="140"/>
      <c r="BE136" s="140"/>
      <c r="BF136" s="140"/>
      <c r="BG136" s="140"/>
      <c r="BH136" s="140"/>
      <c r="BI136" s="138"/>
      <c r="BJ136" s="140"/>
      <c r="BK136" s="140">
        <f>'Reflection -3'!Q136</f>
        <v>0</v>
      </c>
      <c r="BL136" s="7"/>
      <c r="BM136" s="140"/>
      <c r="BN136" s="7"/>
      <c r="BO136" s="140"/>
      <c r="BP136" s="140"/>
      <c r="BQ136" s="138"/>
      <c r="BR136" s="140"/>
      <c r="BS136" s="140">
        <f>Capstone!Q137</f>
        <v>2.6666666666666665</v>
      </c>
      <c r="BT136" s="140">
        <f>Capstone!W137</f>
        <v>3</v>
      </c>
      <c r="BU136" s="140">
        <f>Capstone!AC137</f>
        <v>3</v>
      </c>
      <c r="BV136" s="140">
        <f>Capstone!AI137</f>
        <v>0</v>
      </c>
      <c r="BW136" s="140">
        <f>Capstone!AO137</f>
        <v>3</v>
      </c>
      <c r="BX136" s="140">
        <f>Capstone!AU137</f>
        <v>3</v>
      </c>
      <c r="BY136" s="138"/>
      <c r="BZ136" s="140"/>
      <c r="CA13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1.4000000000000001</v>
      </c>
      <c r="CB136" s="140">
        <f>IFERROR(AVERAGE(Table110461117[[#This Row],[Column31]],Table110461117[[#This Row],[Column13]],Table110461117[[#This Row],[Column4]],Table110461117[[#This Row],[Column22]],),"A")</f>
        <v>1</v>
      </c>
      <c r="CC136" s="140">
        <f>IFERROR(AVERAGE(Table110461117[[#This Row],[Column5]],Table110461117[[#This Row],[Column14]],Table110461117[[#This Row],[Column23]],Table110461117[[#This Row],[Column32]]),"A")</f>
        <v>1.125</v>
      </c>
      <c r="CD136" s="140">
        <f>IFERROR(AVERAGE(Table110461117[[#This Row],[Column6]],Table110461117[[#This Row],[Column15]],Table110461117[[#This Row],[Column24]],Table110461117[[#This Row],[Column33]]),"A")</f>
        <v>1.875</v>
      </c>
      <c r="CE136" s="140"/>
      <c r="CF136" s="140">
        <f>IFERROR(AVERAGE(Table110461117[[#This Row],[Column26]],Table110461117[[#This Row],[Column35]],Table110461117[[#This Row],[Column17]],Table110461117[[#This Row],[Column8]]),"A")</f>
        <v>1.75</v>
      </c>
      <c r="CG136" s="138"/>
      <c r="CH136" s="140">
        <f>IFERROR(AVERAGE('Review 1'!AX136,'Review 2'!AX136,'Review 3'!AX136,'Review 4'!AX136,'Reflection -1 '!AX136,'Reflection -2'!AX136,'Reflection -3'!AX136,'Reflection -4'!AX136),"A")</f>
        <v>2.25</v>
      </c>
      <c r="CI136" s="140">
        <f>IFERROR(AVERAGE('Review 1'!AY136,'Review 2'!AY136,'Review 3'!AY136,'Review 4'!AY136,'Reflection -1 '!AY136,'Reflection -2'!AY136,'Reflection -3'!AY136,'Reflection -4'!AY136,Capstone!AY137),"A")</f>
        <v>0.88888888888888884</v>
      </c>
      <c r="CJ136" s="140">
        <f>IFERROR(AVERAGE('Review 1'!AZ136,'Review 2'!AZ136,'Review 3'!AZ136,'Review 4'!AZ136,'Reflection -1 '!AZ136,'Reflection -2'!AZ136,'Reflection -3'!AZ136,'Reflection -4'!AZ136),"A")</f>
        <v>0.75</v>
      </c>
    </row>
    <row r="137" spans="1:88" s="122" customFormat="1" ht="23.1" customHeight="1" x14ac:dyDescent="0.3">
      <c r="A137" s="137">
        <v>135</v>
      </c>
      <c r="B137" s="62" t="s">
        <v>370</v>
      </c>
      <c r="C137" s="62" t="s">
        <v>371</v>
      </c>
      <c r="D137" s="62" t="s">
        <v>450</v>
      </c>
      <c r="E137" s="62" t="s">
        <v>493</v>
      </c>
      <c r="F137" s="139"/>
      <c r="G137" s="139">
        <f>'Review 1'!Q137</f>
        <v>3.2</v>
      </c>
      <c r="H137" s="139">
        <f>'Review 1'!W137</f>
        <v>3</v>
      </c>
      <c r="I137" s="139">
        <f>'Review 1'!AC137</f>
        <v>3</v>
      </c>
      <c r="J137" s="139">
        <f>'Review 1'!AI137</f>
        <v>3</v>
      </c>
      <c r="K137" s="139"/>
      <c r="L137" s="139">
        <f>'Review 1'!AU137</f>
        <v>3</v>
      </c>
      <c r="M137" s="138"/>
      <c r="N137" s="139"/>
      <c r="O137" s="139">
        <f>'Review 2'!Q137</f>
        <v>2.2000000000000002</v>
      </c>
      <c r="P137" s="139">
        <f>'Review 2'!W137</f>
        <v>2</v>
      </c>
      <c r="Q137" s="139">
        <f>'Review 2'!AC137</f>
        <v>2</v>
      </c>
      <c r="R137" s="139">
        <f>'Review 2'!AI137</f>
        <v>1</v>
      </c>
      <c r="S137" s="139"/>
      <c r="T137" s="139">
        <f>'Review 2'!AU137</f>
        <v>2</v>
      </c>
      <c r="U137" s="138"/>
      <c r="V137" s="62"/>
      <c r="W137" s="139">
        <f>'Review 3'!Q137</f>
        <v>2</v>
      </c>
      <c r="X137" s="139">
        <f>'Review 3'!W137</f>
        <v>2</v>
      </c>
      <c r="Y137" s="139">
        <f>'Review 3'!AC137</f>
        <v>2</v>
      </c>
      <c r="Z137" s="139">
        <f>'Review 3'!AI137</f>
        <v>2</v>
      </c>
      <c r="AA137" s="62"/>
      <c r="AB137" s="139">
        <f>'Review 3'!AU137</f>
        <v>2</v>
      </c>
      <c r="AC137" s="138"/>
      <c r="AD137" s="62"/>
      <c r="AE137" s="139">
        <f>'Review 4'!Q137</f>
        <v>2</v>
      </c>
      <c r="AF137" s="139">
        <f>'Review 4'!W137</f>
        <v>2</v>
      </c>
      <c r="AG137" s="139">
        <f>'Review 4'!AC137</f>
        <v>2</v>
      </c>
      <c r="AH137" s="139">
        <f>'Review 4'!AI137</f>
        <v>2</v>
      </c>
      <c r="AI137" s="139"/>
      <c r="AJ137" s="139">
        <f>'Review 4'!AU137</f>
        <v>2</v>
      </c>
      <c r="AK137" s="138"/>
      <c r="AL137" s="62"/>
      <c r="AM137" s="139">
        <f>'Reflection -1 '!Q137</f>
        <v>4</v>
      </c>
      <c r="AN137" s="62"/>
      <c r="AO137" s="62"/>
      <c r="AP137" s="62"/>
      <c r="AQ137" s="62"/>
      <c r="AR137" s="62"/>
      <c r="AS137" s="138"/>
      <c r="AT137" s="62"/>
      <c r="AU137" s="139">
        <f>'Reflection -2'!Q137</f>
        <v>4</v>
      </c>
      <c r="AV137" s="62"/>
      <c r="AW137" s="62"/>
      <c r="AX137" s="62"/>
      <c r="AY137" s="139"/>
      <c r="AZ137" s="62"/>
      <c r="BA137" s="138"/>
      <c r="BB137" s="139"/>
      <c r="BC137" s="139">
        <f>'Reflection -3'!Q137</f>
        <v>2</v>
      </c>
      <c r="BD137" s="139"/>
      <c r="BE137" s="139"/>
      <c r="BF137" s="139"/>
      <c r="BG137" s="139"/>
      <c r="BH137" s="139"/>
      <c r="BI137" s="138"/>
      <c r="BJ137" s="139"/>
      <c r="BK137" s="139">
        <f>'Reflection -3'!Q137</f>
        <v>2</v>
      </c>
      <c r="BL137" s="62"/>
      <c r="BM137" s="139"/>
      <c r="BN137" s="62"/>
      <c r="BO137" s="139"/>
      <c r="BP137" s="139"/>
      <c r="BQ137" s="138"/>
      <c r="BR137" s="139"/>
      <c r="BS137" s="139">
        <f>Capstone!Q138</f>
        <v>3</v>
      </c>
      <c r="BT137" s="139">
        <f>Capstone!W138</f>
        <v>4</v>
      </c>
      <c r="BU137" s="139">
        <f>Capstone!AC138</f>
        <v>4</v>
      </c>
      <c r="BV137" s="139">
        <f>Capstone!AI138</f>
        <v>3</v>
      </c>
      <c r="BW137" s="139">
        <f>Capstone!AO138</f>
        <v>3</v>
      </c>
      <c r="BX137" s="139">
        <f>Capstone!AU138</f>
        <v>2</v>
      </c>
      <c r="BY137" s="138"/>
      <c r="BZ137" s="139"/>
      <c r="CA13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2.6749999999999998</v>
      </c>
      <c r="CB137" s="139">
        <f>IFERROR(AVERAGE(Table110461117[[#This Row],[Column31]],Table110461117[[#This Row],[Column13]],Table110461117[[#This Row],[Column4]],Table110461117[[#This Row],[Column22]],),"A")</f>
        <v>1.8</v>
      </c>
      <c r="CC137" s="139">
        <f>IFERROR(AVERAGE(Table110461117[[#This Row],[Column5]],Table110461117[[#This Row],[Column14]],Table110461117[[#This Row],[Column23]],Table110461117[[#This Row],[Column32]]),"A")</f>
        <v>2.25</v>
      </c>
      <c r="CD137" s="139">
        <f>IFERROR(AVERAGE(Table110461117[[#This Row],[Column6]],Table110461117[[#This Row],[Column15]],Table110461117[[#This Row],[Column24]],Table110461117[[#This Row],[Column33]]),"A")</f>
        <v>2</v>
      </c>
      <c r="CE137" s="139"/>
      <c r="CF137" s="139">
        <f>IFERROR(AVERAGE(Table110461117[[#This Row],[Column26]],Table110461117[[#This Row],[Column35]],Table110461117[[#This Row],[Column17]],Table110461117[[#This Row],[Column8]]),"A")</f>
        <v>2.25</v>
      </c>
      <c r="CG137" s="138"/>
      <c r="CH137" s="139">
        <f>IFERROR(AVERAGE('Review 1'!AX137,'Review 2'!AX137,'Review 3'!AX137,'Review 4'!AX137,'Reflection -1 '!AX137,'Reflection -2'!AX137,'Reflection -3'!AX137,'Reflection -4'!AX137),"A")</f>
        <v>3.25</v>
      </c>
      <c r="CI137" s="139">
        <f>IFERROR(AVERAGE('Review 1'!AY137,'Review 2'!AY137,'Review 3'!AY137,'Review 4'!AY137,'Reflection -1 '!AY137,'Reflection -2'!AY137,'Reflection -3'!AY137,'Reflection -4'!AY137,Capstone!AY138),"A")</f>
        <v>2.3333333333333335</v>
      </c>
      <c r="CJ137" s="139">
        <f>IFERROR(AVERAGE('Review 1'!AZ137,'Review 2'!AZ137,'Review 3'!AZ137,'Review 4'!AZ137,'Reflection -1 '!AZ137,'Reflection -2'!AZ137,'Reflection -3'!AZ137,'Reflection -4'!AZ137),"A")</f>
        <v>2.875</v>
      </c>
    </row>
    <row r="138" spans="1:88" s="122" customFormat="1" ht="23.1" customHeight="1" x14ac:dyDescent="0.3">
      <c r="A138" s="6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140"/>
      <c r="G138" s="140">
        <f>'Review 1'!Q138</f>
        <v>2.8</v>
      </c>
      <c r="H138" s="140">
        <f>'Review 1'!W138</f>
        <v>2.6666666666666665</v>
      </c>
      <c r="I138" s="140">
        <f>'Review 1'!AC138</f>
        <v>2.5</v>
      </c>
      <c r="J138" s="140">
        <f>'Review 1'!AI138</f>
        <v>3</v>
      </c>
      <c r="K138" s="140"/>
      <c r="L138" s="140">
        <f>'Review 1'!AU138</f>
        <v>3</v>
      </c>
      <c r="M138" s="138"/>
      <c r="N138" s="140"/>
      <c r="O138" s="140">
        <f>'Review 2'!Q138</f>
        <v>2.8</v>
      </c>
      <c r="P138" s="140">
        <f>'Review 2'!W138</f>
        <v>2</v>
      </c>
      <c r="Q138" s="140">
        <f>'Review 2'!AC138</f>
        <v>2</v>
      </c>
      <c r="R138" s="140">
        <f>'Review 2'!AI138</f>
        <v>1</v>
      </c>
      <c r="S138" s="140"/>
      <c r="T138" s="140">
        <f>'Review 2'!AU138</f>
        <v>2</v>
      </c>
      <c r="U138" s="138"/>
      <c r="V138" s="7"/>
      <c r="W138" s="140">
        <f>'Review 3'!Q138</f>
        <v>2</v>
      </c>
      <c r="X138" s="140">
        <f>'Review 3'!W138</f>
        <v>0</v>
      </c>
      <c r="Y138" s="140">
        <f>'Review 3'!AC138</f>
        <v>0</v>
      </c>
      <c r="Z138" s="140">
        <f>'Review 3'!AI138</f>
        <v>0</v>
      </c>
      <c r="AA138" s="7"/>
      <c r="AB138" s="140">
        <f>'Review 3'!AU138</f>
        <v>0</v>
      </c>
      <c r="AC138" s="138"/>
      <c r="AD138" s="7"/>
      <c r="AE138" s="140">
        <f>'Review 4'!Q138</f>
        <v>3.8</v>
      </c>
      <c r="AF138" s="140">
        <f>'Review 4'!W138</f>
        <v>4</v>
      </c>
      <c r="AG138" s="140">
        <f>'Review 4'!AC138</f>
        <v>3</v>
      </c>
      <c r="AH138" s="140">
        <f>'Review 4'!AI138</f>
        <v>3</v>
      </c>
      <c r="AI138" s="140"/>
      <c r="AJ138" s="140">
        <f>'Review 4'!AU138</f>
        <v>2</v>
      </c>
      <c r="AK138" s="138"/>
      <c r="AL138" s="7"/>
      <c r="AM138" s="140">
        <f>'Reflection -1 '!Q138</f>
        <v>2.3333333333333335</v>
      </c>
      <c r="AN138" s="7"/>
      <c r="AO138" s="7"/>
      <c r="AP138" s="7"/>
      <c r="AQ138" s="7"/>
      <c r="AR138" s="7"/>
      <c r="AS138" s="138"/>
      <c r="AT138" s="7"/>
      <c r="AU138" s="140">
        <f>'Reflection -2'!Q138</f>
        <v>3.6666666666666665</v>
      </c>
      <c r="AV138" s="7"/>
      <c r="AW138" s="7"/>
      <c r="AX138" s="7"/>
      <c r="AY138" s="140"/>
      <c r="AZ138" s="7"/>
      <c r="BA138" s="138"/>
      <c r="BB138" s="140"/>
      <c r="BC138" s="140">
        <f>'Reflection -3'!Q138</f>
        <v>3</v>
      </c>
      <c r="BD138" s="140"/>
      <c r="BE138" s="140"/>
      <c r="BF138" s="140"/>
      <c r="BG138" s="140"/>
      <c r="BH138" s="140"/>
      <c r="BI138" s="138"/>
      <c r="BJ138" s="140"/>
      <c r="BK138" s="140">
        <f>'Reflection -3'!Q138</f>
        <v>3</v>
      </c>
      <c r="BL138" s="7"/>
      <c r="BM138" s="140"/>
      <c r="BN138" s="7"/>
      <c r="BO138" s="140"/>
      <c r="BP138" s="140"/>
      <c r="BQ138" s="138"/>
      <c r="BR138" s="140"/>
      <c r="BS138" s="140">
        <f>Capstone!Q139</f>
        <v>4.666666666666667</v>
      </c>
      <c r="BT138" s="140">
        <f>Capstone!W139</f>
        <v>4</v>
      </c>
      <c r="BU138" s="140">
        <f>Capstone!AC139</f>
        <v>4</v>
      </c>
      <c r="BV138" s="140">
        <f>Capstone!AI139</f>
        <v>4</v>
      </c>
      <c r="BW138" s="140">
        <f>Capstone!AO139</f>
        <v>4</v>
      </c>
      <c r="BX138" s="140">
        <f>Capstone!AU139</f>
        <v>3</v>
      </c>
      <c r="BY138" s="138"/>
      <c r="BZ138" s="140"/>
      <c r="CA13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2.9250000000000003</v>
      </c>
      <c r="CB138" s="140">
        <f>IFERROR(AVERAGE(Table110461117[[#This Row],[Column31]],Table110461117[[#This Row],[Column13]],Table110461117[[#This Row],[Column4]],Table110461117[[#This Row],[Column22]],),"A")</f>
        <v>1.7333333333333332</v>
      </c>
      <c r="CC138" s="140">
        <f>IFERROR(AVERAGE(Table110461117[[#This Row],[Column5]],Table110461117[[#This Row],[Column14]],Table110461117[[#This Row],[Column23]],Table110461117[[#This Row],[Column32]]),"A")</f>
        <v>1.875</v>
      </c>
      <c r="CD138" s="140">
        <f>IFERROR(AVERAGE(Table110461117[[#This Row],[Column6]],Table110461117[[#This Row],[Column15]],Table110461117[[#This Row],[Column24]],Table110461117[[#This Row],[Column33]]),"A")</f>
        <v>1.75</v>
      </c>
      <c r="CE138" s="140"/>
      <c r="CF138" s="140">
        <f>IFERROR(AVERAGE(Table110461117[[#This Row],[Column26]],Table110461117[[#This Row],[Column35]],Table110461117[[#This Row],[Column17]],Table110461117[[#This Row],[Column8]]),"A")</f>
        <v>1.75</v>
      </c>
      <c r="CG138" s="138"/>
      <c r="CH138" s="140">
        <f>IFERROR(AVERAGE('Review 1'!AX138,'Review 2'!AX138,'Review 3'!AX138,'Review 4'!AX138,'Reflection -1 '!AX138,'Reflection -2'!AX138,'Reflection -3'!AX138,'Reflection -4'!AX138),"A")</f>
        <v>3.25</v>
      </c>
      <c r="CI138" s="140">
        <f>IFERROR(AVERAGE('Review 1'!AY138,'Review 2'!AY138,'Review 3'!AY138,'Review 4'!AY138,'Reflection -1 '!AY138,'Reflection -2'!AY138,'Reflection -3'!AY138,'Reflection -4'!AY138,Capstone!AY139),"A")</f>
        <v>2.1111111111111112</v>
      </c>
      <c r="CJ138" s="140">
        <f>IFERROR(AVERAGE('Review 1'!AZ138,'Review 2'!AZ138,'Review 3'!AZ138,'Review 4'!AZ138,'Reflection -1 '!AZ138,'Reflection -2'!AZ138,'Reflection -3'!AZ138,'Reflection -4'!AZ138),"A")</f>
        <v>2.125</v>
      </c>
    </row>
    <row r="139" spans="1:88" s="122" customFormat="1" ht="23.1" customHeight="1" x14ac:dyDescent="0.3">
      <c r="A139" s="137">
        <v>137</v>
      </c>
      <c r="B139" s="62" t="s">
        <v>267</v>
      </c>
      <c r="C139" s="62" t="s">
        <v>268</v>
      </c>
      <c r="D139" s="62" t="s">
        <v>542</v>
      </c>
      <c r="E139" s="62" t="s">
        <v>161</v>
      </c>
      <c r="F139" s="139"/>
      <c r="G139" s="139">
        <f>'Review 1'!Q139</f>
        <v>2.2000000000000002</v>
      </c>
      <c r="H139" s="139">
        <f>'Review 1'!W139</f>
        <v>2.3333333333333335</v>
      </c>
      <c r="I139" s="139">
        <f>'Review 1'!AC139</f>
        <v>2</v>
      </c>
      <c r="J139" s="139">
        <f>'Review 1'!AI139</f>
        <v>2</v>
      </c>
      <c r="K139" s="139"/>
      <c r="L139" s="139">
        <f>'Review 1'!AU139</f>
        <v>2.3333333333333335</v>
      </c>
      <c r="M139" s="138"/>
      <c r="N139" s="139"/>
      <c r="O139" s="139">
        <f>'Review 2'!Q139</f>
        <v>2.4</v>
      </c>
      <c r="P139" s="139">
        <f>'Review 2'!W139</f>
        <v>2.3333333333333335</v>
      </c>
      <c r="Q139" s="139">
        <f>'Review 2'!AC139</f>
        <v>2.5</v>
      </c>
      <c r="R139" s="139">
        <f>'Review 2'!AI139</f>
        <v>2.5</v>
      </c>
      <c r="S139" s="139"/>
      <c r="T139" s="139">
        <f>'Review 2'!AU139</f>
        <v>2.3333333333333335</v>
      </c>
      <c r="U139" s="138"/>
      <c r="V139" s="62"/>
      <c r="W139" s="139">
        <f>'Review 3'!Q139</f>
        <v>2.4</v>
      </c>
      <c r="X139" s="139">
        <f>'Review 3'!W139</f>
        <v>0</v>
      </c>
      <c r="Y139" s="139">
        <f>'Review 3'!AC139</f>
        <v>2.5</v>
      </c>
      <c r="Z139" s="139">
        <f>'Review 3'!AI139</f>
        <v>0</v>
      </c>
      <c r="AA139" s="62"/>
      <c r="AB139" s="139">
        <f>'Review 3'!AU139</f>
        <v>1.6666666666666667</v>
      </c>
      <c r="AC139" s="138"/>
      <c r="AD139" s="62"/>
      <c r="AE139" s="139">
        <f>'Review 4'!Q139</f>
        <v>2.4</v>
      </c>
      <c r="AF139" s="139">
        <f>'Review 4'!W139</f>
        <v>4</v>
      </c>
      <c r="AG139" s="139">
        <f>'Review 4'!AC139</f>
        <v>3.5</v>
      </c>
      <c r="AH139" s="139">
        <f>'Review 4'!AI139</f>
        <v>5</v>
      </c>
      <c r="AI139" s="139"/>
      <c r="AJ139" s="139">
        <f>'Review 4'!AU139</f>
        <v>3.3333333333333335</v>
      </c>
      <c r="AK139" s="138"/>
      <c r="AL139" s="62"/>
      <c r="AM139" s="139">
        <f>'Reflection -1 '!Q139</f>
        <v>4</v>
      </c>
      <c r="AN139" s="62"/>
      <c r="AO139" s="62"/>
      <c r="AP139" s="62"/>
      <c r="AQ139" s="62"/>
      <c r="AR139" s="62"/>
      <c r="AS139" s="138"/>
      <c r="AT139" s="62"/>
      <c r="AU139" s="139">
        <f>'Reflection -2'!Q139</f>
        <v>3</v>
      </c>
      <c r="AV139" s="62"/>
      <c r="AW139" s="62"/>
      <c r="AX139" s="62"/>
      <c r="AY139" s="139"/>
      <c r="AZ139" s="62"/>
      <c r="BA139" s="138"/>
      <c r="BB139" s="139"/>
      <c r="BC139" s="139">
        <f>'Reflection -3'!Q139</f>
        <v>2.6666666666666665</v>
      </c>
      <c r="BD139" s="139"/>
      <c r="BE139" s="139"/>
      <c r="BF139" s="139"/>
      <c r="BG139" s="139"/>
      <c r="BH139" s="139"/>
      <c r="BI139" s="138"/>
      <c r="BJ139" s="139"/>
      <c r="BK139" s="139">
        <f>'Reflection -3'!Q139</f>
        <v>2.6666666666666665</v>
      </c>
      <c r="BL139" s="62"/>
      <c r="BM139" s="139"/>
      <c r="BN139" s="62"/>
      <c r="BO139" s="139"/>
      <c r="BP139" s="139"/>
      <c r="BQ139" s="138"/>
      <c r="BR139" s="139"/>
      <c r="BS139" s="139">
        <f>Capstone!Q140</f>
        <v>3.5</v>
      </c>
      <c r="BT139" s="139">
        <f>Capstone!W140</f>
        <v>4</v>
      </c>
      <c r="BU139" s="139">
        <f>Capstone!AC140</f>
        <v>4</v>
      </c>
      <c r="BV139" s="139">
        <f>Capstone!AI140</f>
        <v>2</v>
      </c>
      <c r="BW139" s="139">
        <f>Capstone!AO140</f>
        <v>3.5</v>
      </c>
      <c r="BX139" s="139">
        <f>Capstone!AU140</f>
        <v>3</v>
      </c>
      <c r="BY139" s="138"/>
      <c r="BZ139" s="139"/>
      <c r="CA13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2.7166666666666668</v>
      </c>
      <c r="CB139" s="139">
        <f>IFERROR(AVERAGE(Table110461117[[#This Row],[Column31]],Table110461117[[#This Row],[Column13]],Table110461117[[#This Row],[Column4]],Table110461117[[#This Row],[Column22]],),"A")</f>
        <v>1.7333333333333336</v>
      </c>
      <c r="CC139" s="139">
        <f>IFERROR(AVERAGE(Table110461117[[#This Row],[Column5]],Table110461117[[#This Row],[Column14]],Table110461117[[#This Row],[Column23]],Table110461117[[#This Row],[Column32]]),"A")</f>
        <v>2.625</v>
      </c>
      <c r="CD139" s="139">
        <f>IFERROR(AVERAGE(Table110461117[[#This Row],[Column6]],Table110461117[[#This Row],[Column15]],Table110461117[[#This Row],[Column24]],Table110461117[[#This Row],[Column33]]),"A")</f>
        <v>2.375</v>
      </c>
      <c r="CE139" s="139"/>
      <c r="CF139" s="139">
        <f>IFERROR(AVERAGE(Table110461117[[#This Row],[Column26]],Table110461117[[#This Row],[Column35]],Table110461117[[#This Row],[Column17]],Table110461117[[#This Row],[Column8]]),"A")</f>
        <v>2.416666666666667</v>
      </c>
      <c r="CG139" s="138"/>
      <c r="CH139" s="139">
        <f>IFERROR(AVERAGE('Review 1'!AX139,'Review 2'!AX139,'Review 3'!AX139,'Review 4'!AX139,'Reflection -1 '!AX139,'Reflection -2'!AX139,'Reflection -3'!AX139,'Reflection -4'!AX139),"A")</f>
        <v>4.25</v>
      </c>
      <c r="CI139" s="139">
        <f>IFERROR(AVERAGE('Review 1'!AY139,'Review 2'!AY139,'Review 3'!AY139,'Review 4'!AY139,'Reflection -1 '!AY139,'Reflection -2'!AY139,'Reflection -3'!AY139,'Reflection -4'!AY139,Capstone!AY140),"A")</f>
        <v>1.4444444444444444</v>
      </c>
      <c r="CJ139" s="139">
        <f>IFERROR(AVERAGE('Review 1'!AZ139,'Review 2'!AZ139,'Review 3'!AZ139,'Review 4'!AZ139,'Reflection -1 '!AZ139,'Reflection -2'!AZ139,'Reflection -3'!AZ139,'Reflection -4'!AZ139),"A")</f>
        <v>2.375</v>
      </c>
    </row>
    <row r="140" spans="1:88" s="122" customFormat="1" ht="23.1" customHeight="1" x14ac:dyDescent="0.3">
      <c r="A140" s="6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140"/>
      <c r="G140" s="140">
        <f>'Review 1'!Q140</f>
        <v>3</v>
      </c>
      <c r="H140" s="140">
        <f>'Review 1'!W140</f>
        <v>3</v>
      </c>
      <c r="I140" s="140">
        <f>'Review 1'!AC140</f>
        <v>3</v>
      </c>
      <c r="J140" s="140">
        <f>'Review 1'!AI140</f>
        <v>3</v>
      </c>
      <c r="K140" s="140"/>
      <c r="L140" s="140">
        <f>'Review 1'!AU140</f>
        <v>3</v>
      </c>
      <c r="M140" s="138"/>
      <c r="N140" s="140"/>
      <c r="O140" s="140">
        <f>'Review 2'!Q140</f>
        <v>3</v>
      </c>
      <c r="P140" s="140">
        <f>'Review 2'!W140</f>
        <v>3</v>
      </c>
      <c r="Q140" s="140">
        <f>'Review 2'!AC140</f>
        <v>3</v>
      </c>
      <c r="R140" s="140">
        <f>'Review 2'!AI140</f>
        <v>3</v>
      </c>
      <c r="S140" s="140"/>
      <c r="T140" s="140">
        <f>'Review 2'!AU140</f>
        <v>3</v>
      </c>
      <c r="U140" s="138"/>
      <c r="V140" s="7"/>
      <c r="W140" s="140">
        <f>'Review 3'!Q140</f>
        <v>1.6</v>
      </c>
      <c r="X140" s="140">
        <f>'Review 3'!W140</f>
        <v>0</v>
      </c>
      <c r="Y140" s="140">
        <f>'Review 3'!AC140</f>
        <v>3</v>
      </c>
      <c r="Z140" s="140">
        <f>'Review 3'!AI140</f>
        <v>0</v>
      </c>
      <c r="AA140" s="7"/>
      <c r="AB140" s="140">
        <f>'Review 3'!AU140</f>
        <v>2</v>
      </c>
      <c r="AC140" s="138"/>
      <c r="AD140" s="7"/>
      <c r="AE140" s="140">
        <f>'Review 4'!Q140</f>
        <v>1.4</v>
      </c>
      <c r="AF140" s="140">
        <f>'Review 4'!W140</f>
        <v>2.3333333333333335</v>
      </c>
      <c r="AG140" s="140">
        <f>'Review 4'!AC140</f>
        <v>1.5</v>
      </c>
      <c r="AH140" s="140">
        <f>'Review 4'!AI140</f>
        <v>1</v>
      </c>
      <c r="AI140" s="140"/>
      <c r="AJ140" s="140">
        <f>'Review 4'!AU140</f>
        <v>2.6666666666666665</v>
      </c>
      <c r="AK140" s="138"/>
      <c r="AL140" s="7"/>
      <c r="AM140" s="140">
        <f>'Reflection -1 '!Q140</f>
        <v>1.6666666666666667</v>
      </c>
      <c r="AN140" s="7"/>
      <c r="AO140" s="7"/>
      <c r="AP140" s="7"/>
      <c r="AQ140" s="7"/>
      <c r="AR140" s="7"/>
      <c r="AS140" s="138"/>
      <c r="AT140" s="7"/>
      <c r="AU140" s="140">
        <f>'Reflection -2'!Q140</f>
        <v>2.3333333333333335</v>
      </c>
      <c r="AV140" s="7"/>
      <c r="AW140" s="7"/>
      <c r="AX140" s="7"/>
      <c r="AY140" s="140"/>
      <c r="AZ140" s="7"/>
      <c r="BA140" s="138"/>
      <c r="BB140" s="140"/>
      <c r="BC140" s="140">
        <f>'Reflection -3'!Q140</f>
        <v>1.6666666666666667</v>
      </c>
      <c r="BD140" s="140"/>
      <c r="BE140" s="140"/>
      <c r="BF140" s="140"/>
      <c r="BG140" s="140"/>
      <c r="BH140" s="140"/>
      <c r="BI140" s="138"/>
      <c r="BJ140" s="140"/>
      <c r="BK140" s="140">
        <f>'Reflection -3'!Q140</f>
        <v>1.6666666666666667</v>
      </c>
      <c r="BL140" s="7"/>
      <c r="BM140" s="140"/>
      <c r="BN140" s="7"/>
      <c r="BO140" s="140"/>
      <c r="BP140" s="140"/>
      <c r="BQ140" s="138"/>
      <c r="BR140" s="140"/>
      <c r="BS140" s="140">
        <f>Capstone!Q141</f>
        <v>4</v>
      </c>
      <c r="BT140" s="140">
        <f>Capstone!W141</f>
        <v>4</v>
      </c>
      <c r="BU140" s="140">
        <f>Capstone!AC141</f>
        <v>4</v>
      </c>
      <c r="BV140" s="140">
        <f>Capstone!AI141</f>
        <v>0</v>
      </c>
      <c r="BW140" s="140">
        <f>Capstone!AO141</f>
        <v>3</v>
      </c>
      <c r="BX140" s="140">
        <f>Capstone!AU141</f>
        <v>3</v>
      </c>
      <c r="BY140" s="138"/>
      <c r="BZ140" s="140"/>
      <c r="CA14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2.041666666666667</v>
      </c>
      <c r="CB140" s="140">
        <f>IFERROR(AVERAGE(Table110461117[[#This Row],[Column31]],Table110461117[[#This Row],[Column13]],Table110461117[[#This Row],[Column4]],Table110461117[[#This Row],[Column22]],),"A")</f>
        <v>1.6666666666666667</v>
      </c>
      <c r="CC140" s="140">
        <f>IFERROR(AVERAGE(Table110461117[[#This Row],[Column5]],Table110461117[[#This Row],[Column14]],Table110461117[[#This Row],[Column23]],Table110461117[[#This Row],[Column32]]),"A")</f>
        <v>2.625</v>
      </c>
      <c r="CD140" s="140">
        <f>IFERROR(AVERAGE(Table110461117[[#This Row],[Column6]],Table110461117[[#This Row],[Column15]],Table110461117[[#This Row],[Column24]],Table110461117[[#This Row],[Column33]]),"A")</f>
        <v>1.75</v>
      </c>
      <c r="CE140" s="140"/>
      <c r="CF140" s="140">
        <f>IFERROR(AVERAGE(Table110461117[[#This Row],[Column26]],Table110461117[[#This Row],[Column35]],Table110461117[[#This Row],[Column17]],Table110461117[[#This Row],[Column8]]),"A")</f>
        <v>2.6666666666666665</v>
      </c>
      <c r="CG140" s="138"/>
      <c r="CH140" s="140">
        <f>IFERROR(AVERAGE('Review 1'!AX140,'Review 2'!AX140,'Review 3'!AX140,'Review 4'!AX140,'Reflection -1 '!AX140,'Reflection -2'!AX140,'Reflection -3'!AX140,'Reflection -4'!AX140),"A")</f>
        <v>3.75</v>
      </c>
      <c r="CI140" s="140">
        <f>IFERROR(AVERAGE('Review 1'!AY140,'Review 2'!AY140,'Review 3'!AY140,'Review 4'!AY140,'Reflection -1 '!AY140,'Reflection -2'!AY140,'Reflection -3'!AY140,'Reflection -4'!AY140,Capstone!AY141),"A")</f>
        <v>1.1111111111111112</v>
      </c>
      <c r="CJ140" s="140">
        <f>IFERROR(AVERAGE('Review 1'!AZ140,'Review 2'!AZ140,'Review 3'!AZ140,'Review 4'!AZ140,'Reflection -1 '!AZ140,'Reflection -2'!AZ140,'Reflection -3'!AZ140,'Reflection -4'!AZ140),"A")</f>
        <v>1.25</v>
      </c>
    </row>
    <row r="141" spans="1:88" s="122" customFormat="1" ht="23.1" customHeight="1" x14ac:dyDescent="0.3">
      <c r="A141" s="137">
        <v>139</v>
      </c>
      <c r="B141" s="62" t="s">
        <v>152</v>
      </c>
      <c r="C141" s="62" t="s">
        <v>153</v>
      </c>
      <c r="D141" s="62" t="s">
        <v>450</v>
      </c>
      <c r="E141" s="62" t="s">
        <v>35</v>
      </c>
      <c r="F141" s="139"/>
      <c r="G141" s="139">
        <f>'Review 1'!Q141</f>
        <v>0</v>
      </c>
      <c r="H141" s="139">
        <f>'Review 1'!W141</f>
        <v>0</v>
      </c>
      <c r="I141" s="139">
        <f>'Review 1'!AC141</f>
        <v>0</v>
      </c>
      <c r="J141" s="139">
        <f>'Review 1'!AI141</f>
        <v>0</v>
      </c>
      <c r="K141" s="139"/>
      <c r="L141" s="139">
        <f>'Review 1'!AU141</f>
        <v>0</v>
      </c>
      <c r="M141" s="138"/>
      <c r="N141" s="139"/>
      <c r="O141" s="139">
        <f>'Review 2'!Q141</f>
        <v>2.6</v>
      </c>
      <c r="P141" s="139">
        <f>'Review 2'!W141</f>
        <v>2</v>
      </c>
      <c r="Q141" s="139">
        <f>'Review 2'!AC141</f>
        <v>2</v>
      </c>
      <c r="R141" s="139">
        <f>'Review 2'!AI141</f>
        <v>2.5</v>
      </c>
      <c r="S141" s="139"/>
      <c r="T141" s="139">
        <f>'Review 2'!AU141</f>
        <v>2</v>
      </c>
      <c r="U141" s="138"/>
      <c r="V141" s="62"/>
      <c r="W141" s="139">
        <f>'Review 3'!Q141</f>
        <v>0.6</v>
      </c>
      <c r="X141" s="139">
        <f>'Review 3'!W141</f>
        <v>0</v>
      </c>
      <c r="Y141" s="139">
        <f>'Review 3'!AC141</f>
        <v>0</v>
      </c>
      <c r="Z141" s="139">
        <f>'Review 3'!AI141</f>
        <v>0</v>
      </c>
      <c r="AA141" s="62"/>
      <c r="AB141" s="139">
        <f>'Review 3'!AU141</f>
        <v>0</v>
      </c>
      <c r="AC141" s="138"/>
      <c r="AD141" s="62"/>
      <c r="AE141" s="139">
        <f>'Review 4'!Q141</f>
        <v>0</v>
      </c>
      <c r="AF141" s="139">
        <f>'Review 4'!W141</f>
        <v>0</v>
      </c>
      <c r="AG141" s="139">
        <f>'Review 4'!AC141</f>
        <v>0</v>
      </c>
      <c r="AH141" s="139">
        <f>'Review 4'!AI141</f>
        <v>0</v>
      </c>
      <c r="AI141" s="139"/>
      <c r="AJ141" s="139">
        <f>'Review 4'!AU141</f>
        <v>0</v>
      </c>
      <c r="AK141" s="138"/>
      <c r="AL141" s="62"/>
      <c r="AM141" s="139">
        <f>'Reflection -1 '!Q141</f>
        <v>3.3333333333333335</v>
      </c>
      <c r="AN141" s="62"/>
      <c r="AO141" s="62"/>
      <c r="AP141" s="62"/>
      <c r="AQ141" s="62"/>
      <c r="AR141" s="62"/>
      <c r="AS141" s="138"/>
      <c r="AT141" s="62"/>
      <c r="AU141" s="139">
        <f>'Reflection -2'!Q141</f>
        <v>4</v>
      </c>
      <c r="AV141" s="62"/>
      <c r="AW141" s="62"/>
      <c r="AX141" s="62"/>
      <c r="AY141" s="139"/>
      <c r="AZ141" s="62"/>
      <c r="BA141" s="138"/>
      <c r="BB141" s="139"/>
      <c r="BC141" s="139">
        <f>'Reflection -3'!Q141</f>
        <v>0</v>
      </c>
      <c r="BD141" s="139"/>
      <c r="BE141" s="139"/>
      <c r="BF141" s="139"/>
      <c r="BG141" s="139"/>
      <c r="BH141" s="139"/>
      <c r="BI141" s="138"/>
      <c r="BJ141" s="139"/>
      <c r="BK141" s="139">
        <f>'Reflection -3'!Q141</f>
        <v>0</v>
      </c>
      <c r="BL141" s="62"/>
      <c r="BM141" s="139"/>
      <c r="BN141" s="62"/>
      <c r="BO141" s="139"/>
      <c r="BP141" s="139"/>
      <c r="BQ141" s="138"/>
      <c r="BR141" s="139"/>
      <c r="BS141" s="139">
        <f>Capstone!Q142</f>
        <v>4</v>
      </c>
      <c r="BT141" s="139">
        <f>Capstone!W142</f>
        <v>4</v>
      </c>
      <c r="BU141" s="139">
        <f>Capstone!AC142</f>
        <v>4</v>
      </c>
      <c r="BV141" s="139">
        <f>Capstone!AI142</f>
        <v>4</v>
      </c>
      <c r="BW141" s="139">
        <f>Capstone!AO142</f>
        <v>3</v>
      </c>
      <c r="BX141" s="139">
        <f>Capstone!AU142</f>
        <v>5</v>
      </c>
      <c r="BY141" s="138"/>
      <c r="BZ141" s="139"/>
      <c r="CA14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1.3166666666666667</v>
      </c>
      <c r="CB141" s="139">
        <f>IFERROR(AVERAGE(Table110461117[[#This Row],[Column31]],Table110461117[[#This Row],[Column13]],Table110461117[[#This Row],[Column4]],Table110461117[[#This Row],[Column22]],),"A")</f>
        <v>0.4</v>
      </c>
      <c r="CC141" s="139">
        <f>IFERROR(AVERAGE(Table110461117[[#This Row],[Column5]],Table110461117[[#This Row],[Column14]],Table110461117[[#This Row],[Column23]],Table110461117[[#This Row],[Column32]]),"A")</f>
        <v>0.5</v>
      </c>
      <c r="CD141" s="139">
        <f>IFERROR(AVERAGE(Table110461117[[#This Row],[Column6]],Table110461117[[#This Row],[Column15]],Table110461117[[#This Row],[Column24]],Table110461117[[#This Row],[Column33]]),"A")</f>
        <v>0.625</v>
      </c>
      <c r="CE141" s="139"/>
      <c r="CF141" s="139">
        <f>IFERROR(AVERAGE(Table110461117[[#This Row],[Column26]],Table110461117[[#This Row],[Column35]],Table110461117[[#This Row],[Column17]],Table110461117[[#This Row],[Column8]]),"A")</f>
        <v>0.5</v>
      </c>
      <c r="CG141" s="138"/>
      <c r="CH141" s="139">
        <f>IFERROR(AVERAGE('Review 1'!AX141,'Review 2'!AX141,'Review 3'!AX141,'Review 4'!AX141,'Reflection -1 '!AX141,'Reflection -2'!AX141,'Reflection -3'!AX141,'Reflection -4'!AX141),"A")</f>
        <v>1.5</v>
      </c>
      <c r="CI141" s="139">
        <f>IFERROR(AVERAGE('Review 1'!AY141,'Review 2'!AY141,'Review 3'!AY141,'Review 4'!AY141,'Reflection -1 '!AY141,'Reflection -2'!AY141,'Reflection -3'!AY141,'Reflection -4'!AY141,Capstone!AY142),"A")</f>
        <v>0.77777777777777779</v>
      </c>
      <c r="CJ141" s="139">
        <f>IFERROR(AVERAGE('Review 1'!AZ141,'Review 2'!AZ141,'Review 3'!AZ141,'Review 4'!AZ141,'Reflection -1 '!AZ141,'Reflection -2'!AZ141,'Reflection -3'!AZ141,'Reflection -4'!AZ141),"A")</f>
        <v>1.5</v>
      </c>
    </row>
    <row r="142" spans="1:88" s="122" customFormat="1" ht="23.1" customHeight="1" x14ac:dyDescent="0.3">
      <c r="A142" s="6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140"/>
      <c r="G142" s="140">
        <f>'Review 1'!Q142</f>
        <v>2.6</v>
      </c>
      <c r="H142" s="140">
        <f>'Review 1'!W142</f>
        <v>4</v>
      </c>
      <c r="I142" s="140">
        <f>'Review 1'!AC142</f>
        <v>4</v>
      </c>
      <c r="J142" s="140">
        <f>'Review 1'!AI142</f>
        <v>3</v>
      </c>
      <c r="K142" s="140"/>
      <c r="L142" s="140">
        <f>'Review 1'!AU142</f>
        <v>3</v>
      </c>
      <c r="M142" s="138"/>
      <c r="N142" s="140"/>
      <c r="O142" s="140">
        <f>'Review 2'!Q142</f>
        <v>2.2000000000000002</v>
      </c>
      <c r="P142" s="140">
        <f>'Review 2'!W142</f>
        <v>3.6666666666666665</v>
      </c>
      <c r="Q142" s="140">
        <f>'Review 2'!AC142</f>
        <v>2.5</v>
      </c>
      <c r="R142" s="140">
        <f>'Review 2'!AI142</f>
        <v>1.5</v>
      </c>
      <c r="S142" s="140"/>
      <c r="T142" s="140">
        <f>'Review 2'!AU142</f>
        <v>3.6666666666666665</v>
      </c>
      <c r="U142" s="138"/>
      <c r="V142" s="7"/>
      <c r="W142" s="140">
        <f>'Review 3'!Q142</f>
        <v>2</v>
      </c>
      <c r="X142" s="140">
        <f>'Review 3'!W142</f>
        <v>0</v>
      </c>
      <c r="Y142" s="140">
        <f>'Review 3'!AC142</f>
        <v>0</v>
      </c>
      <c r="Z142" s="140">
        <f>'Review 3'!AI142</f>
        <v>0</v>
      </c>
      <c r="AA142" s="7"/>
      <c r="AB142" s="140">
        <f>'Review 3'!AU142</f>
        <v>0</v>
      </c>
      <c r="AC142" s="138"/>
      <c r="AD142" s="7"/>
      <c r="AE142" s="140">
        <f>'Review 4'!Q142</f>
        <v>2.4</v>
      </c>
      <c r="AF142" s="140">
        <f>'Review 4'!W142</f>
        <v>2.3333333333333335</v>
      </c>
      <c r="AG142" s="140">
        <f>'Review 4'!AC142</f>
        <v>2</v>
      </c>
      <c r="AH142" s="140">
        <f>'Review 4'!AI142</f>
        <v>1.5</v>
      </c>
      <c r="AI142" s="140"/>
      <c r="AJ142" s="140">
        <f>'Review 4'!AU142</f>
        <v>3</v>
      </c>
      <c r="AK142" s="138"/>
      <c r="AL142" s="7"/>
      <c r="AM142" s="140">
        <f>'Reflection -1 '!Q142</f>
        <v>3.3333333333333335</v>
      </c>
      <c r="AN142" s="7"/>
      <c r="AO142" s="7"/>
      <c r="AP142" s="7"/>
      <c r="AQ142" s="7"/>
      <c r="AR142" s="7"/>
      <c r="AS142" s="138"/>
      <c r="AT142" s="7"/>
      <c r="AU142" s="140">
        <f>'Reflection -2'!Q142</f>
        <v>2</v>
      </c>
      <c r="AV142" s="7"/>
      <c r="AW142" s="7"/>
      <c r="AX142" s="7"/>
      <c r="AY142" s="140"/>
      <c r="AZ142" s="7"/>
      <c r="BA142" s="138"/>
      <c r="BB142" s="140"/>
      <c r="BC142" s="140">
        <f>'Reflection -3'!Q142</f>
        <v>2</v>
      </c>
      <c r="BD142" s="140"/>
      <c r="BE142" s="140"/>
      <c r="BF142" s="140"/>
      <c r="BG142" s="140"/>
      <c r="BH142" s="140"/>
      <c r="BI142" s="138"/>
      <c r="BJ142" s="140"/>
      <c r="BK142" s="140">
        <f>'Reflection -3'!Q142</f>
        <v>2</v>
      </c>
      <c r="BL142" s="7"/>
      <c r="BM142" s="140"/>
      <c r="BN142" s="7"/>
      <c r="BO142" s="140"/>
      <c r="BP142" s="140"/>
      <c r="BQ142" s="138"/>
      <c r="BR142" s="140"/>
      <c r="BS142" s="140">
        <f>Capstone!Q143</f>
        <v>3</v>
      </c>
      <c r="BT142" s="140">
        <f>Capstone!W143</f>
        <v>3</v>
      </c>
      <c r="BU142" s="140">
        <f>Capstone!AC143</f>
        <v>3</v>
      </c>
      <c r="BV142" s="140">
        <f>Capstone!AI143</f>
        <v>3</v>
      </c>
      <c r="BW142" s="140">
        <f>Capstone!AO143</f>
        <v>3</v>
      </c>
      <c r="BX142" s="140">
        <f>Capstone!AU143</f>
        <v>3</v>
      </c>
      <c r="BY142" s="138"/>
      <c r="BZ142" s="140"/>
      <c r="CA14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2.3166666666666664</v>
      </c>
      <c r="CB142" s="140">
        <f>IFERROR(AVERAGE(Table110461117[[#This Row],[Column31]],Table110461117[[#This Row],[Column13]],Table110461117[[#This Row],[Column4]],Table110461117[[#This Row],[Column22]],),"A")</f>
        <v>2</v>
      </c>
      <c r="CC142" s="140">
        <f>IFERROR(AVERAGE(Table110461117[[#This Row],[Column5]],Table110461117[[#This Row],[Column14]],Table110461117[[#This Row],[Column23]],Table110461117[[#This Row],[Column32]]),"A")</f>
        <v>2.125</v>
      </c>
      <c r="CD142" s="140">
        <f>IFERROR(AVERAGE(Table110461117[[#This Row],[Column6]],Table110461117[[#This Row],[Column15]],Table110461117[[#This Row],[Column24]],Table110461117[[#This Row],[Column33]]),"A")</f>
        <v>1.5</v>
      </c>
      <c r="CE142" s="140"/>
      <c r="CF142" s="140">
        <f>IFERROR(AVERAGE(Table110461117[[#This Row],[Column26]],Table110461117[[#This Row],[Column35]],Table110461117[[#This Row],[Column17]],Table110461117[[#This Row],[Column8]]),"A")</f>
        <v>2.4166666666666665</v>
      </c>
      <c r="CG142" s="138"/>
      <c r="CH142" s="140">
        <f>IFERROR(AVERAGE('Review 1'!AX142,'Review 2'!AX142,'Review 3'!AX142,'Review 4'!AX142,'Reflection -1 '!AX142,'Reflection -2'!AX142,'Reflection -3'!AX142,'Reflection -4'!AX142),"A")</f>
        <v>2.25</v>
      </c>
      <c r="CI142" s="140">
        <f>IFERROR(AVERAGE('Review 1'!AY142,'Review 2'!AY142,'Review 3'!AY142,'Review 4'!AY142,'Reflection -1 '!AY142,'Reflection -2'!AY142,'Reflection -3'!AY142,'Reflection -4'!AY142,Capstone!AY143),"A")</f>
        <v>2.1111111111111112</v>
      </c>
      <c r="CJ142" s="140">
        <f>IFERROR(AVERAGE('Review 1'!AZ142,'Review 2'!AZ142,'Review 3'!AZ142,'Review 4'!AZ142,'Reflection -1 '!AZ142,'Reflection -2'!AZ142,'Reflection -3'!AZ142,'Reflection -4'!AZ142),"A")</f>
        <v>2.25</v>
      </c>
    </row>
    <row r="143" spans="1:88" s="122" customFormat="1" ht="23.1" customHeight="1" x14ac:dyDescent="0.3">
      <c r="A143" s="137">
        <v>141</v>
      </c>
      <c r="B143" s="62" t="s">
        <v>269</v>
      </c>
      <c r="C143" s="62" t="s">
        <v>270</v>
      </c>
      <c r="D143" s="62" t="s">
        <v>450</v>
      </c>
      <c r="E143" s="62" t="s">
        <v>161</v>
      </c>
      <c r="F143" s="139"/>
      <c r="G143" s="139">
        <f>'Review 1'!Q143</f>
        <v>3</v>
      </c>
      <c r="H143" s="139">
        <f>'Review 1'!W143</f>
        <v>3</v>
      </c>
      <c r="I143" s="139">
        <f>'Review 1'!AC143</f>
        <v>3</v>
      </c>
      <c r="J143" s="139">
        <f>'Review 1'!AI143</f>
        <v>3</v>
      </c>
      <c r="K143" s="139"/>
      <c r="L143" s="139">
        <f>'Review 1'!AU143</f>
        <v>3</v>
      </c>
      <c r="M143" s="138"/>
      <c r="N143" s="139"/>
      <c r="O143" s="139">
        <f>'Review 2'!Q143</f>
        <v>3</v>
      </c>
      <c r="P143" s="139">
        <f>'Review 2'!W143</f>
        <v>3</v>
      </c>
      <c r="Q143" s="139">
        <f>'Review 2'!AC143</f>
        <v>3</v>
      </c>
      <c r="R143" s="139">
        <f>'Review 2'!AI143</f>
        <v>3</v>
      </c>
      <c r="S143" s="139"/>
      <c r="T143" s="139">
        <f>'Review 2'!AU143</f>
        <v>3</v>
      </c>
      <c r="U143" s="138"/>
      <c r="V143" s="62"/>
      <c r="W143" s="139">
        <f>'Review 3'!Q143</f>
        <v>3</v>
      </c>
      <c r="X143" s="139">
        <f>'Review 3'!W143</f>
        <v>3.6666666666666665</v>
      </c>
      <c r="Y143" s="139">
        <f>'Review 3'!AC143</f>
        <v>3</v>
      </c>
      <c r="Z143" s="139">
        <f>'Review 3'!AI143</f>
        <v>2.5</v>
      </c>
      <c r="AA143" s="62"/>
      <c r="AB143" s="139">
        <f>'Review 3'!AU143</f>
        <v>3.3333333333333335</v>
      </c>
      <c r="AC143" s="138"/>
      <c r="AD143" s="62"/>
      <c r="AE143" s="139">
        <f>'Review 4'!Q143</f>
        <v>0</v>
      </c>
      <c r="AF143" s="139">
        <f>'Review 4'!W143</f>
        <v>0</v>
      </c>
      <c r="AG143" s="139">
        <f>'Review 4'!AC143</f>
        <v>0</v>
      </c>
      <c r="AH143" s="139">
        <f>'Review 4'!AI143</f>
        <v>0</v>
      </c>
      <c r="AI143" s="139"/>
      <c r="AJ143" s="139">
        <f>'Review 4'!AU143</f>
        <v>0</v>
      </c>
      <c r="AK143" s="138"/>
      <c r="AL143" s="62"/>
      <c r="AM143" s="139">
        <f>'Reflection -1 '!Q143</f>
        <v>2.6666666666666665</v>
      </c>
      <c r="AN143" s="62"/>
      <c r="AO143" s="62"/>
      <c r="AP143" s="62"/>
      <c r="AQ143" s="62"/>
      <c r="AR143" s="62"/>
      <c r="AS143" s="138"/>
      <c r="AT143" s="62"/>
      <c r="AU143" s="139">
        <f>'Reflection -2'!Q143</f>
        <v>3.6666666666666665</v>
      </c>
      <c r="AV143" s="62"/>
      <c r="AW143" s="62"/>
      <c r="AX143" s="62"/>
      <c r="AY143" s="139"/>
      <c r="AZ143" s="62"/>
      <c r="BA143" s="138"/>
      <c r="BB143" s="139"/>
      <c r="BC143" s="139">
        <f>'Reflection -3'!Q143</f>
        <v>4</v>
      </c>
      <c r="BD143" s="139"/>
      <c r="BE143" s="139"/>
      <c r="BF143" s="139"/>
      <c r="BG143" s="139"/>
      <c r="BH143" s="139"/>
      <c r="BI143" s="138"/>
      <c r="BJ143" s="139"/>
      <c r="BK143" s="139">
        <f>'Reflection -3'!Q143</f>
        <v>4</v>
      </c>
      <c r="BL143" s="62"/>
      <c r="BM143" s="139"/>
      <c r="BN143" s="62"/>
      <c r="BO143" s="139"/>
      <c r="BP143" s="139"/>
      <c r="BQ143" s="138"/>
      <c r="BR143" s="139"/>
      <c r="BS143" s="139">
        <f>Capstone!Q144</f>
        <v>4</v>
      </c>
      <c r="BT143" s="139">
        <f>Capstone!W144</f>
        <v>4</v>
      </c>
      <c r="BU143" s="139">
        <f>Capstone!AC144</f>
        <v>4</v>
      </c>
      <c r="BV143" s="139">
        <f>Capstone!AI144</f>
        <v>0</v>
      </c>
      <c r="BW143" s="139">
        <f>Capstone!AO144</f>
        <v>3.5</v>
      </c>
      <c r="BX143" s="139">
        <f>Capstone!AU144</f>
        <v>4</v>
      </c>
      <c r="BY143" s="138"/>
      <c r="BZ143" s="139"/>
      <c r="CA14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2.9166666666666665</v>
      </c>
      <c r="CB143" s="139">
        <f>IFERROR(AVERAGE(Table110461117[[#This Row],[Column31]],Table110461117[[#This Row],[Column13]],Table110461117[[#This Row],[Column4]],Table110461117[[#This Row],[Column22]],),"A")</f>
        <v>1.9333333333333331</v>
      </c>
      <c r="CC143" s="139">
        <f>IFERROR(AVERAGE(Table110461117[[#This Row],[Column5]],Table110461117[[#This Row],[Column14]],Table110461117[[#This Row],[Column23]],Table110461117[[#This Row],[Column32]]),"A")</f>
        <v>2.25</v>
      </c>
      <c r="CD143" s="139">
        <f>IFERROR(AVERAGE(Table110461117[[#This Row],[Column6]],Table110461117[[#This Row],[Column15]],Table110461117[[#This Row],[Column24]],Table110461117[[#This Row],[Column33]]),"A")</f>
        <v>2.125</v>
      </c>
      <c r="CE143" s="139"/>
      <c r="CF143" s="139">
        <f>IFERROR(AVERAGE(Table110461117[[#This Row],[Column26]],Table110461117[[#This Row],[Column35]],Table110461117[[#This Row],[Column17]],Table110461117[[#This Row],[Column8]]),"A")</f>
        <v>2.3333333333333335</v>
      </c>
      <c r="CG143" s="138"/>
      <c r="CH143" s="139">
        <f>IFERROR(AVERAGE('Review 1'!AX143,'Review 2'!AX143,'Review 3'!AX143,'Review 4'!AX143,'Reflection -1 '!AX143,'Reflection -2'!AX143,'Reflection -3'!AX143,'Reflection -4'!AX143),"A")</f>
        <v>3</v>
      </c>
      <c r="CI143" s="139">
        <f>IFERROR(AVERAGE('Review 1'!AY143,'Review 2'!AY143,'Review 3'!AY143,'Review 4'!AY143,'Reflection -1 '!AY143,'Reflection -2'!AY143,'Reflection -3'!AY143,'Reflection -4'!AY143,Capstone!AY144),"A")</f>
        <v>1.1111111111111112</v>
      </c>
      <c r="CJ143" s="139">
        <f>IFERROR(AVERAGE('Review 1'!AZ143,'Review 2'!AZ143,'Review 3'!AZ143,'Review 4'!AZ143,'Reflection -1 '!AZ143,'Reflection -2'!AZ143,'Reflection -3'!AZ143,'Reflection -4'!AZ143),"A")</f>
        <v>1.75</v>
      </c>
    </row>
    <row r="144" spans="1:88" s="122" customFormat="1" ht="23.1" customHeight="1" x14ac:dyDescent="0.3">
      <c r="A144" s="6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140"/>
      <c r="G144" s="140">
        <f>'Review 1'!Q144</f>
        <v>3</v>
      </c>
      <c r="H144" s="140">
        <f>'Review 1'!W144</f>
        <v>3</v>
      </c>
      <c r="I144" s="140">
        <f>'Review 1'!AC144</f>
        <v>3</v>
      </c>
      <c r="J144" s="140">
        <f>'Review 1'!AI144</f>
        <v>3</v>
      </c>
      <c r="K144" s="140"/>
      <c r="L144" s="140">
        <f>'Review 1'!AU144</f>
        <v>3</v>
      </c>
      <c r="M144" s="138"/>
      <c r="N144" s="140"/>
      <c r="O144" s="140">
        <f>'Review 2'!Q144</f>
        <v>3</v>
      </c>
      <c r="P144" s="140">
        <f>'Review 2'!W144</f>
        <v>3</v>
      </c>
      <c r="Q144" s="140">
        <f>'Review 2'!AC144</f>
        <v>3</v>
      </c>
      <c r="R144" s="140">
        <f>'Review 2'!AI144</f>
        <v>3</v>
      </c>
      <c r="S144" s="140"/>
      <c r="T144" s="140">
        <f>'Review 2'!AU144</f>
        <v>3</v>
      </c>
      <c r="U144" s="138"/>
      <c r="V144" s="7"/>
      <c r="W144" s="140">
        <f>'Review 3'!Q144</f>
        <v>2.8</v>
      </c>
      <c r="X144" s="140">
        <f>'Review 3'!W144</f>
        <v>0</v>
      </c>
      <c r="Y144" s="140">
        <f>'Review 3'!AC144</f>
        <v>3</v>
      </c>
      <c r="Z144" s="140">
        <f>'Review 3'!AI144</f>
        <v>0</v>
      </c>
      <c r="AA144" s="7"/>
      <c r="AB144" s="140">
        <f>'Review 3'!AU144</f>
        <v>2</v>
      </c>
      <c r="AC144" s="138"/>
      <c r="AD144" s="7"/>
      <c r="AE144" s="140">
        <f>'Review 4'!Q144</f>
        <v>2.2000000000000002</v>
      </c>
      <c r="AF144" s="140">
        <f>'Review 4'!W144</f>
        <v>3</v>
      </c>
      <c r="AG144" s="140">
        <f>'Review 4'!AC144</f>
        <v>2.5</v>
      </c>
      <c r="AH144" s="140">
        <f>'Review 4'!AI144</f>
        <v>5</v>
      </c>
      <c r="AI144" s="140"/>
      <c r="AJ144" s="140">
        <f>'Review 4'!AU144</f>
        <v>3.3333333333333335</v>
      </c>
      <c r="AK144" s="138"/>
      <c r="AL144" s="7"/>
      <c r="AM144" s="140">
        <f>'Reflection -1 '!Q144</f>
        <v>0</v>
      </c>
      <c r="AN144" s="7"/>
      <c r="AO144" s="7"/>
      <c r="AP144" s="7"/>
      <c r="AQ144" s="7"/>
      <c r="AR144" s="7"/>
      <c r="AS144" s="138"/>
      <c r="AT144" s="7"/>
      <c r="AU144" s="140">
        <f>'Reflection -2'!Q144</f>
        <v>3.3333333333333335</v>
      </c>
      <c r="AV144" s="7"/>
      <c r="AW144" s="7"/>
      <c r="AX144" s="7"/>
      <c r="AY144" s="140"/>
      <c r="AZ144" s="7"/>
      <c r="BA144" s="138"/>
      <c r="BB144" s="140"/>
      <c r="BC144" s="140">
        <f>'Reflection -3'!Q144</f>
        <v>0</v>
      </c>
      <c r="BD144" s="140"/>
      <c r="BE144" s="140"/>
      <c r="BF144" s="140"/>
      <c r="BG144" s="140"/>
      <c r="BH144" s="140"/>
      <c r="BI144" s="138"/>
      <c r="BJ144" s="140"/>
      <c r="BK144" s="140">
        <f>'Reflection -3'!Q144</f>
        <v>0</v>
      </c>
      <c r="BL144" s="7"/>
      <c r="BM144" s="140"/>
      <c r="BN144" s="7"/>
      <c r="BO144" s="140"/>
      <c r="BP144" s="140"/>
      <c r="BQ144" s="138"/>
      <c r="BR144" s="140"/>
      <c r="BS144" s="140">
        <f>Capstone!Q145</f>
        <v>4</v>
      </c>
      <c r="BT144" s="140">
        <f>Capstone!W145</f>
        <v>4</v>
      </c>
      <c r="BU144" s="140">
        <f>Capstone!AC145</f>
        <v>4</v>
      </c>
      <c r="BV144" s="140">
        <f>Capstone!AI145</f>
        <v>4</v>
      </c>
      <c r="BW144" s="140">
        <f>Capstone!AO145</f>
        <v>3</v>
      </c>
      <c r="BX144" s="140">
        <f>Capstone!AU145</f>
        <v>3</v>
      </c>
      <c r="BY144" s="138"/>
      <c r="BZ144" s="140"/>
      <c r="CA14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1.7916666666666665</v>
      </c>
      <c r="CB144" s="140">
        <f>IFERROR(AVERAGE(Table110461117[[#This Row],[Column31]],Table110461117[[#This Row],[Column13]],Table110461117[[#This Row],[Column4]],Table110461117[[#This Row],[Column22]],),"A")</f>
        <v>1.8</v>
      </c>
      <c r="CC144" s="140">
        <f>IFERROR(AVERAGE(Table110461117[[#This Row],[Column5]],Table110461117[[#This Row],[Column14]],Table110461117[[#This Row],[Column23]],Table110461117[[#This Row],[Column32]]),"A")</f>
        <v>2.875</v>
      </c>
      <c r="CD144" s="140">
        <f>IFERROR(AVERAGE(Table110461117[[#This Row],[Column6]],Table110461117[[#This Row],[Column15]],Table110461117[[#This Row],[Column24]],Table110461117[[#This Row],[Column33]]),"A")</f>
        <v>2.75</v>
      </c>
      <c r="CE144" s="140"/>
      <c r="CF144" s="140">
        <f>IFERROR(AVERAGE(Table110461117[[#This Row],[Column26]],Table110461117[[#This Row],[Column35]],Table110461117[[#This Row],[Column17]],Table110461117[[#This Row],[Column8]]),"A")</f>
        <v>2.8333333333333335</v>
      </c>
      <c r="CG144" s="138"/>
      <c r="CH144" s="140">
        <f>IFERROR(AVERAGE('Review 1'!AX144,'Review 2'!AX144,'Review 3'!AX144,'Review 4'!AX144,'Reflection -1 '!AX144,'Reflection -2'!AX144,'Reflection -3'!AX144,'Reflection -4'!AX144),"A")</f>
        <v>3</v>
      </c>
      <c r="CI144" s="140">
        <f>IFERROR(AVERAGE('Review 1'!AY144,'Review 2'!AY144,'Review 3'!AY144,'Review 4'!AY144,'Reflection -1 '!AY144,'Reflection -2'!AY144,'Reflection -3'!AY144,'Reflection -4'!AY144,Capstone!AY145),"A")</f>
        <v>1.5555555555555556</v>
      </c>
      <c r="CJ144" s="140">
        <f>IFERROR(AVERAGE('Review 1'!AZ144,'Review 2'!AZ144,'Review 3'!AZ144,'Review 4'!AZ144,'Reflection -1 '!AZ144,'Reflection -2'!AZ144,'Reflection -3'!AZ144,'Reflection -4'!AZ144),"A")</f>
        <v>1.5</v>
      </c>
    </row>
    <row r="145" spans="1:88" s="122" customFormat="1" ht="23.1" customHeight="1" x14ac:dyDescent="0.3">
      <c r="A145" s="137">
        <v>143</v>
      </c>
      <c r="B145" s="62" t="s">
        <v>283</v>
      </c>
      <c r="C145" s="62" t="s">
        <v>284</v>
      </c>
      <c r="D145" s="62" t="s">
        <v>450</v>
      </c>
      <c r="E145" s="62" t="s">
        <v>161</v>
      </c>
      <c r="F145" s="139"/>
      <c r="G145" s="139">
        <f>'Review 1'!Q145</f>
        <v>2</v>
      </c>
      <c r="H145" s="139">
        <f>'Review 1'!W145</f>
        <v>2</v>
      </c>
      <c r="I145" s="139">
        <f>'Review 1'!AC145</f>
        <v>2</v>
      </c>
      <c r="J145" s="139">
        <f>'Review 1'!AI145</f>
        <v>2</v>
      </c>
      <c r="K145" s="139"/>
      <c r="L145" s="139">
        <f>'Review 1'!AU145</f>
        <v>2</v>
      </c>
      <c r="M145" s="138"/>
      <c r="N145" s="139"/>
      <c r="O145" s="139">
        <f>'Review 2'!Q145</f>
        <v>2</v>
      </c>
      <c r="P145" s="139">
        <f>'Review 2'!W145</f>
        <v>2</v>
      </c>
      <c r="Q145" s="139">
        <f>'Review 2'!AC145</f>
        <v>2</v>
      </c>
      <c r="R145" s="139">
        <f>'Review 2'!AI145</f>
        <v>2</v>
      </c>
      <c r="S145" s="139"/>
      <c r="T145" s="139">
        <f>'Review 2'!AU145</f>
        <v>2</v>
      </c>
      <c r="U145" s="138"/>
      <c r="V145" s="62"/>
      <c r="W145" s="139">
        <f>'Review 3'!Q145</f>
        <v>2.6</v>
      </c>
      <c r="X145" s="139">
        <f>'Review 3'!W145</f>
        <v>0</v>
      </c>
      <c r="Y145" s="139">
        <f>'Review 3'!AC145</f>
        <v>2</v>
      </c>
      <c r="Z145" s="139">
        <f>'Review 3'!AI145</f>
        <v>0</v>
      </c>
      <c r="AA145" s="62"/>
      <c r="AB145" s="139">
        <f>'Review 3'!AU145</f>
        <v>1.6666666666666667</v>
      </c>
      <c r="AC145" s="138"/>
      <c r="AD145" s="62"/>
      <c r="AE145" s="139">
        <f>'Review 4'!Q145</f>
        <v>2.4</v>
      </c>
      <c r="AF145" s="139">
        <f>'Review 4'!W145</f>
        <v>3</v>
      </c>
      <c r="AG145" s="139">
        <f>'Review 4'!AC145</f>
        <v>2.5</v>
      </c>
      <c r="AH145" s="139">
        <f>'Review 4'!AI145</f>
        <v>5</v>
      </c>
      <c r="AI145" s="139"/>
      <c r="AJ145" s="139">
        <f>'Review 4'!AU145</f>
        <v>2</v>
      </c>
      <c r="AK145" s="138"/>
      <c r="AL145" s="62"/>
      <c r="AM145" s="139">
        <f>'Reflection -1 '!Q145</f>
        <v>3.3333333333333335</v>
      </c>
      <c r="AN145" s="62"/>
      <c r="AO145" s="62"/>
      <c r="AP145" s="62"/>
      <c r="AQ145" s="62"/>
      <c r="AR145" s="62"/>
      <c r="AS145" s="138"/>
      <c r="AT145" s="62"/>
      <c r="AU145" s="139">
        <f>'Reflection -2'!Q145</f>
        <v>2.6666666666666665</v>
      </c>
      <c r="AV145" s="62"/>
      <c r="AW145" s="62"/>
      <c r="AX145" s="62"/>
      <c r="AY145" s="139"/>
      <c r="AZ145" s="62"/>
      <c r="BA145" s="138"/>
      <c r="BB145" s="139"/>
      <c r="BC145" s="139">
        <f>'Reflection -3'!Q145</f>
        <v>2.6666666666666665</v>
      </c>
      <c r="BD145" s="139"/>
      <c r="BE145" s="139"/>
      <c r="BF145" s="139"/>
      <c r="BG145" s="139"/>
      <c r="BH145" s="139"/>
      <c r="BI145" s="138"/>
      <c r="BJ145" s="139"/>
      <c r="BK145" s="139">
        <f>'Reflection -3'!Q145</f>
        <v>2.6666666666666665</v>
      </c>
      <c r="BL145" s="62"/>
      <c r="BM145" s="139"/>
      <c r="BN145" s="62"/>
      <c r="BO145" s="139"/>
      <c r="BP145" s="139"/>
      <c r="BQ145" s="138"/>
      <c r="BR145" s="139"/>
      <c r="BS145" s="139">
        <f>Capstone!Q146</f>
        <v>3</v>
      </c>
      <c r="BT145" s="139">
        <f>Capstone!W146</f>
        <v>5</v>
      </c>
      <c r="BU145" s="139">
        <f>Capstone!AC146</f>
        <v>5</v>
      </c>
      <c r="BV145" s="139">
        <f>Capstone!AI146</f>
        <v>4</v>
      </c>
      <c r="BW145" s="139">
        <f>Capstone!AO146</f>
        <v>5</v>
      </c>
      <c r="BX145" s="139">
        <f>Capstone!AU146</f>
        <v>5</v>
      </c>
      <c r="BY145" s="138"/>
      <c r="BZ145" s="139"/>
      <c r="CA14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2.541666666666667</v>
      </c>
      <c r="CB145" s="139">
        <f>IFERROR(AVERAGE(Table110461117[[#This Row],[Column31]],Table110461117[[#This Row],[Column13]],Table110461117[[#This Row],[Column4]],Table110461117[[#This Row],[Column22]],),"A")</f>
        <v>1.4</v>
      </c>
      <c r="CC145" s="139">
        <f>IFERROR(AVERAGE(Table110461117[[#This Row],[Column5]],Table110461117[[#This Row],[Column14]],Table110461117[[#This Row],[Column23]],Table110461117[[#This Row],[Column32]]),"A")</f>
        <v>2.125</v>
      </c>
      <c r="CD145" s="139">
        <f>IFERROR(AVERAGE(Table110461117[[#This Row],[Column6]],Table110461117[[#This Row],[Column15]],Table110461117[[#This Row],[Column24]],Table110461117[[#This Row],[Column33]]),"A")</f>
        <v>2.25</v>
      </c>
      <c r="CE145" s="139"/>
      <c r="CF145" s="139">
        <f>IFERROR(AVERAGE(Table110461117[[#This Row],[Column26]],Table110461117[[#This Row],[Column35]],Table110461117[[#This Row],[Column17]],Table110461117[[#This Row],[Column8]]),"A")</f>
        <v>1.9166666666666667</v>
      </c>
      <c r="CG145" s="138"/>
      <c r="CH145" s="139">
        <f>IFERROR(AVERAGE('Review 1'!AX145,'Review 2'!AX145,'Review 3'!AX145,'Review 4'!AX145,'Reflection -1 '!AX145,'Reflection -2'!AX145,'Reflection -3'!AX145,'Reflection -4'!AX145),"A")</f>
        <v>3.25</v>
      </c>
      <c r="CI145" s="139">
        <f>IFERROR(AVERAGE('Review 1'!AY145,'Review 2'!AY145,'Review 3'!AY145,'Review 4'!AY145,'Reflection -1 '!AY145,'Reflection -2'!AY145,'Reflection -3'!AY145,'Reflection -4'!AY145,Capstone!AY146),"A")</f>
        <v>1.4444444444444444</v>
      </c>
      <c r="CJ145" s="139">
        <f>IFERROR(AVERAGE('Review 1'!AZ145,'Review 2'!AZ145,'Review 3'!AZ145,'Review 4'!AZ145,'Reflection -1 '!AZ145,'Reflection -2'!AZ145,'Reflection -3'!AZ145,'Reflection -4'!AZ145),"A")</f>
        <v>1.625</v>
      </c>
    </row>
    <row r="146" spans="1:88" s="122" customFormat="1" ht="23.1" customHeight="1" x14ac:dyDescent="0.3">
      <c r="A146" s="6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140"/>
      <c r="G146" s="140">
        <f>'Review 1'!Q146</f>
        <v>3</v>
      </c>
      <c r="H146" s="140">
        <f>'Review 1'!W146</f>
        <v>3</v>
      </c>
      <c r="I146" s="140">
        <f>'Review 1'!AC146</f>
        <v>3</v>
      </c>
      <c r="J146" s="140">
        <f>'Review 1'!AI146</f>
        <v>3</v>
      </c>
      <c r="K146" s="140"/>
      <c r="L146" s="140">
        <f>'Review 1'!AU146</f>
        <v>3</v>
      </c>
      <c r="M146" s="138"/>
      <c r="N146" s="140"/>
      <c r="O146" s="140">
        <f>'Review 2'!Q146</f>
        <v>3</v>
      </c>
      <c r="P146" s="140">
        <f>'Review 2'!W146</f>
        <v>3</v>
      </c>
      <c r="Q146" s="140">
        <f>'Review 2'!AC146</f>
        <v>3</v>
      </c>
      <c r="R146" s="140">
        <f>'Review 2'!AI146</f>
        <v>3</v>
      </c>
      <c r="S146" s="140"/>
      <c r="T146" s="140">
        <f>'Review 2'!AU146</f>
        <v>3</v>
      </c>
      <c r="U146" s="138"/>
      <c r="V146" s="7"/>
      <c r="W146" s="140">
        <f>'Review 3'!Q146</f>
        <v>3</v>
      </c>
      <c r="X146" s="140">
        <f>'Review 3'!W146</f>
        <v>2.6666666666666665</v>
      </c>
      <c r="Y146" s="140">
        <f>'Review 3'!AC146</f>
        <v>3</v>
      </c>
      <c r="Z146" s="140">
        <f>'Review 3'!AI146</f>
        <v>3</v>
      </c>
      <c r="AA146" s="7"/>
      <c r="AB146" s="140">
        <f>'Review 3'!AU146</f>
        <v>3</v>
      </c>
      <c r="AC146" s="138"/>
      <c r="AD146" s="7"/>
      <c r="AE146" s="140">
        <f>'Review 4'!Q146</f>
        <v>2.8</v>
      </c>
      <c r="AF146" s="140">
        <f>'Review 4'!W146</f>
        <v>3</v>
      </c>
      <c r="AG146" s="140">
        <f>'Review 4'!AC146</f>
        <v>4.5</v>
      </c>
      <c r="AH146" s="140">
        <f>'Review 4'!AI146</f>
        <v>5</v>
      </c>
      <c r="AI146" s="140"/>
      <c r="AJ146" s="140">
        <f>'Review 4'!AU146</f>
        <v>4.333333333333333</v>
      </c>
      <c r="AK146" s="138"/>
      <c r="AL146" s="7"/>
      <c r="AM146" s="140">
        <f>'Reflection -1 '!Q146</f>
        <v>3.6666666666666665</v>
      </c>
      <c r="AN146" s="7"/>
      <c r="AO146" s="7"/>
      <c r="AP146" s="7"/>
      <c r="AQ146" s="7"/>
      <c r="AR146" s="7"/>
      <c r="AS146" s="138"/>
      <c r="AT146" s="7"/>
      <c r="AU146" s="140">
        <f>'Reflection -2'!Q146</f>
        <v>4</v>
      </c>
      <c r="AV146" s="7"/>
      <c r="AW146" s="7"/>
      <c r="AX146" s="7"/>
      <c r="AY146" s="140"/>
      <c r="AZ146" s="7"/>
      <c r="BA146" s="138"/>
      <c r="BB146" s="140"/>
      <c r="BC146" s="140">
        <f>'Reflection -3'!Q146</f>
        <v>4</v>
      </c>
      <c r="BD146" s="140"/>
      <c r="BE146" s="140"/>
      <c r="BF146" s="140"/>
      <c r="BG146" s="140"/>
      <c r="BH146" s="140"/>
      <c r="BI146" s="138"/>
      <c r="BJ146" s="140"/>
      <c r="BK146" s="140">
        <f>'Reflection -3'!Q146</f>
        <v>4</v>
      </c>
      <c r="BL146" s="7"/>
      <c r="BM146" s="140"/>
      <c r="BN146" s="7"/>
      <c r="BO146" s="140"/>
      <c r="BP146" s="140"/>
      <c r="BQ146" s="138"/>
      <c r="BR146" s="140"/>
      <c r="BS146" s="140">
        <f>Capstone!Q147</f>
        <v>3.6666666666666665</v>
      </c>
      <c r="BT146" s="140">
        <f>Capstone!W147</f>
        <v>4</v>
      </c>
      <c r="BU146" s="140">
        <f>Capstone!AC147</f>
        <v>4</v>
      </c>
      <c r="BV146" s="140">
        <f>Capstone!AI147</f>
        <v>4</v>
      </c>
      <c r="BW146" s="140">
        <f>Capstone!AO147</f>
        <v>3</v>
      </c>
      <c r="BX146" s="140">
        <f>Capstone!AU147</f>
        <v>3.5</v>
      </c>
      <c r="BY146" s="138"/>
      <c r="BZ146" s="140"/>
      <c r="CA14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3.4333333333333331</v>
      </c>
      <c r="CB146" s="140">
        <f>IFERROR(AVERAGE(Table110461117[[#This Row],[Column31]],Table110461117[[#This Row],[Column13]],Table110461117[[#This Row],[Column4]],Table110461117[[#This Row],[Column22]],),"A")</f>
        <v>2.333333333333333</v>
      </c>
      <c r="CC146" s="140">
        <f>IFERROR(AVERAGE(Table110461117[[#This Row],[Column5]],Table110461117[[#This Row],[Column14]],Table110461117[[#This Row],[Column23]],Table110461117[[#This Row],[Column32]]),"A")</f>
        <v>3.375</v>
      </c>
      <c r="CD146" s="140">
        <f>IFERROR(AVERAGE(Table110461117[[#This Row],[Column6]],Table110461117[[#This Row],[Column15]],Table110461117[[#This Row],[Column24]],Table110461117[[#This Row],[Column33]]),"A")</f>
        <v>3.5</v>
      </c>
      <c r="CE146" s="140"/>
      <c r="CF146" s="140">
        <f>IFERROR(AVERAGE(Table110461117[[#This Row],[Column26]],Table110461117[[#This Row],[Column35]],Table110461117[[#This Row],[Column17]],Table110461117[[#This Row],[Column8]]),"A")</f>
        <v>3.333333333333333</v>
      </c>
      <c r="CG146" s="138"/>
      <c r="CH146" s="140">
        <f>IFERROR(AVERAGE('Review 1'!AX146,'Review 2'!AX146,'Review 3'!AX146,'Review 4'!AX146,'Reflection -1 '!AX146,'Reflection -2'!AX146,'Reflection -3'!AX146,'Reflection -4'!AX146),"A")</f>
        <v>4.25</v>
      </c>
      <c r="CI146" s="140">
        <f>IFERROR(AVERAGE('Review 1'!AY146,'Review 2'!AY146,'Review 3'!AY146,'Review 4'!AY146,'Reflection -1 '!AY146,'Reflection -2'!AY146,'Reflection -3'!AY146,'Reflection -4'!AY146,Capstone!AY147),"A")</f>
        <v>1.6111111111111112</v>
      </c>
      <c r="CJ146" s="140">
        <f>IFERROR(AVERAGE('Review 1'!AZ146,'Review 2'!AZ146,'Review 3'!AZ146,'Review 4'!AZ146,'Reflection -1 '!AZ146,'Reflection -2'!AZ146,'Reflection -3'!AZ146,'Reflection -4'!AZ146),"A")</f>
        <v>3.125</v>
      </c>
    </row>
    <row r="147" spans="1:88" s="122" customFormat="1" ht="23.1" customHeight="1" x14ac:dyDescent="0.3">
      <c r="A147" s="137">
        <v>145</v>
      </c>
      <c r="B147" s="62" t="s">
        <v>376</v>
      </c>
      <c r="C147" s="62" t="s">
        <v>377</v>
      </c>
      <c r="D147" s="62" t="s">
        <v>542</v>
      </c>
      <c r="E147" s="62" t="s">
        <v>493</v>
      </c>
      <c r="F147" s="139"/>
      <c r="G147" s="139">
        <f>'Review 1'!Q147</f>
        <v>2.4</v>
      </c>
      <c r="H147" s="139">
        <f>'Review 1'!W147</f>
        <v>2.3333333333333335</v>
      </c>
      <c r="I147" s="139">
        <f>'Review 1'!AC147</f>
        <v>2.5</v>
      </c>
      <c r="J147" s="139">
        <f>'Review 1'!AI147</f>
        <v>3</v>
      </c>
      <c r="K147" s="139"/>
      <c r="L147" s="139">
        <f>'Review 1'!AU147</f>
        <v>3</v>
      </c>
      <c r="M147" s="138"/>
      <c r="N147" s="139"/>
      <c r="O147" s="139">
        <f>'Review 2'!Q147</f>
        <v>3.6</v>
      </c>
      <c r="P147" s="139">
        <f>'Review 2'!W147</f>
        <v>3.6666666666666665</v>
      </c>
      <c r="Q147" s="139">
        <f>'Review 2'!AC147</f>
        <v>2.5</v>
      </c>
      <c r="R147" s="139">
        <f>'Review 2'!AI147</f>
        <v>1.5</v>
      </c>
      <c r="S147" s="139"/>
      <c r="T147" s="139">
        <f>'Review 2'!AU147</f>
        <v>2.3333333333333335</v>
      </c>
      <c r="U147" s="138"/>
      <c r="V147" s="62"/>
      <c r="W147" s="139">
        <f>'Review 3'!Q147</f>
        <v>2</v>
      </c>
      <c r="X147" s="139">
        <f>'Review 3'!W147</f>
        <v>2</v>
      </c>
      <c r="Y147" s="139">
        <f>'Review 3'!AC147</f>
        <v>2</v>
      </c>
      <c r="Z147" s="139">
        <f>'Review 3'!AI147</f>
        <v>2</v>
      </c>
      <c r="AA147" s="62"/>
      <c r="AB147" s="139">
        <f>'Review 3'!AU147</f>
        <v>2</v>
      </c>
      <c r="AC147" s="138"/>
      <c r="AD147" s="62"/>
      <c r="AE147" s="139">
        <f>'Review 4'!Q147</f>
        <v>2.8</v>
      </c>
      <c r="AF147" s="139">
        <f>'Review 4'!W147</f>
        <v>3.6666666666666665</v>
      </c>
      <c r="AG147" s="139">
        <f>'Review 4'!AC147</f>
        <v>4</v>
      </c>
      <c r="AH147" s="139">
        <f>'Review 4'!AI147</f>
        <v>5</v>
      </c>
      <c r="AI147" s="139"/>
      <c r="AJ147" s="139">
        <f>'Review 4'!AU147</f>
        <v>4.333333333333333</v>
      </c>
      <c r="AK147" s="138"/>
      <c r="AL147" s="62"/>
      <c r="AM147" s="139">
        <f>'Reflection -1 '!Q147</f>
        <v>2.6666666666666665</v>
      </c>
      <c r="AN147" s="62"/>
      <c r="AO147" s="62"/>
      <c r="AP147" s="62"/>
      <c r="AQ147" s="62"/>
      <c r="AR147" s="62"/>
      <c r="AS147" s="138"/>
      <c r="AT147" s="62"/>
      <c r="AU147" s="139">
        <f>'Reflection -2'!Q147</f>
        <v>2</v>
      </c>
      <c r="AV147" s="62"/>
      <c r="AW147" s="62"/>
      <c r="AX147" s="62"/>
      <c r="AY147" s="139"/>
      <c r="AZ147" s="62"/>
      <c r="BA147" s="138"/>
      <c r="BB147" s="139"/>
      <c r="BC147" s="139">
        <f>'Reflection -3'!Q147</f>
        <v>2</v>
      </c>
      <c r="BD147" s="139"/>
      <c r="BE147" s="139"/>
      <c r="BF147" s="139"/>
      <c r="BG147" s="139"/>
      <c r="BH147" s="139"/>
      <c r="BI147" s="138"/>
      <c r="BJ147" s="139"/>
      <c r="BK147" s="139">
        <f>'Reflection -3'!Q147</f>
        <v>2</v>
      </c>
      <c r="BL147" s="62"/>
      <c r="BM147" s="139"/>
      <c r="BN147" s="62"/>
      <c r="BO147" s="139"/>
      <c r="BP147" s="139"/>
      <c r="BQ147" s="138"/>
      <c r="BR147" s="139"/>
      <c r="BS147" s="139">
        <f>Capstone!Q148</f>
        <v>4</v>
      </c>
      <c r="BT147" s="139">
        <f>Capstone!W148</f>
        <v>4</v>
      </c>
      <c r="BU147" s="139">
        <f>Capstone!AC148</f>
        <v>4</v>
      </c>
      <c r="BV147" s="139">
        <f>Capstone!AI148</f>
        <v>4</v>
      </c>
      <c r="BW147" s="139">
        <f>Capstone!AO148</f>
        <v>3</v>
      </c>
      <c r="BX147" s="139">
        <f>Capstone!AU148</f>
        <v>4</v>
      </c>
      <c r="BY147" s="138"/>
      <c r="BZ147" s="139"/>
      <c r="CA14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2.4333333333333336</v>
      </c>
      <c r="CB147" s="139">
        <f>IFERROR(AVERAGE(Table110461117[[#This Row],[Column31]],Table110461117[[#This Row],[Column13]],Table110461117[[#This Row],[Column4]],Table110461117[[#This Row],[Column22]],),"A")</f>
        <v>2.333333333333333</v>
      </c>
      <c r="CC147" s="139">
        <f>IFERROR(AVERAGE(Table110461117[[#This Row],[Column5]],Table110461117[[#This Row],[Column14]],Table110461117[[#This Row],[Column23]],Table110461117[[#This Row],[Column32]]),"A")</f>
        <v>2.75</v>
      </c>
      <c r="CD147" s="139">
        <f>IFERROR(AVERAGE(Table110461117[[#This Row],[Column6]],Table110461117[[#This Row],[Column15]],Table110461117[[#This Row],[Column24]],Table110461117[[#This Row],[Column33]]),"A")</f>
        <v>2.875</v>
      </c>
      <c r="CE147" s="139"/>
      <c r="CF147" s="139">
        <f>IFERROR(AVERAGE(Table110461117[[#This Row],[Column26]],Table110461117[[#This Row],[Column35]],Table110461117[[#This Row],[Column17]],Table110461117[[#This Row],[Column8]]),"A")</f>
        <v>2.9166666666666665</v>
      </c>
      <c r="CG147" s="138"/>
      <c r="CH147" s="139">
        <f>IFERROR(AVERAGE('Review 1'!AX147,'Review 2'!AX147,'Review 3'!AX147,'Review 4'!AX147,'Reflection -1 '!AX147,'Reflection -2'!AX147,'Reflection -3'!AX147,'Reflection -4'!AX147),"A")</f>
        <v>2.875</v>
      </c>
      <c r="CI147" s="139">
        <f>IFERROR(AVERAGE('Review 1'!AY147,'Review 2'!AY147,'Review 3'!AY147,'Review 4'!AY147,'Reflection -1 '!AY147,'Reflection -2'!AY147,'Reflection -3'!AY147,'Reflection -4'!AY147,Capstone!AY148),"A")</f>
        <v>2.6666666666666665</v>
      </c>
      <c r="CJ147" s="139">
        <f>IFERROR(AVERAGE('Review 1'!AZ147,'Review 2'!AZ147,'Review 3'!AZ147,'Review 4'!AZ147,'Reflection -1 '!AZ147,'Reflection -2'!AZ147,'Reflection -3'!AZ147,'Reflection -4'!AZ147),"A")</f>
        <v>2.5</v>
      </c>
    </row>
    <row r="148" spans="1:88" s="122" customFormat="1" ht="23.1" customHeight="1" x14ac:dyDescent="0.3">
      <c r="A148" s="6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140"/>
      <c r="G148" s="140">
        <f>'Review 1'!Q148</f>
        <v>2.2000000000000002</v>
      </c>
      <c r="H148" s="140">
        <f>'Review 1'!W148</f>
        <v>2.6666666666666665</v>
      </c>
      <c r="I148" s="140">
        <f>'Review 1'!AC148</f>
        <v>2.5</v>
      </c>
      <c r="J148" s="140">
        <f>'Review 1'!AI148</f>
        <v>3</v>
      </c>
      <c r="K148" s="140"/>
      <c r="L148" s="140">
        <f>'Review 1'!AU148</f>
        <v>3</v>
      </c>
      <c r="M148" s="138"/>
      <c r="N148" s="140"/>
      <c r="O148" s="140">
        <f>'Review 2'!Q148</f>
        <v>3.8</v>
      </c>
      <c r="P148" s="140">
        <f>'Review 2'!W148</f>
        <v>3.3333333333333335</v>
      </c>
      <c r="Q148" s="140">
        <f>'Review 2'!AC148</f>
        <v>3.5</v>
      </c>
      <c r="R148" s="140">
        <f>'Review 2'!AI148</f>
        <v>1</v>
      </c>
      <c r="S148" s="140"/>
      <c r="T148" s="140">
        <f>'Review 2'!AU148</f>
        <v>2</v>
      </c>
      <c r="U148" s="138"/>
      <c r="V148" s="7"/>
      <c r="W148" s="140">
        <f>'Review 3'!Q148</f>
        <v>2</v>
      </c>
      <c r="X148" s="140">
        <f>'Review 3'!W148</f>
        <v>2</v>
      </c>
      <c r="Y148" s="140">
        <f>'Review 3'!AC148</f>
        <v>2</v>
      </c>
      <c r="Z148" s="140">
        <f>'Review 3'!AI148</f>
        <v>2</v>
      </c>
      <c r="AA148" s="7"/>
      <c r="AB148" s="140">
        <f>'Review 3'!AU148</f>
        <v>2</v>
      </c>
      <c r="AC148" s="138"/>
      <c r="AD148" s="7"/>
      <c r="AE148" s="140">
        <f>'Review 4'!Q148</f>
        <v>4</v>
      </c>
      <c r="AF148" s="140">
        <f>'Review 4'!W148</f>
        <v>2.3333333333333335</v>
      </c>
      <c r="AG148" s="140">
        <f>'Review 4'!AC148</f>
        <v>1.5</v>
      </c>
      <c r="AH148" s="140">
        <f>'Review 4'!AI148</f>
        <v>2</v>
      </c>
      <c r="AI148" s="140"/>
      <c r="AJ148" s="140">
        <f>'Review 4'!AU148</f>
        <v>1</v>
      </c>
      <c r="AK148" s="138"/>
      <c r="AL148" s="7"/>
      <c r="AM148" s="140">
        <f>'Reflection -1 '!Q148</f>
        <v>3</v>
      </c>
      <c r="AN148" s="7"/>
      <c r="AO148" s="7"/>
      <c r="AP148" s="7"/>
      <c r="AQ148" s="7"/>
      <c r="AR148" s="7"/>
      <c r="AS148" s="138"/>
      <c r="AT148" s="7"/>
      <c r="AU148" s="140">
        <f>'Reflection -2'!Q148</f>
        <v>1</v>
      </c>
      <c r="AV148" s="7"/>
      <c r="AW148" s="7"/>
      <c r="AX148" s="7"/>
      <c r="AY148" s="140"/>
      <c r="AZ148" s="7"/>
      <c r="BA148" s="138"/>
      <c r="BB148" s="140"/>
      <c r="BC148" s="140">
        <f>'Reflection -3'!Q148</f>
        <v>2</v>
      </c>
      <c r="BD148" s="140"/>
      <c r="BE148" s="140"/>
      <c r="BF148" s="140"/>
      <c r="BG148" s="140"/>
      <c r="BH148" s="140"/>
      <c r="BI148" s="138"/>
      <c r="BJ148" s="140"/>
      <c r="BK148" s="140">
        <f>'Reflection -3'!Q148</f>
        <v>2</v>
      </c>
      <c r="BL148" s="7"/>
      <c r="BM148" s="140"/>
      <c r="BN148" s="7"/>
      <c r="BO148" s="140"/>
      <c r="BP148" s="140"/>
      <c r="BQ148" s="138"/>
      <c r="BR148" s="140"/>
      <c r="BS148" s="140">
        <f>Capstone!Q149</f>
        <v>4.5</v>
      </c>
      <c r="BT148" s="140">
        <f>Capstone!W149</f>
        <v>4.5</v>
      </c>
      <c r="BU148" s="140">
        <f>Capstone!AC149</f>
        <v>4.5</v>
      </c>
      <c r="BV148" s="140">
        <f>Capstone!AI149</f>
        <v>3.5</v>
      </c>
      <c r="BW148" s="140">
        <f>Capstone!AO149</f>
        <v>4</v>
      </c>
      <c r="BX148" s="140">
        <f>Capstone!AU149</f>
        <v>4</v>
      </c>
      <c r="BY148" s="138"/>
      <c r="BZ148" s="140"/>
      <c r="CA14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</v>
      </c>
      <c r="CB148" s="140">
        <f>IFERROR(AVERAGE(Table110461117[[#This Row],[Column31]],Table110461117[[#This Row],[Column13]],Table110461117[[#This Row],[Column4]],Table110461117[[#This Row],[Column22]],),"A")</f>
        <v>2.0666666666666669</v>
      </c>
      <c r="CC148" s="140">
        <f>IFERROR(AVERAGE(Table110461117[[#This Row],[Column5]],Table110461117[[#This Row],[Column14]],Table110461117[[#This Row],[Column23]],Table110461117[[#This Row],[Column32]]),"A")</f>
        <v>2.375</v>
      </c>
      <c r="CD148" s="140">
        <f>IFERROR(AVERAGE(Table110461117[[#This Row],[Column6]],Table110461117[[#This Row],[Column15]],Table110461117[[#This Row],[Column24]],Table110461117[[#This Row],[Column33]]),"A")</f>
        <v>2</v>
      </c>
      <c r="CE148" s="140"/>
      <c r="CF148" s="140">
        <f>IFERROR(AVERAGE(Table110461117[[#This Row],[Column26]],Table110461117[[#This Row],[Column35]],Table110461117[[#This Row],[Column17]],Table110461117[[#This Row],[Column8]]),"A")</f>
        <v>2</v>
      </c>
      <c r="CG148" s="138"/>
      <c r="CH148" s="140">
        <f>IFERROR(AVERAGE('Review 1'!AX148,'Review 2'!AX148,'Review 3'!AX148,'Review 4'!AX148,'Reflection -1 '!AX148,'Reflection -2'!AX148,'Reflection -3'!AX148,'Reflection -4'!AX148),"A")</f>
        <v>2.75</v>
      </c>
      <c r="CI148" s="140">
        <f>IFERROR(AVERAGE('Review 1'!AY148,'Review 2'!AY148,'Review 3'!AY148,'Review 4'!AY148,'Reflection -1 '!AY148,'Reflection -2'!AY148,'Reflection -3'!AY148,'Reflection -4'!AY148,Capstone!AY149),"A")</f>
        <v>2.2222222222222223</v>
      </c>
      <c r="CJ148" s="140">
        <f>IFERROR(AVERAGE('Review 1'!AZ148,'Review 2'!AZ148,'Review 3'!AZ148,'Review 4'!AZ148,'Reflection -1 '!AZ148,'Reflection -2'!AZ148,'Reflection -3'!AZ148,'Reflection -4'!AZ148),"A")</f>
        <v>2.125</v>
      </c>
    </row>
    <row r="149" spans="1:88" s="122" customFormat="1" ht="23.1" customHeight="1" x14ac:dyDescent="0.3">
      <c r="A149" s="137">
        <v>147</v>
      </c>
      <c r="B149" s="62" t="s">
        <v>154</v>
      </c>
      <c r="C149" s="62" t="s">
        <v>155</v>
      </c>
      <c r="D149" s="62" t="s">
        <v>450</v>
      </c>
      <c r="E149" s="62" t="s">
        <v>35</v>
      </c>
      <c r="F149" s="139"/>
      <c r="G149" s="139">
        <f>'Review 1'!Q149</f>
        <v>3</v>
      </c>
      <c r="H149" s="139">
        <f>'Review 1'!W149</f>
        <v>3</v>
      </c>
      <c r="I149" s="139">
        <f>'Review 1'!AC149</f>
        <v>3</v>
      </c>
      <c r="J149" s="139">
        <f>'Review 1'!AI149</f>
        <v>2.5</v>
      </c>
      <c r="K149" s="139"/>
      <c r="L149" s="139">
        <f>'Review 1'!AU149</f>
        <v>1</v>
      </c>
      <c r="M149" s="138"/>
      <c r="N149" s="139"/>
      <c r="O149" s="139">
        <f>'Review 2'!Q149</f>
        <v>3</v>
      </c>
      <c r="P149" s="139">
        <f>'Review 2'!W149</f>
        <v>3</v>
      </c>
      <c r="Q149" s="139">
        <f>'Review 2'!AC149</f>
        <v>3</v>
      </c>
      <c r="R149" s="139">
        <f>'Review 2'!AI149</f>
        <v>2.5</v>
      </c>
      <c r="S149" s="139"/>
      <c r="T149" s="139">
        <f>'Review 2'!AU149</f>
        <v>1</v>
      </c>
      <c r="U149" s="138"/>
      <c r="V149" s="62"/>
      <c r="W149" s="139">
        <f>'Review 3'!Q149</f>
        <v>0.6</v>
      </c>
      <c r="X149" s="139">
        <f>'Review 3'!W149</f>
        <v>0</v>
      </c>
      <c r="Y149" s="139">
        <f>'Review 3'!AC149</f>
        <v>0</v>
      </c>
      <c r="Z149" s="139">
        <f>'Review 3'!AI149</f>
        <v>0</v>
      </c>
      <c r="AA149" s="62"/>
      <c r="AB149" s="139">
        <f>'Review 3'!AU149</f>
        <v>0</v>
      </c>
      <c r="AC149" s="138"/>
      <c r="AD149" s="62"/>
      <c r="AE149" s="139">
        <f>'Review 4'!Q149</f>
        <v>0</v>
      </c>
      <c r="AF149" s="139">
        <f>'Review 4'!W149</f>
        <v>0</v>
      </c>
      <c r="AG149" s="139">
        <f>'Review 4'!AC149</f>
        <v>0</v>
      </c>
      <c r="AH149" s="139">
        <f>'Review 4'!AI149</f>
        <v>0</v>
      </c>
      <c r="AI149" s="139"/>
      <c r="AJ149" s="139">
        <f>'Review 4'!AU149</f>
        <v>0</v>
      </c>
      <c r="AK149" s="138"/>
      <c r="AL149" s="62"/>
      <c r="AM149" s="139">
        <f>'Reflection -1 '!Q149</f>
        <v>4.666666666666667</v>
      </c>
      <c r="AN149" s="62"/>
      <c r="AO149" s="62"/>
      <c r="AP149" s="62"/>
      <c r="AQ149" s="62"/>
      <c r="AR149" s="62"/>
      <c r="AS149" s="138"/>
      <c r="AT149" s="62"/>
      <c r="AU149" s="139">
        <f>'Reflection -2'!Q149</f>
        <v>3.3333333333333335</v>
      </c>
      <c r="AV149" s="62"/>
      <c r="AW149" s="62"/>
      <c r="AX149" s="62"/>
      <c r="AY149" s="139"/>
      <c r="AZ149" s="62"/>
      <c r="BA149" s="138"/>
      <c r="BB149" s="139"/>
      <c r="BC149" s="139">
        <f>'Reflection -3'!Q149</f>
        <v>3.3333333333333335</v>
      </c>
      <c r="BD149" s="139"/>
      <c r="BE149" s="139"/>
      <c r="BF149" s="139"/>
      <c r="BG149" s="139"/>
      <c r="BH149" s="139"/>
      <c r="BI149" s="138"/>
      <c r="BJ149" s="139"/>
      <c r="BK149" s="139">
        <f>'Reflection -3'!Q149</f>
        <v>3.3333333333333335</v>
      </c>
      <c r="BL149" s="62"/>
      <c r="BM149" s="139"/>
      <c r="BN149" s="62"/>
      <c r="BO149" s="139"/>
      <c r="BP149" s="139"/>
      <c r="BQ149" s="138"/>
      <c r="BR149" s="139"/>
      <c r="BS149" s="139">
        <f>Capstone!Q150</f>
        <v>3</v>
      </c>
      <c r="BT149" s="139">
        <f>Capstone!W150</f>
        <v>3</v>
      </c>
      <c r="BU149" s="139">
        <f>Capstone!AC150</f>
        <v>3</v>
      </c>
      <c r="BV149" s="139">
        <f>Capstone!AI150</f>
        <v>4</v>
      </c>
      <c r="BW149" s="139">
        <f>Capstone!AO150</f>
        <v>3</v>
      </c>
      <c r="BX149" s="139">
        <f>Capstone!AU150</f>
        <v>3</v>
      </c>
      <c r="BY149" s="138"/>
      <c r="BZ149" s="139"/>
      <c r="CA14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2.6583333333333332</v>
      </c>
      <c r="CB149" s="139">
        <f>IFERROR(AVERAGE(Table110461117[[#This Row],[Column31]],Table110461117[[#This Row],[Column13]],Table110461117[[#This Row],[Column4]],Table110461117[[#This Row],[Column22]],),"A")</f>
        <v>1.2</v>
      </c>
      <c r="CC149" s="139">
        <f>IFERROR(AVERAGE(Table110461117[[#This Row],[Column5]],Table110461117[[#This Row],[Column14]],Table110461117[[#This Row],[Column23]],Table110461117[[#This Row],[Column32]]),"A")</f>
        <v>1.5</v>
      </c>
      <c r="CD149" s="139">
        <f>IFERROR(AVERAGE(Table110461117[[#This Row],[Column6]],Table110461117[[#This Row],[Column15]],Table110461117[[#This Row],[Column24]],Table110461117[[#This Row],[Column33]]),"A")</f>
        <v>1.25</v>
      </c>
      <c r="CE149" s="139"/>
      <c r="CF149" s="139">
        <f>IFERROR(AVERAGE(Table110461117[[#This Row],[Column26]],Table110461117[[#This Row],[Column35]],Table110461117[[#This Row],[Column17]],Table110461117[[#This Row],[Column8]]),"A")</f>
        <v>0.5</v>
      </c>
      <c r="CG149" s="138"/>
      <c r="CH149" s="139">
        <f>IFERROR(AVERAGE('Review 1'!AX149,'Review 2'!AX149,'Review 3'!AX149,'Review 4'!AX149,'Reflection -1 '!AX149,'Reflection -2'!AX149,'Reflection -3'!AX149,'Reflection -4'!AX149),"A")</f>
        <v>3.75</v>
      </c>
      <c r="CI149" s="139">
        <f>IFERROR(AVERAGE('Review 1'!AY149,'Review 2'!AY149,'Review 3'!AY149,'Review 4'!AY149,'Reflection -1 '!AY149,'Reflection -2'!AY149,'Reflection -3'!AY149,'Reflection -4'!AY149,Capstone!AY150),"A")</f>
        <v>0.66666666666666663</v>
      </c>
      <c r="CJ149" s="139">
        <f>IFERROR(AVERAGE('Review 1'!AZ149,'Review 2'!AZ149,'Review 3'!AZ149,'Review 4'!AZ149,'Reflection -1 '!AZ149,'Reflection -2'!AZ149,'Reflection -3'!AZ149,'Reflection -4'!AZ149),"A")</f>
        <v>2.125</v>
      </c>
    </row>
    <row r="150" spans="1:88" s="122" customFormat="1" ht="23.1" customHeight="1" x14ac:dyDescent="0.3">
      <c r="A150" s="6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140"/>
      <c r="G150" s="140">
        <f>'Review 1'!Q150</f>
        <v>3.8</v>
      </c>
      <c r="H150" s="140">
        <f>'Review 1'!W150</f>
        <v>3</v>
      </c>
      <c r="I150" s="140">
        <f>'Review 1'!AC150</f>
        <v>3</v>
      </c>
      <c r="J150" s="140">
        <f>'Review 1'!AI150</f>
        <v>3</v>
      </c>
      <c r="K150" s="140"/>
      <c r="L150" s="140">
        <f>'Review 1'!AU150</f>
        <v>3</v>
      </c>
      <c r="M150" s="138"/>
      <c r="N150" s="140"/>
      <c r="O150" s="140">
        <f>'Review 2'!Q150</f>
        <v>2.6</v>
      </c>
      <c r="P150" s="140">
        <f>'Review 2'!W150</f>
        <v>2.6666666666666665</v>
      </c>
      <c r="Q150" s="140">
        <f>'Review 2'!AC150</f>
        <v>3</v>
      </c>
      <c r="R150" s="140">
        <f>'Review 2'!AI150</f>
        <v>1.5</v>
      </c>
      <c r="S150" s="140"/>
      <c r="T150" s="140">
        <f>'Review 2'!AU150</f>
        <v>2.3333333333333335</v>
      </c>
      <c r="U150" s="138"/>
      <c r="V150" s="7"/>
      <c r="W150" s="140">
        <f>'Review 3'!Q150</f>
        <v>2</v>
      </c>
      <c r="X150" s="140">
        <f>'Review 3'!W150</f>
        <v>0</v>
      </c>
      <c r="Y150" s="140">
        <f>'Review 3'!AC150</f>
        <v>0</v>
      </c>
      <c r="Z150" s="140">
        <f>'Review 3'!AI150</f>
        <v>0</v>
      </c>
      <c r="AA150" s="7"/>
      <c r="AB150" s="140">
        <f>'Review 3'!AU150</f>
        <v>0</v>
      </c>
      <c r="AC150" s="138"/>
      <c r="AD150" s="7"/>
      <c r="AE150" s="140">
        <f>'Review 4'!Q150</f>
        <v>2.4</v>
      </c>
      <c r="AF150" s="140">
        <f>'Review 4'!W150</f>
        <v>4</v>
      </c>
      <c r="AG150" s="140">
        <f>'Review 4'!AC150</f>
        <v>3.5</v>
      </c>
      <c r="AH150" s="140">
        <f>'Review 4'!AI150</f>
        <v>5</v>
      </c>
      <c r="AI150" s="140"/>
      <c r="AJ150" s="140">
        <f>'Review 4'!AU150</f>
        <v>3.3333333333333335</v>
      </c>
      <c r="AK150" s="138"/>
      <c r="AL150" s="7"/>
      <c r="AM150" s="140">
        <f>'Reflection -1 '!Q150</f>
        <v>4</v>
      </c>
      <c r="AN150" s="7"/>
      <c r="AO150" s="7"/>
      <c r="AP150" s="7"/>
      <c r="AQ150" s="7"/>
      <c r="AR150" s="7"/>
      <c r="AS150" s="138"/>
      <c r="AT150" s="7"/>
      <c r="AU150" s="140">
        <f>'Reflection -2'!Q150</f>
        <v>3</v>
      </c>
      <c r="AV150" s="7"/>
      <c r="AW150" s="7"/>
      <c r="AX150" s="7"/>
      <c r="AY150" s="140"/>
      <c r="AZ150" s="7"/>
      <c r="BA150" s="138"/>
      <c r="BB150" s="140"/>
      <c r="BC150" s="140">
        <f>'Reflection -3'!Q150</f>
        <v>2.6666666666666665</v>
      </c>
      <c r="BD150" s="140"/>
      <c r="BE150" s="140"/>
      <c r="BF150" s="140"/>
      <c r="BG150" s="140"/>
      <c r="BH150" s="140"/>
      <c r="BI150" s="138"/>
      <c r="BJ150" s="140"/>
      <c r="BK150" s="140">
        <f>'Reflection -3'!Q150</f>
        <v>2.6666666666666665</v>
      </c>
      <c r="BL150" s="7"/>
      <c r="BM150" s="140"/>
      <c r="BN150" s="7"/>
      <c r="BO150" s="140"/>
      <c r="BP150" s="140"/>
      <c r="BQ150" s="138"/>
      <c r="BR150" s="140"/>
      <c r="BS150" s="140">
        <f>Capstone!Q151</f>
        <v>3</v>
      </c>
      <c r="BT150" s="140">
        <f>Capstone!W151</f>
        <v>3</v>
      </c>
      <c r="BU150" s="140">
        <f>Capstone!AC151</f>
        <v>3</v>
      </c>
      <c r="BV150" s="140">
        <f>Capstone!AI151</f>
        <v>3</v>
      </c>
      <c r="BW150" s="140">
        <f>Capstone!AO151</f>
        <v>3</v>
      </c>
      <c r="BX150" s="140">
        <f>Capstone!AU151</f>
        <v>3</v>
      </c>
      <c r="BY150" s="138"/>
      <c r="BZ150" s="140"/>
      <c r="CA15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2.8916666666666666</v>
      </c>
      <c r="CB150" s="140">
        <f>IFERROR(AVERAGE(Table110461117[[#This Row],[Column31]],Table110461117[[#This Row],[Column13]],Table110461117[[#This Row],[Column4]],Table110461117[[#This Row],[Column22]],),"A")</f>
        <v>1.9333333333333331</v>
      </c>
      <c r="CC150" s="140">
        <f>IFERROR(AVERAGE(Table110461117[[#This Row],[Column5]],Table110461117[[#This Row],[Column14]],Table110461117[[#This Row],[Column23]],Table110461117[[#This Row],[Column32]]),"A")</f>
        <v>2.375</v>
      </c>
      <c r="CD150" s="140">
        <f>IFERROR(AVERAGE(Table110461117[[#This Row],[Column6]],Table110461117[[#This Row],[Column15]],Table110461117[[#This Row],[Column24]],Table110461117[[#This Row],[Column33]]),"A")</f>
        <v>2.375</v>
      </c>
      <c r="CE150" s="140"/>
      <c r="CF150" s="140">
        <f>IFERROR(AVERAGE(Table110461117[[#This Row],[Column26]],Table110461117[[#This Row],[Column35]],Table110461117[[#This Row],[Column17]],Table110461117[[#This Row],[Column8]]),"A")</f>
        <v>2.166666666666667</v>
      </c>
      <c r="CG150" s="138"/>
      <c r="CH150" s="140">
        <f>IFERROR(AVERAGE('Review 1'!AX150,'Review 2'!AX150,'Review 3'!AX150,'Review 4'!AX150,'Reflection -1 '!AX150,'Reflection -2'!AX150,'Reflection -3'!AX150,'Reflection -4'!AX150),"A")</f>
        <v>3.75</v>
      </c>
      <c r="CI150" s="140">
        <f>IFERROR(AVERAGE('Review 1'!AY150,'Review 2'!AY150,'Review 3'!AY150,'Review 4'!AY150,'Reflection -1 '!AY150,'Reflection -2'!AY150,'Reflection -3'!AY150,'Reflection -4'!AY150,Capstone!AY151),"A")</f>
        <v>2.3333333333333335</v>
      </c>
      <c r="CJ150" s="140">
        <f>IFERROR(AVERAGE('Review 1'!AZ150,'Review 2'!AZ150,'Review 3'!AZ150,'Review 4'!AZ150,'Reflection -1 '!AZ150,'Reflection -2'!AZ150,'Reflection -3'!AZ150,'Reflection -4'!AZ150),"A")</f>
        <v>3</v>
      </c>
    </row>
    <row r="151" spans="1:88" s="122" customFormat="1" ht="23.1" customHeight="1" x14ac:dyDescent="0.3">
      <c r="A151" s="137">
        <v>149</v>
      </c>
      <c r="B151" s="62" t="s">
        <v>156</v>
      </c>
      <c r="C151" s="62" t="s">
        <v>382</v>
      </c>
      <c r="D151" s="62" t="s">
        <v>450</v>
      </c>
      <c r="E151" s="62" t="s">
        <v>35</v>
      </c>
      <c r="F151" s="139"/>
      <c r="G151" s="139">
        <f>'Review 1'!Q151</f>
        <v>0</v>
      </c>
      <c r="H151" s="139">
        <f>'Review 1'!W151</f>
        <v>0</v>
      </c>
      <c r="I151" s="139">
        <f>'Review 1'!AC151</f>
        <v>0</v>
      </c>
      <c r="J151" s="139">
        <f>'Review 1'!AI151</f>
        <v>0</v>
      </c>
      <c r="K151" s="139"/>
      <c r="L151" s="139">
        <f>'Review 1'!AU151</f>
        <v>0</v>
      </c>
      <c r="M151" s="138"/>
      <c r="N151" s="139"/>
      <c r="O151" s="139">
        <f>'Review 2'!Q151</f>
        <v>1</v>
      </c>
      <c r="P151" s="139">
        <f>'Review 2'!W151</f>
        <v>1</v>
      </c>
      <c r="Q151" s="139">
        <f>'Review 2'!AC151</f>
        <v>1</v>
      </c>
      <c r="R151" s="139">
        <f>'Review 2'!AI151</f>
        <v>1</v>
      </c>
      <c r="S151" s="139"/>
      <c r="T151" s="139">
        <f>'Review 2'!AU151</f>
        <v>1</v>
      </c>
      <c r="U151" s="138"/>
      <c r="V151" s="62"/>
      <c r="W151" s="139">
        <f>'Review 3'!Q151</f>
        <v>1.6</v>
      </c>
      <c r="X151" s="139">
        <f>'Review 3'!W151</f>
        <v>0</v>
      </c>
      <c r="Y151" s="139">
        <f>'Review 3'!AC151</f>
        <v>0</v>
      </c>
      <c r="Z151" s="139">
        <f>'Review 3'!AI151</f>
        <v>0</v>
      </c>
      <c r="AA151" s="62"/>
      <c r="AB151" s="139">
        <f>'Review 3'!AU151</f>
        <v>0</v>
      </c>
      <c r="AC151" s="138"/>
      <c r="AD151" s="62"/>
      <c r="AE151" s="139">
        <f>'Review 4'!Q151</f>
        <v>1.4</v>
      </c>
      <c r="AF151" s="139">
        <f>'Review 4'!W151</f>
        <v>1.3333333333333333</v>
      </c>
      <c r="AG151" s="139">
        <f>'Review 4'!AC151</f>
        <v>1</v>
      </c>
      <c r="AH151" s="139">
        <f>'Review 4'!AI151</f>
        <v>0.5</v>
      </c>
      <c r="AI151" s="139"/>
      <c r="AJ151" s="139">
        <f>'Review 4'!AU151</f>
        <v>1.3333333333333333</v>
      </c>
      <c r="AK151" s="138"/>
      <c r="AL151" s="62"/>
      <c r="AM151" s="139">
        <f>'Reflection -1 '!Q151</f>
        <v>0</v>
      </c>
      <c r="AN151" s="62"/>
      <c r="AO151" s="62"/>
      <c r="AP151" s="62"/>
      <c r="AQ151" s="62"/>
      <c r="AR151" s="62"/>
      <c r="AS151" s="138"/>
      <c r="AT151" s="62"/>
      <c r="AU151" s="139">
        <f>'Reflection -2'!Q151</f>
        <v>1</v>
      </c>
      <c r="AV151" s="62"/>
      <c r="AW151" s="62"/>
      <c r="AX151" s="62"/>
      <c r="AY151" s="139"/>
      <c r="AZ151" s="62"/>
      <c r="BA151" s="138"/>
      <c r="BB151" s="139"/>
      <c r="BC151" s="139">
        <f>'Reflection -3'!Q151</f>
        <v>0</v>
      </c>
      <c r="BD151" s="139"/>
      <c r="BE151" s="139"/>
      <c r="BF151" s="139"/>
      <c r="BG151" s="139"/>
      <c r="BH151" s="139"/>
      <c r="BI151" s="138"/>
      <c r="BJ151" s="139"/>
      <c r="BK151" s="139">
        <f>'Reflection -3'!Q151</f>
        <v>0</v>
      </c>
      <c r="BL151" s="62"/>
      <c r="BM151" s="139"/>
      <c r="BN151" s="62"/>
      <c r="BO151" s="139"/>
      <c r="BP151" s="139"/>
      <c r="BQ151" s="138"/>
      <c r="BR151" s="139"/>
      <c r="BS151" s="139">
        <f>Capstone!Q152</f>
        <v>2</v>
      </c>
      <c r="BT151" s="139">
        <f>Capstone!W152</f>
        <v>3</v>
      </c>
      <c r="BU151" s="139">
        <f>Capstone!AC152</f>
        <v>3</v>
      </c>
      <c r="BV151" s="139">
        <f>Capstone!AI152</f>
        <v>3</v>
      </c>
      <c r="BW151" s="139">
        <f>Capstone!AO152</f>
        <v>3</v>
      </c>
      <c r="BX151" s="139">
        <f>Capstone!AU152</f>
        <v>3</v>
      </c>
      <c r="BY151" s="138"/>
      <c r="BZ151" s="139"/>
      <c r="CA15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0.625</v>
      </c>
      <c r="CB151" s="139">
        <f>IFERROR(AVERAGE(Table110461117[[#This Row],[Column31]],Table110461117[[#This Row],[Column13]],Table110461117[[#This Row],[Column4]],Table110461117[[#This Row],[Column22]],),"A")</f>
        <v>0.46666666666666662</v>
      </c>
      <c r="CC151" s="139">
        <f>IFERROR(AVERAGE(Table110461117[[#This Row],[Column5]],Table110461117[[#This Row],[Column14]],Table110461117[[#This Row],[Column23]],Table110461117[[#This Row],[Column32]]),"A")</f>
        <v>0.5</v>
      </c>
      <c r="CD151" s="139">
        <f>IFERROR(AVERAGE(Table110461117[[#This Row],[Column6]],Table110461117[[#This Row],[Column15]],Table110461117[[#This Row],[Column24]],Table110461117[[#This Row],[Column33]]),"A")</f>
        <v>0.375</v>
      </c>
      <c r="CE151" s="139"/>
      <c r="CF151" s="139">
        <f>IFERROR(AVERAGE(Table110461117[[#This Row],[Column26]],Table110461117[[#This Row],[Column35]],Table110461117[[#This Row],[Column17]],Table110461117[[#This Row],[Column8]]),"A")</f>
        <v>0.58333333333333326</v>
      </c>
      <c r="CG151" s="138"/>
      <c r="CH151" s="139">
        <f>IFERROR(AVERAGE('Review 1'!AX151,'Review 2'!AX151,'Review 3'!AX151,'Review 4'!AX151,'Reflection -1 '!AX151,'Reflection -2'!AX151,'Reflection -3'!AX151,'Reflection -4'!AX151),"A")</f>
        <v>0.875</v>
      </c>
      <c r="CI151" s="139">
        <f>IFERROR(AVERAGE('Review 1'!AY151,'Review 2'!AY151,'Review 3'!AY151,'Review 4'!AY151,'Reflection -1 '!AY151,'Reflection -2'!AY151,'Reflection -3'!AY151,'Reflection -4'!AY151,Capstone!AY152),"A")</f>
        <v>0.55555555555555558</v>
      </c>
      <c r="CJ151" s="139">
        <f>IFERROR(AVERAGE('Review 1'!AZ151,'Review 2'!AZ151,'Review 3'!AZ151,'Review 4'!AZ151,'Reflection -1 '!AZ151,'Reflection -2'!AZ151,'Reflection -3'!AZ151,'Reflection -4'!AZ151),"A")</f>
        <v>0.375</v>
      </c>
    </row>
    <row r="152" spans="1:88" s="122" customFormat="1" ht="23.1" customHeight="1" x14ac:dyDescent="0.3">
      <c r="A152" s="6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140"/>
      <c r="G152" s="140">
        <f>'Review 1'!Q152</f>
        <v>3</v>
      </c>
      <c r="H152" s="140">
        <f>'Review 1'!W152</f>
        <v>2</v>
      </c>
      <c r="I152" s="140">
        <f>'Review 1'!AC152</f>
        <v>2</v>
      </c>
      <c r="J152" s="140">
        <f>'Review 1'!AI152</f>
        <v>2.5</v>
      </c>
      <c r="K152" s="140"/>
      <c r="L152" s="140">
        <f>'Review 1'!AU152</f>
        <v>3</v>
      </c>
      <c r="M152" s="138"/>
      <c r="N152" s="140"/>
      <c r="O152" s="140">
        <f>'Review 2'!Q152</f>
        <v>2.6</v>
      </c>
      <c r="P152" s="140">
        <f>'Review 2'!W152</f>
        <v>3.6666666666666665</v>
      </c>
      <c r="Q152" s="140">
        <f>'Review 2'!AC152</f>
        <v>4.5</v>
      </c>
      <c r="R152" s="140">
        <f>'Review 2'!AI152</f>
        <v>2</v>
      </c>
      <c r="S152" s="140"/>
      <c r="T152" s="140">
        <f>'Review 2'!AU152</f>
        <v>4.333333333333333</v>
      </c>
      <c r="U152" s="138"/>
      <c r="V152" s="7"/>
      <c r="W152" s="140">
        <f>'Review 3'!Q152</f>
        <v>2</v>
      </c>
      <c r="X152" s="140">
        <f>'Review 3'!W152</f>
        <v>0</v>
      </c>
      <c r="Y152" s="140">
        <f>'Review 3'!AC152</f>
        <v>0</v>
      </c>
      <c r="Z152" s="140">
        <f>'Review 3'!AI152</f>
        <v>0</v>
      </c>
      <c r="AA152" s="7"/>
      <c r="AB152" s="140">
        <f>'Review 3'!AU152</f>
        <v>0</v>
      </c>
      <c r="AC152" s="138"/>
      <c r="AD152" s="7"/>
      <c r="AE152" s="140">
        <f>'Review 4'!Q152</f>
        <v>1.4</v>
      </c>
      <c r="AF152" s="140">
        <f>'Review 4'!W152</f>
        <v>2.3333333333333335</v>
      </c>
      <c r="AG152" s="140">
        <f>'Review 4'!AC152</f>
        <v>1.5</v>
      </c>
      <c r="AH152" s="140">
        <f>'Review 4'!AI152</f>
        <v>1</v>
      </c>
      <c r="AI152" s="140"/>
      <c r="AJ152" s="140">
        <f>'Review 4'!AU152</f>
        <v>2.6666666666666665</v>
      </c>
      <c r="AK152" s="138"/>
      <c r="AL152" s="7"/>
      <c r="AM152" s="140">
        <f>'Reflection -1 '!Q152</f>
        <v>1.6666666666666667</v>
      </c>
      <c r="AN152" s="7"/>
      <c r="AO152" s="7"/>
      <c r="AP152" s="7"/>
      <c r="AQ152" s="7"/>
      <c r="AR152" s="7"/>
      <c r="AS152" s="138"/>
      <c r="AT152" s="7"/>
      <c r="AU152" s="140">
        <f>'Reflection -2'!Q152</f>
        <v>2.3333333333333335</v>
      </c>
      <c r="AV152" s="7"/>
      <c r="AW152" s="7"/>
      <c r="AX152" s="7"/>
      <c r="AY152" s="140"/>
      <c r="AZ152" s="7"/>
      <c r="BA152" s="138"/>
      <c r="BB152" s="140"/>
      <c r="BC152" s="140">
        <f>'Reflection -3'!Q152</f>
        <v>1.6666666666666667</v>
      </c>
      <c r="BD152" s="140"/>
      <c r="BE152" s="140"/>
      <c r="BF152" s="140"/>
      <c r="BG152" s="140"/>
      <c r="BH152" s="140"/>
      <c r="BI152" s="138"/>
      <c r="BJ152" s="140"/>
      <c r="BK152" s="140">
        <f>'Reflection -3'!Q152</f>
        <v>1.6666666666666667</v>
      </c>
      <c r="BL152" s="7"/>
      <c r="BM152" s="140"/>
      <c r="BN152" s="7"/>
      <c r="BO152" s="140"/>
      <c r="BP152" s="140"/>
      <c r="BQ152" s="138"/>
      <c r="BR152" s="140"/>
      <c r="BS152" s="140">
        <f>Capstone!Q153</f>
        <v>4</v>
      </c>
      <c r="BT152" s="140">
        <f>Capstone!W153</f>
        <v>4</v>
      </c>
      <c r="BU152" s="140">
        <f>Capstone!AC153</f>
        <v>4</v>
      </c>
      <c r="BV152" s="140">
        <f>Capstone!AI153</f>
        <v>4</v>
      </c>
      <c r="BW152" s="140">
        <f>Capstone!AO153</f>
        <v>4</v>
      </c>
      <c r="BX152" s="140">
        <f>Capstone!AU153</f>
        <v>4</v>
      </c>
      <c r="BY152" s="138"/>
      <c r="BZ152" s="140"/>
      <c r="CA15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2.041666666666667</v>
      </c>
      <c r="CB152" s="140">
        <f>IFERROR(AVERAGE(Table110461117[[#This Row],[Column31]],Table110461117[[#This Row],[Column13]],Table110461117[[#This Row],[Column4]],Table110461117[[#This Row],[Column22]],),"A")</f>
        <v>1.6</v>
      </c>
      <c r="CC152" s="140">
        <f>IFERROR(AVERAGE(Table110461117[[#This Row],[Column5]],Table110461117[[#This Row],[Column14]],Table110461117[[#This Row],[Column23]],Table110461117[[#This Row],[Column32]]),"A")</f>
        <v>2</v>
      </c>
      <c r="CD152" s="140">
        <f>IFERROR(AVERAGE(Table110461117[[#This Row],[Column6]],Table110461117[[#This Row],[Column15]],Table110461117[[#This Row],[Column24]],Table110461117[[#This Row],[Column33]]),"A")</f>
        <v>1.375</v>
      </c>
      <c r="CE152" s="140"/>
      <c r="CF152" s="140">
        <f>IFERROR(AVERAGE(Table110461117[[#This Row],[Column26]],Table110461117[[#This Row],[Column35]],Table110461117[[#This Row],[Column17]],Table110461117[[#This Row],[Column8]]),"A")</f>
        <v>2.5</v>
      </c>
      <c r="CG152" s="138"/>
      <c r="CH152" s="140">
        <f>IFERROR(AVERAGE('Review 1'!AX152,'Review 2'!AX152,'Review 3'!AX152,'Review 4'!AX152,'Reflection -1 '!AX152,'Reflection -2'!AX152,'Reflection -3'!AX152,'Reflection -4'!AX152),"A")</f>
        <v>3.625</v>
      </c>
      <c r="CI152" s="140">
        <f>IFERROR(AVERAGE('Review 1'!AY152,'Review 2'!AY152,'Review 3'!AY152,'Review 4'!AY152,'Reflection -1 '!AY152,'Reflection -2'!AY152,'Reflection -3'!AY152,'Reflection -4'!AY152,Capstone!AY153),"A")</f>
        <v>2.4444444444444446</v>
      </c>
      <c r="CJ152" s="140">
        <f>IFERROR(AVERAGE('Review 1'!AZ152,'Review 2'!AZ152,'Review 3'!AZ152,'Review 4'!AZ152,'Reflection -1 '!AZ152,'Reflection -2'!AZ152,'Reflection -3'!AZ152,'Reflection -4'!AZ152),"A")</f>
        <v>2</v>
      </c>
    </row>
    <row r="153" spans="1:88" s="122" customFormat="1" ht="23.1" customHeight="1" x14ac:dyDescent="0.3">
      <c r="A153" s="137">
        <v>151</v>
      </c>
      <c r="B153" s="62" t="s">
        <v>46</v>
      </c>
      <c r="C153" s="62" t="s">
        <v>47</v>
      </c>
      <c r="D153" s="62" t="s">
        <v>450</v>
      </c>
      <c r="E153" s="62" t="s">
        <v>35</v>
      </c>
      <c r="F153" s="139"/>
      <c r="G153" s="139">
        <f>'Review 1'!Q153</f>
        <v>2</v>
      </c>
      <c r="H153" s="139">
        <f>'Review 1'!W153</f>
        <v>1</v>
      </c>
      <c r="I153" s="139">
        <f>'Review 1'!AC153</f>
        <v>1</v>
      </c>
      <c r="J153" s="139">
        <f>'Review 1'!AI153</f>
        <v>1</v>
      </c>
      <c r="K153" s="139"/>
      <c r="L153" s="139">
        <f>'Review 1'!AU153</f>
        <v>1</v>
      </c>
      <c r="M153" s="138"/>
      <c r="N153" s="139"/>
      <c r="O153" s="139">
        <f>'Review 2'!Q153</f>
        <v>1.8</v>
      </c>
      <c r="P153" s="139">
        <f>'Review 2'!W153</f>
        <v>1</v>
      </c>
      <c r="Q153" s="139">
        <f>'Review 2'!AC153</f>
        <v>1.5</v>
      </c>
      <c r="R153" s="139">
        <f>'Review 2'!AI153</f>
        <v>1</v>
      </c>
      <c r="S153" s="139"/>
      <c r="T153" s="139">
        <f>'Review 2'!AU153</f>
        <v>2</v>
      </c>
      <c r="U153" s="138"/>
      <c r="V153" s="62"/>
      <c r="W153" s="139">
        <f>'Review 3'!Q153</f>
        <v>3</v>
      </c>
      <c r="X153" s="139">
        <f>'Review 3'!W153</f>
        <v>0</v>
      </c>
      <c r="Y153" s="139">
        <f>'Review 3'!AC153</f>
        <v>0</v>
      </c>
      <c r="Z153" s="139">
        <f>'Review 3'!AI153</f>
        <v>0</v>
      </c>
      <c r="AA153" s="62"/>
      <c r="AB153" s="139">
        <f>'Review 3'!AU153</f>
        <v>0</v>
      </c>
      <c r="AC153" s="138"/>
      <c r="AD153" s="62"/>
      <c r="AE153" s="139">
        <f>'Review 4'!Q153</f>
        <v>0</v>
      </c>
      <c r="AF153" s="139">
        <f>'Review 4'!W153</f>
        <v>0</v>
      </c>
      <c r="AG153" s="139">
        <f>'Review 4'!AC153</f>
        <v>0</v>
      </c>
      <c r="AH153" s="139">
        <f>'Review 4'!AI153</f>
        <v>0</v>
      </c>
      <c r="AI153" s="139"/>
      <c r="AJ153" s="139">
        <f>'Review 4'!AU153</f>
        <v>0</v>
      </c>
      <c r="AK153" s="138"/>
      <c r="AL153" s="62"/>
      <c r="AM153" s="139">
        <f>'Reflection -1 '!Q153</f>
        <v>2.6666666666666665</v>
      </c>
      <c r="AN153" s="62"/>
      <c r="AO153" s="62"/>
      <c r="AP153" s="62"/>
      <c r="AQ153" s="62"/>
      <c r="AR153" s="62"/>
      <c r="AS153" s="138"/>
      <c r="AT153" s="62"/>
      <c r="AU153" s="139">
        <f>'Reflection -2'!Q153</f>
        <v>1.6666666666666667</v>
      </c>
      <c r="AV153" s="62"/>
      <c r="AW153" s="62"/>
      <c r="AX153" s="62"/>
      <c r="AY153" s="139"/>
      <c r="AZ153" s="62"/>
      <c r="BA153" s="138"/>
      <c r="BB153" s="139"/>
      <c r="BC153" s="139">
        <f>'Reflection -3'!Q153</f>
        <v>0</v>
      </c>
      <c r="BD153" s="139"/>
      <c r="BE153" s="139"/>
      <c r="BF153" s="139"/>
      <c r="BG153" s="139"/>
      <c r="BH153" s="139"/>
      <c r="BI153" s="138"/>
      <c r="BJ153" s="139"/>
      <c r="BK153" s="139">
        <f>'Reflection -3'!Q153</f>
        <v>0</v>
      </c>
      <c r="BL153" s="62"/>
      <c r="BM153" s="139"/>
      <c r="BN153" s="62"/>
      <c r="BO153" s="139"/>
      <c r="BP153" s="139"/>
      <c r="BQ153" s="138"/>
      <c r="BR153" s="139"/>
      <c r="BS153" s="139">
        <f>Capstone!Q154</f>
        <v>5</v>
      </c>
      <c r="BT153" s="139">
        <f>Capstone!W154</f>
        <v>5</v>
      </c>
      <c r="BU153" s="139">
        <f>Capstone!AC154</f>
        <v>5</v>
      </c>
      <c r="BV153" s="139">
        <f>Capstone!AI154</f>
        <v>4</v>
      </c>
      <c r="BW153" s="139">
        <f>Capstone!AO154</f>
        <v>5</v>
      </c>
      <c r="BX153" s="139">
        <f>Capstone!AU154</f>
        <v>5</v>
      </c>
      <c r="BY153" s="138"/>
      <c r="BZ153" s="139"/>
      <c r="CA15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1.3916666666666666</v>
      </c>
      <c r="CB153" s="139">
        <f>IFERROR(AVERAGE(Table110461117[[#This Row],[Column31]],Table110461117[[#This Row],[Column13]],Table110461117[[#This Row],[Column4]],Table110461117[[#This Row],[Column22]],),"A")</f>
        <v>0.4</v>
      </c>
      <c r="CC153" s="139">
        <f>IFERROR(AVERAGE(Table110461117[[#This Row],[Column5]],Table110461117[[#This Row],[Column14]],Table110461117[[#This Row],[Column23]],Table110461117[[#This Row],[Column32]]),"A")</f>
        <v>0.625</v>
      </c>
      <c r="CD153" s="139">
        <f>IFERROR(AVERAGE(Table110461117[[#This Row],[Column6]],Table110461117[[#This Row],[Column15]],Table110461117[[#This Row],[Column24]],Table110461117[[#This Row],[Column33]]),"A")</f>
        <v>0.5</v>
      </c>
      <c r="CE153" s="139"/>
      <c r="CF153" s="139">
        <f>IFERROR(AVERAGE(Table110461117[[#This Row],[Column26]],Table110461117[[#This Row],[Column35]],Table110461117[[#This Row],[Column17]],Table110461117[[#This Row],[Column8]]),"A")</f>
        <v>0.75</v>
      </c>
      <c r="CG153" s="138"/>
      <c r="CH153" s="139">
        <f>IFERROR(AVERAGE('Review 1'!AX153,'Review 2'!AX153,'Review 3'!AX153,'Review 4'!AX153,'Reflection -1 '!AX153,'Reflection -2'!AX153,'Reflection -3'!AX153,'Reflection -4'!AX153),"A")</f>
        <v>1.5</v>
      </c>
      <c r="CI153" s="139">
        <f>IFERROR(AVERAGE('Review 1'!AY153,'Review 2'!AY153,'Review 3'!AY153,'Review 4'!AY153,'Reflection -1 '!AY153,'Reflection -2'!AY153,'Reflection -3'!AY153,'Reflection -4'!AY153,Capstone!AY154),"A")</f>
        <v>0.55555555555555558</v>
      </c>
      <c r="CJ153" s="139">
        <f>IFERROR(AVERAGE('Review 1'!AZ153,'Review 2'!AZ153,'Review 3'!AZ153,'Review 4'!AZ153,'Reflection -1 '!AZ153,'Reflection -2'!AZ153,'Reflection -3'!AZ153,'Reflection -4'!AZ153),"A")</f>
        <v>0.75</v>
      </c>
    </row>
    <row r="154" spans="1:88" s="122" customFormat="1" ht="23.1" customHeight="1" x14ac:dyDescent="0.3">
      <c r="A154" s="6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140"/>
      <c r="G154" s="140">
        <f>'Review 1'!Q154</f>
        <v>0</v>
      </c>
      <c r="H154" s="140">
        <f>'Review 1'!W154</f>
        <v>0</v>
      </c>
      <c r="I154" s="140">
        <f>'Review 1'!AC154</f>
        <v>0</v>
      </c>
      <c r="J154" s="140">
        <f>'Review 1'!AI154</f>
        <v>0</v>
      </c>
      <c r="K154" s="140"/>
      <c r="L154" s="140">
        <f>'Review 1'!AU154</f>
        <v>0</v>
      </c>
      <c r="M154" s="138"/>
      <c r="N154" s="140"/>
      <c r="O154" s="140">
        <f>'Review 2'!Q154</f>
        <v>2</v>
      </c>
      <c r="P154" s="140">
        <f>'Review 2'!W154</f>
        <v>1</v>
      </c>
      <c r="Q154" s="140">
        <f>'Review 2'!AC154</f>
        <v>1</v>
      </c>
      <c r="R154" s="140">
        <f>'Review 2'!AI154</f>
        <v>1</v>
      </c>
      <c r="S154" s="140"/>
      <c r="T154" s="140">
        <f>'Review 2'!AU154</f>
        <v>1</v>
      </c>
      <c r="U154" s="138"/>
      <c r="V154" s="7"/>
      <c r="W154" s="140">
        <f>'Review 3'!Q154</f>
        <v>2.6</v>
      </c>
      <c r="X154" s="140">
        <f>'Review 3'!W154</f>
        <v>0</v>
      </c>
      <c r="Y154" s="140">
        <f>'Review 3'!AC154</f>
        <v>0</v>
      </c>
      <c r="Z154" s="140">
        <f>'Review 3'!AI154</f>
        <v>0</v>
      </c>
      <c r="AA154" s="7"/>
      <c r="AB154" s="140">
        <f>'Review 3'!AU154</f>
        <v>0</v>
      </c>
      <c r="AC154" s="138"/>
      <c r="AD154" s="7"/>
      <c r="AE154" s="140">
        <f>'Review 4'!Q154</f>
        <v>2.4</v>
      </c>
      <c r="AF154" s="140">
        <f>'Review 4'!W154</f>
        <v>1</v>
      </c>
      <c r="AG154" s="140">
        <f>'Review 4'!AC154</f>
        <v>1</v>
      </c>
      <c r="AH154" s="140">
        <f>'Review 4'!AI154</f>
        <v>0.5</v>
      </c>
      <c r="AI154" s="140"/>
      <c r="AJ154" s="140">
        <f>'Review 4'!AU154</f>
        <v>1</v>
      </c>
      <c r="AK154" s="138"/>
      <c r="AL154" s="7"/>
      <c r="AM154" s="140">
        <f>'Reflection -1 '!Q154</f>
        <v>2.6666666666666665</v>
      </c>
      <c r="AN154" s="7"/>
      <c r="AO154" s="7"/>
      <c r="AP154" s="7"/>
      <c r="AQ154" s="7"/>
      <c r="AR154" s="7"/>
      <c r="AS154" s="138"/>
      <c r="AT154" s="7"/>
      <c r="AU154" s="140">
        <f>'Reflection -2'!Q154</f>
        <v>1</v>
      </c>
      <c r="AV154" s="7"/>
      <c r="AW154" s="7"/>
      <c r="AX154" s="7"/>
      <c r="AY154" s="140"/>
      <c r="AZ154" s="7"/>
      <c r="BA154" s="138"/>
      <c r="BB154" s="140"/>
      <c r="BC154" s="140">
        <f>'Reflection -3'!Q154</f>
        <v>3</v>
      </c>
      <c r="BD154" s="140"/>
      <c r="BE154" s="140"/>
      <c r="BF154" s="140"/>
      <c r="BG154" s="140"/>
      <c r="BH154" s="140"/>
      <c r="BI154" s="138"/>
      <c r="BJ154" s="140"/>
      <c r="BK154" s="140">
        <f>'Reflection -3'!Q154</f>
        <v>3</v>
      </c>
      <c r="BL154" s="7"/>
      <c r="BM154" s="140"/>
      <c r="BN154" s="7"/>
      <c r="BO154" s="140"/>
      <c r="BP154" s="140"/>
      <c r="BQ154" s="138"/>
      <c r="BR154" s="140"/>
      <c r="BS154" s="140">
        <f>Capstone!Q155</f>
        <v>3.6666666666666665</v>
      </c>
      <c r="BT154" s="140">
        <f>Capstone!W155</f>
        <v>5</v>
      </c>
      <c r="BU154" s="140">
        <f>Capstone!AC155</f>
        <v>5</v>
      </c>
      <c r="BV154" s="140">
        <f>Capstone!AI155</f>
        <v>4</v>
      </c>
      <c r="BW154" s="140">
        <f>Capstone!AO155</f>
        <v>4</v>
      </c>
      <c r="BX154" s="140">
        <f>Capstone!AU155</f>
        <v>4</v>
      </c>
      <c r="BY154" s="138"/>
      <c r="BZ154" s="140"/>
      <c r="CA15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2.0833333333333335</v>
      </c>
      <c r="CB154" s="140">
        <f>IFERROR(AVERAGE(Table110461117[[#This Row],[Column31]],Table110461117[[#This Row],[Column13]],Table110461117[[#This Row],[Column4]],Table110461117[[#This Row],[Column22]],),"A")</f>
        <v>0.4</v>
      </c>
      <c r="CC154" s="140">
        <f>IFERROR(AVERAGE(Table110461117[[#This Row],[Column5]],Table110461117[[#This Row],[Column14]],Table110461117[[#This Row],[Column23]],Table110461117[[#This Row],[Column32]]),"A")</f>
        <v>0.5</v>
      </c>
      <c r="CD154" s="140">
        <f>IFERROR(AVERAGE(Table110461117[[#This Row],[Column6]],Table110461117[[#This Row],[Column15]],Table110461117[[#This Row],[Column24]],Table110461117[[#This Row],[Column33]]),"A")</f>
        <v>0.375</v>
      </c>
      <c r="CE154" s="140"/>
      <c r="CF154" s="140">
        <f>IFERROR(AVERAGE(Table110461117[[#This Row],[Column26]],Table110461117[[#This Row],[Column35]],Table110461117[[#This Row],[Column17]],Table110461117[[#This Row],[Column8]]),"A")</f>
        <v>0.5</v>
      </c>
      <c r="CG154" s="138"/>
      <c r="CH154" s="140">
        <f>IFERROR(AVERAGE('Review 1'!AX154,'Review 2'!AX154,'Review 3'!AX154,'Review 4'!AX154,'Reflection -1 '!AX154,'Reflection -2'!AX154,'Reflection -3'!AX154,'Reflection -4'!AX154),"A")</f>
        <v>2.75</v>
      </c>
      <c r="CI154" s="140">
        <f>IFERROR(AVERAGE('Review 1'!AY154,'Review 2'!AY154,'Review 3'!AY154,'Review 4'!AY154,'Reflection -1 '!AY154,'Reflection -2'!AY154,'Reflection -3'!AY154,'Reflection -4'!AY154,Capstone!AY155),"A")</f>
        <v>0.66666666666666663</v>
      </c>
      <c r="CJ154" s="140">
        <f>IFERROR(AVERAGE('Review 1'!AZ154,'Review 2'!AZ154,'Review 3'!AZ154,'Review 4'!AZ154,'Reflection -1 '!AZ154,'Reflection -2'!AZ154,'Reflection -3'!AZ154,'Reflection -4'!AZ154),"A")</f>
        <v>1.375</v>
      </c>
    </row>
    <row r="155" spans="1:88" s="122" customFormat="1" ht="23.1" customHeight="1" x14ac:dyDescent="0.3">
      <c r="A155" s="137">
        <v>153</v>
      </c>
      <c r="B155" s="62" t="s">
        <v>385</v>
      </c>
      <c r="C155" s="62" t="s">
        <v>386</v>
      </c>
      <c r="D155" s="62" t="s">
        <v>450</v>
      </c>
      <c r="E155" s="62" t="s">
        <v>493</v>
      </c>
      <c r="F155" s="139"/>
      <c r="G155" s="139">
        <f>'Review 1'!Q155</f>
        <v>2.8</v>
      </c>
      <c r="H155" s="139">
        <f>'Review 1'!W155</f>
        <v>3</v>
      </c>
      <c r="I155" s="139">
        <f>'Review 1'!AC155</f>
        <v>3</v>
      </c>
      <c r="J155" s="139">
        <f>'Review 1'!AI155</f>
        <v>3</v>
      </c>
      <c r="K155" s="139"/>
      <c r="L155" s="139">
        <f>'Review 1'!AU155</f>
        <v>3</v>
      </c>
      <c r="M155" s="138"/>
      <c r="N155" s="139"/>
      <c r="O155" s="139">
        <f>'Review 2'!Q155</f>
        <v>3.6</v>
      </c>
      <c r="P155" s="139">
        <f>'Review 2'!W155</f>
        <v>3</v>
      </c>
      <c r="Q155" s="139">
        <f>'Review 2'!AC155</f>
        <v>2</v>
      </c>
      <c r="R155" s="139">
        <f>'Review 2'!AI155</f>
        <v>1.5</v>
      </c>
      <c r="S155" s="139"/>
      <c r="T155" s="139">
        <f>'Review 2'!AU155</f>
        <v>2</v>
      </c>
      <c r="U155" s="138"/>
      <c r="V155" s="62"/>
      <c r="W155" s="139">
        <f>'Review 3'!Q155</f>
        <v>2</v>
      </c>
      <c r="X155" s="139">
        <f>'Review 3'!W155</f>
        <v>2</v>
      </c>
      <c r="Y155" s="139">
        <f>'Review 3'!AC155</f>
        <v>2</v>
      </c>
      <c r="Z155" s="139">
        <f>'Review 3'!AI155</f>
        <v>2</v>
      </c>
      <c r="AA155" s="62"/>
      <c r="AB155" s="139">
        <f>'Review 3'!AU155</f>
        <v>2</v>
      </c>
      <c r="AC155" s="138"/>
      <c r="AD155" s="62"/>
      <c r="AE155" s="139">
        <f>'Review 4'!Q155</f>
        <v>2</v>
      </c>
      <c r="AF155" s="139">
        <f>'Review 4'!W155</f>
        <v>2</v>
      </c>
      <c r="AG155" s="139">
        <f>'Review 4'!AC155</f>
        <v>2</v>
      </c>
      <c r="AH155" s="139">
        <f>'Review 4'!AI155</f>
        <v>2</v>
      </c>
      <c r="AI155" s="139"/>
      <c r="AJ155" s="139">
        <f>'Review 4'!AU155</f>
        <v>2</v>
      </c>
      <c r="AK155" s="138"/>
      <c r="AL155" s="62"/>
      <c r="AM155" s="139">
        <f>'Reflection -1 '!Q155</f>
        <v>2.6666666666666665</v>
      </c>
      <c r="AN155" s="62"/>
      <c r="AO155" s="62"/>
      <c r="AP155" s="62"/>
      <c r="AQ155" s="62"/>
      <c r="AR155" s="62"/>
      <c r="AS155" s="138"/>
      <c r="AT155" s="62"/>
      <c r="AU155" s="139">
        <f>'Reflection -2'!Q155</f>
        <v>3.6666666666666665</v>
      </c>
      <c r="AV155" s="62"/>
      <c r="AW155" s="62"/>
      <c r="AX155" s="62"/>
      <c r="AY155" s="139"/>
      <c r="AZ155" s="62"/>
      <c r="BA155" s="138"/>
      <c r="BB155" s="139"/>
      <c r="BC155" s="139">
        <f>'Reflection -3'!Q155</f>
        <v>4</v>
      </c>
      <c r="BD155" s="139"/>
      <c r="BE155" s="139"/>
      <c r="BF155" s="139"/>
      <c r="BG155" s="139"/>
      <c r="BH155" s="139"/>
      <c r="BI155" s="138"/>
      <c r="BJ155" s="139"/>
      <c r="BK155" s="139">
        <f>'Reflection -3'!Q155</f>
        <v>4</v>
      </c>
      <c r="BL155" s="62"/>
      <c r="BM155" s="139"/>
      <c r="BN155" s="62"/>
      <c r="BO155" s="139"/>
      <c r="BP155" s="139"/>
      <c r="BQ155" s="138"/>
      <c r="BR155" s="139"/>
      <c r="BS155" s="139">
        <f>Capstone!Q156</f>
        <v>3</v>
      </c>
      <c r="BT155" s="139">
        <f>Capstone!W156</f>
        <v>4</v>
      </c>
      <c r="BU155" s="139">
        <f>Capstone!AC156</f>
        <v>4</v>
      </c>
      <c r="BV155" s="139">
        <f>Capstone!AI156</f>
        <v>5</v>
      </c>
      <c r="BW155" s="139">
        <f>Capstone!AO156</f>
        <v>5</v>
      </c>
      <c r="BX155" s="139">
        <f>Capstone!AU156</f>
        <v>5</v>
      </c>
      <c r="BY155" s="138"/>
      <c r="BZ155" s="139"/>
      <c r="CA15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3.0916666666666668</v>
      </c>
      <c r="CB155" s="139">
        <f>IFERROR(AVERAGE(Table110461117[[#This Row],[Column31]],Table110461117[[#This Row],[Column13]],Table110461117[[#This Row],[Column4]],Table110461117[[#This Row],[Column22]],),"A")</f>
        <v>2</v>
      </c>
      <c r="CC155" s="139">
        <f>IFERROR(AVERAGE(Table110461117[[#This Row],[Column5]],Table110461117[[#This Row],[Column14]],Table110461117[[#This Row],[Column23]],Table110461117[[#This Row],[Column32]]),"A")</f>
        <v>2.25</v>
      </c>
      <c r="CD155" s="139">
        <f>IFERROR(AVERAGE(Table110461117[[#This Row],[Column6]],Table110461117[[#This Row],[Column15]],Table110461117[[#This Row],[Column24]],Table110461117[[#This Row],[Column33]]),"A")</f>
        <v>2.125</v>
      </c>
      <c r="CE155" s="139"/>
      <c r="CF155" s="139">
        <f>IFERROR(AVERAGE(Table110461117[[#This Row],[Column26]],Table110461117[[#This Row],[Column35]],Table110461117[[#This Row],[Column17]],Table110461117[[#This Row],[Column8]]),"A")</f>
        <v>2.25</v>
      </c>
      <c r="CG155" s="138"/>
      <c r="CH155" s="139">
        <f>IFERROR(AVERAGE('Review 1'!AX155,'Review 2'!AX155,'Review 3'!AX155,'Review 4'!AX155,'Reflection -1 '!AX155,'Reflection -2'!AX155,'Reflection -3'!AX155,'Reflection -4'!AX155),"A")</f>
        <v>3.25</v>
      </c>
      <c r="CI155" s="139">
        <f>IFERROR(AVERAGE('Review 1'!AY155,'Review 2'!AY155,'Review 3'!AY155,'Review 4'!AY155,'Reflection -1 '!AY155,'Reflection -2'!AY155,'Reflection -3'!AY155,'Reflection -4'!AY155,Capstone!AY156),"A")</f>
        <v>2.4444444444444446</v>
      </c>
      <c r="CJ155" s="139">
        <f>IFERROR(AVERAGE('Review 1'!AZ155,'Review 2'!AZ155,'Review 3'!AZ155,'Review 4'!AZ155,'Reflection -1 '!AZ155,'Reflection -2'!AZ155,'Reflection -3'!AZ155,'Reflection -4'!AZ155),"A")</f>
        <v>2.75</v>
      </c>
    </row>
    <row r="156" spans="1:88" s="122" customFormat="1" ht="23.1" customHeight="1" x14ac:dyDescent="0.3">
      <c r="A156" s="6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140"/>
      <c r="G156" s="140">
        <f>'Review 1'!Q156</f>
        <v>2.6</v>
      </c>
      <c r="H156" s="140">
        <f>'Review 1'!W156</f>
        <v>2</v>
      </c>
      <c r="I156" s="140">
        <f>'Review 1'!AC156</f>
        <v>2</v>
      </c>
      <c r="J156" s="140">
        <f>'Review 1'!AI156</f>
        <v>1</v>
      </c>
      <c r="K156" s="140"/>
      <c r="L156" s="140">
        <f>'Review 1'!AU156</f>
        <v>1</v>
      </c>
      <c r="M156" s="138"/>
      <c r="N156" s="140"/>
      <c r="O156" s="140">
        <f>'Review 2'!Q156</f>
        <v>2.6</v>
      </c>
      <c r="P156" s="140">
        <f>'Review 2'!W156</f>
        <v>2</v>
      </c>
      <c r="Q156" s="140">
        <f>'Review 2'!AC156</f>
        <v>2</v>
      </c>
      <c r="R156" s="140">
        <f>'Review 2'!AI156</f>
        <v>1</v>
      </c>
      <c r="S156" s="140"/>
      <c r="T156" s="140">
        <f>'Review 2'!AU156</f>
        <v>1</v>
      </c>
      <c r="U156" s="138"/>
      <c r="V156" s="7"/>
      <c r="W156" s="140">
        <f>'Review 3'!Q156</f>
        <v>0.6</v>
      </c>
      <c r="X156" s="140">
        <f>'Review 3'!W156</f>
        <v>0</v>
      </c>
      <c r="Y156" s="140">
        <f>'Review 3'!AC156</f>
        <v>0</v>
      </c>
      <c r="Z156" s="140">
        <f>'Review 3'!AI156</f>
        <v>0</v>
      </c>
      <c r="AA156" s="7"/>
      <c r="AB156" s="140">
        <f>'Review 3'!AU156</f>
        <v>0</v>
      </c>
      <c r="AC156" s="138"/>
      <c r="AD156" s="7"/>
      <c r="AE156" s="140">
        <f>'Review 4'!Q156</f>
        <v>2.4</v>
      </c>
      <c r="AF156" s="140">
        <f>'Review 4'!W156</f>
        <v>2.3333333333333335</v>
      </c>
      <c r="AG156" s="140">
        <f>'Review 4'!AC156</f>
        <v>1</v>
      </c>
      <c r="AH156" s="140">
        <f>'Review 4'!AI156</f>
        <v>0.5</v>
      </c>
      <c r="AI156" s="140"/>
      <c r="AJ156" s="140">
        <f>'Review 4'!AU156</f>
        <v>1</v>
      </c>
      <c r="AK156" s="138"/>
      <c r="AL156" s="7"/>
      <c r="AM156" s="140">
        <f>'Reflection -1 '!Q156</f>
        <v>4</v>
      </c>
      <c r="AN156" s="7"/>
      <c r="AO156" s="7"/>
      <c r="AP156" s="7"/>
      <c r="AQ156" s="7"/>
      <c r="AR156" s="7"/>
      <c r="AS156" s="138"/>
      <c r="AT156" s="7"/>
      <c r="AU156" s="140">
        <f>'Reflection -2'!Q156</f>
        <v>2.6666666666666665</v>
      </c>
      <c r="AV156" s="7"/>
      <c r="AW156" s="7"/>
      <c r="AX156" s="7"/>
      <c r="AY156" s="140"/>
      <c r="AZ156" s="7"/>
      <c r="BA156" s="138"/>
      <c r="BB156" s="140"/>
      <c r="BC156" s="140">
        <f>'Reflection -3'!Q156</f>
        <v>1.6666666666666667</v>
      </c>
      <c r="BD156" s="140"/>
      <c r="BE156" s="140"/>
      <c r="BF156" s="140"/>
      <c r="BG156" s="140"/>
      <c r="BH156" s="140"/>
      <c r="BI156" s="138"/>
      <c r="BJ156" s="140"/>
      <c r="BK156" s="140">
        <f>'Reflection -3'!Q156</f>
        <v>1.6666666666666667</v>
      </c>
      <c r="BL156" s="7"/>
      <c r="BM156" s="140"/>
      <c r="BN156" s="7"/>
      <c r="BO156" s="140"/>
      <c r="BP156" s="140"/>
      <c r="BQ156" s="138"/>
      <c r="BR156" s="140"/>
      <c r="BS156" s="140">
        <f>Capstone!Q157</f>
        <v>4</v>
      </c>
      <c r="BT156" s="140">
        <f>Capstone!W157</f>
        <v>4</v>
      </c>
      <c r="BU156" s="140">
        <f>Capstone!AC157</f>
        <v>4</v>
      </c>
      <c r="BV156" s="140">
        <f>Capstone!AI157</f>
        <v>4</v>
      </c>
      <c r="BW156" s="140">
        <f>Capstone!AO157</f>
        <v>3</v>
      </c>
      <c r="BX156" s="140">
        <f>Capstone!AU157</f>
        <v>4</v>
      </c>
      <c r="BY156" s="138"/>
      <c r="BZ156" s="140"/>
      <c r="CA15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2.2749999999999999</v>
      </c>
      <c r="CB156" s="140">
        <f>IFERROR(AVERAGE(Table110461117[[#This Row],[Column31]],Table110461117[[#This Row],[Column13]],Table110461117[[#This Row],[Column4]],Table110461117[[#This Row],[Column22]],),"A")</f>
        <v>1.2666666666666668</v>
      </c>
      <c r="CC156" s="140">
        <f>IFERROR(AVERAGE(Table110461117[[#This Row],[Column5]],Table110461117[[#This Row],[Column14]],Table110461117[[#This Row],[Column23]],Table110461117[[#This Row],[Column32]]),"A")</f>
        <v>1.25</v>
      </c>
      <c r="CD156" s="140">
        <f>IFERROR(AVERAGE(Table110461117[[#This Row],[Column6]],Table110461117[[#This Row],[Column15]],Table110461117[[#This Row],[Column24]],Table110461117[[#This Row],[Column33]]),"A")</f>
        <v>0.625</v>
      </c>
      <c r="CE156" s="140"/>
      <c r="CF156" s="140">
        <f>IFERROR(AVERAGE(Table110461117[[#This Row],[Column26]],Table110461117[[#This Row],[Column35]],Table110461117[[#This Row],[Column17]],Table110461117[[#This Row],[Column8]]),"A")</f>
        <v>0.75</v>
      </c>
      <c r="CG156" s="138"/>
      <c r="CH156" s="140">
        <f>IFERROR(AVERAGE('Review 1'!AX156,'Review 2'!AX156,'Review 3'!AX156,'Review 4'!AX156,'Reflection -1 '!AX156,'Reflection -2'!AX156,'Reflection -3'!AX156,'Reflection -4'!AX156),"A")</f>
        <v>2.875</v>
      </c>
      <c r="CI156" s="140">
        <f>IFERROR(AVERAGE('Review 1'!AY156,'Review 2'!AY156,'Review 3'!AY156,'Review 4'!AY156,'Reflection -1 '!AY156,'Reflection -2'!AY156,'Reflection -3'!AY156,'Reflection -4'!AY156,Capstone!AY157),"A")</f>
        <v>1.3333333333333333</v>
      </c>
      <c r="CJ156" s="140">
        <f>IFERROR(AVERAGE('Review 1'!AZ156,'Review 2'!AZ156,'Review 3'!AZ156,'Review 4'!AZ156,'Reflection -1 '!AZ156,'Reflection -2'!AZ156,'Reflection -3'!AZ156,'Reflection -4'!AZ156),"A")</f>
        <v>2</v>
      </c>
    </row>
    <row r="157" spans="1:88" s="122" customFormat="1" ht="23.1" customHeight="1" x14ac:dyDescent="0.3">
      <c r="A157" s="137">
        <v>155</v>
      </c>
      <c r="B157" s="62" t="s">
        <v>188</v>
      </c>
      <c r="C157" s="62" t="s">
        <v>189</v>
      </c>
      <c r="D157" s="62" t="s">
        <v>542</v>
      </c>
      <c r="E157" s="62" t="s">
        <v>161</v>
      </c>
      <c r="F157" s="139"/>
      <c r="G157" s="139">
        <f>'Review 1'!Q157</f>
        <v>2.8</v>
      </c>
      <c r="H157" s="139">
        <f>'Review 1'!W157</f>
        <v>2.6666666666666665</v>
      </c>
      <c r="I157" s="139">
        <f>'Review 1'!AC157</f>
        <v>3</v>
      </c>
      <c r="J157" s="139">
        <f>'Review 1'!AI157</f>
        <v>3</v>
      </c>
      <c r="K157" s="139"/>
      <c r="L157" s="139">
        <f>'Review 1'!AU157</f>
        <v>2.6666666666666665</v>
      </c>
      <c r="M157" s="138"/>
      <c r="N157" s="139"/>
      <c r="O157" s="139">
        <f>'Review 2'!Q157</f>
        <v>2.6</v>
      </c>
      <c r="P157" s="139">
        <f>'Review 2'!W157</f>
        <v>2.6666666666666665</v>
      </c>
      <c r="Q157" s="139">
        <f>'Review 2'!AC157</f>
        <v>2.5</v>
      </c>
      <c r="R157" s="139">
        <f>'Review 2'!AI157</f>
        <v>2.5</v>
      </c>
      <c r="S157" s="139"/>
      <c r="T157" s="139">
        <f>'Review 2'!AU157</f>
        <v>2.6666666666666665</v>
      </c>
      <c r="U157" s="138"/>
      <c r="V157" s="62"/>
      <c r="W157" s="139">
        <f>'Review 3'!Q157</f>
        <v>1</v>
      </c>
      <c r="X157" s="139">
        <f>'Review 3'!W157</f>
        <v>0</v>
      </c>
      <c r="Y157" s="139">
        <f>'Review 3'!AC157</f>
        <v>2.5</v>
      </c>
      <c r="Z157" s="139">
        <f>'Review 3'!AI157</f>
        <v>0</v>
      </c>
      <c r="AA157" s="62"/>
      <c r="AB157" s="139">
        <f>'Review 3'!AU157</f>
        <v>2</v>
      </c>
      <c r="AC157" s="138"/>
      <c r="AD157" s="62"/>
      <c r="AE157" s="139">
        <f>'Review 4'!Q157</f>
        <v>2.4</v>
      </c>
      <c r="AF157" s="139">
        <f>'Review 4'!W157</f>
        <v>2.3333333333333335</v>
      </c>
      <c r="AG157" s="139">
        <f>'Review 4'!AC157</f>
        <v>1</v>
      </c>
      <c r="AH157" s="139">
        <f>'Review 4'!AI157</f>
        <v>1</v>
      </c>
      <c r="AI157" s="139"/>
      <c r="AJ157" s="139">
        <f>'Review 4'!AU157</f>
        <v>1</v>
      </c>
      <c r="AK157" s="138"/>
      <c r="AL157" s="62"/>
      <c r="AM157" s="139">
        <f>'Reflection -1 '!Q157</f>
        <v>4</v>
      </c>
      <c r="AN157" s="62"/>
      <c r="AO157" s="62"/>
      <c r="AP157" s="62"/>
      <c r="AQ157" s="62"/>
      <c r="AR157" s="62"/>
      <c r="AS157" s="138"/>
      <c r="AT157" s="62"/>
      <c r="AU157" s="139">
        <f>'Reflection -2'!Q157</f>
        <v>2.6666666666666665</v>
      </c>
      <c r="AV157" s="62"/>
      <c r="AW157" s="62"/>
      <c r="AX157" s="62"/>
      <c r="AY157" s="139"/>
      <c r="AZ157" s="62"/>
      <c r="BA157" s="138"/>
      <c r="BB157" s="139"/>
      <c r="BC157" s="139">
        <f>'Reflection -3'!Q157</f>
        <v>1.6666666666666667</v>
      </c>
      <c r="BD157" s="139"/>
      <c r="BE157" s="139"/>
      <c r="BF157" s="139"/>
      <c r="BG157" s="139"/>
      <c r="BH157" s="139"/>
      <c r="BI157" s="138"/>
      <c r="BJ157" s="139"/>
      <c r="BK157" s="139">
        <f>'Reflection -3'!Q157</f>
        <v>1.6666666666666667</v>
      </c>
      <c r="BL157" s="62"/>
      <c r="BM157" s="139"/>
      <c r="BN157" s="62"/>
      <c r="BO157" s="139"/>
      <c r="BP157" s="139"/>
      <c r="BQ157" s="138"/>
      <c r="BR157" s="139"/>
      <c r="BS157" s="139">
        <f>Capstone!Q158</f>
        <v>3.8333333333333335</v>
      </c>
      <c r="BT157" s="139">
        <f>Capstone!W158</f>
        <v>3.5</v>
      </c>
      <c r="BU157" s="139">
        <f>Capstone!AC158</f>
        <v>3.5</v>
      </c>
      <c r="BV157" s="139">
        <f>Capstone!AI158</f>
        <v>0</v>
      </c>
      <c r="BW157" s="139">
        <f>Capstone!AO158</f>
        <v>3.5</v>
      </c>
      <c r="BX157" s="139">
        <f>Capstone!AU158</f>
        <v>4</v>
      </c>
      <c r="BY157" s="138"/>
      <c r="BZ157" s="139"/>
      <c r="CA15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2.3499999999999996</v>
      </c>
      <c r="CB157" s="139">
        <f>IFERROR(AVERAGE(Table110461117[[#This Row],[Column31]],Table110461117[[#This Row],[Column13]],Table110461117[[#This Row],[Column4]],Table110461117[[#This Row],[Column22]],),"A")</f>
        <v>1.5333333333333332</v>
      </c>
      <c r="CC157" s="139">
        <f>IFERROR(AVERAGE(Table110461117[[#This Row],[Column5]],Table110461117[[#This Row],[Column14]],Table110461117[[#This Row],[Column23]],Table110461117[[#This Row],[Column32]]),"A")</f>
        <v>2.25</v>
      </c>
      <c r="CD157" s="139">
        <f>IFERROR(AVERAGE(Table110461117[[#This Row],[Column6]],Table110461117[[#This Row],[Column15]],Table110461117[[#This Row],[Column24]],Table110461117[[#This Row],[Column33]]),"A")</f>
        <v>1.625</v>
      </c>
      <c r="CE157" s="139"/>
      <c r="CF157" s="139">
        <f>IFERROR(AVERAGE(Table110461117[[#This Row],[Column26]],Table110461117[[#This Row],[Column35]],Table110461117[[#This Row],[Column17]],Table110461117[[#This Row],[Column8]]),"A")</f>
        <v>2.083333333333333</v>
      </c>
      <c r="CG157" s="138"/>
      <c r="CH157" s="139">
        <f>IFERROR(AVERAGE('Review 1'!AX157,'Review 2'!AX157,'Review 3'!AX157,'Review 4'!AX157,'Reflection -1 '!AX157,'Reflection -2'!AX157,'Reflection -3'!AX157,'Reflection -4'!AX157),"A")</f>
        <v>3.375</v>
      </c>
      <c r="CI157" s="139">
        <f>IFERROR(AVERAGE('Review 1'!AY157,'Review 2'!AY157,'Review 3'!AY157,'Review 4'!AY157,'Reflection -1 '!AY157,'Reflection -2'!AY157,'Reflection -3'!AY157,'Reflection -4'!AY157,Capstone!AY158),"A")</f>
        <v>1.3333333333333333</v>
      </c>
      <c r="CJ157" s="139">
        <f>IFERROR(AVERAGE('Review 1'!AZ157,'Review 2'!AZ157,'Review 3'!AZ157,'Review 4'!AZ157,'Reflection -1 '!AZ157,'Reflection -2'!AZ157,'Reflection -3'!AZ157,'Reflection -4'!AZ157),"A")</f>
        <v>1.75</v>
      </c>
    </row>
    <row r="158" spans="1:88" s="122" customFormat="1" ht="23.1" customHeight="1" x14ac:dyDescent="0.3">
      <c r="A158" s="6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140"/>
      <c r="G158" s="140">
        <f>'Review 1'!Q158</f>
        <v>1</v>
      </c>
      <c r="H158" s="140">
        <f>'Review 1'!W158</f>
        <v>1</v>
      </c>
      <c r="I158" s="140">
        <f>'Review 1'!AC158</f>
        <v>1</v>
      </c>
      <c r="J158" s="140">
        <f>'Review 1'!AI158</f>
        <v>1</v>
      </c>
      <c r="K158" s="140"/>
      <c r="L158" s="140">
        <f>'Review 1'!AU158</f>
        <v>1</v>
      </c>
      <c r="M158" s="138"/>
      <c r="N158" s="140"/>
      <c r="O158" s="140">
        <f>'Review 2'!Q158</f>
        <v>1</v>
      </c>
      <c r="P158" s="140">
        <f>'Review 2'!W158</f>
        <v>1</v>
      </c>
      <c r="Q158" s="140">
        <f>'Review 2'!AC158</f>
        <v>1</v>
      </c>
      <c r="R158" s="140">
        <f>'Review 2'!AI158</f>
        <v>1</v>
      </c>
      <c r="S158" s="140"/>
      <c r="T158" s="140">
        <f>'Review 2'!AU158</f>
        <v>1</v>
      </c>
      <c r="U158" s="138"/>
      <c r="V158" s="7"/>
      <c r="W158" s="140">
        <f>'Review 3'!Q158</f>
        <v>1</v>
      </c>
      <c r="X158" s="140">
        <f>'Review 3'!W158</f>
        <v>0</v>
      </c>
      <c r="Y158" s="140">
        <f>'Review 3'!AC158</f>
        <v>1</v>
      </c>
      <c r="Z158" s="140">
        <f>'Review 3'!AI158</f>
        <v>0</v>
      </c>
      <c r="AA158" s="7"/>
      <c r="AB158" s="140">
        <f>'Review 3'!AU158</f>
        <v>1.6666666666666667</v>
      </c>
      <c r="AC158" s="138"/>
      <c r="AD158" s="7"/>
      <c r="AE158" s="140">
        <f>'Review 4'!Q158</f>
        <v>3</v>
      </c>
      <c r="AF158" s="140">
        <f>'Review 4'!W158</f>
        <v>2</v>
      </c>
      <c r="AG158" s="140">
        <f>'Review 4'!AC158</f>
        <v>2</v>
      </c>
      <c r="AH158" s="140">
        <f>'Review 4'!AI158</f>
        <v>1</v>
      </c>
      <c r="AI158" s="140"/>
      <c r="AJ158" s="140">
        <f>'Review 4'!AU158</f>
        <v>2</v>
      </c>
      <c r="AK158" s="138"/>
      <c r="AL158" s="7"/>
      <c r="AM158" s="140">
        <f>'Reflection -1 '!Q158</f>
        <v>3</v>
      </c>
      <c r="AN158" s="7"/>
      <c r="AO158" s="7"/>
      <c r="AP158" s="7"/>
      <c r="AQ158" s="7"/>
      <c r="AR158" s="7"/>
      <c r="AS158" s="138"/>
      <c r="AT158" s="7"/>
      <c r="AU158" s="140">
        <f>'Reflection -2'!Q158</f>
        <v>4</v>
      </c>
      <c r="AV158" s="7"/>
      <c r="AW158" s="7"/>
      <c r="AX158" s="7"/>
      <c r="AY158" s="140"/>
      <c r="AZ158" s="7"/>
      <c r="BA158" s="138"/>
      <c r="BB158" s="140"/>
      <c r="BC158" s="140">
        <f>'Reflection -3'!Q158</f>
        <v>3.6666666666666665</v>
      </c>
      <c r="BD158" s="140"/>
      <c r="BE158" s="140"/>
      <c r="BF158" s="140"/>
      <c r="BG158" s="140"/>
      <c r="BH158" s="140"/>
      <c r="BI158" s="138"/>
      <c r="BJ158" s="140"/>
      <c r="BK158" s="140">
        <f>'Reflection -3'!Q158</f>
        <v>3.6666666666666665</v>
      </c>
      <c r="BL158" s="7"/>
      <c r="BM158" s="140"/>
      <c r="BN158" s="7"/>
      <c r="BO158" s="140"/>
      <c r="BP158" s="140"/>
      <c r="BQ158" s="138"/>
      <c r="BR158" s="140"/>
      <c r="BS158" s="140">
        <f>Capstone!Q159</f>
        <v>1.3333333333333333</v>
      </c>
      <c r="BT158" s="140">
        <f>Capstone!W159</f>
        <v>2</v>
      </c>
      <c r="BU158" s="140">
        <f>Capstone!AC159</f>
        <v>2</v>
      </c>
      <c r="BV158" s="140">
        <f>Capstone!AI159</f>
        <v>3</v>
      </c>
      <c r="BW158" s="140">
        <f>Capstone!AO159</f>
        <v>1</v>
      </c>
      <c r="BX158" s="140">
        <f>Capstone!AU159</f>
        <v>1</v>
      </c>
      <c r="BY158" s="138"/>
      <c r="BZ158" s="140"/>
      <c r="CA15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2.5416666666666665</v>
      </c>
      <c r="CB158" s="140">
        <f>IFERROR(AVERAGE(Table110461117[[#This Row],[Column31]],Table110461117[[#This Row],[Column13]],Table110461117[[#This Row],[Column4]],Table110461117[[#This Row],[Column22]],),"A")</f>
        <v>0.8</v>
      </c>
      <c r="CC158" s="140">
        <f>IFERROR(AVERAGE(Table110461117[[#This Row],[Column5]],Table110461117[[#This Row],[Column14]],Table110461117[[#This Row],[Column23]],Table110461117[[#This Row],[Column32]]),"A")</f>
        <v>1.25</v>
      </c>
      <c r="CD158" s="140">
        <f>IFERROR(AVERAGE(Table110461117[[#This Row],[Column6]],Table110461117[[#This Row],[Column15]],Table110461117[[#This Row],[Column24]],Table110461117[[#This Row],[Column33]]),"A")</f>
        <v>0.75</v>
      </c>
      <c r="CE158" s="140"/>
      <c r="CF158" s="140">
        <f>IFERROR(AVERAGE(Table110461117[[#This Row],[Column26]],Table110461117[[#This Row],[Column35]],Table110461117[[#This Row],[Column17]],Table110461117[[#This Row],[Column8]]),"A")</f>
        <v>1.4166666666666667</v>
      </c>
      <c r="CG158" s="138"/>
      <c r="CH158" s="140">
        <f>IFERROR(AVERAGE('Review 1'!AX158,'Review 2'!AX158,'Review 3'!AX158,'Review 4'!AX158,'Reflection -1 '!AX158,'Reflection -2'!AX158,'Reflection -3'!AX158,'Reflection -4'!AX158),"A")</f>
        <v>3.125</v>
      </c>
      <c r="CI158" s="140">
        <f>IFERROR(AVERAGE('Review 1'!AY158,'Review 2'!AY158,'Review 3'!AY158,'Review 4'!AY158,'Reflection -1 '!AY158,'Reflection -2'!AY158,'Reflection -3'!AY158,'Reflection -4'!AY158,Capstone!AY159),"A")</f>
        <v>0.66666666666666663</v>
      </c>
      <c r="CJ158" s="140">
        <f>IFERROR(AVERAGE('Review 1'!AZ158,'Review 2'!AZ158,'Review 3'!AZ158,'Review 4'!AZ158,'Reflection -1 '!AZ158,'Reflection -2'!AZ158,'Reflection -3'!AZ158,'Reflection -4'!AZ158),"A")</f>
        <v>1.625</v>
      </c>
    </row>
    <row r="159" spans="1:88" s="122" customFormat="1" ht="23.1" customHeight="1" x14ac:dyDescent="0.3">
      <c r="A159" s="137">
        <v>157</v>
      </c>
      <c r="B159" s="62" t="s">
        <v>205</v>
      </c>
      <c r="C159" s="62" t="s">
        <v>206</v>
      </c>
      <c r="D159" s="62" t="s">
        <v>450</v>
      </c>
      <c r="E159" s="62" t="s">
        <v>161</v>
      </c>
      <c r="F159" s="139"/>
      <c r="G159" s="139">
        <f>'Review 1'!Q159</f>
        <v>2</v>
      </c>
      <c r="H159" s="139">
        <f>'Review 1'!W159</f>
        <v>2</v>
      </c>
      <c r="I159" s="139">
        <f>'Review 1'!AC159</f>
        <v>2</v>
      </c>
      <c r="J159" s="139">
        <f>'Review 1'!AI159</f>
        <v>2</v>
      </c>
      <c r="K159" s="139"/>
      <c r="L159" s="139">
        <f>'Review 1'!AU159</f>
        <v>2</v>
      </c>
      <c r="M159" s="138"/>
      <c r="N159" s="139"/>
      <c r="O159" s="139">
        <f>'Review 2'!Q159</f>
        <v>2</v>
      </c>
      <c r="P159" s="139">
        <f>'Review 2'!W159</f>
        <v>2</v>
      </c>
      <c r="Q159" s="139">
        <f>'Review 2'!AC159</f>
        <v>2</v>
      </c>
      <c r="R159" s="139">
        <f>'Review 2'!AI159</f>
        <v>2</v>
      </c>
      <c r="S159" s="139"/>
      <c r="T159" s="139">
        <f>'Review 2'!AU159</f>
        <v>2</v>
      </c>
      <c r="U159" s="138"/>
      <c r="V159" s="62"/>
      <c r="W159" s="139">
        <f>'Review 3'!Q159</f>
        <v>1.8</v>
      </c>
      <c r="X159" s="139">
        <f>'Review 3'!W159</f>
        <v>0</v>
      </c>
      <c r="Y159" s="139">
        <f>'Review 3'!AC159</f>
        <v>2</v>
      </c>
      <c r="Z159" s="139">
        <f>'Review 3'!AI159</f>
        <v>0</v>
      </c>
      <c r="AA159" s="62"/>
      <c r="AB159" s="139">
        <f>'Review 3'!AU159</f>
        <v>0</v>
      </c>
      <c r="AC159" s="138"/>
      <c r="AD159" s="62"/>
      <c r="AE159" s="139">
        <f>'Review 4'!Q159</f>
        <v>3</v>
      </c>
      <c r="AF159" s="139">
        <f>'Review 4'!W159</f>
        <v>2</v>
      </c>
      <c r="AG159" s="139">
        <f>'Review 4'!AC159</f>
        <v>1</v>
      </c>
      <c r="AH159" s="139">
        <f>'Review 4'!AI159</f>
        <v>1</v>
      </c>
      <c r="AI159" s="139"/>
      <c r="AJ159" s="139">
        <f>'Review 4'!AU159</f>
        <v>1</v>
      </c>
      <c r="AK159" s="138"/>
      <c r="AL159" s="62"/>
      <c r="AM159" s="139">
        <f>'Reflection -1 '!Q159</f>
        <v>2.6666666666666665</v>
      </c>
      <c r="AN159" s="62"/>
      <c r="AO159" s="62"/>
      <c r="AP159" s="62"/>
      <c r="AQ159" s="62"/>
      <c r="AR159" s="62"/>
      <c r="AS159" s="138"/>
      <c r="AT159" s="62"/>
      <c r="AU159" s="139">
        <f>'Reflection -2'!Q159</f>
        <v>0</v>
      </c>
      <c r="AV159" s="62"/>
      <c r="AW159" s="62"/>
      <c r="AX159" s="62"/>
      <c r="AY159" s="139"/>
      <c r="AZ159" s="62"/>
      <c r="BA159" s="138"/>
      <c r="BB159" s="139"/>
      <c r="BC159" s="139">
        <f>'Reflection -3'!Q159</f>
        <v>0</v>
      </c>
      <c r="BD159" s="139"/>
      <c r="BE159" s="139"/>
      <c r="BF159" s="139"/>
      <c r="BG159" s="139"/>
      <c r="BH159" s="139"/>
      <c r="BI159" s="138"/>
      <c r="BJ159" s="139"/>
      <c r="BK159" s="139">
        <f>'Reflection -3'!Q159</f>
        <v>0</v>
      </c>
      <c r="BL159" s="62"/>
      <c r="BM159" s="139"/>
      <c r="BN159" s="62"/>
      <c r="BO159" s="139"/>
      <c r="BP159" s="139"/>
      <c r="BQ159" s="138"/>
      <c r="BR159" s="139"/>
      <c r="BS159" s="139">
        <f>Capstone!Q160</f>
        <v>3.1666666666666665</v>
      </c>
      <c r="BT159" s="139">
        <f>Capstone!W160</f>
        <v>4</v>
      </c>
      <c r="BU159" s="139">
        <f>Capstone!AC160</f>
        <v>4</v>
      </c>
      <c r="BV159" s="139">
        <f>Capstone!AI160</f>
        <v>0</v>
      </c>
      <c r="BW159" s="139">
        <f>Capstone!AO160</f>
        <v>3.5</v>
      </c>
      <c r="BX159" s="139">
        <f>Capstone!AU160</f>
        <v>4</v>
      </c>
      <c r="BY159" s="138"/>
      <c r="BZ159" s="139"/>
      <c r="CA15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1.4333333333333333</v>
      </c>
      <c r="CB159" s="139">
        <f>IFERROR(AVERAGE(Table110461117[[#This Row],[Column31]],Table110461117[[#This Row],[Column13]],Table110461117[[#This Row],[Column4]],Table110461117[[#This Row],[Column22]],),"A")</f>
        <v>1.2</v>
      </c>
      <c r="CC159" s="139">
        <f>IFERROR(AVERAGE(Table110461117[[#This Row],[Column5]],Table110461117[[#This Row],[Column14]],Table110461117[[#This Row],[Column23]],Table110461117[[#This Row],[Column32]]),"A")</f>
        <v>1.75</v>
      </c>
      <c r="CD159" s="139">
        <f>IFERROR(AVERAGE(Table110461117[[#This Row],[Column6]],Table110461117[[#This Row],[Column15]],Table110461117[[#This Row],[Column24]],Table110461117[[#This Row],[Column33]]),"A")</f>
        <v>1.25</v>
      </c>
      <c r="CE159" s="139"/>
      <c r="CF159" s="139">
        <f>IFERROR(AVERAGE(Table110461117[[#This Row],[Column26]],Table110461117[[#This Row],[Column35]],Table110461117[[#This Row],[Column17]],Table110461117[[#This Row],[Column8]]),"A")</f>
        <v>1.25</v>
      </c>
      <c r="CG159" s="138"/>
      <c r="CH159" s="139">
        <f>IFERROR(AVERAGE('Review 1'!AX159,'Review 2'!AX159,'Review 3'!AX159,'Review 4'!AX159,'Reflection -1 '!AX159,'Reflection -2'!AX159,'Reflection -3'!AX159,'Reflection -4'!AX159),"A")</f>
        <v>1.25</v>
      </c>
      <c r="CI159" s="139">
        <f>IFERROR(AVERAGE('Review 1'!AY159,'Review 2'!AY159,'Review 3'!AY159,'Review 4'!AY159,'Reflection -1 '!AY159,'Reflection -2'!AY159,'Reflection -3'!AY159,'Reflection -4'!AY159,Capstone!AY160),"A")</f>
        <v>1</v>
      </c>
      <c r="CJ159" s="139">
        <f>IFERROR(AVERAGE('Review 1'!AZ159,'Review 2'!AZ159,'Review 3'!AZ159,'Review 4'!AZ159,'Reflection -1 '!AZ159,'Reflection -2'!AZ159,'Reflection -3'!AZ159,'Reflection -4'!AZ159),"A")</f>
        <v>0.625</v>
      </c>
    </row>
    <row r="160" spans="1:88" s="122" customFormat="1" ht="23.1" customHeight="1" x14ac:dyDescent="0.3">
      <c r="A160" s="6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140"/>
      <c r="G160" s="140">
        <f>'Review 1'!Q160</f>
        <v>2.8</v>
      </c>
      <c r="H160" s="140">
        <f>'Review 1'!W160</f>
        <v>3</v>
      </c>
      <c r="I160" s="140">
        <f>'Review 1'!AC160</f>
        <v>3</v>
      </c>
      <c r="J160" s="140">
        <f>'Review 1'!AI160</f>
        <v>3</v>
      </c>
      <c r="K160" s="140"/>
      <c r="L160" s="140">
        <f>'Review 1'!AU160</f>
        <v>3</v>
      </c>
      <c r="M160" s="138"/>
      <c r="N160" s="140"/>
      <c r="O160" s="140">
        <f>'Review 2'!Q160</f>
        <v>2.8</v>
      </c>
      <c r="P160" s="140">
        <f>'Review 2'!W160</f>
        <v>2.3333333333333335</v>
      </c>
      <c r="Q160" s="140">
        <f>'Review 2'!AC160</f>
        <v>4</v>
      </c>
      <c r="R160" s="140">
        <f>'Review 2'!AI160</f>
        <v>1</v>
      </c>
      <c r="S160" s="140"/>
      <c r="T160" s="140">
        <f>'Review 2'!AU160</f>
        <v>3</v>
      </c>
      <c r="U160" s="138"/>
      <c r="V160" s="7"/>
      <c r="W160" s="140">
        <f>'Review 3'!Q160</f>
        <v>3</v>
      </c>
      <c r="X160" s="140">
        <f>'Review 3'!W160</f>
        <v>0</v>
      </c>
      <c r="Y160" s="140">
        <f>'Review 3'!AC160</f>
        <v>0</v>
      </c>
      <c r="Z160" s="140">
        <f>'Review 3'!AI160</f>
        <v>0</v>
      </c>
      <c r="AA160" s="7"/>
      <c r="AB160" s="140">
        <f>'Review 3'!AU160</f>
        <v>0</v>
      </c>
      <c r="AC160" s="138"/>
      <c r="AD160" s="7"/>
      <c r="AE160" s="140">
        <f>'Review 4'!Q160</f>
        <v>2.2000000000000002</v>
      </c>
      <c r="AF160" s="140">
        <f>'Review 4'!W160</f>
        <v>3</v>
      </c>
      <c r="AG160" s="140">
        <f>'Review 4'!AC160</f>
        <v>2.5</v>
      </c>
      <c r="AH160" s="140">
        <f>'Review 4'!AI160</f>
        <v>5</v>
      </c>
      <c r="AI160" s="140"/>
      <c r="AJ160" s="140">
        <f>'Review 4'!AU160</f>
        <v>3.3333333333333335</v>
      </c>
      <c r="AK160" s="138"/>
      <c r="AL160" s="7"/>
      <c r="AM160" s="140">
        <f>'Reflection -1 '!Q160</f>
        <v>2</v>
      </c>
      <c r="AN160" s="7"/>
      <c r="AO160" s="7"/>
      <c r="AP160" s="7"/>
      <c r="AQ160" s="7"/>
      <c r="AR160" s="7"/>
      <c r="AS160" s="138"/>
      <c r="AT160" s="7"/>
      <c r="AU160" s="140">
        <f>'Reflection -2'!Q160</f>
        <v>3.3333333333333335</v>
      </c>
      <c r="AV160" s="7"/>
      <c r="AW160" s="7"/>
      <c r="AX160" s="7"/>
      <c r="AY160" s="140"/>
      <c r="AZ160" s="7"/>
      <c r="BA160" s="138"/>
      <c r="BB160" s="140"/>
      <c r="BC160" s="140">
        <f>'Reflection -3'!Q160</f>
        <v>2</v>
      </c>
      <c r="BD160" s="140"/>
      <c r="BE160" s="140"/>
      <c r="BF160" s="140"/>
      <c r="BG160" s="140"/>
      <c r="BH160" s="140"/>
      <c r="BI160" s="138"/>
      <c r="BJ160" s="140"/>
      <c r="BK160" s="140">
        <f>'Reflection -3'!Q160</f>
        <v>2</v>
      </c>
      <c r="BL160" s="7"/>
      <c r="BM160" s="140"/>
      <c r="BN160" s="7"/>
      <c r="BO160" s="140"/>
      <c r="BP160" s="140"/>
      <c r="BQ160" s="138"/>
      <c r="BR160" s="140"/>
      <c r="BS160" s="140">
        <f>Capstone!Q161</f>
        <v>3.3333333333333335</v>
      </c>
      <c r="BT160" s="140">
        <f>Capstone!W161</f>
        <v>4</v>
      </c>
      <c r="BU160" s="140">
        <f>Capstone!AC161</f>
        <v>4</v>
      </c>
      <c r="BV160" s="140">
        <f>Capstone!AI161</f>
        <v>4</v>
      </c>
      <c r="BW160" s="140">
        <f>Capstone!AO161</f>
        <v>5</v>
      </c>
      <c r="BX160" s="140">
        <f>Capstone!AU161</f>
        <v>5</v>
      </c>
      <c r="BY160" s="138"/>
      <c r="BZ160" s="140"/>
      <c r="CA16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2.5166666666666666</v>
      </c>
      <c r="CB160" s="140">
        <f>IFERROR(AVERAGE(Table110461117[[#This Row],[Column31]],Table110461117[[#This Row],[Column13]],Table110461117[[#This Row],[Column4]],Table110461117[[#This Row],[Column22]],),"A")</f>
        <v>1.6666666666666667</v>
      </c>
      <c r="CC160" s="140">
        <f>IFERROR(AVERAGE(Table110461117[[#This Row],[Column5]],Table110461117[[#This Row],[Column14]],Table110461117[[#This Row],[Column23]],Table110461117[[#This Row],[Column32]]),"A")</f>
        <v>2.375</v>
      </c>
      <c r="CD160" s="140">
        <f>IFERROR(AVERAGE(Table110461117[[#This Row],[Column6]],Table110461117[[#This Row],[Column15]],Table110461117[[#This Row],[Column24]],Table110461117[[#This Row],[Column33]]),"A")</f>
        <v>2.25</v>
      </c>
      <c r="CE160" s="140"/>
      <c r="CF160" s="140">
        <f>IFERROR(AVERAGE(Table110461117[[#This Row],[Column26]],Table110461117[[#This Row],[Column35]],Table110461117[[#This Row],[Column17]],Table110461117[[#This Row],[Column8]]),"A")</f>
        <v>2.3333333333333335</v>
      </c>
      <c r="CG160" s="138"/>
      <c r="CH160" s="140">
        <f>IFERROR(AVERAGE('Review 1'!AX160,'Review 2'!AX160,'Review 3'!AX160,'Review 4'!AX160,'Reflection -1 '!AX160,'Reflection -2'!AX160,'Reflection -3'!AX160,'Reflection -4'!AX160),"A")</f>
        <v>3.5</v>
      </c>
      <c r="CI160" s="140">
        <f>IFERROR(AVERAGE('Review 1'!AY160,'Review 2'!AY160,'Review 3'!AY160,'Review 4'!AY160,'Reflection -1 '!AY160,'Reflection -2'!AY160,'Reflection -3'!AY160,'Reflection -4'!AY160,Capstone!AY161),"A")</f>
        <v>2.4444444444444446</v>
      </c>
      <c r="CJ160" s="140">
        <f>IFERROR(AVERAGE('Review 1'!AZ160,'Review 2'!AZ160,'Review 3'!AZ160,'Review 4'!AZ160,'Reflection -1 '!AZ160,'Reflection -2'!AZ160,'Reflection -3'!AZ160,'Reflection -4'!AZ160),"A")</f>
        <v>2.5</v>
      </c>
    </row>
    <row r="161" spans="1:88" s="122" customFormat="1" ht="23.1" customHeight="1" x14ac:dyDescent="0.3">
      <c r="A161" s="137">
        <v>159</v>
      </c>
      <c r="B161" s="62" t="s">
        <v>190</v>
      </c>
      <c r="C161" s="62" t="s">
        <v>191</v>
      </c>
      <c r="D161" s="62" t="s">
        <v>450</v>
      </c>
      <c r="E161" s="62" t="s">
        <v>161</v>
      </c>
      <c r="F161" s="139"/>
      <c r="G161" s="139">
        <f>'Review 1'!Q161</f>
        <v>2</v>
      </c>
      <c r="H161" s="139">
        <f>'Review 1'!W161</f>
        <v>2</v>
      </c>
      <c r="I161" s="139">
        <f>'Review 1'!AC161</f>
        <v>2</v>
      </c>
      <c r="J161" s="139">
        <f>'Review 1'!AI161</f>
        <v>2</v>
      </c>
      <c r="K161" s="139"/>
      <c r="L161" s="139">
        <f>'Review 1'!AU161</f>
        <v>2</v>
      </c>
      <c r="M161" s="138"/>
      <c r="N161" s="139"/>
      <c r="O161" s="139">
        <f>'Review 2'!Q161</f>
        <v>2</v>
      </c>
      <c r="P161" s="139">
        <f>'Review 2'!W161</f>
        <v>2</v>
      </c>
      <c r="Q161" s="139">
        <f>'Review 2'!AC161</f>
        <v>2</v>
      </c>
      <c r="R161" s="139">
        <f>'Review 2'!AI161</f>
        <v>2</v>
      </c>
      <c r="S161" s="139"/>
      <c r="T161" s="139">
        <f>'Review 2'!AU161</f>
        <v>2</v>
      </c>
      <c r="U161" s="138"/>
      <c r="V161" s="62"/>
      <c r="W161" s="139">
        <f>'Review 3'!Q161</f>
        <v>2.8</v>
      </c>
      <c r="X161" s="139">
        <f>'Review 3'!W161</f>
        <v>0</v>
      </c>
      <c r="Y161" s="139">
        <f>'Review 3'!AC161</f>
        <v>2</v>
      </c>
      <c r="Z161" s="139">
        <f>'Review 3'!AI161</f>
        <v>0</v>
      </c>
      <c r="AA161" s="62"/>
      <c r="AB161" s="139">
        <f>'Review 3'!AU161</f>
        <v>0</v>
      </c>
      <c r="AC161" s="138"/>
      <c r="AD161" s="62"/>
      <c r="AE161" s="139">
        <f>'Review 4'!Q161</f>
        <v>2.6</v>
      </c>
      <c r="AF161" s="139">
        <f>'Review 4'!W161</f>
        <v>3.6666666666666665</v>
      </c>
      <c r="AG161" s="139">
        <f>'Review 4'!AC161</f>
        <v>4</v>
      </c>
      <c r="AH161" s="139">
        <f>'Review 4'!AI161</f>
        <v>5</v>
      </c>
      <c r="AI161" s="139"/>
      <c r="AJ161" s="139">
        <f>'Review 4'!AU161</f>
        <v>5</v>
      </c>
      <c r="AK161" s="138"/>
      <c r="AL161" s="62"/>
      <c r="AM161" s="139">
        <f>'Reflection -1 '!Q161</f>
        <v>3</v>
      </c>
      <c r="AN161" s="62"/>
      <c r="AO161" s="62"/>
      <c r="AP161" s="62"/>
      <c r="AQ161" s="62"/>
      <c r="AR161" s="62"/>
      <c r="AS161" s="138"/>
      <c r="AT161" s="62"/>
      <c r="AU161" s="139">
        <f>'Reflection -2'!Q161</f>
        <v>4</v>
      </c>
      <c r="AV161" s="62"/>
      <c r="AW161" s="62"/>
      <c r="AX161" s="62"/>
      <c r="AY161" s="139"/>
      <c r="AZ161" s="62"/>
      <c r="BA161" s="138"/>
      <c r="BB161" s="139"/>
      <c r="BC161" s="139">
        <f>'Reflection -3'!Q161</f>
        <v>1.6666666666666667</v>
      </c>
      <c r="BD161" s="139"/>
      <c r="BE161" s="139"/>
      <c r="BF161" s="139"/>
      <c r="BG161" s="139"/>
      <c r="BH161" s="139"/>
      <c r="BI161" s="138"/>
      <c r="BJ161" s="139"/>
      <c r="BK161" s="139">
        <f>'Reflection -3'!Q161</f>
        <v>1.6666666666666667</v>
      </c>
      <c r="BL161" s="62"/>
      <c r="BM161" s="139"/>
      <c r="BN161" s="62"/>
      <c r="BO161" s="139"/>
      <c r="BP161" s="139"/>
      <c r="BQ161" s="138"/>
      <c r="BR161" s="139"/>
      <c r="BS161" s="139">
        <f>Capstone!Q162</f>
        <v>3.6666666666666665</v>
      </c>
      <c r="BT161" s="139">
        <f>Capstone!W162</f>
        <v>3</v>
      </c>
      <c r="BU161" s="139">
        <f>Capstone!AC162</f>
        <v>3</v>
      </c>
      <c r="BV161" s="139">
        <f>Capstone!AI162</f>
        <v>0</v>
      </c>
      <c r="BW161" s="139">
        <f>Capstone!AO162</f>
        <v>3</v>
      </c>
      <c r="BX161" s="139">
        <f>Capstone!AU162</f>
        <v>3</v>
      </c>
      <c r="BY161" s="138"/>
      <c r="BZ161" s="139"/>
      <c r="CA16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2.4666666666666668</v>
      </c>
      <c r="CB161" s="139">
        <f>IFERROR(AVERAGE(Table110461117[[#This Row],[Column31]],Table110461117[[#This Row],[Column13]],Table110461117[[#This Row],[Column4]],Table110461117[[#This Row],[Column22]],),"A")</f>
        <v>1.5333333333333332</v>
      </c>
      <c r="CC161" s="139">
        <f>IFERROR(AVERAGE(Table110461117[[#This Row],[Column5]],Table110461117[[#This Row],[Column14]],Table110461117[[#This Row],[Column23]],Table110461117[[#This Row],[Column32]]),"A")</f>
        <v>2.5</v>
      </c>
      <c r="CD161" s="139">
        <f>IFERROR(AVERAGE(Table110461117[[#This Row],[Column6]],Table110461117[[#This Row],[Column15]],Table110461117[[#This Row],[Column24]],Table110461117[[#This Row],[Column33]]),"A")</f>
        <v>2.25</v>
      </c>
      <c r="CE161" s="139"/>
      <c r="CF161" s="139">
        <f>IFERROR(AVERAGE(Table110461117[[#This Row],[Column26]],Table110461117[[#This Row],[Column35]],Table110461117[[#This Row],[Column17]],Table110461117[[#This Row],[Column8]]),"A")</f>
        <v>2.25</v>
      </c>
      <c r="CG161" s="138"/>
      <c r="CH161" s="139">
        <f>IFERROR(AVERAGE('Review 1'!AX161,'Review 2'!AX161,'Review 3'!AX161,'Review 4'!AX161,'Reflection -1 '!AX161,'Reflection -2'!AX161,'Reflection -3'!AX161,'Reflection -4'!AX161),"A")</f>
        <v>3</v>
      </c>
      <c r="CI161" s="139">
        <f>IFERROR(AVERAGE('Review 1'!AY161,'Review 2'!AY161,'Review 3'!AY161,'Review 4'!AY161,'Reflection -1 '!AY161,'Reflection -2'!AY161,'Reflection -3'!AY161,'Reflection -4'!AY161,Capstone!AY162),"A")</f>
        <v>1.4444444444444444</v>
      </c>
      <c r="CJ161" s="139">
        <f>IFERROR(AVERAGE('Review 1'!AZ161,'Review 2'!AZ161,'Review 3'!AZ161,'Review 4'!AZ161,'Reflection -1 '!AZ161,'Reflection -2'!AZ161,'Reflection -3'!AZ161,'Reflection -4'!AZ161),"A")</f>
        <v>1.875</v>
      </c>
    </row>
    <row r="162" spans="1:88" s="122" customFormat="1" ht="23.1" customHeight="1" x14ac:dyDescent="0.3">
      <c r="A162" s="6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140"/>
      <c r="G162" s="140">
        <f>'Review 1'!Q162</f>
        <v>1.8</v>
      </c>
      <c r="H162" s="140">
        <f>'Review 1'!W162</f>
        <v>1</v>
      </c>
      <c r="I162" s="140">
        <f>'Review 1'!AC162</f>
        <v>1</v>
      </c>
      <c r="J162" s="140">
        <f>'Review 1'!AI162</f>
        <v>1</v>
      </c>
      <c r="K162" s="140"/>
      <c r="L162" s="140">
        <f>'Review 1'!AU162</f>
        <v>1</v>
      </c>
      <c r="M162" s="138"/>
      <c r="N162" s="140"/>
      <c r="O162" s="140">
        <f>'Review 2'!Q162</f>
        <v>1.8</v>
      </c>
      <c r="P162" s="140">
        <f>'Review 2'!W162</f>
        <v>1</v>
      </c>
      <c r="Q162" s="140">
        <f>'Review 2'!AC162</f>
        <v>1</v>
      </c>
      <c r="R162" s="140">
        <f>'Review 2'!AI162</f>
        <v>1</v>
      </c>
      <c r="S162" s="140"/>
      <c r="T162" s="140">
        <f>'Review 2'!AU162</f>
        <v>1</v>
      </c>
      <c r="U162" s="138"/>
      <c r="V162" s="7"/>
      <c r="W162" s="140">
        <f>'Review 3'!Q162</f>
        <v>2.2000000000000002</v>
      </c>
      <c r="X162" s="140">
        <f>'Review 3'!W162</f>
        <v>0</v>
      </c>
      <c r="Y162" s="140">
        <f>'Review 3'!AC162</f>
        <v>0</v>
      </c>
      <c r="Z162" s="140">
        <f>'Review 3'!AI162</f>
        <v>0</v>
      </c>
      <c r="AA162" s="7"/>
      <c r="AB162" s="140">
        <f>'Review 3'!AU162</f>
        <v>0</v>
      </c>
      <c r="AC162" s="138"/>
      <c r="AD162" s="7"/>
      <c r="AE162" s="140">
        <f>'Review 4'!Q162</f>
        <v>1</v>
      </c>
      <c r="AF162" s="140">
        <f>'Review 4'!W162</f>
        <v>1</v>
      </c>
      <c r="AG162" s="140">
        <f>'Review 4'!AC162</f>
        <v>1</v>
      </c>
      <c r="AH162" s="140">
        <f>'Review 4'!AI162</f>
        <v>0.5</v>
      </c>
      <c r="AI162" s="140"/>
      <c r="AJ162" s="140">
        <f>'Review 4'!AU162</f>
        <v>1</v>
      </c>
      <c r="AK162" s="138"/>
      <c r="AL162" s="7"/>
      <c r="AM162" s="140">
        <f>'Reflection -1 '!Q162</f>
        <v>0</v>
      </c>
      <c r="AN162" s="7"/>
      <c r="AO162" s="7"/>
      <c r="AP162" s="7"/>
      <c r="AQ162" s="7"/>
      <c r="AR162" s="7"/>
      <c r="AS162" s="138"/>
      <c r="AT162" s="7"/>
      <c r="AU162" s="140">
        <f>'Reflection -2'!Q162</f>
        <v>3.6666666666666665</v>
      </c>
      <c r="AV162" s="7"/>
      <c r="AW162" s="7"/>
      <c r="AX162" s="7"/>
      <c r="AY162" s="140"/>
      <c r="AZ162" s="7"/>
      <c r="BA162" s="138"/>
      <c r="BB162" s="140"/>
      <c r="BC162" s="140">
        <f>'Reflection -3'!Q162</f>
        <v>0</v>
      </c>
      <c r="BD162" s="140"/>
      <c r="BE162" s="140"/>
      <c r="BF162" s="140"/>
      <c r="BG162" s="140"/>
      <c r="BH162" s="140"/>
      <c r="BI162" s="138"/>
      <c r="BJ162" s="140"/>
      <c r="BK162" s="140">
        <f>'Reflection -3'!Q162</f>
        <v>0</v>
      </c>
      <c r="BL162" s="7"/>
      <c r="BM162" s="140"/>
      <c r="BN162" s="7"/>
      <c r="BO162" s="140"/>
      <c r="BP162" s="140"/>
      <c r="BQ162" s="138"/>
      <c r="BR162" s="140"/>
      <c r="BS162" s="140">
        <f>Capstone!Q163</f>
        <v>3</v>
      </c>
      <c r="BT162" s="140">
        <f>Capstone!W163</f>
        <v>4</v>
      </c>
      <c r="BU162" s="140">
        <f>Capstone!AC163</f>
        <v>4</v>
      </c>
      <c r="BV162" s="140">
        <f>Capstone!AI163</f>
        <v>3</v>
      </c>
      <c r="BW162" s="140">
        <f>Capstone!AO163</f>
        <v>4</v>
      </c>
      <c r="BX162" s="140">
        <f>Capstone!AU163</f>
        <v>3</v>
      </c>
      <c r="BY162" s="138"/>
      <c r="BZ162" s="140"/>
      <c r="CA16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1.3083333333333331</v>
      </c>
      <c r="CB162" s="140">
        <f>IFERROR(AVERAGE(Table110461117[[#This Row],[Column31]],Table110461117[[#This Row],[Column13]],Table110461117[[#This Row],[Column4]],Table110461117[[#This Row],[Column22]],),"A")</f>
        <v>0.6</v>
      </c>
      <c r="CC162" s="140">
        <f>IFERROR(AVERAGE(Table110461117[[#This Row],[Column5]],Table110461117[[#This Row],[Column14]],Table110461117[[#This Row],[Column23]],Table110461117[[#This Row],[Column32]]),"A")</f>
        <v>0.75</v>
      </c>
      <c r="CD162" s="140">
        <f>IFERROR(AVERAGE(Table110461117[[#This Row],[Column6]],Table110461117[[#This Row],[Column15]],Table110461117[[#This Row],[Column24]],Table110461117[[#This Row],[Column33]]),"A")</f>
        <v>0.625</v>
      </c>
      <c r="CE162" s="140"/>
      <c r="CF162" s="140">
        <f>IFERROR(AVERAGE(Table110461117[[#This Row],[Column26]],Table110461117[[#This Row],[Column35]],Table110461117[[#This Row],[Column17]],Table110461117[[#This Row],[Column8]]),"A")</f>
        <v>0.75</v>
      </c>
      <c r="CG162" s="138"/>
      <c r="CH162" s="140">
        <f>IFERROR(AVERAGE('Review 1'!AX162,'Review 2'!AX162,'Review 3'!AX162,'Review 4'!AX162,'Reflection -1 '!AX162,'Reflection -2'!AX162,'Reflection -3'!AX162,'Reflection -4'!AX162),"A")</f>
        <v>1</v>
      </c>
      <c r="CI162" s="140">
        <f>IFERROR(AVERAGE('Review 1'!AY162,'Review 2'!AY162,'Review 3'!AY162,'Review 4'!AY162,'Reflection -1 '!AY162,'Reflection -2'!AY162,'Reflection -3'!AY162,'Reflection -4'!AY162,Capstone!AY163),"A")</f>
        <v>0.77777777777777779</v>
      </c>
      <c r="CJ162" s="140">
        <f>IFERROR(AVERAGE('Review 1'!AZ162,'Review 2'!AZ162,'Review 3'!AZ162,'Review 4'!AZ162,'Reflection -1 '!AZ162,'Reflection -2'!AZ162,'Reflection -3'!AZ162,'Reflection -4'!AZ162),"A")</f>
        <v>0.875</v>
      </c>
    </row>
    <row r="163" spans="1:88" s="122" customFormat="1" ht="23.1" customHeight="1" x14ac:dyDescent="0.3">
      <c r="A163" s="137">
        <v>161</v>
      </c>
      <c r="B163" s="62" t="s">
        <v>389</v>
      </c>
      <c r="C163" s="62" t="s">
        <v>390</v>
      </c>
      <c r="D163" s="62" t="s">
        <v>450</v>
      </c>
      <c r="E163" s="62" t="s">
        <v>493</v>
      </c>
      <c r="F163" s="139"/>
      <c r="G163" s="139">
        <f>'Review 1'!Q163</f>
        <v>3</v>
      </c>
      <c r="H163" s="139">
        <f>'Review 1'!W163</f>
        <v>2</v>
      </c>
      <c r="I163" s="139">
        <f>'Review 1'!AC163</f>
        <v>2</v>
      </c>
      <c r="J163" s="139">
        <f>'Review 1'!AI163</f>
        <v>3</v>
      </c>
      <c r="K163" s="139"/>
      <c r="L163" s="139">
        <f>'Review 1'!AU163</f>
        <v>3</v>
      </c>
      <c r="M163" s="138"/>
      <c r="N163" s="139"/>
      <c r="O163" s="139">
        <f>'Review 2'!Q163</f>
        <v>2.4</v>
      </c>
      <c r="P163" s="139">
        <f>'Review 2'!W163</f>
        <v>2.3333333333333335</v>
      </c>
      <c r="Q163" s="139">
        <f>'Review 2'!AC163</f>
        <v>2</v>
      </c>
      <c r="R163" s="139">
        <f>'Review 2'!AI163</f>
        <v>1.5</v>
      </c>
      <c r="S163" s="139"/>
      <c r="T163" s="139">
        <f>'Review 2'!AU163</f>
        <v>3.3333333333333335</v>
      </c>
      <c r="U163" s="138"/>
      <c r="V163" s="62"/>
      <c r="W163" s="139">
        <f>'Review 3'!Q163</f>
        <v>2.8</v>
      </c>
      <c r="X163" s="139">
        <f>'Review 3'!W163</f>
        <v>0</v>
      </c>
      <c r="Y163" s="139">
        <f>'Review 3'!AC163</f>
        <v>0</v>
      </c>
      <c r="Z163" s="139">
        <f>'Review 3'!AI163</f>
        <v>0</v>
      </c>
      <c r="AA163" s="62"/>
      <c r="AB163" s="139">
        <f>'Review 3'!AU163</f>
        <v>0</v>
      </c>
      <c r="AC163" s="138"/>
      <c r="AD163" s="62"/>
      <c r="AE163" s="139">
        <f>'Review 4'!Q163</f>
        <v>2.4</v>
      </c>
      <c r="AF163" s="139">
        <f>'Review 4'!W163</f>
        <v>3</v>
      </c>
      <c r="AG163" s="139">
        <f>'Review 4'!AC163</f>
        <v>2.5</v>
      </c>
      <c r="AH163" s="139">
        <f>'Review 4'!AI163</f>
        <v>5</v>
      </c>
      <c r="AI163" s="139"/>
      <c r="AJ163" s="139">
        <f>'Review 4'!AU163</f>
        <v>2</v>
      </c>
      <c r="AK163" s="138"/>
      <c r="AL163" s="62"/>
      <c r="AM163" s="139">
        <f>'Reflection -1 '!Q163</f>
        <v>3.3333333333333335</v>
      </c>
      <c r="AN163" s="62"/>
      <c r="AO163" s="62"/>
      <c r="AP163" s="62"/>
      <c r="AQ163" s="62"/>
      <c r="AR163" s="62"/>
      <c r="AS163" s="138"/>
      <c r="AT163" s="62"/>
      <c r="AU163" s="139">
        <f>'Reflection -2'!Q163</f>
        <v>2.6666666666666665</v>
      </c>
      <c r="AV163" s="62"/>
      <c r="AW163" s="62"/>
      <c r="AX163" s="62"/>
      <c r="AY163" s="139"/>
      <c r="AZ163" s="62"/>
      <c r="BA163" s="138"/>
      <c r="BB163" s="139"/>
      <c r="BC163" s="139">
        <f>'Reflection -3'!Q163</f>
        <v>2.6666666666666665</v>
      </c>
      <c r="BD163" s="139"/>
      <c r="BE163" s="139"/>
      <c r="BF163" s="139"/>
      <c r="BG163" s="139"/>
      <c r="BH163" s="139"/>
      <c r="BI163" s="138"/>
      <c r="BJ163" s="139"/>
      <c r="BK163" s="139">
        <f>'Reflection -3'!Q163</f>
        <v>2.6666666666666665</v>
      </c>
      <c r="BL163" s="62"/>
      <c r="BM163" s="139"/>
      <c r="BN163" s="62"/>
      <c r="BO163" s="139"/>
      <c r="BP163" s="139"/>
      <c r="BQ163" s="138"/>
      <c r="BR163" s="139"/>
      <c r="BS163" s="139">
        <f>Capstone!Q164</f>
        <v>2.6666666666666665</v>
      </c>
      <c r="BT163" s="139">
        <f>Capstone!W164</f>
        <v>3</v>
      </c>
      <c r="BU163" s="139">
        <f>Capstone!AC164</f>
        <v>3</v>
      </c>
      <c r="BV163" s="139">
        <f>Capstone!AI164</f>
        <v>3</v>
      </c>
      <c r="BW163" s="139">
        <f>Capstone!AO164</f>
        <v>2.5</v>
      </c>
      <c r="BX163" s="139">
        <f>Capstone!AU164</f>
        <v>2.5</v>
      </c>
      <c r="BY163" s="138"/>
      <c r="BZ163" s="139"/>
      <c r="CA16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2.7416666666666671</v>
      </c>
      <c r="CB163" s="139">
        <f>IFERROR(AVERAGE(Table110461117[[#This Row],[Column31]],Table110461117[[#This Row],[Column13]],Table110461117[[#This Row],[Column4]],Table110461117[[#This Row],[Column22]],),"A")</f>
        <v>1.4666666666666668</v>
      </c>
      <c r="CC163" s="139">
        <f>IFERROR(AVERAGE(Table110461117[[#This Row],[Column5]],Table110461117[[#This Row],[Column14]],Table110461117[[#This Row],[Column23]],Table110461117[[#This Row],[Column32]]),"A")</f>
        <v>1.625</v>
      </c>
      <c r="CD163" s="139">
        <f>IFERROR(AVERAGE(Table110461117[[#This Row],[Column6]],Table110461117[[#This Row],[Column15]],Table110461117[[#This Row],[Column24]],Table110461117[[#This Row],[Column33]]),"A")</f>
        <v>2.375</v>
      </c>
      <c r="CE163" s="139"/>
      <c r="CF163" s="139">
        <f>IFERROR(AVERAGE(Table110461117[[#This Row],[Column26]],Table110461117[[#This Row],[Column35]],Table110461117[[#This Row],[Column17]],Table110461117[[#This Row],[Column8]]),"A")</f>
        <v>2.0833333333333335</v>
      </c>
      <c r="CG163" s="138"/>
      <c r="CH163" s="139">
        <f>IFERROR(AVERAGE('Review 1'!AX163,'Review 2'!AX163,'Review 3'!AX163,'Review 4'!AX163,'Reflection -1 '!AX163,'Reflection -2'!AX163,'Reflection -3'!AX163,'Reflection -4'!AX163),"A")</f>
        <v>3.5</v>
      </c>
      <c r="CI163" s="139">
        <f>IFERROR(AVERAGE('Review 1'!AY163,'Review 2'!AY163,'Review 3'!AY163,'Review 4'!AY163,'Reflection -1 '!AY163,'Reflection -2'!AY163,'Reflection -3'!AY163,'Reflection -4'!AY163,Capstone!AY164),"A")</f>
        <v>2.1666666666666665</v>
      </c>
      <c r="CJ163" s="139">
        <f>IFERROR(AVERAGE('Review 1'!AZ163,'Review 2'!AZ163,'Review 3'!AZ163,'Review 4'!AZ163,'Reflection -1 '!AZ163,'Reflection -2'!AZ163,'Reflection -3'!AZ163,'Reflection -4'!AZ163),"A")</f>
        <v>2.25</v>
      </c>
    </row>
    <row r="164" spans="1:88" s="122" customFormat="1" ht="23.1" customHeight="1" x14ac:dyDescent="0.3">
      <c r="A164" s="6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140"/>
      <c r="G164" s="140">
        <f>'Review 1'!Q164</f>
        <v>2.2000000000000002</v>
      </c>
      <c r="H164" s="140">
        <f>'Review 1'!W164</f>
        <v>3</v>
      </c>
      <c r="I164" s="140">
        <f>'Review 1'!AC164</f>
        <v>3</v>
      </c>
      <c r="J164" s="140">
        <f>'Review 1'!AI164</f>
        <v>3</v>
      </c>
      <c r="K164" s="140"/>
      <c r="L164" s="140">
        <f>'Review 1'!AU164</f>
        <v>3</v>
      </c>
      <c r="M164" s="138"/>
      <c r="N164" s="140"/>
      <c r="O164" s="140">
        <f>'Review 2'!Q164</f>
        <v>2.4</v>
      </c>
      <c r="P164" s="140">
        <f>'Review 2'!W164</f>
        <v>2</v>
      </c>
      <c r="Q164" s="140">
        <f>'Review 2'!AC164</f>
        <v>2</v>
      </c>
      <c r="R164" s="140">
        <f>'Review 2'!AI164</f>
        <v>1</v>
      </c>
      <c r="S164" s="140"/>
      <c r="T164" s="140">
        <f>'Review 2'!AU164</f>
        <v>2</v>
      </c>
      <c r="U164" s="138"/>
      <c r="V164" s="7"/>
      <c r="W164" s="140">
        <f>'Review 3'!Q164</f>
        <v>2.2000000000000002</v>
      </c>
      <c r="X164" s="140">
        <f>'Review 3'!W164</f>
        <v>2</v>
      </c>
      <c r="Y164" s="140">
        <f>'Review 3'!AC164</f>
        <v>2</v>
      </c>
      <c r="Z164" s="140">
        <f>'Review 3'!AI164</f>
        <v>2</v>
      </c>
      <c r="AA164" s="7"/>
      <c r="AB164" s="140">
        <f>'Review 3'!AU164</f>
        <v>2</v>
      </c>
      <c r="AC164" s="138"/>
      <c r="AD164" s="7"/>
      <c r="AE164" s="140">
        <f>'Review 4'!Q164</f>
        <v>2.8</v>
      </c>
      <c r="AF164" s="140">
        <f>'Review 4'!W164</f>
        <v>3</v>
      </c>
      <c r="AG164" s="140">
        <f>'Review 4'!AC164</f>
        <v>4.5</v>
      </c>
      <c r="AH164" s="140">
        <f>'Review 4'!AI164</f>
        <v>5</v>
      </c>
      <c r="AI164" s="140"/>
      <c r="AJ164" s="140">
        <f>'Review 4'!AU164</f>
        <v>4.333333333333333</v>
      </c>
      <c r="AK164" s="138"/>
      <c r="AL164" s="7"/>
      <c r="AM164" s="140">
        <f>'Reflection -1 '!Q164</f>
        <v>3.6666666666666665</v>
      </c>
      <c r="AN164" s="7"/>
      <c r="AO164" s="7"/>
      <c r="AP164" s="7"/>
      <c r="AQ164" s="7"/>
      <c r="AR164" s="7"/>
      <c r="AS164" s="138"/>
      <c r="AT164" s="7"/>
      <c r="AU164" s="140">
        <f>'Reflection -2'!Q164</f>
        <v>4</v>
      </c>
      <c r="AV164" s="7"/>
      <c r="AW164" s="7"/>
      <c r="AX164" s="7"/>
      <c r="AY164" s="140"/>
      <c r="AZ164" s="7"/>
      <c r="BA164" s="138"/>
      <c r="BB164" s="140"/>
      <c r="BC164" s="140">
        <f>'Reflection -3'!Q164</f>
        <v>4</v>
      </c>
      <c r="BD164" s="140"/>
      <c r="BE164" s="140"/>
      <c r="BF164" s="140"/>
      <c r="BG164" s="140"/>
      <c r="BH164" s="140"/>
      <c r="BI164" s="138"/>
      <c r="BJ164" s="140"/>
      <c r="BK164" s="140">
        <f>'Reflection -3'!Q164</f>
        <v>4</v>
      </c>
      <c r="BL164" s="7"/>
      <c r="BM164" s="140"/>
      <c r="BN164" s="7"/>
      <c r="BO164" s="140"/>
      <c r="BP164" s="140"/>
      <c r="BQ164" s="138"/>
      <c r="BR164" s="140"/>
      <c r="BS164" s="140">
        <f>Capstone!Q165</f>
        <v>4.666666666666667</v>
      </c>
      <c r="BT164" s="140">
        <f>Capstone!W165</f>
        <v>5</v>
      </c>
      <c r="BU164" s="140">
        <f>Capstone!AC165</f>
        <v>5</v>
      </c>
      <c r="BV164" s="140">
        <f>Capstone!AI165</f>
        <v>4</v>
      </c>
      <c r="BW164" s="140">
        <f>Capstone!AO165</f>
        <v>4</v>
      </c>
      <c r="BX164" s="140">
        <f>Capstone!AU165</f>
        <v>5</v>
      </c>
      <c r="BY164" s="138"/>
      <c r="BZ164" s="140"/>
      <c r="CA16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3.1583333333333332</v>
      </c>
      <c r="CB164" s="140">
        <f>IFERROR(AVERAGE(Table110461117[[#This Row],[Column31]],Table110461117[[#This Row],[Column13]],Table110461117[[#This Row],[Column4]],Table110461117[[#This Row],[Column22]],),"A")</f>
        <v>2</v>
      </c>
      <c r="CC164" s="140">
        <f>IFERROR(AVERAGE(Table110461117[[#This Row],[Column5]],Table110461117[[#This Row],[Column14]],Table110461117[[#This Row],[Column23]],Table110461117[[#This Row],[Column32]]),"A")</f>
        <v>2.875</v>
      </c>
      <c r="CD164" s="140">
        <f>IFERROR(AVERAGE(Table110461117[[#This Row],[Column6]],Table110461117[[#This Row],[Column15]],Table110461117[[#This Row],[Column24]],Table110461117[[#This Row],[Column33]]),"A")</f>
        <v>2.75</v>
      </c>
      <c r="CE164" s="140"/>
      <c r="CF164" s="140">
        <f>IFERROR(AVERAGE(Table110461117[[#This Row],[Column26]],Table110461117[[#This Row],[Column35]],Table110461117[[#This Row],[Column17]],Table110461117[[#This Row],[Column8]]),"A")</f>
        <v>2.833333333333333</v>
      </c>
      <c r="CG164" s="138"/>
      <c r="CH164" s="140">
        <f>IFERROR(AVERAGE('Review 1'!AX164,'Review 2'!AX164,'Review 3'!AX164,'Review 4'!AX164,'Reflection -1 '!AX164,'Reflection -2'!AX164,'Reflection -3'!AX164,'Reflection -4'!AX164),"A")</f>
        <v>4</v>
      </c>
      <c r="CI164" s="140">
        <f>IFERROR(AVERAGE('Review 1'!AY164,'Review 2'!AY164,'Review 3'!AY164,'Review 4'!AY164,'Reflection -1 '!AY164,'Reflection -2'!AY164,'Reflection -3'!AY164,'Reflection -4'!AY164,Capstone!AY165),"A")</f>
        <v>2.6666666666666665</v>
      </c>
      <c r="CJ164" s="140">
        <f>IFERROR(AVERAGE('Review 1'!AZ164,'Review 2'!AZ164,'Review 3'!AZ164,'Review 4'!AZ164,'Reflection -1 '!AZ164,'Reflection -2'!AZ164,'Reflection -3'!AZ164,'Reflection -4'!AZ164),"A")</f>
        <v>3.625</v>
      </c>
    </row>
    <row r="165" spans="1:88" s="122" customFormat="1" ht="23.1" customHeight="1" x14ac:dyDescent="0.3">
      <c r="A165" s="137">
        <v>163</v>
      </c>
      <c r="B165" s="62" t="s">
        <v>221</v>
      </c>
      <c r="C165" s="62" t="s">
        <v>222</v>
      </c>
      <c r="D165" s="62" t="s">
        <v>450</v>
      </c>
      <c r="E165" s="62" t="s">
        <v>161</v>
      </c>
      <c r="F165" s="139"/>
      <c r="G165" s="139">
        <f>'Review 1'!Q165</f>
        <v>2</v>
      </c>
      <c r="H165" s="139">
        <f>'Review 1'!W165</f>
        <v>2</v>
      </c>
      <c r="I165" s="139">
        <f>'Review 1'!AC165</f>
        <v>2</v>
      </c>
      <c r="J165" s="139">
        <f>'Review 1'!AI165</f>
        <v>2</v>
      </c>
      <c r="K165" s="139"/>
      <c r="L165" s="139">
        <f>'Review 1'!AU165</f>
        <v>2</v>
      </c>
      <c r="M165" s="138"/>
      <c r="N165" s="139"/>
      <c r="O165" s="139">
        <f>'Review 2'!Q165</f>
        <v>2</v>
      </c>
      <c r="P165" s="139">
        <f>'Review 2'!W165</f>
        <v>2</v>
      </c>
      <c r="Q165" s="139">
        <f>'Review 2'!AC165</f>
        <v>2</v>
      </c>
      <c r="R165" s="139">
        <f>'Review 2'!AI165</f>
        <v>2</v>
      </c>
      <c r="S165" s="139"/>
      <c r="T165" s="139">
        <f>'Review 2'!AU165</f>
        <v>2</v>
      </c>
      <c r="U165" s="138"/>
      <c r="V165" s="62"/>
      <c r="W165" s="139">
        <f>'Review 3'!Q165</f>
        <v>2.4</v>
      </c>
      <c r="X165" s="139">
        <f>'Review 3'!W165</f>
        <v>0</v>
      </c>
      <c r="Y165" s="139">
        <f>'Review 3'!AC165</f>
        <v>2</v>
      </c>
      <c r="Z165" s="139">
        <f>'Review 3'!AI165</f>
        <v>0</v>
      </c>
      <c r="AA165" s="62"/>
      <c r="AB165" s="139">
        <f>'Review 3'!AU165</f>
        <v>0</v>
      </c>
      <c r="AC165" s="138"/>
      <c r="AD165" s="62"/>
      <c r="AE165" s="139">
        <f>'Review 4'!Q165</f>
        <v>2.4</v>
      </c>
      <c r="AF165" s="139">
        <f>'Review 4'!W165</f>
        <v>1</v>
      </c>
      <c r="AG165" s="139">
        <f>'Review 4'!AC165</f>
        <v>1</v>
      </c>
      <c r="AH165" s="139">
        <f>'Review 4'!AI165</f>
        <v>1</v>
      </c>
      <c r="AI165" s="139"/>
      <c r="AJ165" s="139">
        <f>'Review 4'!AU165</f>
        <v>1</v>
      </c>
      <c r="AK165" s="138"/>
      <c r="AL165" s="62"/>
      <c r="AM165" s="139">
        <f>'Reflection -1 '!Q165</f>
        <v>2.6666666666666665</v>
      </c>
      <c r="AN165" s="62"/>
      <c r="AO165" s="62"/>
      <c r="AP165" s="62"/>
      <c r="AQ165" s="62"/>
      <c r="AR165" s="62"/>
      <c r="AS165" s="138"/>
      <c r="AT165" s="62"/>
      <c r="AU165" s="139">
        <f>'Reflection -2'!Q165</f>
        <v>1</v>
      </c>
      <c r="AV165" s="62"/>
      <c r="AW165" s="62"/>
      <c r="AX165" s="62"/>
      <c r="AY165" s="139"/>
      <c r="AZ165" s="62"/>
      <c r="BA165" s="138"/>
      <c r="BB165" s="139"/>
      <c r="BC165" s="139">
        <f>'Reflection -3'!Q165</f>
        <v>3</v>
      </c>
      <c r="BD165" s="139"/>
      <c r="BE165" s="139"/>
      <c r="BF165" s="139"/>
      <c r="BG165" s="139"/>
      <c r="BH165" s="139"/>
      <c r="BI165" s="138"/>
      <c r="BJ165" s="139"/>
      <c r="BK165" s="139">
        <f>'Reflection -3'!Q165</f>
        <v>3</v>
      </c>
      <c r="BL165" s="62"/>
      <c r="BM165" s="139"/>
      <c r="BN165" s="62"/>
      <c r="BO165" s="139"/>
      <c r="BP165" s="139"/>
      <c r="BQ165" s="138"/>
      <c r="BR165" s="139"/>
      <c r="BS165" s="139">
        <f>Capstone!Q166</f>
        <v>2.6666666666666665</v>
      </c>
      <c r="BT165" s="139">
        <f>Capstone!W166</f>
        <v>5</v>
      </c>
      <c r="BU165" s="139">
        <f>Capstone!AC166</f>
        <v>5</v>
      </c>
      <c r="BV165" s="139">
        <f>Capstone!AI166</f>
        <v>0</v>
      </c>
      <c r="BW165" s="139">
        <f>Capstone!AO166</f>
        <v>2</v>
      </c>
      <c r="BX165" s="139">
        <f>Capstone!AU166</f>
        <v>4</v>
      </c>
      <c r="BY165" s="138"/>
      <c r="BZ165" s="139"/>
      <c r="CA16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2.3083333333333331</v>
      </c>
      <c r="CB165" s="139">
        <f>IFERROR(AVERAGE(Table110461117[[#This Row],[Column31]],Table110461117[[#This Row],[Column13]],Table110461117[[#This Row],[Column4]],Table110461117[[#This Row],[Column22]],),"A")</f>
        <v>1</v>
      </c>
      <c r="CC165" s="139">
        <f>IFERROR(AVERAGE(Table110461117[[#This Row],[Column5]],Table110461117[[#This Row],[Column14]],Table110461117[[#This Row],[Column23]],Table110461117[[#This Row],[Column32]]),"A")</f>
        <v>1.75</v>
      </c>
      <c r="CD165" s="139">
        <f>IFERROR(AVERAGE(Table110461117[[#This Row],[Column6]],Table110461117[[#This Row],[Column15]],Table110461117[[#This Row],[Column24]],Table110461117[[#This Row],[Column33]]),"A")</f>
        <v>1.25</v>
      </c>
      <c r="CE165" s="139"/>
      <c r="CF165" s="139">
        <f>IFERROR(AVERAGE(Table110461117[[#This Row],[Column26]],Table110461117[[#This Row],[Column35]],Table110461117[[#This Row],[Column17]],Table110461117[[#This Row],[Column8]]),"A")</f>
        <v>1.25</v>
      </c>
      <c r="CG165" s="138"/>
      <c r="CH165" s="139">
        <f>IFERROR(AVERAGE('Review 1'!AX165,'Review 2'!AX165,'Review 3'!AX165,'Review 4'!AX165,'Reflection -1 '!AX165,'Reflection -2'!AX165,'Reflection -3'!AX165,'Reflection -4'!AX165),"A")</f>
        <v>3.125</v>
      </c>
      <c r="CI165" s="139">
        <f>IFERROR(AVERAGE('Review 1'!AY165,'Review 2'!AY165,'Review 3'!AY165,'Review 4'!AY165,'Reflection -1 '!AY165,'Reflection -2'!AY165,'Reflection -3'!AY165,'Reflection -4'!AY165,Capstone!AY166),"A")</f>
        <v>1.1111111111111112</v>
      </c>
      <c r="CJ165" s="139">
        <f>IFERROR(AVERAGE('Review 1'!AZ165,'Review 2'!AZ165,'Review 3'!AZ165,'Review 4'!AZ165,'Reflection -1 '!AZ165,'Reflection -2'!AZ165,'Reflection -3'!AZ165,'Reflection -4'!AZ165),"A")</f>
        <v>1.5</v>
      </c>
    </row>
    <row r="166" spans="1:88" s="122" customFormat="1" ht="23.1" customHeight="1" x14ac:dyDescent="0.3">
      <c r="A166" s="6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140"/>
      <c r="G166" s="140">
        <f>'Review 1'!Q166</f>
        <v>3.4</v>
      </c>
      <c r="H166" s="140">
        <f>'Review 1'!W166</f>
        <v>3.6666666666666665</v>
      </c>
      <c r="I166" s="140">
        <f>'Review 1'!AC166</f>
        <v>3</v>
      </c>
      <c r="J166" s="140">
        <f>'Review 1'!AI166</f>
        <v>3</v>
      </c>
      <c r="K166" s="140"/>
      <c r="L166" s="140">
        <f>'Review 1'!AU166</f>
        <v>3</v>
      </c>
      <c r="M166" s="138"/>
      <c r="N166" s="140"/>
      <c r="O166" s="140">
        <f>'Review 2'!Q166</f>
        <v>3</v>
      </c>
      <c r="P166" s="140">
        <f>'Review 2'!W166</f>
        <v>3.6666666666666665</v>
      </c>
      <c r="Q166" s="140">
        <f>'Review 2'!AC166</f>
        <v>3.5</v>
      </c>
      <c r="R166" s="140">
        <f>'Review 2'!AI166</f>
        <v>3.5</v>
      </c>
      <c r="S166" s="140"/>
      <c r="T166" s="140">
        <f>'Review 2'!AU166</f>
        <v>3</v>
      </c>
      <c r="U166" s="138"/>
      <c r="V166" s="7"/>
      <c r="W166" s="140">
        <f>'Review 3'!Q166</f>
        <v>3</v>
      </c>
      <c r="X166" s="140">
        <f>'Review 3'!W166</f>
        <v>3</v>
      </c>
      <c r="Y166" s="140">
        <f>'Review 3'!AC166</f>
        <v>3.5</v>
      </c>
      <c r="Z166" s="140">
        <f>'Review 3'!AI166</f>
        <v>3.5</v>
      </c>
      <c r="AA166" s="7"/>
      <c r="AB166" s="140">
        <f>'Review 3'!AU166</f>
        <v>2.6666666666666665</v>
      </c>
      <c r="AC166" s="138"/>
      <c r="AD166" s="7"/>
      <c r="AE166" s="140">
        <f>'Review 4'!Q166</f>
        <v>2.8</v>
      </c>
      <c r="AF166" s="140">
        <f>'Review 4'!W166</f>
        <v>3.3333333333333335</v>
      </c>
      <c r="AG166" s="140">
        <f>'Review 4'!AC166</f>
        <v>2</v>
      </c>
      <c r="AH166" s="140">
        <f>'Review 4'!AI166</f>
        <v>2</v>
      </c>
      <c r="AI166" s="140"/>
      <c r="AJ166" s="140">
        <f>'Review 4'!AU166</f>
        <v>2.3333333333333335</v>
      </c>
      <c r="AK166" s="138"/>
      <c r="AL166" s="7"/>
      <c r="AM166" s="140">
        <f>'Reflection -1 '!Q166</f>
        <v>2</v>
      </c>
      <c r="AN166" s="7"/>
      <c r="AO166" s="7"/>
      <c r="AP166" s="7"/>
      <c r="AQ166" s="7"/>
      <c r="AR166" s="7"/>
      <c r="AS166" s="138"/>
      <c r="AT166" s="7"/>
      <c r="AU166" s="140">
        <f>'Reflection -2'!Q166</f>
        <v>0</v>
      </c>
      <c r="AV166" s="7"/>
      <c r="AW166" s="7"/>
      <c r="AX166" s="7"/>
      <c r="AY166" s="140"/>
      <c r="AZ166" s="7"/>
      <c r="BA166" s="138"/>
      <c r="BB166" s="140"/>
      <c r="BC166" s="140">
        <f>'Reflection -3'!Q166</f>
        <v>0</v>
      </c>
      <c r="BD166" s="140"/>
      <c r="BE166" s="140"/>
      <c r="BF166" s="140"/>
      <c r="BG166" s="140"/>
      <c r="BH166" s="140"/>
      <c r="BI166" s="138"/>
      <c r="BJ166" s="140"/>
      <c r="BK166" s="140">
        <f>'Reflection -3'!Q166</f>
        <v>0</v>
      </c>
      <c r="BL166" s="7"/>
      <c r="BM166" s="140"/>
      <c r="BN166" s="7"/>
      <c r="BO166" s="140"/>
      <c r="BP166" s="140"/>
      <c r="BQ166" s="138"/>
      <c r="BR166" s="140"/>
      <c r="BS166" s="140">
        <f>Capstone!Q167</f>
        <v>5</v>
      </c>
      <c r="BT166" s="140">
        <f>Capstone!W167</f>
        <v>5</v>
      </c>
      <c r="BU166" s="140">
        <f>Capstone!AC167</f>
        <v>5</v>
      </c>
      <c r="BV166" s="140">
        <f>Capstone!AI167</f>
        <v>0</v>
      </c>
      <c r="BW166" s="140">
        <f>Capstone!AO167</f>
        <v>4</v>
      </c>
      <c r="BX166" s="140">
        <f>Capstone!AU167</f>
        <v>4</v>
      </c>
      <c r="BY166" s="138"/>
      <c r="BZ166" s="140"/>
      <c r="CA16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1.7749999999999999</v>
      </c>
      <c r="CB166" s="140">
        <f>IFERROR(AVERAGE(Table110461117[[#This Row],[Column31]],Table110461117[[#This Row],[Column13]],Table110461117[[#This Row],[Column4]],Table110461117[[#This Row],[Column22]],),"A")</f>
        <v>2.7333333333333334</v>
      </c>
      <c r="CC166" s="140">
        <f>IFERROR(AVERAGE(Table110461117[[#This Row],[Column5]],Table110461117[[#This Row],[Column14]],Table110461117[[#This Row],[Column23]],Table110461117[[#This Row],[Column32]]),"A")</f>
        <v>3</v>
      </c>
      <c r="CD166" s="140">
        <f>IFERROR(AVERAGE(Table110461117[[#This Row],[Column6]],Table110461117[[#This Row],[Column15]],Table110461117[[#This Row],[Column24]],Table110461117[[#This Row],[Column33]]),"A")</f>
        <v>3</v>
      </c>
      <c r="CE166" s="140"/>
      <c r="CF166" s="140">
        <f>IFERROR(AVERAGE(Table110461117[[#This Row],[Column26]],Table110461117[[#This Row],[Column35]],Table110461117[[#This Row],[Column17]],Table110461117[[#This Row],[Column8]]),"A")</f>
        <v>2.75</v>
      </c>
      <c r="CG166" s="138"/>
      <c r="CH166" s="140">
        <f>IFERROR(AVERAGE('Review 1'!AX166,'Review 2'!AX166,'Review 3'!AX166,'Review 4'!AX166,'Reflection -1 '!AX166,'Reflection -2'!AX166,'Reflection -3'!AX166,'Reflection -4'!AX166),"A")</f>
        <v>2</v>
      </c>
      <c r="CI166" s="140">
        <f>IFERROR(AVERAGE('Review 1'!AY166,'Review 2'!AY166,'Review 3'!AY166,'Review 4'!AY166,'Reflection -1 '!AY166,'Reflection -2'!AY166,'Reflection -3'!AY166,'Reflection -4'!AY166,Capstone!AY167),"A")</f>
        <v>1.3333333333333333</v>
      </c>
      <c r="CJ166" s="140">
        <f>IFERROR(AVERAGE('Review 1'!AZ166,'Review 2'!AZ166,'Review 3'!AZ166,'Review 4'!AZ166,'Reflection -1 '!AZ166,'Reflection -2'!AZ166,'Reflection -3'!AZ166,'Reflection -4'!AZ166),"A")</f>
        <v>0.875</v>
      </c>
    </row>
    <row r="167" spans="1:88" s="122" customFormat="1" ht="23.1" customHeight="1" x14ac:dyDescent="0.3">
      <c r="A167" s="137">
        <v>165</v>
      </c>
      <c r="B167" s="62" t="s">
        <v>48</v>
      </c>
      <c r="C167" s="62" t="s">
        <v>49</v>
      </c>
      <c r="D167" s="62" t="s">
        <v>450</v>
      </c>
      <c r="E167" s="62" t="s">
        <v>35</v>
      </c>
      <c r="F167" s="139"/>
      <c r="G167" s="139">
        <f>'Review 1'!Q167</f>
        <v>1.2</v>
      </c>
      <c r="H167" s="139">
        <f>'Review 1'!W167</f>
        <v>1</v>
      </c>
      <c r="I167" s="139">
        <f>'Review 1'!AC167</f>
        <v>1</v>
      </c>
      <c r="J167" s="139">
        <f>'Review 1'!AI167</f>
        <v>1</v>
      </c>
      <c r="K167" s="139"/>
      <c r="L167" s="139">
        <f>'Review 1'!AU167</f>
        <v>1</v>
      </c>
      <c r="M167" s="138"/>
      <c r="N167" s="139"/>
      <c r="O167" s="139">
        <f>'Review 2'!Q167</f>
        <v>1.2</v>
      </c>
      <c r="P167" s="139">
        <f>'Review 2'!W167</f>
        <v>1</v>
      </c>
      <c r="Q167" s="139">
        <f>'Review 2'!AC167</f>
        <v>1</v>
      </c>
      <c r="R167" s="139">
        <f>'Review 2'!AI167</f>
        <v>1</v>
      </c>
      <c r="S167" s="139"/>
      <c r="T167" s="139">
        <f>'Review 2'!AU167</f>
        <v>1</v>
      </c>
      <c r="U167" s="138"/>
      <c r="V167" s="62"/>
      <c r="W167" s="139">
        <f>'Review 3'!Q167</f>
        <v>2.2000000000000002</v>
      </c>
      <c r="X167" s="139">
        <f>'Review 3'!W167</f>
        <v>0</v>
      </c>
      <c r="Y167" s="139">
        <f>'Review 3'!AC167</f>
        <v>0</v>
      </c>
      <c r="Z167" s="139">
        <f>'Review 3'!AI167</f>
        <v>0</v>
      </c>
      <c r="AA167" s="62"/>
      <c r="AB167" s="139">
        <f>'Review 3'!AU167</f>
        <v>0</v>
      </c>
      <c r="AC167" s="138"/>
      <c r="AD167" s="62"/>
      <c r="AE167" s="139">
        <f>'Review 4'!Q167</f>
        <v>1.6</v>
      </c>
      <c r="AF167" s="139">
        <f>'Review 4'!W167</f>
        <v>1.3333333333333333</v>
      </c>
      <c r="AG167" s="139">
        <f>'Review 4'!AC167</f>
        <v>1</v>
      </c>
      <c r="AH167" s="139">
        <f>'Review 4'!AI167</f>
        <v>0.5</v>
      </c>
      <c r="AI167" s="139"/>
      <c r="AJ167" s="139">
        <f>'Review 4'!AU167</f>
        <v>1</v>
      </c>
      <c r="AK167" s="138"/>
      <c r="AL167" s="62"/>
      <c r="AM167" s="139">
        <f>'Reflection -1 '!Q167</f>
        <v>0</v>
      </c>
      <c r="AN167" s="62"/>
      <c r="AO167" s="62"/>
      <c r="AP167" s="62"/>
      <c r="AQ167" s="62"/>
      <c r="AR167" s="62"/>
      <c r="AS167" s="138"/>
      <c r="AT167" s="62"/>
      <c r="AU167" s="139">
        <f>'Reflection -2'!Q167</f>
        <v>0</v>
      </c>
      <c r="AV167" s="62"/>
      <c r="AW167" s="62"/>
      <c r="AX167" s="62"/>
      <c r="AY167" s="139"/>
      <c r="AZ167" s="62"/>
      <c r="BA167" s="138"/>
      <c r="BB167" s="139"/>
      <c r="BC167" s="139">
        <f>'Reflection -3'!Q167</f>
        <v>2</v>
      </c>
      <c r="BD167" s="139"/>
      <c r="BE167" s="139"/>
      <c r="BF167" s="139"/>
      <c r="BG167" s="139"/>
      <c r="BH167" s="139"/>
      <c r="BI167" s="138"/>
      <c r="BJ167" s="139"/>
      <c r="BK167" s="139">
        <f>'Reflection -3'!Q167</f>
        <v>2</v>
      </c>
      <c r="BL167" s="62"/>
      <c r="BM167" s="139"/>
      <c r="BN167" s="62"/>
      <c r="BO167" s="139"/>
      <c r="BP167" s="139"/>
      <c r="BQ167" s="138"/>
      <c r="BR167" s="139"/>
      <c r="BS167" s="139">
        <f>Capstone!Q168</f>
        <v>3.3333333333333335</v>
      </c>
      <c r="BT167" s="139">
        <f>Capstone!W168</f>
        <v>3</v>
      </c>
      <c r="BU167" s="139">
        <f>Capstone!AC168</f>
        <v>3</v>
      </c>
      <c r="BV167" s="139">
        <f>Capstone!AI168</f>
        <v>4</v>
      </c>
      <c r="BW167" s="139">
        <f>Capstone!AO168</f>
        <v>3</v>
      </c>
      <c r="BX167" s="139">
        <f>Capstone!AU168</f>
        <v>3</v>
      </c>
      <c r="BY167" s="138"/>
      <c r="BZ167" s="139"/>
      <c r="CA16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1.2749999999999999</v>
      </c>
      <c r="CB167" s="139">
        <f>IFERROR(AVERAGE(Table110461117[[#This Row],[Column31]],Table110461117[[#This Row],[Column13]],Table110461117[[#This Row],[Column4]],Table110461117[[#This Row],[Column22]],),"A")</f>
        <v>0.66666666666666663</v>
      </c>
      <c r="CC167" s="139">
        <f>IFERROR(AVERAGE(Table110461117[[#This Row],[Column5]],Table110461117[[#This Row],[Column14]],Table110461117[[#This Row],[Column23]],Table110461117[[#This Row],[Column32]]),"A")</f>
        <v>0.75</v>
      </c>
      <c r="CD167" s="139">
        <f>IFERROR(AVERAGE(Table110461117[[#This Row],[Column6]],Table110461117[[#This Row],[Column15]],Table110461117[[#This Row],[Column24]],Table110461117[[#This Row],[Column33]]),"A")</f>
        <v>0.625</v>
      </c>
      <c r="CE167" s="139"/>
      <c r="CF167" s="139">
        <f>IFERROR(AVERAGE(Table110461117[[#This Row],[Column26]],Table110461117[[#This Row],[Column35]],Table110461117[[#This Row],[Column17]],Table110461117[[#This Row],[Column8]]),"A")</f>
        <v>0.75</v>
      </c>
      <c r="CG167" s="138"/>
      <c r="CH167" s="139">
        <f>IFERROR(AVERAGE('Review 1'!AX167,'Review 2'!AX167,'Review 3'!AX167,'Review 4'!AX167,'Reflection -1 '!AX167,'Reflection -2'!AX167,'Reflection -3'!AX167,'Reflection -4'!AX167),"A")</f>
        <v>1</v>
      </c>
      <c r="CI167" s="139">
        <f>IFERROR(AVERAGE('Review 1'!AY167,'Review 2'!AY167,'Review 3'!AY167,'Review 4'!AY167,'Reflection -1 '!AY167,'Reflection -2'!AY167,'Reflection -3'!AY167,'Reflection -4'!AY167,Capstone!AY168),"A")</f>
        <v>0.77777777777777779</v>
      </c>
      <c r="CJ167" s="139">
        <f>IFERROR(AVERAGE('Review 1'!AZ167,'Review 2'!AZ167,'Review 3'!AZ167,'Review 4'!AZ167,'Reflection -1 '!AZ167,'Reflection -2'!AZ167,'Reflection -3'!AZ167,'Reflection -4'!AZ167),"A")</f>
        <v>0.625</v>
      </c>
    </row>
    <row r="168" spans="1:88" s="122" customFormat="1" ht="23.1" customHeight="1" x14ac:dyDescent="0.3">
      <c r="A168" s="6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140"/>
      <c r="G168" s="140">
        <f>'Review 1'!Q168</f>
        <v>2.8</v>
      </c>
      <c r="H168" s="140">
        <f>'Review 1'!W168</f>
        <v>2</v>
      </c>
      <c r="I168" s="140">
        <f>'Review 1'!AC168</f>
        <v>1</v>
      </c>
      <c r="J168" s="140">
        <f>'Review 1'!AI168</f>
        <v>1</v>
      </c>
      <c r="K168" s="140"/>
      <c r="L168" s="140">
        <f>'Review 1'!AU168</f>
        <v>1</v>
      </c>
      <c r="M168" s="138"/>
      <c r="N168" s="140"/>
      <c r="O168" s="140">
        <f>'Review 2'!Q168</f>
        <v>2.8</v>
      </c>
      <c r="P168" s="140">
        <f>'Review 2'!W168</f>
        <v>2</v>
      </c>
      <c r="Q168" s="140">
        <f>'Review 2'!AC168</f>
        <v>1</v>
      </c>
      <c r="R168" s="140">
        <f>'Review 2'!AI168</f>
        <v>1</v>
      </c>
      <c r="S168" s="140"/>
      <c r="T168" s="140">
        <f>'Review 2'!AU168</f>
        <v>1</v>
      </c>
      <c r="U168" s="138"/>
      <c r="V168" s="7"/>
      <c r="W168" s="140">
        <f>'Review 3'!Q168</f>
        <v>1.4</v>
      </c>
      <c r="X168" s="140">
        <f>'Review 3'!W168</f>
        <v>0</v>
      </c>
      <c r="Y168" s="140">
        <f>'Review 3'!AC168</f>
        <v>0</v>
      </c>
      <c r="Z168" s="140">
        <f>'Review 3'!AI168</f>
        <v>0</v>
      </c>
      <c r="AA168" s="7"/>
      <c r="AB168" s="140">
        <f>'Review 3'!AU168</f>
        <v>0</v>
      </c>
      <c r="AC168" s="138"/>
      <c r="AD168" s="7"/>
      <c r="AE168" s="140">
        <f>'Review 4'!Q168</f>
        <v>0</v>
      </c>
      <c r="AF168" s="140">
        <f>'Review 4'!W168</f>
        <v>0</v>
      </c>
      <c r="AG168" s="140">
        <f>'Review 4'!AC168</f>
        <v>0</v>
      </c>
      <c r="AH168" s="140">
        <f>'Review 4'!AI168</f>
        <v>0</v>
      </c>
      <c r="AI168" s="140"/>
      <c r="AJ168" s="140">
        <f>'Review 4'!AU168</f>
        <v>0</v>
      </c>
      <c r="AK168" s="138"/>
      <c r="AL168" s="7"/>
      <c r="AM168" s="140">
        <f>'Reflection -1 '!Q168</f>
        <v>2.3333333333333335</v>
      </c>
      <c r="AN168" s="7"/>
      <c r="AO168" s="7"/>
      <c r="AP168" s="7"/>
      <c r="AQ168" s="7"/>
      <c r="AR168" s="7"/>
      <c r="AS168" s="138"/>
      <c r="AT168" s="7"/>
      <c r="AU168" s="140">
        <f>'Reflection -2'!Q168</f>
        <v>1</v>
      </c>
      <c r="AV168" s="7"/>
      <c r="AW168" s="7"/>
      <c r="AX168" s="7"/>
      <c r="AY168" s="140"/>
      <c r="AZ168" s="7"/>
      <c r="BA168" s="138"/>
      <c r="BB168" s="140"/>
      <c r="BC168" s="140">
        <f>'Reflection -3'!Q168</f>
        <v>1.6666666666666667</v>
      </c>
      <c r="BD168" s="140"/>
      <c r="BE168" s="140"/>
      <c r="BF168" s="140"/>
      <c r="BG168" s="140"/>
      <c r="BH168" s="140"/>
      <c r="BI168" s="138"/>
      <c r="BJ168" s="140"/>
      <c r="BK168" s="140">
        <f>'Reflection -3'!Q168</f>
        <v>1.6666666666666667</v>
      </c>
      <c r="BL168" s="7"/>
      <c r="BM168" s="140"/>
      <c r="BN168" s="7"/>
      <c r="BO168" s="140"/>
      <c r="BP168" s="140"/>
      <c r="BQ168" s="138"/>
      <c r="BR168" s="140"/>
      <c r="BS168" s="140">
        <f>Capstone!Q169</f>
        <v>0</v>
      </c>
      <c r="BT168" s="140">
        <f>Capstone!W169</f>
        <v>0</v>
      </c>
      <c r="BU168" s="140">
        <f>Capstone!AC169</f>
        <v>0</v>
      </c>
      <c r="BV168" s="140">
        <f>Capstone!AI169</f>
        <v>0</v>
      </c>
      <c r="BW168" s="140">
        <f>Capstone!AO169</f>
        <v>0</v>
      </c>
      <c r="BX168" s="140">
        <f>Capstone!AU169</f>
        <v>0</v>
      </c>
      <c r="BY168" s="138"/>
      <c r="BZ168" s="140"/>
      <c r="CA16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1.7083333333333333</v>
      </c>
      <c r="CB168" s="140">
        <f>IFERROR(AVERAGE(Table110461117[[#This Row],[Column31]],Table110461117[[#This Row],[Column13]],Table110461117[[#This Row],[Column4]],Table110461117[[#This Row],[Column22]],),"A")</f>
        <v>0.8</v>
      </c>
      <c r="CC168" s="140">
        <f>IFERROR(AVERAGE(Table110461117[[#This Row],[Column5]],Table110461117[[#This Row],[Column14]],Table110461117[[#This Row],[Column23]],Table110461117[[#This Row],[Column32]]),"A")</f>
        <v>0.5</v>
      </c>
      <c r="CD168" s="140">
        <f>IFERROR(AVERAGE(Table110461117[[#This Row],[Column6]],Table110461117[[#This Row],[Column15]],Table110461117[[#This Row],[Column24]],Table110461117[[#This Row],[Column33]]),"A")</f>
        <v>0.5</v>
      </c>
      <c r="CE168" s="140"/>
      <c r="CF168" s="140">
        <f>IFERROR(AVERAGE(Table110461117[[#This Row],[Column26]],Table110461117[[#This Row],[Column35]],Table110461117[[#This Row],[Column17]],Table110461117[[#This Row],[Column8]]),"A")</f>
        <v>0.5</v>
      </c>
      <c r="CG168" s="138"/>
      <c r="CH168" s="140">
        <f>IFERROR(AVERAGE('Review 1'!AX168,'Review 2'!AX168,'Review 3'!AX168,'Review 4'!AX168,'Reflection -1 '!AX168,'Reflection -2'!AX168,'Reflection -3'!AX168,'Reflection -4'!AX168),"A")</f>
        <v>2.125</v>
      </c>
      <c r="CI168" s="140">
        <f>IFERROR(AVERAGE('Review 1'!AY168,'Review 2'!AY168,'Review 3'!AY168,'Review 4'!AY168,'Reflection -1 '!AY168,'Reflection -2'!AY168,'Reflection -3'!AY168,'Reflection -4'!AY168,Capstone!AY169),"A")</f>
        <v>0.22222222222222221</v>
      </c>
      <c r="CJ168" s="140">
        <f>IFERROR(AVERAGE('Review 1'!AZ168,'Review 2'!AZ168,'Review 3'!AZ168,'Review 4'!AZ168,'Reflection -1 '!AZ168,'Reflection -2'!AZ168,'Reflection -3'!AZ168,'Reflection -4'!AZ168),"A")</f>
        <v>0.75</v>
      </c>
    </row>
    <row r="169" spans="1:88" s="122" customFormat="1" ht="23.1" customHeight="1" x14ac:dyDescent="0.3">
      <c r="A169" s="137">
        <v>167</v>
      </c>
      <c r="B169" s="62" t="s">
        <v>192</v>
      </c>
      <c r="C169" s="62" t="s">
        <v>193</v>
      </c>
      <c r="D169" s="62" t="s">
        <v>450</v>
      </c>
      <c r="E169" s="62" t="s">
        <v>161</v>
      </c>
      <c r="F169" s="139"/>
      <c r="G169" s="139">
        <f>'Review 1'!Q169</f>
        <v>2.4</v>
      </c>
      <c r="H169" s="139">
        <f>'Review 1'!W169</f>
        <v>2.6666666666666665</v>
      </c>
      <c r="I169" s="139">
        <f>'Review 1'!AC169</f>
        <v>2</v>
      </c>
      <c r="J169" s="139">
        <f>'Review 1'!AI169</f>
        <v>2</v>
      </c>
      <c r="K169" s="139"/>
      <c r="L169" s="139">
        <f>'Review 1'!AU169</f>
        <v>2</v>
      </c>
      <c r="M169" s="138"/>
      <c r="N169" s="139"/>
      <c r="O169" s="139">
        <f>'Review 2'!Q169</f>
        <v>2</v>
      </c>
      <c r="P169" s="139">
        <f>'Review 2'!W169</f>
        <v>2.6666666666666665</v>
      </c>
      <c r="Q169" s="139">
        <f>'Review 2'!AC169</f>
        <v>2.5</v>
      </c>
      <c r="R169" s="139">
        <f>'Review 2'!AI169</f>
        <v>2.5</v>
      </c>
      <c r="S169" s="139"/>
      <c r="T169" s="139">
        <f>'Review 2'!AU169</f>
        <v>2</v>
      </c>
      <c r="U169" s="138"/>
      <c r="V169" s="62"/>
      <c r="W169" s="139">
        <f>'Review 3'!Q169</f>
        <v>2.2000000000000002</v>
      </c>
      <c r="X169" s="139">
        <f>'Review 3'!W169</f>
        <v>0</v>
      </c>
      <c r="Y169" s="139">
        <f>'Review 3'!AC169</f>
        <v>2.5</v>
      </c>
      <c r="Z169" s="139">
        <f>'Review 3'!AI169</f>
        <v>0</v>
      </c>
      <c r="AA169" s="62"/>
      <c r="AB169" s="139">
        <f>'Review 3'!AU169</f>
        <v>1.6666666666666667</v>
      </c>
      <c r="AC169" s="138"/>
      <c r="AD169" s="62"/>
      <c r="AE169" s="139">
        <f>'Review 4'!Q169</f>
        <v>2.6</v>
      </c>
      <c r="AF169" s="139">
        <f>'Review 4'!W169</f>
        <v>3</v>
      </c>
      <c r="AG169" s="139">
        <f>'Review 4'!AC169</f>
        <v>1.5</v>
      </c>
      <c r="AH169" s="139">
        <f>'Review 4'!AI169</f>
        <v>1</v>
      </c>
      <c r="AI169" s="139"/>
      <c r="AJ169" s="139">
        <f>'Review 4'!AU169</f>
        <v>2.3333333333333335</v>
      </c>
      <c r="AK169" s="138"/>
      <c r="AL169" s="62"/>
      <c r="AM169" s="139">
        <f>'Reflection -1 '!Q169</f>
        <v>3</v>
      </c>
      <c r="AN169" s="62"/>
      <c r="AO169" s="62"/>
      <c r="AP169" s="62"/>
      <c r="AQ169" s="62"/>
      <c r="AR169" s="62"/>
      <c r="AS169" s="138"/>
      <c r="AT169" s="62"/>
      <c r="AU169" s="139">
        <f>'Reflection -2'!Q169</f>
        <v>3</v>
      </c>
      <c r="AV169" s="62"/>
      <c r="AW169" s="62"/>
      <c r="AX169" s="62"/>
      <c r="AY169" s="139"/>
      <c r="AZ169" s="62"/>
      <c r="BA169" s="138"/>
      <c r="BB169" s="139"/>
      <c r="BC169" s="139">
        <f>'Reflection -3'!Q169</f>
        <v>3.6666666666666665</v>
      </c>
      <c r="BD169" s="139"/>
      <c r="BE169" s="139"/>
      <c r="BF169" s="139"/>
      <c r="BG169" s="139"/>
      <c r="BH169" s="139"/>
      <c r="BI169" s="138"/>
      <c r="BJ169" s="139"/>
      <c r="BK169" s="139">
        <f>'Reflection -3'!Q169</f>
        <v>3.6666666666666665</v>
      </c>
      <c r="BL169" s="62"/>
      <c r="BM169" s="139"/>
      <c r="BN169" s="62"/>
      <c r="BO169" s="139"/>
      <c r="BP169" s="139"/>
      <c r="BQ169" s="138"/>
      <c r="BR169" s="139"/>
      <c r="BS169" s="139">
        <f>Capstone!Q170</f>
        <v>3.5</v>
      </c>
      <c r="BT169" s="139">
        <f>Capstone!W170</f>
        <v>4</v>
      </c>
      <c r="BU169" s="139">
        <f>Capstone!AC170</f>
        <v>4</v>
      </c>
      <c r="BV169" s="139">
        <f>Capstone!AI170</f>
        <v>3</v>
      </c>
      <c r="BW169" s="139">
        <f>Capstone!AO170</f>
        <v>3</v>
      </c>
      <c r="BX169" s="139">
        <f>Capstone!AU170</f>
        <v>3</v>
      </c>
      <c r="BY169" s="138"/>
      <c r="BZ169" s="139"/>
      <c r="CA16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2.8166666666666664</v>
      </c>
      <c r="CB169" s="139">
        <f>IFERROR(AVERAGE(Table110461117[[#This Row],[Column31]],Table110461117[[#This Row],[Column13]],Table110461117[[#This Row],[Column4]],Table110461117[[#This Row],[Column22]],),"A")</f>
        <v>1.6666666666666665</v>
      </c>
      <c r="CC169" s="139">
        <f>IFERROR(AVERAGE(Table110461117[[#This Row],[Column5]],Table110461117[[#This Row],[Column14]],Table110461117[[#This Row],[Column23]],Table110461117[[#This Row],[Column32]]),"A")</f>
        <v>2.125</v>
      </c>
      <c r="CD169" s="139">
        <f>IFERROR(AVERAGE(Table110461117[[#This Row],[Column6]],Table110461117[[#This Row],[Column15]],Table110461117[[#This Row],[Column24]],Table110461117[[#This Row],[Column33]]),"A")</f>
        <v>1.375</v>
      </c>
      <c r="CE169" s="139"/>
      <c r="CF169" s="139">
        <f>IFERROR(AVERAGE(Table110461117[[#This Row],[Column26]],Table110461117[[#This Row],[Column35]],Table110461117[[#This Row],[Column17]],Table110461117[[#This Row],[Column8]]),"A")</f>
        <v>2</v>
      </c>
      <c r="CG169" s="138"/>
      <c r="CH169" s="139">
        <f>IFERROR(AVERAGE('Review 1'!AX169,'Review 2'!AX169,'Review 3'!AX169,'Review 4'!AX169,'Reflection -1 '!AX169,'Reflection -2'!AX169,'Reflection -3'!AX169,'Reflection -4'!AX169),"A")</f>
        <v>3.5</v>
      </c>
      <c r="CI169" s="139">
        <f>IFERROR(AVERAGE('Review 1'!AY169,'Review 2'!AY169,'Review 3'!AY169,'Review 4'!AY169,'Reflection -1 '!AY169,'Reflection -2'!AY169,'Reflection -3'!AY169,'Reflection -4'!AY169,Capstone!AY170),"A")</f>
        <v>1</v>
      </c>
      <c r="CJ169" s="139">
        <f>IFERROR(AVERAGE('Review 1'!AZ169,'Review 2'!AZ169,'Review 3'!AZ169,'Review 4'!AZ169,'Reflection -1 '!AZ169,'Reflection -2'!AZ169,'Reflection -3'!AZ169,'Reflection -4'!AZ169),"A")</f>
        <v>1.75</v>
      </c>
    </row>
    <row r="170" spans="1:88" s="122" customFormat="1" ht="23.1" customHeight="1" x14ac:dyDescent="0.3">
      <c r="A170" s="6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140"/>
      <c r="G170" s="140">
        <f>'Review 1'!Q170</f>
        <v>3</v>
      </c>
      <c r="H170" s="140">
        <f>'Review 1'!W170</f>
        <v>3</v>
      </c>
      <c r="I170" s="140">
        <f>'Review 1'!AC170</f>
        <v>3</v>
      </c>
      <c r="J170" s="140">
        <f>'Review 1'!AI170</f>
        <v>3</v>
      </c>
      <c r="K170" s="140"/>
      <c r="L170" s="140">
        <f>'Review 1'!AU170</f>
        <v>3</v>
      </c>
      <c r="M170" s="138"/>
      <c r="N170" s="140"/>
      <c r="O170" s="140">
        <f>'Review 2'!Q170</f>
        <v>3</v>
      </c>
      <c r="P170" s="140">
        <f>'Review 2'!W170</f>
        <v>3</v>
      </c>
      <c r="Q170" s="140">
        <f>'Review 2'!AC170</f>
        <v>3</v>
      </c>
      <c r="R170" s="140">
        <f>'Review 2'!AI170</f>
        <v>3</v>
      </c>
      <c r="S170" s="140"/>
      <c r="T170" s="140">
        <f>'Review 2'!AU170</f>
        <v>3</v>
      </c>
      <c r="U170" s="138"/>
      <c r="V170" s="7"/>
      <c r="W170" s="140">
        <f>'Review 3'!Q170</f>
        <v>2.2000000000000002</v>
      </c>
      <c r="X170" s="140">
        <f>'Review 3'!W170</f>
        <v>0</v>
      </c>
      <c r="Y170" s="140">
        <f>'Review 3'!AC170</f>
        <v>3</v>
      </c>
      <c r="Z170" s="140">
        <f>'Review 3'!AI170</f>
        <v>0</v>
      </c>
      <c r="AA170" s="7"/>
      <c r="AB170" s="140">
        <f>'Review 3'!AU170</f>
        <v>1.3333333333333333</v>
      </c>
      <c r="AC170" s="138"/>
      <c r="AD170" s="7"/>
      <c r="AE170" s="140">
        <f>'Review 4'!Q170</f>
        <v>1</v>
      </c>
      <c r="AF170" s="140">
        <f>'Review 4'!W170</f>
        <v>1</v>
      </c>
      <c r="AG170" s="140">
        <f>'Review 4'!AC170</f>
        <v>1</v>
      </c>
      <c r="AH170" s="140">
        <f>'Review 4'!AI170</f>
        <v>1</v>
      </c>
      <c r="AI170" s="140"/>
      <c r="AJ170" s="140">
        <f>'Review 4'!AU170</f>
        <v>1</v>
      </c>
      <c r="AK170" s="138"/>
      <c r="AL170" s="7"/>
      <c r="AM170" s="140">
        <f>'Reflection -1 '!Q170</f>
        <v>3</v>
      </c>
      <c r="AN170" s="7"/>
      <c r="AO170" s="7"/>
      <c r="AP170" s="7"/>
      <c r="AQ170" s="7"/>
      <c r="AR170" s="7"/>
      <c r="AS170" s="138"/>
      <c r="AT170" s="7"/>
      <c r="AU170" s="140">
        <f>'Reflection -2'!Q170</f>
        <v>3.6666666666666665</v>
      </c>
      <c r="AV170" s="7"/>
      <c r="AW170" s="7"/>
      <c r="AX170" s="7"/>
      <c r="AY170" s="140"/>
      <c r="AZ170" s="7"/>
      <c r="BA170" s="138"/>
      <c r="BB170" s="140"/>
      <c r="BC170" s="140">
        <f>'Reflection -3'!Q170</f>
        <v>4</v>
      </c>
      <c r="BD170" s="140"/>
      <c r="BE170" s="140"/>
      <c r="BF170" s="140"/>
      <c r="BG170" s="140"/>
      <c r="BH170" s="140"/>
      <c r="BI170" s="138"/>
      <c r="BJ170" s="140"/>
      <c r="BK170" s="140">
        <f>'Reflection -3'!Q170</f>
        <v>4</v>
      </c>
      <c r="BL170" s="7"/>
      <c r="BM170" s="140"/>
      <c r="BN170" s="7"/>
      <c r="BO170" s="140"/>
      <c r="BP170" s="140"/>
      <c r="BQ170" s="138"/>
      <c r="BR170" s="140"/>
      <c r="BS170" s="140">
        <f>Capstone!Q171</f>
        <v>4.666666666666667</v>
      </c>
      <c r="BT170" s="140">
        <f>Capstone!W171</f>
        <v>3</v>
      </c>
      <c r="BU170" s="140">
        <f>Capstone!AC171</f>
        <v>3</v>
      </c>
      <c r="BV170" s="140">
        <f>Capstone!AI171</f>
        <v>0</v>
      </c>
      <c r="BW170" s="140">
        <f>Capstone!AO171</f>
        <v>3</v>
      </c>
      <c r="BX170" s="140">
        <f>Capstone!AU171</f>
        <v>4</v>
      </c>
      <c r="BY170" s="138"/>
      <c r="BZ170" s="140"/>
      <c r="CA17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2.9833333333333334</v>
      </c>
      <c r="CB170" s="140">
        <f>IFERROR(AVERAGE(Table110461117[[#This Row],[Column31]],Table110461117[[#This Row],[Column13]],Table110461117[[#This Row],[Column4]],Table110461117[[#This Row],[Column22]],),"A")</f>
        <v>1.4</v>
      </c>
      <c r="CC170" s="140">
        <f>IFERROR(AVERAGE(Table110461117[[#This Row],[Column5]],Table110461117[[#This Row],[Column14]],Table110461117[[#This Row],[Column23]],Table110461117[[#This Row],[Column32]]),"A")</f>
        <v>2.5</v>
      </c>
      <c r="CD170" s="140">
        <f>IFERROR(AVERAGE(Table110461117[[#This Row],[Column6]],Table110461117[[#This Row],[Column15]],Table110461117[[#This Row],[Column24]],Table110461117[[#This Row],[Column33]]),"A")</f>
        <v>1.75</v>
      </c>
      <c r="CE170" s="140"/>
      <c r="CF170" s="140">
        <f>IFERROR(AVERAGE(Table110461117[[#This Row],[Column26]],Table110461117[[#This Row],[Column35]],Table110461117[[#This Row],[Column17]],Table110461117[[#This Row],[Column8]]),"A")</f>
        <v>2.083333333333333</v>
      </c>
      <c r="CG170" s="138"/>
      <c r="CH170" s="140">
        <f>IFERROR(AVERAGE('Review 1'!AX170,'Review 2'!AX170,'Review 3'!AX170,'Review 4'!AX170,'Reflection -1 '!AX170,'Reflection -2'!AX170,'Reflection -3'!AX170,'Reflection -4'!AX170),"A")</f>
        <v>3.625</v>
      </c>
      <c r="CI170" s="140">
        <f>IFERROR(AVERAGE('Review 1'!AY170,'Review 2'!AY170,'Review 3'!AY170,'Review 4'!AY170,'Reflection -1 '!AY170,'Reflection -2'!AY170,'Reflection -3'!AY170,'Reflection -4'!AY170,Capstone!AY171),"A")</f>
        <v>1.1111111111111112</v>
      </c>
      <c r="CJ170" s="140">
        <f>IFERROR(AVERAGE('Review 1'!AZ170,'Review 2'!AZ170,'Review 3'!AZ170,'Review 4'!AZ170,'Reflection -1 '!AZ170,'Reflection -2'!AZ170,'Reflection -3'!AZ170,'Reflection -4'!AZ170),"A")</f>
        <v>2.375</v>
      </c>
    </row>
    <row r="171" spans="1:88" s="122" customFormat="1" ht="23.1" customHeight="1" x14ac:dyDescent="0.3">
      <c r="A171" s="137">
        <v>169</v>
      </c>
      <c r="B171" s="62" t="s">
        <v>393</v>
      </c>
      <c r="C171" s="62" t="s">
        <v>394</v>
      </c>
      <c r="D171" s="62" t="s">
        <v>450</v>
      </c>
      <c r="E171" s="62" t="s">
        <v>493</v>
      </c>
      <c r="F171" s="139"/>
      <c r="G171" s="139">
        <f>'Review 1'!Q171</f>
        <v>2.6</v>
      </c>
      <c r="H171" s="139">
        <f>'Review 1'!W171</f>
        <v>2</v>
      </c>
      <c r="I171" s="139">
        <f>'Review 1'!AC171</f>
        <v>2</v>
      </c>
      <c r="J171" s="139">
        <f>'Review 1'!AI171</f>
        <v>3</v>
      </c>
      <c r="K171" s="139"/>
      <c r="L171" s="139">
        <f>'Review 1'!AU171</f>
        <v>3</v>
      </c>
      <c r="M171" s="138"/>
      <c r="N171" s="139"/>
      <c r="O171" s="139">
        <f>'Review 2'!Q171</f>
        <v>2.2000000000000002</v>
      </c>
      <c r="P171" s="139">
        <f>'Review 2'!W171</f>
        <v>2</v>
      </c>
      <c r="Q171" s="139">
        <f>'Review 2'!AC171</f>
        <v>2</v>
      </c>
      <c r="R171" s="139">
        <f>'Review 2'!AI171</f>
        <v>1</v>
      </c>
      <c r="S171" s="139"/>
      <c r="T171" s="139">
        <f>'Review 2'!AU171</f>
        <v>2.6666666666666665</v>
      </c>
      <c r="U171" s="138"/>
      <c r="V171" s="62"/>
      <c r="W171" s="139">
        <f>'Review 3'!Q171</f>
        <v>2.4</v>
      </c>
      <c r="X171" s="139">
        <f>'Review 3'!W171</f>
        <v>0</v>
      </c>
      <c r="Y171" s="139">
        <f>'Review 3'!AC171</f>
        <v>0</v>
      </c>
      <c r="Z171" s="139">
        <f>'Review 3'!AI171</f>
        <v>0</v>
      </c>
      <c r="AA171" s="62"/>
      <c r="AB171" s="139">
        <f>'Review 3'!AU171</f>
        <v>0</v>
      </c>
      <c r="AC171" s="138"/>
      <c r="AD171" s="62"/>
      <c r="AE171" s="139">
        <f>'Review 4'!Q171</f>
        <v>2.4</v>
      </c>
      <c r="AF171" s="139">
        <f>'Review 4'!W171</f>
        <v>2.3333333333333335</v>
      </c>
      <c r="AG171" s="139">
        <f>'Review 4'!AC171</f>
        <v>1</v>
      </c>
      <c r="AH171" s="139">
        <f>'Review 4'!AI171</f>
        <v>1</v>
      </c>
      <c r="AI171" s="139"/>
      <c r="AJ171" s="139">
        <f>'Review 4'!AU171</f>
        <v>1</v>
      </c>
      <c r="AK171" s="138"/>
      <c r="AL171" s="62"/>
      <c r="AM171" s="139">
        <f>'Reflection -1 '!Q171</f>
        <v>4</v>
      </c>
      <c r="AN171" s="62"/>
      <c r="AO171" s="62"/>
      <c r="AP171" s="62"/>
      <c r="AQ171" s="62"/>
      <c r="AR171" s="62"/>
      <c r="AS171" s="138"/>
      <c r="AT171" s="62"/>
      <c r="AU171" s="139">
        <f>'Reflection -2'!Q171</f>
        <v>2.6666666666666665</v>
      </c>
      <c r="AV171" s="62"/>
      <c r="AW171" s="62"/>
      <c r="AX171" s="62"/>
      <c r="AY171" s="139"/>
      <c r="AZ171" s="62"/>
      <c r="BA171" s="138"/>
      <c r="BB171" s="139"/>
      <c r="BC171" s="139">
        <f>'Reflection -3'!Q171</f>
        <v>1.6666666666666667</v>
      </c>
      <c r="BD171" s="139"/>
      <c r="BE171" s="139"/>
      <c r="BF171" s="139"/>
      <c r="BG171" s="139"/>
      <c r="BH171" s="139"/>
      <c r="BI171" s="138"/>
      <c r="BJ171" s="139"/>
      <c r="BK171" s="139">
        <f>'Reflection -3'!Q171</f>
        <v>1.6666666666666667</v>
      </c>
      <c r="BL171" s="62"/>
      <c r="BM171" s="139"/>
      <c r="BN171" s="62"/>
      <c r="BO171" s="139"/>
      <c r="BP171" s="139"/>
      <c r="BQ171" s="138"/>
      <c r="BR171" s="139"/>
      <c r="BS171" s="139">
        <f>Capstone!Q172</f>
        <v>2</v>
      </c>
      <c r="BT171" s="139">
        <f>Capstone!W172</f>
        <v>2</v>
      </c>
      <c r="BU171" s="139">
        <f>Capstone!AC172</f>
        <v>2</v>
      </c>
      <c r="BV171" s="139">
        <f>Capstone!AI172</f>
        <v>2</v>
      </c>
      <c r="BW171" s="139">
        <f>Capstone!AO172</f>
        <v>2.5</v>
      </c>
      <c r="BX171" s="139">
        <f>Capstone!AU172</f>
        <v>2</v>
      </c>
      <c r="BY171" s="138"/>
      <c r="BZ171" s="139"/>
      <c r="CA17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2.4499999999999997</v>
      </c>
      <c r="CB171" s="139">
        <f>IFERROR(AVERAGE(Table110461117[[#This Row],[Column31]],Table110461117[[#This Row],[Column13]],Table110461117[[#This Row],[Column4]],Table110461117[[#This Row],[Column22]],),"A")</f>
        <v>1.2666666666666668</v>
      </c>
      <c r="CC171" s="139">
        <f>IFERROR(AVERAGE(Table110461117[[#This Row],[Column5]],Table110461117[[#This Row],[Column14]],Table110461117[[#This Row],[Column23]],Table110461117[[#This Row],[Column32]]),"A")</f>
        <v>1.25</v>
      </c>
      <c r="CD171" s="139">
        <f>IFERROR(AVERAGE(Table110461117[[#This Row],[Column6]],Table110461117[[#This Row],[Column15]],Table110461117[[#This Row],[Column24]],Table110461117[[#This Row],[Column33]]),"A")</f>
        <v>1.25</v>
      </c>
      <c r="CE171" s="139"/>
      <c r="CF171" s="139">
        <f>IFERROR(AVERAGE(Table110461117[[#This Row],[Column26]],Table110461117[[#This Row],[Column35]],Table110461117[[#This Row],[Column17]],Table110461117[[#This Row],[Column8]]),"A")</f>
        <v>1.6666666666666665</v>
      </c>
      <c r="CG171" s="138"/>
      <c r="CH171" s="139">
        <f>IFERROR(AVERAGE('Review 1'!AX171,'Review 2'!AX171,'Review 3'!AX171,'Review 4'!AX171,'Reflection -1 '!AX171,'Reflection -2'!AX171,'Reflection -3'!AX171,'Reflection -4'!AX171),"A")</f>
        <v>3.625</v>
      </c>
      <c r="CI171" s="139">
        <f>IFERROR(AVERAGE('Review 1'!AY171,'Review 2'!AY171,'Review 3'!AY171,'Review 4'!AY171,'Reflection -1 '!AY171,'Reflection -2'!AY171,'Reflection -3'!AY171,'Reflection -4'!AY171,Capstone!AY172),"A")</f>
        <v>1.8888888888888888</v>
      </c>
      <c r="CJ171" s="139">
        <f>IFERROR(AVERAGE('Review 1'!AZ171,'Review 2'!AZ171,'Review 3'!AZ171,'Review 4'!AZ171,'Reflection -1 '!AZ171,'Reflection -2'!AZ171,'Reflection -3'!AZ171,'Reflection -4'!AZ171),"A")</f>
        <v>2</v>
      </c>
    </row>
    <row r="172" spans="1:88" s="122" customFormat="1" ht="23.1" customHeight="1" x14ac:dyDescent="0.3">
      <c r="A172" s="6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140"/>
      <c r="G172" s="140">
        <f>'Review 1'!Q172</f>
        <v>2.8</v>
      </c>
      <c r="H172" s="140">
        <f>'Review 1'!W172</f>
        <v>2</v>
      </c>
      <c r="I172" s="140">
        <f>'Review 1'!AC172</f>
        <v>2</v>
      </c>
      <c r="J172" s="140">
        <f>'Review 1'!AI172</f>
        <v>3</v>
      </c>
      <c r="K172" s="140"/>
      <c r="L172" s="140">
        <f>'Review 1'!AU172</f>
        <v>3</v>
      </c>
      <c r="M172" s="138"/>
      <c r="N172" s="140"/>
      <c r="O172" s="140">
        <f>'Review 2'!Q172</f>
        <v>2.6</v>
      </c>
      <c r="P172" s="140">
        <f>'Review 2'!W172</f>
        <v>2</v>
      </c>
      <c r="Q172" s="140">
        <f>'Review 2'!AC172</f>
        <v>2</v>
      </c>
      <c r="R172" s="140">
        <f>'Review 2'!AI172</f>
        <v>1</v>
      </c>
      <c r="S172" s="140"/>
      <c r="T172" s="140">
        <f>'Review 2'!AU172</f>
        <v>2</v>
      </c>
      <c r="U172" s="138"/>
      <c r="V172" s="7"/>
      <c r="W172" s="140">
        <f>'Review 3'!Q172</f>
        <v>2.8</v>
      </c>
      <c r="X172" s="140">
        <f>'Review 3'!W172</f>
        <v>0</v>
      </c>
      <c r="Y172" s="140">
        <f>'Review 3'!AC172</f>
        <v>0</v>
      </c>
      <c r="Z172" s="140">
        <f>'Review 3'!AI172</f>
        <v>0</v>
      </c>
      <c r="AA172" s="7"/>
      <c r="AB172" s="140">
        <f>'Review 3'!AU172</f>
        <v>0</v>
      </c>
      <c r="AC172" s="138"/>
      <c r="AD172" s="7"/>
      <c r="AE172" s="140">
        <f>'Review 4'!Q172</f>
        <v>3</v>
      </c>
      <c r="AF172" s="140">
        <f>'Review 4'!W172</f>
        <v>2</v>
      </c>
      <c r="AG172" s="140">
        <f>'Review 4'!AC172</f>
        <v>2</v>
      </c>
      <c r="AH172" s="140">
        <f>'Review 4'!AI172</f>
        <v>1</v>
      </c>
      <c r="AI172" s="140"/>
      <c r="AJ172" s="140">
        <f>'Review 4'!AU172</f>
        <v>2</v>
      </c>
      <c r="AK172" s="138"/>
      <c r="AL172" s="7"/>
      <c r="AM172" s="140">
        <f>'Reflection -1 '!Q172</f>
        <v>3</v>
      </c>
      <c r="AN172" s="7"/>
      <c r="AO172" s="7"/>
      <c r="AP172" s="7"/>
      <c r="AQ172" s="7"/>
      <c r="AR172" s="7"/>
      <c r="AS172" s="138"/>
      <c r="AT172" s="7"/>
      <c r="AU172" s="140">
        <f>'Reflection -2'!Q172</f>
        <v>4</v>
      </c>
      <c r="AV172" s="7"/>
      <c r="AW172" s="7"/>
      <c r="AX172" s="7"/>
      <c r="AY172" s="140"/>
      <c r="AZ172" s="7"/>
      <c r="BA172" s="138"/>
      <c r="BB172" s="140"/>
      <c r="BC172" s="140">
        <f>'Reflection -3'!Q172</f>
        <v>3.6666666666666665</v>
      </c>
      <c r="BD172" s="140"/>
      <c r="BE172" s="140"/>
      <c r="BF172" s="140"/>
      <c r="BG172" s="140"/>
      <c r="BH172" s="140"/>
      <c r="BI172" s="138"/>
      <c r="BJ172" s="140"/>
      <c r="BK172" s="140">
        <f>'Reflection -3'!Q172</f>
        <v>3.6666666666666665</v>
      </c>
      <c r="BL172" s="7"/>
      <c r="BM172" s="140"/>
      <c r="BN172" s="7"/>
      <c r="BO172" s="140"/>
      <c r="BP172" s="140"/>
      <c r="BQ172" s="138"/>
      <c r="BR172" s="140"/>
      <c r="BS172" s="140">
        <f>Capstone!Q173</f>
        <v>4.666666666666667</v>
      </c>
      <c r="BT172" s="140">
        <f>Capstone!W173</f>
        <v>4</v>
      </c>
      <c r="BU172" s="140">
        <f>Capstone!AC173</f>
        <v>4</v>
      </c>
      <c r="BV172" s="140">
        <f>Capstone!AI173</f>
        <v>5</v>
      </c>
      <c r="BW172" s="140">
        <f>Capstone!AO173</f>
        <v>4</v>
      </c>
      <c r="BX172" s="140">
        <f>Capstone!AU173</f>
        <v>4</v>
      </c>
      <c r="BY172" s="138"/>
      <c r="BZ172" s="140"/>
      <c r="CA17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3.1916666666666669</v>
      </c>
      <c r="CB172" s="140">
        <f>IFERROR(AVERAGE(Table110461117[[#This Row],[Column31]],Table110461117[[#This Row],[Column13]],Table110461117[[#This Row],[Column4]],Table110461117[[#This Row],[Column22]],),"A")</f>
        <v>1.2</v>
      </c>
      <c r="CC172" s="140">
        <f>IFERROR(AVERAGE(Table110461117[[#This Row],[Column5]],Table110461117[[#This Row],[Column14]],Table110461117[[#This Row],[Column23]],Table110461117[[#This Row],[Column32]]),"A")</f>
        <v>1.5</v>
      </c>
      <c r="CD172" s="140">
        <f>IFERROR(AVERAGE(Table110461117[[#This Row],[Column6]],Table110461117[[#This Row],[Column15]],Table110461117[[#This Row],[Column24]],Table110461117[[#This Row],[Column33]]),"A")</f>
        <v>1.25</v>
      </c>
      <c r="CE172" s="140"/>
      <c r="CF172" s="140">
        <f>IFERROR(AVERAGE(Table110461117[[#This Row],[Column26]],Table110461117[[#This Row],[Column35]],Table110461117[[#This Row],[Column17]],Table110461117[[#This Row],[Column8]]),"A")</f>
        <v>1.75</v>
      </c>
      <c r="CG172" s="138"/>
      <c r="CH172" s="140">
        <f>IFERROR(AVERAGE('Review 1'!AX172,'Review 2'!AX172,'Review 3'!AX172,'Review 4'!AX172,'Reflection -1 '!AX172,'Reflection -2'!AX172,'Reflection -3'!AX172,'Reflection -4'!AX172),"A")</f>
        <v>3.25</v>
      </c>
      <c r="CI172" s="140">
        <f>IFERROR(AVERAGE('Review 1'!AY172,'Review 2'!AY172,'Review 3'!AY172,'Review 4'!AY172,'Reflection -1 '!AY172,'Reflection -2'!AY172,'Reflection -3'!AY172,'Reflection -4'!AY172,Capstone!AY173),"A")</f>
        <v>2</v>
      </c>
      <c r="CJ172" s="140">
        <f>IFERROR(AVERAGE('Review 1'!AZ172,'Review 2'!AZ172,'Review 3'!AZ172,'Review 4'!AZ172,'Reflection -1 '!AZ172,'Reflection -2'!AZ172,'Reflection -3'!AZ172,'Reflection -4'!AZ172),"A")</f>
        <v>2.125</v>
      </c>
    </row>
    <row r="173" spans="1:88" s="122" customFormat="1" ht="23.1" customHeight="1" x14ac:dyDescent="0.3">
      <c r="A173" s="137">
        <v>171</v>
      </c>
      <c r="B173" s="62" t="s">
        <v>285</v>
      </c>
      <c r="C173" s="62" t="s">
        <v>286</v>
      </c>
      <c r="D173" s="62" t="s">
        <v>542</v>
      </c>
      <c r="E173" s="62" t="s">
        <v>161</v>
      </c>
      <c r="F173" s="139"/>
      <c r="G173" s="139">
        <f>'Review 1'!Q173</f>
        <v>2.6</v>
      </c>
      <c r="H173" s="139">
        <f>'Review 1'!W173</f>
        <v>2.6666666666666665</v>
      </c>
      <c r="I173" s="139">
        <f>'Review 1'!AC173</f>
        <v>2.5</v>
      </c>
      <c r="J173" s="139">
        <f>'Review 1'!AI173</f>
        <v>2.5</v>
      </c>
      <c r="K173" s="139"/>
      <c r="L173" s="139">
        <f>'Review 1'!AU173</f>
        <v>2.3333333333333335</v>
      </c>
      <c r="M173" s="138"/>
      <c r="N173" s="139"/>
      <c r="O173" s="139">
        <f>'Review 2'!Q173</f>
        <v>2.2000000000000002</v>
      </c>
      <c r="P173" s="139">
        <f>'Review 2'!W173</f>
        <v>2.6666666666666665</v>
      </c>
      <c r="Q173" s="139">
        <f>'Review 2'!AC173</f>
        <v>2.5</v>
      </c>
      <c r="R173" s="139">
        <f>'Review 2'!AI173</f>
        <v>2.5</v>
      </c>
      <c r="S173" s="139"/>
      <c r="T173" s="139">
        <f>'Review 2'!AU173</f>
        <v>2.3333333333333335</v>
      </c>
      <c r="U173" s="138"/>
      <c r="V173" s="62"/>
      <c r="W173" s="139">
        <f>'Review 3'!Q173</f>
        <v>2</v>
      </c>
      <c r="X173" s="139">
        <f>'Review 3'!W173</f>
        <v>3</v>
      </c>
      <c r="Y173" s="139">
        <f>'Review 3'!AC173</f>
        <v>2.5</v>
      </c>
      <c r="Z173" s="139">
        <f>'Review 3'!AI173</f>
        <v>3</v>
      </c>
      <c r="AA173" s="62"/>
      <c r="AB173" s="139">
        <f>'Review 3'!AU173</f>
        <v>2.6666666666666665</v>
      </c>
      <c r="AC173" s="138"/>
      <c r="AD173" s="62"/>
      <c r="AE173" s="139">
        <f>'Review 4'!Q173</f>
        <v>0</v>
      </c>
      <c r="AF173" s="139">
        <f>'Review 4'!W173</f>
        <v>0</v>
      </c>
      <c r="AG173" s="139">
        <f>'Review 4'!AC173</f>
        <v>0</v>
      </c>
      <c r="AH173" s="139">
        <f>'Review 4'!AI173</f>
        <v>0</v>
      </c>
      <c r="AI173" s="139"/>
      <c r="AJ173" s="139">
        <f>'Review 4'!AU173</f>
        <v>0</v>
      </c>
      <c r="AK173" s="138"/>
      <c r="AL173" s="62"/>
      <c r="AM173" s="139">
        <f>'Reflection -1 '!Q173</f>
        <v>3.3333333333333335</v>
      </c>
      <c r="AN173" s="62"/>
      <c r="AO173" s="62"/>
      <c r="AP173" s="62"/>
      <c r="AQ173" s="62"/>
      <c r="AR173" s="62"/>
      <c r="AS173" s="138"/>
      <c r="AT173" s="62"/>
      <c r="AU173" s="139">
        <f>'Reflection -2'!Q173</f>
        <v>4</v>
      </c>
      <c r="AV173" s="62"/>
      <c r="AW173" s="62"/>
      <c r="AX173" s="62"/>
      <c r="AY173" s="139"/>
      <c r="AZ173" s="62"/>
      <c r="BA173" s="138"/>
      <c r="BB173" s="139"/>
      <c r="BC173" s="139">
        <f>'Reflection -3'!Q173</f>
        <v>0</v>
      </c>
      <c r="BD173" s="139"/>
      <c r="BE173" s="139"/>
      <c r="BF173" s="139"/>
      <c r="BG173" s="139"/>
      <c r="BH173" s="139"/>
      <c r="BI173" s="138"/>
      <c r="BJ173" s="139"/>
      <c r="BK173" s="139">
        <f>'Reflection -3'!Q173</f>
        <v>0</v>
      </c>
      <c r="BL173" s="62"/>
      <c r="BM173" s="139"/>
      <c r="BN173" s="62"/>
      <c r="BO173" s="139"/>
      <c r="BP173" s="139"/>
      <c r="BQ173" s="138"/>
      <c r="BR173" s="139"/>
      <c r="BS173" s="139">
        <f>Capstone!Q174</f>
        <v>4.166666666666667</v>
      </c>
      <c r="BT173" s="139">
        <f>Capstone!W174</f>
        <v>4.5</v>
      </c>
      <c r="BU173" s="139">
        <f>Capstone!AC174</f>
        <v>4.5</v>
      </c>
      <c r="BV173" s="139">
        <f>Capstone!AI174</f>
        <v>0</v>
      </c>
      <c r="BW173" s="139">
        <f>Capstone!AO174</f>
        <v>4</v>
      </c>
      <c r="BX173" s="139">
        <f>Capstone!AU174</f>
        <v>4.5</v>
      </c>
      <c r="BY173" s="138"/>
      <c r="BZ173" s="139"/>
      <c r="CA17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1.7666666666666666</v>
      </c>
      <c r="CB173" s="139">
        <f>IFERROR(AVERAGE(Table110461117[[#This Row],[Column31]],Table110461117[[#This Row],[Column13]],Table110461117[[#This Row],[Column4]],Table110461117[[#This Row],[Column22]],),"A")</f>
        <v>1.6666666666666665</v>
      </c>
      <c r="CC173" s="139">
        <f>IFERROR(AVERAGE(Table110461117[[#This Row],[Column5]],Table110461117[[#This Row],[Column14]],Table110461117[[#This Row],[Column23]],Table110461117[[#This Row],[Column32]]),"A")</f>
        <v>1.875</v>
      </c>
      <c r="CD173" s="139">
        <f>IFERROR(AVERAGE(Table110461117[[#This Row],[Column6]],Table110461117[[#This Row],[Column15]],Table110461117[[#This Row],[Column24]],Table110461117[[#This Row],[Column33]]),"A")</f>
        <v>2</v>
      </c>
      <c r="CE173" s="139"/>
      <c r="CF173" s="139">
        <f>IFERROR(AVERAGE(Table110461117[[#This Row],[Column26]],Table110461117[[#This Row],[Column35]],Table110461117[[#This Row],[Column17]],Table110461117[[#This Row],[Column8]]),"A")</f>
        <v>1.8333333333333335</v>
      </c>
      <c r="CG173" s="138"/>
      <c r="CH173" s="139">
        <f>IFERROR(AVERAGE('Review 1'!AX173,'Review 2'!AX173,'Review 3'!AX173,'Review 4'!AX173,'Reflection -1 '!AX173,'Reflection -2'!AX173,'Reflection -3'!AX173,'Reflection -4'!AX173),"A")</f>
        <v>2.125</v>
      </c>
      <c r="CI173" s="139">
        <f>IFERROR(AVERAGE('Review 1'!AY173,'Review 2'!AY173,'Review 3'!AY173,'Review 4'!AY173,'Reflection -1 '!AY173,'Reflection -2'!AY173,'Reflection -3'!AY173,'Reflection -4'!AY173,Capstone!AY174),"A")</f>
        <v>0.88888888888888884</v>
      </c>
      <c r="CJ173" s="139">
        <f>IFERROR(AVERAGE('Review 1'!AZ173,'Review 2'!AZ173,'Review 3'!AZ173,'Review 4'!AZ173,'Reflection -1 '!AZ173,'Reflection -2'!AZ173,'Reflection -3'!AZ173,'Reflection -4'!AZ173),"A")</f>
        <v>1.5</v>
      </c>
    </row>
    <row r="174" spans="1:88" s="122" customFormat="1" ht="23.1" customHeight="1" x14ac:dyDescent="0.3">
      <c r="A174" s="6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140"/>
      <c r="G174" s="140">
        <f>'Review 1'!Q174</f>
        <v>2.6</v>
      </c>
      <c r="H174" s="140">
        <f>'Review 1'!W174</f>
        <v>3</v>
      </c>
      <c r="I174" s="140">
        <f>'Review 1'!AC174</f>
        <v>3</v>
      </c>
      <c r="J174" s="140">
        <f>'Review 1'!AI174</f>
        <v>3</v>
      </c>
      <c r="K174" s="140"/>
      <c r="L174" s="140">
        <f>'Review 1'!AU174</f>
        <v>3</v>
      </c>
      <c r="M174" s="138"/>
      <c r="N174" s="140"/>
      <c r="O174" s="140">
        <f>'Review 2'!Q174</f>
        <v>3</v>
      </c>
      <c r="P174" s="140">
        <f>'Review 2'!W174</f>
        <v>2</v>
      </c>
      <c r="Q174" s="140">
        <f>'Review 2'!AC174</f>
        <v>2.5</v>
      </c>
      <c r="R174" s="140">
        <f>'Review 2'!AI174</f>
        <v>1</v>
      </c>
      <c r="S174" s="140"/>
      <c r="T174" s="140">
        <f>'Review 2'!AU174</f>
        <v>2</v>
      </c>
      <c r="U174" s="138"/>
      <c r="V174" s="7"/>
      <c r="W174" s="140">
        <f>'Review 3'!Q174</f>
        <v>2.2000000000000002</v>
      </c>
      <c r="X174" s="140">
        <f>'Review 3'!W174</f>
        <v>0</v>
      </c>
      <c r="Y174" s="140">
        <f>'Review 3'!AC174</f>
        <v>0</v>
      </c>
      <c r="Z174" s="140">
        <f>'Review 3'!AI174</f>
        <v>0</v>
      </c>
      <c r="AA174" s="7"/>
      <c r="AB174" s="140">
        <f>'Review 3'!AU174</f>
        <v>0</v>
      </c>
      <c r="AC174" s="138"/>
      <c r="AD174" s="7"/>
      <c r="AE174" s="140">
        <f>'Review 4'!Q174</f>
        <v>3</v>
      </c>
      <c r="AF174" s="140">
        <f>'Review 4'!W174</f>
        <v>2</v>
      </c>
      <c r="AG174" s="140">
        <f>'Review 4'!AC174</f>
        <v>1</v>
      </c>
      <c r="AH174" s="140">
        <f>'Review 4'!AI174</f>
        <v>1</v>
      </c>
      <c r="AI174" s="140"/>
      <c r="AJ174" s="140">
        <f>'Review 4'!AU174</f>
        <v>1</v>
      </c>
      <c r="AK174" s="138"/>
      <c r="AL174" s="7"/>
      <c r="AM174" s="140">
        <f>'Reflection -1 '!Q174</f>
        <v>2.6666666666666665</v>
      </c>
      <c r="AN174" s="7"/>
      <c r="AO174" s="7"/>
      <c r="AP174" s="7"/>
      <c r="AQ174" s="7"/>
      <c r="AR174" s="7"/>
      <c r="AS174" s="138"/>
      <c r="AT174" s="7"/>
      <c r="AU174" s="140">
        <f>'Reflection -2'!Q174</f>
        <v>2</v>
      </c>
      <c r="AV174" s="7"/>
      <c r="AW174" s="7"/>
      <c r="AX174" s="7"/>
      <c r="AY174" s="140"/>
      <c r="AZ174" s="7"/>
      <c r="BA174" s="138"/>
      <c r="BB174" s="140"/>
      <c r="BC174" s="140">
        <f>'Reflection -3'!Q174</f>
        <v>2</v>
      </c>
      <c r="BD174" s="140"/>
      <c r="BE174" s="140"/>
      <c r="BF174" s="140"/>
      <c r="BG174" s="140"/>
      <c r="BH174" s="140"/>
      <c r="BI174" s="138"/>
      <c r="BJ174" s="140"/>
      <c r="BK174" s="140">
        <f>'Reflection -3'!Q174</f>
        <v>2</v>
      </c>
      <c r="BL174" s="7"/>
      <c r="BM174" s="140"/>
      <c r="BN174" s="7"/>
      <c r="BO174" s="140"/>
      <c r="BP174" s="140"/>
      <c r="BQ174" s="138"/>
      <c r="BR174" s="140"/>
      <c r="BS174" s="140">
        <f>Capstone!Q175</f>
        <v>2.5</v>
      </c>
      <c r="BT174" s="140">
        <f>Capstone!W175</f>
        <v>2</v>
      </c>
      <c r="BU174" s="140">
        <f>Capstone!AC175</f>
        <v>2</v>
      </c>
      <c r="BV174" s="140">
        <f>Capstone!AI175</f>
        <v>2</v>
      </c>
      <c r="BW174" s="140">
        <f>Capstone!AO175</f>
        <v>2</v>
      </c>
      <c r="BX174" s="140">
        <f>Capstone!AU175</f>
        <v>2</v>
      </c>
      <c r="BY174" s="138"/>
      <c r="BZ174" s="140"/>
      <c r="CA17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2.4333333333333331</v>
      </c>
      <c r="CB174" s="140">
        <f>IFERROR(AVERAGE(Table110461117[[#This Row],[Column31]],Table110461117[[#This Row],[Column13]],Table110461117[[#This Row],[Column4]],Table110461117[[#This Row],[Column22]],),"A")</f>
        <v>1.4</v>
      </c>
      <c r="CC174" s="140">
        <f>IFERROR(AVERAGE(Table110461117[[#This Row],[Column5]],Table110461117[[#This Row],[Column14]],Table110461117[[#This Row],[Column23]],Table110461117[[#This Row],[Column32]]),"A")</f>
        <v>1.625</v>
      </c>
      <c r="CD174" s="140">
        <f>IFERROR(AVERAGE(Table110461117[[#This Row],[Column6]],Table110461117[[#This Row],[Column15]],Table110461117[[#This Row],[Column24]],Table110461117[[#This Row],[Column33]]),"A")</f>
        <v>1.25</v>
      </c>
      <c r="CE174" s="140"/>
      <c r="CF174" s="140">
        <f>IFERROR(AVERAGE(Table110461117[[#This Row],[Column26]],Table110461117[[#This Row],[Column35]],Table110461117[[#This Row],[Column17]],Table110461117[[#This Row],[Column8]]),"A")</f>
        <v>1.5</v>
      </c>
      <c r="CG174" s="138"/>
      <c r="CH174" s="140">
        <f>IFERROR(AVERAGE('Review 1'!AX174,'Review 2'!AX174,'Review 3'!AX174,'Review 4'!AX174,'Reflection -1 '!AX174,'Reflection -2'!AX174,'Reflection -3'!AX174,'Reflection -4'!AX174),"A")</f>
        <v>2.125</v>
      </c>
      <c r="CI174" s="140">
        <f>IFERROR(AVERAGE('Review 1'!AY174,'Review 2'!AY174,'Review 3'!AY174,'Review 4'!AY174,'Reflection -1 '!AY174,'Reflection -2'!AY174,'Reflection -3'!AY174,'Reflection -4'!AY174,Capstone!AY175),"A")</f>
        <v>1.7777777777777777</v>
      </c>
      <c r="CJ174" s="140">
        <f>IFERROR(AVERAGE('Review 1'!AZ174,'Review 2'!AZ174,'Review 3'!AZ174,'Review 4'!AZ174,'Reflection -1 '!AZ174,'Reflection -2'!AZ174,'Reflection -3'!AZ174,'Reflection -4'!AZ174),"A")</f>
        <v>1.875</v>
      </c>
    </row>
    <row r="175" spans="1:88" s="122" customFormat="1" ht="23.1" customHeight="1" x14ac:dyDescent="0.3">
      <c r="A175" s="137">
        <v>173</v>
      </c>
      <c r="B175" s="62" t="s">
        <v>398</v>
      </c>
      <c r="C175" s="62" t="s">
        <v>399</v>
      </c>
      <c r="D175" s="62" t="s">
        <v>542</v>
      </c>
      <c r="E175" s="62" t="s">
        <v>493</v>
      </c>
      <c r="F175" s="139"/>
      <c r="G175" s="139">
        <f>'Review 1'!Q175</f>
        <v>2.6</v>
      </c>
      <c r="H175" s="139">
        <f>'Review 1'!W175</f>
        <v>3</v>
      </c>
      <c r="I175" s="139">
        <f>'Review 1'!AC175</f>
        <v>3</v>
      </c>
      <c r="J175" s="139">
        <f>'Review 1'!AI175</f>
        <v>3</v>
      </c>
      <c r="K175" s="139"/>
      <c r="L175" s="139">
        <f>'Review 1'!AU175</f>
        <v>3</v>
      </c>
      <c r="M175" s="138"/>
      <c r="N175" s="139"/>
      <c r="O175" s="139">
        <f>'Review 2'!Q175</f>
        <v>2.4</v>
      </c>
      <c r="P175" s="139">
        <f>'Review 2'!W175</f>
        <v>2</v>
      </c>
      <c r="Q175" s="139">
        <f>'Review 2'!AC175</f>
        <v>2</v>
      </c>
      <c r="R175" s="139">
        <f>'Review 2'!AI175</f>
        <v>1</v>
      </c>
      <c r="S175" s="139"/>
      <c r="T175" s="139">
        <f>'Review 2'!AU175</f>
        <v>2</v>
      </c>
      <c r="U175" s="138"/>
      <c r="V175" s="62"/>
      <c r="W175" s="139">
        <f>'Review 3'!Q175</f>
        <v>2</v>
      </c>
      <c r="X175" s="139">
        <f>'Review 3'!W175</f>
        <v>0</v>
      </c>
      <c r="Y175" s="139">
        <f>'Review 3'!AC175</f>
        <v>0</v>
      </c>
      <c r="Z175" s="139">
        <f>'Review 3'!AI175</f>
        <v>0</v>
      </c>
      <c r="AA175" s="62"/>
      <c r="AB175" s="139">
        <f>'Review 3'!AU175</f>
        <v>0</v>
      </c>
      <c r="AC175" s="138"/>
      <c r="AD175" s="62"/>
      <c r="AE175" s="139">
        <f>'Review 4'!Q175</f>
        <v>2.6</v>
      </c>
      <c r="AF175" s="139">
        <f>'Review 4'!W175</f>
        <v>3.6666666666666665</v>
      </c>
      <c r="AG175" s="139">
        <f>'Review 4'!AC175</f>
        <v>4</v>
      </c>
      <c r="AH175" s="139">
        <f>'Review 4'!AI175</f>
        <v>5</v>
      </c>
      <c r="AI175" s="139"/>
      <c r="AJ175" s="139">
        <f>'Review 4'!AU175</f>
        <v>5</v>
      </c>
      <c r="AK175" s="138"/>
      <c r="AL175" s="62"/>
      <c r="AM175" s="139">
        <f>'Reflection -1 '!Q175</f>
        <v>3</v>
      </c>
      <c r="AN175" s="62"/>
      <c r="AO175" s="62"/>
      <c r="AP175" s="62"/>
      <c r="AQ175" s="62"/>
      <c r="AR175" s="62"/>
      <c r="AS175" s="138"/>
      <c r="AT175" s="62"/>
      <c r="AU175" s="139">
        <f>'Reflection -2'!Q175</f>
        <v>4</v>
      </c>
      <c r="AV175" s="62"/>
      <c r="AW175" s="62"/>
      <c r="AX175" s="62"/>
      <c r="AY175" s="139"/>
      <c r="AZ175" s="62"/>
      <c r="BA175" s="138"/>
      <c r="BB175" s="139"/>
      <c r="BC175" s="139">
        <f>'Reflection -3'!Q175</f>
        <v>1.6666666666666667</v>
      </c>
      <c r="BD175" s="139"/>
      <c r="BE175" s="139"/>
      <c r="BF175" s="139"/>
      <c r="BG175" s="139"/>
      <c r="BH175" s="139"/>
      <c r="BI175" s="138"/>
      <c r="BJ175" s="139"/>
      <c r="BK175" s="139">
        <f>'Reflection -3'!Q175</f>
        <v>1.6666666666666667</v>
      </c>
      <c r="BL175" s="62"/>
      <c r="BM175" s="139"/>
      <c r="BN175" s="62"/>
      <c r="BO175" s="139"/>
      <c r="BP175" s="139"/>
      <c r="BQ175" s="138"/>
      <c r="BR175" s="139"/>
      <c r="BS175" s="139">
        <f>Capstone!Q176</f>
        <v>3</v>
      </c>
      <c r="BT175" s="139">
        <f>Capstone!W176</f>
        <v>4</v>
      </c>
      <c r="BU175" s="139">
        <f>Capstone!AC176</f>
        <v>4</v>
      </c>
      <c r="BV175" s="139">
        <f>Capstone!AI176</f>
        <v>3</v>
      </c>
      <c r="BW175" s="139">
        <f>Capstone!AO176</f>
        <v>3</v>
      </c>
      <c r="BX175" s="139">
        <f>Capstone!AU176</f>
        <v>3</v>
      </c>
      <c r="BY175" s="138"/>
      <c r="BZ175" s="139"/>
      <c r="CA17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2.4916666666666667</v>
      </c>
      <c r="CB175" s="139">
        <f>IFERROR(AVERAGE(Table110461117[[#This Row],[Column31]],Table110461117[[#This Row],[Column13]],Table110461117[[#This Row],[Column4]],Table110461117[[#This Row],[Column22]],),"A")</f>
        <v>1.7333333333333332</v>
      </c>
      <c r="CC175" s="139">
        <f>IFERROR(AVERAGE(Table110461117[[#This Row],[Column5]],Table110461117[[#This Row],[Column14]],Table110461117[[#This Row],[Column23]],Table110461117[[#This Row],[Column32]]),"A")</f>
        <v>2.25</v>
      </c>
      <c r="CD175" s="139">
        <f>IFERROR(AVERAGE(Table110461117[[#This Row],[Column6]],Table110461117[[#This Row],[Column15]],Table110461117[[#This Row],[Column24]],Table110461117[[#This Row],[Column33]]),"A")</f>
        <v>2.25</v>
      </c>
      <c r="CE175" s="139"/>
      <c r="CF175" s="139">
        <f>IFERROR(AVERAGE(Table110461117[[#This Row],[Column26]],Table110461117[[#This Row],[Column35]],Table110461117[[#This Row],[Column17]],Table110461117[[#This Row],[Column8]]),"A")</f>
        <v>2.5</v>
      </c>
      <c r="CG175" s="138"/>
      <c r="CH175" s="139">
        <f>IFERROR(AVERAGE('Review 1'!AX175,'Review 2'!AX175,'Review 3'!AX175,'Review 4'!AX175,'Reflection -1 '!AX175,'Reflection -2'!AX175,'Reflection -3'!AX175,'Reflection -4'!AX175),"A")</f>
        <v>3.375</v>
      </c>
      <c r="CI175" s="139">
        <f>IFERROR(AVERAGE('Review 1'!AY175,'Review 2'!AY175,'Review 3'!AY175,'Review 4'!AY175,'Reflection -1 '!AY175,'Reflection -2'!AY175,'Reflection -3'!AY175,'Reflection -4'!AY175,Capstone!AY176),"A")</f>
        <v>2.4444444444444446</v>
      </c>
      <c r="CJ175" s="139">
        <f>IFERROR(AVERAGE('Review 1'!AZ175,'Review 2'!AZ175,'Review 3'!AZ175,'Review 4'!AZ175,'Reflection -1 '!AZ175,'Reflection -2'!AZ175,'Reflection -3'!AZ175,'Reflection -4'!AZ175),"A")</f>
        <v>2.5</v>
      </c>
    </row>
    <row r="176" spans="1:88" s="122" customFormat="1" ht="23.1" customHeight="1" x14ac:dyDescent="0.3">
      <c r="A176" s="6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140"/>
      <c r="G176" s="140">
        <f>'Review 1'!Q176</f>
        <v>3</v>
      </c>
      <c r="H176" s="140">
        <f>'Review 1'!W176</f>
        <v>2</v>
      </c>
      <c r="I176" s="140">
        <f>'Review 1'!AC176</f>
        <v>2</v>
      </c>
      <c r="J176" s="140">
        <f>'Review 1'!AI176</f>
        <v>3</v>
      </c>
      <c r="K176" s="140"/>
      <c r="L176" s="140">
        <f>'Review 1'!AU176</f>
        <v>3</v>
      </c>
      <c r="M176" s="138"/>
      <c r="N176" s="140"/>
      <c r="O176" s="140">
        <f>'Review 2'!Q176</f>
        <v>2.4</v>
      </c>
      <c r="P176" s="140">
        <f>'Review 2'!W176</f>
        <v>2.6666666666666665</v>
      </c>
      <c r="Q176" s="140">
        <f>'Review 2'!AC176</f>
        <v>3</v>
      </c>
      <c r="R176" s="140">
        <f>'Review 2'!AI176</f>
        <v>1.5</v>
      </c>
      <c r="S176" s="140"/>
      <c r="T176" s="140">
        <f>'Review 2'!AU176</f>
        <v>2.6666666666666665</v>
      </c>
      <c r="U176" s="138"/>
      <c r="V176" s="7"/>
      <c r="W176" s="140">
        <f>'Review 3'!Q176</f>
        <v>2</v>
      </c>
      <c r="X176" s="140">
        <f>'Review 3'!W176</f>
        <v>0</v>
      </c>
      <c r="Y176" s="140">
        <f>'Review 3'!AC176</f>
        <v>0</v>
      </c>
      <c r="Z176" s="140">
        <f>'Review 3'!AI176</f>
        <v>0</v>
      </c>
      <c r="AA176" s="7"/>
      <c r="AB176" s="140">
        <f>'Review 3'!AU176</f>
        <v>0</v>
      </c>
      <c r="AC176" s="138"/>
      <c r="AD176" s="7"/>
      <c r="AE176" s="140">
        <f>'Review 4'!Q176</f>
        <v>2.4</v>
      </c>
      <c r="AF176" s="140">
        <f>'Review 4'!W176</f>
        <v>1</v>
      </c>
      <c r="AG176" s="140">
        <f>'Review 4'!AC176</f>
        <v>1</v>
      </c>
      <c r="AH176" s="140">
        <f>'Review 4'!AI176</f>
        <v>1</v>
      </c>
      <c r="AI176" s="140"/>
      <c r="AJ176" s="140">
        <f>'Review 4'!AU176</f>
        <v>1</v>
      </c>
      <c r="AK176" s="138"/>
      <c r="AL176" s="7"/>
      <c r="AM176" s="140">
        <f>'Reflection -1 '!Q176</f>
        <v>2.6666666666666665</v>
      </c>
      <c r="AN176" s="7"/>
      <c r="AO176" s="7"/>
      <c r="AP176" s="7"/>
      <c r="AQ176" s="7"/>
      <c r="AR176" s="7"/>
      <c r="AS176" s="138"/>
      <c r="AT176" s="7"/>
      <c r="AU176" s="140">
        <f>'Reflection -2'!Q176</f>
        <v>1</v>
      </c>
      <c r="AV176" s="7"/>
      <c r="AW176" s="7"/>
      <c r="AX176" s="7"/>
      <c r="AY176" s="140"/>
      <c r="AZ176" s="7"/>
      <c r="BA176" s="138"/>
      <c r="BB176" s="140"/>
      <c r="BC176" s="140">
        <f>'Reflection -3'!Q176</f>
        <v>3</v>
      </c>
      <c r="BD176" s="140"/>
      <c r="BE176" s="140"/>
      <c r="BF176" s="140"/>
      <c r="BG176" s="140"/>
      <c r="BH176" s="140"/>
      <c r="BI176" s="138"/>
      <c r="BJ176" s="140"/>
      <c r="BK176" s="140">
        <f>'Reflection -3'!Q176</f>
        <v>3</v>
      </c>
      <c r="BL176" s="7"/>
      <c r="BM176" s="140"/>
      <c r="BN176" s="7"/>
      <c r="BO176" s="140"/>
      <c r="BP176" s="140"/>
      <c r="BQ176" s="138"/>
      <c r="BR176" s="140"/>
      <c r="BS176" s="140">
        <f>Capstone!Q177</f>
        <v>3.5</v>
      </c>
      <c r="BT176" s="140">
        <f>Capstone!W177</f>
        <v>3</v>
      </c>
      <c r="BU176" s="140">
        <f>Capstone!AC177</f>
        <v>3</v>
      </c>
      <c r="BV176" s="140">
        <f>Capstone!AI177</f>
        <v>2</v>
      </c>
      <c r="BW176" s="140">
        <f>Capstone!AO177</f>
        <v>2.5</v>
      </c>
      <c r="BX176" s="140">
        <f>Capstone!AU177</f>
        <v>3</v>
      </c>
      <c r="BY176" s="138"/>
      <c r="BZ176" s="140"/>
      <c r="CA17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2.4333333333333336</v>
      </c>
      <c r="CB176" s="140">
        <f>IFERROR(AVERAGE(Table110461117[[#This Row],[Column31]],Table110461117[[#This Row],[Column13]],Table110461117[[#This Row],[Column4]],Table110461117[[#This Row],[Column22]],),"A")</f>
        <v>1.1333333333333333</v>
      </c>
      <c r="CC176" s="140">
        <f>IFERROR(AVERAGE(Table110461117[[#This Row],[Column5]],Table110461117[[#This Row],[Column14]],Table110461117[[#This Row],[Column23]],Table110461117[[#This Row],[Column32]]),"A")</f>
        <v>1.5</v>
      </c>
      <c r="CD176" s="140">
        <f>IFERROR(AVERAGE(Table110461117[[#This Row],[Column6]],Table110461117[[#This Row],[Column15]],Table110461117[[#This Row],[Column24]],Table110461117[[#This Row],[Column33]]),"A")</f>
        <v>1.375</v>
      </c>
      <c r="CE176" s="140"/>
      <c r="CF176" s="140">
        <f>IFERROR(AVERAGE(Table110461117[[#This Row],[Column26]],Table110461117[[#This Row],[Column35]],Table110461117[[#This Row],[Column17]],Table110461117[[#This Row],[Column8]]),"A")</f>
        <v>1.6666666666666665</v>
      </c>
      <c r="CG176" s="138"/>
      <c r="CH176" s="140">
        <f>IFERROR(AVERAGE('Review 1'!AX176,'Review 2'!AX176,'Review 3'!AX176,'Review 4'!AX176,'Reflection -1 '!AX176,'Reflection -2'!AX176,'Reflection -3'!AX176,'Reflection -4'!AX176),"A")</f>
        <v>3.375</v>
      </c>
      <c r="CI176" s="140">
        <f>IFERROR(AVERAGE('Review 1'!AY176,'Review 2'!AY176,'Review 3'!AY176,'Review 4'!AY176,'Reflection -1 '!AY176,'Reflection -2'!AY176,'Reflection -3'!AY176,'Reflection -4'!AY176,Capstone!AY177),"A")</f>
        <v>1.9444444444444444</v>
      </c>
      <c r="CJ176" s="140">
        <f>IFERROR(AVERAGE('Review 1'!AZ176,'Review 2'!AZ176,'Review 3'!AZ176,'Review 4'!AZ176,'Reflection -1 '!AZ176,'Reflection -2'!AZ176,'Reflection -3'!AZ176,'Reflection -4'!AZ176),"A")</f>
        <v>2</v>
      </c>
    </row>
    <row r="177" spans="1:88" s="122" customFormat="1" ht="23.1" customHeight="1" x14ac:dyDescent="0.3">
      <c r="A177" s="137">
        <v>175</v>
      </c>
      <c r="B177" s="62" t="s">
        <v>120</v>
      </c>
      <c r="C177" s="62" t="s">
        <v>121</v>
      </c>
      <c r="D177" s="62" t="s">
        <v>450</v>
      </c>
      <c r="E177" s="62" t="s">
        <v>35</v>
      </c>
      <c r="F177" s="139"/>
      <c r="G177" s="139">
        <f>'Review 1'!Q177</f>
        <v>1.4</v>
      </c>
      <c r="H177" s="139">
        <f>'Review 1'!W177</f>
        <v>1</v>
      </c>
      <c r="I177" s="139">
        <f>'Review 1'!AC177</f>
        <v>1</v>
      </c>
      <c r="J177" s="139">
        <f>'Review 1'!AI177</f>
        <v>1</v>
      </c>
      <c r="K177" s="139"/>
      <c r="L177" s="139">
        <f>'Review 1'!AU177</f>
        <v>1</v>
      </c>
      <c r="M177" s="138"/>
      <c r="N177" s="139"/>
      <c r="O177" s="139">
        <f>'Review 2'!Q177</f>
        <v>1.4</v>
      </c>
      <c r="P177" s="139">
        <f>'Review 2'!W177</f>
        <v>1</v>
      </c>
      <c r="Q177" s="139">
        <f>'Review 2'!AC177</f>
        <v>1</v>
      </c>
      <c r="R177" s="139">
        <f>'Review 2'!AI177</f>
        <v>1</v>
      </c>
      <c r="S177" s="139"/>
      <c r="T177" s="139">
        <f>'Review 2'!AU177</f>
        <v>1</v>
      </c>
      <c r="U177" s="138"/>
      <c r="V177" s="62"/>
      <c r="W177" s="139">
        <f>'Review 3'!Q177</f>
        <v>0</v>
      </c>
      <c r="X177" s="139">
        <f>'Review 3'!W177</f>
        <v>0</v>
      </c>
      <c r="Y177" s="139">
        <f>'Review 3'!AC177</f>
        <v>0</v>
      </c>
      <c r="Z177" s="139">
        <f>'Review 3'!AI177</f>
        <v>0</v>
      </c>
      <c r="AA177" s="62"/>
      <c r="AB177" s="139">
        <f>'Review 3'!AU177</f>
        <v>0</v>
      </c>
      <c r="AC177" s="138"/>
      <c r="AD177" s="62"/>
      <c r="AE177" s="139">
        <f>'Review 4'!Q177</f>
        <v>1.4</v>
      </c>
      <c r="AF177" s="139">
        <f>'Review 4'!W177</f>
        <v>2.3333333333333335</v>
      </c>
      <c r="AG177" s="139">
        <f>'Review 4'!AC177</f>
        <v>1.5</v>
      </c>
      <c r="AH177" s="139">
        <f>'Review 4'!AI177</f>
        <v>0.5</v>
      </c>
      <c r="AI177" s="139"/>
      <c r="AJ177" s="139">
        <f>'Review 4'!AU177</f>
        <v>2.3333333333333335</v>
      </c>
      <c r="AK177" s="138"/>
      <c r="AL177" s="62"/>
      <c r="AM177" s="139">
        <f>'Reflection -1 '!Q177</f>
        <v>1.6666666666666667</v>
      </c>
      <c r="AN177" s="62"/>
      <c r="AO177" s="62"/>
      <c r="AP177" s="62"/>
      <c r="AQ177" s="62"/>
      <c r="AR177" s="62"/>
      <c r="AS177" s="138"/>
      <c r="AT177" s="62"/>
      <c r="AU177" s="139">
        <f>'Reflection -2'!Q177</f>
        <v>2.3333333333333335</v>
      </c>
      <c r="AV177" s="62"/>
      <c r="AW177" s="62"/>
      <c r="AX177" s="62"/>
      <c r="AY177" s="139"/>
      <c r="AZ177" s="62"/>
      <c r="BA177" s="138"/>
      <c r="BB177" s="139"/>
      <c r="BC177" s="139">
        <f>'Reflection -3'!Q177</f>
        <v>1.6666666666666667</v>
      </c>
      <c r="BD177" s="139"/>
      <c r="BE177" s="139"/>
      <c r="BF177" s="139"/>
      <c r="BG177" s="139"/>
      <c r="BH177" s="139"/>
      <c r="BI177" s="138"/>
      <c r="BJ177" s="139"/>
      <c r="BK177" s="139">
        <f>'Reflection -3'!Q177</f>
        <v>1.6666666666666667</v>
      </c>
      <c r="BL177" s="62"/>
      <c r="BM177" s="139"/>
      <c r="BN177" s="62"/>
      <c r="BO177" s="139"/>
      <c r="BP177" s="139"/>
      <c r="BQ177" s="138"/>
      <c r="BR177" s="139"/>
      <c r="BS177" s="139">
        <f>Capstone!Q178</f>
        <v>2</v>
      </c>
      <c r="BT177" s="139">
        <f>Capstone!W178</f>
        <v>4</v>
      </c>
      <c r="BU177" s="139">
        <f>Capstone!AC178</f>
        <v>4</v>
      </c>
      <c r="BV177" s="139">
        <f>Capstone!AI178</f>
        <v>4</v>
      </c>
      <c r="BW177" s="139">
        <f>Capstone!AO178</f>
        <v>3</v>
      </c>
      <c r="BX177" s="139">
        <f>Capstone!AU178</f>
        <v>4</v>
      </c>
      <c r="BY177" s="138"/>
      <c r="BZ177" s="139"/>
      <c r="CA17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1.4416666666666667</v>
      </c>
      <c r="CB177" s="139">
        <f>IFERROR(AVERAGE(Table110461117[[#This Row],[Column31]],Table110461117[[#This Row],[Column13]],Table110461117[[#This Row],[Column4]],Table110461117[[#This Row],[Column22]],),"A")</f>
        <v>0.86666666666666681</v>
      </c>
      <c r="CC177" s="139">
        <f>IFERROR(AVERAGE(Table110461117[[#This Row],[Column5]],Table110461117[[#This Row],[Column14]],Table110461117[[#This Row],[Column23]],Table110461117[[#This Row],[Column32]]),"A")</f>
        <v>0.875</v>
      </c>
      <c r="CD177" s="139">
        <f>IFERROR(AVERAGE(Table110461117[[#This Row],[Column6]],Table110461117[[#This Row],[Column15]],Table110461117[[#This Row],[Column24]],Table110461117[[#This Row],[Column33]]),"A")</f>
        <v>0.625</v>
      </c>
      <c r="CE177" s="139"/>
      <c r="CF177" s="139">
        <f>IFERROR(AVERAGE(Table110461117[[#This Row],[Column26]],Table110461117[[#This Row],[Column35]],Table110461117[[#This Row],[Column17]],Table110461117[[#This Row],[Column8]]),"A")</f>
        <v>1.0833333333333335</v>
      </c>
      <c r="CG177" s="138"/>
      <c r="CH177" s="139">
        <f>IFERROR(AVERAGE('Review 1'!AX177,'Review 2'!AX177,'Review 3'!AX177,'Review 4'!AX177,'Reflection -1 '!AX177,'Reflection -2'!AX177,'Reflection -3'!AX177,'Reflection -4'!AX177),"A")</f>
        <v>3</v>
      </c>
      <c r="CI177" s="139">
        <f>IFERROR(AVERAGE('Review 1'!AY177,'Review 2'!AY177,'Review 3'!AY177,'Review 4'!AY177,'Reflection -1 '!AY177,'Reflection -2'!AY177,'Reflection -3'!AY177,'Reflection -4'!AY177,Capstone!AY178),"A")</f>
        <v>0.77777777777777779</v>
      </c>
      <c r="CJ177" s="139">
        <f>IFERROR(AVERAGE('Review 1'!AZ177,'Review 2'!AZ177,'Review 3'!AZ177,'Review 4'!AZ177,'Reflection -1 '!AZ177,'Reflection -2'!AZ177,'Reflection -3'!AZ177,'Reflection -4'!AZ177),"A")</f>
        <v>1.125</v>
      </c>
    </row>
    <row r="178" spans="1:88" s="122" customFormat="1" ht="23.1" customHeight="1" x14ac:dyDescent="0.3">
      <c r="A178" s="6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140"/>
      <c r="G178" s="140">
        <f>'Review 1'!Q178</f>
        <v>0</v>
      </c>
      <c r="H178" s="140">
        <f>'Review 1'!W178</f>
        <v>0</v>
      </c>
      <c r="I178" s="140">
        <f>'Review 1'!AC178</f>
        <v>0</v>
      </c>
      <c r="J178" s="140">
        <f>'Review 1'!AI178</f>
        <v>0</v>
      </c>
      <c r="K178" s="140"/>
      <c r="L178" s="140">
        <f>'Review 1'!AU178</f>
        <v>0</v>
      </c>
      <c r="M178" s="138"/>
      <c r="N178" s="140"/>
      <c r="O178" s="140">
        <f>'Review 2'!Q178</f>
        <v>2</v>
      </c>
      <c r="P178" s="140">
        <f>'Review 2'!W178</f>
        <v>2</v>
      </c>
      <c r="Q178" s="140">
        <f>'Review 2'!AC178</f>
        <v>2</v>
      </c>
      <c r="R178" s="140">
        <f>'Review 2'!AI178</f>
        <v>1.5</v>
      </c>
      <c r="S178" s="140"/>
      <c r="T178" s="140">
        <f>'Review 2'!AU178</f>
        <v>1</v>
      </c>
      <c r="U178" s="138"/>
      <c r="V178" s="7"/>
      <c r="W178" s="140">
        <f>'Review 3'!Q178</f>
        <v>1.8</v>
      </c>
      <c r="X178" s="140">
        <f>'Review 3'!W178</f>
        <v>2</v>
      </c>
      <c r="Y178" s="140">
        <f>'Review 3'!AC178</f>
        <v>2</v>
      </c>
      <c r="Z178" s="140">
        <f>'Review 3'!AI178</f>
        <v>2</v>
      </c>
      <c r="AA178" s="7"/>
      <c r="AB178" s="140">
        <f>'Review 3'!AU178</f>
        <v>2</v>
      </c>
      <c r="AC178" s="138"/>
      <c r="AD178" s="7"/>
      <c r="AE178" s="140">
        <f>'Review 4'!Q178</f>
        <v>2.6</v>
      </c>
      <c r="AF178" s="140">
        <f>'Review 4'!W178</f>
        <v>3</v>
      </c>
      <c r="AG178" s="140">
        <f>'Review 4'!AC178</f>
        <v>2.5</v>
      </c>
      <c r="AH178" s="140">
        <f>'Review 4'!AI178</f>
        <v>3</v>
      </c>
      <c r="AI178" s="140"/>
      <c r="AJ178" s="140">
        <f>'Review 4'!AU178</f>
        <v>3</v>
      </c>
      <c r="AK178" s="138"/>
      <c r="AL178" s="7"/>
      <c r="AM178" s="140">
        <f>'Reflection -1 '!Q178</f>
        <v>0</v>
      </c>
      <c r="AN178" s="7"/>
      <c r="AO178" s="7"/>
      <c r="AP178" s="7"/>
      <c r="AQ178" s="7"/>
      <c r="AR178" s="7"/>
      <c r="AS178" s="138"/>
      <c r="AT178" s="7"/>
      <c r="AU178" s="140">
        <f>'Reflection -2'!Q178</f>
        <v>2.3333333333333335</v>
      </c>
      <c r="AV178" s="7"/>
      <c r="AW178" s="7"/>
      <c r="AX178" s="7"/>
      <c r="AY178" s="140"/>
      <c r="AZ178" s="7"/>
      <c r="BA178" s="138"/>
      <c r="BB178" s="140"/>
      <c r="BC178" s="140">
        <f>'Reflection -3'!Q178</f>
        <v>0</v>
      </c>
      <c r="BD178" s="140"/>
      <c r="BE178" s="140"/>
      <c r="BF178" s="140"/>
      <c r="BG178" s="140"/>
      <c r="BH178" s="140"/>
      <c r="BI178" s="138"/>
      <c r="BJ178" s="140"/>
      <c r="BK178" s="140">
        <f>'Reflection -3'!Q178</f>
        <v>0</v>
      </c>
      <c r="BL178" s="7"/>
      <c r="BM178" s="140"/>
      <c r="BN178" s="7"/>
      <c r="BO178" s="140"/>
      <c r="BP178" s="140"/>
      <c r="BQ178" s="138"/>
      <c r="BR178" s="140"/>
      <c r="BS178" s="140" t="str">
        <f>Capstone!Q179</f>
        <v>0</v>
      </c>
      <c r="BT178" s="140" t="str">
        <f>Capstone!W179</f>
        <v>0</v>
      </c>
      <c r="BU178" s="140" t="str">
        <f>Capstone!AC179</f>
        <v>0</v>
      </c>
      <c r="BV178" s="140" t="str">
        <f>Capstone!AI179</f>
        <v>0</v>
      </c>
      <c r="BW178" s="140" t="str">
        <f>Capstone!AO179</f>
        <v>0</v>
      </c>
      <c r="BX178" s="140" t="str">
        <f>Capstone!AU179</f>
        <v>0</v>
      </c>
      <c r="BY178" s="138"/>
      <c r="BZ178" s="140"/>
      <c r="CA17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1.0916666666666668</v>
      </c>
      <c r="CB178" s="140">
        <f>IFERROR(AVERAGE(Table110461117[[#This Row],[Column31]],Table110461117[[#This Row],[Column13]],Table110461117[[#This Row],[Column4]],Table110461117[[#This Row],[Column22]],),"A")</f>
        <v>1.4</v>
      </c>
      <c r="CC178" s="140">
        <f>IFERROR(AVERAGE(Table110461117[[#This Row],[Column5]],Table110461117[[#This Row],[Column14]],Table110461117[[#This Row],[Column23]],Table110461117[[#This Row],[Column32]]),"A")</f>
        <v>1.625</v>
      </c>
      <c r="CD178" s="140">
        <f>IFERROR(AVERAGE(Table110461117[[#This Row],[Column6]],Table110461117[[#This Row],[Column15]],Table110461117[[#This Row],[Column24]],Table110461117[[#This Row],[Column33]]),"A")</f>
        <v>1.625</v>
      </c>
      <c r="CE178" s="140"/>
      <c r="CF178" s="140">
        <f>IFERROR(AVERAGE(Table110461117[[#This Row],[Column26]],Table110461117[[#This Row],[Column35]],Table110461117[[#This Row],[Column17]],Table110461117[[#This Row],[Column8]]),"A")</f>
        <v>1.5</v>
      </c>
      <c r="CG178" s="138"/>
      <c r="CH178" s="140">
        <f>IFERROR(AVERAGE('Review 1'!AX178,'Review 2'!AX178,'Review 3'!AX178,'Review 4'!AX178,'Reflection -1 '!AX178,'Reflection -2'!AX178,'Reflection -3'!AX178,'Reflection -4'!AX178),"A")</f>
        <v>1.125</v>
      </c>
      <c r="CI178" s="140">
        <f>IFERROR(AVERAGE('Review 1'!AY178,'Review 2'!AY178,'Review 3'!AY178,'Review 4'!AY178,'Reflection -1 '!AY178,'Reflection -2'!AY178,'Reflection -3'!AY178,'Reflection -4'!AY178,Capstone!AY179),"A")</f>
        <v>1</v>
      </c>
      <c r="CJ178" s="140">
        <f>IFERROR(AVERAGE('Review 1'!AZ178,'Review 2'!AZ178,'Review 3'!AZ178,'Review 4'!AZ178,'Reflection -1 '!AZ178,'Reflection -2'!AZ178,'Reflection -3'!AZ178,'Reflection -4'!AZ178),"A")</f>
        <v>0.875</v>
      </c>
    </row>
    <row r="179" spans="1:88" s="122" customFormat="1" ht="23.1" customHeight="1" x14ac:dyDescent="0.3">
      <c r="A179" s="137">
        <v>177</v>
      </c>
      <c r="B179" s="62" t="s">
        <v>271</v>
      </c>
      <c r="C179" s="62" t="s">
        <v>272</v>
      </c>
      <c r="D179" s="62" t="s">
        <v>450</v>
      </c>
      <c r="E179" s="62" t="s">
        <v>161</v>
      </c>
      <c r="F179" s="139"/>
      <c r="G179" s="139">
        <f>'Review 1'!Q179</f>
        <v>2</v>
      </c>
      <c r="H179" s="139">
        <f>'Review 1'!W179</f>
        <v>2</v>
      </c>
      <c r="I179" s="139">
        <f>'Review 1'!AC179</f>
        <v>2</v>
      </c>
      <c r="J179" s="139">
        <f>'Review 1'!AI179</f>
        <v>2</v>
      </c>
      <c r="K179" s="139"/>
      <c r="L179" s="139">
        <f>'Review 1'!AU179</f>
        <v>2</v>
      </c>
      <c r="M179" s="138"/>
      <c r="N179" s="139"/>
      <c r="O179" s="139">
        <f>'Review 2'!Q179</f>
        <v>2</v>
      </c>
      <c r="P179" s="139">
        <f>'Review 2'!W179</f>
        <v>2</v>
      </c>
      <c r="Q179" s="139">
        <f>'Review 2'!AC179</f>
        <v>2</v>
      </c>
      <c r="R179" s="139">
        <f>'Review 2'!AI179</f>
        <v>2</v>
      </c>
      <c r="S179" s="139"/>
      <c r="T179" s="139">
        <f>'Review 2'!AU179</f>
        <v>2</v>
      </c>
      <c r="U179" s="138"/>
      <c r="V179" s="62"/>
      <c r="W179" s="139">
        <f>'Review 3'!Q179</f>
        <v>2</v>
      </c>
      <c r="X179" s="139">
        <f>'Review 3'!W179</f>
        <v>3</v>
      </c>
      <c r="Y179" s="139">
        <f>'Review 3'!AC179</f>
        <v>2</v>
      </c>
      <c r="Z179" s="139">
        <f>'Review 3'!AI179</f>
        <v>2.5</v>
      </c>
      <c r="AA179" s="62"/>
      <c r="AB179" s="139">
        <f>'Review 3'!AU179</f>
        <v>2.6666666666666665</v>
      </c>
      <c r="AC179" s="138"/>
      <c r="AD179" s="62"/>
      <c r="AE179" s="139">
        <f>'Review 4'!Q179</f>
        <v>3.4</v>
      </c>
      <c r="AF179" s="139">
        <f>'Review 4'!W179</f>
        <v>2</v>
      </c>
      <c r="AG179" s="139">
        <f>'Review 4'!AC179</f>
        <v>1.5</v>
      </c>
      <c r="AH179" s="139">
        <f>'Review 4'!AI179</f>
        <v>1</v>
      </c>
      <c r="AI179" s="139"/>
      <c r="AJ179" s="139">
        <f>'Review 4'!AU179</f>
        <v>3.6666666666666665</v>
      </c>
      <c r="AK179" s="138"/>
      <c r="AL179" s="62"/>
      <c r="AM179" s="139">
        <f>'Reflection -1 '!Q179</f>
        <v>1</v>
      </c>
      <c r="AN179" s="62"/>
      <c r="AO179" s="62"/>
      <c r="AP179" s="62"/>
      <c r="AQ179" s="62"/>
      <c r="AR179" s="62"/>
      <c r="AS179" s="138"/>
      <c r="AT179" s="62"/>
      <c r="AU179" s="139">
        <f>'Reflection -2'!Q179</f>
        <v>2.6666666666666665</v>
      </c>
      <c r="AV179" s="62"/>
      <c r="AW179" s="62"/>
      <c r="AX179" s="62"/>
      <c r="AY179" s="139"/>
      <c r="AZ179" s="62"/>
      <c r="BA179" s="138"/>
      <c r="BB179" s="139"/>
      <c r="BC179" s="139">
        <f>'Reflection -3'!Q179</f>
        <v>3.6666666666666665</v>
      </c>
      <c r="BD179" s="139"/>
      <c r="BE179" s="139"/>
      <c r="BF179" s="139"/>
      <c r="BG179" s="139"/>
      <c r="BH179" s="139"/>
      <c r="BI179" s="138"/>
      <c r="BJ179" s="139"/>
      <c r="BK179" s="139">
        <f>'Reflection -3'!Q179</f>
        <v>3.6666666666666665</v>
      </c>
      <c r="BL179" s="62"/>
      <c r="BM179" s="139"/>
      <c r="BN179" s="62"/>
      <c r="BO179" s="139"/>
      <c r="BP179" s="139"/>
      <c r="BQ179" s="138"/>
      <c r="BR179" s="139"/>
      <c r="BS179" s="139">
        <f>Capstone!Q180</f>
        <v>3.6666666666666665</v>
      </c>
      <c r="BT179" s="139">
        <f>Capstone!W180</f>
        <v>4</v>
      </c>
      <c r="BU179" s="139">
        <f>Capstone!AC180</f>
        <v>4</v>
      </c>
      <c r="BV179" s="139">
        <f>Capstone!AI180</f>
        <v>0</v>
      </c>
      <c r="BW179" s="139">
        <f>Capstone!AO180</f>
        <v>3.5</v>
      </c>
      <c r="BX179" s="139">
        <f>Capstone!AU180</f>
        <v>4</v>
      </c>
      <c r="BY179" s="138"/>
      <c r="BZ179" s="139"/>
      <c r="CA17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2.5499999999999998</v>
      </c>
      <c r="CB179" s="139">
        <f>IFERROR(AVERAGE(Table110461117[[#This Row],[Column31]],Table110461117[[#This Row],[Column13]],Table110461117[[#This Row],[Column4]],Table110461117[[#This Row],[Column22]],),"A")</f>
        <v>1.8</v>
      </c>
      <c r="CC179" s="139">
        <f>IFERROR(AVERAGE(Table110461117[[#This Row],[Column5]],Table110461117[[#This Row],[Column14]],Table110461117[[#This Row],[Column23]],Table110461117[[#This Row],[Column32]]),"A")</f>
        <v>1.875</v>
      </c>
      <c r="CD179" s="139">
        <f>IFERROR(AVERAGE(Table110461117[[#This Row],[Column6]],Table110461117[[#This Row],[Column15]],Table110461117[[#This Row],[Column24]],Table110461117[[#This Row],[Column33]]),"A")</f>
        <v>1.875</v>
      </c>
      <c r="CE179" s="139"/>
      <c r="CF179" s="139">
        <f>IFERROR(AVERAGE(Table110461117[[#This Row],[Column26]],Table110461117[[#This Row],[Column35]],Table110461117[[#This Row],[Column17]],Table110461117[[#This Row],[Column8]]),"A")</f>
        <v>2.583333333333333</v>
      </c>
      <c r="CG179" s="138"/>
      <c r="CH179" s="139">
        <f>IFERROR(AVERAGE('Review 1'!AX179,'Review 2'!AX179,'Review 3'!AX179,'Review 4'!AX179,'Reflection -1 '!AX179,'Reflection -2'!AX179,'Reflection -3'!AX179,'Reflection -4'!AX179),"A")</f>
        <v>2.625</v>
      </c>
      <c r="CI179" s="139">
        <f>IFERROR(AVERAGE('Review 1'!AY179,'Review 2'!AY179,'Review 3'!AY179,'Review 4'!AY179,'Reflection -1 '!AY179,'Reflection -2'!AY179,'Reflection -3'!AY179,'Reflection -4'!AY179,Capstone!AY180),"A")</f>
        <v>1.1111111111111112</v>
      </c>
      <c r="CJ179" s="139">
        <f>IFERROR(AVERAGE('Review 1'!AZ179,'Review 2'!AZ179,'Review 3'!AZ179,'Review 4'!AZ179,'Reflection -1 '!AZ179,'Reflection -2'!AZ179,'Reflection -3'!AZ179,'Reflection -4'!AZ179),"A")</f>
        <v>1.25</v>
      </c>
    </row>
    <row r="180" spans="1:88" s="122" customFormat="1" ht="23.1" customHeight="1" x14ac:dyDescent="0.3">
      <c r="A180" s="6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140"/>
      <c r="G180" s="140">
        <f>'Review 1'!Q180</f>
        <v>3.8</v>
      </c>
      <c r="H180" s="140">
        <f>'Review 1'!W180</f>
        <v>4</v>
      </c>
      <c r="I180" s="140">
        <f>'Review 1'!AC180</f>
        <v>4</v>
      </c>
      <c r="J180" s="140">
        <f>'Review 1'!AI180</f>
        <v>2.5</v>
      </c>
      <c r="K180" s="140"/>
      <c r="L180" s="140">
        <f>'Review 1'!AU180</f>
        <v>1</v>
      </c>
      <c r="M180" s="138"/>
      <c r="N180" s="140"/>
      <c r="O180" s="140">
        <f>'Review 2'!Q180</f>
        <v>3.8</v>
      </c>
      <c r="P180" s="140">
        <f>'Review 2'!W180</f>
        <v>4</v>
      </c>
      <c r="Q180" s="140">
        <f>'Review 2'!AC180</f>
        <v>4</v>
      </c>
      <c r="R180" s="140">
        <f>'Review 2'!AI180</f>
        <v>2.5</v>
      </c>
      <c r="S180" s="140"/>
      <c r="T180" s="140">
        <f>'Review 2'!AU180</f>
        <v>1</v>
      </c>
      <c r="U180" s="138"/>
      <c r="V180" s="7"/>
      <c r="W180" s="140">
        <f>'Review 3'!Q180</f>
        <v>3.8</v>
      </c>
      <c r="X180" s="140">
        <f>'Review 3'!W180</f>
        <v>0</v>
      </c>
      <c r="Y180" s="140">
        <f>'Review 3'!AC180</f>
        <v>0</v>
      </c>
      <c r="Z180" s="140">
        <f>'Review 3'!AI180</f>
        <v>0</v>
      </c>
      <c r="AA180" s="7"/>
      <c r="AB180" s="140">
        <f>'Review 3'!AU180</f>
        <v>0</v>
      </c>
      <c r="AC180" s="138"/>
      <c r="AD180" s="7"/>
      <c r="AE180" s="140">
        <f>'Review 4'!Q180</f>
        <v>3.4</v>
      </c>
      <c r="AF180" s="140">
        <f>'Review 4'!W180</f>
        <v>2</v>
      </c>
      <c r="AG180" s="140">
        <f>'Review 4'!AC180</f>
        <v>1.5</v>
      </c>
      <c r="AH180" s="140">
        <f>'Review 4'!AI180</f>
        <v>0.5</v>
      </c>
      <c r="AI180" s="140"/>
      <c r="AJ180" s="140">
        <f>'Review 4'!AU180</f>
        <v>2.6666666666666665</v>
      </c>
      <c r="AK180" s="138"/>
      <c r="AL180" s="7"/>
      <c r="AM180" s="140">
        <f>'Reflection -1 '!Q180</f>
        <v>1</v>
      </c>
      <c r="AN180" s="7"/>
      <c r="AO180" s="7"/>
      <c r="AP180" s="7"/>
      <c r="AQ180" s="7"/>
      <c r="AR180" s="7"/>
      <c r="AS180" s="138"/>
      <c r="AT180" s="7"/>
      <c r="AU180" s="140">
        <f>'Reflection -2'!Q180</f>
        <v>2.6666666666666665</v>
      </c>
      <c r="AV180" s="7"/>
      <c r="AW180" s="7"/>
      <c r="AX180" s="7"/>
      <c r="AY180" s="140"/>
      <c r="AZ180" s="7"/>
      <c r="BA180" s="138"/>
      <c r="BB180" s="140"/>
      <c r="BC180" s="140">
        <f>'Reflection -3'!Q180</f>
        <v>3.6666666666666665</v>
      </c>
      <c r="BD180" s="140"/>
      <c r="BE180" s="140"/>
      <c r="BF180" s="140"/>
      <c r="BG180" s="140"/>
      <c r="BH180" s="140"/>
      <c r="BI180" s="138"/>
      <c r="BJ180" s="140"/>
      <c r="BK180" s="140">
        <f>'Reflection -3'!Q180</f>
        <v>3.6666666666666665</v>
      </c>
      <c r="BL180" s="7"/>
      <c r="BM180" s="140"/>
      <c r="BN180" s="7"/>
      <c r="BO180" s="140"/>
      <c r="BP180" s="140"/>
      <c r="BQ180" s="138"/>
      <c r="BR180" s="140"/>
      <c r="BS180" s="140">
        <f>Capstone!Q181</f>
        <v>5</v>
      </c>
      <c r="BT180" s="140">
        <f>Capstone!W181</f>
        <v>5</v>
      </c>
      <c r="BU180" s="140">
        <f>Capstone!AC181</f>
        <v>5</v>
      </c>
      <c r="BV180" s="140">
        <f>Capstone!AI181</f>
        <v>5</v>
      </c>
      <c r="BW180" s="140">
        <f>Capstone!AO181</f>
        <v>4</v>
      </c>
      <c r="BX180" s="140">
        <f>Capstone!AU181</f>
        <v>5</v>
      </c>
      <c r="BY180" s="138"/>
      <c r="BZ180" s="140"/>
      <c r="CA18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3.2250000000000005</v>
      </c>
      <c r="CB180" s="140">
        <f>IFERROR(AVERAGE(Table110461117[[#This Row],[Column31]],Table110461117[[#This Row],[Column13]],Table110461117[[#This Row],[Column4]],Table110461117[[#This Row],[Column22]],),"A")</f>
        <v>2</v>
      </c>
      <c r="CC180" s="140">
        <f>IFERROR(AVERAGE(Table110461117[[#This Row],[Column5]],Table110461117[[#This Row],[Column14]],Table110461117[[#This Row],[Column23]],Table110461117[[#This Row],[Column32]]),"A")</f>
        <v>2.375</v>
      </c>
      <c r="CD180" s="140">
        <f>IFERROR(AVERAGE(Table110461117[[#This Row],[Column6]],Table110461117[[#This Row],[Column15]],Table110461117[[#This Row],[Column24]],Table110461117[[#This Row],[Column33]]),"A")</f>
        <v>1.375</v>
      </c>
      <c r="CE180" s="140"/>
      <c r="CF180" s="140">
        <f>IFERROR(AVERAGE(Table110461117[[#This Row],[Column26]],Table110461117[[#This Row],[Column35]],Table110461117[[#This Row],[Column17]],Table110461117[[#This Row],[Column8]]),"A")</f>
        <v>1.1666666666666665</v>
      </c>
      <c r="CG180" s="138"/>
      <c r="CH180" s="140">
        <f>IFERROR(AVERAGE('Review 1'!AX180,'Review 2'!AX180,'Review 3'!AX180,'Review 4'!AX180,'Reflection -1 '!AX180,'Reflection -2'!AX180,'Reflection -3'!AX180,'Reflection -4'!AX180),"A")</f>
        <v>2.375</v>
      </c>
      <c r="CI180" s="140">
        <f>IFERROR(AVERAGE('Review 1'!AY180,'Review 2'!AY180,'Review 3'!AY180,'Review 4'!AY180,'Reflection -1 '!AY180,'Reflection -2'!AY180,'Reflection -3'!AY180,'Reflection -4'!AY180,Capstone!AY181),"A")</f>
        <v>0.88888888888888884</v>
      </c>
      <c r="CJ180" s="140">
        <f>IFERROR(AVERAGE('Review 1'!AZ180,'Review 2'!AZ180,'Review 3'!AZ180,'Review 4'!AZ180,'Reflection -1 '!AZ180,'Reflection -2'!AZ180,'Reflection -3'!AZ180,'Reflection -4'!AZ180),"A")</f>
        <v>2</v>
      </c>
    </row>
    <row r="181" spans="1:88" s="122" customFormat="1" ht="23.1" customHeight="1" x14ac:dyDescent="0.3">
      <c r="A181" s="137">
        <v>179</v>
      </c>
      <c r="B181" s="62" t="s">
        <v>239</v>
      </c>
      <c r="C181" s="62" t="s">
        <v>240</v>
      </c>
      <c r="D181" s="62" t="s">
        <v>542</v>
      </c>
      <c r="E181" s="62" t="s">
        <v>161</v>
      </c>
      <c r="F181" s="139"/>
      <c r="G181" s="139">
        <f>'Review 1'!Q181</f>
        <v>3</v>
      </c>
      <c r="H181" s="139">
        <f>'Review 1'!W181</f>
        <v>3</v>
      </c>
      <c r="I181" s="139">
        <f>'Review 1'!AC181</f>
        <v>3</v>
      </c>
      <c r="J181" s="139">
        <f>'Review 1'!AI181</f>
        <v>3</v>
      </c>
      <c r="K181" s="139"/>
      <c r="L181" s="139">
        <f>'Review 1'!AU181</f>
        <v>3</v>
      </c>
      <c r="M181" s="138"/>
      <c r="N181" s="139"/>
      <c r="O181" s="139">
        <f>'Review 2'!Q181</f>
        <v>3</v>
      </c>
      <c r="P181" s="139">
        <f>'Review 2'!W181</f>
        <v>3</v>
      </c>
      <c r="Q181" s="139">
        <f>'Review 2'!AC181</f>
        <v>3</v>
      </c>
      <c r="R181" s="139">
        <f>'Review 2'!AI181</f>
        <v>3</v>
      </c>
      <c r="S181" s="139"/>
      <c r="T181" s="139">
        <f>'Review 2'!AU181</f>
        <v>3</v>
      </c>
      <c r="U181" s="138"/>
      <c r="V181" s="62"/>
      <c r="W181" s="139">
        <f>'Review 3'!Q181</f>
        <v>3</v>
      </c>
      <c r="X181" s="139">
        <f>'Review 3'!W181</f>
        <v>3</v>
      </c>
      <c r="Y181" s="139">
        <f>'Review 3'!AC181</f>
        <v>3</v>
      </c>
      <c r="Z181" s="139">
        <f>'Review 3'!AI181</f>
        <v>3</v>
      </c>
      <c r="AA181" s="62"/>
      <c r="AB181" s="139">
        <f>'Review 3'!AU181</f>
        <v>2.6666666666666665</v>
      </c>
      <c r="AC181" s="138"/>
      <c r="AD181" s="62"/>
      <c r="AE181" s="139">
        <f>'Review 4'!Q181</f>
        <v>1.6</v>
      </c>
      <c r="AF181" s="139">
        <f>'Review 4'!W181</f>
        <v>1.3333333333333333</v>
      </c>
      <c r="AG181" s="139">
        <f>'Review 4'!AC181</f>
        <v>1</v>
      </c>
      <c r="AH181" s="139">
        <f>'Review 4'!AI181</f>
        <v>1</v>
      </c>
      <c r="AI181" s="139"/>
      <c r="AJ181" s="139">
        <f>'Review 4'!AU181</f>
        <v>1</v>
      </c>
      <c r="AK181" s="138"/>
      <c r="AL181" s="62"/>
      <c r="AM181" s="139">
        <f>'Reflection -1 '!Q181</f>
        <v>0</v>
      </c>
      <c r="AN181" s="62"/>
      <c r="AO181" s="62"/>
      <c r="AP181" s="62"/>
      <c r="AQ181" s="62"/>
      <c r="AR181" s="62"/>
      <c r="AS181" s="138"/>
      <c r="AT181" s="62"/>
      <c r="AU181" s="139">
        <f>'Reflection -2'!Q181</f>
        <v>0</v>
      </c>
      <c r="AV181" s="62"/>
      <c r="AW181" s="62"/>
      <c r="AX181" s="62"/>
      <c r="AY181" s="139"/>
      <c r="AZ181" s="62"/>
      <c r="BA181" s="138"/>
      <c r="BB181" s="139"/>
      <c r="BC181" s="139">
        <f>'Reflection -3'!Q181</f>
        <v>2</v>
      </c>
      <c r="BD181" s="139"/>
      <c r="BE181" s="139"/>
      <c r="BF181" s="139"/>
      <c r="BG181" s="139"/>
      <c r="BH181" s="139"/>
      <c r="BI181" s="138"/>
      <c r="BJ181" s="139"/>
      <c r="BK181" s="139">
        <f>'Reflection -3'!Q181</f>
        <v>2</v>
      </c>
      <c r="BL181" s="62"/>
      <c r="BM181" s="139"/>
      <c r="BN181" s="62"/>
      <c r="BO181" s="139"/>
      <c r="BP181" s="139"/>
      <c r="BQ181" s="138"/>
      <c r="BR181" s="139"/>
      <c r="BS181" s="139">
        <f>Capstone!Q182</f>
        <v>4</v>
      </c>
      <c r="BT181" s="139">
        <f>Capstone!W182</f>
        <v>4</v>
      </c>
      <c r="BU181" s="139">
        <f>Capstone!AC182</f>
        <v>4</v>
      </c>
      <c r="BV181" s="139">
        <f>Capstone!AI182</f>
        <v>0</v>
      </c>
      <c r="BW181" s="139">
        <f>Capstone!AO182</f>
        <v>4</v>
      </c>
      <c r="BX181" s="139">
        <f>Capstone!AU182</f>
        <v>4</v>
      </c>
      <c r="BY181" s="138"/>
      <c r="BZ181" s="139"/>
      <c r="CA18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1.825</v>
      </c>
      <c r="CB181" s="139">
        <f>IFERROR(AVERAGE(Table110461117[[#This Row],[Column31]],Table110461117[[#This Row],[Column13]],Table110461117[[#This Row],[Column4]],Table110461117[[#This Row],[Column22]],),"A")</f>
        <v>2.0666666666666664</v>
      </c>
      <c r="CC181" s="139">
        <f>IFERROR(AVERAGE(Table110461117[[#This Row],[Column5]],Table110461117[[#This Row],[Column14]],Table110461117[[#This Row],[Column23]],Table110461117[[#This Row],[Column32]]),"A")</f>
        <v>2.5</v>
      </c>
      <c r="CD181" s="139">
        <f>IFERROR(AVERAGE(Table110461117[[#This Row],[Column6]],Table110461117[[#This Row],[Column15]],Table110461117[[#This Row],[Column24]],Table110461117[[#This Row],[Column33]]),"A")</f>
        <v>2.5</v>
      </c>
      <c r="CE181" s="139"/>
      <c r="CF181" s="139">
        <f>IFERROR(AVERAGE(Table110461117[[#This Row],[Column26]],Table110461117[[#This Row],[Column35]],Table110461117[[#This Row],[Column17]],Table110461117[[#This Row],[Column8]]),"A")</f>
        <v>2.4166666666666665</v>
      </c>
      <c r="CG181" s="138"/>
      <c r="CH181" s="139">
        <f>IFERROR(AVERAGE('Review 1'!AX181,'Review 2'!AX181,'Review 3'!AX181,'Review 4'!AX181,'Reflection -1 '!AX181,'Reflection -2'!AX181,'Reflection -3'!AX181,'Reflection -4'!AX181),"A")</f>
        <v>1.875</v>
      </c>
      <c r="CI181" s="139">
        <f>IFERROR(AVERAGE('Review 1'!AY181,'Review 2'!AY181,'Review 3'!AY181,'Review 4'!AY181,'Reflection -1 '!AY181,'Reflection -2'!AY181,'Reflection -3'!AY181,'Reflection -4'!AY181,Capstone!AY182),"A")</f>
        <v>1.2222222222222223</v>
      </c>
      <c r="CJ181" s="139">
        <f>IFERROR(AVERAGE('Review 1'!AZ181,'Review 2'!AZ181,'Review 3'!AZ181,'Review 4'!AZ181,'Reflection -1 '!AZ181,'Reflection -2'!AZ181,'Reflection -3'!AZ181,'Reflection -4'!AZ181),"A")</f>
        <v>0.75</v>
      </c>
    </row>
    <row r="182" spans="1:88" s="122" customFormat="1" ht="23.1" customHeight="1" x14ac:dyDescent="0.3">
      <c r="A182" s="6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140"/>
      <c r="G182" s="140">
        <f>'Review 1'!Q182</f>
        <v>3</v>
      </c>
      <c r="H182" s="140">
        <f>'Review 1'!W182</f>
        <v>3</v>
      </c>
      <c r="I182" s="140">
        <f>'Review 1'!AC182</f>
        <v>3</v>
      </c>
      <c r="J182" s="140">
        <f>'Review 1'!AI182</f>
        <v>3</v>
      </c>
      <c r="K182" s="140"/>
      <c r="L182" s="140">
        <f>'Review 1'!AU182</f>
        <v>3</v>
      </c>
      <c r="M182" s="138"/>
      <c r="N182" s="140"/>
      <c r="O182" s="140">
        <f>'Review 2'!Q182</f>
        <v>3</v>
      </c>
      <c r="P182" s="140">
        <f>'Review 2'!W182</f>
        <v>3</v>
      </c>
      <c r="Q182" s="140">
        <f>'Review 2'!AC182</f>
        <v>3</v>
      </c>
      <c r="R182" s="140">
        <f>'Review 2'!AI182</f>
        <v>3</v>
      </c>
      <c r="S182" s="140"/>
      <c r="T182" s="140">
        <f>'Review 2'!AU182</f>
        <v>3</v>
      </c>
      <c r="U182" s="138"/>
      <c r="V182" s="7"/>
      <c r="W182" s="140">
        <f>'Review 3'!Q182</f>
        <v>1</v>
      </c>
      <c r="X182" s="140">
        <f>'Review 3'!W182</f>
        <v>0</v>
      </c>
      <c r="Y182" s="140">
        <f>'Review 3'!AC182</f>
        <v>3</v>
      </c>
      <c r="Z182" s="140">
        <f>'Review 3'!AI182</f>
        <v>0</v>
      </c>
      <c r="AA182" s="7"/>
      <c r="AB182" s="140">
        <f>'Review 3'!AU182</f>
        <v>0</v>
      </c>
      <c r="AC182" s="138"/>
      <c r="AD182" s="7"/>
      <c r="AE182" s="140">
        <f>'Review 4'!Q182</f>
        <v>0</v>
      </c>
      <c r="AF182" s="140">
        <f>'Review 4'!W182</f>
        <v>0</v>
      </c>
      <c r="AG182" s="140">
        <f>'Review 4'!AC182</f>
        <v>0</v>
      </c>
      <c r="AH182" s="140">
        <f>'Review 4'!AI182</f>
        <v>0</v>
      </c>
      <c r="AI182" s="140"/>
      <c r="AJ182" s="140">
        <f>'Review 4'!AU182</f>
        <v>0</v>
      </c>
      <c r="AK182" s="138"/>
      <c r="AL182" s="7"/>
      <c r="AM182" s="140">
        <f>'Reflection -1 '!Q182</f>
        <v>4.666666666666667</v>
      </c>
      <c r="AN182" s="7"/>
      <c r="AO182" s="7"/>
      <c r="AP182" s="7"/>
      <c r="AQ182" s="7"/>
      <c r="AR182" s="7"/>
      <c r="AS182" s="138"/>
      <c r="AT182" s="7"/>
      <c r="AU182" s="140">
        <f>'Reflection -2'!Q182</f>
        <v>3.3333333333333335</v>
      </c>
      <c r="AV182" s="7"/>
      <c r="AW182" s="7"/>
      <c r="AX182" s="7"/>
      <c r="AY182" s="140"/>
      <c r="AZ182" s="7"/>
      <c r="BA182" s="138"/>
      <c r="BB182" s="140"/>
      <c r="BC182" s="140">
        <f>'Reflection -3'!Q182</f>
        <v>3.3333333333333335</v>
      </c>
      <c r="BD182" s="140"/>
      <c r="BE182" s="140"/>
      <c r="BF182" s="140"/>
      <c r="BG182" s="140"/>
      <c r="BH182" s="140"/>
      <c r="BI182" s="138"/>
      <c r="BJ182" s="140"/>
      <c r="BK182" s="140">
        <f>'Reflection -3'!Q182</f>
        <v>3.3333333333333335</v>
      </c>
      <c r="BL182" s="7"/>
      <c r="BM182" s="140"/>
      <c r="BN182" s="7"/>
      <c r="BO182" s="140"/>
      <c r="BP182" s="140"/>
      <c r="BQ182" s="138"/>
      <c r="BR182" s="140"/>
      <c r="BS182" s="140">
        <f>Capstone!Q183</f>
        <v>4</v>
      </c>
      <c r="BT182" s="140">
        <f>Capstone!W183</f>
        <v>5</v>
      </c>
      <c r="BU182" s="140">
        <f>Capstone!AC183</f>
        <v>5</v>
      </c>
      <c r="BV182" s="140">
        <f>Capstone!AI183</f>
        <v>3</v>
      </c>
      <c r="BW182" s="140">
        <f>Capstone!AO183</f>
        <v>5</v>
      </c>
      <c r="BX182" s="140">
        <f>Capstone!AU183</f>
        <v>5</v>
      </c>
      <c r="BY182" s="138"/>
      <c r="BZ182" s="140"/>
      <c r="CA18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2.708333333333333</v>
      </c>
      <c r="CB182" s="140">
        <f>IFERROR(AVERAGE(Table110461117[[#This Row],[Column31]],Table110461117[[#This Row],[Column13]],Table110461117[[#This Row],[Column4]],Table110461117[[#This Row],[Column22]],),"A")</f>
        <v>1.2</v>
      </c>
      <c r="CC182" s="140">
        <f>IFERROR(AVERAGE(Table110461117[[#This Row],[Column5]],Table110461117[[#This Row],[Column14]],Table110461117[[#This Row],[Column23]],Table110461117[[#This Row],[Column32]]),"A")</f>
        <v>2.25</v>
      </c>
      <c r="CD182" s="140">
        <f>IFERROR(AVERAGE(Table110461117[[#This Row],[Column6]],Table110461117[[#This Row],[Column15]],Table110461117[[#This Row],[Column24]],Table110461117[[#This Row],[Column33]]),"A")</f>
        <v>1.5</v>
      </c>
      <c r="CE182" s="140"/>
      <c r="CF182" s="140">
        <f>IFERROR(AVERAGE(Table110461117[[#This Row],[Column26]],Table110461117[[#This Row],[Column35]],Table110461117[[#This Row],[Column17]],Table110461117[[#This Row],[Column8]]),"A")</f>
        <v>1.5</v>
      </c>
      <c r="CG182" s="138"/>
      <c r="CH182" s="140">
        <f>IFERROR(AVERAGE('Review 1'!AX182,'Review 2'!AX182,'Review 3'!AX182,'Review 4'!AX182,'Reflection -1 '!AX182,'Reflection -2'!AX182,'Reflection -3'!AX182,'Reflection -4'!AX182),"A")</f>
        <v>3.25</v>
      </c>
      <c r="CI182" s="140">
        <f>IFERROR(AVERAGE('Review 1'!AY182,'Review 2'!AY182,'Review 3'!AY182,'Review 4'!AY182,'Reflection -1 '!AY182,'Reflection -2'!AY182,'Reflection -3'!AY182,'Reflection -4'!AY182,Capstone!AY183),"A")</f>
        <v>1.1111111111111112</v>
      </c>
      <c r="CJ182" s="140">
        <f>IFERROR(AVERAGE('Review 1'!AZ182,'Review 2'!AZ182,'Review 3'!AZ182,'Review 4'!AZ182,'Reflection -1 '!AZ182,'Reflection -2'!AZ182,'Reflection -3'!AZ182,'Reflection -4'!AZ182),"A")</f>
        <v>2.25</v>
      </c>
    </row>
    <row r="183" spans="1:88" s="122" customFormat="1" ht="23.1" customHeight="1" x14ac:dyDescent="0.3">
      <c r="A183" s="137">
        <v>181</v>
      </c>
      <c r="B183" s="62" t="s">
        <v>404</v>
      </c>
      <c r="C183" s="62" t="s">
        <v>405</v>
      </c>
      <c r="D183" s="62" t="s">
        <v>450</v>
      </c>
      <c r="E183" s="62" t="s">
        <v>493</v>
      </c>
      <c r="F183" s="139"/>
      <c r="G183" s="139">
        <f>'Review 1'!Q183</f>
        <v>2.8</v>
      </c>
      <c r="H183" s="139">
        <f>'Review 1'!W183</f>
        <v>3</v>
      </c>
      <c r="I183" s="139">
        <f>'Review 1'!AC183</f>
        <v>3</v>
      </c>
      <c r="J183" s="139">
        <f>'Review 1'!AI183</f>
        <v>3</v>
      </c>
      <c r="K183" s="139"/>
      <c r="L183" s="139">
        <f>'Review 1'!AU183</f>
        <v>3</v>
      </c>
      <c r="M183" s="138"/>
      <c r="N183" s="139"/>
      <c r="O183" s="139">
        <f>'Review 2'!Q183</f>
        <v>3.6</v>
      </c>
      <c r="P183" s="139">
        <f>'Review 2'!W183</f>
        <v>2</v>
      </c>
      <c r="Q183" s="139">
        <f>'Review 2'!AC183</f>
        <v>2.5</v>
      </c>
      <c r="R183" s="139">
        <f>'Review 2'!AI183</f>
        <v>1</v>
      </c>
      <c r="S183" s="139"/>
      <c r="T183" s="139">
        <f>'Review 2'!AU183</f>
        <v>2</v>
      </c>
      <c r="U183" s="138"/>
      <c r="V183" s="62"/>
      <c r="W183" s="139">
        <f>'Review 3'!Q183</f>
        <v>2</v>
      </c>
      <c r="X183" s="139">
        <f>'Review 3'!W183</f>
        <v>0</v>
      </c>
      <c r="Y183" s="139">
        <f>'Review 3'!AC183</f>
        <v>0</v>
      </c>
      <c r="Z183" s="139">
        <f>'Review 3'!AI183</f>
        <v>0</v>
      </c>
      <c r="AA183" s="62"/>
      <c r="AB183" s="139">
        <f>'Review 3'!AU183</f>
        <v>0</v>
      </c>
      <c r="AC183" s="138"/>
      <c r="AD183" s="62"/>
      <c r="AE183" s="139">
        <f>'Review 4'!Q183</f>
        <v>2.6</v>
      </c>
      <c r="AF183" s="139">
        <f>'Review 4'!W183</f>
        <v>3</v>
      </c>
      <c r="AG183" s="139">
        <f>'Review 4'!AC183</f>
        <v>1.5</v>
      </c>
      <c r="AH183" s="139">
        <f>'Review 4'!AI183</f>
        <v>1</v>
      </c>
      <c r="AI183" s="139"/>
      <c r="AJ183" s="139">
        <f>'Review 4'!AU183</f>
        <v>2.3333333333333335</v>
      </c>
      <c r="AK183" s="138"/>
      <c r="AL183" s="62"/>
      <c r="AM183" s="139">
        <f>'Reflection -1 '!Q183</f>
        <v>3</v>
      </c>
      <c r="AN183" s="62"/>
      <c r="AO183" s="62"/>
      <c r="AP183" s="62"/>
      <c r="AQ183" s="62"/>
      <c r="AR183" s="62"/>
      <c r="AS183" s="138"/>
      <c r="AT183" s="62"/>
      <c r="AU183" s="139">
        <f>'Reflection -2'!Q183</f>
        <v>3</v>
      </c>
      <c r="AV183" s="62"/>
      <c r="AW183" s="62"/>
      <c r="AX183" s="62"/>
      <c r="AY183" s="139"/>
      <c r="AZ183" s="62"/>
      <c r="BA183" s="138"/>
      <c r="BB183" s="139"/>
      <c r="BC183" s="139">
        <f>'Reflection -3'!Q183</f>
        <v>3.6666666666666665</v>
      </c>
      <c r="BD183" s="139"/>
      <c r="BE183" s="139"/>
      <c r="BF183" s="139"/>
      <c r="BG183" s="139"/>
      <c r="BH183" s="139"/>
      <c r="BI183" s="138"/>
      <c r="BJ183" s="139"/>
      <c r="BK183" s="139">
        <f>'Reflection -3'!Q183</f>
        <v>3.6666666666666665</v>
      </c>
      <c r="BL183" s="62"/>
      <c r="BM183" s="139"/>
      <c r="BN183" s="62"/>
      <c r="BO183" s="139"/>
      <c r="BP183" s="139"/>
      <c r="BQ183" s="138"/>
      <c r="BR183" s="139"/>
      <c r="BS183" s="139">
        <f>Capstone!Q184</f>
        <v>3.1666666666666665</v>
      </c>
      <c r="BT183" s="139">
        <f>Capstone!W184</f>
        <v>4</v>
      </c>
      <c r="BU183" s="139">
        <f>Capstone!AC184</f>
        <v>4</v>
      </c>
      <c r="BV183" s="139">
        <f>Capstone!AI184</f>
        <v>2.5</v>
      </c>
      <c r="BW183" s="139">
        <f>Capstone!AO184</f>
        <v>3.5</v>
      </c>
      <c r="BX183" s="139">
        <f>Capstone!AU184</f>
        <v>3</v>
      </c>
      <c r="BY183" s="138"/>
      <c r="BZ183" s="139"/>
      <c r="CA18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3.0416666666666665</v>
      </c>
      <c r="CB183" s="139">
        <f>IFERROR(AVERAGE(Table110461117[[#This Row],[Column31]],Table110461117[[#This Row],[Column13]],Table110461117[[#This Row],[Column4]],Table110461117[[#This Row],[Column22]],),"A")</f>
        <v>1.6</v>
      </c>
      <c r="CC183" s="139">
        <f>IFERROR(AVERAGE(Table110461117[[#This Row],[Column5]],Table110461117[[#This Row],[Column14]],Table110461117[[#This Row],[Column23]],Table110461117[[#This Row],[Column32]]),"A")</f>
        <v>1.75</v>
      </c>
      <c r="CD183" s="139">
        <f>IFERROR(AVERAGE(Table110461117[[#This Row],[Column6]],Table110461117[[#This Row],[Column15]],Table110461117[[#This Row],[Column24]],Table110461117[[#This Row],[Column33]]),"A")</f>
        <v>1.25</v>
      </c>
      <c r="CE183" s="139"/>
      <c r="CF183" s="139">
        <f>IFERROR(AVERAGE(Table110461117[[#This Row],[Column26]],Table110461117[[#This Row],[Column35]],Table110461117[[#This Row],[Column17]],Table110461117[[#This Row],[Column8]]),"A")</f>
        <v>1.8333333333333335</v>
      </c>
      <c r="CG183" s="138"/>
      <c r="CH183" s="139">
        <f>IFERROR(AVERAGE('Review 1'!AX183,'Review 2'!AX183,'Review 3'!AX183,'Review 4'!AX183,'Reflection -1 '!AX183,'Reflection -2'!AX183,'Reflection -3'!AX183,'Reflection -4'!AX183),"A")</f>
        <v>3.25</v>
      </c>
      <c r="CI183" s="139">
        <f>IFERROR(AVERAGE('Review 1'!AY183,'Review 2'!AY183,'Review 3'!AY183,'Review 4'!AY183,'Reflection -1 '!AY183,'Reflection -2'!AY183,'Reflection -3'!AY183,'Reflection -4'!AY183,Capstone!AY184),"A")</f>
        <v>2</v>
      </c>
      <c r="CJ183" s="139">
        <f>IFERROR(AVERAGE('Review 1'!AZ183,'Review 2'!AZ183,'Review 3'!AZ183,'Review 4'!AZ183,'Reflection -1 '!AZ183,'Reflection -2'!AZ183,'Reflection -3'!AZ183,'Reflection -4'!AZ183),"A")</f>
        <v>2.125</v>
      </c>
    </row>
    <row r="184" spans="1:88" s="122" customFormat="1" ht="23.1" customHeight="1" x14ac:dyDescent="0.3">
      <c r="A184" s="6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140"/>
      <c r="G184" s="140">
        <f>'Review 1'!Q184</f>
        <v>3.8</v>
      </c>
      <c r="H184" s="140">
        <f>'Review 1'!W184</f>
        <v>4</v>
      </c>
      <c r="I184" s="140">
        <f>'Review 1'!AC184</f>
        <v>3.5</v>
      </c>
      <c r="J184" s="140">
        <f>'Review 1'!AI184</f>
        <v>3</v>
      </c>
      <c r="K184" s="140"/>
      <c r="L184" s="140">
        <f>'Review 1'!AU184</f>
        <v>1</v>
      </c>
      <c r="M184" s="138"/>
      <c r="N184" s="140"/>
      <c r="O184" s="140">
        <f>'Review 2'!Q184</f>
        <v>3.8</v>
      </c>
      <c r="P184" s="140">
        <f>'Review 2'!W184</f>
        <v>4</v>
      </c>
      <c r="Q184" s="140">
        <f>'Review 2'!AC184</f>
        <v>3.5</v>
      </c>
      <c r="R184" s="140">
        <f>'Review 2'!AI184</f>
        <v>3</v>
      </c>
      <c r="S184" s="140"/>
      <c r="T184" s="140">
        <f>'Review 2'!AU184</f>
        <v>1</v>
      </c>
      <c r="U184" s="138"/>
      <c r="V184" s="7"/>
      <c r="W184" s="140">
        <f>'Review 3'!Q184</f>
        <v>0</v>
      </c>
      <c r="X184" s="140">
        <f>'Review 3'!W184</f>
        <v>0</v>
      </c>
      <c r="Y184" s="140">
        <f>'Review 3'!AC184</f>
        <v>0</v>
      </c>
      <c r="Z184" s="140">
        <f>'Review 3'!AI184</f>
        <v>0</v>
      </c>
      <c r="AA184" s="7"/>
      <c r="AB184" s="140">
        <f>'Review 3'!AU184</f>
        <v>0</v>
      </c>
      <c r="AC184" s="138"/>
      <c r="AD184" s="7"/>
      <c r="AE184" s="140">
        <f>'Review 4'!Q184</f>
        <v>4</v>
      </c>
      <c r="AF184" s="140">
        <f>'Review 4'!W184</f>
        <v>4</v>
      </c>
      <c r="AG184" s="140">
        <f>'Review 4'!AC184</f>
        <v>2.5</v>
      </c>
      <c r="AH184" s="140">
        <f>'Review 4'!AI184</f>
        <v>1.5</v>
      </c>
      <c r="AI184" s="140"/>
      <c r="AJ184" s="140">
        <f>'Review 4'!AU184</f>
        <v>3</v>
      </c>
      <c r="AK184" s="138"/>
      <c r="AL184" s="7"/>
      <c r="AM184" s="140">
        <f>'Reflection -1 '!Q184</f>
        <v>3.6666666666666665</v>
      </c>
      <c r="AN184" s="7"/>
      <c r="AO184" s="7"/>
      <c r="AP184" s="7"/>
      <c r="AQ184" s="7"/>
      <c r="AR184" s="7"/>
      <c r="AS184" s="138"/>
      <c r="AT184" s="7"/>
      <c r="AU184" s="140">
        <f>'Reflection -2'!Q184</f>
        <v>4.333333333333333</v>
      </c>
      <c r="AV184" s="7"/>
      <c r="AW184" s="7"/>
      <c r="AX184" s="7"/>
      <c r="AY184" s="140"/>
      <c r="AZ184" s="7"/>
      <c r="BA184" s="138"/>
      <c r="BB184" s="140"/>
      <c r="BC184" s="140">
        <f>'Reflection -3'!Q184</f>
        <v>4</v>
      </c>
      <c r="BD184" s="140"/>
      <c r="BE184" s="140"/>
      <c r="BF184" s="140"/>
      <c r="BG184" s="140"/>
      <c r="BH184" s="140"/>
      <c r="BI184" s="138"/>
      <c r="BJ184" s="140"/>
      <c r="BK184" s="140">
        <f>'Reflection -3'!Q184</f>
        <v>4</v>
      </c>
      <c r="BL184" s="7"/>
      <c r="BM184" s="140"/>
      <c r="BN184" s="7"/>
      <c r="BO184" s="140"/>
      <c r="BP184" s="140"/>
      <c r="BQ184" s="138"/>
      <c r="BR184" s="140"/>
      <c r="BS184" s="140">
        <f>Capstone!Q185</f>
        <v>4</v>
      </c>
      <c r="BT184" s="140">
        <f>Capstone!W185</f>
        <v>4</v>
      </c>
      <c r="BU184" s="140">
        <f>Capstone!AC185</f>
        <v>4</v>
      </c>
      <c r="BV184" s="140">
        <f>Capstone!AI185</f>
        <v>3</v>
      </c>
      <c r="BW184" s="140">
        <f>Capstone!AO185</f>
        <v>3</v>
      </c>
      <c r="BX184" s="140">
        <f>Capstone!AU185</f>
        <v>3</v>
      </c>
      <c r="BY184" s="138"/>
      <c r="BZ184" s="140"/>
      <c r="CA18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3.4499999999999997</v>
      </c>
      <c r="CB184" s="140">
        <f>IFERROR(AVERAGE(Table110461117[[#This Row],[Column31]],Table110461117[[#This Row],[Column13]],Table110461117[[#This Row],[Column4]],Table110461117[[#This Row],[Column22]],),"A")</f>
        <v>2.4</v>
      </c>
      <c r="CC184" s="140">
        <f>IFERROR(AVERAGE(Table110461117[[#This Row],[Column5]],Table110461117[[#This Row],[Column14]],Table110461117[[#This Row],[Column23]],Table110461117[[#This Row],[Column32]]),"A")</f>
        <v>2.375</v>
      </c>
      <c r="CD184" s="140">
        <f>IFERROR(AVERAGE(Table110461117[[#This Row],[Column6]],Table110461117[[#This Row],[Column15]],Table110461117[[#This Row],[Column24]],Table110461117[[#This Row],[Column33]]),"A")</f>
        <v>1.875</v>
      </c>
      <c r="CE184" s="140"/>
      <c r="CF184" s="140">
        <f>IFERROR(AVERAGE(Table110461117[[#This Row],[Column26]],Table110461117[[#This Row],[Column35]],Table110461117[[#This Row],[Column17]],Table110461117[[#This Row],[Column8]]),"A")</f>
        <v>1.25</v>
      </c>
      <c r="CG184" s="138"/>
      <c r="CH184" s="140">
        <f>IFERROR(AVERAGE('Review 1'!AX184,'Review 2'!AX184,'Review 3'!AX184,'Review 4'!AX184,'Reflection -1 '!AX184,'Reflection -2'!AX184,'Reflection -3'!AX184,'Reflection -4'!AX184),"A")</f>
        <v>3.25</v>
      </c>
      <c r="CI184" s="140">
        <f>IFERROR(AVERAGE('Review 1'!AY184,'Review 2'!AY184,'Review 3'!AY184,'Review 4'!AY184,'Reflection -1 '!AY184,'Reflection -2'!AY184,'Reflection -3'!AY184,'Reflection -4'!AY184,Capstone!AY185),"A")</f>
        <v>0.77777777777777779</v>
      </c>
      <c r="CJ184" s="140">
        <f>IFERROR(AVERAGE('Review 1'!AZ184,'Review 2'!AZ184,'Review 3'!AZ184,'Review 4'!AZ184,'Reflection -1 '!AZ184,'Reflection -2'!AZ184,'Reflection -3'!AZ184,'Reflection -4'!AZ184),"A")</f>
        <v>3.25</v>
      </c>
    </row>
    <row r="185" spans="1:88" s="122" customFormat="1" ht="23.1" customHeight="1" x14ac:dyDescent="0.3">
      <c r="A185" s="137">
        <v>183</v>
      </c>
      <c r="B185" s="62" t="s">
        <v>406</v>
      </c>
      <c r="C185" s="62" t="s">
        <v>407</v>
      </c>
      <c r="D185" s="62" t="s">
        <v>450</v>
      </c>
      <c r="E185" s="62" t="s">
        <v>493</v>
      </c>
      <c r="F185" s="139"/>
      <c r="G185" s="139">
        <f>'Review 1'!Q185</f>
        <v>2.6</v>
      </c>
      <c r="H185" s="139">
        <f>'Review 1'!W185</f>
        <v>2</v>
      </c>
      <c r="I185" s="139">
        <f>'Review 1'!AC185</f>
        <v>2</v>
      </c>
      <c r="J185" s="139">
        <f>'Review 1'!AI185</f>
        <v>2</v>
      </c>
      <c r="K185" s="139"/>
      <c r="L185" s="139">
        <f>'Review 1'!AU185</f>
        <v>3</v>
      </c>
      <c r="M185" s="138"/>
      <c r="N185" s="139"/>
      <c r="O185" s="139">
        <f>'Review 2'!Q185</f>
        <v>2.2000000000000002</v>
      </c>
      <c r="P185" s="139">
        <f>'Review 2'!W185</f>
        <v>3</v>
      </c>
      <c r="Q185" s="139">
        <f>'Review 2'!AC185</f>
        <v>3</v>
      </c>
      <c r="R185" s="139">
        <f>'Review 2'!AI185</f>
        <v>2</v>
      </c>
      <c r="S185" s="139"/>
      <c r="T185" s="139">
        <f>'Review 2'!AU185</f>
        <v>4</v>
      </c>
      <c r="U185" s="138"/>
      <c r="V185" s="62"/>
      <c r="W185" s="139">
        <f>'Review 3'!Q185</f>
        <v>2</v>
      </c>
      <c r="X185" s="139">
        <f>'Review 3'!W185</f>
        <v>0</v>
      </c>
      <c r="Y185" s="139">
        <f>'Review 3'!AC185</f>
        <v>0</v>
      </c>
      <c r="Z185" s="139">
        <f>'Review 3'!AI185</f>
        <v>0</v>
      </c>
      <c r="AA185" s="62"/>
      <c r="AB185" s="139">
        <f>'Review 3'!AU185</f>
        <v>0</v>
      </c>
      <c r="AC185" s="138"/>
      <c r="AD185" s="62"/>
      <c r="AE185" s="139">
        <f>'Review 4'!Q185</f>
        <v>1</v>
      </c>
      <c r="AF185" s="139">
        <f>'Review 4'!W185</f>
        <v>1</v>
      </c>
      <c r="AG185" s="139">
        <f>'Review 4'!AC185</f>
        <v>1</v>
      </c>
      <c r="AH185" s="139">
        <f>'Review 4'!AI185</f>
        <v>1</v>
      </c>
      <c r="AI185" s="139"/>
      <c r="AJ185" s="139">
        <f>'Review 4'!AU185</f>
        <v>1</v>
      </c>
      <c r="AK185" s="138"/>
      <c r="AL185" s="62"/>
      <c r="AM185" s="139">
        <f>'Reflection -1 '!Q185</f>
        <v>3</v>
      </c>
      <c r="AN185" s="62"/>
      <c r="AO185" s="62"/>
      <c r="AP185" s="62"/>
      <c r="AQ185" s="62"/>
      <c r="AR185" s="62"/>
      <c r="AS185" s="138"/>
      <c r="AT185" s="62"/>
      <c r="AU185" s="139">
        <f>'Reflection -2'!Q185</f>
        <v>3.6666666666666665</v>
      </c>
      <c r="AV185" s="62"/>
      <c r="AW185" s="62"/>
      <c r="AX185" s="62"/>
      <c r="AY185" s="139"/>
      <c r="AZ185" s="62"/>
      <c r="BA185" s="138"/>
      <c r="BB185" s="139"/>
      <c r="BC185" s="139">
        <f>'Reflection -3'!Q185</f>
        <v>4</v>
      </c>
      <c r="BD185" s="139"/>
      <c r="BE185" s="139"/>
      <c r="BF185" s="139"/>
      <c r="BG185" s="139"/>
      <c r="BH185" s="139"/>
      <c r="BI185" s="138"/>
      <c r="BJ185" s="139"/>
      <c r="BK185" s="139">
        <f>'Reflection -3'!Q185</f>
        <v>4</v>
      </c>
      <c r="BL185" s="62"/>
      <c r="BM185" s="139"/>
      <c r="BN185" s="62"/>
      <c r="BO185" s="139"/>
      <c r="BP185" s="139"/>
      <c r="BQ185" s="138"/>
      <c r="BR185" s="139"/>
      <c r="BS185" s="139">
        <f>Capstone!Q186</f>
        <v>5</v>
      </c>
      <c r="BT185" s="139">
        <f>Capstone!W186</f>
        <v>4</v>
      </c>
      <c r="BU185" s="139">
        <f>Capstone!AC186</f>
        <v>4</v>
      </c>
      <c r="BV185" s="139">
        <f>Capstone!AI186</f>
        <v>5</v>
      </c>
      <c r="BW185" s="139">
        <f>Capstone!AO186</f>
        <v>4</v>
      </c>
      <c r="BX185" s="139">
        <f>Capstone!AU186</f>
        <v>4</v>
      </c>
      <c r="BY185" s="138"/>
      <c r="BZ185" s="139"/>
      <c r="CA18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2.8083333333333331</v>
      </c>
      <c r="CB185" s="139">
        <f>IFERROR(AVERAGE(Table110461117[[#This Row],[Column31]],Table110461117[[#This Row],[Column13]],Table110461117[[#This Row],[Column4]],Table110461117[[#This Row],[Column22]],),"A")</f>
        <v>1.2</v>
      </c>
      <c r="CC185" s="139">
        <f>IFERROR(AVERAGE(Table110461117[[#This Row],[Column5]],Table110461117[[#This Row],[Column14]],Table110461117[[#This Row],[Column23]],Table110461117[[#This Row],[Column32]]),"A")</f>
        <v>1.5</v>
      </c>
      <c r="CD185" s="139">
        <f>IFERROR(AVERAGE(Table110461117[[#This Row],[Column6]],Table110461117[[#This Row],[Column15]],Table110461117[[#This Row],[Column24]],Table110461117[[#This Row],[Column33]]),"A")</f>
        <v>1.25</v>
      </c>
      <c r="CE185" s="139"/>
      <c r="CF185" s="139">
        <f>IFERROR(AVERAGE(Table110461117[[#This Row],[Column26]],Table110461117[[#This Row],[Column35]],Table110461117[[#This Row],[Column17]],Table110461117[[#This Row],[Column8]]),"A")</f>
        <v>2</v>
      </c>
      <c r="CG185" s="138"/>
      <c r="CH185" s="139">
        <f>IFERROR(AVERAGE('Review 1'!AX185,'Review 2'!AX185,'Review 3'!AX185,'Review 4'!AX185,'Reflection -1 '!AX185,'Reflection -2'!AX185,'Reflection -3'!AX185,'Reflection -4'!AX185),"A")</f>
        <v>3.75</v>
      </c>
      <c r="CI185" s="139">
        <f>IFERROR(AVERAGE('Review 1'!AY185,'Review 2'!AY185,'Review 3'!AY185,'Review 4'!AY185,'Reflection -1 '!AY185,'Reflection -2'!AY185,'Reflection -3'!AY185,'Reflection -4'!AY185,Capstone!AY186),"A")</f>
        <v>2.2222222222222223</v>
      </c>
      <c r="CJ185" s="139">
        <f>IFERROR(AVERAGE('Review 1'!AZ185,'Review 2'!AZ185,'Review 3'!AZ185,'Review 4'!AZ185,'Reflection -1 '!AZ185,'Reflection -2'!AZ185,'Reflection -3'!AZ185,'Reflection -4'!AZ185),"A")</f>
        <v>2.625</v>
      </c>
    </row>
    <row r="186" spans="1:88" s="122" customFormat="1" ht="23.1" customHeight="1" x14ac:dyDescent="0.3">
      <c r="A186" s="6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140"/>
      <c r="G186" s="140">
        <f>'Review 1'!Q186</f>
        <v>3</v>
      </c>
      <c r="H186" s="140">
        <f>'Review 1'!W186</f>
        <v>3</v>
      </c>
      <c r="I186" s="140">
        <f>'Review 1'!AC186</f>
        <v>3</v>
      </c>
      <c r="J186" s="140">
        <f>'Review 1'!AI186</f>
        <v>3</v>
      </c>
      <c r="K186" s="140"/>
      <c r="L186" s="140">
        <f>'Review 1'!AU186</f>
        <v>3</v>
      </c>
      <c r="M186" s="138"/>
      <c r="N186" s="140"/>
      <c r="O186" s="140">
        <f>'Review 2'!Q186</f>
        <v>3</v>
      </c>
      <c r="P186" s="140">
        <f>'Review 2'!W186</f>
        <v>3</v>
      </c>
      <c r="Q186" s="140">
        <f>'Review 2'!AC186</f>
        <v>3</v>
      </c>
      <c r="R186" s="140">
        <f>'Review 2'!AI186</f>
        <v>3</v>
      </c>
      <c r="S186" s="140"/>
      <c r="T186" s="140">
        <f>'Review 2'!AU186</f>
        <v>3</v>
      </c>
      <c r="U186" s="138"/>
      <c r="V186" s="7"/>
      <c r="W186" s="140">
        <f>'Review 3'!Q186</f>
        <v>3</v>
      </c>
      <c r="X186" s="140">
        <f>'Review 3'!W186</f>
        <v>2.3333333333333335</v>
      </c>
      <c r="Y186" s="140">
        <f>'Review 3'!AC186</f>
        <v>3</v>
      </c>
      <c r="Z186" s="140">
        <f>'Review 3'!AI186</f>
        <v>3</v>
      </c>
      <c r="AA186" s="7"/>
      <c r="AB186" s="140">
        <f>'Review 3'!AU186</f>
        <v>2.6666666666666665</v>
      </c>
      <c r="AC186" s="138"/>
      <c r="AD186" s="7"/>
      <c r="AE186" s="140">
        <f>'Review 4'!Q186</f>
        <v>1.4</v>
      </c>
      <c r="AF186" s="140">
        <f>'Review 4'!W186</f>
        <v>1.3333333333333333</v>
      </c>
      <c r="AG186" s="140">
        <f>'Review 4'!AC186</f>
        <v>1</v>
      </c>
      <c r="AH186" s="140">
        <f>'Review 4'!AI186</f>
        <v>1</v>
      </c>
      <c r="AI186" s="140"/>
      <c r="AJ186" s="140">
        <f>'Review 4'!AU186</f>
        <v>1.3333333333333333</v>
      </c>
      <c r="AK186" s="138"/>
      <c r="AL186" s="7"/>
      <c r="AM186" s="140">
        <f>'Reflection -1 '!Q186</f>
        <v>0</v>
      </c>
      <c r="AN186" s="7"/>
      <c r="AO186" s="7"/>
      <c r="AP186" s="7"/>
      <c r="AQ186" s="7"/>
      <c r="AR186" s="7"/>
      <c r="AS186" s="138"/>
      <c r="AT186" s="7"/>
      <c r="AU186" s="140">
        <f>'Reflection -2'!Q186</f>
        <v>1</v>
      </c>
      <c r="AV186" s="7"/>
      <c r="AW186" s="7"/>
      <c r="AX186" s="7"/>
      <c r="AY186" s="140"/>
      <c r="AZ186" s="7"/>
      <c r="BA186" s="138"/>
      <c r="BB186" s="140"/>
      <c r="BC186" s="140">
        <f>'Reflection -3'!Q186</f>
        <v>0</v>
      </c>
      <c r="BD186" s="140"/>
      <c r="BE186" s="140"/>
      <c r="BF186" s="140"/>
      <c r="BG186" s="140"/>
      <c r="BH186" s="140"/>
      <c r="BI186" s="138"/>
      <c r="BJ186" s="140"/>
      <c r="BK186" s="140">
        <f>'Reflection -3'!Q186</f>
        <v>0</v>
      </c>
      <c r="BL186" s="7"/>
      <c r="BM186" s="140"/>
      <c r="BN186" s="7"/>
      <c r="BO186" s="140"/>
      <c r="BP186" s="140"/>
      <c r="BQ186" s="138"/>
      <c r="BR186" s="140"/>
      <c r="BS186" s="140">
        <f>Capstone!Q187</f>
        <v>3.3333333333333335</v>
      </c>
      <c r="BT186" s="140">
        <f>Capstone!W187</f>
        <v>4</v>
      </c>
      <c r="BU186" s="140">
        <f>Capstone!AC187</f>
        <v>4</v>
      </c>
      <c r="BV186" s="140">
        <f>Capstone!AI187</f>
        <v>0</v>
      </c>
      <c r="BW186" s="140">
        <f>Capstone!AO187</f>
        <v>3</v>
      </c>
      <c r="BX186" s="140">
        <f>Capstone!AU187</f>
        <v>3</v>
      </c>
      <c r="BY186" s="138"/>
      <c r="BZ186" s="140"/>
      <c r="CA18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1.425</v>
      </c>
      <c r="CB186" s="140">
        <f>IFERROR(AVERAGE(Table110461117[[#This Row],[Column31]],Table110461117[[#This Row],[Column13]],Table110461117[[#This Row],[Column4]],Table110461117[[#This Row],[Column22]],),"A")</f>
        <v>1.9333333333333331</v>
      </c>
      <c r="CC186" s="140">
        <f>IFERROR(AVERAGE(Table110461117[[#This Row],[Column5]],Table110461117[[#This Row],[Column14]],Table110461117[[#This Row],[Column23]],Table110461117[[#This Row],[Column32]]),"A")</f>
        <v>2.5</v>
      </c>
      <c r="CD186" s="140">
        <f>IFERROR(AVERAGE(Table110461117[[#This Row],[Column6]],Table110461117[[#This Row],[Column15]],Table110461117[[#This Row],[Column24]],Table110461117[[#This Row],[Column33]]),"A")</f>
        <v>2.5</v>
      </c>
      <c r="CE186" s="140"/>
      <c r="CF186" s="140">
        <f>IFERROR(AVERAGE(Table110461117[[#This Row],[Column26]],Table110461117[[#This Row],[Column35]],Table110461117[[#This Row],[Column17]],Table110461117[[#This Row],[Column8]]),"A")</f>
        <v>2.5</v>
      </c>
      <c r="CG186" s="138"/>
      <c r="CH186" s="140">
        <f>IFERROR(AVERAGE('Review 1'!AX186,'Review 2'!AX186,'Review 3'!AX186,'Review 4'!AX186,'Reflection -1 '!AX186,'Reflection -2'!AX186,'Reflection -3'!AX186,'Reflection -4'!AX186),"A")</f>
        <v>1.875</v>
      </c>
      <c r="CI186" s="140">
        <f>IFERROR(AVERAGE('Review 1'!AY186,'Review 2'!AY186,'Review 3'!AY186,'Review 4'!AY186,'Reflection -1 '!AY186,'Reflection -2'!AY186,'Reflection -3'!AY186,'Reflection -4'!AY186,Capstone!AY187),"A")</f>
        <v>1.2222222222222223</v>
      </c>
      <c r="CJ186" s="140">
        <f>IFERROR(AVERAGE('Review 1'!AZ186,'Review 2'!AZ186,'Review 3'!AZ186,'Review 4'!AZ186,'Reflection -1 '!AZ186,'Reflection -2'!AZ186,'Reflection -3'!AZ186,'Reflection -4'!AZ186),"A")</f>
        <v>0.625</v>
      </c>
    </row>
    <row r="187" spans="1:88" s="122" customFormat="1" ht="23.1" customHeight="1" x14ac:dyDescent="0.3">
      <c r="A187" s="137">
        <v>185</v>
      </c>
      <c r="B187" s="62" t="s">
        <v>408</v>
      </c>
      <c r="C187" s="62" t="s">
        <v>409</v>
      </c>
      <c r="D187" s="62" t="s">
        <v>450</v>
      </c>
      <c r="E187" s="62" t="s">
        <v>493</v>
      </c>
      <c r="F187" s="139"/>
      <c r="G187" s="139">
        <f>'Review 1'!Q187</f>
        <v>2.4</v>
      </c>
      <c r="H187" s="139">
        <f>'Review 1'!W187</f>
        <v>3</v>
      </c>
      <c r="I187" s="139">
        <f>'Review 1'!AC187</f>
        <v>3</v>
      </c>
      <c r="J187" s="139">
        <f>'Review 1'!AI187</f>
        <v>3</v>
      </c>
      <c r="K187" s="139"/>
      <c r="L187" s="139">
        <f>'Review 1'!AU187</f>
        <v>3</v>
      </c>
      <c r="M187" s="138"/>
      <c r="N187" s="139"/>
      <c r="O187" s="139">
        <f>'Review 2'!Q187</f>
        <v>3.4</v>
      </c>
      <c r="P187" s="139">
        <f>'Review 2'!W187</f>
        <v>3.3333333333333335</v>
      </c>
      <c r="Q187" s="139">
        <f>'Review 2'!AC187</f>
        <v>2</v>
      </c>
      <c r="R187" s="139">
        <f>'Review 2'!AI187</f>
        <v>1</v>
      </c>
      <c r="S187" s="139"/>
      <c r="T187" s="139">
        <f>'Review 2'!AU187</f>
        <v>2</v>
      </c>
      <c r="U187" s="138"/>
      <c r="V187" s="62"/>
      <c r="W187" s="139">
        <f>'Review 3'!Q187</f>
        <v>2</v>
      </c>
      <c r="X187" s="139">
        <f>'Review 3'!W187</f>
        <v>2</v>
      </c>
      <c r="Y187" s="139">
        <f>'Review 3'!AC187</f>
        <v>2</v>
      </c>
      <c r="Z187" s="139">
        <f>'Review 3'!AI187</f>
        <v>2</v>
      </c>
      <c r="AA187" s="62"/>
      <c r="AB187" s="139">
        <f>'Review 3'!AU187</f>
        <v>2</v>
      </c>
      <c r="AC187" s="138"/>
      <c r="AD187" s="62"/>
      <c r="AE187" s="139">
        <f>'Review 4'!Q187</f>
        <v>2</v>
      </c>
      <c r="AF187" s="139">
        <f>'Review 4'!W187</f>
        <v>2</v>
      </c>
      <c r="AG187" s="139">
        <f>'Review 4'!AC187</f>
        <v>2</v>
      </c>
      <c r="AH187" s="139">
        <f>'Review 4'!AI187</f>
        <v>2</v>
      </c>
      <c r="AI187" s="139"/>
      <c r="AJ187" s="139">
        <f>'Review 4'!AU187</f>
        <v>2</v>
      </c>
      <c r="AK187" s="138"/>
      <c r="AL187" s="62"/>
      <c r="AM187" s="139">
        <f>'Reflection -1 '!Q187</f>
        <v>3.3333333333333335</v>
      </c>
      <c r="AN187" s="62"/>
      <c r="AO187" s="62"/>
      <c r="AP187" s="62"/>
      <c r="AQ187" s="62"/>
      <c r="AR187" s="62"/>
      <c r="AS187" s="138"/>
      <c r="AT187" s="62"/>
      <c r="AU187" s="139">
        <f>'Reflection -2'!Q187</f>
        <v>4</v>
      </c>
      <c r="AV187" s="62"/>
      <c r="AW187" s="62"/>
      <c r="AX187" s="62"/>
      <c r="AY187" s="139"/>
      <c r="AZ187" s="62"/>
      <c r="BA187" s="138"/>
      <c r="BB187" s="139"/>
      <c r="BC187" s="139">
        <f>'Reflection -3'!Q187</f>
        <v>2</v>
      </c>
      <c r="BD187" s="139"/>
      <c r="BE187" s="139"/>
      <c r="BF187" s="139"/>
      <c r="BG187" s="139"/>
      <c r="BH187" s="139"/>
      <c r="BI187" s="138"/>
      <c r="BJ187" s="139"/>
      <c r="BK187" s="139">
        <f>'Reflection -3'!Q187</f>
        <v>2</v>
      </c>
      <c r="BL187" s="62"/>
      <c r="BM187" s="139"/>
      <c r="BN187" s="62"/>
      <c r="BO187" s="139"/>
      <c r="BP187" s="139"/>
      <c r="BQ187" s="138"/>
      <c r="BR187" s="139"/>
      <c r="BS187" s="139">
        <f>Capstone!Q188</f>
        <v>3</v>
      </c>
      <c r="BT187" s="139">
        <f>Capstone!W188</f>
        <v>5</v>
      </c>
      <c r="BU187" s="139">
        <f>Capstone!AC188</f>
        <v>5</v>
      </c>
      <c r="BV187" s="139">
        <f>Capstone!AI188</f>
        <v>5</v>
      </c>
      <c r="BW187" s="139">
        <f>Capstone!AO188</f>
        <v>5</v>
      </c>
      <c r="BX187" s="139">
        <f>Capstone!AU188</f>
        <v>5</v>
      </c>
      <c r="BY187" s="138"/>
      <c r="BZ187" s="139"/>
      <c r="CA18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2.6416666666666666</v>
      </c>
      <c r="CB187" s="139">
        <f>IFERROR(AVERAGE(Table110461117[[#This Row],[Column31]],Table110461117[[#This Row],[Column13]],Table110461117[[#This Row],[Column4]],Table110461117[[#This Row],[Column22]],),"A")</f>
        <v>2.0666666666666669</v>
      </c>
      <c r="CC187" s="139">
        <f>IFERROR(AVERAGE(Table110461117[[#This Row],[Column5]],Table110461117[[#This Row],[Column14]],Table110461117[[#This Row],[Column23]],Table110461117[[#This Row],[Column32]]),"A")</f>
        <v>2.25</v>
      </c>
      <c r="CD187" s="139">
        <f>IFERROR(AVERAGE(Table110461117[[#This Row],[Column6]],Table110461117[[#This Row],[Column15]],Table110461117[[#This Row],[Column24]],Table110461117[[#This Row],[Column33]]),"A")</f>
        <v>2</v>
      </c>
      <c r="CE187" s="139"/>
      <c r="CF187" s="139">
        <f>IFERROR(AVERAGE(Table110461117[[#This Row],[Column26]],Table110461117[[#This Row],[Column35]],Table110461117[[#This Row],[Column17]],Table110461117[[#This Row],[Column8]]),"A")</f>
        <v>2.25</v>
      </c>
      <c r="CG187" s="138"/>
      <c r="CH187" s="139">
        <f>IFERROR(AVERAGE('Review 1'!AX187,'Review 2'!AX187,'Review 3'!AX187,'Review 4'!AX187,'Reflection -1 '!AX187,'Reflection -2'!AX187,'Reflection -3'!AX187,'Reflection -4'!AX187),"A")</f>
        <v>2.875</v>
      </c>
      <c r="CI187" s="139">
        <f>IFERROR(AVERAGE('Review 1'!AY187,'Review 2'!AY187,'Review 3'!AY187,'Review 4'!AY187,'Reflection -1 '!AY187,'Reflection -2'!AY187,'Reflection -3'!AY187,'Reflection -4'!AY187,Capstone!AY188),"A")</f>
        <v>2.4444444444444446</v>
      </c>
      <c r="CJ187" s="139">
        <f>IFERROR(AVERAGE('Review 1'!AZ187,'Review 2'!AZ187,'Review 3'!AZ187,'Review 4'!AZ187,'Reflection -1 '!AZ187,'Reflection -2'!AZ187,'Reflection -3'!AZ187,'Reflection -4'!AZ187),"A")</f>
        <v>2.875</v>
      </c>
    </row>
    <row r="188" spans="1:88" s="122" customFormat="1" ht="23.1" customHeight="1" x14ac:dyDescent="0.3">
      <c r="A188" s="6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140"/>
      <c r="G188" s="140">
        <f>'Review 1'!Q188</f>
        <v>2.2000000000000002</v>
      </c>
      <c r="H188" s="140">
        <f>'Review 1'!W188</f>
        <v>3</v>
      </c>
      <c r="I188" s="140">
        <f>'Review 1'!AC188</f>
        <v>3</v>
      </c>
      <c r="J188" s="140">
        <f>'Review 1'!AI188</f>
        <v>3</v>
      </c>
      <c r="K188" s="140"/>
      <c r="L188" s="140">
        <f>'Review 1'!AU188</f>
        <v>3</v>
      </c>
      <c r="M188" s="138"/>
      <c r="N188" s="140"/>
      <c r="O188" s="140">
        <f>'Review 2'!Q188</f>
        <v>2.4</v>
      </c>
      <c r="P188" s="140">
        <f>'Review 2'!W188</f>
        <v>3.6666666666666665</v>
      </c>
      <c r="Q188" s="140">
        <f>'Review 2'!AC188</f>
        <v>2.5</v>
      </c>
      <c r="R188" s="140">
        <f>'Review 2'!AI188</f>
        <v>1.5</v>
      </c>
      <c r="S188" s="140"/>
      <c r="T188" s="140">
        <f>'Review 2'!AU188</f>
        <v>3.3333333333333335</v>
      </c>
      <c r="U188" s="138"/>
      <c r="V188" s="7"/>
      <c r="W188" s="140">
        <f>'Review 3'!Q188</f>
        <v>2</v>
      </c>
      <c r="X188" s="140">
        <f>'Review 3'!W188</f>
        <v>2</v>
      </c>
      <c r="Y188" s="140">
        <f>'Review 3'!AC188</f>
        <v>2</v>
      </c>
      <c r="Z188" s="140">
        <f>'Review 3'!AI188</f>
        <v>2</v>
      </c>
      <c r="AA188" s="7"/>
      <c r="AB188" s="140">
        <f>'Review 3'!AU188</f>
        <v>2</v>
      </c>
      <c r="AC188" s="138"/>
      <c r="AD188" s="7"/>
      <c r="AE188" s="140">
        <f>'Review 4'!Q188</f>
        <v>3.4</v>
      </c>
      <c r="AF188" s="140">
        <f>'Review 4'!W188</f>
        <v>2</v>
      </c>
      <c r="AG188" s="140">
        <f>'Review 4'!AC188</f>
        <v>1.5</v>
      </c>
      <c r="AH188" s="140">
        <f>'Review 4'!AI188</f>
        <v>1</v>
      </c>
      <c r="AI188" s="140"/>
      <c r="AJ188" s="140">
        <f>'Review 4'!AU188</f>
        <v>3.6666666666666665</v>
      </c>
      <c r="AK188" s="138"/>
      <c r="AL188" s="7"/>
      <c r="AM188" s="140">
        <f>'Reflection -1 '!Q188</f>
        <v>1</v>
      </c>
      <c r="AN188" s="7"/>
      <c r="AO188" s="7"/>
      <c r="AP188" s="7"/>
      <c r="AQ188" s="7"/>
      <c r="AR188" s="7"/>
      <c r="AS188" s="138"/>
      <c r="AT188" s="7"/>
      <c r="AU188" s="140">
        <f>'Reflection -2'!Q188</f>
        <v>2.6666666666666665</v>
      </c>
      <c r="AV188" s="7"/>
      <c r="AW188" s="7"/>
      <c r="AX188" s="7"/>
      <c r="AY188" s="140"/>
      <c r="AZ188" s="7"/>
      <c r="BA188" s="138"/>
      <c r="BB188" s="140"/>
      <c r="BC188" s="140">
        <f>'Reflection -3'!Q188</f>
        <v>3.6666666666666665</v>
      </c>
      <c r="BD188" s="140"/>
      <c r="BE188" s="140"/>
      <c r="BF188" s="140"/>
      <c r="BG188" s="140"/>
      <c r="BH188" s="140"/>
      <c r="BI188" s="138"/>
      <c r="BJ188" s="140"/>
      <c r="BK188" s="140">
        <f>'Reflection -3'!Q188</f>
        <v>3.6666666666666665</v>
      </c>
      <c r="BL188" s="7"/>
      <c r="BM188" s="140"/>
      <c r="BN188" s="7"/>
      <c r="BO188" s="140"/>
      <c r="BP188" s="140"/>
      <c r="BQ188" s="138"/>
      <c r="BR188" s="140"/>
      <c r="BS188" s="140">
        <f>Capstone!Q189</f>
        <v>3</v>
      </c>
      <c r="BT188" s="140">
        <f>Capstone!W189</f>
        <v>3</v>
      </c>
      <c r="BU188" s="140">
        <f>Capstone!AC189</f>
        <v>3</v>
      </c>
      <c r="BV188" s="140">
        <f>Capstone!AI189</f>
        <v>3.5</v>
      </c>
      <c r="BW188" s="140">
        <f>Capstone!AO189</f>
        <v>4</v>
      </c>
      <c r="BX188" s="140">
        <f>Capstone!AU189</f>
        <v>3</v>
      </c>
      <c r="BY188" s="138"/>
      <c r="BZ188" s="140"/>
      <c r="CA18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2.6250000000000004</v>
      </c>
      <c r="CB188" s="140">
        <f>IFERROR(AVERAGE(Table110461117[[#This Row],[Column31]],Table110461117[[#This Row],[Column13]],Table110461117[[#This Row],[Column4]],Table110461117[[#This Row],[Column22]],),"A")</f>
        <v>2.1333333333333333</v>
      </c>
      <c r="CC188" s="140">
        <f>IFERROR(AVERAGE(Table110461117[[#This Row],[Column5]],Table110461117[[#This Row],[Column14]],Table110461117[[#This Row],[Column23]],Table110461117[[#This Row],[Column32]]),"A")</f>
        <v>2.25</v>
      </c>
      <c r="CD188" s="140">
        <f>IFERROR(AVERAGE(Table110461117[[#This Row],[Column6]],Table110461117[[#This Row],[Column15]],Table110461117[[#This Row],[Column24]],Table110461117[[#This Row],[Column33]]),"A")</f>
        <v>1.875</v>
      </c>
      <c r="CE188" s="140"/>
      <c r="CF188" s="140">
        <f>IFERROR(AVERAGE(Table110461117[[#This Row],[Column26]],Table110461117[[#This Row],[Column35]],Table110461117[[#This Row],[Column17]],Table110461117[[#This Row],[Column8]]),"A")</f>
        <v>3</v>
      </c>
      <c r="CG188" s="138"/>
      <c r="CH188" s="140">
        <f>IFERROR(AVERAGE('Review 1'!AX188,'Review 2'!AX188,'Review 3'!AX188,'Review 4'!AX188,'Reflection -1 '!AX188,'Reflection -2'!AX188,'Reflection -3'!AX188,'Reflection -4'!AX188),"A")</f>
        <v>2.875</v>
      </c>
      <c r="CI188" s="140">
        <f>IFERROR(AVERAGE('Review 1'!AY188,'Review 2'!AY188,'Review 3'!AY188,'Review 4'!AY188,'Reflection -1 '!AY188,'Reflection -2'!AY188,'Reflection -3'!AY188,'Reflection -4'!AY188,Capstone!AY189),"A")</f>
        <v>2.5555555555555554</v>
      </c>
      <c r="CJ188" s="140">
        <f>IFERROR(AVERAGE('Review 1'!AZ188,'Review 2'!AZ188,'Review 3'!AZ188,'Review 4'!AZ188,'Reflection -1 '!AZ188,'Reflection -2'!AZ188,'Reflection -3'!AZ188,'Reflection -4'!AZ188),"A")</f>
        <v>2.125</v>
      </c>
    </row>
    <row r="189" spans="1:88" s="122" customFormat="1" ht="23.1" customHeight="1" x14ac:dyDescent="0.3">
      <c r="A189" s="137">
        <v>187</v>
      </c>
      <c r="B189" s="62" t="s">
        <v>412</v>
      </c>
      <c r="C189" s="62" t="s">
        <v>413</v>
      </c>
      <c r="D189" s="62" t="s">
        <v>542</v>
      </c>
      <c r="E189" s="62" t="s">
        <v>493</v>
      </c>
      <c r="F189" s="139"/>
      <c r="G189" s="139">
        <f>'Review 1'!Q189</f>
        <v>3.8</v>
      </c>
      <c r="H189" s="139">
        <f>'Review 1'!W189</f>
        <v>3</v>
      </c>
      <c r="I189" s="139">
        <f>'Review 1'!AC189</f>
        <v>3</v>
      </c>
      <c r="J189" s="139">
        <f>'Review 1'!AI189</f>
        <v>3</v>
      </c>
      <c r="K189" s="139"/>
      <c r="L189" s="139">
        <f>'Review 1'!AU189</f>
        <v>3</v>
      </c>
      <c r="M189" s="138"/>
      <c r="N189" s="139"/>
      <c r="O189" s="139">
        <f>'Review 2'!Q189</f>
        <v>2.8</v>
      </c>
      <c r="P189" s="139">
        <f>'Review 2'!W189</f>
        <v>2</v>
      </c>
      <c r="Q189" s="139">
        <f>'Review 2'!AC189</f>
        <v>2</v>
      </c>
      <c r="R189" s="139">
        <f>'Review 2'!AI189</f>
        <v>1</v>
      </c>
      <c r="S189" s="139"/>
      <c r="T189" s="139">
        <f>'Review 2'!AU189</f>
        <v>2.6666666666666665</v>
      </c>
      <c r="U189" s="138"/>
      <c r="V189" s="62"/>
      <c r="W189" s="139">
        <f>'Review 3'!Q189</f>
        <v>2</v>
      </c>
      <c r="X189" s="139">
        <f>'Review 3'!W189</f>
        <v>2</v>
      </c>
      <c r="Y189" s="139">
        <f>'Review 3'!AC189</f>
        <v>2</v>
      </c>
      <c r="Z189" s="139">
        <f>'Review 3'!AI189</f>
        <v>2</v>
      </c>
      <c r="AA189" s="62"/>
      <c r="AB189" s="139">
        <f>'Review 3'!AU189</f>
        <v>2</v>
      </c>
      <c r="AC189" s="138"/>
      <c r="AD189" s="62"/>
      <c r="AE189" s="139">
        <f>'Review 4'!Q189</f>
        <v>1.6</v>
      </c>
      <c r="AF189" s="139">
        <f>'Review 4'!W189</f>
        <v>1.3333333333333333</v>
      </c>
      <c r="AG189" s="139">
        <f>'Review 4'!AC189</f>
        <v>1</v>
      </c>
      <c r="AH189" s="139">
        <f>'Review 4'!AI189</f>
        <v>1</v>
      </c>
      <c r="AI189" s="139"/>
      <c r="AJ189" s="139">
        <f>'Review 4'!AU189</f>
        <v>1</v>
      </c>
      <c r="AK189" s="138"/>
      <c r="AL189" s="62"/>
      <c r="AM189" s="139">
        <f>'Reflection -1 '!Q189</f>
        <v>2</v>
      </c>
      <c r="AN189" s="62"/>
      <c r="AO189" s="62"/>
      <c r="AP189" s="62"/>
      <c r="AQ189" s="62"/>
      <c r="AR189" s="62"/>
      <c r="AS189" s="138"/>
      <c r="AT189" s="62"/>
      <c r="AU189" s="139">
        <f>'Reflection -2'!Q189</f>
        <v>2</v>
      </c>
      <c r="AV189" s="62"/>
      <c r="AW189" s="62"/>
      <c r="AX189" s="62"/>
      <c r="AY189" s="139"/>
      <c r="AZ189" s="62"/>
      <c r="BA189" s="138"/>
      <c r="BB189" s="139"/>
      <c r="BC189" s="139">
        <f>'Reflection -3'!Q189</f>
        <v>2</v>
      </c>
      <c r="BD189" s="139"/>
      <c r="BE189" s="139"/>
      <c r="BF189" s="139"/>
      <c r="BG189" s="139"/>
      <c r="BH189" s="139"/>
      <c r="BI189" s="138"/>
      <c r="BJ189" s="139"/>
      <c r="BK189" s="139">
        <f>'Reflection -3'!Q189</f>
        <v>2</v>
      </c>
      <c r="BL189" s="62"/>
      <c r="BM189" s="139"/>
      <c r="BN189" s="62"/>
      <c r="BO189" s="139"/>
      <c r="BP189" s="139"/>
      <c r="BQ189" s="138"/>
      <c r="BR189" s="139"/>
      <c r="BS189" s="139">
        <f>Capstone!Q190</f>
        <v>4.333333333333333</v>
      </c>
      <c r="BT189" s="139">
        <f>Capstone!W190</f>
        <v>4</v>
      </c>
      <c r="BU189" s="139">
        <f>Capstone!AC190</f>
        <v>4</v>
      </c>
      <c r="BV189" s="139">
        <f>Capstone!AI190</f>
        <v>5</v>
      </c>
      <c r="BW189" s="139">
        <f>Capstone!AO190</f>
        <v>4</v>
      </c>
      <c r="BX189" s="139">
        <f>Capstone!AU190</f>
        <v>5</v>
      </c>
      <c r="BY189" s="138"/>
      <c r="BZ189" s="139"/>
      <c r="CA18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2.2749999999999999</v>
      </c>
      <c r="CB189" s="139">
        <f>IFERROR(AVERAGE(Table110461117[[#This Row],[Column31]],Table110461117[[#This Row],[Column13]],Table110461117[[#This Row],[Column4]],Table110461117[[#This Row],[Column22]],),"A")</f>
        <v>1.6666666666666665</v>
      </c>
      <c r="CC189" s="139">
        <f>IFERROR(AVERAGE(Table110461117[[#This Row],[Column5]],Table110461117[[#This Row],[Column14]],Table110461117[[#This Row],[Column23]],Table110461117[[#This Row],[Column32]]),"A")</f>
        <v>2</v>
      </c>
      <c r="CD189" s="139">
        <f>IFERROR(AVERAGE(Table110461117[[#This Row],[Column6]],Table110461117[[#This Row],[Column15]],Table110461117[[#This Row],[Column24]],Table110461117[[#This Row],[Column33]]),"A")</f>
        <v>1.75</v>
      </c>
      <c r="CE189" s="139"/>
      <c r="CF189" s="139">
        <f>IFERROR(AVERAGE(Table110461117[[#This Row],[Column26]],Table110461117[[#This Row],[Column35]],Table110461117[[#This Row],[Column17]],Table110461117[[#This Row],[Column8]]),"A")</f>
        <v>2.1666666666666665</v>
      </c>
      <c r="CG189" s="138"/>
      <c r="CH189" s="139">
        <f>IFERROR(AVERAGE('Review 1'!AX189,'Review 2'!AX189,'Review 3'!AX189,'Review 4'!AX189,'Reflection -1 '!AX189,'Reflection -2'!AX189,'Reflection -3'!AX189,'Reflection -4'!AX189),"A")</f>
        <v>2.5</v>
      </c>
      <c r="CI189" s="139">
        <f>IFERROR(AVERAGE('Review 1'!AY189,'Review 2'!AY189,'Review 3'!AY189,'Review 4'!AY189,'Reflection -1 '!AY189,'Reflection -2'!AY189,'Reflection -3'!AY189,'Reflection -4'!AY189,Capstone!AY190),"A")</f>
        <v>2.3333333333333335</v>
      </c>
      <c r="CJ189" s="139">
        <f>IFERROR(AVERAGE('Review 1'!AZ189,'Review 2'!AZ189,'Review 3'!AZ189,'Review 4'!AZ189,'Reflection -1 '!AZ189,'Reflection -2'!AZ189,'Reflection -3'!AZ189,'Reflection -4'!AZ189),"A")</f>
        <v>2</v>
      </c>
    </row>
    <row r="190" spans="1:88" s="122" customFormat="1" ht="23.1" customHeight="1" x14ac:dyDescent="0.3">
      <c r="A190" s="6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140"/>
      <c r="G190" s="140">
        <f>'Review 1'!Q190</f>
        <v>3</v>
      </c>
      <c r="H190" s="140">
        <f>'Review 1'!W190</f>
        <v>4</v>
      </c>
      <c r="I190" s="140">
        <f>'Review 1'!AC190</f>
        <v>3</v>
      </c>
      <c r="J190" s="140">
        <f>'Review 1'!AI190</f>
        <v>4</v>
      </c>
      <c r="K190" s="140"/>
      <c r="L190" s="140">
        <f>'Review 1'!AU190</f>
        <v>1</v>
      </c>
      <c r="M190" s="138"/>
      <c r="N190" s="140"/>
      <c r="O190" s="140">
        <f>'Review 2'!Q190</f>
        <v>3</v>
      </c>
      <c r="P190" s="140">
        <f>'Review 2'!W190</f>
        <v>4</v>
      </c>
      <c r="Q190" s="140">
        <f>'Review 2'!AC190</f>
        <v>3</v>
      </c>
      <c r="R190" s="140">
        <f>'Review 2'!AI190</f>
        <v>4</v>
      </c>
      <c r="S190" s="140"/>
      <c r="T190" s="140">
        <f>'Review 2'!AU190</f>
        <v>1</v>
      </c>
      <c r="U190" s="138"/>
      <c r="V190" s="7"/>
      <c r="W190" s="140">
        <f>'Review 3'!Q190</f>
        <v>0.6</v>
      </c>
      <c r="X190" s="140">
        <f>'Review 3'!W190</f>
        <v>0</v>
      </c>
      <c r="Y190" s="140">
        <f>'Review 3'!AC190</f>
        <v>0</v>
      </c>
      <c r="Z190" s="140">
        <f>'Review 3'!AI190</f>
        <v>0</v>
      </c>
      <c r="AA190" s="7"/>
      <c r="AB190" s="140">
        <f>'Review 3'!AU190</f>
        <v>0</v>
      </c>
      <c r="AC190" s="138"/>
      <c r="AD190" s="7"/>
      <c r="AE190" s="140">
        <f>'Review 4'!Q190</f>
        <v>2.2000000000000002</v>
      </c>
      <c r="AF190" s="140">
        <f>'Review 4'!W190</f>
        <v>3</v>
      </c>
      <c r="AG190" s="140">
        <f>'Review 4'!AC190</f>
        <v>2.5</v>
      </c>
      <c r="AH190" s="140">
        <f>'Review 4'!AI190</f>
        <v>1</v>
      </c>
      <c r="AI190" s="140"/>
      <c r="AJ190" s="140">
        <f>'Review 4'!AU190</f>
        <v>3.3333333333333335</v>
      </c>
      <c r="AK190" s="138"/>
      <c r="AL190" s="7"/>
      <c r="AM190" s="140">
        <f>'Reflection -1 '!Q190</f>
        <v>2.3333333333333335</v>
      </c>
      <c r="AN190" s="7"/>
      <c r="AO190" s="7"/>
      <c r="AP190" s="7"/>
      <c r="AQ190" s="7"/>
      <c r="AR190" s="7"/>
      <c r="AS190" s="138"/>
      <c r="AT190" s="7"/>
      <c r="AU190" s="140">
        <f>'Reflection -2'!Q190</f>
        <v>3</v>
      </c>
      <c r="AV190" s="7"/>
      <c r="AW190" s="7"/>
      <c r="AX190" s="7"/>
      <c r="AY190" s="140"/>
      <c r="AZ190" s="7"/>
      <c r="BA190" s="138"/>
      <c r="BB190" s="140"/>
      <c r="BC190" s="140">
        <f>'Reflection -3'!Q190</f>
        <v>3</v>
      </c>
      <c r="BD190" s="140"/>
      <c r="BE190" s="140"/>
      <c r="BF190" s="140"/>
      <c r="BG190" s="140"/>
      <c r="BH190" s="140"/>
      <c r="BI190" s="138"/>
      <c r="BJ190" s="140"/>
      <c r="BK190" s="140">
        <f>'Reflection -3'!Q190</f>
        <v>3</v>
      </c>
      <c r="BL190" s="7"/>
      <c r="BM190" s="140"/>
      <c r="BN190" s="7"/>
      <c r="BO190" s="140"/>
      <c r="BP190" s="140"/>
      <c r="BQ190" s="138"/>
      <c r="BR190" s="140"/>
      <c r="BS190" s="140">
        <f>Capstone!Q191</f>
        <v>2.6666666666666665</v>
      </c>
      <c r="BT190" s="140">
        <f>Capstone!W191</f>
        <v>3</v>
      </c>
      <c r="BU190" s="140">
        <f>Capstone!AC191</f>
        <v>3</v>
      </c>
      <c r="BV190" s="140">
        <f>Capstone!AI191</f>
        <v>2</v>
      </c>
      <c r="BW190" s="140">
        <f>Capstone!AO191</f>
        <v>3</v>
      </c>
      <c r="BX190" s="140">
        <f>Capstone!AU191</f>
        <v>2</v>
      </c>
      <c r="BY190" s="138"/>
      <c r="BZ190" s="140"/>
      <c r="CA19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2.5166666666666671</v>
      </c>
      <c r="CB190" s="140">
        <f>IFERROR(AVERAGE(Table110461117[[#This Row],[Column31]],Table110461117[[#This Row],[Column13]],Table110461117[[#This Row],[Column4]],Table110461117[[#This Row],[Column22]],),"A")</f>
        <v>2.2000000000000002</v>
      </c>
      <c r="CC190" s="140">
        <f>IFERROR(AVERAGE(Table110461117[[#This Row],[Column5]],Table110461117[[#This Row],[Column14]],Table110461117[[#This Row],[Column23]],Table110461117[[#This Row],[Column32]]),"A")</f>
        <v>2.125</v>
      </c>
      <c r="CD190" s="140">
        <f>IFERROR(AVERAGE(Table110461117[[#This Row],[Column6]],Table110461117[[#This Row],[Column15]],Table110461117[[#This Row],[Column24]],Table110461117[[#This Row],[Column33]]),"A")</f>
        <v>2.25</v>
      </c>
      <c r="CE190" s="140"/>
      <c r="CF190" s="140">
        <f>IFERROR(AVERAGE(Table110461117[[#This Row],[Column26]],Table110461117[[#This Row],[Column35]],Table110461117[[#This Row],[Column17]],Table110461117[[#This Row],[Column8]]),"A")</f>
        <v>1.3333333333333335</v>
      </c>
      <c r="CG190" s="138"/>
      <c r="CH190" s="140">
        <f>IFERROR(AVERAGE('Review 1'!AX190,'Review 2'!AX190,'Review 3'!AX190,'Review 4'!AX190,'Reflection -1 '!AX190,'Reflection -2'!AX190,'Reflection -3'!AX190,'Reflection -4'!AX190),"A")</f>
        <v>3.5</v>
      </c>
      <c r="CI190" s="140">
        <f>IFERROR(AVERAGE('Review 1'!AY190,'Review 2'!AY190,'Review 3'!AY190,'Review 4'!AY190,'Reflection -1 '!AY190,'Reflection -2'!AY190,'Reflection -3'!AY190,'Reflection -4'!AY190,Capstone!AY191),"A")</f>
        <v>1.4444444444444444</v>
      </c>
      <c r="CJ190" s="140">
        <f>IFERROR(AVERAGE('Review 1'!AZ190,'Review 2'!AZ190,'Review 3'!AZ190,'Review 4'!AZ190,'Reflection -1 '!AZ190,'Reflection -2'!AZ190,'Reflection -3'!AZ190,'Reflection -4'!AZ190),"A")</f>
        <v>2</v>
      </c>
    </row>
    <row r="191" spans="1:88" s="122" customFormat="1" ht="23.1" customHeight="1" x14ac:dyDescent="0.3">
      <c r="A191" s="137">
        <v>189</v>
      </c>
      <c r="B191" s="62" t="s">
        <v>414</v>
      </c>
      <c r="C191" s="62" t="s">
        <v>415</v>
      </c>
      <c r="D191" s="62" t="s">
        <v>450</v>
      </c>
      <c r="E191" s="62" t="s">
        <v>493</v>
      </c>
      <c r="F191" s="139"/>
      <c r="G191" s="139">
        <f>'Review 1'!Q191</f>
        <v>3</v>
      </c>
      <c r="H191" s="139">
        <f>'Review 1'!W191</f>
        <v>3</v>
      </c>
      <c r="I191" s="139">
        <f>'Review 1'!AC191</f>
        <v>3</v>
      </c>
      <c r="J191" s="139">
        <f>'Review 1'!AI191</f>
        <v>3</v>
      </c>
      <c r="K191" s="139"/>
      <c r="L191" s="139">
        <f>'Review 1'!AU191</f>
        <v>3</v>
      </c>
      <c r="M191" s="138"/>
      <c r="N191" s="139"/>
      <c r="O191" s="139">
        <f>'Review 2'!Q191</f>
        <v>3.4</v>
      </c>
      <c r="P191" s="139">
        <f>'Review 2'!W191</f>
        <v>3</v>
      </c>
      <c r="Q191" s="139">
        <f>'Review 2'!AC191</f>
        <v>2.5</v>
      </c>
      <c r="R191" s="139">
        <f>'Review 2'!AI191</f>
        <v>1</v>
      </c>
      <c r="S191" s="139"/>
      <c r="T191" s="139">
        <f>'Review 2'!AU191</f>
        <v>2.6666666666666665</v>
      </c>
      <c r="U191" s="138"/>
      <c r="V191" s="62"/>
      <c r="W191" s="139">
        <f>'Review 3'!Q191</f>
        <v>2</v>
      </c>
      <c r="X191" s="139">
        <f>'Review 3'!W191</f>
        <v>0</v>
      </c>
      <c r="Y191" s="139">
        <f>'Review 3'!AC191</f>
        <v>0</v>
      </c>
      <c r="Z191" s="139">
        <f>'Review 3'!AI191</f>
        <v>0</v>
      </c>
      <c r="AA191" s="62"/>
      <c r="AB191" s="139">
        <f>'Review 3'!AU191</f>
        <v>0</v>
      </c>
      <c r="AC191" s="138"/>
      <c r="AD191" s="62"/>
      <c r="AE191" s="139">
        <f>'Review 4'!Q191</f>
        <v>2.6</v>
      </c>
      <c r="AF191" s="139">
        <f>'Review 4'!W191</f>
        <v>3</v>
      </c>
      <c r="AG191" s="139">
        <f>'Review 4'!AC191</f>
        <v>2.5</v>
      </c>
      <c r="AH191" s="139">
        <f>'Review 4'!AI191</f>
        <v>3</v>
      </c>
      <c r="AI191" s="139"/>
      <c r="AJ191" s="139">
        <f>'Review 4'!AU191</f>
        <v>3</v>
      </c>
      <c r="AK191" s="138"/>
      <c r="AL191" s="62"/>
      <c r="AM191" s="139">
        <f>'Reflection -1 '!Q191</f>
        <v>4.666666666666667</v>
      </c>
      <c r="AN191" s="62"/>
      <c r="AO191" s="62"/>
      <c r="AP191" s="62"/>
      <c r="AQ191" s="62"/>
      <c r="AR191" s="62"/>
      <c r="AS191" s="138"/>
      <c r="AT191" s="62"/>
      <c r="AU191" s="139">
        <f>'Reflection -2'!Q191</f>
        <v>3.3333333333333335</v>
      </c>
      <c r="AV191" s="62"/>
      <c r="AW191" s="62"/>
      <c r="AX191" s="62"/>
      <c r="AY191" s="139"/>
      <c r="AZ191" s="62"/>
      <c r="BA191" s="138"/>
      <c r="BB191" s="139"/>
      <c r="BC191" s="139">
        <f>'Reflection -3'!Q191</f>
        <v>3.3333333333333335</v>
      </c>
      <c r="BD191" s="139"/>
      <c r="BE191" s="139"/>
      <c r="BF191" s="139"/>
      <c r="BG191" s="139"/>
      <c r="BH191" s="139"/>
      <c r="BI191" s="138"/>
      <c r="BJ191" s="139"/>
      <c r="BK191" s="139">
        <f>'Reflection -3'!Q191</f>
        <v>3.3333333333333335</v>
      </c>
      <c r="BL191" s="62"/>
      <c r="BM191" s="139"/>
      <c r="BN191" s="62"/>
      <c r="BO191" s="139"/>
      <c r="BP191" s="139"/>
      <c r="BQ191" s="138"/>
      <c r="BR191" s="139"/>
      <c r="BS191" s="139">
        <f>Capstone!Q192</f>
        <v>3.5</v>
      </c>
      <c r="BT191" s="139">
        <f>Capstone!W192</f>
        <v>4</v>
      </c>
      <c r="BU191" s="139">
        <f>Capstone!AC192</f>
        <v>4</v>
      </c>
      <c r="BV191" s="139">
        <f>Capstone!AI192</f>
        <v>3.5</v>
      </c>
      <c r="BW191" s="139">
        <f>Capstone!AO192</f>
        <v>3.5</v>
      </c>
      <c r="BX191" s="139">
        <f>Capstone!AU192</f>
        <v>4</v>
      </c>
      <c r="BY191" s="138"/>
      <c r="BZ191" s="139"/>
      <c r="CA19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3.208333333333333</v>
      </c>
      <c r="CB191" s="139">
        <f>IFERROR(AVERAGE(Table110461117[[#This Row],[Column31]],Table110461117[[#This Row],[Column13]],Table110461117[[#This Row],[Column4]],Table110461117[[#This Row],[Column22]],),"A")</f>
        <v>1.8</v>
      </c>
      <c r="CC191" s="139">
        <f>IFERROR(AVERAGE(Table110461117[[#This Row],[Column5]],Table110461117[[#This Row],[Column14]],Table110461117[[#This Row],[Column23]],Table110461117[[#This Row],[Column32]]),"A")</f>
        <v>2</v>
      </c>
      <c r="CD191" s="139">
        <f>IFERROR(AVERAGE(Table110461117[[#This Row],[Column6]],Table110461117[[#This Row],[Column15]],Table110461117[[#This Row],[Column24]],Table110461117[[#This Row],[Column33]]),"A")</f>
        <v>1.75</v>
      </c>
      <c r="CE191" s="139"/>
      <c r="CF191" s="139">
        <f>IFERROR(AVERAGE(Table110461117[[#This Row],[Column26]],Table110461117[[#This Row],[Column35]],Table110461117[[#This Row],[Column17]],Table110461117[[#This Row],[Column8]]),"A")</f>
        <v>2.1666666666666665</v>
      </c>
      <c r="CG191" s="138"/>
      <c r="CH191" s="139">
        <f>IFERROR(AVERAGE('Review 1'!AX191,'Review 2'!AX191,'Review 3'!AX191,'Review 4'!AX191,'Reflection -1 '!AX191,'Reflection -2'!AX191,'Reflection -3'!AX191,'Reflection -4'!AX191),"A")</f>
        <v>3.625</v>
      </c>
      <c r="CI191" s="139">
        <f>IFERROR(AVERAGE('Review 1'!AY191,'Review 2'!AY191,'Review 3'!AY191,'Review 4'!AY191,'Reflection -1 '!AY191,'Reflection -2'!AY191,'Reflection -3'!AY191,'Reflection -4'!AY191,Capstone!AY192),"A")</f>
        <v>2.2222222222222223</v>
      </c>
      <c r="CJ191" s="139">
        <f>IFERROR(AVERAGE('Review 1'!AZ191,'Review 2'!AZ191,'Review 3'!AZ191,'Review 4'!AZ191,'Reflection -1 '!AZ191,'Reflection -2'!AZ191,'Reflection -3'!AZ191,'Reflection -4'!AZ191),"A")</f>
        <v>2.875</v>
      </c>
    </row>
    <row r="192" spans="1:88" s="122" customFormat="1" ht="23.1" customHeight="1" x14ac:dyDescent="0.3">
      <c r="A192" s="6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140"/>
      <c r="G192" s="140">
        <f>'Review 1'!Q192</f>
        <v>3.2</v>
      </c>
      <c r="H192" s="140">
        <f>'Review 1'!W192</f>
        <v>3</v>
      </c>
      <c r="I192" s="140">
        <f>'Review 1'!AC192</f>
        <v>2.5</v>
      </c>
      <c r="J192" s="140">
        <f>'Review 1'!AI192</f>
        <v>3</v>
      </c>
      <c r="K192" s="140"/>
      <c r="L192" s="140">
        <f>'Review 1'!AU192</f>
        <v>3</v>
      </c>
      <c r="M192" s="138"/>
      <c r="N192" s="140"/>
      <c r="O192" s="140">
        <f>'Review 2'!Q192</f>
        <v>3</v>
      </c>
      <c r="P192" s="140">
        <f>'Review 2'!W192</f>
        <v>2.6666666666666665</v>
      </c>
      <c r="Q192" s="140">
        <f>'Review 2'!AC192</f>
        <v>2</v>
      </c>
      <c r="R192" s="140">
        <f>'Review 2'!AI192</f>
        <v>1.5</v>
      </c>
      <c r="S192" s="140"/>
      <c r="T192" s="140">
        <f>'Review 2'!AU192</f>
        <v>2</v>
      </c>
      <c r="U192" s="138"/>
      <c r="V192" s="7"/>
      <c r="W192" s="140">
        <f>'Review 3'!Q192</f>
        <v>2.6</v>
      </c>
      <c r="X192" s="140">
        <f>'Review 3'!W192</f>
        <v>2</v>
      </c>
      <c r="Y192" s="140">
        <f>'Review 3'!AC192</f>
        <v>2</v>
      </c>
      <c r="Z192" s="140">
        <f>'Review 3'!AI192</f>
        <v>2</v>
      </c>
      <c r="AA192" s="7"/>
      <c r="AB192" s="140">
        <f>'Review 3'!AU192</f>
        <v>2</v>
      </c>
      <c r="AC192" s="138"/>
      <c r="AD192" s="7"/>
      <c r="AE192" s="140">
        <f>'Review 4'!Q192</f>
        <v>3.2</v>
      </c>
      <c r="AF192" s="140">
        <f>'Review 4'!W192</f>
        <v>2.3333333333333335</v>
      </c>
      <c r="AG192" s="140">
        <f>'Review 4'!AC192</f>
        <v>2.5</v>
      </c>
      <c r="AH192" s="140">
        <f>'Review 4'!AI192</f>
        <v>1</v>
      </c>
      <c r="AI192" s="140"/>
      <c r="AJ192" s="140">
        <f>'Review 4'!AU192</f>
        <v>3</v>
      </c>
      <c r="AK192" s="138"/>
      <c r="AL192" s="7"/>
      <c r="AM192" s="140">
        <f>'Reflection -1 '!Q192</f>
        <v>4</v>
      </c>
      <c r="AN192" s="7"/>
      <c r="AO192" s="7"/>
      <c r="AP192" s="7"/>
      <c r="AQ192" s="7"/>
      <c r="AR192" s="7"/>
      <c r="AS192" s="138"/>
      <c r="AT192" s="7"/>
      <c r="AU192" s="140">
        <f>'Reflection -2'!Q192</f>
        <v>2.6666666666666665</v>
      </c>
      <c r="AV192" s="7"/>
      <c r="AW192" s="7"/>
      <c r="AX192" s="7"/>
      <c r="AY192" s="140"/>
      <c r="AZ192" s="7"/>
      <c r="BA192" s="138"/>
      <c r="BB192" s="140"/>
      <c r="BC192" s="140">
        <f>'Reflection -3'!Q192</f>
        <v>3.3333333333333335</v>
      </c>
      <c r="BD192" s="140"/>
      <c r="BE192" s="140"/>
      <c r="BF192" s="140"/>
      <c r="BG192" s="140"/>
      <c r="BH192" s="140"/>
      <c r="BI192" s="138"/>
      <c r="BJ192" s="140"/>
      <c r="BK192" s="140">
        <f>'Reflection -3'!Q192</f>
        <v>3.3333333333333335</v>
      </c>
      <c r="BL192" s="7"/>
      <c r="BM192" s="140"/>
      <c r="BN192" s="7"/>
      <c r="BO192" s="140"/>
      <c r="BP192" s="140"/>
      <c r="BQ192" s="138"/>
      <c r="BR192" s="140"/>
      <c r="BS192" s="140">
        <f>Capstone!Q193</f>
        <v>3.6666666666666665</v>
      </c>
      <c r="BT192" s="140">
        <f>Capstone!W193</f>
        <v>4</v>
      </c>
      <c r="BU192" s="140">
        <f>Capstone!AC193</f>
        <v>4</v>
      </c>
      <c r="BV192" s="140">
        <f>Capstone!AI193</f>
        <v>4</v>
      </c>
      <c r="BW192" s="140">
        <f>Capstone!AO193</f>
        <v>4</v>
      </c>
      <c r="BX192" s="140">
        <f>Capstone!AU193</f>
        <v>4</v>
      </c>
      <c r="BY192" s="138"/>
      <c r="BZ192" s="140"/>
      <c r="CA19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3.166666666666667</v>
      </c>
      <c r="CB192" s="140">
        <f>IFERROR(AVERAGE(Table110461117[[#This Row],[Column31]],Table110461117[[#This Row],[Column13]],Table110461117[[#This Row],[Column4]],Table110461117[[#This Row],[Column22]],),"A")</f>
        <v>2</v>
      </c>
      <c r="CC192" s="140">
        <f>IFERROR(AVERAGE(Table110461117[[#This Row],[Column5]],Table110461117[[#This Row],[Column14]],Table110461117[[#This Row],[Column23]],Table110461117[[#This Row],[Column32]]),"A")</f>
        <v>2.25</v>
      </c>
      <c r="CD192" s="140">
        <f>IFERROR(AVERAGE(Table110461117[[#This Row],[Column6]],Table110461117[[#This Row],[Column15]],Table110461117[[#This Row],[Column24]],Table110461117[[#This Row],[Column33]]),"A")</f>
        <v>1.875</v>
      </c>
      <c r="CE192" s="140"/>
      <c r="CF192" s="140">
        <f>IFERROR(AVERAGE(Table110461117[[#This Row],[Column26]],Table110461117[[#This Row],[Column35]],Table110461117[[#This Row],[Column17]],Table110461117[[#This Row],[Column8]]),"A")</f>
        <v>2.5</v>
      </c>
      <c r="CG192" s="138"/>
      <c r="CH192" s="140">
        <f>IFERROR(AVERAGE('Review 1'!AX192,'Review 2'!AX192,'Review 3'!AX192,'Review 4'!AX192,'Reflection -1 '!AX192,'Reflection -2'!AX192,'Reflection -3'!AX192,'Reflection -4'!AX192),"A")</f>
        <v>2.75</v>
      </c>
      <c r="CI192" s="140">
        <f>IFERROR(AVERAGE('Review 1'!AY192,'Review 2'!AY192,'Review 3'!AY192,'Review 4'!AY192,'Reflection -1 '!AY192,'Reflection -2'!AY192,'Reflection -3'!AY192,'Reflection -4'!AY192,Capstone!AY193),"A")</f>
        <v>2.4444444444444446</v>
      </c>
      <c r="CJ192" s="140">
        <f>IFERROR(AVERAGE('Review 1'!AZ192,'Review 2'!AZ192,'Review 3'!AZ192,'Review 4'!AZ192,'Reflection -1 '!AZ192,'Reflection -2'!AZ192,'Reflection -3'!AZ192,'Reflection -4'!AZ192),"A")</f>
        <v>3.125</v>
      </c>
    </row>
    <row r="193" spans="1:88" s="122" customFormat="1" ht="23.1" customHeight="1" x14ac:dyDescent="0.3">
      <c r="A193" s="137">
        <v>191</v>
      </c>
      <c r="B193" s="62" t="s">
        <v>418</v>
      </c>
      <c r="C193" s="62" t="s">
        <v>419</v>
      </c>
      <c r="D193" s="62" t="s">
        <v>450</v>
      </c>
      <c r="E193" s="62" t="s">
        <v>493</v>
      </c>
      <c r="F193" s="139"/>
      <c r="G193" s="139">
        <f>'Review 1'!Q193</f>
        <v>2.8</v>
      </c>
      <c r="H193" s="139">
        <f>'Review 1'!W193</f>
        <v>3</v>
      </c>
      <c r="I193" s="139">
        <f>'Review 1'!AC193</f>
        <v>3</v>
      </c>
      <c r="J193" s="139">
        <f>'Review 1'!AI193</f>
        <v>2.5</v>
      </c>
      <c r="K193" s="139"/>
      <c r="L193" s="139">
        <f>'Review 1'!AU193</f>
        <v>3</v>
      </c>
      <c r="M193" s="138"/>
      <c r="N193" s="139"/>
      <c r="O193" s="139">
        <f>'Review 2'!Q193</f>
        <v>3.6</v>
      </c>
      <c r="P193" s="139">
        <f>'Review 2'!W193</f>
        <v>2</v>
      </c>
      <c r="Q193" s="139">
        <f>'Review 2'!AC193</f>
        <v>2.5</v>
      </c>
      <c r="R193" s="139">
        <f>'Review 2'!AI193</f>
        <v>1</v>
      </c>
      <c r="S193" s="139"/>
      <c r="T193" s="139">
        <f>'Review 2'!AU193</f>
        <v>2.6666666666666665</v>
      </c>
      <c r="U193" s="138"/>
      <c r="V193" s="62"/>
      <c r="W193" s="139">
        <f>'Review 3'!Q193</f>
        <v>2</v>
      </c>
      <c r="X193" s="139">
        <f>'Review 3'!W193</f>
        <v>2</v>
      </c>
      <c r="Y193" s="139">
        <f>'Review 3'!AC193</f>
        <v>2</v>
      </c>
      <c r="Z193" s="139">
        <f>'Review 3'!AI193</f>
        <v>2</v>
      </c>
      <c r="AA193" s="62"/>
      <c r="AB193" s="139">
        <f>'Review 3'!AU193</f>
        <v>2</v>
      </c>
      <c r="AC193" s="138"/>
      <c r="AD193" s="62"/>
      <c r="AE193" s="139">
        <f>'Review 4'!Q193</f>
        <v>1.4</v>
      </c>
      <c r="AF193" s="139">
        <f>'Review 4'!W193</f>
        <v>1.3333333333333333</v>
      </c>
      <c r="AG193" s="139">
        <f>'Review 4'!AC193</f>
        <v>1</v>
      </c>
      <c r="AH193" s="139">
        <f>'Review 4'!AI193</f>
        <v>1</v>
      </c>
      <c r="AI193" s="139"/>
      <c r="AJ193" s="139">
        <f>'Review 4'!AU193</f>
        <v>1.3333333333333333</v>
      </c>
      <c r="AK193" s="138"/>
      <c r="AL193" s="62"/>
      <c r="AM193" s="139">
        <f>'Reflection -1 '!Q193</f>
        <v>2</v>
      </c>
      <c r="AN193" s="62"/>
      <c r="AO193" s="62"/>
      <c r="AP193" s="62"/>
      <c r="AQ193" s="62"/>
      <c r="AR193" s="62"/>
      <c r="AS193" s="138"/>
      <c r="AT193" s="62"/>
      <c r="AU193" s="139">
        <f>'Reflection -2'!Q193</f>
        <v>1</v>
      </c>
      <c r="AV193" s="62"/>
      <c r="AW193" s="62"/>
      <c r="AX193" s="62"/>
      <c r="AY193" s="139"/>
      <c r="AZ193" s="62"/>
      <c r="BA193" s="138"/>
      <c r="BB193" s="139"/>
      <c r="BC193" s="139">
        <f>'Reflection -3'!Q193</f>
        <v>2</v>
      </c>
      <c r="BD193" s="139"/>
      <c r="BE193" s="139"/>
      <c r="BF193" s="139"/>
      <c r="BG193" s="139"/>
      <c r="BH193" s="139"/>
      <c r="BI193" s="138"/>
      <c r="BJ193" s="139"/>
      <c r="BK193" s="139">
        <f>'Reflection -3'!Q193</f>
        <v>2</v>
      </c>
      <c r="BL193" s="62"/>
      <c r="BM193" s="139"/>
      <c r="BN193" s="62"/>
      <c r="BO193" s="139"/>
      <c r="BP193" s="139"/>
      <c r="BQ193" s="138"/>
      <c r="BR193" s="139"/>
      <c r="BS193" s="139">
        <f>Capstone!Q194</f>
        <v>3.3333333333333335</v>
      </c>
      <c r="BT193" s="139">
        <f>Capstone!W194</f>
        <v>5</v>
      </c>
      <c r="BU193" s="139">
        <f>Capstone!AC194</f>
        <v>5</v>
      </c>
      <c r="BV193" s="139">
        <f>Capstone!AI194</f>
        <v>5</v>
      </c>
      <c r="BW193" s="139">
        <f>Capstone!AO194</f>
        <v>4</v>
      </c>
      <c r="BX193" s="139">
        <f>Capstone!AU194</f>
        <v>5</v>
      </c>
      <c r="BY193" s="138"/>
      <c r="BZ193" s="139"/>
      <c r="CA19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</v>
      </c>
      <c r="CB193" s="139">
        <f>IFERROR(AVERAGE(Table110461117[[#This Row],[Column31]],Table110461117[[#This Row],[Column13]],Table110461117[[#This Row],[Column4]],Table110461117[[#This Row],[Column22]],),"A")</f>
        <v>1.6666666666666665</v>
      </c>
      <c r="CC193" s="139">
        <f>IFERROR(AVERAGE(Table110461117[[#This Row],[Column5]],Table110461117[[#This Row],[Column14]],Table110461117[[#This Row],[Column23]],Table110461117[[#This Row],[Column32]]),"A")</f>
        <v>2.125</v>
      </c>
      <c r="CD193" s="139">
        <f>IFERROR(AVERAGE(Table110461117[[#This Row],[Column6]],Table110461117[[#This Row],[Column15]],Table110461117[[#This Row],[Column24]],Table110461117[[#This Row],[Column33]]),"A")</f>
        <v>1.625</v>
      </c>
      <c r="CE193" s="139"/>
      <c r="CF193" s="139">
        <f>IFERROR(AVERAGE(Table110461117[[#This Row],[Column26]],Table110461117[[#This Row],[Column35]],Table110461117[[#This Row],[Column17]],Table110461117[[#This Row],[Column8]]),"A")</f>
        <v>2.25</v>
      </c>
      <c r="CG193" s="138"/>
      <c r="CH193" s="139">
        <f>IFERROR(AVERAGE('Review 1'!AX193,'Review 2'!AX193,'Review 3'!AX193,'Review 4'!AX193,'Reflection -1 '!AX193,'Reflection -2'!AX193,'Reflection -3'!AX193,'Reflection -4'!AX193),"A")</f>
        <v>2.75</v>
      </c>
      <c r="CI193" s="139">
        <f>IFERROR(AVERAGE('Review 1'!AY193,'Review 2'!AY193,'Review 3'!AY193,'Review 4'!AY193,'Reflection -1 '!AY193,'Reflection -2'!AY193,'Reflection -3'!AY193,'Reflection -4'!AY193,Capstone!AY194),"A")</f>
        <v>2.3333333333333335</v>
      </c>
      <c r="CJ193" s="139">
        <f>IFERROR(AVERAGE('Review 1'!AZ193,'Review 2'!AZ193,'Review 3'!AZ193,'Review 4'!AZ193,'Reflection -1 '!AZ193,'Reflection -2'!AZ193,'Reflection -3'!AZ193,'Reflection -4'!AZ193),"A")</f>
        <v>1.875</v>
      </c>
    </row>
    <row r="194" spans="1:88" s="122" customFormat="1" ht="23.1" customHeight="1" x14ac:dyDescent="0.3">
      <c r="A194" s="6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140"/>
      <c r="G194" s="140">
        <f>'Review 1'!Q194</f>
        <v>2.8</v>
      </c>
      <c r="H194" s="140">
        <f>'Review 1'!W194</f>
        <v>3</v>
      </c>
      <c r="I194" s="140">
        <f>'Review 1'!AC194</f>
        <v>3</v>
      </c>
      <c r="J194" s="140">
        <f>'Review 1'!AI194</f>
        <v>2.5</v>
      </c>
      <c r="K194" s="140"/>
      <c r="L194" s="140">
        <f>'Review 1'!AU194</f>
        <v>3</v>
      </c>
      <c r="M194" s="138"/>
      <c r="N194" s="140"/>
      <c r="O194" s="140">
        <f>'Review 2'!Q194</f>
        <v>3</v>
      </c>
      <c r="P194" s="140">
        <f>'Review 2'!W194</f>
        <v>3</v>
      </c>
      <c r="Q194" s="140">
        <f>'Review 2'!AC194</f>
        <v>2</v>
      </c>
      <c r="R194" s="140">
        <f>'Review 2'!AI194</f>
        <v>1.5</v>
      </c>
      <c r="S194" s="140"/>
      <c r="T194" s="140">
        <f>'Review 2'!AU194</f>
        <v>3</v>
      </c>
      <c r="U194" s="138"/>
      <c r="V194" s="7"/>
      <c r="W194" s="140">
        <f>'Review 3'!Q194</f>
        <v>2</v>
      </c>
      <c r="X194" s="140">
        <f>'Review 3'!W194</f>
        <v>0</v>
      </c>
      <c r="Y194" s="140">
        <f>'Review 3'!AC194</f>
        <v>0</v>
      </c>
      <c r="Z194" s="140">
        <f>'Review 3'!AI194</f>
        <v>0</v>
      </c>
      <c r="AA194" s="7"/>
      <c r="AB194" s="140">
        <f>'Review 3'!AU194</f>
        <v>0</v>
      </c>
      <c r="AC194" s="138"/>
      <c r="AD194" s="7"/>
      <c r="AE194" s="140">
        <f>'Review 4'!Q194</f>
        <v>0</v>
      </c>
      <c r="AF194" s="140">
        <f>'Review 4'!W194</f>
        <v>0</v>
      </c>
      <c r="AG194" s="140">
        <f>'Review 4'!AC194</f>
        <v>0</v>
      </c>
      <c r="AH194" s="140">
        <f>'Review 4'!AI194</f>
        <v>0</v>
      </c>
      <c r="AI194" s="140"/>
      <c r="AJ194" s="140">
        <f>'Review 4'!AU194</f>
        <v>0</v>
      </c>
      <c r="AK194" s="138"/>
      <c r="AL194" s="7"/>
      <c r="AM194" s="140">
        <f>'Reflection -1 '!Q194</f>
        <v>2.6666666666666665</v>
      </c>
      <c r="AN194" s="7"/>
      <c r="AO194" s="7"/>
      <c r="AP194" s="7"/>
      <c r="AQ194" s="7"/>
      <c r="AR194" s="7"/>
      <c r="AS194" s="138"/>
      <c r="AT194" s="7"/>
      <c r="AU194" s="140">
        <f>'Reflection -2'!Q194</f>
        <v>1.6666666666666667</v>
      </c>
      <c r="AV194" s="7"/>
      <c r="AW194" s="7"/>
      <c r="AX194" s="7"/>
      <c r="AY194" s="140"/>
      <c r="AZ194" s="7"/>
      <c r="BA194" s="138"/>
      <c r="BB194" s="140"/>
      <c r="BC194" s="140">
        <f>'Reflection -3'!Q194</f>
        <v>2</v>
      </c>
      <c r="BD194" s="140"/>
      <c r="BE194" s="140"/>
      <c r="BF194" s="140"/>
      <c r="BG194" s="140"/>
      <c r="BH194" s="140"/>
      <c r="BI194" s="138"/>
      <c r="BJ194" s="140"/>
      <c r="BK194" s="140">
        <f>'Reflection -3'!Q194</f>
        <v>2</v>
      </c>
      <c r="BL194" s="7"/>
      <c r="BM194" s="140"/>
      <c r="BN194" s="7"/>
      <c r="BO194" s="140"/>
      <c r="BP194" s="140"/>
      <c r="BQ194" s="138"/>
      <c r="BR194" s="140"/>
      <c r="BS194" s="140">
        <f>Capstone!Q195</f>
        <v>3</v>
      </c>
      <c r="BT194" s="140">
        <f>Capstone!W195</f>
        <v>3</v>
      </c>
      <c r="BU194" s="140">
        <f>Capstone!AC195</f>
        <v>3</v>
      </c>
      <c r="BV194" s="140">
        <f>Capstone!AI195</f>
        <v>2</v>
      </c>
      <c r="BW194" s="140">
        <f>Capstone!AO195</f>
        <v>3</v>
      </c>
      <c r="BX194" s="140">
        <f>Capstone!AU195</f>
        <v>3</v>
      </c>
      <c r="BY194" s="138"/>
      <c r="BZ194" s="140"/>
      <c r="CA19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2.0166666666666666</v>
      </c>
      <c r="CB194" s="140">
        <f>IFERROR(AVERAGE(Table110461117[[#This Row],[Column31]],Table110461117[[#This Row],[Column13]],Table110461117[[#This Row],[Column4]],Table110461117[[#This Row],[Column22]],),"A")</f>
        <v>1.2</v>
      </c>
      <c r="CC194" s="140">
        <f>IFERROR(AVERAGE(Table110461117[[#This Row],[Column5]],Table110461117[[#This Row],[Column14]],Table110461117[[#This Row],[Column23]],Table110461117[[#This Row],[Column32]]),"A")</f>
        <v>1.25</v>
      </c>
      <c r="CD194" s="140">
        <f>IFERROR(AVERAGE(Table110461117[[#This Row],[Column6]],Table110461117[[#This Row],[Column15]],Table110461117[[#This Row],[Column24]],Table110461117[[#This Row],[Column33]]),"A")</f>
        <v>1</v>
      </c>
      <c r="CE194" s="140"/>
      <c r="CF194" s="140">
        <f>IFERROR(AVERAGE(Table110461117[[#This Row],[Column26]],Table110461117[[#This Row],[Column35]],Table110461117[[#This Row],[Column17]],Table110461117[[#This Row],[Column8]]),"A")</f>
        <v>1.5</v>
      </c>
      <c r="CG194" s="138"/>
      <c r="CH194" s="140">
        <f>IFERROR(AVERAGE('Review 1'!AX194,'Review 2'!AX194,'Review 3'!AX194,'Review 4'!AX194,'Reflection -1 '!AX194,'Reflection -2'!AX194,'Reflection -3'!AX194,'Reflection -4'!AX194),"A")</f>
        <v>2.875</v>
      </c>
      <c r="CI194" s="140">
        <f>IFERROR(AVERAGE('Review 1'!AY194,'Review 2'!AY194,'Review 3'!AY194,'Review 4'!AY194,'Reflection -1 '!AY194,'Reflection -2'!AY194,'Reflection -3'!AY194,'Reflection -4'!AY194,Capstone!AY195),"A")</f>
        <v>1.7777777777777777</v>
      </c>
      <c r="CJ194" s="140">
        <f>IFERROR(AVERAGE('Review 1'!AZ194,'Review 2'!AZ194,'Review 3'!AZ194,'Review 4'!AZ194,'Reflection -1 '!AZ194,'Reflection -2'!AZ194,'Reflection -3'!AZ194,'Reflection -4'!AZ194),"A")</f>
        <v>1.625</v>
      </c>
    </row>
    <row r="195" spans="1:88" s="122" customFormat="1" ht="23.1" customHeight="1" x14ac:dyDescent="0.3">
      <c r="A195" s="137">
        <v>193</v>
      </c>
      <c r="B195" s="62" t="s">
        <v>422</v>
      </c>
      <c r="C195" s="62" t="s">
        <v>423</v>
      </c>
      <c r="D195" s="62" t="s">
        <v>450</v>
      </c>
      <c r="E195" s="62" t="s">
        <v>493</v>
      </c>
      <c r="F195" s="139"/>
      <c r="G195" s="139">
        <f>'Review 1'!Q195</f>
        <v>3</v>
      </c>
      <c r="H195" s="139">
        <f>'Review 1'!W195</f>
        <v>3</v>
      </c>
      <c r="I195" s="139">
        <f>'Review 1'!AC195</f>
        <v>3</v>
      </c>
      <c r="J195" s="139">
        <f>'Review 1'!AI195</f>
        <v>2.5</v>
      </c>
      <c r="K195" s="139"/>
      <c r="L195" s="139">
        <f>'Review 1'!AU195</f>
        <v>3</v>
      </c>
      <c r="M195" s="138"/>
      <c r="N195" s="139"/>
      <c r="O195" s="139">
        <f>'Review 2'!Q195</f>
        <v>3</v>
      </c>
      <c r="P195" s="139">
        <f>'Review 2'!W195</f>
        <v>3</v>
      </c>
      <c r="Q195" s="139">
        <f>'Review 2'!AC195</f>
        <v>2</v>
      </c>
      <c r="R195" s="139">
        <f>'Review 2'!AI195</f>
        <v>1.5</v>
      </c>
      <c r="S195" s="139"/>
      <c r="T195" s="139">
        <f>'Review 2'!AU195</f>
        <v>2.3333333333333335</v>
      </c>
      <c r="U195" s="138"/>
      <c r="V195" s="62"/>
      <c r="W195" s="139">
        <f>'Review 3'!Q195</f>
        <v>2</v>
      </c>
      <c r="X195" s="139">
        <f>'Review 3'!W195</f>
        <v>2</v>
      </c>
      <c r="Y195" s="139">
        <f>'Review 3'!AC195</f>
        <v>2</v>
      </c>
      <c r="Z195" s="139">
        <f>'Review 3'!AI195</f>
        <v>2</v>
      </c>
      <c r="AA195" s="62"/>
      <c r="AB195" s="139">
        <f>'Review 3'!AU195</f>
        <v>2</v>
      </c>
      <c r="AC195" s="138"/>
      <c r="AD195" s="62"/>
      <c r="AE195" s="139">
        <f>'Review 4'!Q195</f>
        <v>3</v>
      </c>
      <c r="AF195" s="139">
        <f>'Review 4'!W195</f>
        <v>2</v>
      </c>
      <c r="AG195" s="139">
        <f>'Review 4'!AC195</f>
        <v>2</v>
      </c>
      <c r="AH195" s="139">
        <f>'Review 4'!AI195</f>
        <v>1</v>
      </c>
      <c r="AI195" s="139"/>
      <c r="AJ195" s="139">
        <f>'Review 4'!AU195</f>
        <v>1</v>
      </c>
      <c r="AK195" s="138"/>
      <c r="AL195" s="62"/>
      <c r="AM195" s="139">
        <f>'Reflection -1 '!Q195</f>
        <v>2.6666666666666665</v>
      </c>
      <c r="AN195" s="62"/>
      <c r="AO195" s="62"/>
      <c r="AP195" s="62"/>
      <c r="AQ195" s="62"/>
      <c r="AR195" s="62"/>
      <c r="AS195" s="138"/>
      <c r="AT195" s="62"/>
      <c r="AU195" s="139">
        <f>'Reflection -2'!Q195</f>
        <v>3</v>
      </c>
      <c r="AV195" s="62"/>
      <c r="AW195" s="62"/>
      <c r="AX195" s="62"/>
      <c r="AY195" s="139"/>
      <c r="AZ195" s="62"/>
      <c r="BA195" s="138"/>
      <c r="BB195" s="139"/>
      <c r="BC195" s="139">
        <f>'Reflection -3'!Q195</f>
        <v>4</v>
      </c>
      <c r="BD195" s="139"/>
      <c r="BE195" s="139"/>
      <c r="BF195" s="139"/>
      <c r="BG195" s="139"/>
      <c r="BH195" s="139"/>
      <c r="BI195" s="138"/>
      <c r="BJ195" s="139"/>
      <c r="BK195" s="139">
        <f>'Reflection -3'!Q195</f>
        <v>4</v>
      </c>
      <c r="BL195" s="62"/>
      <c r="BM195" s="139"/>
      <c r="BN195" s="62"/>
      <c r="BO195" s="139"/>
      <c r="BP195" s="139"/>
      <c r="BQ195" s="138"/>
      <c r="BR195" s="139"/>
      <c r="BS195" s="139">
        <f>Capstone!Q196</f>
        <v>3</v>
      </c>
      <c r="BT195" s="139">
        <f>Capstone!W196</f>
        <v>3</v>
      </c>
      <c r="BU195" s="139">
        <f>Capstone!AC196</f>
        <v>3</v>
      </c>
      <c r="BV195" s="139">
        <f>Capstone!AI196</f>
        <v>2</v>
      </c>
      <c r="BW195" s="139">
        <f>Capstone!AO196</f>
        <v>3</v>
      </c>
      <c r="BX195" s="139">
        <f>Capstone!AU196</f>
        <v>3</v>
      </c>
      <c r="BY195" s="138"/>
      <c r="BZ195" s="139"/>
      <c r="CA19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3.083333333333333</v>
      </c>
      <c r="CB195" s="139">
        <f>IFERROR(AVERAGE(Table110461117[[#This Row],[Column31]],Table110461117[[#This Row],[Column13]],Table110461117[[#This Row],[Column4]],Table110461117[[#This Row],[Column22]],),"A")</f>
        <v>2</v>
      </c>
      <c r="CC195" s="139">
        <f>IFERROR(AVERAGE(Table110461117[[#This Row],[Column5]],Table110461117[[#This Row],[Column14]],Table110461117[[#This Row],[Column23]],Table110461117[[#This Row],[Column32]]),"A")</f>
        <v>2.25</v>
      </c>
      <c r="CD195" s="139">
        <f>IFERROR(AVERAGE(Table110461117[[#This Row],[Column6]],Table110461117[[#This Row],[Column15]],Table110461117[[#This Row],[Column24]],Table110461117[[#This Row],[Column33]]),"A")</f>
        <v>1.75</v>
      </c>
      <c r="CE195" s="139"/>
      <c r="CF195" s="139">
        <f>IFERROR(AVERAGE(Table110461117[[#This Row],[Column26]],Table110461117[[#This Row],[Column35]],Table110461117[[#This Row],[Column17]],Table110461117[[#This Row],[Column8]]),"A")</f>
        <v>2.0833333333333335</v>
      </c>
      <c r="CG195" s="138"/>
      <c r="CH195" s="139">
        <f>IFERROR(AVERAGE('Review 1'!AX195,'Review 2'!AX195,'Review 3'!AX195,'Review 4'!AX195,'Reflection -1 '!AX195,'Reflection -2'!AX195,'Reflection -3'!AX195,'Reflection -4'!AX195),"A")</f>
        <v>3.125</v>
      </c>
      <c r="CI195" s="139">
        <f>IFERROR(AVERAGE('Review 1'!AY195,'Review 2'!AY195,'Review 3'!AY195,'Review 4'!AY195,'Reflection -1 '!AY195,'Reflection -2'!AY195,'Reflection -3'!AY195,'Reflection -4'!AY195,Capstone!AY196),"A")</f>
        <v>2.4444444444444446</v>
      </c>
      <c r="CJ195" s="139">
        <f>IFERROR(AVERAGE('Review 1'!AZ195,'Review 2'!AZ195,'Review 3'!AZ195,'Review 4'!AZ195,'Reflection -1 '!AZ195,'Reflection -2'!AZ195,'Reflection -3'!AZ195,'Reflection -4'!AZ195),"A")</f>
        <v>2.625</v>
      </c>
    </row>
    <row r="196" spans="1:88" s="122" customFormat="1" ht="23.1" customHeight="1" x14ac:dyDescent="0.3">
      <c r="A196" s="6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140"/>
      <c r="G196" s="140">
        <f>'Review 1'!Q196</f>
        <v>2.2000000000000002</v>
      </c>
      <c r="H196" s="140">
        <f>'Review 1'!W196</f>
        <v>3</v>
      </c>
      <c r="I196" s="140">
        <f>'Review 1'!AC196</f>
        <v>3</v>
      </c>
      <c r="J196" s="140">
        <f>'Review 1'!AI196</f>
        <v>3</v>
      </c>
      <c r="K196" s="140"/>
      <c r="L196" s="140">
        <f>'Review 1'!AU196</f>
        <v>3</v>
      </c>
      <c r="M196" s="138"/>
      <c r="N196" s="140"/>
      <c r="O196" s="140">
        <f>'Review 2'!Q196</f>
        <v>2.8</v>
      </c>
      <c r="P196" s="140">
        <f>'Review 2'!W196</f>
        <v>3</v>
      </c>
      <c r="Q196" s="140">
        <f>'Review 2'!AC196</f>
        <v>2</v>
      </c>
      <c r="R196" s="140">
        <f>'Review 2'!AI196</f>
        <v>1.5</v>
      </c>
      <c r="S196" s="140"/>
      <c r="T196" s="140">
        <f>'Review 2'!AU196</f>
        <v>2.6666666666666665</v>
      </c>
      <c r="U196" s="138"/>
      <c r="V196" s="7"/>
      <c r="W196" s="140">
        <f>'Review 3'!Q196</f>
        <v>3.2</v>
      </c>
      <c r="X196" s="140">
        <f>'Review 3'!W196</f>
        <v>3</v>
      </c>
      <c r="Y196" s="140">
        <f>'Review 3'!AC196</f>
        <v>2.5</v>
      </c>
      <c r="Z196" s="140">
        <f>'Review 3'!AI196</f>
        <v>3</v>
      </c>
      <c r="AA196" s="7"/>
      <c r="AB196" s="140">
        <f>'Review 3'!AU196</f>
        <v>3</v>
      </c>
      <c r="AC196" s="138"/>
      <c r="AD196" s="7"/>
      <c r="AE196" s="140">
        <f>'Review 4'!Q196</f>
        <v>3.2</v>
      </c>
      <c r="AF196" s="140">
        <f>'Review 4'!W196</f>
        <v>3</v>
      </c>
      <c r="AG196" s="140">
        <f>'Review 4'!AC196</f>
        <v>2.5</v>
      </c>
      <c r="AH196" s="140">
        <f>'Review 4'!AI196</f>
        <v>3</v>
      </c>
      <c r="AI196" s="140"/>
      <c r="AJ196" s="140">
        <f>'Review 4'!AU196</f>
        <v>3</v>
      </c>
      <c r="AK196" s="138"/>
      <c r="AL196" s="7"/>
      <c r="AM196" s="140">
        <f>'Reflection -1 '!Q196</f>
        <v>3</v>
      </c>
      <c r="AN196" s="7"/>
      <c r="AO196" s="7"/>
      <c r="AP196" s="7"/>
      <c r="AQ196" s="7"/>
      <c r="AR196" s="7"/>
      <c r="AS196" s="138"/>
      <c r="AT196" s="7"/>
      <c r="AU196" s="140">
        <f>'Reflection -2'!Q196</f>
        <v>3.6666666666666665</v>
      </c>
      <c r="AV196" s="7"/>
      <c r="AW196" s="7"/>
      <c r="AX196" s="7"/>
      <c r="AY196" s="140"/>
      <c r="AZ196" s="7"/>
      <c r="BA196" s="138"/>
      <c r="BB196" s="140"/>
      <c r="BC196" s="140">
        <f>'Reflection -3'!Q196</f>
        <v>2</v>
      </c>
      <c r="BD196" s="140"/>
      <c r="BE196" s="140"/>
      <c r="BF196" s="140"/>
      <c r="BG196" s="140"/>
      <c r="BH196" s="140"/>
      <c r="BI196" s="138"/>
      <c r="BJ196" s="140"/>
      <c r="BK196" s="140">
        <f>'Reflection -3'!Q196</f>
        <v>2</v>
      </c>
      <c r="BL196" s="7"/>
      <c r="BM196" s="140"/>
      <c r="BN196" s="7"/>
      <c r="BO196" s="140"/>
      <c r="BP196" s="140"/>
      <c r="BQ196" s="138"/>
      <c r="BR196" s="140"/>
      <c r="BS196" s="140">
        <f>Capstone!Q197</f>
        <v>3.3333333333333335</v>
      </c>
      <c r="BT196" s="140">
        <f>Capstone!W197</f>
        <v>2.5</v>
      </c>
      <c r="BU196" s="140">
        <f>Capstone!AC197</f>
        <v>2.5</v>
      </c>
      <c r="BV196" s="140">
        <f>Capstone!AI197</f>
        <v>2.5</v>
      </c>
      <c r="BW196" s="140">
        <f>Capstone!AO197</f>
        <v>2.5</v>
      </c>
      <c r="BX196" s="140">
        <f>Capstone!AU197</f>
        <v>2.5</v>
      </c>
      <c r="BY196" s="138"/>
      <c r="BZ196" s="140"/>
      <c r="CA19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2.7583333333333333</v>
      </c>
      <c r="CB196" s="140">
        <f>IFERROR(AVERAGE(Table110461117[[#This Row],[Column31]],Table110461117[[#This Row],[Column13]],Table110461117[[#This Row],[Column4]],Table110461117[[#This Row],[Column22]],),"A")</f>
        <v>2.4</v>
      </c>
      <c r="CC196" s="140">
        <f>IFERROR(AVERAGE(Table110461117[[#This Row],[Column5]],Table110461117[[#This Row],[Column14]],Table110461117[[#This Row],[Column23]],Table110461117[[#This Row],[Column32]]),"A")</f>
        <v>2.5</v>
      </c>
      <c r="CD196" s="140">
        <f>IFERROR(AVERAGE(Table110461117[[#This Row],[Column6]],Table110461117[[#This Row],[Column15]],Table110461117[[#This Row],[Column24]],Table110461117[[#This Row],[Column33]]),"A")</f>
        <v>2.625</v>
      </c>
      <c r="CE196" s="140"/>
      <c r="CF196" s="140">
        <f>IFERROR(AVERAGE(Table110461117[[#This Row],[Column26]],Table110461117[[#This Row],[Column35]],Table110461117[[#This Row],[Column17]],Table110461117[[#This Row],[Column8]]),"A")</f>
        <v>2.9166666666666665</v>
      </c>
      <c r="CG196" s="138"/>
      <c r="CH196" s="140">
        <f>IFERROR(AVERAGE('Review 1'!AX196,'Review 2'!AX196,'Review 3'!AX196,'Review 4'!AX196,'Reflection -1 '!AX196,'Reflection -2'!AX196,'Reflection -3'!AX196,'Reflection -4'!AX196),"A")</f>
        <v>3.625</v>
      </c>
      <c r="CI196" s="140">
        <f>IFERROR(AVERAGE('Review 1'!AY196,'Review 2'!AY196,'Review 3'!AY196,'Review 4'!AY196,'Reflection -1 '!AY196,'Reflection -2'!AY196,'Reflection -3'!AY196,'Reflection -4'!AY196,Capstone!AY197),"A")</f>
        <v>2.3888888888888888</v>
      </c>
      <c r="CJ196" s="140">
        <f>IFERROR(AVERAGE('Review 1'!AZ196,'Review 2'!AZ196,'Review 3'!AZ196,'Review 4'!AZ196,'Reflection -1 '!AZ196,'Reflection -2'!AZ196,'Reflection -3'!AZ196,'Reflection -4'!AZ196),"A")</f>
        <v>3</v>
      </c>
    </row>
    <row r="197" spans="1:88" s="122" customFormat="1" ht="23.1" customHeight="1" x14ac:dyDescent="0.3">
      <c r="A197" s="137">
        <v>195</v>
      </c>
      <c r="B197" s="62" t="s">
        <v>426</v>
      </c>
      <c r="C197" s="62" t="s">
        <v>427</v>
      </c>
      <c r="D197" s="62" t="s">
        <v>450</v>
      </c>
      <c r="E197" s="62" t="s">
        <v>289</v>
      </c>
      <c r="F197" s="139"/>
      <c r="G197" s="139">
        <f>'Review 1'!Q197</f>
        <v>2.8</v>
      </c>
      <c r="H197" s="139">
        <f>'Review 1'!W197</f>
        <v>2.3333333333333335</v>
      </c>
      <c r="I197" s="139">
        <f>'Review 1'!AC197</f>
        <v>2</v>
      </c>
      <c r="J197" s="139">
        <f>'Review 1'!AI197</f>
        <v>3</v>
      </c>
      <c r="K197" s="139"/>
      <c r="L197" s="139">
        <f>'Review 1'!AU197</f>
        <v>3</v>
      </c>
      <c r="M197" s="138"/>
      <c r="N197" s="139"/>
      <c r="O197" s="139">
        <f>'Review 2'!Q197</f>
        <v>2.8</v>
      </c>
      <c r="P197" s="139">
        <f>'Review 2'!W197</f>
        <v>2.6666666666666665</v>
      </c>
      <c r="Q197" s="139">
        <f>'Review 2'!AC197</f>
        <v>2</v>
      </c>
      <c r="R197" s="139">
        <f>'Review 2'!AI197</f>
        <v>1.5</v>
      </c>
      <c r="S197" s="139"/>
      <c r="T197" s="139">
        <f>'Review 2'!AU197</f>
        <v>2.3333333333333335</v>
      </c>
      <c r="U197" s="138"/>
      <c r="V197" s="62"/>
      <c r="W197" s="139">
        <f>'Review 3'!Q197</f>
        <v>2.2000000000000002</v>
      </c>
      <c r="X197" s="139">
        <f>'Review 3'!W197</f>
        <v>2</v>
      </c>
      <c r="Y197" s="139">
        <f>'Review 3'!AC197</f>
        <v>2</v>
      </c>
      <c r="Z197" s="139">
        <f>'Review 3'!AI197</f>
        <v>2</v>
      </c>
      <c r="AA197" s="62"/>
      <c r="AB197" s="139">
        <f>'Review 3'!AU197</f>
        <v>2</v>
      </c>
      <c r="AC197" s="138"/>
      <c r="AD197" s="62"/>
      <c r="AE197" s="139">
        <f>'Review 4'!Q197</f>
        <v>3.6</v>
      </c>
      <c r="AF197" s="139">
        <f>'Review 4'!W197</f>
        <v>3</v>
      </c>
      <c r="AG197" s="139">
        <f>'Review 4'!AC197</f>
        <v>1.5</v>
      </c>
      <c r="AH197" s="139">
        <f>'Review 4'!AI197</f>
        <v>1</v>
      </c>
      <c r="AI197" s="139"/>
      <c r="AJ197" s="139">
        <f>'Review 4'!AU197</f>
        <v>2.3333333333333335</v>
      </c>
      <c r="AK197" s="138"/>
      <c r="AL197" s="62"/>
      <c r="AM197" s="139">
        <f>'Reflection -1 '!Q197</f>
        <v>3.6666666666666665</v>
      </c>
      <c r="AN197" s="62"/>
      <c r="AO197" s="62"/>
      <c r="AP197" s="62"/>
      <c r="AQ197" s="62"/>
      <c r="AR197" s="62"/>
      <c r="AS197" s="138"/>
      <c r="AT197" s="62"/>
      <c r="AU197" s="139">
        <f>'Reflection -2'!Q197</f>
        <v>2</v>
      </c>
      <c r="AV197" s="62"/>
      <c r="AW197" s="62"/>
      <c r="AX197" s="62"/>
      <c r="AY197" s="139"/>
      <c r="AZ197" s="62"/>
      <c r="BA197" s="138"/>
      <c r="BB197" s="139"/>
      <c r="BC197" s="139">
        <f>'Reflection -3'!Q197</f>
        <v>2.3333333333333335</v>
      </c>
      <c r="BD197" s="139"/>
      <c r="BE197" s="139"/>
      <c r="BF197" s="139"/>
      <c r="BG197" s="139"/>
      <c r="BH197" s="139"/>
      <c r="BI197" s="138"/>
      <c r="BJ197" s="139"/>
      <c r="BK197" s="139">
        <f>'Reflection -3'!Q197</f>
        <v>2.3333333333333335</v>
      </c>
      <c r="BL197" s="62"/>
      <c r="BM197" s="139"/>
      <c r="BN197" s="62"/>
      <c r="BO197" s="139"/>
      <c r="BP197" s="139"/>
      <c r="BQ197" s="138"/>
      <c r="BR197" s="139"/>
      <c r="BS197" s="139">
        <f>Capstone!Q198</f>
        <v>3</v>
      </c>
      <c r="BT197" s="139">
        <f>Capstone!W198</f>
        <v>4</v>
      </c>
      <c r="BU197" s="139">
        <f>Capstone!AC198</f>
        <v>4</v>
      </c>
      <c r="BV197" s="139">
        <f>Capstone!AI198</f>
        <v>3</v>
      </c>
      <c r="BW197" s="139">
        <f>Capstone!AO198</f>
        <v>4</v>
      </c>
      <c r="BX197" s="139">
        <f>Capstone!AU198</f>
        <v>4</v>
      </c>
      <c r="BY197" s="138"/>
      <c r="BZ197" s="139"/>
      <c r="CA19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2.7166666666666663</v>
      </c>
      <c r="CB197" s="139">
        <f>IFERROR(AVERAGE(Table110461117[[#This Row],[Column31]],Table110461117[[#This Row],[Column13]],Table110461117[[#This Row],[Column4]],Table110461117[[#This Row],[Column22]],),"A")</f>
        <v>2</v>
      </c>
      <c r="CC197" s="139">
        <f>IFERROR(AVERAGE(Table110461117[[#This Row],[Column5]],Table110461117[[#This Row],[Column14]],Table110461117[[#This Row],[Column23]],Table110461117[[#This Row],[Column32]]),"A")</f>
        <v>1.875</v>
      </c>
      <c r="CD197" s="139">
        <f>IFERROR(AVERAGE(Table110461117[[#This Row],[Column6]],Table110461117[[#This Row],[Column15]],Table110461117[[#This Row],[Column24]],Table110461117[[#This Row],[Column33]]),"A")</f>
        <v>1.875</v>
      </c>
      <c r="CE197" s="139"/>
      <c r="CF197" s="139">
        <f>IFERROR(AVERAGE(Table110461117[[#This Row],[Column26]],Table110461117[[#This Row],[Column35]],Table110461117[[#This Row],[Column17]],Table110461117[[#This Row],[Column8]]),"A")</f>
        <v>2.416666666666667</v>
      </c>
      <c r="CG197" s="138"/>
      <c r="CH197" s="139">
        <f>IFERROR(AVERAGE('Review 1'!AX197,'Review 2'!AX197,'Review 3'!AX197,'Review 4'!AX197,'Reflection -1 '!AX197,'Reflection -2'!AX197,'Reflection -3'!AX197,'Reflection -4'!AX197),"A")</f>
        <v>3</v>
      </c>
      <c r="CI197" s="139">
        <f>IFERROR(AVERAGE('Review 1'!AY197,'Review 2'!AY197,'Review 3'!AY197,'Review 4'!AY197,'Reflection -1 '!AY197,'Reflection -2'!AY197,'Reflection -3'!AY197,'Reflection -4'!AY197,Capstone!AY198),"A")</f>
        <v>2.4444444444444446</v>
      </c>
      <c r="CJ197" s="139">
        <f>IFERROR(AVERAGE('Review 1'!AZ197,'Review 2'!AZ197,'Review 3'!AZ197,'Review 4'!AZ197,'Reflection -1 '!AZ197,'Reflection -2'!AZ197,'Reflection -3'!AZ197,'Reflection -4'!AZ197),"A")</f>
        <v>2.125</v>
      </c>
    </row>
    <row r="198" spans="1:88" s="122" customFormat="1" ht="23.1" customHeight="1" x14ac:dyDescent="0.3">
      <c r="A198" s="6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140"/>
      <c r="G198" s="140">
        <f>'Review 1'!Q198</f>
        <v>2.6</v>
      </c>
      <c r="H198" s="140">
        <f>'Review 1'!W198</f>
        <v>2</v>
      </c>
      <c r="I198" s="140">
        <f>'Review 1'!AC198</f>
        <v>2</v>
      </c>
      <c r="J198" s="140">
        <f>'Review 1'!AI198</f>
        <v>3</v>
      </c>
      <c r="K198" s="140"/>
      <c r="L198" s="140">
        <f>'Review 1'!AU198</f>
        <v>3</v>
      </c>
      <c r="M198" s="138"/>
      <c r="N198" s="140"/>
      <c r="O198" s="140">
        <f>'Review 2'!Q198</f>
        <v>2.2000000000000002</v>
      </c>
      <c r="P198" s="140">
        <f>'Review 2'!W198</f>
        <v>2</v>
      </c>
      <c r="Q198" s="140">
        <f>'Review 2'!AC198</f>
        <v>2</v>
      </c>
      <c r="R198" s="140">
        <f>'Review 2'!AI198</f>
        <v>1</v>
      </c>
      <c r="S198" s="140"/>
      <c r="T198" s="140">
        <f>'Review 2'!AU198</f>
        <v>2</v>
      </c>
      <c r="U198" s="138"/>
      <c r="V198" s="7"/>
      <c r="W198" s="140">
        <f>'Review 3'!Q198</f>
        <v>3.2</v>
      </c>
      <c r="X198" s="140">
        <f>'Review 3'!W198</f>
        <v>3</v>
      </c>
      <c r="Y198" s="140">
        <f>'Review 3'!AC198</f>
        <v>2.5</v>
      </c>
      <c r="Z198" s="140">
        <f>'Review 3'!AI198</f>
        <v>3</v>
      </c>
      <c r="AA198" s="7"/>
      <c r="AB198" s="140">
        <f>'Review 3'!AU198</f>
        <v>3</v>
      </c>
      <c r="AC198" s="138"/>
      <c r="AD198" s="7"/>
      <c r="AE198" s="140">
        <f>'Review 4'!Q198</f>
        <v>3.2</v>
      </c>
      <c r="AF198" s="140">
        <f>'Review 4'!W198</f>
        <v>3</v>
      </c>
      <c r="AG198" s="140">
        <f>'Review 4'!AC198</f>
        <v>2.5</v>
      </c>
      <c r="AH198" s="140">
        <f>'Review 4'!AI198</f>
        <v>3</v>
      </c>
      <c r="AI198" s="140"/>
      <c r="AJ198" s="140">
        <f>'Review 4'!AU198</f>
        <v>3</v>
      </c>
      <c r="AK198" s="138"/>
      <c r="AL198" s="7"/>
      <c r="AM198" s="140">
        <f>'Reflection -1 '!Q198</f>
        <v>2.6666666666666665</v>
      </c>
      <c r="AN198" s="7"/>
      <c r="AO198" s="7"/>
      <c r="AP198" s="7"/>
      <c r="AQ198" s="7"/>
      <c r="AR198" s="7"/>
      <c r="AS198" s="138"/>
      <c r="AT198" s="7"/>
      <c r="AU198" s="140">
        <f>'Reflection -2'!Q198</f>
        <v>4</v>
      </c>
      <c r="AV198" s="7"/>
      <c r="AW198" s="7"/>
      <c r="AX198" s="7"/>
      <c r="AY198" s="140"/>
      <c r="AZ198" s="7"/>
      <c r="BA198" s="138"/>
      <c r="BB198" s="140"/>
      <c r="BC198" s="140">
        <f>'Reflection -3'!Q198</f>
        <v>3.6666666666666665</v>
      </c>
      <c r="BD198" s="140"/>
      <c r="BE198" s="140"/>
      <c r="BF198" s="140"/>
      <c r="BG198" s="140"/>
      <c r="BH198" s="140"/>
      <c r="BI198" s="138"/>
      <c r="BJ198" s="140"/>
      <c r="BK198" s="140">
        <f>'Reflection -3'!Q198</f>
        <v>3.6666666666666665</v>
      </c>
      <c r="BL198" s="7"/>
      <c r="BM198" s="140"/>
      <c r="BN198" s="7"/>
      <c r="BO198" s="140"/>
      <c r="BP198" s="140"/>
      <c r="BQ198" s="138"/>
      <c r="BR198" s="140"/>
      <c r="BS198" s="140">
        <f>Capstone!Q199</f>
        <v>4</v>
      </c>
      <c r="BT198" s="140">
        <f>Capstone!W199</f>
        <v>4</v>
      </c>
      <c r="BU198" s="140">
        <f>Capstone!AC199</f>
        <v>4</v>
      </c>
      <c r="BV198" s="140">
        <f>Capstone!AI199</f>
        <v>4</v>
      </c>
      <c r="BW198" s="140">
        <f>Capstone!AO199</f>
        <v>4</v>
      </c>
      <c r="BX198" s="140">
        <f>Capstone!AU199</f>
        <v>4</v>
      </c>
      <c r="BY198" s="138"/>
      <c r="BZ198" s="140"/>
      <c r="CA19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3.15</v>
      </c>
      <c r="CB198" s="140">
        <f>IFERROR(AVERAGE(Table110461117[[#This Row],[Column31]],Table110461117[[#This Row],[Column13]],Table110461117[[#This Row],[Column4]],Table110461117[[#This Row],[Column22]],),"A")</f>
        <v>2</v>
      </c>
      <c r="CC198" s="140">
        <f>IFERROR(AVERAGE(Table110461117[[#This Row],[Column5]],Table110461117[[#This Row],[Column14]],Table110461117[[#This Row],[Column23]],Table110461117[[#This Row],[Column32]]),"A")</f>
        <v>2.25</v>
      </c>
      <c r="CD198" s="140">
        <f>IFERROR(AVERAGE(Table110461117[[#This Row],[Column6]],Table110461117[[#This Row],[Column15]],Table110461117[[#This Row],[Column24]],Table110461117[[#This Row],[Column33]]),"A")</f>
        <v>2.5</v>
      </c>
      <c r="CE198" s="140"/>
      <c r="CF198" s="140">
        <f>IFERROR(AVERAGE(Table110461117[[#This Row],[Column26]],Table110461117[[#This Row],[Column35]],Table110461117[[#This Row],[Column17]],Table110461117[[#This Row],[Column8]]),"A")</f>
        <v>2.75</v>
      </c>
      <c r="CG198" s="138"/>
      <c r="CH198" s="140">
        <f>IFERROR(AVERAGE('Review 1'!AX198,'Review 2'!AX198,'Review 3'!AX198,'Review 4'!AX198,'Reflection -1 '!AX198,'Reflection -2'!AX198,'Reflection -3'!AX198,'Reflection -4'!AX198),"A")</f>
        <v>3.5</v>
      </c>
      <c r="CI198" s="140">
        <f>IFERROR(AVERAGE('Review 1'!AY198,'Review 2'!AY198,'Review 3'!AY198,'Review 4'!AY198,'Reflection -1 '!AY198,'Reflection -2'!AY198,'Reflection -3'!AY198,'Reflection -4'!AY198,Capstone!AY199),"A")</f>
        <v>2.5555555555555554</v>
      </c>
      <c r="CJ198" s="140">
        <f>IFERROR(AVERAGE('Review 1'!AZ198,'Review 2'!AZ198,'Review 3'!AZ198,'Review 4'!AZ198,'Reflection -1 '!AZ198,'Reflection -2'!AZ198,'Reflection -3'!AZ198,'Reflection -4'!AZ198),"A")</f>
        <v>2.5</v>
      </c>
    </row>
    <row r="199" spans="1:88" s="122" customFormat="1" ht="23.1" customHeight="1" x14ac:dyDescent="0.3">
      <c r="A199" s="137">
        <v>197</v>
      </c>
      <c r="B199" s="62" t="s">
        <v>430</v>
      </c>
      <c r="C199" s="62" t="s">
        <v>431</v>
      </c>
      <c r="D199" s="62" t="s">
        <v>542</v>
      </c>
      <c r="E199" s="62" t="s">
        <v>493</v>
      </c>
      <c r="F199" s="139"/>
      <c r="G199" s="139">
        <f>'Review 1'!Q199</f>
        <v>2.8</v>
      </c>
      <c r="H199" s="139">
        <f>'Review 1'!W199</f>
        <v>3</v>
      </c>
      <c r="I199" s="139">
        <f>'Review 1'!AC199</f>
        <v>3</v>
      </c>
      <c r="J199" s="139">
        <f>'Review 1'!AI199</f>
        <v>2.5</v>
      </c>
      <c r="K199" s="139"/>
      <c r="L199" s="139">
        <f>'Review 1'!AU199</f>
        <v>3</v>
      </c>
      <c r="M199" s="138"/>
      <c r="N199" s="139"/>
      <c r="O199" s="139">
        <f>'Review 2'!Q199</f>
        <v>2.4</v>
      </c>
      <c r="P199" s="139">
        <f>'Review 2'!W199</f>
        <v>2</v>
      </c>
      <c r="Q199" s="139">
        <f>'Review 2'!AC199</f>
        <v>2</v>
      </c>
      <c r="R199" s="139">
        <f>'Review 2'!AI199</f>
        <v>1</v>
      </c>
      <c r="S199" s="139"/>
      <c r="T199" s="139">
        <f>'Review 2'!AU199</f>
        <v>2</v>
      </c>
      <c r="U199" s="138"/>
      <c r="V199" s="62"/>
      <c r="W199" s="139">
        <f>'Review 3'!Q199</f>
        <v>3.2</v>
      </c>
      <c r="X199" s="139">
        <f>'Review 3'!W199</f>
        <v>3</v>
      </c>
      <c r="Y199" s="139">
        <f>'Review 3'!AC199</f>
        <v>2.5</v>
      </c>
      <c r="Z199" s="139">
        <f>'Review 3'!AI199</f>
        <v>3</v>
      </c>
      <c r="AA199" s="62"/>
      <c r="AB199" s="139">
        <f>'Review 3'!AU199</f>
        <v>3</v>
      </c>
      <c r="AC199" s="138"/>
      <c r="AD199" s="62"/>
      <c r="AE199" s="139">
        <f>'Review 4'!Q199</f>
        <v>3.2</v>
      </c>
      <c r="AF199" s="139">
        <f>'Review 4'!W199</f>
        <v>3</v>
      </c>
      <c r="AG199" s="139">
        <f>'Review 4'!AC199</f>
        <v>2.5</v>
      </c>
      <c r="AH199" s="139">
        <f>'Review 4'!AI199</f>
        <v>3</v>
      </c>
      <c r="AI199" s="139"/>
      <c r="AJ199" s="139">
        <f>'Review 4'!AU199</f>
        <v>3</v>
      </c>
      <c r="AK199" s="138"/>
      <c r="AL199" s="62"/>
      <c r="AM199" s="139">
        <f>'Reflection -1 '!Q199</f>
        <v>2</v>
      </c>
      <c r="AN199" s="62"/>
      <c r="AO199" s="62"/>
      <c r="AP199" s="62"/>
      <c r="AQ199" s="62"/>
      <c r="AR199" s="62"/>
      <c r="AS199" s="138"/>
      <c r="AT199" s="62"/>
      <c r="AU199" s="139">
        <f>'Reflection -2'!Q199</f>
        <v>2.6666666666666665</v>
      </c>
      <c r="AV199" s="62"/>
      <c r="AW199" s="62"/>
      <c r="AX199" s="62"/>
      <c r="AY199" s="139"/>
      <c r="AZ199" s="62"/>
      <c r="BA199" s="138"/>
      <c r="BB199" s="139"/>
      <c r="BC199" s="139">
        <f>'Reflection -3'!Q199</f>
        <v>2</v>
      </c>
      <c r="BD199" s="139"/>
      <c r="BE199" s="139"/>
      <c r="BF199" s="139"/>
      <c r="BG199" s="139"/>
      <c r="BH199" s="139"/>
      <c r="BI199" s="138"/>
      <c r="BJ199" s="139"/>
      <c r="BK199" s="139">
        <f>'Reflection -3'!Q199</f>
        <v>2</v>
      </c>
      <c r="BL199" s="62"/>
      <c r="BM199" s="139"/>
      <c r="BN199" s="62"/>
      <c r="BO199" s="139"/>
      <c r="BP199" s="139"/>
      <c r="BQ199" s="138"/>
      <c r="BR199" s="139"/>
      <c r="BS199" s="139">
        <f>Capstone!Q200</f>
        <v>4.166666666666667</v>
      </c>
      <c r="BT199" s="139">
        <f>Capstone!W200</f>
        <v>3.5</v>
      </c>
      <c r="BU199" s="139">
        <f>Capstone!AC200</f>
        <v>3.5</v>
      </c>
      <c r="BV199" s="139">
        <f>Capstone!AI200</f>
        <v>4</v>
      </c>
      <c r="BW199" s="139">
        <f>Capstone!AO200</f>
        <v>4</v>
      </c>
      <c r="BX199" s="139">
        <f>Capstone!AU200</f>
        <v>4</v>
      </c>
      <c r="BY199" s="138"/>
      <c r="BZ199" s="139"/>
      <c r="CA19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2.5333333333333332</v>
      </c>
      <c r="CB199" s="139">
        <f>IFERROR(AVERAGE(Table110461117[[#This Row],[Column31]],Table110461117[[#This Row],[Column13]],Table110461117[[#This Row],[Column4]],Table110461117[[#This Row],[Column22]],),"A")</f>
        <v>2.2000000000000002</v>
      </c>
      <c r="CC199" s="139">
        <f>IFERROR(AVERAGE(Table110461117[[#This Row],[Column5]],Table110461117[[#This Row],[Column14]],Table110461117[[#This Row],[Column23]],Table110461117[[#This Row],[Column32]]),"A")</f>
        <v>2.5</v>
      </c>
      <c r="CD199" s="139">
        <f>IFERROR(AVERAGE(Table110461117[[#This Row],[Column6]],Table110461117[[#This Row],[Column15]],Table110461117[[#This Row],[Column24]],Table110461117[[#This Row],[Column33]]),"A")</f>
        <v>2.375</v>
      </c>
      <c r="CE199" s="139"/>
      <c r="CF199" s="139">
        <f>IFERROR(AVERAGE(Table110461117[[#This Row],[Column26]],Table110461117[[#This Row],[Column35]],Table110461117[[#This Row],[Column17]],Table110461117[[#This Row],[Column8]]),"A")</f>
        <v>2.75</v>
      </c>
      <c r="CG199" s="138"/>
      <c r="CH199" s="139">
        <f>IFERROR(AVERAGE('Review 1'!AX199,'Review 2'!AX199,'Review 3'!AX199,'Review 4'!AX199,'Reflection -1 '!AX199,'Reflection -2'!AX199,'Reflection -3'!AX199,'Reflection -4'!AX199),"A")</f>
        <v>3.375</v>
      </c>
      <c r="CI199" s="139">
        <f>IFERROR(AVERAGE('Review 1'!AY199,'Review 2'!AY199,'Review 3'!AY199,'Review 4'!AY199,'Reflection -1 '!AY199,'Reflection -2'!AY199,'Reflection -3'!AY199,'Reflection -4'!AY199,Capstone!AY200),"A")</f>
        <v>2.5555555555555554</v>
      </c>
      <c r="CJ199" s="139">
        <f>IFERROR(AVERAGE('Review 1'!AZ199,'Review 2'!AZ199,'Review 3'!AZ199,'Review 4'!AZ199,'Reflection -1 '!AZ199,'Reflection -2'!AZ199,'Reflection -3'!AZ199,'Reflection -4'!AZ199),"A")</f>
        <v>2.75</v>
      </c>
    </row>
    <row r="200" spans="1:88" s="122" customFormat="1" ht="23.1" customHeight="1" x14ac:dyDescent="0.3">
      <c r="A200" s="6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140"/>
      <c r="G200" s="140">
        <f>'Review 1'!Q200</f>
        <v>3</v>
      </c>
      <c r="H200" s="140">
        <f>'Review 1'!W200</f>
        <v>3</v>
      </c>
      <c r="I200" s="140">
        <f>'Review 1'!AC200</f>
        <v>3</v>
      </c>
      <c r="J200" s="140">
        <f>'Review 1'!AI200</f>
        <v>3</v>
      </c>
      <c r="K200" s="140"/>
      <c r="L200" s="140">
        <f>'Review 1'!AU200</f>
        <v>3</v>
      </c>
      <c r="M200" s="138"/>
      <c r="N200" s="140"/>
      <c r="O200" s="140">
        <f>'Review 2'!Q200</f>
        <v>3</v>
      </c>
      <c r="P200" s="140">
        <f>'Review 2'!W200</f>
        <v>3</v>
      </c>
      <c r="Q200" s="140">
        <f>'Review 2'!AC200</f>
        <v>3</v>
      </c>
      <c r="R200" s="140">
        <f>'Review 2'!AI200</f>
        <v>3</v>
      </c>
      <c r="S200" s="140"/>
      <c r="T200" s="140">
        <f>'Review 2'!AU200</f>
        <v>0</v>
      </c>
      <c r="U200" s="138"/>
      <c r="V200" s="7"/>
      <c r="W200" s="140">
        <f>'Review 3'!Q200</f>
        <v>2</v>
      </c>
      <c r="X200" s="140">
        <f>'Review 3'!W200</f>
        <v>3</v>
      </c>
      <c r="Y200" s="140">
        <f>'Review 3'!AC200</f>
        <v>3</v>
      </c>
      <c r="Z200" s="140">
        <f>'Review 3'!AI200</f>
        <v>2.5</v>
      </c>
      <c r="AA200" s="7"/>
      <c r="AB200" s="140">
        <f>'Review 3'!AU200</f>
        <v>2.6666666666666665</v>
      </c>
      <c r="AC200" s="138"/>
      <c r="AD200" s="7"/>
      <c r="AE200" s="140">
        <f>'Review 4'!Q200</f>
        <v>0</v>
      </c>
      <c r="AF200" s="140">
        <f>'Review 4'!W200</f>
        <v>0</v>
      </c>
      <c r="AG200" s="140">
        <f>'Review 4'!AC200</f>
        <v>0</v>
      </c>
      <c r="AH200" s="140">
        <f>'Review 4'!AI200</f>
        <v>0</v>
      </c>
      <c r="AI200" s="140"/>
      <c r="AJ200" s="140">
        <f>'Review 4'!AU200</f>
        <v>0</v>
      </c>
      <c r="AK200" s="138"/>
      <c r="AL200" s="7"/>
      <c r="AM200" s="140">
        <f>'Reflection -1 '!Q200</f>
        <v>2.6666666666666665</v>
      </c>
      <c r="AN200" s="7"/>
      <c r="AO200" s="7"/>
      <c r="AP200" s="7"/>
      <c r="AQ200" s="7"/>
      <c r="AR200" s="7"/>
      <c r="AS200" s="138"/>
      <c r="AT200" s="7"/>
      <c r="AU200" s="140">
        <f>'Reflection -2'!Q200</f>
        <v>1.6666666666666667</v>
      </c>
      <c r="AV200" s="7"/>
      <c r="AW200" s="7"/>
      <c r="AX200" s="7"/>
      <c r="AY200" s="140"/>
      <c r="AZ200" s="7"/>
      <c r="BA200" s="138"/>
      <c r="BB200" s="140"/>
      <c r="BC200" s="140">
        <f>'Reflection -3'!Q200</f>
        <v>0</v>
      </c>
      <c r="BD200" s="140"/>
      <c r="BE200" s="140"/>
      <c r="BF200" s="140"/>
      <c r="BG200" s="140"/>
      <c r="BH200" s="140"/>
      <c r="BI200" s="138"/>
      <c r="BJ200" s="140"/>
      <c r="BK200" s="140">
        <f>'Reflection -3'!Q200</f>
        <v>0</v>
      </c>
      <c r="BL200" s="7"/>
      <c r="BM200" s="140"/>
      <c r="BN200" s="7"/>
      <c r="BO200" s="140"/>
      <c r="BP200" s="140"/>
      <c r="BQ200" s="138"/>
      <c r="BR200" s="140"/>
      <c r="BS200" s="140">
        <f>Capstone!Q201</f>
        <v>2</v>
      </c>
      <c r="BT200" s="140">
        <f>Capstone!W201</f>
        <v>3</v>
      </c>
      <c r="BU200" s="140">
        <f>Capstone!AC201</f>
        <v>3</v>
      </c>
      <c r="BV200" s="140">
        <f>Capstone!AI201</f>
        <v>0</v>
      </c>
      <c r="BW200" s="140">
        <f>Capstone!AO201</f>
        <v>3</v>
      </c>
      <c r="BX200" s="140">
        <f>Capstone!AU201</f>
        <v>3</v>
      </c>
      <c r="BY200" s="138"/>
      <c r="BZ200" s="140"/>
      <c r="CA20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1.5416666666666665</v>
      </c>
      <c r="CB200" s="140">
        <f>IFERROR(AVERAGE(Table110461117[[#This Row],[Column31]],Table110461117[[#This Row],[Column13]],Table110461117[[#This Row],[Column4]],Table110461117[[#This Row],[Column22]],),"A")</f>
        <v>1.8</v>
      </c>
      <c r="CC200" s="140">
        <f>IFERROR(AVERAGE(Table110461117[[#This Row],[Column5]],Table110461117[[#This Row],[Column14]],Table110461117[[#This Row],[Column23]],Table110461117[[#This Row],[Column32]]),"A")</f>
        <v>2.25</v>
      </c>
      <c r="CD200" s="140">
        <f>IFERROR(AVERAGE(Table110461117[[#This Row],[Column6]],Table110461117[[#This Row],[Column15]],Table110461117[[#This Row],[Column24]],Table110461117[[#This Row],[Column33]]),"A")</f>
        <v>2.125</v>
      </c>
      <c r="CE200" s="140"/>
      <c r="CF200" s="140">
        <f>IFERROR(AVERAGE(Table110461117[[#This Row],[Column26]],Table110461117[[#This Row],[Column35]],Table110461117[[#This Row],[Column17]],Table110461117[[#This Row],[Column8]]),"A")</f>
        <v>1.4166666666666665</v>
      </c>
      <c r="CG200" s="138"/>
      <c r="CH200" s="140">
        <f>IFERROR(AVERAGE('Review 1'!AX200,'Review 2'!AX200,'Review 3'!AX200,'Review 4'!AX200,'Reflection -1 '!AX200,'Reflection -2'!AX200,'Reflection -3'!AX200,'Reflection -4'!AX200),"A")</f>
        <v>2</v>
      </c>
      <c r="CI200" s="140">
        <f>IFERROR(AVERAGE('Review 1'!AY200,'Review 2'!AY200,'Review 3'!AY200,'Review 4'!AY200,'Reflection -1 '!AY200,'Reflection -2'!AY200,'Reflection -3'!AY200,'Reflection -4'!AY200,Capstone!AY201),"A")</f>
        <v>0.77777777777777779</v>
      </c>
      <c r="CJ200" s="140">
        <f>IFERROR(AVERAGE('Review 1'!AZ200,'Review 2'!AZ200,'Review 3'!AZ200,'Review 4'!AZ200,'Reflection -1 '!AZ200,'Reflection -2'!AZ200,'Reflection -3'!AZ200,'Reflection -4'!AZ200),"A")</f>
        <v>0.375</v>
      </c>
    </row>
    <row r="201" spans="1:88" s="122" customFormat="1" ht="23.1" customHeight="1" x14ac:dyDescent="0.3">
      <c r="A201" s="137">
        <v>199</v>
      </c>
      <c r="B201" s="62" t="s">
        <v>432</v>
      </c>
      <c r="C201" s="62" t="s">
        <v>433</v>
      </c>
      <c r="D201" s="62" t="s">
        <v>542</v>
      </c>
      <c r="E201" s="62" t="s">
        <v>289</v>
      </c>
      <c r="F201" s="139"/>
      <c r="G201" s="139">
        <f>'Review 1'!Q201</f>
        <v>2.6</v>
      </c>
      <c r="H201" s="139">
        <f>'Review 1'!W201</f>
        <v>4</v>
      </c>
      <c r="I201" s="139">
        <f>'Review 1'!AC201</f>
        <v>3</v>
      </c>
      <c r="J201" s="139">
        <f>'Review 1'!AI201</f>
        <v>3</v>
      </c>
      <c r="K201" s="139"/>
      <c r="L201" s="139">
        <f>'Review 1'!AU201</f>
        <v>3</v>
      </c>
      <c r="M201" s="138"/>
      <c r="N201" s="139"/>
      <c r="O201" s="139">
        <f>'Review 2'!Q201</f>
        <v>2.2000000000000002</v>
      </c>
      <c r="P201" s="139">
        <f>'Review 2'!W201</f>
        <v>2</v>
      </c>
      <c r="Q201" s="139">
        <f>'Review 2'!AC201</f>
        <v>2</v>
      </c>
      <c r="R201" s="139">
        <f>'Review 2'!AI201</f>
        <v>1</v>
      </c>
      <c r="S201" s="139"/>
      <c r="T201" s="139">
        <f>'Review 2'!AU201</f>
        <v>2</v>
      </c>
      <c r="U201" s="138"/>
      <c r="V201" s="62"/>
      <c r="W201" s="139">
        <f>'Review 3'!Q201</f>
        <v>2.2000000000000002</v>
      </c>
      <c r="X201" s="139">
        <f>'Review 3'!W201</f>
        <v>2</v>
      </c>
      <c r="Y201" s="139">
        <f>'Review 3'!AC201</f>
        <v>2</v>
      </c>
      <c r="Z201" s="139">
        <f>'Review 3'!AI201</f>
        <v>2</v>
      </c>
      <c r="AA201" s="62"/>
      <c r="AB201" s="139">
        <f>'Review 3'!AU201</f>
        <v>2</v>
      </c>
      <c r="AC201" s="138"/>
      <c r="AD201" s="62"/>
      <c r="AE201" s="139">
        <f>'Review 4'!Q201</f>
        <v>2</v>
      </c>
      <c r="AF201" s="139">
        <f>'Review 4'!W201</f>
        <v>3</v>
      </c>
      <c r="AG201" s="139">
        <f>'Review 4'!AC201</f>
        <v>2.5</v>
      </c>
      <c r="AH201" s="139">
        <f>'Review 4'!AI201</f>
        <v>3</v>
      </c>
      <c r="AI201" s="139"/>
      <c r="AJ201" s="139">
        <f>'Review 4'!AU201</f>
        <v>4</v>
      </c>
      <c r="AK201" s="138"/>
      <c r="AL201" s="62"/>
      <c r="AM201" s="139">
        <f>'Reflection -1 '!Q201</f>
        <v>3</v>
      </c>
      <c r="AN201" s="62"/>
      <c r="AO201" s="62"/>
      <c r="AP201" s="62"/>
      <c r="AQ201" s="62"/>
      <c r="AR201" s="62"/>
      <c r="AS201" s="138"/>
      <c r="AT201" s="62"/>
      <c r="AU201" s="139">
        <f>'Reflection -2'!Q201</f>
        <v>3.6666666666666665</v>
      </c>
      <c r="AV201" s="62"/>
      <c r="AW201" s="62"/>
      <c r="AX201" s="62"/>
      <c r="AY201" s="139"/>
      <c r="AZ201" s="62"/>
      <c r="BA201" s="138"/>
      <c r="BB201" s="139"/>
      <c r="BC201" s="139">
        <f>'Reflection -3'!Q201</f>
        <v>3</v>
      </c>
      <c r="BD201" s="139"/>
      <c r="BE201" s="139"/>
      <c r="BF201" s="139"/>
      <c r="BG201" s="139"/>
      <c r="BH201" s="139"/>
      <c r="BI201" s="138"/>
      <c r="BJ201" s="139"/>
      <c r="BK201" s="139">
        <f>'Reflection -3'!Q201</f>
        <v>3</v>
      </c>
      <c r="BL201" s="62"/>
      <c r="BM201" s="139"/>
      <c r="BN201" s="62"/>
      <c r="BO201" s="139"/>
      <c r="BP201" s="139"/>
      <c r="BQ201" s="138"/>
      <c r="BR201" s="139"/>
      <c r="BS201" s="139">
        <f>Capstone!Q202</f>
        <v>4</v>
      </c>
      <c r="BT201" s="139">
        <f>Capstone!W202</f>
        <v>4</v>
      </c>
      <c r="BU201" s="139">
        <f>Capstone!AC202</f>
        <v>4</v>
      </c>
      <c r="BV201" s="139">
        <f>Capstone!AI202</f>
        <v>3</v>
      </c>
      <c r="BW201" s="139">
        <f>Capstone!AO202</f>
        <v>3</v>
      </c>
      <c r="BX201" s="139">
        <f>Capstone!AU202</f>
        <v>3</v>
      </c>
      <c r="BY201" s="138"/>
      <c r="BZ201" s="139"/>
      <c r="CA20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2.708333333333333</v>
      </c>
      <c r="CB201" s="139">
        <f>IFERROR(AVERAGE(Table110461117[[#This Row],[Column31]],Table110461117[[#This Row],[Column13]],Table110461117[[#This Row],[Column4]],Table110461117[[#This Row],[Column22]],),"A")</f>
        <v>2.2000000000000002</v>
      </c>
      <c r="CC201" s="139">
        <f>IFERROR(AVERAGE(Table110461117[[#This Row],[Column5]],Table110461117[[#This Row],[Column14]],Table110461117[[#This Row],[Column23]],Table110461117[[#This Row],[Column32]]),"A")</f>
        <v>2.375</v>
      </c>
      <c r="CD201" s="139">
        <f>IFERROR(AVERAGE(Table110461117[[#This Row],[Column6]],Table110461117[[#This Row],[Column15]],Table110461117[[#This Row],[Column24]],Table110461117[[#This Row],[Column33]]),"A")</f>
        <v>2.25</v>
      </c>
      <c r="CE201" s="139"/>
      <c r="CF201" s="139">
        <f>IFERROR(AVERAGE(Table110461117[[#This Row],[Column26]],Table110461117[[#This Row],[Column35]],Table110461117[[#This Row],[Column17]],Table110461117[[#This Row],[Column8]]),"A")</f>
        <v>2.75</v>
      </c>
      <c r="CG201" s="138"/>
      <c r="CH201" s="139">
        <f>IFERROR(AVERAGE('Review 1'!AX201,'Review 2'!AX201,'Review 3'!AX201,'Review 4'!AX201,'Reflection -1 '!AX201,'Reflection -2'!AX201,'Reflection -3'!AX201,'Reflection -4'!AX201),"A")</f>
        <v>2.875</v>
      </c>
      <c r="CI201" s="139">
        <f>IFERROR(AVERAGE('Review 1'!AY201,'Review 2'!AY201,'Review 3'!AY201,'Review 4'!AY201,'Reflection -1 '!AY201,'Reflection -2'!AY201,'Reflection -3'!AY201,'Reflection -4'!AY201,Capstone!AY202),"A")</f>
        <v>2.5555555555555554</v>
      </c>
      <c r="CJ201" s="139">
        <f>IFERROR(AVERAGE('Review 1'!AZ201,'Review 2'!AZ201,'Review 3'!AZ201,'Review 4'!AZ201,'Reflection -1 '!AZ201,'Reflection -2'!AZ201,'Reflection -3'!AZ201,'Reflection -4'!AZ201),"A")</f>
        <v>3</v>
      </c>
    </row>
    <row r="202" spans="1:88" s="122" customFormat="1" ht="23.1" customHeight="1" x14ac:dyDescent="0.3">
      <c r="A202" s="6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140"/>
      <c r="G202" s="140">
        <f>'Review 1'!Q202</f>
        <v>2.6</v>
      </c>
      <c r="H202" s="140">
        <f>'Review 1'!W202</f>
        <v>3</v>
      </c>
      <c r="I202" s="140">
        <f>'Review 1'!AC202</f>
        <v>3</v>
      </c>
      <c r="J202" s="140">
        <f>'Review 1'!AI202</f>
        <v>3</v>
      </c>
      <c r="K202" s="140"/>
      <c r="L202" s="140">
        <f>'Review 1'!AU202</f>
        <v>3</v>
      </c>
      <c r="M202" s="138"/>
      <c r="N202" s="140"/>
      <c r="O202" s="140">
        <f>'Review 2'!Q202</f>
        <v>3.8</v>
      </c>
      <c r="P202" s="140">
        <f>'Review 2'!W202</f>
        <v>3</v>
      </c>
      <c r="Q202" s="140">
        <f>'Review 2'!AC202</f>
        <v>3</v>
      </c>
      <c r="R202" s="140">
        <f>'Review 2'!AI202</f>
        <v>1.5</v>
      </c>
      <c r="S202" s="140"/>
      <c r="T202" s="140">
        <f>'Review 2'!AU202</f>
        <v>2.6666666666666665</v>
      </c>
      <c r="U202" s="138"/>
      <c r="V202" s="7"/>
      <c r="W202" s="140">
        <f>'Review 3'!Q202</f>
        <v>2</v>
      </c>
      <c r="X202" s="140">
        <f>'Review 3'!W202</f>
        <v>2</v>
      </c>
      <c r="Y202" s="140">
        <f>'Review 3'!AC202</f>
        <v>2</v>
      </c>
      <c r="Z202" s="140">
        <f>'Review 3'!AI202</f>
        <v>2</v>
      </c>
      <c r="AA202" s="7"/>
      <c r="AB202" s="140">
        <f>'Review 3'!AU202</f>
        <v>2</v>
      </c>
      <c r="AC202" s="138"/>
      <c r="AD202" s="7"/>
      <c r="AE202" s="140">
        <f>'Review 4'!Q202</f>
        <v>1.4</v>
      </c>
      <c r="AF202" s="140">
        <f>'Review 4'!W202</f>
        <v>1.6666666666666667</v>
      </c>
      <c r="AG202" s="140">
        <f>'Review 4'!AC202</f>
        <v>1.5</v>
      </c>
      <c r="AH202" s="140">
        <f>'Review 4'!AI202</f>
        <v>1</v>
      </c>
      <c r="AI202" s="140"/>
      <c r="AJ202" s="140">
        <f>'Review 4'!AU202</f>
        <v>3.6666666666666665</v>
      </c>
      <c r="AK202" s="138"/>
      <c r="AL202" s="7"/>
      <c r="AM202" s="140">
        <f>'Reflection -1 '!Q202</f>
        <v>3</v>
      </c>
      <c r="AN202" s="7"/>
      <c r="AO202" s="7"/>
      <c r="AP202" s="7"/>
      <c r="AQ202" s="7"/>
      <c r="AR202" s="7"/>
      <c r="AS202" s="138"/>
      <c r="AT202" s="7"/>
      <c r="AU202" s="140">
        <f>'Reflection -2'!Q202</f>
        <v>2</v>
      </c>
      <c r="AV202" s="7"/>
      <c r="AW202" s="7"/>
      <c r="AX202" s="7"/>
      <c r="AY202" s="140"/>
      <c r="AZ202" s="7"/>
      <c r="BA202" s="138"/>
      <c r="BB202" s="140"/>
      <c r="BC202" s="140">
        <f>'Reflection -3'!Q202</f>
        <v>3.3333333333333335</v>
      </c>
      <c r="BD202" s="140"/>
      <c r="BE202" s="140"/>
      <c r="BF202" s="140"/>
      <c r="BG202" s="140"/>
      <c r="BH202" s="140"/>
      <c r="BI202" s="138"/>
      <c r="BJ202" s="140"/>
      <c r="BK202" s="140">
        <f>'Reflection -3'!Q202</f>
        <v>3.3333333333333335</v>
      </c>
      <c r="BL202" s="7"/>
      <c r="BM202" s="140"/>
      <c r="BN202" s="7"/>
      <c r="BO202" s="140"/>
      <c r="BP202" s="140"/>
      <c r="BQ202" s="138"/>
      <c r="BR202" s="140"/>
      <c r="BS202" s="140">
        <f>Capstone!Q203</f>
        <v>3</v>
      </c>
      <c r="BT202" s="140">
        <f>Capstone!W203</f>
        <v>3</v>
      </c>
      <c r="BU202" s="140">
        <f>Capstone!AC203</f>
        <v>3</v>
      </c>
      <c r="BV202" s="140">
        <f>Capstone!AI203</f>
        <v>3</v>
      </c>
      <c r="BW202" s="140">
        <f>Capstone!AO203</f>
        <v>3</v>
      </c>
      <c r="BX202" s="140">
        <f>Capstone!AU203</f>
        <v>3</v>
      </c>
      <c r="BY202" s="138"/>
      <c r="BZ202" s="140"/>
      <c r="CA20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2.6833333333333336</v>
      </c>
      <c r="CB202" s="140">
        <f>IFERROR(AVERAGE(Table110461117[[#This Row],[Column31]],Table110461117[[#This Row],[Column13]],Table110461117[[#This Row],[Column4]],Table110461117[[#This Row],[Column22]],),"A")</f>
        <v>1.9333333333333336</v>
      </c>
      <c r="CC202" s="140">
        <f>IFERROR(AVERAGE(Table110461117[[#This Row],[Column5]],Table110461117[[#This Row],[Column14]],Table110461117[[#This Row],[Column23]],Table110461117[[#This Row],[Column32]]),"A")</f>
        <v>2.375</v>
      </c>
      <c r="CD202" s="140">
        <f>IFERROR(AVERAGE(Table110461117[[#This Row],[Column6]],Table110461117[[#This Row],[Column15]],Table110461117[[#This Row],[Column24]],Table110461117[[#This Row],[Column33]]),"A")</f>
        <v>1.875</v>
      </c>
      <c r="CE202" s="140"/>
      <c r="CF202" s="140">
        <f>IFERROR(AVERAGE(Table110461117[[#This Row],[Column26]],Table110461117[[#This Row],[Column35]],Table110461117[[#This Row],[Column17]],Table110461117[[#This Row],[Column8]]),"A")</f>
        <v>2.833333333333333</v>
      </c>
      <c r="CG202" s="138"/>
      <c r="CH202" s="140">
        <f>IFERROR(AVERAGE('Review 1'!AX202,'Review 2'!AX202,'Review 3'!AX202,'Review 4'!AX202,'Reflection -1 '!AX202,'Reflection -2'!AX202,'Reflection -3'!AX202,'Reflection -4'!AX202),"A")</f>
        <v>3.25</v>
      </c>
      <c r="CI202" s="140">
        <f>IFERROR(AVERAGE('Review 1'!AY202,'Review 2'!AY202,'Review 3'!AY202,'Review 4'!AY202,'Reflection -1 '!AY202,'Reflection -2'!AY202,'Reflection -3'!AY202,'Reflection -4'!AY202,Capstone!AY203),"A")</f>
        <v>2.3333333333333335</v>
      </c>
      <c r="CJ202" s="140">
        <f>IFERROR(AVERAGE('Review 1'!AZ202,'Review 2'!AZ202,'Review 3'!AZ202,'Review 4'!AZ202,'Reflection -1 '!AZ202,'Reflection -2'!AZ202,'Reflection -3'!AZ202,'Reflection -4'!AZ202),"A")</f>
        <v>2.625</v>
      </c>
    </row>
    <row r="203" spans="1:88" s="122" customFormat="1" ht="23.1" customHeight="1" x14ac:dyDescent="0.3">
      <c r="A203" s="137">
        <v>201</v>
      </c>
      <c r="B203" s="62" t="s">
        <v>436</v>
      </c>
      <c r="C203" s="62" t="s">
        <v>437</v>
      </c>
      <c r="D203" s="62" t="s">
        <v>450</v>
      </c>
      <c r="E203" s="62" t="s">
        <v>493</v>
      </c>
      <c r="F203" s="139"/>
      <c r="G203" s="139">
        <f>'Review 1'!Q203</f>
        <v>2.6</v>
      </c>
      <c r="H203" s="139">
        <f>'Review 1'!W203</f>
        <v>2</v>
      </c>
      <c r="I203" s="139">
        <f>'Review 1'!AC203</f>
        <v>2</v>
      </c>
      <c r="J203" s="139">
        <f>'Review 1'!AI203</f>
        <v>2.5</v>
      </c>
      <c r="K203" s="139"/>
      <c r="L203" s="139">
        <f>'Review 1'!AU203</f>
        <v>3</v>
      </c>
      <c r="M203" s="138"/>
      <c r="N203" s="139"/>
      <c r="O203" s="139">
        <f>'Review 2'!Q203</f>
        <v>3</v>
      </c>
      <c r="P203" s="139">
        <f>'Review 2'!W203</f>
        <v>2</v>
      </c>
      <c r="Q203" s="139">
        <f>'Review 2'!AC203</f>
        <v>2</v>
      </c>
      <c r="R203" s="139">
        <f>'Review 2'!AI203</f>
        <v>1</v>
      </c>
      <c r="S203" s="139"/>
      <c r="T203" s="139">
        <f>'Review 2'!AU203</f>
        <v>2</v>
      </c>
      <c r="U203" s="138"/>
      <c r="V203" s="62"/>
      <c r="W203" s="139">
        <f>'Review 3'!Q203</f>
        <v>3</v>
      </c>
      <c r="X203" s="139">
        <f>'Review 3'!W203</f>
        <v>2.6666666666666665</v>
      </c>
      <c r="Y203" s="139">
        <f>'Review 3'!AC203</f>
        <v>1.5</v>
      </c>
      <c r="Z203" s="139">
        <f>'Review 3'!AI203</f>
        <v>2.5</v>
      </c>
      <c r="AA203" s="62"/>
      <c r="AB203" s="139">
        <f>'Review 3'!AU203</f>
        <v>2.3333333333333335</v>
      </c>
      <c r="AC203" s="138"/>
      <c r="AD203" s="62"/>
      <c r="AE203" s="139">
        <f>'Review 4'!Q203</f>
        <v>3</v>
      </c>
      <c r="AF203" s="139">
        <f>'Review 4'!W203</f>
        <v>1.3333333333333333</v>
      </c>
      <c r="AG203" s="139">
        <f>'Review 4'!AC203</f>
        <v>1</v>
      </c>
      <c r="AH203" s="139">
        <f>'Review 4'!AI203</f>
        <v>1</v>
      </c>
      <c r="AI203" s="139"/>
      <c r="AJ203" s="139">
        <f>'Review 4'!AU203</f>
        <v>1</v>
      </c>
      <c r="AK203" s="138"/>
      <c r="AL203" s="62"/>
      <c r="AM203" s="139">
        <f>'Reflection -1 '!Q203</f>
        <v>3</v>
      </c>
      <c r="AN203" s="62"/>
      <c r="AO203" s="62"/>
      <c r="AP203" s="62"/>
      <c r="AQ203" s="62"/>
      <c r="AR203" s="62"/>
      <c r="AS203" s="138"/>
      <c r="AT203" s="62"/>
      <c r="AU203" s="139">
        <f>'Reflection -2'!Q203</f>
        <v>3.3333333333333335</v>
      </c>
      <c r="AV203" s="62"/>
      <c r="AW203" s="62"/>
      <c r="AX203" s="62"/>
      <c r="AY203" s="139"/>
      <c r="AZ203" s="62"/>
      <c r="BA203" s="138"/>
      <c r="BB203" s="139"/>
      <c r="BC203" s="139">
        <f>'Reflection -3'!Q203</f>
        <v>2</v>
      </c>
      <c r="BD203" s="139"/>
      <c r="BE203" s="139"/>
      <c r="BF203" s="139"/>
      <c r="BG203" s="139"/>
      <c r="BH203" s="139"/>
      <c r="BI203" s="138"/>
      <c r="BJ203" s="139"/>
      <c r="BK203" s="139">
        <f>'Reflection -3'!Q203</f>
        <v>2</v>
      </c>
      <c r="BL203" s="62"/>
      <c r="BM203" s="139"/>
      <c r="BN203" s="62"/>
      <c r="BO203" s="139"/>
      <c r="BP203" s="139"/>
      <c r="BQ203" s="138"/>
      <c r="BR203" s="139"/>
      <c r="BS203" s="139">
        <f>Capstone!Q204</f>
        <v>2.8333333333333335</v>
      </c>
      <c r="BT203" s="139">
        <f>Capstone!W204</f>
        <v>3</v>
      </c>
      <c r="BU203" s="139">
        <f>Capstone!AC204</f>
        <v>3</v>
      </c>
      <c r="BV203" s="139">
        <f>Capstone!AI204</f>
        <v>1</v>
      </c>
      <c r="BW203" s="139">
        <f>Capstone!AO204</f>
        <v>2</v>
      </c>
      <c r="BX203" s="139">
        <f>Capstone!AU204</f>
        <v>3</v>
      </c>
      <c r="BY203" s="138"/>
      <c r="BZ203" s="139"/>
      <c r="CA20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2.7416666666666667</v>
      </c>
      <c r="CB203" s="139">
        <f>IFERROR(AVERAGE(Table110461117[[#This Row],[Column31]],Table110461117[[#This Row],[Column13]],Table110461117[[#This Row],[Column4]],Table110461117[[#This Row],[Column22]],),"A")</f>
        <v>1.6</v>
      </c>
      <c r="CC203" s="139">
        <f>IFERROR(AVERAGE(Table110461117[[#This Row],[Column5]],Table110461117[[#This Row],[Column14]],Table110461117[[#This Row],[Column23]],Table110461117[[#This Row],[Column32]]),"A")</f>
        <v>1.625</v>
      </c>
      <c r="CD203" s="139">
        <f>IFERROR(AVERAGE(Table110461117[[#This Row],[Column6]],Table110461117[[#This Row],[Column15]],Table110461117[[#This Row],[Column24]],Table110461117[[#This Row],[Column33]]),"A")</f>
        <v>1.75</v>
      </c>
      <c r="CE203" s="139"/>
      <c r="CF203" s="139">
        <f>IFERROR(AVERAGE(Table110461117[[#This Row],[Column26]],Table110461117[[#This Row],[Column35]],Table110461117[[#This Row],[Column17]],Table110461117[[#This Row],[Column8]]),"A")</f>
        <v>2.0833333333333335</v>
      </c>
      <c r="CG203" s="138"/>
      <c r="CH203" s="139">
        <f>IFERROR(AVERAGE('Review 1'!AX203,'Review 2'!AX203,'Review 3'!AX203,'Review 4'!AX203,'Reflection -1 '!AX203,'Reflection -2'!AX203,'Reflection -3'!AX203,'Reflection -4'!AX203),"A")</f>
        <v>2.375</v>
      </c>
      <c r="CI203" s="139">
        <f>IFERROR(AVERAGE('Review 1'!AY203,'Review 2'!AY203,'Review 3'!AY203,'Review 4'!AY203,'Reflection -1 '!AY203,'Reflection -2'!AY203,'Reflection -3'!AY203,'Reflection -4'!AY203,Capstone!AY204),"A")</f>
        <v>2.2222222222222223</v>
      </c>
      <c r="CJ203" s="139">
        <f>IFERROR(AVERAGE('Review 1'!AZ203,'Review 2'!AZ203,'Review 3'!AZ203,'Review 4'!AZ203,'Reflection -1 '!AZ203,'Reflection -2'!AZ203,'Reflection -3'!AZ203,'Reflection -4'!AZ203),"A")</f>
        <v>1.75</v>
      </c>
    </row>
    <row r="204" spans="1:88" s="122" customFormat="1" ht="23.1" customHeight="1" x14ac:dyDescent="0.3">
      <c r="A204" s="6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140"/>
      <c r="G204" s="140">
        <f>'Review 1'!Q204</f>
        <v>2.4</v>
      </c>
      <c r="H204" s="140">
        <f>'Review 1'!W204</f>
        <v>2.6666666666666665</v>
      </c>
      <c r="I204" s="140">
        <f>'Review 1'!AC204</f>
        <v>3</v>
      </c>
      <c r="J204" s="140">
        <f>'Review 1'!AI204</f>
        <v>3</v>
      </c>
      <c r="K204" s="140"/>
      <c r="L204" s="140">
        <f>'Review 1'!AU204</f>
        <v>3</v>
      </c>
      <c r="M204" s="138"/>
      <c r="N204" s="140"/>
      <c r="O204" s="140">
        <f>'Review 2'!Q204</f>
        <v>2.4</v>
      </c>
      <c r="P204" s="140">
        <f>'Review 2'!W204</f>
        <v>2</v>
      </c>
      <c r="Q204" s="140">
        <f>'Review 2'!AC204</f>
        <v>2</v>
      </c>
      <c r="R204" s="140">
        <f>'Review 2'!AI204</f>
        <v>1</v>
      </c>
      <c r="S204" s="140"/>
      <c r="T204" s="140">
        <f>'Review 2'!AU204</f>
        <v>2</v>
      </c>
      <c r="U204" s="138"/>
      <c r="V204" s="7"/>
      <c r="W204" s="140">
        <f>'Review 3'!Q204</f>
        <v>2.6</v>
      </c>
      <c r="X204" s="140">
        <f>'Review 3'!W204</f>
        <v>0</v>
      </c>
      <c r="Y204" s="140">
        <f>'Review 3'!AC204</f>
        <v>0</v>
      </c>
      <c r="Z204" s="140">
        <f>'Review 3'!AI204</f>
        <v>0</v>
      </c>
      <c r="AA204" s="7"/>
      <c r="AB204" s="140">
        <f>'Review 3'!AU204</f>
        <v>0</v>
      </c>
      <c r="AC204" s="138"/>
      <c r="AD204" s="7"/>
      <c r="AE204" s="140">
        <f>'Review 4'!Q204</f>
        <v>3</v>
      </c>
      <c r="AF204" s="140">
        <f>'Review 4'!W204</f>
        <v>2.3333333333333335</v>
      </c>
      <c r="AG204" s="140">
        <f>'Review 4'!AC204</f>
        <v>2.5</v>
      </c>
      <c r="AH204" s="140">
        <f>'Review 4'!AI204</f>
        <v>5</v>
      </c>
      <c r="AI204" s="140"/>
      <c r="AJ204" s="140">
        <f>'Review 4'!AU204</f>
        <v>4.333333333333333</v>
      </c>
      <c r="AK204" s="138"/>
      <c r="AL204" s="7"/>
      <c r="AM204" s="140">
        <f>'Reflection -1 '!Q204</f>
        <v>2.6666666666666665</v>
      </c>
      <c r="AN204" s="7"/>
      <c r="AO204" s="7"/>
      <c r="AP204" s="7"/>
      <c r="AQ204" s="7"/>
      <c r="AR204" s="7"/>
      <c r="AS204" s="138"/>
      <c r="AT204" s="7"/>
      <c r="AU204" s="140">
        <f>'Reflection -2'!Q204</f>
        <v>3.6666666666666665</v>
      </c>
      <c r="AV204" s="7"/>
      <c r="AW204" s="7"/>
      <c r="AX204" s="7"/>
      <c r="AY204" s="140"/>
      <c r="AZ204" s="7"/>
      <c r="BA204" s="138"/>
      <c r="BB204" s="140"/>
      <c r="BC204" s="140">
        <f>'Reflection -3'!Q204</f>
        <v>2</v>
      </c>
      <c r="BD204" s="140"/>
      <c r="BE204" s="140"/>
      <c r="BF204" s="140"/>
      <c r="BG204" s="140"/>
      <c r="BH204" s="140"/>
      <c r="BI204" s="138"/>
      <c r="BJ204" s="140"/>
      <c r="BK204" s="140">
        <f>'Reflection -3'!Q204</f>
        <v>2</v>
      </c>
      <c r="BL204" s="7"/>
      <c r="BM204" s="140"/>
      <c r="BN204" s="7"/>
      <c r="BO204" s="140"/>
      <c r="BP204" s="140"/>
      <c r="BQ204" s="138"/>
      <c r="BR204" s="140"/>
      <c r="BS204" s="140">
        <f>Capstone!Q205</f>
        <v>3.3333333333333335</v>
      </c>
      <c r="BT204" s="140">
        <f>Capstone!W205</f>
        <v>2</v>
      </c>
      <c r="BU204" s="140">
        <f>Capstone!AC205</f>
        <v>2</v>
      </c>
      <c r="BV204" s="140">
        <f>Capstone!AI205</f>
        <v>3</v>
      </c>
      <c r="BW204" s="140">
        <f>Capstone!AO205</f>
        <v>2</v>
      </c>
      <c r="BX204" s="140">
        <f>Capstone!AU205</f>
        <v>2</v>
      </c>
      <c r="BY204" s="138"/>
      <c r="BZ204" s="140"/>
      <c r="CA20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2.5916666666666668</v>
      </c>
      <c r="CB204" s="140">
        <f>IFERROR(AVERAGE(Table110461117[[#This Row],[Column31]],Table110461117[[#This Row],[Column13]],Table110461117[[#This Row],[Column4]],Table110461117[[#This Row],[Column22]],),"A")</f>
        <v>1.4</v>
      </c>
      <c r="CC204" s="140">
        <f>IFERROR(AVERAGE(Table110461117[[#This Row],[Column5]],Table110461117[[#This Row],[Column14]],Table110461117[[#This Row],[Column23]],Table110461117[[#This Row],[Column32]]),"A")</f>
        <v>1.875</v>
      </c>
      <c r="CD204" s="140">
        <f>IFERROR(AVERAGE(Table110461117[[#This Row],[Column6]],Table110461117[[#This Row],[Column15]],Table110461117[[#This Row],[Column24]],Table110461117[[#This Row],[Column33]]),"A")</f>
        <v>2.25</v>
      </c>
      <c r="CE204" s="140"/>
      <c r="CF204" s="140">
        <f>IFERROR(AVERAGE(Table110461117[[#This Row],[Column26]],Table110461117[[#This Row],[Column35]],Table110461117[[#This Row],[Column17]],Table110461117[[#This Row],[Column8]]),"A")</f>
        <v>2.333333333333333</v>
      </c>
      <c r="CG204" s="138"/>
      <c r="CH204" s="140">
        <f>IFERROR(AVERAGE('Review 1'!AX204,'Review 2'!AX204,'Review 3'!AX204,'Review 4'!AX204,'Reflection -1 '!AX204,'Reflection -2'!AX204,'Reflection -3'!AX204,'Reflection -4'!AX204),"A")</f>
        <v>3</v>
      </c>
      <c r="CI204" s="140">
        <f>IFERROR(AVERAGE('Review 1'!AY204,'Review 2'!AY204,'Review 3'!AY204,'Review 4'!AY204,'Reflection -1 '!AY204,'Reflection -2'!AY204,'Reflection -3'!AY204,'Reflection -4'!AY204,Capstone!AY205),"A")</f>
        <v>2.3333333333333335</v>
      </c>
      <c r="CJ204" s="140">
        <f>IFERROR(AVERAGE('Review 1'!AZ204,'Review 2'!AZ204,'Review 3'!AZ204,'Review 4'!AZ204,'Reflection -1 '!AZ204,'Reflection -2'!AZ204,'Reflection -3'!AZ204,'Reflection -4'!AZ204),"A")</f>
        <v>2.25</v>
      </c>
    </row>
    <row r="205" spans="1:88" s="122" customFormat="1" ht="23.1" customHeight="1" x14ac:dyDescent="0.3">
      <c r="A205" s="137">
        <v>203</v>
      </c>
      <c r="B205" s="62" t="s">
        <v>440</v>
      </c>
      <c r="C205" s="62" t="s">
        <v>441</v>
      </c>
      <c r="D205" s="62" t="s">
        <v>450</v>
      </c>
      <c r="E205" s="62" t="s">
        <v>289</v>
      </c>
      <c r="F205" s="139"/>
      <c r="G205" s="139">
        <f>'Review 1'!Q205</f>
        <v>2.2000000000000002</v>
      </c>
      <c r="H205" s="139">
        <f>'Review 1'!W205</f>
        <v>2.6666666666666665</v>
      </c>
      <c r="I205" s="139">
        <f>'Review 1'!AC205</f>
        <v>3</v>
      </c>
      <c r="J205" s="139">
        <f>'Review 1'!AI205</f>
        <v>3</v>
      </c>
      <c r="K205" s="139"/>
      <c r="L205" s="139">
        <f>'Review 1'!AU205</f>
        <v>3</v>
      </c>
      <c r="M205" s="138"/>
      <c r="N205" s="139"/>
      <c r="O205" s="139">
        <f>'Review 2'!Q205</f>
        <v>3.8</v>
      </c>
      <c r="P205" s="139">
        <f>'Review 2'!W205</f>
        <v>3</v>
      </c>
      <c r="Q205" s="139">
        <f>'Review 2'!AC205</f>
        <v>3</v>
      </c>
      <c r="R205" s="139">
        <f>'Review 2'!AI205</f>
        <v>1.5</v>
      </c>
      <c r="S205" s="139"/>
      <c r="T205" s="139">
        <f>'Review 2'!AU205</f>
        <v>2</v>
      </c>
      <c r="U205" s="138"/>
      <c r="V205" s="62"/>
      <c r="W205" s="139">
        <f>'Review 3'!Q205</f>
        <v>2.2000000000000002</v>
      </c>
      <c r="X205" s="139">
        <f>'Review 3'!W205</f>
        <v>2</v>
      </c>
      <c r="Y205" s="139">
        <f>'Review 3'!AC205</f>
        <v>2</v>
      </c>
      <c r="Z205" s="139">
        <f>'Review 3'!AI205</f>
        <v>2</v>
      </c>
      <c r="AA205" s="62"/>
      <c r="AB205" s="139">
        <f>'Review 3'!AU205</f>
        <v>2</v>
      </c>
      <c r="AC205" s="138"/>
      <c r="AD205" s="62"/>
      <c r="AE205" s="139">
        <f>'Review 4'!Q205</f>
        <v>3.8</v>
      </c>
      <c r="AF205" s="139">
        <f>'Review 4'!W205</f>
        <v>3</v>
      </c>
      <c r="AG205" s="139">
        <f>'Review 4'!AC205</f>
        <v>3</v>
      </c>
      <c r="AH205" s="139">
        <f>'Review 4'!AI205</f>
        <v>5</v>
      </c>
      <c r="AI205" s="139"/>
      <c r="AJ205" s="139">
        <f>'Review 4'!AU205</f>
        <v>3.6666666666666665</v>
      </c>
      <c r="AK205" s="138"/>
      <c r="AL205" s="62"/>
      <c r="AM205" s="139">
        <f>'Reflection -1 '!Q205</f>
        <v>2</v>
      </c>
      <c r="AN205" s="62"/>
      <c r="AO205" s="62"/>
      <c r="AP205" s="62"/>
      <c r="AQ205" s="62"/>
      <c r="AR205" s="62"/>
      <c r="AS205" s="138"/>
      <c r="AT205" s="62"/>
      <c r="AU205" s="139">
        <f>'Reflection -2'!Q205</f>
        <v>2</v>
      </c>
      <c r="AV205" s="62"/>
      <c r="AW205" s="62"/>
      <c r="AX205" s="62"/>
      <c r="AY205" s="139"/>
      <c r="AZ205" s="62"/>
      <c r="BA205" s="138"/>
      <c r="BB205" s="139"/>
      <c r="BC205" s="139">
        <f>'Reflection -3'!Q205</f>
        <v>2</v>
      </c>
      <c r="BD205" s="139"/>
      <c r="BE205" s="139"/>
      <c r="BF205" s="139"/>
      <c r="BG205" s="139"/>
      <c r="BH205" s="139"/>
      <c r="BI205" s="138"/>
      <c r="BJ205" s="139"/>
      <c r="BK205" s="139">
        <f>'Reflection -3'!Q205</f>
        <v>2</v>
      </c>
      <c r="BL205" s="62"/>
      <c r="BM205" s="139"/>
      <c r="BN205" s="62"/>
      <c r="BO205" s="139"/>
      <c r="BP205" s="139"/>
      <c r="BQ205" s="138"/>
      <c r="BR205" s="139"/>
      <c r="BS205" s="139">
        <f>Capstone!Q206</f>
        <v>3.6666666666666665</v>
      </c>
      <c r="BT205" s="139">
        <f>Capstone!W206</f>
        <v>4</v>
      </c>
      <c r="BU205" s="139">
        <f>Capstone!AC206</f>
        <v>4</v>
      </c>
      <c r="BV205" s="139">
        <f>Capstone!AI206</f>
        <v>3</v>
      </c>
      <c r="BW205" s="139">
        <f>Capstone!AO206</f>
        <v>4</v>
      </c>
      <c r="BX205" s="139">
        <f>Capstone!AU206</f>
        <v>4</v>
      </c>
      <c r="BY205" s="138"/>
      <c r="BZ205" s="139"/>
      <c r="CA20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</v>
      </c>
      <c r="CB205" s="139">
        <f>IFERROR(AVERAGE(Table110461117[[#This Row],[Column31]],Table110461117[[#This Row],[Column13]],Table110461117[[#This Row],[Column4]],Table110461117[[#This Row],[Column22]],),"A")</f>
        <v>2.1333333333333333</v>
      </c>
      <c r="CC205" s="139">
        <f>IFERROR(AVERAGE(Table110461117[[#This Row],[Column5]],Table110461117[[#This Row],[Column14]],Table110461117[[#This Row],[Column23]],Table110461117[[#This Row],[Column32]]),"A")</f>
        <v>2.75</v>
      </c>
      <c r="CD205" s="139">
        <f>IFERROR(AVERAGE(Table110461117[[#This Row],[Column6]],Table110461117[[#This Row],[Column15]],Table110461117[[#This Row],[Column24]],Table110461117[[#This Row],[Column33]]),"A")</f>
        <v>2.875</v>
      </c>
      <c r="CE205" s="139"/>
      <c r="CF205" s="139">
        <f>IFERROR(AVERAGE(Table110461117[[#This Row],[Column26]],Table110461117[[#This Row],[Column35]],Table110461117[[#This Row],[Column17]],Table110461117[[#This Row],[Column8]]),"A")</f>
        <v>2.6666666666666665</v>
      </c>
      <c r="CG205" s="138"/>
      <c r="CH205" s="139">
        <f>IFERROR(AVERAGE('Review 1'!AX205,'Review 2'!AX205,'Review 3'!AX205,'Review 4'!AX205,'Reflection -1 '!AX205,'Reflection -2'!AX205,'Reflection -3'!AX205,'Reflection -4'!AX205),"A")</f>
        <v>2.5</v>
      </c>
      <c r="CI205" s="139">
        <f>IFERROR(AVERAGE('Review 1'!AY205,'Review 2'!AY205,'Review 3'!AY205,'Review 4'!AY205,'Reflection -1 '!AY205,'Reflection -2'!AY205,'Reflection -3'!AY205,'Reflection -4'!AY205,Capstone!AY206),"A")</f>
        <v>2.6666666666666665</v>
      </c>
      <c r="CJ205" s="139">
        <f>IFERROR(AVERAGE('Review 1'!AZ205,'Review 2'!AZ205,'Review 3'!AZ205,'Review 4'!AZ205,'Reflection -1 '!AZ205,'Reflection -2'!AZ205,'Reflection -3'!AZ205,'Reflection -4'!AZ205),"A")</f>
        <v>2.625</v>
      </c>
    </row>
    <row r="206" spans="1:88" s="122" customFormat="1" ht="23.1" customHeight="1" x14ac:dyDescent="0.3">
      <c r="A206" s="6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140"/>
      <c r="G206" s="140">
        <f>'Review 1'!Q206</f>
        <v>3.8</v>
      </c>
      <c r="H206" s="140">
        <f>'Review 1'!W206</f>
        <v>3</v>
      </c>
      <c r="I206" s="140">
        <f>'Review 1'!AC206</f>
        <v>3</v>
      </c>
      <c r="J206" s="140">
        <f>'Review 1'!AI206</f>
        <v>3</v>
      </c>
      <c r="K206" s="140"/>
      <c r="L206" s="140">
        <f>'Review 1'!AU206</f>
        <v>3</v>
      </c>
      <c r="M206" s="138"/>
      <c r="N206" s="140"/>
      <c r="O206" s="140">
        <f>'Review 2'!Q206</f>
        <v>3</v>
      </c>
      <c r="P206" s="140">
        <f>'Review 2'!W206</f>
        <v>2</v>
      </c>
      <c r="Q206" s="140">
        <f>'Review 2'!AC206</f>
        <v>2</v>
      </c>
      <c r="R206" s="140">
        <f>'Review 2'!AI206</f>
        <v>1</v>
      </c>
      <c r="S206" s="140"/>
      <c r="T206" s="140">
        <f>'Review 2'!AU206</f>
        <v>2</v>
      </c>
      <c r="U206" s="138"/>
      <c r="V206" s="7"/>
      <c r="W206" s="140">
        <f>'Review 3'!Q206</f>
        <v>2</v>
      </c>
      <c r="X206" s="140">
        <f>'Review 3'!W206</f>
        <v>2</v>
      </c>
      <c r="Y206" s="140">
        <f>'Review 3'!AC206</f>
        <v>2</v>
      </c>
      <c r="Z206" s="140">
        <f>'Review 3'!AI206</f>
        <v>2</v>
      </c>
      <c r="AA206" s="7"/>
      <c r="AB206" s="140">
        <f>'Review 3'!AU206</f>
        <v>2</v>
      </c>
      <c r="AC206" s="138"/>
      <c r="AD206" s="7"/>
      <c r="AE206" s="140">
        <f>'Review 4'!Q206</f>
        <v>3.4</v>
      </c>
      <c r="AF206" s="140">
        <f>'Review 4'!W206</f>
        <v>4.333333333333333</v>
      </c>
      <c r="AG206" s="140">
        <f>'Review 4'!AC206</f>
        <v>4</v>
      </c>
      <c r="AH206" s="140">
        <f>'Review 4'!AI206</f>
        <v>5</v>
      </c>
      <c r="AI206" s="140"/>
      <c r="AJ206" s="140">
        <f>'Review 4'!AU206</f>
        <v>5</v>
      </c>
      <c r="AK206" s="138"/>
      <c r="AL206" s="7"/>
      <c r="AM206" s="140">
        <f>'Reflection -1 '!Q206</f>
        <v>2.6666666666666665</v>
      </c>
      <c r="AN206" s="7"/>
      <c r="AO206" s="7"/>
      <c r="AP206" s="7"/>
      <c r="AQ206" s="7"/>
      <c r="AR206" s="7"/>
      <c r="AS206" s="138"/>
      <c r="AT206" s="7"/>
      <c r="AU206" s="140">
        <f>'Reflection -2'!Q206</f>
        <v>3.3333333333333335</v>
      </c>
      <c r="AV206" s="7"/>
      <c r="AW206" s="7"/>
      <c r="AX206" s="7"/>
      <c r="AY206" s="140"/>
      <c r="AZ206" s="7"/>
      <c r="BA206" s="138"/>
      <c r="BB206" s="140"/>
      <c r="BC206" s="140">
        <f>'Reflection -3'!Q206</f>
        <v>2.6666666666666665</v>
      </c>
      <c r="BD206" s="140"/>
      <c r="BE206" s="140"/>
      <c r="BF206" s="140"/>
      <c r="BG206" s="140"/>
      <c r="BH206" s="140"/>
      <c r="BI206" s="138"/>
      <c r="BJ206" s="140"/>
      <c r="BK206" s="140">
        <f>'Reflection -3'!Q206</f>
        <v>2.6666666666666665</v>
      </c>
      <c r="BL206" s="7"/>
      <c r="BM206" s="140"/>
      <c r="BN206" s="7"/>
      <c r="BO206" s="140"/>
      <c r="BP206" s="140"/>
      <c r="BQ206" s="138"/>
      <c r="BR206" s="140"/>
      <c r="BS206" s="140">
        <f>Capstone!Q207</f>
        <v>3.6666666666666665</v>
      </c>
      <c r="BT206" s="140">
        <f>Capstone!W207</f>
        <v>4</v>
      </c>
      <c r="BU206" s="140">
        <f>Capstone!AC207</f>
        <v>4</v>
      </c>
      <c r="BV206" s="140">
        <f>Capstone!AI207</f>
        <v>4</v>
      </c>
      <c r="BW206" s="140">
        <f>Capstone!AO207</f>
        <v>2</v>
      </c>
      <c r="BX206" s="140">
        <f>Capstone!AU207</f>
        <v>4</v>
      </c>
      <c r="BY206" s="138"/>
      <c r="BZ206" s="140"/>
      <c r="CA20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2.9416666666666664</v>
      </c>
      <c r="CB206" s="140">
        <f>IFERROR(AVERAGE(Table110461117[[#This Row],[Column31]],Table110461117[[#This Row],[Column13]],Table110461117[[#This Row],[Column4]],Table110461117[[#This Row],[Column22]],),"A")</f>
        <v>2.2666666666666666</v>
      </c>
      <c r="CC206" s="140">
        <f>IFERROR(AVERAGE(Table110461117[[#This Row],[Column5]],Table110461117[[#This Row],[Column14]],Table110461117[[#This Row],[Column23]],Table110461117[[#This Row],[Column32]]),"A")</f>
        <v>2.75</v>
      </c>
      <c r="CD206" s="140">
        <f>IFERROR(AVERAGE(Table110461117[[#This Row],[Column6]],Table110461117[[#This Row],[Column15]],Table110461117[[#This Row],[Column24]],Table110461117[[#This Row],[Column33]]),"A")</f>
        <v>2.75</v>
      </c>
      <c r="CE206" s="140"/>
      <c r="CF206" s="140">
        <f>IFERROR(AVERAGE(Table110461117[[#This Row],[Column26]],Table110461117[[#This Row],[Column35]],Table110461117[[#This Row],[Column17]],Table110461117[[#This Row],[Column8]]),"A")</f>
        <v>3</v>
      </c>
      <c r="CG206" s="138"/>
      <c r="CH206" s="140">
        <f>IFERROR(AVERAGE('Review 1'!AX206,'Review 2'!AX206,'Review 3'!AX206,'Review 4'!AX206,'Reflection -1 '!AX206,'Reflection -2'!AX206,'Reflection -3'!AX206,'Reflection -4'!AX206),"A")</f>
        <v>3.5</v>
      </c>
      <c r="CI206" s="140">
        <f>IFERROR(AVERAGE('Review 1'!AY206,'Review 2'!AY206,'Review 3'!AY206,'Review 4'!AY206,'Reflection -1 '!AY206,'Reflection -2'!AY206,'Reflection -3'!AY206,'Reflection -4'!AY206,Capstone!AY207),"A")</f>
        <v>2.7777777777777777</v>
      </c>
      <c r="CJ206" s="140">
        <f>IFERROR(AVERAGE('Review 1'!AZ206,'Review 2'!AZ206,'Review 3'!AZ206,'Review 4'!AZ206,'Reflection -1 '!AZ206,'Reflection -2'!AZ206,'Reflection -3'!AZ206,'Reflection -4'!AZ206),"A")</f>
        <v>3.25</v>
      </c>
    </row>
    <row r="207" spans="1:88" s="122" customFormat="1" ht="23.1" customHeight="1" x14ac:dyDescent="0.3">
      <c r="A207" s="137">
        <v>205</v>
      </c>
      <c r="B207" s="62" t="s">
        <v>444</v>
      </c>
      <c r="C207" s="62" t="s">
        <v>445</v>
      </c>
      <c r="D207" s="62" t="s">
        <v>450</v>
      </c>
      <c r="E207" s="62" t="s">
        <v>289</v>
      </c>
      <c r="F207" s="139"/>
      <c r="G207" s="139">
        <f>'Review 1'!Q207</f>
        <v>3</v>
      </c>
      <c r="H207" s="139">
        <f>'Review 1'!W207</f>
        <v>2</v>
      </c>
      <c r="I207" s="139">
        <f>'Review 1'!AC207</f>
        <v>2</v>
      </c>
      <c r="J207" s="139">
        <f>'Review 1'!AI207</f>
        <v>2.5</v>
      </c>
      <c r="K207" s="139"/>
      <c r="L207" s="139">
        <f>'Review 1'!AU207</f>
        <v>3</v>
      </c>
      <c r="M207" s="138"/>
      <c r="N207" s="139"/>
      <c r="O207" s="139">
        <f>'Review 2'!Q207</f>
        <v>2.8</v>
      </c>
      <c r="P207" s="139">
        <f>'Review 2'!W207</f>
        <v>2</v>
      </c>
      <c r="Q207" s="139">
        <f>'Review 2'!AC207</f>
        <v>2</v>
      </c>
      <c r="R207" s="139">
        <f>'Review 2'!AI207</f>
        <v>1</v>
      </c>
      <c r="S207" s="139"/>
      <c r="T207" s="139">
        <f>'Review 2'!AU207</f>
        <v>2</v>
      </c>
      <c r="U207" s="138"/>
      <c r="V207" s="62"/>
      <c r="W207" s="139">
        <f>'Review 3'!Q207</f>
        <v>2</v>
      </c>
      <c r="X207" s="139">
        <f>'Review 3'!W207</f>
        <v>0</v>
      </c>
      <c r="Y207" s="139">
        <f>'Review 3'!AC207</f>
        <v>0</v>
      </c>
      <c r="Z207" s="139">
        <f>'Review 3'!AI207</f>
        <v>0</v>
      </c>
      <c r="AA207" s="62"/>
      <c r="AB207" s="139">
        <f>'Review 3'!AU207</f>
        <v>0</v>
      </c>
      <c r="AC207" s="138"/>
      <c r="AD207" s="62"/>
      <c r="AE207" s="139">
        <f>'Review 4'!Q207</f>
        <v>3.8</v>
      </c>
      <c r="AF207" s="139">
        <f>'Review 4'!W207</f>
        <v>2</v>
      </c>
      <c r="AG207" s="139">
        <f>'Review 4'!AC207</f>
        <v>2</v>
      </c>
      <c r="AH207" s="139">
        <f>'Review 4'!AI207</f>
        <v>1</v>
      </c>
      <c r="AI207" s="139"/>
      <c r="AJ207" s="139">
        <f>'Review 4'!AU207</f>
        <v>1.6666666666666667</v>
      </c>
      <c r="AK207" s="138"/>
      <c r="AL207" s="62"/>
      <c r="AM207" s="139">
        <f>'Reflection -1 '!Q207</f>
        <v>2.3333333333333335</v>
      </c>
      <c r="AN207" s="62"/>
      <c r="AO207" s="62"/>
      <c r="AP207" s="62"/>
      <c r="AQ207" s="62"/>
      <c r="AR207" s="62"/>
      <c r="AS207" s="138"/>
      <c r="AT207" s="62"/>
      <c r="AU207" s="139">
        <f>'Reflection -2'!Q207</f>
        <v>1</v>
      </c>
      <c r="AV207" s="62"/>
      <c r="AW207" s="62"/>
      <c r="AX207" s="62"/>
      <c r="AY207" s="139"/>
      <c r="AZ207" s="62"/>
      <c r="BA207" s="138"/>
      <c r="BB207" s="139"/>
      <c r="BC207" s="139">
        <f>'Reflection -3'!Q207</f>
        <v>1</v>
      </c>
      <c r="BD207" s="139"/>
      <c r="BE207" s="139"/>
      <c r="BF207" s="139"/>
      <c r="BG207" s="139"/>
      <c r="BH207" s="139"/>
      <c r="BI207" s="138"/>
      <c r="BJ207" s="139"/>
      <c r="BK207" s="139">
        <f>'Reflection -3'!Q207</f>
        <v>1</v>
      </c>
      <c r="BL207" s="62"/>
      <c r="BM207" s="139"/>
      <c r="BN207" s="62"/>
      <c r="BO207" s="139"/>
      <c r="BP207" s="139"/>
      <c r="BQ207" s="138"/>
      <c r="BR207" s="139"/>
      <c r="BS207" s="139">
        <f>Capstone!Q208</f>
        <v>4</v>
      </c>
      <c r="BT207" s="139">
        <f>Capstone!W208</f>
        <v>5</v>
      </c>
      <c r="BU207" s="139">
        <f>Capstone!AC208</f>
        <v>5</v>
      </c>
      <c r="BV207" s="139">
        <f>Capstone!AI208</f>
        <v>5</v>
      </c>
      <c r="BW207" s="139">
        <f>Capstone!AO208</f>
        <v>5</v>
      </c>
      <c r="BX207" s="139">
        <f>Capstone!AU208</f>
        <v>5</v>
      </c>
      <c r="BY207" s="138"/>
      <c r="BZ207" s="139"/>
      <c r="CA20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2.1166666666666667</v>
      </c>
      <c r="CB207" s="139">
        <f>IFERROR(AVERAGE(Table110461117[[#This Row],[Column31]],Table110461117[[#This Row],[Column13]],Table110461117[[#This Row],[Column4]],Table110461117[[#This Row],[Column22]],),"A")</f>
        <v>1.2</v>
      </c>
      <c r="CC207" s="139">
        <f>IFERROR(AVERAGE(Table110461117[[#This Row],[Column5]],Table110461117[[#This Row],[Column14]],Table110461117[[#This Row],[Column23]],Table110461117[[#This Row],[Column32]]),"A")</f>
        <v>1.5</v>
      </c>
      <c r="CD207" s="139">
        <f>IFERROR(AVERAGE(Table110461117[[#This Row],[Column6]],Table110461117[[#This Row],[Column15]],Table110461117[[#This Row],[Column24]],Table110461117[[#This Row],[Column33]]),"A")</f>
        <v>1.125</v>
      </c>
      <c r="CE207" s="139"/>
      <c r="CF207" s="139">
        <f>IFERROR(AVERAGE(Table110461117[[#This Row],[Column26]],Table110461117[[#This Row],[Column35]],Table110461117[[#This Row],[Column17]],Table110461117[[#This Row],[Column8]]),"A")</f>
        <v>1.6666666666666667</v>
      </c>
      <c r="CG207" s="138"/>
      <c r="CH207" s="139">
        <f>IFERROR(AVERAGE('Review 1'!AX207,'Review 2'!AX207,'Review 3'!AX207,'Review 4'!AX207,'Reflection -1 '!AX207,'Reflection -2'!AX207,'Reflection -3'!AX207,'Reflection -4'!AX207),"A")</f>
        <v>2.875</v>
      </c>
      <c r="CI207" s="139">
        <f>IFERROR(AVERAGE('Review 1'!AY207,'Review 2'!AY207,'Review 3'!AY207,'Review 4'!AY207,'Reflection -1 '!AY207,'Reflection -2'!AY207,'Reflection -3'!AY207,'Reflection -4'!AY207,Capstone!AY208),"A")</f>
        <v>2.2222222222222223</v>
      </c>
      <c r="CJ207" s="139">
        <f>IFERROR(AVERAGE('Review 1'!AZ207,'Review 2'!AZ207,'Review 3'!AZ207,'Review 4'!AZ207,'Reflection -1 '!AZ207,'Reflection -2'!AZ207,'Reflection -3'!AZ207,'Reflection -4'!AZ207),"A")</f>
        <v>1.625</v>
      </c>
    </row>
    <row r="208" spans="1:88" s="122" customFormat="1" ht="23.1" customHeight="1" x14ac:dyDescent="0.3">
      <c r="A208" s="6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140"/>
      <c r="G208" s="140">
        <f>'Review 1'!Q208</f>
        <v>2.8</v>
      </c>
      <c r="H208" s="140">
        <f>'Review 1'!W208</f>
        <v>3</v>
      </c>
      <c r="I208" s="140">
        <f>'Review 1'!AC208</f>
        <v>3</v>
      </c>
      <c r="J208" s="140">
        <f>'Review 1'!AI208</f>
        <v>3</v>
      </c>
      <c r="K208" s="140"/>
      <c r="L208" s="140">
        <f>'Review 1'!AU208</f>
        <v>3</v>
      </c>
      <c r="M208" s="138"/>
      <c r="N208" s="140"/>
      <c r="O208" s="140">
        <f>'Review 2'!Q208</f>
        <v>2.8</v>
      </c>
      <c r="P208" s="140">
        <f>'Review 2'!W208</f>
        <v>2</v>
      </c>
      <c r="Q208" s="140">
        <f>'Review 2'!AC208</f>
        <v>2</v>
      </c>
      <c r="R208" s="140">
        <f>'Review 2'!AI208</f>
        <v>1</v>
      </c>
      <c r="S208" s="140"/>
      <c r="T208" s="140">
        <f>'Review 2'!AU208</f>
        <v>2</v>
      </c>
      <c r="U208" s="138"/>
      <c r="V208" s="7"/>
      <c r="W208" s="140">
        <f>'Review 3'!Q208</f>
        <v>3</v>
      </c>
      <c r="X208" s="140">
        <f>'Review 3'!W208</f>
        <v>2</v>
      </c>
      <c r="Y208" s="140">
        <f>'Review 3'!AC208</f>
        <v>2</v>
      </c>
      <c r="Z208" s="140">
        <f>'Review 3'!AI208</f>
        <v>2</v>
      </c>
      <c r="AA208" s="7"/>
      <c r="AB208" s="140">
        <f>'Review 3'!AU208</f>
        <v>2</v>
      </c>
      <c r="AC208" s="138"/>
      <c r="AD208" s="7"/>
      <c r="AE208" s="140">
        <f>'Review 4'!Q208</f>
        <v>2.4</v>
      </c>
      <c r="AF208" s="140">
        <f>'Review 4'!W208</f>
        <v>3</v>
      </c>
      <c r="AG208" s="140">
        <f>'Review 4'!AC208</f>
        <v>2</v>
      </c>
      <c r="AH208" s="140">
        <f>'Review 4'!AI208</f>
        <v>5</v>
      </c>
      <c r="AI208" s="140"/>
      <c r="AJ208" s="140">
        <f>'Review 4'!AU208</f>
        <v>1.6666666666666667</v>
      </c>
      <c r="AK208" s="138"/>
      <c r="AL208" s="7"/>
      <c r="AM208" s="140">
        <f>'Reflection -1 '!Q208</f>
        <v>2.3333333333333335</v>
      </c>
      <c r="AN208" s="7"/>
      <c r="AO208" s="7"/>
      <c r="AP208" s="7"/>
      <c r="AQ208" s="7"/>
      <c r="AR208" s="7"/>
      <c r="AS208" s="138"/>
      <c r="AT208" s="7"/>
      <c r="AU208" s="140">
        <f>'Reflection -2'!Q208</f>
        <v>2.6666666666666665</v>
      </c>
      <c r="AV208" s="7"/>
      <c r="AW208" s="7"/>
      <c r="AX208" s="7"/>
      <c r="AY208" s="140"/>
      <c r="AZ208" s="7"/>
      <c r="BA208" s="138"/>
      <c r="BB208" s="140"/>
      <c r="BC208" s="140">
        <f>'Reflection -3'!Q208</f>
        <v>2</v>
      </c>
      <c r="BD208" s="140"/>
      <c r="BE208" s="140"/>
      <c r="BF208" s="140"/>
      <c r="BG208" s="140"/>
      <c r="BH208" s="140"/>
      <c r="BI208" s="138"/>
      <c r="BJ208" s="140"/>
      <c r="BK208" s="140">
        <f>'Reflection -3'!Q208</f>
        <v>2</v>
      </c>
      <c r="BL208" s="7"/>
      <c r="BM208" s="140"/>
      <c r="BN208" s="7"/>
      <c r="BO208" s="140"/>
      <c r="BP208" s="140"/>
      <c r="BQ208" s="138"/>
      <c r="BR208" s="140"/>
      <c r="BS208" s="140">
        <f>Capstone!Q209</f>
        <v>3.6666666666666665</v>
      </c>
      <c r="BT208" s="140">
        <f>Capstone!W209</f>
        <v>4</v>
      </c>
      <c r="BU208" s="140">
        <f>Capstone!AC209</f>
        <v>4</v>
      </c>
      <c r="BV208" s="140">
        <f>Capstone!AI209</f>
        <v>3</v>
      </c>
      <c r="BW208" s="140">
        <f>Capstone!AO209</f>
        <v>4</v>
      </c>
      <c r="BX208" s="140">
        <f>Capstone!AU209</f>
        <v>3</v>
      </c>
      <c r="BY208" s="138"/>
      <c r="BZ208" s="140"/>
      <c r="CA20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2.5000000000000004</v>
      </c>
      <c r="CB208" s="140">
        <f>IFERROR(AVERAGE(Table110461117[[#This Row],[Column31]],Table110461117[[#This Row],[Column13]],Table110461117[[#This Row],[Column4]],Table110461117[[#This Row],[Column22]],),"A")</f>
        <v>2</v>
      </c>
      <c r="CC208" s="140">
        <f>IFERROR(AVERAGE(Table110461117[[#This Row],[Column5]],Table110461117[[#This Row],[Column14]],Table110461117[[#This Row],[Column23]],Table110461117[[#This Row],[Column32]]),"A")</f>
        <v>2.25</v>
      </c>
      <c r="CD208" s="140">
        <f>IFERROR(AVERAGE(Table110461117[[#This Row],[Column6]],Table110461117[[#This Row],[Column15]],Table110461117[[#This Row],[Column24]],Table110461117[[#This Row],[Column33]]),"A")</f>
        <v>2.75</v>
      </c>
      <c r="CE208" s="140"/>
      <c r="CF208" s="140">
        <f>IFERROR(AVERAGE(Table110461117[[#This Row],[Column26]],Table110461117[[#This Row],[Column35]],Table110461117[[#This Row],[Column17]],Table110461117[[#This Row],[Column8]]),"A")</f>
        <v>2.166666666666667</v>
      </c>
      <c r="CG208" s="138"/>
      <c r="CH208" s="140">
        <f>IFERROR(AVERAGE('Review 1'!AX208,'Review 2'!AX208,'Review 3'!AX208,'Review 4'!AX208,'Reflection -1 '!AX208,'Reflection -2'!AX208,'Reflection -3'!AX208,'Reflection -4'!AX208),"A")</f>
        <v>3</v>
      </c>
      <c r="CI208" s="140">
        <f>IFERROR(AVERAGE('Review 1'!AY208,'Review 2'!AY208,'Review 3'!AY208,'Review 4'!AY208,'Reflection -1 '!AY208,'Reflection -2'!AY208,'Reflection -3'!AY208,'Reflection -4'!AY208,Capstone!AY209),"A")</f>
        <v>2.6666666666666665</v>
      </c>
      <c r="CJ208" s="140">
        <f>IFERROR(AVERAGE('Review 1'!AZ208,'Review 2'!AZ208,'Review 3'!AZ208,'Review 4'!AZ208,'Reflection -1 '!AZ208,'Reflection -2'!AZ208,'Reflection -3'!AZ208,'Reflection -4'!AZ208),"A")</f>
        <v>2.5</v>
      </c>
    </row>
    <row r="209" spans="1:88" s="122" customFormat="1" ht="23.1" customHeight="1" x14ac:dyDescent="0.3">
      <c r="A209" s="137">
        <v>207</v>
      </c>
      <c r="B209" s="62" t="s">
        <v>448</v>
      </c>
      <c r="C209" s="62" t="s">
        <v>449</v>
      </c>
      <c r="D209" s="62" t="s">
        <v>450</v>
      </c>
      <c r="E209" s="62" t="s">
        <v>289</v>
      </c>
      <c r="F209" s="139"/>
      <c r="G209" s="139">
        <f>'Review 1'!Q209</f>
        <v>2.8</v>
      </c>
      <c r="H209" s="139">
        <f>'Review 1'!W209</f>
        <v>3</v>
      </c>
      <c r="I209" s="139">
        <f>'Review 1'!AC209</f>
        <v>3</v>
      </c>
      <c r="J209" s="139">
        <f>'Review 1'!AI209</f>
        <v>3</v>
      </c>
      <c r="K209" s="139"/>
      <c r="L209" s="139">
        <f>'Review 1'!AU209</f>
        <v>3</v>
      </c>
      <c r="M209" s="138"/>
      <c r="N209" s="139"/>
      <c r="O209" s="139">
        <f>'Review 2'!Q209</f>
        <v>2.8</v>
      </c>
      <c r="P209" s="139">
        <f>'Review 2'!W209</f>
        <v>3</v>
      </c>
      <c r="Q209" s="139">
        <f>'Review 2'!AC209</f>
        <v>3</v>
      </c>
      <c r="R209" s="139">
        <f>'Review 2'!AI209</f>
        <v>1.5</v>
      </c>
      <c r="S209" s="139"/>
      <c r="T209" s="139">
        <f>'Review 2'!AU209</f>
        <v>2.3333333333333335</v>
      </c>
      <c r="U209" s="138"/>
      <c r="V209" s="62"/>
      <c r="W209" s="139">
        <f>'Review 3'!Q209</f>
        <v>3</v>
      </c>
      <c r="X209" s="139">
        <f>'Review 3'!W209</f>
        <v>2</v>
      </c>
      <c r="Y209" s="139">
        <f>'Review 3'!AC209</f>
        <v>2</v>
      </c>
      <c r="Z209" s="139">
        <f>'Review 3'!AI209</f>
        <v>2</v>
      </c>
      <c r="AA209" s="62"/>
      <c r="AB209" s="139">
        <f>'Review 3'!AU209</f>
        <v>2</v>
      </c>
      <c r="AC209" s="138"/>
      <c r="AD209" s="62"/>
      <c r="AE209" s="139">
        <f>'Review 4'!Q209</f>
        <v>2.4</v>
      </c>
      <c r="AF209" s="139">
        <f>'Review 4'!W209</f>
        <v>3</v>
      </c>
      <c r="AG209" s="139">
        <f>'Review 4'!AC209</f>
        <v>2</v>
      </c>
      <c r="AH209" s="139">
        <f>'Review 4'!AI209</f>
        <v>2</v>
      </c>
      <c r="AI209" s="139"/>
      <c r="AJ209" s="139">
        <f>'Review 4'!AU209</f>
        <v>3</v>
      </c>
      <c r="AK209" s="138"/>
      <c r="AL209" s="62"/>
      <c r="AM209" s="139">
        <f>'Reflection -1 '!Q209</f>
        <v>3</v>
      </c>
      <c r="AN209" s="62"/>
      <c r="AO209" s="62"/>
      <c r="AP209" s="62"/>
      <c r="AQ209" s="62"/>
      <c r="AR209" s="62"/>
      <c r="AS209" s="138"/>
      <c r="AT209" s="62"/>
      <c r="AU209" s="139">
        <f>'Reflection -2'!Q209</f>
        <v>2</v>
      </c>
      <c r="AV209" s="62"/>
      <c r="AW209" s="62"/>
      <c r="AX209" s="62"/>
      <c r="AY209" s="139"/>
      <c r="AZ209" s="62"/>
      <c r="BA209" s="138"/>
      <c r="BB209" s="139"/>
      <c r="BC209" s="139">
        <f>'Reflection -3'!Q209</f>
        <v>3.3333333333333335</v>
      </c>
      <c r="BD209" s="139"/>
      <c r="BE209" s="139"/>
      <c r="BF209" s="139"/>
      <c r="BG209" s="139"/>
      <c r="BH209" s="139"/>
      <c r="BI209" s="138"/>
      <c r="BJ209" s="139"/>
      <c r="BK209" s="139">
        <f>'Reflection -3'!Q209</f>
        <v>3.3333333333333335</v>
      </c>
      <c r="BL209" s="62"/>
      <c r="BM209" s="139"/>
      <c r="BN209" s="62"/>
      <c r="BO209" s="139"/>
      <c r="BP209" s="139"/>
      <c r="BQ209" s="138"/>
      <c r="BR209" s="139"/>
      <c r="BS209" s="139">
        <f>Capstone!Q210</f>
        <v>5</v>
      </c>
      <c r="BT209" s="139">
        <f>Capstone!W210</f>
        <v>4</v>
      </c>
      <c r="BU209" s="139">
        <f>Capstone!AC210</f>
        <v>5</v>
      </c>
      <c r="BV209" s="139">
        <f>Capstone!AI210</f>
        <v>4</v>
      </c>
      <c r="BW209" s="139">
        <f>Capstone!AO210</f>
        <v>5</v>
      </c>
      <c r="BX209" s="139">
        <f>Capstone!AU210</f>
        <v>4</v>
      </c>
      <c r="BY209" s="138"/>
      <c r="BZ209" s="139"/>
      <c r="CA20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2.8333333333333335</v>
      </c>
      <c r="CB209" s="139">
        <f>IFERROR(AVERAGE(Table110461117[[#This Row],[Column31]],Table110461117[[#This Row],[Column13]],Table110461117[[#This Row],[Column4]],Table110461117[[#This Row],[Column22]],),"A")</f>
        <v>2.2000000000000002</v>
      </c>
      <c r="CC209" s="139">
        <f>IFERROR(AVERAGE(Table110461117[[#This Row],[Column5]],Table110461117[[#This Row],[Column14]],Table110461117[[#This Row],[Column23]],Table110461117[[#This Row],[Column32]]),"A")</f>
        <v>2.5</v>
      </c>
      <c r="CD209" s="139">
        <f>IFERROR(AVERAGE(Table110461117[[#This Row],[Column6]],Table110461117[[#This Row],[Column15]],Table110461117[[#This Row],[Column24]],Table110461117[[#This Row],[Column33]]),"A")</f>
        <v>2.125</v>
      </c>
      <c r="CE209" s="139"/>
      <c r="CF209" s="139">
        <f>IFERROR(AVERAGE(Table110461117[[#This Row],[Column26]],Table110461117[[#This Row],[Column35]],Table110461117[[#This Row],[Column17]],Table110461117[[#This Row],[Column8]]),"A")</f>
        <v>2.5833333333333335</v>
      </c>
      <c r="CG209" s="138"/>
      <c r="CH209" s="139">
        <f>IFERROR(AVERAGE('Review 1'!AX209,'Review 2'!AX209,'Review 3'!AX209,'Review 4'!AX209,'Reflection -1 '!AX209,'Reflection -2'!AX209,'Reflection -3'!AX209,'Reflection -4'!AX209),"A")</f>
        <v>3.25</v>
      </c>
      <c r="CI209" s="139">
        <f>IFERROR(AVERAGE('Review 1'!AY209,'Review 2'!AY209,'Review 3'!AY209,'Review 4'!AY209,'Reflection -1 '!AY209,'Reflection -2'!AY209,'Reflection -3'!AY209,'Reflection -4'!AY209,Capstone!AY210),"A")</f>
        <v>2.6666666666666665</v>
      </c>
      <c r="CJ209" s="139">
        <f>IFERROR(AVERAGE('Review 1'!AZ209,'Review 2'!AZ209,'Review 3'!AZ209,'Review 4'!AZ209,'Reflection -1 '!AZ209,'Reflection -2'!AZ209,'Reflection -3'!AZ209,'Reflection -4'!AZ209),"A")</f>
        <v>2.625</v>
      </c>
    </row>
    <row r="210" spans="1:88" s="122" customFormat="1" ht="23.1" customHeight="1" x14ac:dyDescent="0.3">
      <c r="A210" s="6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140"/>
      <c r="G210" s="140">
        <f>'Review 1'!Q210</f>
        <v>2.8</v>
      </c>
      <c r="H210" s="140">
        <f>'Review 1'!W210</f>
        <v>3</v>
      </c>
      <c r="I210" s="140">
        <f>'Review 1'!AC210</f>
        <v>2.5</v>
      </c>
      <c r="J210" s="140">
        <f>'Review 1'!AI210</f>
        <v>1</v>
      </c>
      <c r="K210" s="140"/>
      <c r="L210" s="140">
        <f>'Review 1'!AU210</f>
        <v>1</v>
      </c>
      <c r="M210" s="138"/>
      <c r="N210" s="140"/>
      <c r="O210" s="140">
        <f>'Review 2'!Q210</f>
        <v>2.8</v>
      </c>
      <c r="P210" s="140">
        <f>'Review 2'!W210</f>
        <v>3</v>
      </c>
      <c r="Q210" s="140">
        <f>'Review 2'!AC210</f>
        <v>2.5</v>
      </c>
      <c r="R210" s="140">
        <f>'Review 2'!AI210</f>
        <v>1</v>
      </c>
      <c r="S210" s="140"/>
      <c r="T210" s="140">
        <f>'Review 2'!AU210</f>
        <v>1</v>
      </c>
      <c r="U210" s="138"/>
      <c r="V210" s="7"/>
      <c r="W210" s="140">
        <f>'Review 3'!Q210</f>
        <v>0.6</v>
      </c>
      <c r="X210" s="140">
        <f>'Review 3'!W210</f>
        <v>0</v>
      </c>
      <c r="Y210" s="140">
        <f>'Review 3'!AC210</f>
        <v>0</v>
      </c>
      <c r="Z210" s="140">
        <f>'Review 3'!AI210</f>
        <v>0</v>
      </c>
      <c r="AA210" s="7"/>
      <c r="AB210" s="140">
        <f>'Review 3'!AU210</f>
        <v>0</v>
      </c>
      <c r="AC210" s="138"/>
      <c r="AD210" s="7"/>
      <c r="AE210" s="140">
        <f>'Review 4'!Q210</f>
        <v>0</v>
      </c>
      <c r="AF210" s="140">
        <f>'Review 4'!W210</f>
        <v>0</v>
      </c>
      <c r="AG210" s="140">
        <f>'Review 4'!AC210</f>
        <v>0</v>
      </c>
      <c r="AH210" s="140">
        <f>'Review 4'!AI210</f>
        <v>0</v>
      </c>
      <c r="AI210" s="140"/>
      <c r="AJ210" s="140">
        <f>'Review 4'!AU210</f>
        <v>0</v>
      </c>
      <c r="AK210" s="138"/>
      <c r="AL210" s="7"/>
      <c r="AM210" s="140">
        <f>'Reflection -1 '!Q210</f>
        <v>2.6666666666666665</v>
      </c>
      <c r="AN210" s="7"/>
      <c r="AO210" s="7"/>
      <c r="AP210" s="7"/>
      <c r="AQ210" s="7"/>
      <c r="AR210" s="7"/>
      <c r="AS210" s="138"/>
      <c r="AT210" s="7"/>
      <c r="AU210" s="140">
        <f>'Reflection -2'!Q210</f>
        <v>3.6666666666666665</v>
      </c>
      <c r="AV210" s="7"/>
      <c r="AW210" s="7"/>
      <c r="AX210" s="7"/>
      <c r="AY210" s="140"/>
      <c r="AZ210" s="7"/>
      <c r="BA210" s="138"/>
      <c r="BB210" s="140"/>
      <c r="BC210" s="140">
        <f>'Reflection -3'!Q210</f>
        <v>4</v>
      </c>
      <c r="BD210" s="140"/>
      <c r="BE210" s="140"/>
      <c r="BF210" s="140"/>
      <c r="BG210" s="140"/>
      <c r="BH210" s="140"/>
      <c r="BI210" s="138"/>
      <c r="BJ210" s="140"/>
      <c r="BK210" s="140">
        <f>'Reflection -3'!Q210</f>
        <v>4</v>
      </c>
      <c r="BL210" s="7"/>
      <c r="BM210" s="140"/>
      <c r="BN210" s="7"/>
      <c r="BO210" s="140"/>
      <c r="BP210" s="140"/>
      <c r="BQ210" s="138"/>
      <c r="BR210" s="140"/>
      <c r="BS210" s="140">
        <f>Capstone!Q211</f>
        <v>5</v>
      </c>
      <c r="BT210" s="140">
        <f>Capstone!W211</f>
        <v>5</v>
      </c>
      <c r="BU210" s="140">
        <f>Capstone!AC211</f>
        <v>5</v>
      </c>
      <c r="BV210" s="140">
        <f>Capstone!AI211</f>
        <v>5</v>
      </c>
      <c r="BW210" s="140">
        <f>Capstone!AO211</f>
        <v>5</v>
      </c>
      <c r="BX210" s="140">
        <f>Capstone!AU211</f>
        <v>5</v>
      </c>
      <c r="BY210" s="138"/>
      <c r="BZ210" s="140"/>
      <c r="CA21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2.5666666666666669</v>
      </c>
      <c r="CB210" s="140">
        <f>IFERROR(AVERAGE(Table110461117[[#This Row],[Column31]],Table110461117[[#This Row],[Column13]],Table110461117[[#This Row],[Column4]],Table110461117[[#This Row],[Column22]],),"A")</f>
        <v>1.2</v>
      </c>
      <c r="CC210" s="140">
        <f>IFERROR(AVERAGE(Table110461117[[#This Row],[Column5]],Table110461117[[#This Row],[Column14]],Table110461117[[#This Row],[Column23]],Table110461117[[#This Row],[Column32]]),"A")</f>
        <v>1.25</v>
      </c>
      <c r="CD210" s="140">
        <f>IFERROR(AVERAGE(Table110461117[[#This Row],[Column6]],Table110461117[[#This Row],[Column15]],Table110461117[[#This Row],[Column24]],Table110461117[[#This Row],[Column33]]),"A")</f>
        <v>0.5</v>
      </c>
      <c r="CE210" s="140"/>
      <c r="CF210" s="140">
        <f>IFERROR(AVERAGE(Table110461117[[#This Row],[Column26]],Table110461117[[#This Row],[Column35]],Table110461117[[#This Row],[Column17]],Table110461117[[#This Row],[Column8]]),"A")</f>
        <v>0.5</v>
      </c>
      <c r="CG210" s="138"/>
      <c r="CH210" s="140">
        <f>IFERROR(AVERAGE('Review 1'!AX210,'Review 2'!AX210,'Review 3'!AX210,'Review 4'!AX210,'Reflection -1 '!AX210,'Reflection -2'!AX210,'Reflection -3'!AX210,'Reflection -4'!AX210),"A")</f>
        <v>2.125</v>
      </c>
      <c r="CI210" s="140">
        <f>IFERROR(AVERAGE('Review 1'!AY210,'Review 2'!AY210,'Review 3'!AY210,'Review 4'!AY210,'Reflection -1 '!AY210,'Reflection -2'!AY210,'Reflection -3'!AY210,'Reflection -4'!AY210,Capstone!AY211),"A")</f>
        <v>0.77777777777777779</v>
      </c>
      <c r="CJ210" s="140">
        <f>IFERROR(AVERAGE('Review 1'!AZ210,'Review 2'!AZ210,'Review 3'!AZ210,'Review 4'!AZ210,'Reflection -1 '!AZ210,'Reflection -2'!AZ210,'Reflection -3'!AZ210,'Reflection -4'!AZ210),"A")</f>
        <v>1.625</v>
      </c>
    </row>
    <row r="211" spans="1:88" s="122" customFormat="1" ht="23.1" customHeight="1" x14ac:dyDescent="0.3">
      <c r="A211" s="137">
        <v>209</v>
      </c>
      <c r="B211" s="62" t="s">
        <v>451</v>
      </c>
      <c r="C211" s="62" t="s">
        <v>452</v>
      </c>
      <c r="D211" s="62" t="s">
        <v>450</v>
      </c>
      <c r="E211" s="62" t="s">
        <v>289</v>
      </c>
      <c r="F211" s="139"/>
      <c r="G211" s="139">
        <f>'Review 1'!Q211</f>
        <v>1.8</v>
      </c>
      <c r="H211" s="139">
        <f>'Review 1'!W211</f>
        <v>4</v>
      </c>
      <c r="I211" s="139">
        <f>'Review 1'!AC211</f>
        <v>4</v>
      </c>
      <c r="J211" s="139">
        <f>'Review 1'!AI211</f>
        <v>3.5</v>
      </c>
      <c r="K211" s="139"/>
      <c r="L211" s="139">
        <f>'Review 1'!AU211</f>
        <v>3</v>
      </c>
      <c r="M211" s="138"/>
      <c r="N211" s="139"/>
      <c r="O211" s="139">
        <f>'Review 2'!Q211</f>
        <v>2.8</v>
      </c>
      <c r="P211" s="139">
        <f>'Review 2'!W211</f>
        <v>2</v>
      </c>
      <c r="Q211" s="139">
        <f>'Review 2'!AC211</f>
        <v>2</v>
      </c>
      <c r="R211" s="139">
        <f>'Review 2'!AI211</f>
        <v>1</v>
      </c>
      <c r="S211" s="139"/>
      <c r="T211" s="139">
        <f>'Review 2'!AU211</f>
        <v>2</v>
      </c>
      <c r="U211" s="138"/>
      <c r="V211" s="62"/>
      <c r="W211" s="139">
        <f>'Review 3'!Q211</f>
        <v>2</v>
      </c>
      <c r="X211" s="139">
        <f>'Review 3'!W211</f>
        <v>2</v>
      </c>
      <c r="Y211" s="139">
        <f>'Review 3'!AC211</f>
        <v>2</v>
      </c>
      <c r="Z211" s="139">
        <f>'Review 3'!AI211</f>
        <v>2</v>
      </c>
      <c r="AA211" s="62"/>
      <c r="AB211" s="139">
        <f>'Review 3'!AU211</f>
        <v>2</v>
      </c>
      <c r="AC211" s="138"/>
      <c r="AD211" s="62"/>
      <c r="AE211" s="139">
        <f>'Review 4'!Q211</f>
        <v>3.4</v>
      </c>
      <c r="AF211" s="139">
        <f>'Review 4'!W211</f>
        <v>1.6666666666666667</v>
      </c>
      <c r="AG211" s="139">
        <f>'Review 4'!AC211</f>
        <v>1</v>
      </c>
      <c r="AH211" s="139">
        <f>'Review 4'!AI211</f>
        <v>2</v>
      </c>
      <c r="AI211" s="139"/>
      <c r="AJ211" s="139">
        <f>'Review 4'!AU211</f>
        <v>1.3333333333333333</v>
      </c>
      <c r="AK211" s="138"/>
      <c r="AL211" s="62"/>
      <c r="AM211" s="139">
        <f>'Reflection -1 '!Q211</f>
        <v>3.3333333333333335</v>
      </c>
      <c r="AN211" s="62"/>
      <c r="AO211" s="62"/>
      <c r="AP211" s="62"/>
      <c r="AQ211" s="62"/>
      <c r="AR211" s="62"/>
      <c r="AS211" s="138"/>
      <c r="AT211" s="62"/>
      <c r="AU211" s="139">
        <f>'Reflection -2'!Q211</f>
        <v>1</v>
      </c>
      <c r="AV211" s="62"/>
      <c r="AW211" s="62"/>
      <c r="AX211" s="62"/>
      <c r="AY211" s="139"/>
      <c r="AZ211" s="62"/>
      <c r="BA211" s="138"/>
      <c r="BB211" s="139"/>
      <c r="BC211" s="139">
        <f>'Reflection -3'!Q211</f>
        <v>2</v>
      </c>
      <c r="BD211" s="139"/>
      <c r="BE211" s="139"/>
      <c r="BF211" s="139"/>
      <c r="BG211" s="139"/>
      <c r="BH211" s="139"/>
      <c r="BI211" s="138"/>
      <c r="BJ211" s="139"/>
      <c r="BK211" s="139">
        <f>'Reflection -3'!Q211</f>
        <v>2</v>
      </c>
      <c r="BL211" s="62"/>
      <c r="BM211" s="139"/>
      <c r="BN211" s="62"/>
      <c r="BO211" s="139"/>
      <c r="BP211" s="139"/>
      <c r="BQ211" s="138"/>
      <c r="BR211" s="139"/>
      <c r="BS211" s="139">
        <f>Capstone!Q212</f>
        <v>3</v>
      </c>
      <c r="BT211" s="139">
        <f>Capstone!W212</f>
        <v>3</v>
      </c>
      <c r="BU211" s="139">
        <f>Capstone!AC212</f>
        <v>3</v>
      </c>
      <c r="BV211" s="139">
        <f>Capstone!AI212</f>
        <v>3</v>
      </c>
      <c r="BW211" s="139">
        <f>Capstone!AO212</f>
        <v>3</v>
      </c>
      <c r="BX211" s="139">
        <f>Capstone!AU212</f>
        <v>3</v>
      </c>
      <c r="BY211" s="138"/>
      <c r="BZ211" s="139"/>
      <c r="CA21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2.291666666666667</v>
      </c>
      <c r="CB211" s="139">
        <f>IFERROR(AVERAGE(Table110461117[[#This Row],[Column31]],Table110461117[[#This Row],[Column13]],Table110461117[[#This Row],[Column4]],Table110461117[[#This Row],[Column22]],),"A")</f>
        <v>1.9333333333333336</v>
      </c>
      <c r="CC211" s="139">
        <f>IFERROR(AVERAGE(Table110461117[[#This Row],[Column5]],Table110461117[[#This Row],[Column14]],Table110461117[[#This Row],[Column23]],Table110461117[[#This Row],[Column32]]),"A")</f>
        <v>2.25</v>
      </c>
      <c r="CD211" s="139">
        <f>IFERROR(AVERAGE(Table110461117[[#This Row],[Column6]],Table110461117[[#This Row],[Column15]],Table110461117[[#This Row],[Column24]],Table110461117[[#This Row],[Column33]]),"A")</f>
        <v>2.125</v>
      </c>
      <c r="CE211" s="139"/>
      <c r="CF211" s="139">
        <f>IFERROR(AVERAGE(Table110461117[[#This Row],[Column26]],Table110461117[[#This Row],[Column35]],Table110461117[[#This Row],[Column17]],Table110461117[[#This Row],[Column8]]),"A")</f>
        <v>2.083333333333333</v>
      </c>
      <c r="CG211" s="138"/>
      <c r="CH211" s="139">
        <f>IFERROR(AVERAGE('Review 1'!AX211,'Review 2'!AX211,'Review 3'!AX211,'Review 4'!AX211,'Reflection -1 '!AX211,'Reflection -2'!AX211,'Reflection -3'!AX211,'Reflection -4'!AX211),"A")</f>
        <v>2.875</v>
      </c>
      <c r="CI211" s="139">
        <f>IFERROR(AVERAGE('Review 1'!AY211,'Review 2'!AY211,'Review 3'!AY211,'Review 4'!AY211,'Reflection -1 '!AY211,'Reflection -2'!AY211,'Reflection -3'!AY211,'Reflection -4'!AY211,Capstone!AY212),"A")</f>
        <v>2.3333333333333335</v>
      </c>
      <c r="CJ211" s="139">
        <f>IFERROR(AVERAGE('Review 1'!AZ211,'Review 2'!AZ211,'Review 3'!AZ211,'Review 4'!AZ211,'Reflection -1 '!AZ211,'Reflection -2'!AZ211,'Reflection -3'!AZ211,'Reflection -4'!AZ211),"A")</f>
        <v>2.25</v>
      </c>
    </row>
    <row r="212" spans="1:88" s="122" customFormat="1" ht="23.1" customHeight="1" x14ac:dyDescent="0.3">
      <c r="A212" s="6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140"/>
      <c r="G212" s="140">
        <f>'Review 1'!Q212</f>
        <v>3</v>
      </c>
      <c r="H212" s="140">
        <f>'Review 1'!W212</f>
        <v>2</v>
      </c>
      <c r="I212" s="140">
        <f>'Review 1'!AC212</f>
        <v>2.5</v>
      </c>
      <c r="J212" s="140">
        <f>'Review 1'!AI212</f>
        <v>3</v>
      </c>
      <c r="K212" s="140"/>
      <c r="L212" s="140">
        <f>'Review 1'!AU212</f>
        <v>3</v>
      </c>
      <c r="M212" s="138"/>
      <c r="N212" s="140"/>
      <c r="O212" s="140">
        <f>'Review 2'!Q212</f>
        <v>2.4</v>
      </c>
      <c r="P212" s="140">
        <f>'Review 2'!W212</f>
        <v>2</v>
      </c>
      <c r="Q212" s="140">
        <f>'Review 2'!AC212</f>
        <v>2</v>
      </c>
      <c r="R212" s="140">
        <f>'Review 2'!AI212</f>
        <v>1</v>
      </c>
      <c r="S212" s="140"/>
      <c r="T212" s="140">
        <f>'Review 2'!AU212</f>
        <v>2</v>
      </c>
      <c r="U212" s="138"/>
      <c r="V212" s="7"/>
      <c r="W212" s="140">
        <f>'Review 3'!Q212</f>
        <v>2.2000000000000002</v>
      </c>
      <c r="X212" s="140">
        <f>'Review 3'!W212</f>
        <v>0</v>
      </c>
      <c r="Y212" s="140">
        <f>'Review 3'!AC212</f>
        <v>0</v>
      </c>
      <c r="Z212" s="140">
        <f>'Review 3'!AI212</f>
        <v>0</v>
      </c>
      <c r="AA212" s="7"/>
      <c r="AB212" s="140">
        <f>'Review 3'!AU212</f>
        <v>0</v>
      </c>
      <c r="AC212" s="138"/>
      <c r="AD212" s="7"/>
      <c r="AE212" s="140">
        <f>'Review 4'!Q212</f>
        <v>3.2</v>
      </c>
      <c r="AF212" s="140">
        <f>'Review 4'!W212</f>
        <v>4</v>
      </c>
      <c r="AG212" s="140">
        <f>'Review 4'!AC212</f>
        <v>2</v>
      </c>
      <c r="AH212" s="140">
        <f>'Review 4'!AI212</f>
        <v>2</v>
      </c>
      <c r="AI212" s="140"/>
      <c r="AJ212" s="140">
        <f>'Review 4'!AU212</f>
        <v>4</v>
      </c>
      <c r="AK212" s="138"/>
      <c r="AL212" s="7"/>
      <c r="AM212" s="140">
        <f>'Reflection -1 '!Q212</f>
        <v>2.6666666666666665</v>
      </c>
      <c r="AN212" s="7"/>
      <c r="AO212" s="7"/>
      <c r="AP212" s="7"/>
      <c r="AQ212" s="7"/>
      <c r="AR212" s="7"/>
      <c r="AS212" s="138"/>
      <c r="AT212" s="7"/>
      <c r="AU212" s="140">
        <f>'Reflection -2'!Q212</f>
        <v>3</v>
      </c>
      <c r="AV212" s="7"/>
      <c r="AW212" s="7"/>
      <c r="AX212" s="7"/>
      <c r="AY212" s="140"/>
      <c r="AZ212" s="7"/>
      <c r="BA212" s="138"/>
      <c r="BB212" s="140"/>
      <c r="BC212" s="140">
        <f>'Reflection -3'!Q212</f>
        <v>3.6666666666666665</v>
      </c>
      <c r="BD212" s="140"/>
      <c r="BE212" s="140"/>
      <c r="BF212" s="140"/>
      <c r="BG212" s="140"/>
      <c r="BH212" s="140"/>
      <c r="BI212" s="138"/>
      <c r="BJ212" s="140"/>
      <c r="BK212" s="140">
        <f>'Reflection -3'!Q212</f>
        <v>3.6666666666666665</v>
      </c>
      <c r="BL212" s="7"/>
      <c r="BM212" s="140"/>
      <c r="BN212" s="7"/>
      <c r="BO212" s="140"/>
      <c r="BP212" s="140"/>
      <c r="BQ212" s="138"/>
      <c r="BR212" s="140"/>
      <c r="BS212" s="140">
        <f>Capstone!Q213</f>
        <v>3.6666666666666665</v>
      </c>
      <c r="BT212" s="140">
        <f>Capstone!W213</f>
        <v>4</v>
      </c>
      <c r="BU212" s="140">
        <f>Capstone!AC213</f>
        <v>4</v>
      </c>
      <c r="BV212" s="140">
        <f>Capstone!AI213</f>
        <v>3</v>
      </c>
      <c r="BW212" s="140">
        <f>Capstone!AO213</f>
        <v>3</v>
      </c>
      <c r="BX212" s="140">
        <f>Capstone!AU213</f>
        <v>3</v>
      </c>
      <c r="BY212" s="138"/>
      <c r="BZ212" s="140"/>
      <c r="CA21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2.9750000000000001</v>
      </c>
      <c r="CB212" s="140">
        <f>IFERROR(AVERAGE(Table110461117[[#This Row],[Column31]],Table110461117[[#This Row],[Column13]],Table110461117[[#This Row],[Column4]],Table110461117[[#This Row],[Column22]],),"A")</f>
        <v>1.6</v>
      </c>
      <c r="CC212" s="140">
        <f>IFERROR(AVERAGE(Table110461117[[#This Row],[Column5]],Table110461117[[#This Row],[Column14]],Table110461117[[#This Row],[Column23]],Table110461117[[#This Row],[Column32]]),"A")</f>
        <v>1.625</v>
      </c>
      <c r="CD212" s="140">
        <f>IFERROR(AVERAGE(Table110461117[[#This Row],[Column6]],Table110461117[[#This Row],[Column15]],Table110461117[[#This Row],[Column24]],Table110461117[[#This Row],[Column33]]),"A")</f>
        <v>1.5</v>
      </c>
      <c r="CE212" s="140"/>
      <c r="CF212" s="140">
        <f>IFERROR(AVERAGE(Table110461117[[#This Row],[Column26]],Table110461117[[#This Row],[Column35]],Table110461117[[#This Row],[Column17]],Table110461117[[#This Row],[Column8]]),"A")</f>
        <v>2.25</v>
      </c>
      <c r="CG212" s="138"/>
      <c r="CH212" s="140">
        <f>IFERROR(AVERAGE('Review 1'!AX212,'Review 2'!AX212,'Review 3'!AX212,'Review 4'!AX212,'Reflection -1 '!AX212,'Reflection -2'!AX212,'Reflection -3'!AX212,'Reflection -4'!AX212),"A")</f>
        <v>2.75</v>
      </c>
      <c r="CI212" s="140">
        <f>IFERROR(AVERAGE('Review 1'!AY212,'Review 2'!AY212,'Review 3'!AY212,'Review 4'!AY212,'Reflection -1 '!AY212,'Reflection -2'!AY212,'Reflection -3'!AY212,'Reflection -4'!AY212,Capstone!AY213),"A")</f>
        <v>1.8888888888888888</v>
      </c>
      <c r="CJ212" s="140">
        <f>IFERROR(AVERAGE('Review 1'!AZ212,'Review 2'!AZ212,'Review 3'!AZ212,'Review 4'!AZ212,'Reflection -1 '!AZ212,'Reflection -2'!AZ212,'Reflection -3'!AZ212,'Reflection -4'!AZ212),"A")</f>
        <v>2</v>
      </c>
    </row>
    <row r="213" spans="1:88" s="122" customFormat="1" ht="23.1" customHeight="1" x14ac:dyDescent="0.3">
      <c r="A213" s="137">
        <v>211</v>
      </c>
      <c r="B213" s="62" t="s">
        <v>455</v>
      </c>
      <c r="C213" s="62" t="s">
        <v>456</v>
      </c>
      <c r="D213" s="62" t="s">
        <v>542</v>
      </c>
      <c r="E213" s="62" t="s">
        <v>289</v>
      </c>
      <c r="F213" s="139"/>
      <c r="G213" s="139">
        <f>'Review 1'!Q213</f>
        <v>2.2000000000000002</v>
      </c>
      <c r="H213" s="139">
        <f>'Review 1'!W213</f>
        <v>3</v>
      </c>
      <c r="I213" s="139">
        <f>'Review 1'!AC213</f>
        <v>3</v>
      </c>
      <c r="J213" s="139">
        <f>'Review 1'!AI213</f>
        <v>3</v>
      </c>
      <c r="K213" s="139"/>
      <c r="L213" s="139">
        <f>'Review 1'!AU213</f>
        <v>3</v>
      </c>
      <c r="M213" s="138"/>
      <c r="N213" s="139"/>
      <c r="O213" s="139">
        <f>'Review 2'!Q213</f>
        <v>2</v>
      </c>
      <c r="P213" s="139">
        <f>'Review 2'!W213</f>
        <v>2</v>
      </c>
      <c r="Q213" s="139">
        <f>'Review 2'!AC213</f>
        <v>2</v>
      </c>
      <c r="R213" s="139">
        <f>'Review 2'!AI213</f>
        <v>1</v>
      </c>
      <c r="S213" s="139"/>
      <c r="T213" s="139">
        <f>'Review 2'!AU213</f>
        <v>2</v>
      </c>
      <c r="U213" s="138"/>
      <c r="V213" s="62"/>
      <c r="W213" s="139">
        <f>'Review 3'!Q213</f>
        <v>3</v>
      </c>
      <c r="X213" s="139">
        <f>'Review 3'!W213</f>
        <v>0</v>
      </c>
      <c r="Y213" s="139">
        <f>'Review 3'!AC213</f>
        <v>0</v>
      </c>
      <c r="Z213" s="139">
        <f>'Review 3'!AI213</f>
        <v>0</v>
      </c>
      <c r="AA213" s="62"/>
      <c r="AB213" s="139">
        <f>'Review 3'!AU213</f>
        <v>0</v>
      </c>
      <c r="AC213" s="138"/>
      <c r="AD213" s="62"/>
      <c r="AE213" s="139">
        <f>'Review 4'!Q213</f>
        <v>4</v>
      </c>
      <c r="AF213" s="139">
        <f>'Review 4'!W213</f>
        <v>4</v>
      </c>
      <c r="AG213" s="139">
        <f>'Review 4'!AC213</f>
        <v>2.5</v>
      </c>
      <c r="AH213" s="139">
        <f>'Review 4'!AI213</f>
        <v>1</v>
      </c>
      <c r="AI213" s="139"/>
      <c r="AJ213" s="139">
        <f>'Review 4'!AU213</f>
        <v>3.6666666666666665</v>
      </c>
      <c r="AK213" s="138"/>
      <c r="AL213" s="62"/>
      <c r="AM213" s="139">
        <f>'Reflection -1 '!Q213</f>
        <v>0</v>
      </c>
      <c r="AN213" s="62"/>
      <c r="AO213" s="62"/>
      <c r="AP213" s="62"/>
      <c r="AQ213" s="62"/>
      <c r="AR213" s="62"/>
      <c r="AS213" s="138"/>
      <c r="AT213" s="62"/>
      <c r="AU213" s="139" t="str">
        <f>'Reflection -2'!Q213</f>
        <v>A</v>
      </c>
      <c r="AV213" s="62"/>
      <c r="AW213" s="62"/>
      <c r="AX213" s="62"/>
      <c r="AY213" s="139"/>
      <c r="AZ213" s="62"/>
      <c r="BA213" s="138"/>
      <c r="BB213" s="139"/>
      <c r="BC213" s="139" t="str">
        <f>'Reflection -3'!Q213</f>
        <v>A</v>
      </c>
      <c r="BD213" s="139"/>
      <c r="BE213" s="139"/>
      <c r="BF213" s="139"/>
      <c r="BG213" s="139"/>
      <c r="BH213" s="139"/>
      <c r="BI213" s="138"/>
      <c r="BJ213" s="139"/>
      <c r="BK213" s="139" t="str">
        <f>'Reflection -3'!Q213</f>
        <v>A</v>
      </c>
      <c r="BL213" s="62"/>
      <c r="BM213" s="139"/>
      <c r="BN213" s="62"/>
      <c r="BO213" s="139"/>
      <c r="BP213" s="139"/>
      <c r="BQ213" s="138"/>
      <c r="BR213" s="139"/>
      <c r="BS213" s="139">
        <f>Capstone!Q214</f>
        <v>3.3333333333333335</v>
      </c>
      <c r="BT213" s="139">
        <f>Capstone!W214</f>
        <v>3</v>
      </c>
      <c r="BU213" s="139">
        <f>Capstone!AC214</f>
        <v>3</v>
      </c>
      <c r="BV213" s="139">
        <f>Capstone!AI214</f>
        <v>3</v>
      </c>
      <c r="BW213" s="139">
        <f>Capstone!AO214</f>
        <v>3</v>
      </c>
      <c r="BX213" s="139">
        <f>Capstone!AU214</f>
        <v>3</v>
      </c>
      <c r="BY213" s="138"/>
      <c r="BZ213" s="139"/>
      <c r="CA21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2.2399999999999998</v>
      </c>
      <c r="CB213" s="139">
        <f>IFERROR(AVERAGE(Table110461117[[#This Row],[Column31]],Table110461117[[#This Row],[Column13]],Table110461117[[#This Row],[Column4]],Table110461117[[#This Row],[Column22]],),"A")</f>
        <v>1.8</v>
      </c>
      <c r="CC213" s="139">
        <f>IFERROR(AVERAGE(Table110461117[[#This Row],[Column5]],Table110461117[[#This Row],[Column14]],Table110461117[[#This Row],[Column23]],Table110461117[[#This Row],[Column32]]),"A")</f>
        <v>1.875</v>
      </c>
      <c r="CD213" s="139">
        <f>IFERROR(AVERAGE(Table110461117[[#This Row],[Column6]],Table110461117[[#This Row],[Column15]],Table110461117[[#This Row],[Column24]],Table110461117[[#This Row],[Column33]]),"A")</f>
        <v>1.25</v>
      </c>
      <c r="CE213" s="139"/>
      <c r="CF213" s="139">
        <f>IFERROR(AVERAGE(Table110461117[[#This Row],[Column26]],Table110461117[[#This Row],[Column35]],Table110461117[[#This Row],[Column17]],Table110461117[[#This Row],[Column8]]),"A")</f>
        <v>2.1666666666666665</v>
      </c>
      <c r="CG213" s="138"/>
      <c r="CH213" s="139">
        <f>IFERROR(AVERAGE('Review 1'!AX213,'Review 2'!AX213,'Review 3'!AX213,'Review 4'!AX213,'Reflection -1 '!AX213,'Reflection -2'!AX213,'Reflection -3'!AX213,'Reflection -4'!AX213),"A")</f>
        <v>1.2</v>
      </c>
      <c r="CI213" s="139">
        <f>IFERROR(AVERAGE('Review 1'!AY213,'Review 2'!AY213,'Review 3'!AY213,'Review 4'!AY213,'Reflection -1 '!AY213,'Reflection -2'!AY213,'Reflection -3'!AY213,'Reflection -4'!AY213,Capstone!AY214),"A")</f>
        <v>1.6666666666666667</v>
      </c>
      <c r="CJ213" s="139">
        <f>IFERROR(AVERAGE('Review 1'!AZ213,'Review 2'!AZ213,'Review 3'!AZ213,'Review 4'!AZ213,'Reflection -1 '!AZ213,'Reflection -2'!AZ213,'Reflection -3'!AZ213,'Reflection -4'!AZ213),"A")</f>
        <v>1.2</v>
      </c>
    </row>
    <row r="214" spans="1:88" s="122" customFormat="1" ht="23.1" customHeight="1" x14ac:dyDescent="0.3">
      <c r="A214" s="6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140"/>
      <c r="G214" s="140">
        <f>'Review 1'!Q214</f>
        <v>2.6</v>
      </c>
      <c r="H214" s="140">
        <f>'Review 1'!W214</f>
        <v>2</v>
      </c>
      <c r="I214" s="140">
        <f>'Review 1'!AC214</f>
        <v>2</v>
      </c>
      <c r="J214" s="140">
        <f>'Review 1'!AI214</f>
        <v>3</v>
      </c>
      <c r="K214" s="140"/>
      <c r="L214" s="140">
        <f>'Review 1'!AU214</f>
        <v>3</v>
      </c>
      <c r="M214" s="138"/>
      <c r="N214" s="140"/>
      <c r="O214" s="140">
        <f>'Review 2'!Q214</f>
        <v>2</v>
      </c>
      <c r="P214" s="140">
        <f>'Review 2'!W214</f>
        <v>2</v>
      </c>
      <c r="Q214" s="140">
        <f>'Review 2'!AC214</f>
        <v>2</v>
      </c>
      <c r="R214" s="140">
        <f>'Review 2'!AI214</f>
        <v>1</v>
      </c>
      <c r="S214" s="140"/>
      <c r="T214" s="140">
        <f>'Review 2'!AU214</f>
        <v>2</v>
      </c>
      <c r="U214" s="138"/>
      <c r="V214" s="7"/>
      <c r="W214" s="140">
        <f>'Review 3'!Q214</f>
        <v>1.4</v>
      </c>
      <c r="X214" s="140">
        <f>'Review 3'!W214</f>
        <v>2</v>
      </c>
      <c r="Y214" s="140">
        <f>'Review 3'!AC214</f>
        <v>2</v>
      </c>
      <c r="Z214" s="140">
        <f>'Review 3'!AI214</f>
        <v>2</v>
      </c>
      <c r="AA214" s="7"/>
      <c r="AB214" s="140">
        <f>'Review 3'!AU214</f>
        <v>2</v>
      </c>
      <c r="AC214" s="138"/>
      <c r="AD214" s="7"/>
      <c r="AE214" s="140">
        <f>'Review 4'!Q214</f>
        <v>2</v>
      </c>
      <c r="AF214" s="140">
        <f>'Review 4'!W214</f>
        <v>2</v>
      </c>
      <c r="AG214" s="140">
        <f>'Review 4'!AC214</f>
        <v>2</v>
      </c>
      <c r="AH214" s="140">
        <f>'Review 4'!AI214</f>
        <v>2</v>
      </c>
      <c r="AI214" s="140"/>
      <c r="AJ214" s="140">
        <f>'Review 4'!AU214</f>
        <v>2</v>
      </c>
      <c r="AK214" s="138"/>
      <c r="AL214" s="7"/>
      <c r="AM214" s="140">
        <f>'Reflection -1 '!Q214</f>
        <v>1</v>
      </c>
      <c r="AN214" s="7"/>
      <c r="AO214" s="7"/>
      <c r="AP214" s="7"/>
      <c r="AQ214" s="7"/>
      <c r="AR214" s="7"/>
      <c r="AS214" s="138"/>
      <c r="AT214" s="7"/>
      <c r="AU214" s="140">
        <f>'Reflection -2'!Q214</f>
        <v>2</v>
      </c>
      <c r="AV214" s="7"/>
      <c r="AW214" s="7"/>
      <c r="AX214" s="7"/>
      <c r="AY214" s="140"/>
      <c r="AZ214" s="7"/>
      <c r="BA214" s="138"/>
      <c r="BB214" s="140"/>
      <c r="BC214" s="140">
        <f>'Reflection -3'!Q214</f>
        <v>2</v>
      </c>
      <c r="BD214" s="140"/>
      <c r="BE214" s="140"/>
      <c r="BF214" s="140"/>
      <c r="BG214" s="140"/>
      <c r="BH214" s="140"/>
      <c r="BI214" s="138"/>
      <c r="BJ214" s="140"/>
      <c r="BK214" s="140">
        <f>'Reflection -3'!Q214</f>
        <v>2</v>
      </c>
      <c r="BL214" s="7"/>
      <c r="BM214" s="140"/>
      <c r="BN214" s="7"/>
      <c r="BO214" s="140"/>
      <c r="BP214" s="140"/>
      <c r="BQ214" s="138"/>
      <c r="BR214" s="140"/>
      <c r="BS214" s="140">
        <f>Capstone!Q215</f>
        <v>5</v>
      </c>
      <c r="BT214" s="140">
        <f>Capstone!W215</f>
        <v>5</v>
      </c>
      <c r="BU214" s="140">
        <f>Capstone!AC215</f>
        <v>5</v>
      </c>
      <c r="BV214" s="140">
        <f>Capstone!AI215</f>
        <v>5</v>
      </c>
      <c r="BW214" s="140">
        <f>Capstone!AO215</f>
        <v>5</v>
      </c>
      <c r="BX214" s="140">
        <f>Capstone!AU215</f>
        <v>5</v>
      </c>
      <c r="BY214" s="138"/>
      <c r="BZ214" s="140"/>
      <c r="CA21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1.875</v>
      </c>
      <c r="CB214" s="140">
        <f>IFERROR(AVERAGE(Table110461117[[#This Row],[Column31]],Table110461117[[#This Row],[Column13]],Table110461117[[#This Row],[Column4]],Table110461117[[#This Row],[Column22]],),"A")</f>
        <v>1.6</v>
      </c>
      <c r="CC214" s="140">
        <f>IFERROR(AVERAGE(Table110461117[[#This Row],[Column5]],Table110461117[[#This Row],[Column14]],Table110461117[[#This Row],[Column23]],Table110461117[[#This Row],[Column32]]),"A")</f>
        <v>2</v>
      </c>
      <c r="CD214" s="140">
        <f>IFERROR(AVERAGE(Table110461117[[#This Row],[Column6]],Table110461117[[#This Row],[Column15]],Table110461117[[#This Row],[Column24]],Table110461117[[#This Row],[Column33]]),"A")</f>
        <v>2</v>
      </c>
      <c r="CE214" s="140"/>
      <c r="CF214" s="140">
        <f>IFERROR(AVERAGE(Table110461117[[#This Row],[Column26]],Table110461117[[#This Row],[Column35]],Table110461117[[#This Row],[Column17]],Table110461117[[#This Row],[Column8]]),"A")</f>
        <v>2.25</v>
      </c>
      <c r="CG214" s="138"/>
      <c r="CH214" s="140">
        <f>IFERROR(AVERAGE('Review 1'!AX214,'Review 2'!AX214,'Review 3'!AX214,'Review 4'!AX214,'Reflection -1 '!AX214,'Reflection -2'!AX214,'Reflection -3'!AX214,'Reflection -4'!AX214),"A")</f>
        <v>2.25</v>
      </c>
      <c r="CI214" s="140">
        <f>IFERROR(AVERAGE('Review 1'!AY214,'Review 2'!AY214,'Review 3'!AY214,'Review 4'!AY214,'Reflection -1 '!AY214,'Reflection -2'!AY214,'Reflection -3'!AY214,'Reflection -4'!AY214,Capstone!AY215),"A")</f>
        <v>2.4444444444444446</v>
      </c>
      <c r="CJ214" s="140">
        <f>IFERROR(AVERAGE('Review 1'!AZ214,'Review 2'!AZ214,'Review 3'!AZ214,'Review 4'!AZ214,'Reflection -1 '!AZ214,'Reflection -2'!AZ214,'Reflection -3'!AZ214,'Reflection -4'!AZ214),"A")</f>
        <v>2</v>
      </c>
    </row>
    <row r="215" spans="1:88" s="122" customFormat="1" ht="23.1" customHeight="1" x14ac:dyDescent="0.3">
      <c r="A215" s="137">
        <v>213</v>
      </c>
      <c r="B215" s="62" t="s">
        <v>459</v>
      </c>
      <c r="C215" s="62" t="s">
        <v>460</v>
      </c>
      <c r="D215" s="62" t="s">
        <v>542</v>
      </c>
      <c r="E215" s="62" t="s">
        <v>289</v>
      </c>
      <c r="F215" s="139"/>
      <c r="G215" s="139">
        <f>'Review 1'!Q215</f>
        <v>2.8</v>
      </c>
      <c r="H215" s="139">
        <f>'Review 1'!W215</f>
        <v>2</v>
      </c>
      <c r="I215" s="139">
        <f>'Review 1'!AC215</f>
        <v>2</v>
      </c>
      <c r="J215" s="139">
        <f>'Review 1'!AI215</f>
        <v>3</v>
      </c>
      <c r="K215" s="139"/>
      <c r="L215" s="139">
        <f>'Review 1'!AU215</f>
        <v>3</v>
      </c>
      <c r="M215" s="138"/>
      <c r="N215" s="139"/>
      <c r="O215" s="139">
        <f>'Review 2'!Q215</f>
        <v>2.4</v>
      </c>
      <c r="P215" s="139">
        <f>'Review 2'!W215</f>
        <v>2</v>
      </c>
      <c r="Q215" s="139">
        <f>'Review 2'!AC215</f>
        <v>2</v>
      </c>
      <c r="R215" s="139">
        <f>'Review 2'!AI215</f>
        <v>1.5</v>
      </c>
      <c r="S215" s="139"/>
      <c r="T215" s="139">
        <f>'Review 2'!AU215</f>
        <v>2.3333333333333335</v>
      </c>
      <c r="U215" s="138"/>
      <c r="V215" s="62"/>
      <c r="W215" s="139">
        <f>'Review 3'!Q215</f>
        <v>1.4</v>
      </c>
      <c r="X215" s="139">
        <f>'Review 3'!W215</f>
        <v>0</v>
      </c>
      <c r="Y215" s="139">
        <f>'Review 3'!AC215</f>
        <v>0</v>
      </c>
      <c r="Z215" s="139">
        <f>'Review 3'!AI215</f>
        <v>0</v>
      </c>
      <c r="AA215" s="62"/>
      <c r="AB215" s="139">
        <f>'Review 3'!AU215</f>
        <v>0</v>
      </c>
      <c r="AC215" s="138"/>
      <c r="AD215" s="62"/>
      <c r="AE215" s="139">
        <f>'Review 4'!Q215</f>
        <v>3.2</v>
      </c>
      <c r="AF215" s="139">
        <f>'Review 4'!W215</f>
        <v>3</v>
      </c>
      <c r="AG215" s="139">
        <f>'Review 4'!AC215</f>
        <v>1.5</v>
      </c>
      <c r="AH215" s="139">
        <f>'Review 4'!AI215</f>
        <v>2.5</v>
      </c>
      <c r="AI215" s="139"/>
      <c r="AJ215" s="139">
        <f>'Review 4'!AU215</f>
        <v>1.3333333333333333</v>
      </c>
      <c r="AK215" s="138"/>
      <c r="AL215" s="62"/>
      <c r="AM215" s="139">
        <f>'Reflection -1 '!Q215</f>
        <v>2.3333333333333335</v>
      </c>
      <c r="AN215" s="62"/>
      <c r="AO215" s="62"/>
      <c r="AP215" s="62"/>
      <c r="AQ215" s="62"/>
      <c r="AR215" s="62"/>
      <c r="AS215" s="138"/>
      <c r="AT215" s="62"/>
      <c r="AU215" s="139">
        <f>'Reflection -2'!Q215</f>
        <v>1</v>
      </c>
      <c r="AV215" s="62"/>
      <c r="AW215" s="62"/>
      <c r="AX215" s="62"/>
      <c r="AY215" s="139"/>
      <c r="AZ215" s="62"/>
      <c r="BA215" s="138"/>
      <c r="BB215" s="139"/>
      <c r="BC215" s="139">
        <f>'Reflection -3'!Q215</f>
        <v>1.6666666666666667</v>
      </c>
      <c r="BD215" s="139"/>
      <c r="BE215" s="139"/>
      <c r="BF215" s="139"/>
      <c r="BG215" s="139"/>
      <c r="BH215" s="139"/>
      <c r="BI215" s="138"/>
      <c r="BJ215" s="139"/>
      <c r="BK215" s="139">
        <f>'Reflection -3'!Q215</f>
        <v>1.6666666666666667</v>
      </c>
      <c r="BL215" s="62"/>
      <c r="BM215" s="139"/>
      <c r="BN215" s="62"/>
      <c r="BO215" s="139"/>
      <c r="BP215" s="139"/>
      <c r="BQ215" s="138"/>
      <c r="BR215" s="139"/>
      <c r="BS215" s="139">
        <f>Capstone!Q216</f>
        <v>3.3333333333333335</v>
      </c>
      <c r="BT215" s="139">
        <f>Capstone!W216</f>
        <v>4</v>
      </c>
      <c r="BU215" s="139">
        <f>Capstone!AC216</f>
        <v>4</v>
      </c>
      <c r="BV215" s="139">
        <f>Capstone!AI216</f>
        <v>3</v>
      </c>
      <c r="BW215" s="139">
        <f>Capstone!AO216</f>
        <v>4</v>
      </c>
      <c r="BX215" s="139">
        <f>Capstone!AU216</f>
        <v>3</v>
      </c>
      <c r="BY215" s="138"/>
      <c r="BZ215" s="139"/>
      <c r="CA21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2.0583333333333331</v>
      </c>
      <c r="CB215" s="139">
        <f>IFERROR(AVERAGE(Table110461117[[#This Row],[Column31]],Table110461117[[#This Row],[Column13]],Table110461117[[#This Row],[Column4]],Table110461117[[#This Row],[Column22]],),"A")</f>
        <v>1.4</v>
      </c>
      <c r="CC215" s="139">
        <f>IFERROR(AVERAGE(Table110461117[[#This Row],[Column5]],Table110461117[[#This Row],[Column14]],Table110461117[[#This Row],[Column23]],Table110461117[[#This Row],[Column32]]),"A")</f>
        <v>1.375</v>
      </c>
      <c r="CD215" s="139">
        <f>IFERROR(AVERAGE(Table110461117[[#This Row],[Column6]],Table110461117[[#This Row],[Column15]],Table110461117[[#This Row],[Column24]],Table110461117[[#This Row],[Column33]]),"A")</f>
        <v>1.75</v>
      </c>
      <c r="CE215" s="139"/>
      <c r="CF215" s="139">
        <f>IFERROR(AVERAGE(Table110461117[[#This Row],[Column26]],Table110461117[[#This Row],[Column35]],Table110461117[[#This Row],[Column17]],Table110461117[[#This Row],[Column8]]),"A")</f>
        <v>1.6666666666666667</v>
      </c>
      <c r="CG215" s="138"/>
      <c r="CH215" s="139">
        <f>IFERROR(AVERAGE('Review 1'!AX215,'Review 2'!AX215,'Review 3'!AX215,'Review 4'!AX215,'Reflection -1 '!AX215,'Reflection -2'!AX215,'Reflection -3'!AX215,'Reflection -4'!AX215),"A")</f>
        <v>2.625</v>
      </c>
      <c r="CI215" s="139">
        <f>IFERROR(AVERAGE('Review 1'!AY215,'Review 2'!AY215,'Review 3'!AY215,'Review 4'!AY215,'Reflection -1 '!AY215,'Reflection -2'!AY215,'Reflection -3'!AY215,'Reflection -4'!AY215,Capstone!AY216),"A")</f>
        <v>2.4444444444444446</v>
      </c>
      <c r="CJ215" s="139">
        <f>IFERROR(AVERAGE('Review 1'!AZ215,'Review 2'!AZ215,'Review 3'!AZ215,'Review 4'!AZ215,'Reflection -1 '!AZ215,'Reflection -2'!AZ215,'Reflection -3'!AZ215,'Reflection -4'!AZ215),"A")</f>
        <v>1.75</v>
      </c>
    </row>
    <row r="216" spans="1:88" s="122" customFormat="1" ht="23.1" customHeight="1" x14ac:dyDescent="0.3">
      <c r="A216" s="6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140"/>
      <c r="G216" s="140">
        <f>'Review 1'!Q216</f>
        <v>2.6</v>
      </c>
      <c r="H216" s="140">
        <f>'Review 1'!W216</f>
        <v>3</v>
      </c>
      <c r="I216" s="140">
        <f>'Review 1'!AC216</f>
        <v>3</v>
      </c>
      <c r="J216" s="140">
        <f>'Review 1'!AI216</f>
        <v>3</v>
      </c>
      <c r="K216" s="140"/>
      <c r="L216" s="140">
        <f>'Review 1'!AU216</f>
        <v>3</v>
      </c>
      <c r="M216" s="138"/>
      <c r="N216" s="140"/>
      <c r="O216" s="140">
        <f>'Review 2'!Q216</f>
        <v>2.6</v>
      </c>
      <c r="P216" s="140">
        <f>'Review 2'!W216</f>
        <v>2</v>
      </c>
      <c r="Q216" s="140">
        <f>'Review 2'!AC216</f>
        <v>2</v>
      </c>
      <c r="R216" s="140">
        <f>'Review 2'!AI216</f>
        <v>1</v>
      </c>
      <c r="S216" s="140"/>
      <c r="T216" s="140">
        <f>'Review 2'!AU216</f>
        <v>2</v>
      </c>
      <c r="U216" s="138"/>
      <c r="V216" s="7"/>
      <c r="W216" s="140">
        <f>'Review 3'!Q216</f>
        <v>2.2000000000000002</v>
      </c>
      <c r="X216" s="140">
        <f>'Review 3'!W216</f>
        <v>0</v>
      </c>
      <c r="Y216" s="140">
        <f>'Review 3'!AC216</f>
        <v>0</v>
      </c>
      <c r="Z216" s="140">
        <f>'Review 3'!AI216</f>
        <v>0</v>
      </c>
      <c r="AA216" s="7"/>
      <c r="AB216" s="140">
        <f>'Review 3'!AU216</f>
        <v>0</v>
      </c>
      <c r="AC216" s="138"/>
      <c r="AD216" s="7"/>
      <c r="AE216" s="140">
        <f>'Review 4'!Q216</f>
        <v>3.6</v>
      </c>
      <c r="AF216" s="140">
        <f>'Review 4'!W216</f>
        <v>2.3333333333333335</v>
      </c>
      <c r="AG216" s="140">
        <f>'Review 4'!AC216</f>
        <v>2</v>
      </c>
      <c r="AH216" s="140">
        <f>'Review 4'!AI216</f>
        <v>2</v>
      </c>
      <c r="AI216" s="140"/>
      <c r="AJ216" s="140">
        <f>'Review 4'!AU216</f>
        <v>2</v>
      </c>
      <c r="AK216" s="138"/>
      <c r="AL216" s="7"/>
      <c r="AM216" s="140">
        <f>'Reflection -1 '!Q216</f>
        <v>1</v>
      </c>
      <c r="AN216" s="7"/>
      <c r="AO216" s="7"/>
      <c r="AP216" s="7"/>
      <c r="AQ216" s="7"/>
      <c r="AR216" s="7"/>
      <c r="AS216" s="138"/>
      <c r="AT216" s="7"/>
      <c r="AU216" s="140">
        <f>'Reflection -2'!Q216</f>
        <v>2.6666666666666665</v>
      </c>
      <c r="AV216" s="7"/>
      <c r="AW216" s="7"/>
      <c r="AX216" s="7"/>
      <c r="AY216" s="140"/>
      <c r="AZ216" s="7"/>
      <c r="BA216" s="138"/>
      <c r="BB216" s="140"/>
      <c r="BC216" s="140">
        <f>'Reflection -3'!Q216</f>
        <v>1.6666666666666667</v>
      </c>
      <c r="BD216" s="140"/>
      <c r="BE216" s="140"/>
      <c r="BF216" s="140"/>
      <c r="BG216" s="140"/>
      <c r="BH216" s="140"/>
      <c r="BI216" s="138"/>
      <c r="BJ216" s="140"/>
      <c r="BK216" s="140">
        <f>'Reflection -3'!Q216</f>
        <v>1.6666666666666667</v>
      </c>
      <c r="BL216" s="7"/>
      <c r="BM216" s="140"/>
      <c r="BN216" s="7"/>
      <c r="BO216" s="140"/>
      <c r="BP216" s="140"/>
      <c r="BQ216" s="138"/>
      <c r="BR216" s="140"/>
      <c r="BS216" s="140">
        <f>Capstone!Q217</f>
        <v>4.666666666666667</v>
      </c>
      <c r="BT216" s="140">
        <f>Capstone!W217</f>
        <v>4</v>
      </c>
      <c r="BU216" s="140">
        <f>Capstone!AC217</f>
        <v>4</v>
      </c>
      <c r="BV216" s="140">
        <f>Capstone!AI217</f>
        <v>5</v>
      </c>
      <c r="BW216" s="140">
        <f>Capstone!AO217</f>
        <v>4</v>
      </c>
      <c r="BX216" s="140">
        <f>Capstone!AU217</f>
        <v>4</v>
      </c>
      <c r="BY216" s="138"/>
      <c r="BZ216" s="140"/>
      <c r="CA21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2.25</v>
      </c>
      <c r="CB216" s="140">
        <f>IFERROR(AVERAGE(Table110461117[[#This Row],[Column31]],Table110461117[[#This Row],[Column13]],Table110461117[[#This Row],[Column4]],Table110461117[[#This Row],[Column22]],),"A")</f>
        <v>1.4666666666666668</v>
      </c>
      <c r="CC216" s="140">
        <f>IFERROR(AVERAGE(Table110461117[[#This Row],[Column5]],Table110461117[[#This Row],[Column14]],Table110461117[[#This Row],[Column23]],Table110461117[[#This Row],[Column32]]),"A")</f>
        <v>1.75</v>
      </c>
      <c r="CD216" s="140">
        <f>IFERROR(AVERAGE(Table110461117[[#This Row],[Column6]],Table110461117[[#This Row],[Column15]],Table110461117[[#This Row],[Column24]],Table110461117[[#This Row],[Column33]]),"A")</f>
        <v>1.5</v>
      </c>
      <c r="CE216" s="140"/>
      <c r="CF216" s="140">
        <f>IFERROR(AVERAGE(Table110461117[[#This Row],[Column26]],Table110461117[[#This Row],[Column35]],Table110461117[[#This Row],[Column17]],Table110461117[[#This Row],[Column8]]),"A")</f>
        <v>1.75</v>
      </c>
      <c r="CG216" s="138"/>
      <c r="CH216" s="140">
        <f>IFERROR(AVERAGE('Review 1'!AX216,'Review 2'!AX216,'Review 3'!AX216,'Review 4'!AX216,'Reflection -1 '!AX216,'Reflection -2'!AX216,'Reflection -3'!AX216,'Reflection -4'!AX216),"A")</f>
        <v>2.5</v>
      </c>
      <c r="CI216" s="140">
        <f>IFERROR(AVERAGE('Review 1'!AY216,'Review 2'!AY216,'Review 3'!AY216,'Review 4'!AY216,'Reflection -1 '!AY216,'Reflection -2'!AY216,'Reflection -3'!AY216,'Reflection -4'!AY216,Capstone!AY217),"A")</f>
        <v>2.2222222222222223</v>
      </c>
      <c r="CJ216" s="140">
        <f>IFERROR(AVERAGE('Review 1'!AZ216,'Review 2'!AZ216,'Review 3'!AZ216,'Review 4'!AZ216,'Reflection -1 '!AZ216,'Reflection -2'!AZ216,'Reflection -3'!AZ216,'Reflection -4'!AZ216),"A")</f>
        <v>1.75</v>
      </c>
    </row>
    <row r="217" spans="1:88" s="122" customFormat="1" ht="23.1" customHeight="1" x14ac:dyDescent="0.3">
      <c r="A217" s="137">
        <v>215</v>
      </c>
      <c r="B217" s="62" t="s">
        <v>463</v>
      </c>
      <c r="C217" s="62" t="s">
        <v>464</v>
      </c>
      <c r="D217" s="62" t="s">
        <v>450</v>
      </c>
      <c r="E217" s="62" t="s">
        <v>289</v>
      </c>
      <c r="F217" s="139"/>
      <c r="G217" s="139">
        <f>'Review 1'!Q217</f>
        <v>2.6</v>
      </c>
      <c r="H217" s="139">
        <f>'Review 1'!W217</f>
        <v>3</v>
      </c>
      <c r="I217" s="139">
        <f>'Review 1'!AC217</f>
        <v>3</v>
      </c>
      <c r="J217" s="139">
        <f>'Review 1'!AI217</f>
        <v>3</v>
      </c>
      <c r="K217" s="139"/>
      <c r="L217" s="139">
        <f>'Review 1'!AU217</f>
        <v>3</v>
      </c>
      <c r="M217" s="138"/>
      <c r="N217" s="139"/>
      <c r="O217" s="139">
        <f>'Review 2'!Q217</f>
        <v>2.4</v>
      </c>
      <c r="P217" s="139">
        <f>'Review 2'!W217</f>
        <v>2</v>
      </c>
      <c r="Q217" s="139">
        <f>'Review 2'!AC217</f>
        <v>2</v>
      </c>
      <c r="R217" s="139">
        <f>'Review 2'!AI217</f>
        <v>1</v>
      </c>
      <c r="S217" s="139"/>
      <c r="T217" s="139">
        <f>'Review 2'!AU217</f>
        <v>2</v>
      </c>
      <c r="U217" s="138"/>
      <c r="V217" s="62"/>
      <c r="W217" s="139">
        <f>'Review 3'!Q217</f>
        <v>2.2000000000000002</v>
      </c>
      <c r="X217" s="139">
        <f>'Review 3'!W217</f>
        <v>2</v>
      </c>
      <c r="Y217" s="139">
        <f>'Review 3'!AC217</f>
        <v>2</v>
      </c>
      <c r="Z217" s="139">
        <f>'Review 3'!AI217</f>
        <v>2</v>
      </c>
      <c r="AA217" s="62"/>
      <c r="AB217" s="139">
        <f>'Review 3'!AU217</f>
        <v>2</v>
      </c>
      <c r="AC217" s="138"/>
      <c r="AD217" s="62"/>
      <c r="AE217" s="139">
        <f>'Review 4'!Q217</f>
        <v>2.2000000000000002</v>
      </c>
      <c r="AF217" s="139">
        <f>'Review 4'!W217</f>
        <v>3.3333333333333335</v>
      </c>
      <c r="AG217" s="139">
        <f>'Review 4'!AC217</f>
        <v>2</v>
      </c>
      <c r="AH217" s="139">
        <f>'Review 4'!AI217</f>
        <v>1</v>
      </c>
      <c r="AI217" s="139"/>
      <c r="AJ217" s="139">
        <f>'Review 4'!AU217</f>
        <v>3.6666666666666665</v>
      </c>
      <c r="AK217" s="138"/>
      <c r="AL217" s="62"/>
      <c r="AM217" s="139">
        <f>'Reflection -1 '!Q217</f>
        <v>2.6666666666666665</v>
      </c>
      <c r="AN217" s="62"/>
      <c r="AO217" s="62"/>
      <c r="AP217" s="62"/>
      <c r="AQ217" s="62"/>
      <c r="AR217" s="62"/>
      <c r="AS217" s="138"/>
      <c r="AT217" s="62"/>
      <c r="AU217" s="139">
        <f>'Reflection -2'!Q217</f>
        <v>2.3333333333333335</v>
      </c>
      <c r="AV217" s="62"/>
      <c r="AW217" s="62"/>
      <c r="AX217" s="62"/>
      <c r="AY217" s="139"/>
      <c r="AZ217" s="62"/>
      <c r="BA217" s="138"/>
      <c r="BB217" s="139"/>
      <c r="BC217" s="139">
        <f>'Reflection -3'!Q217</f>
        <v>2</v>
      </c>
      <c r="BD217" s="139"/>
      <c r="BE217" s="139"/>
      <c r="BF217" s="139"/>
      <c r="BG217" s="139"/>
      <c r="BH217" s="139"/>
      <c r="BI217" s="138"/>
      <c r="BJ217" s="139"/>
      <c r="BK217" s="139">
        <f>'Reflection -3'!Q217</f>
        <v>2</v>
      </c>
      <c r="BL217" s="62"/>
      <c r="BM217" s="139"/>
      <c r="BN217" s="62"/>
      <c r="BO217" s="139"/>
      <c r="BP217" s="139"/>
      <c r="BQ217" s="138"/>
      <c r="BR217" s="139"/>
      <c r="BS217" s="139">
        <f>Capstone!Q218</f>
        <v>3.3333333333333335</v>
      </c>
      <c r="BT217" s="139">
        <f>Capstone!W218</f>
        <v>4</v>
      </c>
      <c r="BU217" s="139">
        <f>Capstone!AC218</f>
        <v>4</v>
      </c>
      <c r="BV217" s="139">
        <f>Capstone!AI218</f>
        <v>3</v>
      </c>
      <c r="BW217" s="139">
        <f>Capstone!AO218</f>
        <v>4</v>
      </c>
      <c r="BX217" s="139">
        <f>Capstone!AU218</f>
        <v>3</v>
      </c>
      <c r="BY217" s="138"/>
      <c r="BZ217" s="139"/>
      <c r="CA21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2.2999999999999998</v>
      </c>
      <c r="CB217" s="139">
        <f>IFERROR(AVERAGE(Table110461117[[#This Row],[Column31]],Table110461117[[#This Row],[Column13]],Table110461117[[#This Row],[Column4]],Table110461117[[#This Row],[Column22]],),"A")</f>
        <v>2.0666666666666669</v>
      </c>
      <c r="CC217" s="139">
        <f>IFERROR(AVERAGE(Table110461117[[#This Row],[Column5]],Table110461117[[#This Row],[Column14]],Table110461117[[#This Row],[Column23]],Table110461117[[#This Row],[Column32]]),"A")</f>
        <v>2.25</v>
      </c>
      <c r="CD217" s="139">
        <f>IFERROR(AVERAGE(Table110461117[[#This Row],[Column6]],Table110461117[[#This Row],[Column15]],Table110461117[[#This Row],[Column24]],Table110461117[[#This Row],[Column33]]),"A")</f>
        <v>1.75</v>
      </c>
      <c r="CE217" s="139"/>
      <c r="CF217" s="139">
        <f>IFERROR(AVERAGE(Table110461117[[#This Row],[Column26]],Table110461117[[#This Row],[Column35]],Table110461117[[#This Row],[Column17]],Table110461117[[#This Row],[Column8]]),"A")</f>
        <v>2.6666666666666665</v>
      </c>
      <c r="CG217" s="138"/>
      <c r="CH217" s="139">
        <f>IFERROR(AVERAGE('Review 1'!AX217,'Review 2'!AX217,'Review 3'!AX217,'Review 4'!AX217,'Reflection -1 '!AX217,'Reflection -2'!AX217,'Reflection -3'!AX217,'Reflection -4'!AX217),"A")</f>
        <v>2.5</v>
      </c>
      <c r="CI217" s="139">
        <f>IFERROR(AVERAGE('Review 1'!AY217,'Review 2'!AY217,'Review 3'!AY217,'Review 4'!AY217,'Reflection -1 '!AY217,'Reflection -2'!AY217,'Reflection -3'!AY217,'Reflection -4'!AY217,Capstone!AY218),"A")</f>
        <v>2.2222222222222223</v>
      </c>
      <c r="CJ217" s="139">
        <f>IFERROR(AVERAGE('Review 1'!AZ217,'Review 2'!AZ217,'Review 3'!AZ217,'Review 4'!AZ217,'Reflection -1 '!AZ217,'Reflection -2'!AZ217,'Reflection -3'!AZ217,'Reflection -4'!AZ217),"A")</f>
        <v>2</v>
      </c>
    </row>
    <row r="218" spans="1:88" s="122" customFormat="1" ht="23.1" customHeight="1" x14ac:dyDescent="0.3">
      <c r="A218" s="6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140"/>
      <c r="G218" s="140">
        <f>'Review 1'!Q218</f>
        <v>3</v>
      </c>
      <c r="H218" s="140">
        <f>'Review 1'!W218</f>
        <v>2</v>
      </c>
      <c r="I218" s="140">
        <f>'Review 1'!AC218</f>
        <v>2</v>
      </c>
      <c r="J218" s="140">
        <f>'Review 1'!AI218</f>
        <v>3</v>
      </c>
      <c r="K218" s="140"/>
      <c r="L218" s="140">
        <f>'Review 1'!AU218</f>
        <v>3</v>
      </c>
      <c r="M218" s="138"/>
      <c r="N218" s="140"/>
      <c r="O218" s="140">
        <f>'Review 2'!Q218</f>
        <v>2</v>
      </c>
      <c r="P218" s="140">
        <f>'Review 2'!W218</f>
        <v>2</v>
      </c>
      <c r="Q218" s="140">
        <f>'Review 2'!AC218</f>
        <v>2</v>
      </c>
      <c r="R218" s="140">
        <f>'Review 2'!AI218</f>
        <v>1</v>
      </c>
      <c r="S218" s="140"/>
      <c r="T218" s="140">
        <f>'Review 2'!AU218</f>
        <v>2</v>
      </c>
      <c r="U218" s="138"/>
      <c r="V218" s="7"/>
      <c r="W218" s="140">
        <f>'Review 3'!Q218</f>
        <v>2.2000000000000002</v>
      </c>
      <c r="X218" s="140">
        <f>'Review 3'!W218</f>
        <v>0</v>
      </c>
      <c r="Y218" s="140">
        <f>'Review 3'!AC218</f>
        <v>0</v>
      </c>
      <c r="Z218" s="140">
        <f>'Review 3'!AI218</f>
        <v>0</v>
      </c>
      <c r="AA218" s="7"/>
      <c r="AB218" s="140">
        <f>'Review 3'!AU218</f>
        <v>0</v>
      </c>
      <c r="AC218" s="138"/>
      <c r="AD218" s="7"/>
      <c r="AE218" s="140">
        <f>'Review 4'!Q218</f>
        <v>2.8</v>
      </c>
      <c r="AF218" s="140">
        <f>'Review 4'!W218</f>
        <v>2</v>
      </c>
      <c r="AG218" s="140">
        <f>'Review 4'!AC218</f>
        <v>1</v>
      </c>
      <c r="AH218" s="140">
        <f>'Review 4'!AI218</f>
        <v>1</v>
      </c>
      <c r="AI218" s="140"/>
      <c r="AJ218" s="140">
        <f>'Review 4'!AU218</f>
        <v>1.6666666666666667</v>
      </c>
      <c r="AK218" s="138"/>
      <c r="AL218" s="7"/>
      <c r="AM218" s="140">
        <f>'Reflection -1 '!Q218</f>
        <v>3.3333333333333335</v>
      </c>
      <c r="AN218" s="7"/>
      <c r="AO218" s="7"/>
      <c r="AP218" s="7"/>
      <c r="AQ218" s="7"/>
      <c r="AR218" s="7"/>
      <c r="AS218" s="138"/>
      <c r="AT218" s="7"/>
      <c r="AU218" s="140">
        <f>'Reflection -2'!Q218</f>
        <v>2.3333333333333335</v>
      </c>
      <c r="AV218" s="7"/>
      <c r="AW218" s="7"/>
      <c r="AX218" s="7"/>
      <c r="AY218" s="140"/>
      <c r="AZ218" s="7"/>
      <c r="BA218" s="138"/>
      <c r="BB218" s="140"/>
      <c r="BC218" s="140">
        <f>'Reflection -3'!Q218</f>
        <v>2</v>
      </c>
      <c r="BD218" s="140"/>
      <c r="BE218" s="140"/>
      <c r="BF218" s="140"/>
      <c r="BG218" s="140"/>
      <c r="BH218" s="140"/>
      <c r="BI218" s="138"/>
      <c r="BJ218" s="140"/>
      <c r="BK218" s="140">
        <f>'Reflection -3'!Q218</f>
        <v>2</v>
      </c>
      <c r="BL218" s="7"/>
      <c r="BM218" s="140"/>
      <c r="BN218" s="7"/>
      <c r="BO218" s="140"/>
      <c r="BP218" s="140"/>
      <c r="BQ218" s="138"/>
      <c r="BR218" s="140"/>
      <c r="BS218" s="140">
        <f>Capstone!Q219</f>
        <v>4</v>
      </c>
      <c r="BT218" s="140">
        <f>Capstone!W219</f>
        <v>4</v>
      </c>
      <c r="BU218" s="140">
        <f>Capstone!AC219</f>
        <v>4</v>
      </c>
      <c r="BV218" s="140">
        <f>Capstone!AI219</f>
        <v>4</v>
      </c>
      <c r="BW218" s="140">
        <f>Capstone!AO219</f>
        <v>4</v>
      </c>
      <c r="BX218" s="140">
        <f>Capstone!AU219</f>
        <v>5</v>
      </c>
      <c r="BY218" s="138"/>
      <c r="BZ218" s="140"/>
      <c r="CA21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2.458333333333333</v>
      </c>
      <c r="CB218" s="140">
        <f>IFERROR(AVERAGE(Table110461117[[#This Row],[Column31]],Table110461117[[#This Row],[Column13]],Table110461117[[#This Row],[Column4]],Table110461117[[#This Row],[Column22]],),"A")</f>
        <v>1.2</v>
      </c>
      <c r="CC218" s="140">
        <f>IFERROR(AVERAGE(Table110461117[[#This Row],[Column5]],Table110461117[[#This Row],[Column14]],Table110461117[[#This Row],[Column23]],Table110461117[[#This Row],[Column32]]),"A")</f>
        <v>1.25</v>
      </c>
      <c r="CD218" s="140">
        <f>IFERROR(AVERAGE(Table110461117[[#This Row],[Column6]],Table110461117[[#This Row],[Column15]],Table110461117[[#This Row],[Column24]],Table110461117[[#This Row],[Column33]]),"A")</f>
        <v>1.25</v>
      </c>
      <c r="CE218" s="140"/>
      <c r="CF218" s="140">
        <f>IFERROR(AVERAGE(Table110461117[[#This Row],[Column26]],Table110461117[[#This Row],[Column35]],Table110461117[[#This Row],[Column17]],Table110461117[[#This Row],[Column8]]),"A")</f>
        <v>1.6666666666666667</v>
      </c>
      <c r="CG218" s="138"/>
      <c r="CH218" s="140">
        <f>IFERROR(AVERAGE('Review 1'!AX218,'Review 2'!AX218,'Review 3'!AX218,'Review 4'!AX218,'Reflection -1 '!AX218,'Reflection -2'!AX218,'Reflection -3'!AX218,'Reflection -4'!AX218),"A")</f>
        <v>2.5</v>
      </c>
      <c r="CI218" s="140">
        <f>IFERROR(AVERAGE('Review 1'!AY218,'Review 2'!AY218,'Review 3'!AY218,'Review 4'!AY218,'Reflection -1 '!AY218,'Reflection -2'!AY218,'Reflection -3'!AY218,'Reflection -4'!AY218,Capstone!AY219),"A")</f>
        <v>2.1111111111111112</v>
      </c>
      <c r="CJ218" s="140">
        <f>IFERROR(AVERAGE('Review 1'!AZ218,'Review 2'!AZ218,'Review 3'!AZ218,'Review 4'!AZ218,'Reflection -1 '!AZ218,'Reflection -2'!AZ218,'Reflection -3'!AZ218,'Reflection -4'!AZ218),"A")</f>
        <v>1.875</v>
      </c>
    </row>
    <row r="219" spans="1:88" s="122" customFormat="1" ht="23.1" customHeight="1" x14ac:dyDescent="0.3">
      <c r="A219" s="137">
        <v>217</v>
      </c>
      <c r="B219" s="62" t="s">
        <v>467</v>
      </c>
      <c r="C219" s="62" t="s">
        <v>468</v>
      </c>
      <c r="D219" s="62" t="s">
        <v>542</v>
      </c>
      <c r="E219" s="62" t="s">
        <v>289</v>
      </c>
      <c r="F219" s="139"/>
      <c r="G219" s="139">
        <f>'Review 1'!Q219</f>
        <v>2.8</v>
      </c>
      <c r="H219" s="139">
        <f>'Review 1'!W219</f>
        <v>3</v>
      </c>
      <c r="I219" s="139">
        <f>'Review 1'!AC219</f>
        <v>3</v>
      </c>
      <c r="J219" s="139">
        <f>'Review 1'!AI219</f>
        <v>3</v>
      </c>
      <c r="K219" s="139"/>
      <c r="L219" s="139">
        <f>'Review 1'!AU219</f>
        <v>3</v>
      </c>
      <c r="M219" s="138"/>
      <c r="N219" s="139"/>
      <c r="O219" s="139">
        <f>'Review 2'!Q219</f>
        <v>2.2000000000000002</v>
      </c>
      <c r="P219" s="139">
        <f>'Review 2'!W219</f>
        <v>2</v>
      </c>
      <c r="Q219" s="139">
        <f>'Review 2'!AC219</f>
        <v>2</v>
      </c>
      <c r="R219" s="139">
        <f>'Review 2'!AI219</f>
        <v>1</v>
      </c>
      <c r="S219" s="139"/>
      <c r="T219" s="139">
        <f>'Review 2'!AU219</f>
        <v>2</v>
      </c>
      <c r="U219" s="138"/>
      <c r="V219" s="62"/>
      <c r="W219" s="139">
        <f>'Review 3'!Q219</f>
        <v>2.2000000000000002</v>
      </c>
      <c r="X219" s="139">
        <f>'Review 3'!W219</f>
        <v>2</v>
      </c>
      <c r="Y219" s="139">
        <f>'Review 3'!AC219</f>
        <v>2</v>
      </c>
      <c r="Z219" s="139">
        <f>'Review 3'!AI219</f>
        <v>2</v>
      </c>
      <c r="AA219" s="62"/>
      <c r="AB219" s="139">
        <f>'Review 3'!AU219</f>
        <v>2</v>
      </c>
      <c r="AC219" s="138"/>
      <c r="AD219" s="62"/>
      <c r="AE219" s="139">
        <f>'Review 4'!Q219</f>
        <v>2</v>
      </c>
      <c r="AF219" s="139">
        <f>'Review 4'!W219</f>
        <v>2</v>
      </c>
      <c r="AG219" s="139">
        <f>'Review 4'!AC219</f>
        <v>2</v>
      </c>
      <c r="AH219" s="139">
        <f>'Review 4'!AI219</f>
        <v>2</v>
      </c>
      <c r="AI219" s="139"/>
      <c r="AJ219" s="139">
        <f>'Review 4'!AU219</f>
        <v>2</v>
      </c>
      <c r="AK219" s="138"/>
      <c r="AL219" s="62"/>
      <c r="AM219" s="139">
        <f>'Reflection -1 '!Q219</f>
        <v>2</v>
      </c>
      <c r="AN219" s="62"/>
      <c r="AO219" s="62"/>
      <c r="AP219" s="62"/>
      <c r="AQ219" s="62"/>
      <c r="AR219" s="62"/>
      <c r="AS219" s="138"/>
      <c r="AT219" s="62"/>
      <c r="AU219" s="139">
        <f>'Reflection -2'!Q219</f>
        <v>2</v>
      </c>
      <c r="AV219" s="62"/>
      <c r="AW219" s="62"/>
      <c r="AX219" s="62"/>
      <c r="AY219" s="139"/>
      <c r="AZ219" s="62"/>
      <c r="BA219" s="138"/>
      <c r="BB219" s="139"/>
      <c r="BC219" s="139">
        <f>'Reflection -3'!Q219</f>
        <v>2.6666666666666665</v>
      </c>
      <c r="BD219" s="139"/>
      <c r="BE219" s="139"/>
      <c r="BF219" s="139"/>
      <c r="BG219" s="139"/>
      <c r="BH219" s="139"/>
      <c r="BI219" s="138"/>
      <c r="BJ219" s="139"/>
      <c r="BK219" s="139">
        <f>'Reflection -3'!Q219</f>
        <v>2.6666666666666665</v>
      </c>
      <c r="BL219" s="62"/>
      <c r="BM219" s="139"/>
      <c r="BN219" s="62"/>
      <c r="BO219" s="139"/>
      <c r="BP219" s="139"/>
      <c r="BQ219" s="138"/>
      <c r="BR219" s="139"/>
      <c r="BS219" s="139">
        <f>Capstone!Q220</f>
        <v>5</v>
      </c>
      <c r="BT219" s="139">
        <f>Capstone!W220</f>
        <v>4</v>
      </c>
      <c r="BU219" s="139">
        <f>Capstone!AC220</f>
        <v>4</v>
      </c>
      <c r="BV219" s="139">
        <f>Capstone!AI220</f>
        <v>5</v>
      </c>
      <c r="BW219" s="139">
        <f>Capstone!AO220</f>
        <v>4</v>
      </c>
      <c r="BX219" s="139">
        <f>Capstone!AU220</f>
        <v>5</v>
      </c>
      <c r="BY219" s="138"/>
      <c r="BZ219" s="139"/>
      <c r="CA21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2.3166666666666669</v>
      </c>
      <c r="CB219" s="139">
        <f>IFERROR(AVERAGE(Table110461117[[#This Row],[Column31]],Table110461117[[#This Row],[Column13]],Table110461117[[#This Row],[Column4]],Table110461117[[#This Row],[Column22]],),"A")</f>
        <v>1.8</v>
      </c>
      <c r="CC219" s="139">
        <f>IFERROR(AVERAGE(Table110461117[[#This Row],[Column5]],Table110461117[[#This Row],[Column14]],Table110461117[[#This Row],[Column23]],Table110461117[[#This Row],[Column32]]),"A")</f>
        <v>2.25</v>
      </c>
      <c r="CD219" s="139">
        <f>IFERROR(AVERAGE(Table110461117[[#This Row],[Column6]],Table110461117[[#This Row],[Column15]],Table110461117[[#This Row],[Column24]],Table110461117[[#This Row],[Column33]]),"A")</f>
        <v>2</v>
      </c>
      <c r="CE219" s="139"/>
      <c r="CF219" s="139">
        <f>IFERROR(AVERAGE(Table110461117[[#This Row],[Column26]],Table110461117[[#This Row],[Column35]],Table110461117[[#This Row],[Column17]],Table110461117[[#This Row],[Column8]]),"A")</f>
        <v>2.25</v>
      </c>
      <c r="CG219" s="138"/>
      <c r="CH219" s="139">
        <f>IFERROR(AVERAGE('Review 1'!AX219,'Review 2'!AX219,'Review 3'!AX219,'Review 4'!AX219,'Reflection -1 '!AX219,'Reflection -2'!AX219,'Reflection -3'!AX219,'Reflection -4'!AX219),"A")</f>
        <v>2.375</v>
      </c>
      <c r="CI219" s="139">
        <f>IFERROR(AVERAGE('Review 1'!AY219,'Review 2'!AY219,'Review 3'!AY219,'Review 4'!AY219,'Reflection -1 '!AY219,'Reflection -2'!AY219,'Reflection -3'!AY219,'Reflection -4'!AY219,Capstone!AY220),"A")</f>
        <v>2.4444444444444446</v>
      </c>
      <c r="CJ219" s="139">
        <f>IFERROR(AVERAGE('Review 1'!AZ219,'Review 2'!AZ219,'Review 3'!AZ219,'Review 4'!AZ219,'Reflection -1 '!AZ219,'Reflection -2'!AZ219,'Reflection -3'!AZ219,'Reflection -4'!AZ219),"A")</f>
        <v>2.125</v>
      </c>
    </row>
    <row r="220" spans="1:88" s="122" customFormat="1" ht="23.1" customHeight="1" x14ac:dyDescent="0.3">
      <c r="A220" s="6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140"/>
      <c r="G220" s="140">
        <f>'Review 1'!Q220</f>
        <v>2.4</v>
      </c>
      <c r="H220" s="140">
        <f>'Review 1'!W220</f>
        <v>3</v>
      </c>
      <c r="I220" s="140">
        <f>'Review 1'!AC220</f>
        <v>3</v>
      </c>
      <c r="J220" s="140">
        <f>'Review 1'!AI220</f>
        <v>3</v>
      </c>
      <c r="K220" s="140"/>
      <c r="L220" s="140">
        <f>'Review 1'!AU220</f>
        <v>3</v>
      </c>
      <c r="M220" s="138"/>
      <c r="N220" s="140"/>
      <c r="O220" s="140">
        <f>'Review 2'!Q220</f>
        <v>2.8</v>
      </c>
      <c r="P220" s="140">
        <f>'Review 2'!W220</f>
        <v>2</v>
      </c>
      <c r="Q220" s="140">
        <f>'Review 2'!AC220</f>
        <v>2</v>
      </c>
      <c r="R220" s="140">
        <f>'Review 2'!AI220</f>
        <v>1</v>
      </c>
      <c r="S220" s="140"/>
      <c r="T220" s="140">
        <f>'Review 2'!AU220</f>
        <v>2</v>
      </c>
      <c r="U220" s="138"/>
      <c r="V220" s="7"/>
      <c r="W220" s="140">
        <f>'Review 3'!Q220</f>
        <v>2.2000000000000002</v>
      </c>
      <c r="X220" s="140">
        <f>'Review 3'!W220</f>
        <v>2</v>
      </c>
      <c r="Y220" s="140">
        <f>'Review 3'!AC220</f>
        <v>2</v>
      </c>
      <c r="Z220" s="140">
        <f>'Review 3'!AI220</f>
        <v>2</v>
      </c>
      <c r="AA220" s="7"/>
      <c r="AB220" s="140">
        <f>'Review 3'!AU220</f>
        <v>2</v>
      </c>
      <c r="AC220" s="138"/>
      <c r="AD220" s="7"/>
      <c r="AE220" s="140">
        <f>'Review 4'!Q220</f>
        <v>4</v>
      </c>
      <c r="AF220" s="140">
        <f>'Review 4'!W220</f>
        <v>4</v>
      </c>
      <c r="AG220" s="140">
        <f>'Review 4'!AC220</f>
        <v>3</v>
      </c>
      <c r="AH220" s="140">
        <f>'Review 4'!AI220</f>
        <v>3</v>
      </c>
      <c r="AI220" s="140"/>
      <c r="AJ220" s="140">
        <f>'Review 4'!AU220</f>
        <v>4</v>
      </c>
      <c r="AK220" s="138"/>
      <c r="AL220" s="7"/>
      <c r="AM220" s="140">
        <f>'Reflection -1 '!Q220</f>
        <v>4</v>
      </c>
      <c r="AN220" s="7"/>
      <c r="AO220" s="7"/>
      <c r="AP220" s="7"/>
      <c r="AQ220" s="7"/>
      <c r="AR220" s="7"/>
      <c r="AS220" s="138"/>
      <c r="AT220" s="7"/>
      <c r="AU220" s="140">
        <f>'Reflection -2'!Q220</f>
        <v>4</v>
      </c>
      <c r="AV220" s="7"/>
      <c r="AW220" s="7"/>
      <c r="AX220" s="7"/>
      <c r="AY220" s="140"/>
      <c r="AZ220" s="7"/>
      <c r="BA220" s="138"/>
      <c r="BB220" s="140"/>
      <c r="BC220" s="140">
        <f>'Reflection -3'!Q220</f>
        <v>4</v>
      </c>
      <c r="BD220" s="140"/>
      <c r="BE220" s="140"/>
      <c r="BF220" s="140"/>
      <c r="BG220" s="140"/>
      <c r="BH220" s="140"/>
      <c r="BI220" s="138"/>
      <c r="BJ220" s="140"/>
      <c r="BK220" s="140">
        <f>'Reflection -3'!Q220</f>
        <v>4</v>
      </c>
      <c r="BL220" s="7"/>
      <c r="BM220" s="140"/>
      <c r="BN220" s="7"/>
      <c r="BO220" s="140"/>
      <c r="BP220" s="140"/>
      <c r="BQ220" s="138"/>
      <c r="BR220" s="140"/>
      <c r="BS220" s="140">
        <f>Capstone!Q221</f>
        <v>3</v>
      </c>
      <c r="BT220" s="140">
        <f>Capstone!W221</f>
        <v>4</v>
      </c>
      <c r="BU220" s="140">
        <f>Capstone!AC221</f>
        <v>4</v>
      </c>
      <c r="BV220" s="140">
        <f>Capstone!AI221</f>
        <v>3</v>
      </c>
      <c r="BW220" s="140">
        <f>Capstone!AO221</f>
        <v>4</v>
      </c>
      <c r="BX220" s="140">
        <f>Capstone!AU221</f>
        <v>3</v>
      </c>
      <c r="BY220" s="138"/>
      <c r="BZ220" s="140"/>
      <c r="CA22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3.4249999999999998</v>
      </c>
      <c r="CB220" s="140">
        <f>IFERROR(AVERAGE(Table110461117[[#This Row],[Column31]],Table110461117[[#This Row],[Column13]],Table110461117[[#This Row],[Column4]],Table110461117[[#This Row],[Column22]],),"A")</f>
        <v>2.2000000000000002</v>
      </c>
      <c r="CC220" s="140">
        <f>IFERROR(AVERAGE(Table110461117[[#This Row],[Column5]],Table110461117[[#This Row],[Column14]],Table110461117[[#This Row],[Column23]],Table110461117[[#This Row],[Column32]]),"A")</f>
        <v>2.5</v>
      </c>
      <c r="CD220" s="140">
        <f>IFERROR(AVERAGE(Table110461117[[#This Row],[Column6]],Table110461117[[#This Row],[Column15]],Table110461117[[#This Row],[Column24]],Table110461117[[#This Row],[Column33]]),"A")</f>
        <v>2.25</v>
      </c>
      <c r="CE220" s="140"/>
      <c r="CF220" s="140">
        <f>IFERROR(AVERAGE(Table110461117[[#This Row],[Column26]],Table110461117[[#This Row],[Column35]],Table110461117[[#This Row],[Column17]],Table110461117[[#This Row],[Column8]]),"A")</f>
        <v>2.75</v>
      </c>
      <c r="CG220" s="138"/>
      <c r="CH220" s="140">
        <f>IFERROR(AVERAGE('Review 1'!AX220,'Review 2'!AX220,'Review 3'!AX220,'Review 4'!AX220,'Reflection -1 '!AX220,'Reflection -2'!AX220,'Reflection -3'!AX220,'Reflection -4'!AX220),"A")</f>
        <v>2.875</v>
      </c>
      <c r="CI220" s="140">
        <f>IFERROR(AVERAGE('Review 1'!AY220,'Review 2'!AY220,'Review 3'!AY220,'Review 4'!AY220,'Reflection -1 '!AY220,'Reflection -2'!AY220,'Reflection -3'!AY220,'Reflection -4'!AY220,Capstone!AY221),"A")</f>
        <v>2.3333333333333335</v>
      </c>
      <c r="CJ220" s="140">
        <f>IFERROR(AVERAGE('Review 1'!AZ220,'Review 2'!AZ220,'Review 3'!AZ220,'Review 4'!AZ220,'Reflection -1 '!AZ220,'Reflection -2'!AZ220,'Reflection -3'!AZ220,'Reflection -4'!AZ220),"A")</f>
        <v>3</v>
      </c>
    </row>
    <row r="221" spans="1:88" s="122" customFormat="1" ht="23.1" customHeight="1" x14ac:dyDescent="0.3">
      <c r="A221" s="137">
        <v>219</v>
      </c>
      <c r="B221" s="62" t="s">
        <v>471</v>
      </c>
      <c r="C221" s="62" t="s">
        <v>472</v>
      </c>
      <c r="D221" s="62" t="s">
        <v>450</v>
      </c>
      <c r="E221" s="62" t="s">
        <v>289</v>
      </c>
      <c r="F221" s="139"/>
      <c r="G221" s="139">
        <f>'Review 1'!Q221</f>
        <v>3</v>
      </c>
      <c r="H221" s="139">
        <f>'Review 1'!W221</f>
        <v>2</v>
      </c>
      <c r="I221" s="139">
        <f>'Review 1'!AC221</f>
        <v>2</v>
      </c>
      <c r="J221" s="139">
        <f>'Review 1'!AI221</f>
        <v>2</v>
      </c>
      <c r="K221" s="139"/>
      <c r="L221" s="139">
        <f>'Review 1'!AU221</f>
        <v>3</v>
      </c>
      <c r="M221" s="138"/>
      <c r="N221" s="139"/>
      <c r="O221" s="139">
        <f>'Review 2'!Q221</f>
        <v>2</v>
      </c>
      <c r="P221" s="139">
        <f>'Review 2'!W221</f>
        <v>2</v>
      </c>
      <c r="Q221" s="139">
        <f>'Review 2'!AC221</f>
        <v>2</v>
      </c>
      <c r="R221" s="139">
        <f>'Review 2'!AI221</f>
        <v>1</v>
      </c>
      <c r="S221" s="139"/>
      <c r="T221" s="139">
        <f>'Review 2'!AU221</f>
        <v>2</v>
      </c>
      <c r="U221" s="138"/>
      <c r="V221" s="62"/>
      <c r="W221" s="139">
        <f>'Review 3'!Q221</f>
        <v>2.2000000000000002</v>
      </c>
      <c r="X221" s="139">
        <f>'Review 3'!W221</f>
        <v>0</v>
      </c>
      <c r="Y221" s="139">
        <f>'Review 3'!AC221</f>
        <v>0</v>
      </c>
      <c r="Z221" s="139">
        <f>'Review 3'!AI221</f>
        <v>0</v>
      </c>
      <c r="AA221" s="62"/>
      <c r="AB221" s="139">
        <f>'Review 3'!AU221</f>
        <v>0</v>
      </c>
      <c r="AC221" s="138"/>
      <c r="AD221" s="62"/>
      <c r="AE221" s="139">
        <f>'Review 4'!Q221</f>
        <v>2.4</v>
      </c>
      <c r="AF221" s="139">
        <f>'Review 4'!W221</f>
        <v>3</v>
      </c>
      <c r="AG221" s="139">
        <f>'Review 4'!AC221</f>
        <v>2.5</v>
      </c>
      <c r="AH221" s="139">
        <f>'Review 4'!AI221</f>
        <v>1</v>
      </c>
      <c r="AI221" s="139"/>
      <c r="AJ221" s="139">
        <f>'Review 4'!AU221</f>
        <v>2.3333333333333335</v>
      </c>
      <c r="AK221" s="138"/>
      <c r="AL221" s="62"/>
      <c r="AM221" s="139">
        <f>'Reflection -1 '!Q221</f>
        <v>2.3333333333333335</v>
      </c>
      <c r="AN221" s="62"/>
      <c r="AO221" s="62"/>
      <c r="AP221" s="62"/>
      <c r="AQ221" s="62"/>
      <c r="AR221" s="62"/>
      <c r="AS221" s="138"/>
      <c r="AT221" s="62"/>
      <c r="AU221" s="139">
        <f>'Reflection -2'!Q221</f>
        <v>2.6666666666666665</v>
      </c>
      <c r="AV221" s="62"/>
      <c r="AW221" s="62"/>
      <c r="AX221" s="62"/>
      <c r="AY221" s="139"/>
      <c r="AZ221" s="62"/>
      <c r="BA221" s="138"/>
      <c r="BB221" s="139"/>
      <c r="BC221" s="139">
        <f>'Reflection -3'!Q221</f>
        <v>1.6666666666666667</v>
      </c>
      <c r="BD221" s="139"/>
      <c r="BE221" s="139"/>
      <c r="BF221" s="139"/>
      <c r="BG221" s="139"/>
      <c r="BH221" s="139"/>
      <c r="BI221" s="138"/>
      <c r="BJ221" s="139"/>
      <c r="BK221" s="139">
        <f>'Reflection -3'!Q221</f>
        <v>1.6666666666666667</v>
      </c>
      <c r="BL221" s="62"/>
      <c r="BM221" s="139"/>
      <c r="BN221" s="62"/>
      <c r="BO221" s="139"/>
      <c r="BP221" s="139"/>
      <c r="BQ221" s="138"/>
      <c r="BR221" s="139"/>
      <c r="BS221" s="139">
        <f>Capstone!Q222</f>
        <v>4</v>
      </c>
      <c r="BT221" s="139">
        <f>Capstone!W222</f>
        <v>4</v>
      </c>
      <c r="BU221" s="139">
        <f>Capstone!AC222</f>
        <v>4</v>
      </c>
      <c r="BV221" s="139">
        <f>Capstone!AI222</f>
        <v>4</v>
      </c>
      <c r="BW221" s="139">
        <f>Capstone!AO222</f>
        <v>3</v>
      </c>
      <c r="BX221" s="139">
        <f>Capstone!AU222</f>
        <v>4</v>
      </c>
      <c r="BY221" s="138"/>
      <c r="BZ221" s="139"/>
      <c r="CA221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2.2416666666666667</v>
      </c>
      <c r="CB221" s="139">
        <f>IFERROR(AVERAGE(Table110461117[[#This Row],[Column31]],Table110461117[[#This Row],[Column13]],Table110461117[[#This Row],[Column4]],Table110461117[[#This Row],[Column22]],),"A")</f>
        <v>1.4</v>
      </c>
      <c r="CC221" s="139">
        <f>IFERROR(AVERAGE(Table110461117[[#This Row],[Column5]],Table110461117[[#This Row],[Column14]],Table110461117[[#This Row],[Column23]],Table110461117[[#This Row],[Column32]]),"A")</f>
        <v>1.625</v>
      </c>
      <c r="CD221" s="139">
        <f>IFERROR(AVERAGE(Table110461117[[#This Row],[Column6]],Table110461117[[#This Row],[Column15]],Table110461117[[#This Row],[Column24]],Table110461117[[#This Row],[Column33]]),"A")</f>
        <v>1</v>
      </c>
      <c r="CE221" s="139"/>
      <c r="CF221" s="139">
        <f>IFERROR(AVERAGE(Table110461117[[#This Row],[Column26]],Table110461117[[#This Row],[Column35]],Table110461117[[#This Row],[Column17]],Table110461117[[#This Row],[Column8]]),"A")</f>
        <v>1.8333333333333335</v>
      </c>
      <c r="CG221" s="138"/>
      <c r="CH221" s="139">
        <f>IFERROR(AVERAGE('Review 1'!AX221,'Review 2'!AX221,'Review 3'!AX221,'Review 4'!AX221,'Reflection -1 '!AX221,'Reflection -2'!AX221,'Reflection -3'!AX221,'Reflection -4'!AX221),"A")</f>
        <v>3</v>
      </c>
      <c r="CI221" s="139">
        <f>IFERROR(AVERAGE('Review 1'!AY221,'Review 2'!AY221,'Review 3'!AY221,'Review 4'!AY221,'Reflection -1 '!AY221,'Reflection -2'!AY221,'Reflection -3'!AY221,'Reflection -4'!AY221,Capstone!AY222),"A")</f>
        <v>2</v>
      </c>
      <c r="CJ221" s="139">
        <f>IFERROR(AVERAGE('Review 1'!AZ221,'Review 2'!AZ221,'Review 3'!AZ221,'Review 4'!AZ221,'Reflection -1 '!AZ221,'Reflection -2'!AZ221,'Reflection -3'!AZ221,'Reflection -4'!AZ221),"A")</f>
        <v>1.625</v>
      </c>
    </row>
    <row r="222" spans="1:88" s="122" customFormat="1" ht="23.1" customHeight="1" x14ac:dyDescent="0.3">
      <c r="A222" s="6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140"/>
      <c r="G222" s="140">
        <f>'Review 1'!Q222</f>
        <v>3</v>
      </c>
      <c r="H222" s="140">
        <f>'Review 1'!W222</f>
        <v>3</v>
      </c>
      <c r="I222" s="140">
        <f>'Review 1'!AC222</f>
        <v>3</v>
      </c>
      <c r="J222" s="140">
        <f>'Review 1'!AI222</f>
        <v>3</v>
      </c>
      <c r="K222" s="140"/>
      <c r="L222" s="140">
        <f>'Review 1'!AU222</f>
        <v>3</v>
      </c>
      <c r="M222" s="138"/>
      <c r="N222" s="140"/>
      <c r="O222" s="140">
        <f>'Review 2'!Q222</f>
        <v>2.2000000000000002</v>
      </c>
      <c r="P222" s="140">
        <f>'Review 2'!W222</f>
        <v>2</v>
      </c>
      <c r="Q222" s="140">
        <f>'Review 2'!AC222</f>
        <v>2</v>
      </c>
      <c r="R222" s="140">
        <f>'Review 2'!AI222</f>
        <v>1</v>
      </c>
      <c r="S222" s="140"/>
      <c r="T222" s="140">
        <f>'Review 2'!AU222</f>
        <v>2</v>
      </c>
      <c r="U222" s="138"/>
      <c r="V222" s="7"/>
      <c r="W222" s="140">
        <f>'Review 3'!Q222</f>
        <v>2.2000000000000002</v>
      </c>
      <c r="X222" s="140">
        <f>'Review 3'!W222</f>
        <v>0</v>
      </c>
      <c r="Y222" s="140">
        <f>'Review 3'!AC222</f>
        <v>0</v>
      </c>
      <c r="Z222" s="140">
        <f>'Review 3'!AI222</f>
        <v>0</v>
      </c>
      <c r="AA222" s="7"/>
      <c r="AB222" s="140">
        <f>'Review 3'!AU222</f>
        <v>0</v>
      </c>
      <c r="AC222" s="138"/>
      <c r="AD222" s="7"/>
      <c r="AE222" s="140">
        <f>'Review 4'!Q222</f>
        <v>0</v>
      </c>
      <c r="AF222" s="140">
        <f>'Review 4'!W222</f>
        <v>0</v>
      </c>
      <c r="AG222" s="140">
        <f>'Review 4'!AC222</f>
        <v>0</v>
      </c>
      <c r="AH222" s="140">
        <f>'Review 4'!AI222</f>
        <v>0</v>
      </c>
      <c r="AI222" s="140"/>
      <c r="AJ222" s="140">
        <f>'Review 4'!AU222</f>
        <v>0</v>
      </c>
      <c r="AK222" s="138"/>
      <c r="AL222" s="7"/>
      <c r="AM222" s="140">
        <f>'Reflection -1 '!Q222</f>
        <v>0</v>
      </c>
      <c r="AN222" s="7"/>
      <c r="AO222" s="7"/>
      <c r="AP222" s="7"/>
      <c r="AQ222" s="7"/>
      <c r="AR222" s="7"/>
      <c r="AS222" s="138"/>
      <c r="AT222" s="7"/>
      <c r="AU222" s="140" t="str">
        <f>'Reflection -2'!Q222</f>
        <v>A</v>
      </c>
      <c r="AV222" s="7"/>
      <c r="AW222" s="7"/>
      <c r="AX222" s="7"/>
      <c r="AY222" s="140"/>
      <c r="AZ222" s="7"/>
      <c r="BA222" s="138"/>
      <c r="BB222" s="140"/>
      <c r="BC222" s="140" t="str">
        <f>'Reflection -3'!Q222</f>
        <v>A</v>
      </c>
      <c r="BD222" s="140"/>
      <c r="BE222" s="140"/>
      <c r="BF222" s="140"/>
      <c r="BG222" s="140"/>
      <c r="BH222" s="140"/>
      <c r="BI222" s="138"/>
      <c r="BJ222" s="140"/>
      <c r="BK222" s="140" t="str">
        <f>'Reflection -3'!Q222</f>
        <v>A</v>
      </c>
      <c r="BL222" s="7"/>
      <c r="BM222" s="140"/>
      <c r="BN222" s="7"/>
      <c r="BO222" s="140"/>
      <c r="BP222" s="140"/>
      <c r="BQ222" s="138"/>
      <c r="BR222" s="140"/>
      <c r="BS222" s="140">
        <f>Capstone!Q223</f>
        <v>4</v>
      </c>
      <c r="BT222" s="140">
        <f>Capstone!W223</f>
        <v>5</v>
      </c>
      <c r="BU222" s="140">
        <f>Capstone!AC223</f>
        <v>5</v>
      </c>
      <c r="BV222" s="140">
        <f>Capstone!AI223</f>
        <v>4</v>
      </c>
      <c r="BW222" s="140">
        <f>Capstone!AO223</f>
        <v>3</v>
      </c>
      <c r="BX222" s="140">
        <f>Capstone!AU223</f>
        <v>3</v>
      </c>
      <c r="BY222" s="138"/>
      <c r="BZ222" s="140"/>
      <c r="CA222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1.48</v>
      </c>
      <c r="CB222" s="140">
        <f>IFERROR(AVERAGE(Table110461117[[#This Row],[Column31]],Table110461117[[#This Row],[Column13]],Table110461117[[#This Row],[Column4]],Table110461117[[#This Row],[Column22]],),"A")</f>
        <v>1</v>
      </c>
      <c r="CC222" s="140">
        <f>IFERROR(AVERAGE(Table110461117[[#This Row],[Column5]],Table110461117[[#This Row],[Column14]],Table110461117[[#This Row],[Column23]],Table110461117[[#This Row],[Column32]]),"A")</f>
        <v>1.25</v>
      </c>
      <c r="CD222" s="140">
        <f>IFERROR(AVERAGE(Table110461117[[#This Row],[Column6]],Table110461117[[#This Row],[Column15]],Table110461117[[#This Row],[Column24]],Table110461117[[#This Row],[Column33]]),"A")</f>
        <v>1</v>
      </c>
      <c r="CE222" s="140"/>
      <c r="CF222" s="140">
        <f>IFERROR(AVERAGE(Table110461117[[#This Row],[Column26]],Table110461117[[#This Row],[Column35]],Table110461117[[#This Row],[Column17]],Table110461117[[#This Row],[Column8]]),"A")</f>
        <v>1.25</v>
      </c>
      <c r="CG222" s="138"/>
      <c r="CH222" s="140">
        <f>IFERROR(AVERAGE('Review 1'!AX222,'Review 2'!AX222,'Review 3'!AX222,'Review 4'!AX222,'Reflection -1 '!AX222,'Reflection -2'!AX222,'Reflection -3'!AX222,'Reflection -4'!AX222),"A")</f>
        <v>1</v>
      </c>
      <c r="CI222" s="140">
        <f>IFERROR(AVERAGE('Review 1'!AY222,'Review 2'!AY222,'Review 3'!AY222,'Review 4'!AY222,'Reflection -1 '!AY222,'Reflection -2'!AY222,'Reflection -3'!AY222,'Reflection -4'!AY222,Capstone!AY223),"A")</f>
        <v>1.5</v>
      </c>
      <c r="CJ222" s="140">
        <f>IFERROR(AVERAGE('Review 1'!AZ222,'Review 2'!AZ222,'Review 3'!AZ222,'Review 4'!AZ222,'Reflection -1 '!AZ222,'Reflection -2'!AZ222,'Reflection -3'!AZ222,'Reflection -4'!AZ222),"A")</f>
        <v>1</v>
      </c>
    </row>
    <row r="223" spans="1:88" s="122" customFormat="1" ht="23.1" customHeight="1" x14ac:dyDescent="0.3">
      <c r="A223" s="137">
        <v>221</v>
      </c>
      <c r="B223" s="62" t="s">
        <v>475</v>
      </c>
      <c r="C223" s="62" t="s">
        <v>476</v>
      </c>
      <c r="D223" s="62" t="s">
        <v>450</v>
      </c>
      <c r="E223" s="62" t="s">
        <v>289</v>
      </c>
      <c r="F223" s="139"/>
      <c r="G223" s="139">
        <f>'Review 1'!Q223</f>
        <v>2.4</v>
      </c>
      <c r="H223" s="139">
        <f>'Review 1'!W223</f>
        <v>3</v>
      </c>
      <c r="I223" s="139">
        <f>'Review 1'!AC223</f>
        <v>2.5</v>
      </c>
      <c r="J223" s="139">
        <f>'Review 1'!AI223</f>
        <v>3</v>
      </c>
      <c r="K223" s="139"/>
      <c r="L223" s="139">
        <f>'Review 1'!AU223</f>
        <v>3</v>
      </c>
      <c r="M223" s="138"/>
      <c r="N223" s="139"/>
      <c r="O223" s="139">
        <f>'Review 2'!Q223</f>
        <v>2.2000000000000002</v>
      </c>
      <c r="P223" s="139">
        <f>'Review 2'!W223</f>
        <v>2</v>
      </c>
      <c r="Q223" s="139">
        <f>'Review 2'!AC223</f>
        <v>2</v>
      </c>
      <c r="R223" s="139">
        <f>'Review 2'!AI223</f>
        <v>1</v>
      </c>
      <c r="S223" s="139"/>
      <c r="T223" s="139">
        <f>'Review 2'!AU223</f>
        <v>2</v>
      </c>
      <c r="U223" s="138"/>
      <c r="V223" s="62"/>
      <c r="W223" s="139">
        <f>'Review 3'!Q223</f>
        <v>2.2000000000000002</v>
      </c>
      <c r="X223" s="139">
        <f>'Review 3'!W223</f>
        <v>2</v>
      </c>
      <c r="Y223" s="139">
        <f>'Review 3'!AC223</f>
        <v>2</v>
      </c>
      <c r="Z223" s="139">
        <f>'Review 3'!AI223</f>
        <v>2</v>
      </c>
      <c r="AA223" s="62"/>
      <c r="AB223" s="139">
        <f>'Review 3'!AU223</f>
        <v>2</v>
      </c>
      <c r="AC223" s="138"/>
      <c r="AD223" s="62"/>
      <c r="AE223" s="139">
        <f>'Review 4'!Q223</f>
        <v>4</v>
      </c>
      <c r="AF223" s="139">
        <f>'Review 4'!W223</f>
        <v>4</v>
      </c>
      <c r="AG223" s="139">
        <f>'Review 4'!AC223</f>
        <v>2.5</v>
      </c>
      <c r="AH223" s="139">
        <f>'Review 4'!AI223</f>
        <v>2</v>
      </c>
      <c r="AI223" s="139"/>
      <c r="AJ223" s="139">
        <f>'Review 4'!AU223</f>
        <v>4</v>
      </c>
      <c r="AK223" s="138"/>
      <c r="AL223" s="62"/>
      <c r="AM223" s="139">
        <f>'Reflection -1 '!Q223</f>
        <v>2.3333333333333335</v>
      </c>
      <c r="AN223" s="62"/>
      <c r="AO223" s="62"/>
      <c r="AP223" s="62"/>
      <c r="AQ223" s="62"/>
      <c r="AR223" s="62"/>
      <c r="AS223" s="138"/>
      <c r="AT223" s="62"/>
      <c r="AU223" s="139">
        <f>'Reflection -2'!Q223</f>
        <v>1</v>
      </c>
      <c r="AV223" s="62"/>
      <c r="AW223" s="62"/>
      <c r="AX223" s="62"/>
      <c r="AY223" s="139"/>
      <c r="AZ223" s="62"/>
      <c r="BA223" s="138"/>
      <c r="BB223" s="139"/>
      <c r="BC223" s="139">
        <f>'Reflection -3'!Q223</f>
        <v>4</v>
      </c>
      <c r="BD223" s="139"/>
      <c r="BE223" s="139"/>
      <c r="BF223" s="139"/>
      <c r="BG223" s="139"/>
      <c r="BH223" s="139"/>
      <c r="BI223" s="138"/>
      <c r="BJ223" s="139"/>
      <c r="BK223" s="139">
        <f>'Reflection -3'!Q223</f>
        <v>4</v>
      </c>
      <c r="BL223" s="62"/>
      <c r="BM223" s="139"/>
      <c r="BN223" s="62"/>
      <c r="BO223" s="139"/>
      <c r="BP223" s="139"/>
      <c r="BQ223" s="138"/>
      <c r="BR223" s="139"/>
      <c r="BS223" s="139">
        <f>Capstone!Q224</f>
        <v>4</v>
      </c>
      <c r="BT223" s="139">
        <f>Capstone!W224</f>
        <v>4</v>
      </c>
      <c r="BU223" s="139">
        <f>Capstone!AC224</f>
        <v>4</v>
      </c>
      <c r="BV223" s="139">
        <f>Capstone!AI224</f>
        <v>3</v>
      </c>
      <c r="BW223" s="139">
        <f>Capstone!AO224</f>
        <v>3</v>
      </c>
      <c r="BX223" s="139">
        <f>Capstone!AU224</f>
        <v>3</v>
      </c>
      <c r="BY223" s="138"/>
      <c r="BZ223" s="139"/>
      <c r="CA223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2.7666666666666671</v>
      </c>
      <c r="CB223" s="139">
        <f>IFERROR(AVERAGE(Table110461117[[#This Row],[Column31]],Table110461117[[#This Row],[Column13]],Table110461117[[#This Row],[Column4]],Table110461117[[#This Row],[Column22]],),"A")</f>
        <v>2.2000000000000002</v>
      </c>
      <c r="CC223" s="139">
        <f>IFERROR(AVERAGE(Table110461117[[#This Row],[Column5]],Table110461117[[#This Row],[Column14]],Table110461117[[#This Row],[Column23]],Table110461117[[#This Row],[Column32]]),"A")</f>
        <v>2.25</v>
      </c>
      <c r="CD223" s="139">
        <f>IFERROR(AVERAGE(Table110461117[[#This Row],[Column6]],Table110461117[[#This Row],[Column15]],Table110461117[[#This Row],[Column24]],Table110461117[[#This Row],[Column33]]),"A")</f>
        <v>2</v>
      </c>
      <c r="CE223" s="139"/>
      <c r="CF223" s="139">
        <f>IFERROR(AVERAGE(Table110461117[[#This Row],[Column26]],Table110461117[[#This Row],[Column35]],Table110461117[[#This Row],[Column17]],Table110461117[[#This Row],[Column8]]),"A")</f>
        <v>2.75</v>
      </c>
      <c r="CG223" s="138"/>
      <c r="CH223" s="139">
        <f>IFERROR(AVERAGE('Review 1'!AX223,'Review 2'!AX223,'Review 3'!AX223,'Review 4'!AX223,'Reflection -1 '!AX223,'Reflection -2'!AX223,'Reflection -3'!AX223,'Reflection -4'!AX223),"A")</f>
        <v>3.25</v>
      </c>
      <c r="CI223" s="139">
        <f>IFERROR(AVERAGE('Review 1'!AY223,'Review 2'!AY223,'Review 3'!AY223,'Review 4'!AY223,'Reflection -1 '!AY223,'Reflection -2'!AY223,'Reflection -3'!AY223,'Reflection -4'!AY223,Capstone!AY224),"A")</f>
        <v>2.3333333333333335</v>
      </c>
      <c r="CJ223" s="139">
        <f>IFERROR(AVERAGE('Review 1'!AZ223,'Review 2'!AZ223,'Review 3'!AZ223,'Review 4'!AZ223,'Reflection -1 '!AZ223,'Reflection -2'!AZ223,'Reflection -3'!AZ223,'Reflection -4'!AZ223),"A")</f>
        <v>2.25</v>
      </c>
    </row>
    <row r="224" spans="1:88" s="122" customFormat="1" ht="23.1" customHeight="1" x14ac:dyDescent="0.3">
      <c r="A224" s="6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140"/>
      <c r="G224" s="140">
        <f>'Review 1'!Q224</f>
        <v>3</v>
      </c>
      <c r="H224" s="140">
        <f>'Review 1'!W224</f>
        <v>3</v>
      </c>
      <c r="I224" s="140">
        <f>'Review 1'!AC224</f>
        <v>3</v>
      </c>
      <c r="J224" s="140">
        <f>'Review 1'!AI224</f>
        <v>3</v>
      </c>
      <c r="K224" s="140"/>
      <c r="L224" s="140">
        <f>'Review 1'!AU224</f>
        <v>3</v>
      </c>
      <c r="M224" s="138"/>
      <c r="N224" s="140"/>
      <c r="O224" s="140">
        <f>'Review 2'!Q224</f>
        <v>2.2000000000000002</v>
      </c>
      <c r="P224" s="140">
        <f>'Review 2'!W224</f>
        <v>2</v>
      </c>
      <c r="Q224" s="140">
        <f>'Review 2'!AC224</f>
        <v>2</v>
      </c>
      <c r="R224" s="140">
        <f>'Review 2'!AI224</f>
        <v>1</v>
      </c>
      <c r="S224" s="140"/>
      <c r="T224" s="140">
        <f>'Review 2'!AU224</f>
        <v>2</v>
      </c>
      <c r="U224" s="138"/>
      <c r="V224" s="7"/>
      <c r="W224" s="140">
        <f>'Review 3'!Q224</f>
        <v>2.8</v>
      </c>
      <c r="X224" s="140">
        <f>'Review 3'!W224</f>
        <v>0</v>
      </c>
      <c r="Y224" s="140">
        <f>'Review 3'!AC224</f>
        <v>0</v>
      </c>
      <c r="Z224" s="140">
        <f>'Review 3'!AI224</f>
        <v>0</v>
      </c>
      <c r="AA224" s="7"/>
      <c r="AB224" s="140">
        <f>'Review 3'!AU224</f>
        <v>0</v>
      </c>
      <c r="AC224" s="138"/>
      <c r="AD224" s="7"/>
      <c r="AE224" s="140">
        <f>'Review 4'!Q224</f>
        <v>0</v>
      </c>
      <c r="AF224" s="140">
        <f>'Review 4'!W224</f>
        <v>0</v>
      </c>
      <c r="AG224" s="140">
        <f>'Review 4'!AC224</f>
        <v>0</v>
      </c>
      <c r="AH224" s="140">
        <f>'Review 4'!AI224</f>
        <v>0</v>
      </c>
      <c r="AI224" s="140"/>
      <c r="AJ224" s="140">
        <f>'Review 4'!AU224</f>
        <v>0</v>
      </c>
      <c r="AK224" s="138"/>
      <c r="AL224" s="7"/>
      <c r="AM224" s="140">
        <f>'Reflection -1 '!Q224</f>
        <v>3.6666666666666665</v>
      </c>
      <c r="AN224" s="7"/>
      <c r="AO224" s="7"/>
      <c r="AP224" s="7"/>
      <c r="AQ224" s="7"/>
      <c r="AR224" s="7"/>
      <c r="AS224" s="138"/>
      <c r="AT224" s="7"/>
      <c r="AU224" s="140">
        <f>'Reflection -2'!Q224</f>
        <v>4</v>
      </c>
      <c r="AV224" s="7"/>
      <c r="AW224" s="7"/>
      <c r="AX224" s="7"/>
      <c r="AY224" s="140"/>
      <c r="AZ224" s="7"/>
      <c r="BA224" s="138"/>
      <c r="BB224" s="140"/>
      <c r="BC224" s="140">
        <f>'Reflection -3'!Q224</f>
        <v>4</v>
      </c>
      <c r="BD224" s="140"/>
      <c r="BE224" s="140"/>
      <c r="BF224" s="140"/>
      <c r="BG224" s="140"/>
      <c r="BH224" s="140"/>
      <c r="BI224" s="138"/>
      <c r="BJ224" s="140"/>
      <c r="BK224" s="140">
        <f>'Reflection -3'!Q224</f>
        <v>4</v>
      </c>
      <c r="BL224" s="7"/>
      <c r="BM224" s="140"/>
      <c r="BN224" s="7"/>
      <c r="BO224" s="140"/>
      <c r="BP224" s="140"/>
      <c r="BQ224" s="138"/>
      <c r="BR224" s="140"/>
      <c r="BS224" s="140">
        <f>Capstone!Q225</f>
        <v>5</v>
      </c>
      <c r="BT224" s="140">
        <f>Capstone!W225</f>
        <v>3</v>
      </c>
      <c r="BU224" s="140">
        <f>Capstone!AC225</f>
        <v>3</v>
      </c>
      <c r="BV224" s="140">
        <f>Capstone!AI225</f>
        <v>4</v>
      </c>
      <c r="BW224" s="140">
        <f>Capstone!AO225</f>
        <v>4</v>
      </c>
      <c r="BX224" s="140">
        <f>Capstone!AU225</f>
        <v>5</v>
      </c>
      <c r="BY224" s="138"/>
      <c r="BZ224" s="140"/>
      <c r="CA224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2.9583333333333335</v>
      </c>
      <c r="CB224" s="140">
        <f>IFERROR(AVERAGE(Table110461117[[#This Row],[Column31]],Table110461117[[#This Row],[Column13]],Table110461117[[#This Row],[Column4]],Table110461117[[#This Row],[Column22]],),"A")</f>
        <v>1</v>
      </c>
      <c r="CC224" s="140">
        <f>IFERROR(AVERAGE(Table110461117[[#This Row],[Column5]],Table110461117[[#This Row],[Column14]],Table110461117[[#This Row],[Column23]],Table110461117[[#This Row],[Column32]]),"A")</f>
        <v>1.25</v>
      </c>
      <c r="CD224" s="140">
        <f>IFERROR(AVERAGE(Table110461117[[#This Row],[Column6]],Table110461117[[#This Row],[Column15]],Table110461117[[#This Row],[Column24]],Table110461117[[#This Row],[Column33]]),"A")</f>
        <v>1</v>
      </c>
      <c r="CE224" s="140"/>
      <c r="CF224" s="140">
        <f>IFERROR(AVERAGE(Table110461117[[#This Row],[Column26]],Table110461117[[#This Row],[Column35]],Table110461117[[#This Row],[Column17]],Table110461117[[#This Row],[Column8]]),"A")</f>
        <v>1.25</v>
      </c>
      <c r="CG224" s="138"/>
      <c r="CH224" s="140">
        <f>IFERROR(AVERAGE('Review 1'!AX224,'Review 2'!AX224,'Review 3'!AX224,'Review 4'!AX224,'Reflection -1 '!AX224,'Reflection -2'!AX224,'Reflection -3'!AX224,'Reflection -4'!AX224),"A")</f>
        <v>2.625</v>
      </c>
      <c r="CI224" s="140">
        <f>IFERROR(AVERAGE('Review 1'!AY224,'Review 2'!AY224,'Review 3'!AY224,'Review 4'!AY224,'Reflection -1 '!AY224,'Reflection -2'!AY224,'Reflection -3'!AY224,'Reflection -4'!AY224,Capstone!AY225),"A")</f>
        <v>2.3333333333333335</v>
      </c>
      <c r="CJ224" s="140">
        <f>IFERROR(AVERAGE('Review 1'!AZ224,'Review 2'!AZ224,'Review 3'!AZ224,'Review 4'!AZ224,'Reflection -1 '!AZ224,'Reflection -2'!AZ224,'Reflection -3'!AZ224,'Reflection -4'!AZ224),"A")</f>
        <v>2.75</v>
      </c>
    </row>
    <row r="225" spans="1:88" s="122" customFormat="1" ht="23.1" customHeight="1" x14ac:dyDescent="0.3">
      <c r="A225" s="137">
        <v>223</v>
      </c>
      <c r="B225" s="62" t="s">
        <v>479</v>
      </c>
      <c r="C225" s="62" t="s">
        <v>480</v>
      </c>
      <c r="D225" s="62" t="s">
        <v>450</v>
      </c>
      <c r="E225" s="62" t="s">
        <v>289</v>
      </c>
      <c r="F225" s="139"/>
      <c r="G225" s="139">
        <f>'Review 1'!Q225</f>
        <v>2.8</v>
      </c>
      <c r="H225" s="139">
        <f>'Review 1'!W225</f>
        <v>3</v>
      </c>
      <c r="I225" s="139">
        <f>'Review 1'!AC225</f>
        <v>2.5</v>
      </c>
      <c r="J225" s="139">
        <f>'Review 1'!AI225</f>
        <v>3</v>
      </c>
      <c r="K225" s="139"/>
      <c r="L225" s="139">
        <f>'Review 1'!AU225</f>
        <v>3</v>
      </c>
      <c r="M225" s="138"/>
      <c r="N225" s="139"/>
      <c r="O225" s="139">
        <f>'Review 2'!Q225</f>
        <v>2.2000000000000002</v>
      </c>
      <c r="P225" s="139">
        <f>'Review 2'!W225</f>
        <v>2</v>
      </c>
      <c r="Q225" s="139">
        <f>'Review 2'!AC225</f>
        <v>2</v>
      </c>
      <c r="R225" s="139">
        <f>'Review 2'!AI225</f>
        <v>1</v>
      </c>
      <c r="S225" s="139"/>
      <c r="T225" s="139">
        <f>'Review 2'!AU225</f>
        <v>2</v>
      </c>
      <c r="U225" s="138"/>
      <c r="V225" s="62"/>
      <c r="W225" s="139">
        <f>'Review 3'!Q225</f>
        <v>2.4</v>
      </c>
      <c r="X225" s="139">
        <f>'Review 3'!W225</f>
        <v>2</v>
      </c>
      <c r="Y225" s="139">
        <f>'Review 3'!AC225</f>
        <v>2</v>
      </c>
      <c r="Z225" s="139">
        <f>'Review 3'!AI225</f>
        <v>2</v>
      </c>
      <c r="AA225" s="62"/>
      <c r="AB225" s="139">
        <f>'Review 3'!AU225</f>
        <v>2</v>
      </c>
      <c r="AC225" s="138"/>
      <c r="AD225" s="62"/>
      <c r="AE225" s="139">
        <f>'Review 4'!Q225</f>
        <v>3.2</v>
      </c>
      <c r="AF225" s="139">
        <f>'Review 4'!W225</f>
        <v>4</v>
      </c>
      <c r="AG225" s="139">
        <f>'Review 4'!AC225</f>
        <v>3.5</v>
      </c>
      <c r="AH225" s="139">
        <f>'Review 4'!AI225</f>
        <v>5</v>
      </c>
      <c r="AI225" s="139"/>
      <c r="AJ225" s="139">
        <f>'Review 4'!AU225</f>
        <v>4</v>
      </c>
      <c r="AK225" s="138"/>
      <c r="AL225" s="62"/>
      <c r="AM225" s="139">
        <f>'Reflection -1 '!Q225</f>
        <v>3.6666666666666665</v>
      </c>
      <c r="AN225" s="62"/>
      <c r="AO225" s="62"/>
      <c r="AP225" s="62"/>
      <c r="AQ225" s="62"/>
      <c r="AR225" s="62"/>
      <c r="AS225" s="138"/>
      <c r="AT225" s="62"/>
      <c r="AU225" s="139">
        <f>'Reflection -2'!Q225</f>
        <v>3.3333333333333335</v>
      </c>
      <c r="AV225" s="62"/>
      <c r="AW225" s="62"/>
      <c r="AX225" s="62"/>
      <c r="AY225" s="139"/>
      <c r="AZ225" s="62"/>
      <c r="BA225" s="138"/>
      <c r="BB225" s="139"/>
      <c r="BC225" s="139">
        <f>'Reflection -3'!Q225</f>
        <v>3.3333333333333335</v>
      </c>
      <c r="BD225" s="139"/>
      <c r="BE225" s="139"/>
      <c r="BF225" s="139"/>
      <c r="BG225" s="139"/>
      <c r="BH225" s="139"/>
      <c r="BI225" s="138"/>
      <c r="BJ225" s="139"/>
      <c r="BK225" s="139">
        <f>'Reflection -3'!Q225</f>
        <v>3.3333333333333335</v>
      </c>
      <c r="BL225" s="62"/>
      <c r="BM225" s="139"/>
      <c r="BN225" s="62"/>
      <c r="BO225" s="139"/>
      <c r="BP225" s="139"/>
      <c r="BQ225" s="138"/>
      <c r="BR225" s="139"/>
      <c r="BS225" s="139">
        <f>Capstone!Q226</f>
        <v>2</v>
      </c>
      <c r="BT225" s="139">
        <f>Capstone!W226</f>
        <v>0</v>
      </c>
      <c r="BU225" s="139">
        <f>Capstone!AC226</f>
        <v>0</v>
      </c>
      <c r="BV225" s="139">
        <f>Capstone!AI226</f>
        <v>0</v>
      </c>
      <c r="BW225" s="139">
        <f>Capstone!AO226</f>
        <v>3</v>
      </c>
      <c r="BX225" s="139">
        <f>Capstone!AU226</f>
        <v>3</v>
      </c>
      <c r="BY225" s="138"/>
      <c r="BZ225" s="139"/>
      <c r="CA225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3.0333333333333328</v>
      </c>
      <c r="CB225" s="139">
        <f>IFERROR(AVERAGE(Table110461117[[#This Row],[Column31]],Table110461117[[#This Row],[Column13]],Table110461117[[#This Row],[Column4]],Table110461117[[#This Row],[Column22]],),"A")</f>
        <v>2.2000000000000002</v>
      </c>
      <c r="CC225" s="139">
        <f>IFERROR(AVERAGE(Table110461117[[#This Row],[Column5]],Table110461117[[#This Row],[Column14]],Table110461117[[#This Row],[Column23]],Table110461117[[#This Row],[Column32]]),"A")</f>
        <v>2.5</v>
      </c>
      <c r="CD225" s="139">
        <f>IFERROR(AVERAGE(Table110461117[[#This Row],[Column6]],Table110461117[[#This Row],[Column15]],Table110461117[[#This Row],[Column24]],Table110461117[[#This Row],[Column33]]),"A")</f>
        <v>2.75</v>
      </c>
      <c r="CE225" s="139"/>
      <c r="CF225" s="139">
        <f>IFERROR(AVERAGE(Table110461117[[#This Row],[Column26]],Table110461117[[#This Row],[Column35]],Table110461117[[#This Row],[Column17]],Table110461117[[#This Row],[Column8]]),"A")</f>
        <v>2.75</v>
      </c>
      <c r="CG225" s="138"/>
      <c r="CH225" s="139">
        <f>IFERROR(AVERAGE('Review 1'!AX225,'Review 2'!AX225,'Review 3'!AX225,'Review 4'!AX225,'Reflection -1 '!AX225,'Reflection -2'!AX225,'Reflection -3'!AX225,'Reflection -4'!AX225),"A")</f>
        <v>3.5</v>
      </c>
      <c r="CI225" s="139">
        <f>IFERROR(AVERAGE('Review 1'!AY225,'Review 2'!AY225,'Review 3'!AY225,'Review 4'!AY225,'Reflection -1 '!AY225,'Reflection -2'!AY225,'Reflection -3'!AY225,'Reflection -4'!AY225,Capstone!AY226),"A")</f>
        <v>2.2222222222222223</v>
      </c>
      <c r="CJ225" s="139">
        <f>IFERROR(AVERAGE('Review 1'!AZ225,'Review 2'!AZ225,'Review 3'!AZ225,'Review 4'!AZ225,'Reflection -1 '!AZ225,'Reflection -2'!AZ225,'Reflection -3'!AZ225,'Reflection -4'!AZ225),"A")</f>
        <v>3.125</v>
      </c>
    </row>
    <row r="226" spans="1:88" s="122" customFormat="1" ht="23.1" customHeight="1" x14ac:dyDescent="0.3">
      <c r="A226" s="6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140"/>
      <c r="G226" s="140">
        <f>'Review 1'!Q226</f>
        <v>3</v>
      </c>
      <c r="H226" s="140">
        <f>'Review 1'!W226</f>
        <v>3</v>
      </c>
      <c r="I226" s="140">
        <f>'Review 1'!AC226</f>
        <v>3</v>
      </c>
      <c r="J226" s="140">
        <f>'Review 1'!AI226</f>
        <v>2.5</v>
      </c>
      <c r="K226" s="140"/>
      <c r="L226" s="140">
        <f>'Review 1'!AU226</f>
        <v>3</v>
      </c>
      <c r="M226" s="138"/>
      <c r="N226" s="140"/>
      <c r="O226" s="140">
        <f>'Review 2'!Q226</f>
        <v>2.2000000000000002</v>
      </c>
      <c r="P226" s="140">
        <f>'Review 2'!W226</f>
        <v>3</v>
      </c>
      <c r="Q226" s="140">
        <f>'Review 2'!AC226</f>
        <v>2.5</v>
      </c>
      <c r="R226" s="140">
        <f>'Review 2'!AI226</f>
        <v>1.5</v>
      </c>
      <c r="S226" s="140"/>
      <c r="T226" s="140">
        <f>'Review 2'!AU226</f>
        <v>2.3333333333333335</v>
      </c>
      <c r="U226" s="138"/>
      <c r="V226" s="7"/>
      <c r="W226" s="140">
        <f>'Review 3'!Q226</f>
        <v>2.4</v>
      </c>
      <c r="X226" s="140">
        <f>'Review 3'!W226</f>
        <v>0</v>
      </c>
      <c r="Y226" s="140">
        <f>'Review 3'!AC226</f>
        <v>0</v>
      </c>
      <c r="Z226" s="140">
        <f>'Review 3'!AI226</f>
        <v>0</v>
      </c>
      <c r="AA226" s="7"/>
      <c r="AB226" s="140">
        <f>'Review 3'!AU226</f>
        <v>0</v>
      </c>
      <c r="AC226" s="138"/>
      <c r="AD226" s="7"/>
      <c r="AE226" s="140">
        <f>'Review 4'!Q226</f>
        <v>0</v>
      </c>
      <c r="AF226" s="140">
        <f>'Review 4'!W226</f>
        <v>0</v>
      </c>
      <c r="AG226" s="140">
        <f>'Review 4'!AC226</f>
        <v>0</v>
      </c>
      <c r="AH226" s="140">
        <f>'Review 4'!AI226</f>
        <v>0</v>
      </c>
      <c r="AI226" s="140"/>
      <c r="AJ226" s="140">
        <f>'Review 4'!AU226</f>
        <v>0</v>
      </c>
      <c r="AK226" s="138"/>
      <c r="AL226" s="7"/>
      <c r="AM226" s="140">
        <f>'Reflection -1 '!Q226</f>
        <v>2.6666666666666665</v>
      </c>
      <c r="AN226" s="7"/>
      <c r="AO226" s="7"/>
      <c r="AP226" s="7"/>
      <c r="AQ226" s="7"/>
      <c r="AR226" s="7"/>
      <c r="AS226" s="138"/>
      <c r="AT226" s="7"/>
      <c r="AU226" s="140">
        <f>'Reflection -2'!Q226</f>
        <v>2.6666666666666665</v>
      </c>
      <c r="AV226" s="7"/>
      <c r="AW226" s="7"/>
      <c r="AX226" s="7"/>
      <c r="AY226" s="140"/>
      <c r="AZ226" s="7"/>
      <c r="BA226" s="138"/>
      <c r="BB226" s="140"/>
      <c r="BC226" s="140">
        <f>'Reflection -3'!Q226</f>
        <v>2.6666666666666665</v>
      </c>
      <c r="BD226" s="140"/>
      <c r="BE226" s="140"/>
      <c r="BF226" s="140"/>
      <c r="BG226" s="140"/>
      <c r="BH226" s="140"/>
      <c r="BI226" s="138"/>
      <c r="BJ226" s="140"/>
      <c r="BK226" s="140">
        <f>'Reflection -3'!Q226</f>
        <v>2.6666666666666665</v>
      </c>
      <c r="BL226" s="7"/>
      <c r="BM226" s="140"/>
      <c r="BN226" s="7"/>
      <c r="BO226" s="140"/>
      <c r="BP226" s="140"/>
      <c r="BQ226" s="138"/>
      <c r="BR226" s="140"/>
      <c r="BS226" s="140">
        <f>Capstone!Q227</f>
        <v>4.333333333333333</v>
      </c>
      <c r="BT226" s="140">
        <f>Capstone!W227</f>
        <v>5</v>
      </c>
      <c r="BU226" s="140">
        <f>Capstone!AC227</f>
        <v>5</v>
      </c>
      <c r="BV226" s="140">
        <f>Capstone!AI227</f>
        <v>5</v>
      </c>
      <c r="BW226" s="140">
        <f>Capstone!AO227</f>
        <v>5</v>
      </c>
      <c r="BX226" s="140">
        <f>Capstone!AU227</f>
        <v>5</v>
      </c>
      <c r="BY226" s="138"/>
      <c r="BZ226" s="140"/>
      <c r="CA226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2.2833333333333332</v>
      </c>
      <c r="CB226" s="140">
        <f>IFERROR(AVERAGE(Table110461117[[#This Row],[Column31]],Table110461117[[#This Row],[Column13]],Table110461117[[#This Row],[Column4]],Table110461117[[#This Row],[Column22]],),"A")</f>
        <v>1.2</v>
      </c>
      <c r="CC226" s="140">
        <f>IFERROR(AVERAGE(Table110461117[[#This Row],[Column5]],Table110461117[[#This Row],[Column14]],Table110461117[[#This Row],[Column23]],Table110461117[[#This Row],[Column32]]),"A")</f>
        <v>1.375</v>
      </c>
      <c r="CD226" s="140">
        <f>IFERROR(AVERAGE(Table110461117[[#This Row],[Column6]],Table110461117[[#This Row],[Column15]],Table110461117[[#This Row],[Column24]],Table110461117[[#This Row],[Column33]]),"A")</f>
        <v>1</v>
      </c>
      <c r="CE226" s="140"/>
      <c r="CF226" s="140">
        <f>IFERROR(AVERAGE(Table110461117[[#This Row],[Column26]],Table110461117[[#This Row],[Column35]],Table110461117[[#This Row],[Column17]],Table110461117[[#This Row],[Column8]]),"A")</f>
        <v>1.3333333333333335</v>
      </c>
      <c r="CG226" s="138"/>
      <c r="CH226" s="140">
        <f>IFERROR(AVERAGE('Review 1'!AX226,'Review 2'!AX226,'Review 3'!AX226,'Review 4'!AX226,'Reflection -1 '!AX226,'Reflection -2'!AX226,'Reflection -3'!AX226,'Reflection -4'!AX226),"A")</f>
        <v>2.875</v>
      </c>
      <c r="CI226" s="140">
        <f>IFERROR(AVERAGE('Review 1'!AY226,'Review 2'!AY226,'Review 3'!AY226,'Review 4'!AY226,'Reflection -1 '!AY226,'Reflection -2'!AY226,'Reflection -3'!AY226,'Reflection -4'!AY226,Capstone!AY227),"A")</f>
        <v>2.3333333333333335</v>
      </c>
      <c r="CJ226" s="140">
        <f>IFERROR(AVERAGE('Review 1'!AZ226,'Review 2'!AZ226,'Review 3'!AZ226,'Review 4'!AZ226,'Reflection -1 '!AZ226,'Reflection -2'!AZ226,'Reflection -3'!AZ226,'Reflection -4'!AZ226),"A")</f>
        <v>2</v>
      </c>
    </row>
    <row r="227" spans="1:88" s="122" customFormat="1" ht="23.1" customHeight="1" x14ac:dyDescent="0.3">
      <c r="A227" s="137">
        <v>225</v>
      </c>
      <c r="B227" s="62" t="s">
        <v>483</v>
      </c>
      <c r="C227" s="62" t="s">
        <v>540</v>
      </c>
      <c r="D227" s="62" t="s">
        <v>450</v>
      </c>
      <c r="E227" s="62" t="s">
        <v>289</v>
      </c>
      <c r="F227" s="139"/>
      <c r="G227" s="139">
        <f>'Review 1'!Q227</f>
        <v>3.4</v>
      </c>
      <c r="H227" s="139">
        <f>'Review 1'!W227</f>
        <v>3</v>
      </c>
      <c r="I227" s="139">
        <f>'Review 1'!AC227</f>
        <v>3</v>
      </c>
      <c r="J227" s="139">
        <f>'Review 1'!AI227</f>
        <v>2.5</v>
      </c>
      <c r="K227" s="139"/>
      <c r="L227" s="139">
        <f>'Review 1'!AU227</f>
        <v>3</v>
      </c>
      <c r="M227" s="138"/>
      <c r="N227" s="139"/>
      <c r="O227" s="139">
        <f>'Review 2'!Q227</f>
        <v>2.2000000000000002</v>
      </c>
      <c r="P227" s="139">
        <f>'Review 2'!W227</f>
        <v>2</v>
      </c>
      <c r="Q227" s="139">
        <f>'Review 2'!AC227</f>
        <v>2</v>
      </c>
      <c r="R227" s="139">
        <f>'Review 2'!AI227</f>
        <v>1</v>
      </c>
      <c r="S227" s="139"/>
      <c r="T227" s="139">
        <f>'Review 2'!AU227</f>
        <v>2</v>
      </c>
      <c r="U227" s="138"/>
      <c r="V227" s="62"/>
      <c r="W227" s="139">
        <f>'Review 3'!Q227</f>
        <v>2.2000000000000002</v>
      </c>
      <c r="X227" s="139">
        <f>'Review 3'!W227</f>
        <v>0</v>
      </c>
      <c r="Y227" s="139">
        <f>'Review 3'!AC227</f>
        <v>0</v>
      </c>
      <c r="Z227" s="139">
        <f>'Review 3'!AI227</f>
        <v>0</v>
      </c>
      <c r="AA227" s="62"/>
      <c r="AB227" s="139">
        <f>'Review 3'!AU227</f>
        <v>0</v>
      </c>
      <c r="AC227" s="138"/>
      <c r="AD227" s="62"/>
      <c r="AE227" s="139">
        <f>'Review 4'!Q227</f>
        <v>2</v>
      </c>
      <c r="AF227" s="139">
        <f>'Review 4'!W227</f>
        <v>1</v>
      </c>
      <c r="AG227" s="139">
        <f>'Review 4'!AC227</f>
        <v>1</v>
      </c>
      <c r="AH227" s="139">
        <f>'Review 4'!AI227</f>
        <v>1</v>
      </c>
      <c r="AI227" s="139"/>
      <c r="AJ227" s="139">
        <f>'Review 4'!AU227</f>
        <v>1</v>
      </c>
      <c r="AK227" s="138"/>
      <c r="AL227" s="62"/>
      <c r="AM227" s="139">
        <f>'Reflection -1 '!Q227</f>
        <v>2</v>
      </c>
      <c r="AN227" s="62"/>
      <c r="AO227" s="62"/>
      <c r="AP227" s="62"/>
      <c r="AQ227" s="62"/>
      <c r="AR227" s="62"/>
      <c r="AS227" s="138"/>
      <c r="AT227" s="62"/>
      <c r="AU227" s="139">
        <f>'Reflection -2'!Q227</f>
        <v>2.6666666666666665</v>
      </c>
      <c r="AV227" s="62"/>
      <c r="AW227" s="62"/>
      <c r="AX227" s="62"/>
      <c r="AY227" s="139"/>
      <c r="AZ227" s="62"/>
      <c r="BA227" s="138"/>
      <c r="BB227" s="139"/>
      <c r="BC227" s="139">
        <f>'Reflection -3'!Q227</f>
        <v>2</v>
      </c>
      <c r="BD227" s="139"/>
      <c r="BE227" s="139"/>
      <c r="BF227" s="139"/>
      <c r="BG227" s="139"/>
      <c r="BH227" s="139"/>
      <c r="BI227" s="138"/>
      <c r="BJ227" s="139"/>
      <c r="BK227" s="139">
        <f>'Reflection -3'!Q227</f>
        <v>2</v>
      </c>
      <c r="BL227" s="62"/>
      <c r="BM227" s="139"/>
      <c r="BN227" s="62"/>
      <c r="BO227" s="139"/>
      <c r="BP227" s="139"/>
      <c r="BQ227" s="138"/>
      <c r="BR227" s="139"/>
      <c r="BS227" s="139">
        <f>Capstone!Q228</f>
        <v>4</v>
      </c>
      <c r="BT227" s="139">
        <f>Capstone!W228</f>
        <v>3</v>
      </c>
      <c r="BU227" s="139">
        <f>Capstone!AC228</f>
        <v>3</v>
      </c>
      <c r="BV227" s="139">
        <f>Capstone!AI228</f>
        <v>3</v>
      </c>
      <c r="BW227" s="139">
        <f>Capstone!AO228</f>
        <v>2</v>
      </c>
      <c r="BX227" s="139">
        <f>Capstone!AU228</f>
        <v>4</v>
      </c>
      <c r="BY227" s="138"/>
      <c r="BZ227" s="139"/>
      <c r="CA227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2.3083333333333331</v>
      </c>
      <c r="CB227" s="139">
        <f>IFERROR(AVERAGE(Table110461117[[#This Row],[Column31]],Table110461117[[#This Row],[Column13]],Table110461117[[#This Row],[Column4]],Table110461117[[#This Row],[Column22]],),"A")</f>
        <v>1.2</v>
      </c>
      <c r="CC227" s="139">
        <f>IFERROR(AVERAGE(Table110461117[[#This Row],[Column5]],Table110461117[[#This Row],[Column14]],Table110461117[[#This Row],[Column23]],Table110461117[[#This Row],[Column32]]),"A")</f>
        <v>1.5</v>
      </c>
      <c r="CD227" s="139">
        <f>IFERROR(AVERAGE(Table110461117[[#This Row],[Column6]],Table110461117[[#This Row],[Column15]],Table110461117[[#This Row],[Column24]],Table110461117[[#This Row],[Column33]]),"A")</f>
        <v>1.125</v>
      </c>
      <c r="CE227" s="139"/>
      <c r="CF227" s="139">
        <f>IFERROR(AVERAGE(Table110461117[[#This Row],[Column26]],Table110461117[[#This Row],[Column35]],Table110461117[[#This Row],[Column17]],Table110461117[[#This Row],[Column8]]),"A")</f>
        <v>1.5</v>
      </c>
      <c r="CG227" s="138"/>
      <c r="CH227" s="139">
        <f>IFERROR(AVERAGE('Review 1'!AX227,'Review 2'!AX227,'Review 3'!AX227,'Review 4'!AX227,'Reflection -1 '!AX227,'Reflection -2'!AX227,'Reflection -3'!AX227,'Reflection -4'!AX227),"A")</f>
        <v>2.25</v>
      </c>
      <c r="CI227" s="139">
        <f>IFERROR(AVERAGE('Review 1'!AY227,'Review 2'!AY227,'Review 3'!AY227,'Review 4'!AY227,'Reflection -1 '!AY227,'Reflection -2'!AY227,'Reflection -3'!AY227,'Reflection -4'!AY227,Capstone!AY228),"A")</f>
        <v>2</v>
      </c>
      <c r="CJ227" s="139">
        <f>IFERROR(AVERAGE('Review 1'!AZ227,'Review 2'!AZ227,'Review 3'!AZ227,'Review 4'!AZ227,'Reflection -1 '!AZ227,'Reflection -2'!AZ227,'Reflection -3'!AZ227,'Reflection -4'!AZ227),"A")</f>
        <v>1.75</v>
      </c>
    </row>
    <row r="228" spans="1:88" s="122" customFormat="1" ht="23.1" customHeight="1" x14ac:dyDescent="0.3">
      <c r="A228" s="6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140"/>
      <c r="G228" s="140">
        <f>'Review 1'!Q228</f>
        <v>2.8</v>
      </c>
      <c r="H228" s="140">
        <f>'Review 1'!W228</f>
        <v>3</v>
      </c>
      <c r="I228" s="140">
        <f>'Review 1'!AC228</f>
        <v>2.5</v>
      </c>
      <c r="J228" s="140">
        <f>'Review 1'!AI228</f>
        <v>2.5</v>
      </c>
      <c r="K228" s="140"/>
      <c r="L228" s="140">
        <f>'Review 1'!AU228</f>
        <v>3</v>
      </c>
      <c r="M228" s="138"/>
      <c r="N228" s="140"/>
      <c r="O228" s="140">
        <f>'Review 2'!Q228</f>
        <v>2.8</v>
      </c>
      <c r="P228" s="140">
        <f>'Review 2'!W228</f>
        <v>3</v>
      </c>
      <c r="Q228" s="140">
        <f>'Review 2'!AC228</f>
        <v>2.5</v>
      </c>
      <c r="R228" s="140">
        <f>'Review 2'!AI228</f>
        <v>1</v>
      </c>
      <c r="S228" s="140"/>
      <c r="T228" s="140">
        <f>'Review 2'!AU228</f>
        <v>2</v>
      </c>
      <c r="U228" s="138"/>
      <c r="V228" s="7"/>
      <c r="W228" s="140">
        <f>'Review 3'!Q228</f>
        <v>2.2000000000000002</v>
      </c>
      <c r="X228" s="140">
        <f>'Review 3'!W228</f>
        <v>0</v>
      </c>
      <c r="Y228" s="140">
        <f>'Review 3'!AC228</f>
        <v>0</v>
      </c>
      <c r="Z228" s="140">
        <f>'Review 3'!AI228</f>
        <v>0</v>
      </c>
      <c r="AA228" s="7"/>
      <c r="AB228" s="140">
        <f>'Review 3'!AU228</f>
        <v>0</v>
      </c>
      <c r="AC228" s="138"/>
      <c r="AD228" s="7"/>
      <c r="AE228" s="140">
        <f>'Review 4'!Q228</f>
        <v>2.2000000000000002</v>
      </c>
      <c r="AF228" s="140">
        <f>'Review 4'!W228</f>
        <v>3</v>
      </c>
      <c r="AG228" s="140">
        <f>'Review 4'!AC228</f>
        <v>2.5</v>
      </c>
      <c r="AH228" s="140">
        <f>'Review 4'!AI228</f>
        <v>2</v>
      </c>
      <c r="AI228" s="140"/>
      <c r="AJ228" s="140">
        <f>'Review 4'!AU228</f>
        <v>3.6666666666666665</v>
      </c>
      <c r="AK228" s="138"/>
      <c r="AL228" s="7"/>
      <c r="AM228" s="140">
        <f>'Reflection -1 '!Q228</f>
        <v>2.3333333333333335</v>
      </c>
      <c r="AN228" s="7"/>
      <c r="AO228" s="7"/>
      <c r="AP228" s="7"/>
      <c r="AQ228" s="7"/>
      <c r="AR228" s="7"/>
      <c r="AS228" s="138"/>
      <c r="AT228" s="7"/>
      <c r="AU228" s="140">
        <f>'Reflection -2'!Q228</f>
        <v>3</v>
      </c>
      <c r="AV228" s="7"/>
      <c r="AW228" s="7"/>
      <c r="AX228" s="7"/>
      <c r="AY228" s="140"/>
      <c r="AZ228" s="7"/>
      <c r="BA228" s="138"/>
      <c r="BB228" s="140"/>
      <c r="BC228" s="140">
        <f>'Reflection -3'!Q228</f>
        <v>3</v>
      </c>
      <c r="BD228" s="140"/>
      <c r="BE228" s="140"/>
      <c r="BF228" s="140"/>
      <c r="BG228" s="140"/>
      <c r="BH228" s="140"/>
      <c r="BI228" s="138"/>
      <c r="BJ228" s="140"/>
      <c r="BK228" s="140">
        <f>'Reflection -3'!Q228</f>
        <v>3</v>
      </c>
      <c r="BL228" s="7"/>
      <c r="BM228" s="140"/>
      <c r="BN228" s="7"/>
      <c r="BO228" s="140"/>
      <c r="BP228" s="140"/>
      <c r="BQ228" s="138"/>
      <c r="BR228" s="140"/>
      <c r="BS228" s="140">
        <f>Capstone!Q229</f>
        <v>5</v>
      </c>
      <c r="BT228" s="140">
        <f>Capstone!W229</f>
        <v>5</v>
      </c>
      <c r="BU228" s="140">
        <f>Capstone!AC229</f>
        <v>5</v>
      </c>
      <c r="BV228" s="140">
        <f>Capstone!AI229</f>
        <v>5</v>
      </c>
      <c r="BW228" s="140">
        <f>Capstone!AO229</f>
        <v>5</v>
      </c>
      <c r="BX228" s="140">
        <f>Capstone!AU229</f>
        <v>5</v>
      </c>
      <c r="BY228" s="138"/>
      <c r="BZ228" s="140"/>
      <c r="CA228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2.6666666666666665</v>
      </c>
      <c r="CB228" s="140">
        <f>IFERROR(AVERAGE(Table110461117[[#This Row],[Column31]],Table110461117[[#This Row],[Column13]],Table110461117[[#This Row],[Column4]],Table110461117[[#This Row],[Column22]],),"A")</f>
        <v>1.8</v>
      </c>
      <c r="CC228" s="140">
        <f>IFERROR(AVERAGE(Table110461117[[#This Row],[Column5]],Table110461117[[#This Row],[Column14]],Table110461117[[#This Row],[Column23]],Table110461117[[#This Row],[Column32]]),"A")</f>
        <v>1.875</v>
      </c>
      <c r="CD228" s="140">
        <f>IFERROR(AVERAGE(Table110461117[[#This Row],[Column6]],Table110461117[[#This Row],[Column15]],Table110461117[[#This Row],[Column24]],Table110461117[[#This Row],[Column33]]),"A")</f>
        <v>1.375</v>
      </c>
      <c r="CE228" s="140"/>
      <c r="CF228" s="140">
        <f>IFERROR(AVERAGE(Table110461117[[#This Row],[Column26]],Table110461117[[#This Row],[Column35]],Table110461117[[#This Row],[Column17]],Table110461117[[#This Row],[Column8]]),"A")</f>
        <v>2.1666666666666665</v>
      </c>
      <c r="CG228" s="138"/>
      <c r="CH228" s="140">
        <f>IFERROR(AVERAGE('Review 1'!AX228,'Review 2'!AX228,'Review 3'!AX228,'Review 4'!AX228,'Reflection -1 '!AX228,'Reflection -2'!AX228,'Reflection -3'!AX228,'Reflection -4'!AX228),"A")</f>
        <v>2.625</v>
      </c>
      <c r="CI228" s="140">
        <f>IFERROR(AVERAGE('Review 1'!AY228,'Review 2'!AY228,'Review 3'!AY228,'Review 4'!AY228,'Reflection -1 '!AY228,'Reflection -2'!AY228,'Reflection -3'!AY228,'Reflection -4'!AY228,Capstone!AY229),"A")</f>
        <v>2.2222222222222223</v>
      </c>
      <c r="CJ228" s="140">
        <f>IFERROR(AVERAGE('Review 1'!AZ228,'Review 2'!AZ228,'Review 3'!AZ228,'Review 4'!AZ228,'Reflection -1 '!AZ228,'Reflection -2'!AZ228,'Reflection -3'!AZ228,'Reflection -4'!AZ228),"A")</f>
        <v>2.125</v>
      </c>
    </row>
    <row r="229" spans="1:88" s="122" customFormat="1" ht="23.1" customHeight="1" x14ac:dyDescent="0.3">
      <c r="A229" s="137">
        <v>227</v>
      </c>
      <c r="B229" s="62" t="s">
        <v>486</v>
      </c>
      <c r="C229" s="62" t="s">
        <v>487</v>
      </c>
      <c r="D229" s="62" t="s">
        <v>450</v>
      </c>
      <c r="E229" s="62" t="s">
        <v>289</v>
      </c>
      <c r="F229" s="139"/>
      <c r="G229" s="139">
        <f>'Review 1'!Q229</f>
        <v>3</v>
      </c>
      <c r="H229" s="139">
        <f>'Review 1'!W229</f>
        <v>3</v>
      </c>
      <c r="I229" s="139">
        <f>'Review 1'!AC229</f>
        <v>3</v>
      </c>
      <c r="J229" s="139">
        <f>'Review 1'!AI229</f>
        <v>3</v>
      </c>
      <c r="K229" s="139"/>
      <c r="L229" s="139">
        <f>'Review 1'!AU229</f>
        <v>3</v>
      </c>
      <c r="M229" s="138"/>
      <c r="N229" s="139"/>
      <c r="O229" s="139">
        <f>'Review 2'!Q229</f>
        <v>3</v>
      </c>
      <c r="P229" s="139">
        <f>'Review 2'!W229</f>
        <v>3</v>
      </c>
      <c r="Q229" s="139">
        <f>'Review 2'!AC229</f>
        <v>3</v>
      </c>
      <c r="R229" s="139">
        <f>'Review 2'!AI229</f>
        <v>1</v>
      </c>
      <c r="S229" s="139"/>
      <c r="T229" s="139">
        <f>'Review 2'!AU229</f>
        <v>2.3333333333333335</v>
      </c>
      <c r="U229" s="138"/>
      <c r="V229" s="62"/>
      <c r="W229" s="139">
        <f>'Review 3'!Q229</f>
        <v>2.8</v>
      </c>
      <c r="X229" s="139">
        <f>'Review 3'!W229</f>
        <v>2</v>
      </c>
      <c r="Y229" s="139">
        <f>'Review 3'!AC229</f>
        <v>2</v>
      </c>
      <c r="Z229" s="139">
        <f>'Review 3'!AI229</f>
        <v>2</v>
      </c>
      <c r="AA229" s="62"/>
      <c r="AB229" s="139">
        <f>'Review 3'!AU229</f>
        <v>2</v>
      </c>
      <c r="AC229" s="138"/>
      <c r="AD229" s="62"/>
      <c r="AE229" s="139">
        <f>'Review 4'!Q229</f>
        <v>2.4</v>
      </c>
      <c r="AF229" s="139">
        <f>'Review 4'!W229</f>
        <v>2</v>
      </c>
      <c r="AG229" s="139">
        <f>'Review 4'!AC229</f>
        <v>2</v>
      </c>
      <c r="AH229" s="139">
        <f>'Review 4'!AI229</f>
        <v>4</v>
      </c>
      <c r="AI229" s="139"/>
      <c r="AJ229" s="139">
        <f>'Review 4'!AU229</f>
        <v>2.3333333333333335</v>
      </c>
      <c r="AK229" s="138"/>
      <c r="AL229" s="62"/>
      <c r="AM229" s="139">
        <f>'Reflection -1 '!Q229</f>
        <v>4</v>
      </c>
      <c r="AN229" s="62"/>
      <c r="AO229" s="62"/>
      <c r="AP229" s="62"/>
      <c r="AQ229" s="62"/>
      <c r="AR229" s="62"/>
      <c r="AS229" s="138"/>
      <c r="AT229" s="62"/>
      <c r="AU229" s="139">
        <f>'Reflection -2'!Q229</f>
        <v>4</v>
      </c>
      <c r="AV229" s="62"/>
      <c r="AW229" s="62"/>
      <c r="AX229" s="62"/>
      <c r="AY229" s="139"/>
      <c r="AZ229" s="62"/>
      <c r="BA229" s="138"/>
      <c r="BB229" s="139"/>
      <c r="BC229" s="139">
        <f>'Reflection -3'!Q229</f>
        <v>4</v>
      </c>
      <c r="BD229" s="139"/>
      <c r="BE229" s="139"/>
      <c r="BF229" s="139"/>
      <c r="BG229" s="139"/>
      <c r="BH229" s="139"/>
      <c r="BI229" s="138"/>
      <c r="BJ229" s="139"/>
      <c r="BK229" s="139">
        <f>'Reflection -3'!Q229</f>
        <v>4</v>
      </c>
      <c r="BL229" s="62"/>
      <c r="BM229" s="139"/>
      <c r="BN229" s="62"/>
      <c r="BO229" s="139"/>
      <c r="BP229" s="139"/>
      <c r="BQ229" s="138"/>
      <c r="BR229" s="139"/>
      <c r="BS229" s="139">
        <f>Capstone!Q230</f>
        <v>2.3333333333333335</v>
      </c>
      <c r="BT229" s="139">
        <f>Capstone!W230</f>
        <v>3</v>
      </c>
      <c r="BU229" s="139">
        <f>Capstone!AC230</f>
        <v>3</v>
      </c>
      <c r="BV229" s="139">
        <f>Capstone!AI230</f>
        <v>2</v>
      </c>
      <c r="BW229" s="139">
        <f>Capstone!AO230</f>
        <v>2</v>
      </c>
      <c r="BX229" s="139">
        <f>Capstone!AU230</f>
        <v>3</v>
      </c>
      <c r="BY229" s="138"/>
      <c r="BZ229" s="139"/>
      <c r="CA229" s="139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3.4</v>
      </c>
      <c r="CB229" s="139">
        <f>IFERROR(AVERAGE(Table110461117[[#This Row],[Column31]],Table110461117[[#This Row],[Column13]],Table110461117[[#This Row],[Column4]],Table110461117[[#This Row],[Column22]],),"A")</f>
        <v>2</v>
      </c>
      <c r="CC229" s="139">
        <f>IFERROR(AVERAGE(Table110461117[[#This Row],[Column5]],Table110461117[[#This Row],[Column14]],Table110461117[[#This Row],[Column23]],Table110461117[[#This Row],[Column32]]),"A")</f>
        <v>2.5</v>
      </c>
      <c r="CD229" s="139">
        <f>IFERROR(AVERAGE(Table110461117[[#This Row],[Column6]],Table110461117[[#This Row],[Column15]],Table110461117[[#This Row],[Column24]],Table110461117[[#This Row],[Column33]]),"A")</f>
        <v>2.5</v>
      </c>
      <c r="CE229" s="139"/>
      <c r="CF229" s="139">
        <f>IFERROR(AVERAGE(Table110461117[[#This Row],[Column26]],Table110461117[[#This Row],[Column35]],Table110461117[[#This Row],[Column17]],Table110461117[[#This Row],[Column8]]),"A")</f>
        <v>2.416666666666667</v>
      </c>
      <c r="CG229" s="138"/>
      <c r="CH229" s="139">
        <f>IFERROR(AVERAGE('Review 1'!AX229,'Review 2'!AX229,'Review 3'!AX229,'Review 4'!AX229,'Reflection -1 '!AX229,'Reflection -2'!AX229,'Reflection -3'!AX229,'Reflection -4'!AX229),"A")</f>
        <v>3.25</v>
      </c>
      <c r="CI229" s="139">
        <f>IFERROR(AVERAGE('Review 1'!AY229,'Review 2'!AY229,'Review 3'!AY229,'Review 4'!AY229,'Reflection -1 '!AY229,'Reflection -2'!AY229,'Reflection -3'!AY229,'Reflection -4'!AY229,Capstone!AY230),"A")</f>
        <v>2.5555555555555554</v>
      </c>
      <c r="CJ229" s="139">
        <f>IFERROR(AVERAGE('Review 1'!AZ229,'Review 2'!AZ229,'Review 3'!AZ229,'Review 4'!AZ229,'Reflection -1 '!AZ229,'Reflection -2'!AZ229,'Reflection -3'!AZ229,'Reflection -4'!AZ229),"A")</f>
        <v>3.25</v>
      </c>
    </row>
    <row r="230" spans="1:88" s="122" customFormat="1" ht="23.1" customHeight="1" x14ac:dyDescent="0.3">
      <c r="A230" s="6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140"/>
      <c r="G230" s="140">
        <f>'Review 1'!Q230</f>
        <v>2.8</v>
      </c>
      <c r="H230" s="140">
        <f>'Review 1'!W230</f>
        <v>2</v>
      </c>
      <c r="I230" s="140">
        <f>'Review 1'!AC230</f>
        <v>3</v>
      </c>
      <c r="J230" s="140">
        <f>'Review 1'!AI230</f>
        <v>3</v>
      </c>
      <c r="K230" s="140"/>
      <c r="L230" s="140">
        <f>'Review 1'!AU230</f>
        <v>3</v>
      </c>
      <c r="M230" s="138"/>
      <c r="N230" s="140"/>
      <c r="O230" s="140">
        <f>'Review 2'!Q230</f>
        <v>3.4</v>
      </c>
      <c r="P230" s="140">
        <f>'Review 2'!W230</f>
        <v>3</v>
      </c>
      <c r="Q230" s="140">
        <f>'Review 2'!AC230</f>
        <v>3</v>
      </c>
      <c r="R230" s="140">
        <f>'Review 2'!AI230</f>
        <v>1</v>
      </c>
      <c r="S230" s="140"/>
      <c r="T230" s="140">
        <f>'Review 2'!AU230</f>
        <v>2.3333333333333335</v>
      </c>
      <c r="U230" s="138"/>
      <c r="V230" s="7"/>
      <c r="W230" s="140">
        <f>'Review 3'!Q230</f>
        <v>2.2000000000000002</v>
      </c>
      <c r="X230" s="140">
        <f>'Review 3'!W230</f>
        <v>0</v>
      </c>
      <c r="Y230" s="140">
        <f>'Review 3'!AC230</f>
        <v>0</v>
      </c>
      <c r="Z230" s="140">
        <f>'Review 3'!AI230</f>
        <v>0</v>
      </c>
      <c r="AA230" s="7"/>
      <c r="AB230" s="140">
        <f>'Review 3'!AU230</f>
        <v>0</v>
      </c>
      <c r="AC230" s="138"/>
      <c r="AD230" s="7"/>
      <c r="AE230" s="140">
        <f>'Review 4'!Q230</f>
        <v>3</v>
      </c>
      <c r="AF230" s="140">
        <f>'Review 4'!W230</f>
        <v>4</v>
      </c>
      <c r="AG230" s="140">
        <f>'Review 4'!AC230</f>
        <v>2.5</v>
      </c>
      <c r="AH230" s="140">
        <f>'Review 4'!AI230</f>
        <v>3</v>
      </c>
      <c r="AI230" s="140"/>
      <c r="AJ230" s="140">
        <f>'Review 4'!AU230</f>
        <v>4</v>
      </c>
      <c r="AK230" s="138"/>
      <c r="AL230" s="7"/>
      <c r="AM230" s="140">
        <f>'Reflection -1 '!Q230</f>
        <v>3</v>
      </c>
      <c r="AN230" s="7"/>
      <c r="AO230" s="7"/>
      <c r="AP230" s="7"/>
      <c r="AQ230" s="7"/>
      <c r="AR230" s="7"/>
      <c r="AS230" s="138"/>
      <c r="AT230" s="7"/>
      <c r="AU230" s="140">
        <f>'Reflection -2'!Q230</f>
        <v>2.3333333333333335</v>
      </c>
      <c r="AV230" s="7"/>
      <c r="AW230" s="7"/>
      <c r="AX230" s="7"/>
      <c r="AY230" s="140"/>
      <c r="AZ230" s="7"/>
      <c r="BA230" s="138"/>
      <c r="BB230" s="140"/>
      <c r="BC230" s="140">
        <f>'Reflection -3'!Q230</f>
        <v>3</v>
      </c>
      <c r="BD230" s="140"/>
      <c r="BE230" s="140"/>
      <c r="BF230" s="140"/>
      <c r="BG230" s="140"/>
      <c r="BH230" s="140"/>
      <c r="BI230" s="138"/>
      <c r="BJ230" s="140"/>
      <c r="BK230" s="140">
        <f>'Reflection -3'!Q230</f>
        <v>3</v>
      </c>
      <c r="BL230" s="7"/>
      <c r="BM230" s="140"/>
      <c r="BN230" s="7"/>
      <c r="BO230" s="140"/>
      <c r="BP230" s="140"/>
      <c r="BQ230" s="138"/>
      <c r="BR230" s="140"/>
      <c r="BS230" s="140" t="str">
        <f>Capstone!Q231</f>
        <v>0</v>
      </c>
      <c r="BT230" s="140" t="str">
        <f>Capstone!W231</f>
        <v>0</v>
      </c>
      <c r="BU230" s="140" t="str">
        <f>Capstone!AC231</f>
        <v>0</v>
      </c>
      <c r="BV230" s="140" t="str">
        <f>Capstone!AI231</f>
        <v>0</v>
      </c>
      <c r="BW230" s="140" t="str">
        <f>Capstone!AO231</f>
        <v>0</v>
      </c>
      <c r="BX230" s="140" t="str">
        <f>Capstone!AU231</f>
        <v>0</v>
      </c>
      <c r="BY230" s="138"/>
      <c r="BZ230" s="140"/>
      <c r="CA230" s="140">
        <f>IFERROR(AVERAGE(Table110461117[[#This Row],[Column57]],Table110461117[[#This Row],[Column39]],Table110461117[[#This Row],[Column30]],Table110461117[[#This Row],[Column12]],Table110461117[[#This Row],[Column3]],Table110461117[[#This Row],[Column18]],Table110461117[[#This Row],[Column48]],Table110461117[[#This Row],[Column21]]),"A")</f>
        <v>2.8416666666666663</v>
      </c>
      <c r="CB230" s="140">
        <f>IFERROR(AVERAGE(Table110461117[[#This Row],[Column31]],Table110461117[[#This Row],[Column13]],Table110461117[[#This Row],[Column4]],Table110461117[[#This Row],[Column22]],),"A")</f>
        <v>1.8</v>
      </c>
      <c r="CC230" s="140">
        <f>IFERROR(AVERAGE(Table110461117[[#This Row],[Column5]],Table110461117[[#This Row],[Column14]],Table110461117[[#This Row],[Column23]],Table110461117[[#This Row],[Column32]]),"A")</f>
        <v>2.125</v>
      </c>
      <c r="CD230" s="140">
        <f>IFERROR(AVERAGE(Table110461117[[#This Row],[Column6]],Table110461117[[#This Row],[Column15]],Table110461117[[#This Row],[Column24]],Table110461117[[#This Row],[Column33]]),"A")</f>
        <v>1.75</v>
      </c>
      <c r="CE230" s="140"/>
      <c r="CF230" s="140">
        <f>IFERROR(AVERAGE(Table110461117[[#This Row],[Column26]],Table110461117[[#This Row],[Column35]],Table110461117[[#This Row],[Column17]],Table110461117[[#This Row],[Column8]]),"A")</f>
        <v>2.3333333333333335</v>
      </c>
      <c r="CG230" s="138"/>
      <c r="CH230" s="140">
        <f>IFERROR(AVERAGE('Review 1'!AX230,'Review 2'!AX230,'Review 3'!AX230,'Review 4'!AX230,'Reflection -1 '!AX230,'Reflection -2'!AX230,'Reflection -3'!AX230,'Reflection -4'!AX230),"A")</f>
        <v>2.75</v>
      </c>
      <c r="CI230" s="140">
        <f>IFERROR(AVERAGE('Review 1'!AY230,'Review 2'!AY230,'Review 3'!AY230,'Review 4'!AY230,'Reflection -1 '!AY230,'Reflection -2'!AY230,'Reflection -3'!AY230,'Reflection -4'!AY230,Capstone!AY231),"A")</f>
        <v>2.375</v>
      </c>
      <c r="CJ230" s="140">
        <f>IFERROR(AVERAGE('Review 1'!AZ230,'Review 2'!AZ230,'Review 3'!AZ230,'Review 4'!AZ230,'Reflection -1 '!AZ230,'Reflection -2'!AZ230,'Reflection -3'!AZ230,'Reflection -4'!AZ230),"A")</f>
        <v>2.375</v>
      </c>
    </row>
  </sheetData>
  <mergeCells count="16">
    <mergeCell ref="CH1:CJ1"/>
    <mergeCell ref="BZ1:CF1"/>
    <mergeCell ref="AD1:AJ1"/>
    <mergeCell ref="AL1:AR1"/>
    <mergeCell ref="AT1:AZ1"/>
    <mergeCell ref="BB1:BI1"/>
    <mergeCell ref="BR1:BX1"/>
    <mergeCell ref="BJ1:BP1"/>
    <mergeCell ref="E1:E2"/>
    <mergeCell ref="F1:L1"/>
    <mergeCell ref="N1:T1"/>
    <mergeCell ref="V1:AB1"/>
    <mergeCell ref="A1:A2"/>
    <mergeCell ref="B1:B2"/>
    <mergeCell ref="C1:C2"/>
    <mergeCell ref="D1:D2"/>
  </mergeCells>
  <phoneticPr fontId="9" type="noConversion"/>
  <conditionalFormatting sqref="BR3:BX230">
    <cfRule type="containsText" dxfId="4" priority="4" operator="containsText" text="A">
      <formula>NOT(ISERROR(SEARCH("A",BR3)))</formula>
    </cfRule>
  </conditionalFormatting>
  <conditionalFormatting sqref="BZ3:CF230">
    <cfRule type="containsText" dxfId="3" priority="5" operator="containsText" text="A">
      <formula>NOT(ISERROR(SEARCH("A",BZ3)))</formula>
    </cfRule>
  </conditionalFormatting>
  <conditionalFormatting sqref="CH3:CH230">
    <cfRule type="containsText" dxfId="2" priority="3" operator="containsText" text="A">
      <formula>NOT(ISERROR(SEARCH("A",CH3)))</formula>
    </cfRule>
  </conditionalFormatting>
  <conditionalFormatting sqref="CI3:CI230">
    <cfRule type="containsText" dxfId="1" priority="2" operator="containsText" text="A">
      <formula>NOT(ISERROR(SEARCH("A",CI3)))</formula>
    </cfRule>
  </conditionalFormatting>
  <conditionalFormatting sqref="CJ3:CJ230">
    <cfRule type="containsText" dxfId="0" priority="1" operator="containsText" text="A">
      <formula>NOT(ISERROR(SEARCH("A",CJ3)))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4232d8-b49d-4d22-ae9a-b0d1c9fb06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879247730E4478C1710422421C630" ma:contentTypeVersion="18" ma:contentTypeDescription="Create a new document." ma:contentTypeScope="" ma:versionID="503549f31b46721692fbe1ff7af278d9">
  <xsd:schema xmlns:xsd="http://www.w3.org/2001/XMLSchema" xmlns:xs="http://www.w3.org/2001/XMLSchema" xmlns:p="http://schemas.microsoft.com/office/2006/metadata/properties" xmlns:ns3="f64232d8-b49d-4d22-ae9a-b0d1c9fb060c" xmlns:ns4="b1977160-066d-4e85-978c-7041653693a7" targetNamespace="http://schemas.microsoft.com/office/2006/metadata/properties" ma:root="true" ma:fieldsID="cae99e0765f7e7c4f1a74feb7b0a215e" ns3:_="" ns4:_="">
    <xsd:import namespace="f64232d8-b49d-4d22-ae9a-b0d1c9fb060c"/>
    <xsd:import namespace="b1977160-066d-4e85-978c-7041653693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232d8-b49d-4d22-ae9a-b0d1c9fb0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77160-066d-4e85-978c-7041653693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DA58C-7089-4ABF-AA22-80BCE3F490D9}">
  <ds:schemaRefs>
    <ds:schemaRef ds:uri="b1977160-066d-4e85-978c-7041653693a7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f64232d8-b49d-4d22-ae9a-b0d1c9fb060c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27C81D8-2F49-4EFB-A181-8A5BE00B0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232d8-b49d-4d22-ae9a-b0d1c9fb060c"/>
    <ds:schemaRef ds:uri="b1977160-066d-4e85-978c-704165369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E6DD68-7B44-476F-9952-9EB4C8B34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Interventions</vt:lpstr>
      <vt:lpstr>Working</vt:lpstr>
      <vt:lpstr>Sheet5</vt:lpstr>
      <vt:lpstr>Review 1</vt:lpstr>
      <vt:lpstr>Review 2</vt:lpstr>
      <vt:lpstr>Review 3</vt:lpstr>
      <vt:lpstr>Review 4</vt:lpstr>
      <vt:lpstr>Reflection -1 </vt:lpstr>
      <vt:lpstr>Reflection -2</vt:lpstr>
      <vt:lpstr>Reflection -3</vt:lpstr>
      <vt:lpstr>Reflection -4</vt:lpstr>
      <vt:lpstr>Capstone</vt:lpstr>
      <vt:lpstr>Term Rating 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2025-01-08T05:47:24Z</dcterms:created>
  <dcterms:modified xsi:type="dcterms:W3CDTF">2025-10-13T06:43:45Z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0x010100ABC879247730E4478C1710422421C630</vt:lpwstr>
  </property>
</Properties>
</file>